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3"/>
    <sheet name="Model" sheetId="2" state="visible" r:id="rId4"/>
    <sheet name="Bond" sheetId="3" state="visible" r:id="rId5"/>
    <sheet name="Board" sheetId="4" state="visible" r:id="rId6"/>
  </sheets>
  <externalReferences>
    <externalReference r:id="rId7"/>
  </externalReferenc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N2" authorId="0">
      <text>
        <r>
          <rPr>
            <sz val="10"/>
            <rFont val="Arial"/>
            <family val="2"/>
          </rPr>
          <t xml:space="preserve">Exp. 78,622
Guidance 78,000 +- 2%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</xdr:col>
                <xdr:colOff>2</xdr:colOff>
                <xdr:row>0</xdr:row>
                <xdr:rowOff>0</xdr:rowOff>
              </xdr:from>
              <xdr:to>
                <xdr:col>15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O2" authorId="0">
      <text>
        <r>
          <rPr>
            <sz val="10"/>
            <rFont val="Arial"/>
            <family val="2"/>
          </rPr>
          <t xml:space="preserve">Exp. 86,633
Guidance: 91B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2</xdr:colOff>
                <xdr:row>0</xdr:row>
                <xdr:rowOff>0</xdr:rowOff>
              </xdr:from>
              <xdr:to>
                <xdr:col>16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P2" authorId="0">
      <text>
        <r>
          <rPr>
            <sz val="10"/>
            <rFont val="Arial"/>
            <family val="2"/>
          </rPr>
          <t xml:space="preserve">Exp. 96,619
Guidance, 108B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16</xdr:col>
                <xdr:colOff>2</xdr:colOff>
                <xdr:row>0</xdr:row>
                <xdr:rowOff>0</xdr:rowOff>
              </xdr:from>
              <xdr:to>
                <xdr:col>17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AL2" authorId="0">
      <text>
        <r>
          <rPr>
            <sz val="10"/>
            <rFont val="Arial"/>
            <family val="2"/>
          </rPr>
          <t xml:space="preserve">Exp.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38</xdr:col>
                <xdr:colOff>2</xdr:colOff>
                <xdr:row>0</xdr:row>
                <xdr:rowOff>0</xdr:rowOff>
              </xdr:from>
              <xdr:to>
                <xdr:col>39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<sst xmlns="http://schemas.openxmlformats.org/spreadsheetml/2006/main" count="216" uniqueCount="160">
  <si>
    <t xml:space="preserve">Nvidia Corp</t>
  </si>
  <si>
    <t xml:space="preserve">Price</t>
  </si>
  <si>
    <t xml:space="preserve">Share</t>
  </si>
  <si>
    <t xml:space="preserve">Q227</t>
  </si>
  <si>
    <t xml:space="preserve">-&gt;</t>
  </si>
  <si>
    <t xml:space="preserve">Increasing strategic partenrship with UBER in order to inprove Drive and Alpamayo in real world scenarios</t>
  </si>
  <si>
    <t xml:space="preserve">MC</t>
  </si>
  <si>
    <t xml:space="preserve">Exploiting UBER’s network effect in order to engage more users and deploy L4 AV in 28 cities by 2028</t>
  </si>
  <si>
    <t xml:space="preserve">Cash</t>
  </si>
  <si>
    <t xml:space="preserve">Nvidia’s Level 4 AV are developed altogether with Mercedes Benz, Stellantis and Lucid</t>
  </si>
  <si>
    <t xml:space="preserve">Debt</t>
  </si>
  <si>
    <t xml:space="preserve">EV</t>
  </si>
  <si>
    <t xml:space="preserve">P/FCF</t>
  </si>
  <si>
    <t xml:space="preserve">BETA</t>
  </si>
  <si>
    <t xml:space="preserve">WACC</t>
  </si>
  <si>
    <t xml:space="preserve">EV/EBITDA</t>
  </si>
  <si>
    <t xml:space="preserve">CAPM</t>
  </si>
  <si>
    <t xml:space="preserve">EV/FCF</t>
  </si>
  <si>
    <t xml:space="preserve">Cost of Debt</t>
  </si>
  <si>
    <t xml:space="preserve">Inc. Margin</t>
  </si>
  <si>
    <t xml:space="preserve">Cr. Spread</t>
  </si>
  <si>
    <t xml:space="preserve">P/E</t>
  </si>
  <si>
    <t xml:space="preserve">Rating</t>
  </si>
  <si>
    <t xml:space="preserve">AA</t>
  </si>
  <si>
    <t xml:space="preserve">Aa2</t>
  </si>
  <si>
    <t xml:space="preserve">S&amp;P</t>
  </si>
  <si>
    <t xml:space="preserve">Moody’s</t>
  </si>
  <si>
    <t xml:space="preserve">Main</t>
  </si>
  <si>
    <t xml:space="preserve">in Millions</t>
  </si>
  <si>
    <t xml:space="preserve">Q124</t>
  </si>
  <si>
    <t xml:space="preserve">Q224</t>
  </si>
  <si>
    <t xml:space="preserve">Q324</t>
  </si>
  <si>
    <t xml:space="preserve">Q424</t>
  </si>
  <si>
    <t xml:space="preserve">Q125</t>
  </si>
  <si>
    <t xml:space="preserve">Q225</t>
  </si>
  <si>
    <t xml:space="preserve">Q325</t>
  </si>
  <si>
    <t xml:space="preserve">Q425</t>
  </si>
  <si>
    <t xml:space="preserve">Q126</t>
  </si>
  <si>
    <t xml:space="preserve">Q226</t>
  </si>
  <si>
    <t xml:space="preserve">Q326</t>
  </si>
  <si>
    <t xml:space="preserve">Q426</t>
  </si>
  <si>
    <t xml:space="preserve">Q127</t>
  </si>
  <si>
    <t xml:space="preserve">Q327</t>
  </si>
  <si>
    <t xml:space="preserve">Q427</t>
  </si>
  <si>
    <t xml:space="preserve">Data Center</t>
  </si>
  <si>
    <t xml:space="preserve"> Compute</t>
  </si>
  <si>
    <t xml:space="preserve"> Networking</t>
  </si>
  <si>
    <t xml:space="preserve">%</t>
  </si>
  <si>
    <t xml:space="preserve">Gaming</t>
  </si>
  <si>
    <t xml:space="preserve">Professional Vis</t>
  </si>
  <si>
    <t xml:space="preserve">Auto</t>
  </si>
  <si>
    <t xml:space="preserve">OEM &amp; Other</t>
  </si>
  <si>
    <t xml:space="preserve">Edge Computing</t>
  </si>
  <si>
    <t xml:space="preserve">Revenue</t>
  </si>
  <si>
    <t xml:space="preserve">COGS</t>
  </si>
  <si>
    <t xml:space="preserve">Gross Profit</t>
  </si>
  <si>
    <t xml:space="preserve">R&amp;D</t>
  </si>
  <si>
    <t xml:space="preserve">SG&amp;A</t>
  </si>
  <si>
    <t xml:space="preserve">Op Exp</t>
  </si>
  <si>
    <t xml:space="preserve">Op Inc</t>
  </si>
  <si>
    <t xml:space="preserve">Int Income</t>
  </si>
  <si>
    <t xml:space="preserve">Int Exp</t>
  </si>
  <si>
    <t xml:space="preserve">Other Income</t>
  </si>
  <si>
    <t xml:space="preserve">Pretax</t>
  </si>
  <si>
    <t xml:space="preserve">Tax</t>
  </si>
  <si>
    <t xml:space="preserve">Net Inc</t>
  </si>
  <si>
    <t xml:space="preserve">EPS</t>
  </si>
  <si>
    <t xml:space="preserve">Shares</t>
  </si>
  <si>
    <t xml:space="preserve">Revenue Y/Y</t>
  </si>
  <si>
    <t xml:space="preserve">Revenue q/q</t>
  </si>
  <si>
    <t xml:space="preserve">Revenue h/h</t>
  </si>
  <si>
    <t xml:space="preserve">Terminal</t>
  </si>
  <si>
    <t xml:space="preserve">Data Center Y/Y</t>
  </si>
  <si>
    <t xml:space="preserve">Discount</t>
  </si>
  <si>
    <t xml:space="preserve">Gaming Y/Y</t>
  </si>
  <si>
    <t xml:space="preserve">ROIC</t>
  </si>
  <si>
    <t xml:space="preserve">P.V. Y/Y</t>
  </si>
  <si>
    <t xml:space="preserve">NPV</t>
  </si>
  <si>
    <t xml:space="preserve">Auto Y/Y</t>
  </si>
  <si>
    <t xml:space="preserve">OEM &amp; Other Y/Y</t>
  </si>
  <si>
    <t xml:space="preserve">Diff</t>
  </si>
  <si>
    <t xml:space="preserve">Gross Margin</t>
  </si>
  <si>
    <t xml:space="preserve">OP Margin</t>
  </si>
  <si>
    <t xml:space="preserve">NI Margin</t>
  </si>
  <si>
    <t xml:space="preserve">Tax Rate</t>
  </si>
  <si>
    <t xml:space="preserve">ROA</t>
  </si>
  <si>
    <t xml:space="preserve">ROE</t>
  </si>
  <si>
    <t xml:space="preserve">A. Turnover</t>
  </si>
  <si>
    <t xml:space="preserve">Financial Leverage</t>
  </si>
  <si>
    <t xml:space="preserve">Financial Leverage %</t>
  </si>
  <si>
    <t xml:space="preserve">EBITDA</t>
  </si>
  <si>
    <t xml:space="preserve">Net Cash</t>
  </si>
  <si>
    <t xml:space="preserve">NOPAT</t>
  </si>
  <si>
    <t xml:space="preserve">NWC</t>
  </si>
  <si>
    <t xml:space="preserve">UFCF</t>
  </si>
  <si>
    <t xml:space="preserve">TV</t>
  </si>
  <si>
    <t xml:space="preserve">Equity Value</t>
  </si>
  <si>
    <t xml:space="preserve">Mrk. Securities</t>
  </si>
  <si>
    <t xml:space="preserve">A/R</t>
  </si>
  <si>
    <t xml:space="preserve">Inventories</t>
  </si>
  <si>
    <t xml:space="preserve">Prepaid Exp</t>
  </si>
  <si>
    <t xml:space="preserve">PP&amp;E</t>
  </si>
  <si>
    <t xml:space="preserve">Op Lease</t>
  </si>
  <si>
    <t xml:space="preserve">Goodwill</t>
  </si>
  <si>
    <t xml:space="preserve">Intangible</t>
  </si>
  <si>
    <t xml:space="preserve">D/T</t>
  </si>
  <si>
    <t xml:space="preserve">Other Asset</t>
  </si>
  <si>
    <t xml:space="preserve">A</t>
  </si>
  <si>
    <t xml:space="preserve">A/P</t>
  </si>
  <si>
    <t xml:space="preserve">Accr Liab.</t>
  </si>
  <si>
    <t xml:space="preserve">Other Liabilities</t>
  </si>
  <si>
    <t xml:space="preserve">L</t>
  </si>
  <si>
    <t xml:space="preserve">Commitments and Contingencies</t>
  </si>
  <si>
    <t xml:space="preserve">Preferred Stocks</t>
  </si>
  <si>
    <t xml:space="preserve">APIC</t>
  </si>
  <si>
    <t xml:space="preserve">Treasury Stocks</t>
  </si>
  <si>
    <t xml:space="preserve">Acc. Loss</t>
  </si>
  <si>
    <t xml:space="preserve">Retained Earnings</t>
  </si>
  <si>
    <t xml:space="preserve">SE</t>
  </si>
  <si>
    <t xml:space="preserve">L+SE</t>
  </si>
  <si>
    <t xml:space="preserve">Model NI</t>
  </si>
  <si>
    <t xml:space="preserve">SBC</t>
  </si>
  <si>
    <t xml:space="preserve">D&amp;A</t>
  </si>
  <si>
    <t xml:space="preserve">Losses on equity</t>
  </si>
  <si>
    <t xml:space="preserve">Other </t>
  </si>
  <si>
    <t xml:space="preserve">Accr liabitilies</t>
  </si>
  <si>
    <t xml:space="preserve">CFFO</t>
  </si>
  <si>
    <t xml:space="preserve">Cap Ex</t>
  </si>
  <si>
    <t xml:space="preserve">FCF</t>
  </si>
  <si>
    <t xml:space="preserve">FCF Y/Y</t>
  </si>
  <si>
    <t xml:space="preserve">FCF / S</t>
  </si>
  <si>
    <t xml:space="preserve">DSO</t>
  </si>
  <si>
    <t xml:space="preserve">DIO</t>
  </si>
  <si>
    <t xml:space="preserve">DPO</t>
  </si>
  <si>
    <t xml:space="preserve">CCC</t>
  </si>
  <si>
    <t xml:space="preserve">isin</t>
  </si>
  <si>
    <t xml:space="preserve">immediateIssuer</t>
  </si>
  <si>
    <t xml:space="preserve">coupon</t>
  </si>
  <si>
    <t xml:space="preserve">couponType</t>
  </si>
  <si>
    <t xml:space="preserve">maturityDate</t>
  </si>
  <si>
    <t xml:space="preserve">callable</t>
  </si>
  <si>
    <t xml:space="preserve">currency</t>
  </si>
  <si>
    <t xml:space="preserve">US67066GAE44</t>
  </si>
  <si>
    <t xml:space="preserve">NVIDIA Corporation</t>
  </si>
  <si>
    <t xml:space="preserve">Fixed Listing</t>
  </si>
  <si>
    <t xml:space="preserve">16/09/2026</t>
  </si>
  <si>
    <t xml:space="preserve">Y</t>
  </si>
  <si>
    <t xml:space="preserve">USD</t>
  </si>
  <si>
    <t xml:space="preserve">US67066GAM69</t>
  </si>
  <si>
    <t xml:space="preserve">15/06/2028</t>
  </si>
  <si>
    <t xml:space="preserve">US67066GAF19</t>
  </si>
  <si>
    <t xml:space="preserve">01/04/2030</t>
  </si>
  <si>
    <t xml:space="preserve">US67066GAN43</t>
  </si>
  <si>
    <t xml:space="preserve">15/06/2031</t>
  </si>
  <si>
    <t xml:space="preserve">US67066GAG91</t>
  </si>
  <si>
    <t xml:space="preserve">01/04/2040</t>
  </si>
  <si>
    <t xml:space="preserve">US67066GAH74</t>
  </si>
  <si>
    <t xml:space="preserve">01/04/2050</t>
  </si>
  <si>
    <t xml:space="preserve">US67066GAJ31</t>
  </si>
  <si>
    <t xml:space="preserve">01/04/2060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</si>
</sst>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;\(#,##0\);\-"/>
    <numFmt numFmtId="166" formatCode="0.00"/>
    <numFmt numFmtId="167" formatCode="#,##0\x"/>
    <numFmt numFmtId="168" formatCode="0.00%"/>
    <numFmt numFmtId="169" formatCode="0.00%;\(0.00%\)"/>
    <numFmt numFmtId="170" formatCode="#,##0.00"/>
    <numFmt numFmtId="171" formatCode="mm/yy"/>
    <numFmt numFmtId="172" formatCode="#,##0.00;\(#,##0.00\);\-"/>
    <numFmt numFmtId="173" formatCode="0%;\(0%\);\-"/>
    <numFmt numFmtId="174" formatCode="#%"/>
    <numFmt numFmtId="175" formatCode="#,##0"/>
    <numFmt numFmtId="176" formatCode="0.00%;\(0.00%\);\-"/>
    <numFmt numFmtId="177" formatCode="0%"/>
    <numFmt numFmtId="178" formatCode="#,##0.00;[RED]\-#,##0.00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name val="Arial"/>
      <family val="2"/>
      <charset val="1"/>
    </font>
    <font>
      <b val="true"/>
      <sz val="13"/>
      <name val="Arial"/>
      <family val="2"/>
      <charset val="1"/>
    </font>
    <font>
      <sz val="10"/>
      <color rgb="FF0000FF"/>
      <name val="Arial"/>
      <family val="2"/>
      <charset val="1"/>
    </font>
    <font>
      <i val="true"/>
      <sz val="8"/>
      <color rgb="FF666666"/>
      <name val="Arial"/>
      <family val="2"/>
      <charset val="1"/>
    </font>
    <font>
      <sz val="8"/>
      <color rgb="FF666666"/>
      <name val="Arial"/>
      <family val="2"/>
      <charset val="1"/>
    </font>
    <font>
      <b val="true"/>
      <sz val="10"/>
      <name val="Arial"/>
      <family val="2"/>
      <charset val="1"/>
    </font>
    <font>
      <b val="true"/>
      <i val="true"/>
      <sz val="8"/>
      <color rgb="FF666666"/>
      <name val="Arial"/>
      <family val="2"/>
      <charset val="1"/>
    </font>
    <font>
      <i val="true"/>
      <sz val="10"/>
      <name val="Arial"/>
      <family val="2"/>
      <charset val="1"/>
    </font>
    <font>
      <sz val="10"/>
      <name val="Arial"/>
      <family val="2"/>
    </font>
    <font>
      <b val="true"/>
      <sz val="11"/>
      <color rgb="FF4B4B4B"/>
      <name val="Arial"/>
      <family val="2"/>
      <charset val="1"/>
    </font>
    <font>
      <sz val="11"/>
      <color rgb="FF4B4B4B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EEEEEE"/>
        <bgColor rgb="FFF5F5F5"/>
      </patternFill>
    </fill>
    <fill>
      <patternFill patternType="solid">
        <fgColor rgb="FFDDDDDD"/>
        <bgColor rgb="FFE1E1E1"/>
      </patternFill>
    </fill>
    <fill>
      <patternFill patternType="solid">
        <fgColor rgb="FFB2B2B2"/>
        <bgColor rgb="FF969696"/>
      </patternFill>
    </fill>
    <fill>
      <patternFill patternType="solid">
        <fgColor rgb="FFE1E1E1"/>
        <bgColor rgb="FFDDDDDD"/>
      </patternFill>
    </fill>
    <fill>
      <patternFill patternType="solid">
        <fgColor rgb="FFF5F5F5"/>
        <bgColor rgb="FFEEEEEE"/>
      </patternFill>
    </fill>
    <fill>
      <patternFill patternType="solid">
        <fgColor rgb="FFFFFFFF"/>
        <bgColor rgb="FFF5F5F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9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9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3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8" fontId="14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8" fontId="14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8" fontId="14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5F5F5"/>
      <rgbColor rgb="FFEEEE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1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B4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externalLink" Target="externalLinks/externalLink1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87480</xdr:colOff>
      <xdr:row>1</xdr:row>
      <xdr:rowOff>30960</xdr:rowOff>
    </xdr:from>
    <xdr:to>
      <xdr:col>15</xdr:col>
      <xdr:colOff>88920</xdr:colOff>
      <xdr:row>125</xdr:row>
      <xdr:rowOff>54720</xdr:rowOff>
    </xdr:to>
    <xdr:sp>
      <xdr:nvSpPr>
        <xdr:cNvPr id="1" name="Vertical line 1"/>
        <xdr:cNvSpPr/>
      </xdr:nvSpPr>
      <xdr:spPr>
        <a:xfrm>
          <a:off x="12787560" y="193680"/>
          <a:ext cx="1440" cy="195091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37</xdr:col>
      <xdr:colOff>100440</xdr:colOff>
      <xdr:row>1</xdr:row>
      <xdr:rowOff>31680</xdr:rowOff>
    </xdr:from>
    <xdr:to>
      <xdr:col>37</xdr:col>
      <xdr:colOff>100440</xdr:colOff>
      <xdr:row>128</xdr:row>
      <xdr:rowOff>79560</xdr:rowOff>
    </xdr:to>
    <xdr:sp>
      <xdr:nvSpPr>
        <xdr:cNvPr id="2" name="Vertical line 2"/>
        <xdr:cNvSpPr/>
      </xdr:nvSpPr>
      <xdr:spPr>
        <a:xfrm>
          <a:off x="30682080" y="194400"/>
          <a:ext cx="0" cy="2002104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Bond%20Analysi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Zero-rate curve US"/>
      <sheetName val="Credit Spread US"/>
      <sheetName val="Zero-rate curve ECB"/>
      <sheetName val="Zero-rate curve Bo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NVDA.ods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NVDA.ods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NVDA.od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D18" activeCellId="0" sqref="D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52"/>
    <col collapsed="false" customWidth="false" hidden="false" outlineLevel="0" max="3" min="2" style="1" width="11.53"/>
    <col collapsed="false" customWidth="true" hidden="false" outlineLevel="0" max="4" min="4" style="1" width="14.87"/>
    <col collapsed="false" customWidth="false" hidden="false" outlineLevel="0" max="9" min="5" style="1" width="11.53"/>
    <col collapsed="false" customWidth="true" hidden="false" outlineLevel="0" max="10" min="10" style="1" width="5.2"/>
    <col collapsed="false" customWidth="false" hidden="false" outlineLevel="0" max="16384" min="11" style="1" width="11.53"/>
  </cols>
  <sheetData>
    <row r="1" customFormat="false" ht="12.8" hidden="false" customHeight="false" outlineLevel="0" collapsed="false">
      <c r="A1" s="2" t="s">
        <v>0</v>
      </c>
      <c r="E1" s="1" t="s">
        <v>1</v>
      </c>
      <c r="F1" s="3" t="n">
        <v>219</v>
      </c>
    </row>
    <row r="2" customFormat="false" ht="12.8" hidden="false" customHeight="false" outlineLevel="0" collapsed="false">
      <c r="E2" s="1" t="s">
        <v>2</v>
      </c>
      <c r="F2" s="3" t="n">
        <v>24100</v>
      </c>
      <c r="G2" s="4" t="s">
        <v>3</v>
      </c>
      <c r="I2" s="4" t="s">
        <v>4</v>
      </c>
      <c r="J2" s="1" t="s">
        <v>5</v>
      </c>
    </row>
    <row r="3" customFormat="false" ht="12.8" hidden="false" customHeight="false" outlineLevel="0" collapsed="false">
      <c r="E3" s="1" t="s">
        <v>6</v>
      </c>
      <c r="F3" s="3" t="n">
        <f aca="false">+F1*F2</f>
        <v>5277900</v>
      </c>
      <c r="J3" s="1" t="s">
        <v>7</v>
      </c>
    </row>
    <row r="4" customFormat="false" ht="12.8" hidden="false" customHeight="false" outlineLevel="0" collapsed="false">
      <c r="E4" s="1" t="s">
        <v>8</v>
      </c>
      <c r="F4" s="3" t="n">
        <v>99369</v>
      </c>
      <c r="G4" s="4" t="s">
        <v>3</v>
      </c>
      <c r="J4" s="4" t="s">
        <v>4</v>
      </c>
      <c r="K4" s="1" t="s">
        <v>9</v>
      </c>
    </row>
    <row r="5" customFormat="false" ht="12.8" hidden="false" customHeight="false" outlineLevel="0" collapsed="false">
      <c r="E5" s="1" t="s">
        <v>10</v>
      </c>
      <c r="F5" s="3" t="n">
        <f aca="false">+1000+32366</f>
        <v>33366</v>
      </c>
      <c r="G5" s="4" t="s">
        <v>3</v>
      </c>
    </row>
    <row r="6" customFormat="false" ht="12.8" hidden="false" customHeight="false" outlineLevel="0" collapsed="false">
      <c r="E6" s="1" t="s">
        <v>11</v>
      </c>
      <c r="F6" s="5" t="n">
        <f aca="false">+F3-F4+F5</f>
        <v>5211897</v>
      </c>
    </row>
    <row r="9" customFormat="false" ht="12.8" hidden="false" customHeight="false" outlineLevel="0" collapsed="false">
      <c r="B9" s="6"/>
    </row>
    <row r="10" customFormat="false" ht="16.15" hidden="false" customHeight="false" outlineLevel="0" collapsed="false">
      <c r="A10" s="7" t="s">
        <v>12</v>
      </c>
      <c r="B10" s="8" t="n">
        <f aca="false">+F3/SUM(Model!L131:O131)</f>
        <v>41.5562860325093</v>
      </c>
      <c r="C10" s="7"/>
      <c r="D10" s="7" t="s">
        <v>13</v>
      </c>
      <c r="E10" s="7" t="n">
        <v>2.21</v>
      </c>
      <c r="F10" s="7"/>
      <c r="G10" s="7" t="s">
        <v>14</v>
      </c>
      <c r="H10" s="9" t="n">
        <f aca="false">+(F3/(F3+F5))*E11+(F5/(F3+F5))*E12*(1-Model!N64)</f>
        <v>0.15870007698289</v>
      </c>
    </row>
    <row r="11" customFormat="false" ht="16.15" hidden="false" customHeight="false" outlineLevel="0" collapsed="false">
      <c r="A11" s="7" t="s">
        <v>15</v>
      </c>
      <c r="B11" s="8" t="n">
        <f aca="false">+F6/SUM(Model!L73:O73)</f>
        <v>25.8202602884277</v>
      </c>
      <c r="C11" s="7"/>
      <c r="D11" s="7" t="s">
        <v>16</v>
      </c>
      <c r="E11" s="9" t="n">
        <f aca="false">+'[1]Zero-rate curve US'!J3+E10*(0.1-'[1]Zero-rate curve US'!J3)</f>
        <v>0.159392886443322</v>
      </c>
      <c r="F11" s="7"/>
      <c r="G11" s="7"/>
      <c r="H11" s="7"/>
    </row>
    <row r="12" customFormat="false" ht="16.15" hidden="false" customHeight="false" outlineLevel="0" collapsed="false">
      <c r="A12" s="7" t="s">
        <v>17</v>
      </c>
      <c r="B12" s="8" t="n">
        <f aca="false">+F6/SUM(Model!L131:O131)</f>
        <v>41.0366021531248</v>
      </c>
      <c r="C12" s="7"/>
      <c r="D12" s="7" t="s">
        <v>18</v>
      </c>
      <c r="E12" s="9" t="n">
        <f aca="false">+'[1]Zero-rate curve US'!J3+(E13/100)</f>
        <v>0.0588627959685084</v>
      </c>
      <c r="F12" s="7"/>
      <c r="G12" s="7"/>
      <c r="H12" s="7"/>
    </row>
    <row r="13" customFormat="false" ht="16.15" hidden="false" customHeight="false" outlineLevel="0" collapsed="false">
      <c r="A13" s="7" t="s">
        <v>19</v>
      </c>
      <c r="B13" s="10" t="n">
        <f aca="false">+((Model!O31+Model!N31+Model!M31+Model!L31)-(Model!K31+Model!J31+Model!I31+Model!H31))/((Model!O19+Model!N19+Model!M19+Model!L19)-(Model!K19+Model!J19+Model!I19+Model!H19))</f>
        <v>0.727759454208648</v>
      </c>
      <c r="C13" s="11"/>
      <c r="D13" s="7" t="s">
        <v>20</v>
      </c>
      <c r="E13" s="12" t="n">
        <f aca="false">+'[1]Credit Spread US'!J6</f>
        <v>0.794782608695652</v>
      </c>
      <c r="F13" s="7"/>
      <c r="G13" s="7"/>
      <c r="H13" s="7"/>
    </row>
    <row r="14" customFormat="false" ht="16.15" hidden="false" customHeight="false" outlineLevel="0" collapsed="false">
      <c r="A14" s="7" t="s">
        <v>21</v>
      </c>
      <c r="B14" s="8" t="n">
        <f aca="false">+F1/SUM(Model!L45:O45)</f>
        <v>27.6839847678208</v>
      </c>
      <c r="C14" s="7"/>
      <c r="D14" s="7" t="s">
        <v>22</v>
      </c>
      <c r="E14" s="13" t="s">
        <v>23</v>
      </c>
      <c r="F14" s="13" t="s">
        <v>24</v>
      </c>
      <c r="G14" s="7"/>
      <c r="H14" s="7"/>
    </row>
    <row r="15" customFormat="false" ht="16.15" hidden="false" customHeight="false" outlineLevel="0" collapsed="false">
      <c r="A15" s="7"/>
      <c r="B15" s="7"/>
      <c r="C15" s="7"/>
      <c r="D15" s="7"/>
      <c r="E15" s="13" t="s">
        <v>25</v>
      </c>
      <c r="F15" s="13" t="s">
        <v>26</v>
      </c>
      <c r="G15" s="7"/>
      <c r="H15" s="7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O143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1" ySplit="2" topLeftCell="AS37" activePane="bottomRight" state="frozen"/>
      <selection pane="topLeft" activeCell="A1" activeCellId="0" sqref="A1"/>
      <selection pane="topRight" activeCell="AS1" activeCellId="0" sqref="AS1"/>
      <selection pane="bottomLeft" activeCell="A37" activeCellId="0" sqref="A37"/>
      <selection pane="bottomRight" activeCell="AO20" activeCellId="0" sqref="AO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3" width="18.74"/>
    <col collapsed="false" customWidth="false" hidden="false" outlineLevel="0" max="114" min="2" style="3" width="11.53"/>
    <col collapsed="false" customWidth="false" hidden="false" outlineLevel="0" max="119" min="115" style="1" width="11.53"/>
    <col collapsed="false" customWidth="false" hidden="false" outlineLevel="0" max="16384" min="120" style="3" width="11.53"/>
  </cols>
  <sheetData>
    <row r="1" s="15" customFormat="true" ht="12.8" hidden="false" customHeight="false" outlineLevel="0" collapsed="false">
      <c r="A1" s="14" t="s">
        <v>27</v>
      </c>
      <c r="B1" s="15" t="n">
        <v>45042</v>
      </c>
      <c r="C1" s="15" t="n">
        <v>45133</v>
      </c>
      <c r="D1" s="15" t="n">
        <v>45224</v>
      </c>
      <c r="E1" s="15" t="n">
        <v>45348</v>
      </c>
      <c r="F1" s="15" t="n">
        <v>45408</v>
      </c>
      <c r="G1" s="15" t="n">
        <v>45499</v>
      </c>
      <c r="H1" s="15" t="n">
        <v>45589</v>
      </c>
      <c r="I1" s="15" t="n">
        <v>45683</v>
      </c>
      <c r="J1" s="15" t="n">
        <v>45773</v>
      </c>
      <c r="K1" s="15" t="n">
        <v>45864</v>
      </c>
      <c r="L1" s="15" t="n">
        <v>45955</v>
      </c>
      <c r="M1" s="15" t="n">
        <v>46079</v>
      </c>
      <c r="N1" s="15" t="n">
        <v>46138</v>
      </c>
      <c r="O1" s="15" t="n">
        <v>46229</v>
      </c>
      <c r="P1" s="15" t="n">
        <v>46320</v>
      </c>
      <c r="Q1" s="15" t="n">
        <v>46444</v>
      </c>
      <c r="DK1" s="1"/>
      <c r="DL1" s="1"/>
      <c r="DM1" s="1"/>
      <c r="DN1" s="1"/>
      <c r="DO1" s="1"/>
    </row>
    <row r="2" s="4" customFormat="true" ht="12.8" hidden="false" customHeight="false" outlineLevel="0" collapsed="false">
      <c r="A2" s="16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37</v>
      </c>
      <c r="K2" s="4" t="s">
        <v>38</v>
      </c>
      <c r="L2" s="4" t="s">
        <v>39</v>
      </c>
      <c r="M2" s="4" t="s">
        <v>40</v>
      </c>
      <c r="N2" s="4" t="s">
        <v>41</v>
      </c>
      <c r="O2" s="4" t="s">
        <v>3</v>
      </c>
      <c r="P2" s="4" t="s">
        <v>42</v>
      </c>
      <c r="Q2" s="4" t="s">
        <v>43</v>
      </c>
      <c r="V2" s="4" t="n">
        <f aca="false">+W2-1</f>
        <v>2011</v>
      </c>
      <c r="W2" s="4" t="n">
        <f aca="false">+X2-1</f>
        <v>2012</v>
      </c>
      <c r="X2" s="4" t="n">
        <f aca="false">+Y2-1</f>
        <v>2013</v>
      </c>
      <c r="Y2" s="4" t="n">
        <f aca="false">+Z2-1</f>
        <v>2014</v>
      </c>
      <c r="Z2" s="4" t="n">
        <f aca="false">+AA2-1</f>
        <v>2015</v>
      </c>
      <c r="AA2" s="4" t="n">
        <f aca="false">+AB2-1</f>
        <v>2016</v>
      </c>
      <c r="AB2" s="4" t="n">
        <f aca="false">+AC2-1</f>
        <v>2017</v>
      </c>
      <c r="AC2" s="4" t="n">
        <f aca="false">+AD2-1</f>
        <v>2018</v>
      </c>
      <c r="AD2" s="4" t="n">
        <f aca="false">+AE2-1</f>
        <v>2019</v>
      </c>
      <c r="AE2" s="4" t="n">
        <v>2020</v>
      </c>
      <c r="AF2" s="4" t="n">
        <f aca="false">+AE2+1</f>
        <v>2021</v>
      </c>
      <c r="AG2" s="4" t="n">
        <f aca="false">+AF2+1</f>
        <v>2022</v>
      </c>
      <c r="AH2" s="4" t="n">
        <f aca="false">+AG2+1</f>
        <v>2023</v>
      </c>
      <c r="AI2" s="4" t="n">
        <f aca="false">+AH2+1</f>
        <v>2024</v>
      </c>
      <c r="AJ2" s="4" t="n">
        <f aca="false">+AI2+1</f>
        <v>2025</v>
      </c>
      <c r="AK2" s="4" t="n">
        <f aca="false">+AJ2+1</f>
        <v>2026</v>
      </c>
      <c r="AL2" s="4" t="n">
        <f aca="false">+AK2+1</f>
        <v>2027</v>
      </c>
      <c r="AM2" s="4" t="n">
        <f aca="false">+AL2+1</f>
        <v>2028</v>
      </c>
      <c r="AN2" s="4" t="n">
        <f aca="false">+AM2+1</f>
        <v>2029</v>
      </c>
      <c r="AO2" s="4" t="n">
        <f aca="false">+AN2+1</f>
        <v>2030</v>
      </c>
      <c r="AP2" s="4" t="n">
        <f aca="false">+AO2+1</f>
        <v>2031</v>
      </c>
      <c r="DK2" s="1"/>
      <c r="DL2" s="1"/>
      <c r="DM2" s="1"/>
      <c r="DN2" s="1"/>
      <c r="DO2" s="1"/>
    </row>
    <row r="3" s="18" customFormat="true" ht="12.8" hidden="false" customHeight="false" outlineLevel="0" collapsed="false">
      <c r="A3" s="17" t="s">
        <v>44</v>
      </c>
      <c r="B3" s="18" t="n">
        <f aca="false">SUM(B5:B6)</f>
        <v>4284</v>
      </c>
      <c r="C3" s="18" t="n">
        <f aca="false">SUM(C5:C6)</f>
        <v>10323</v>
      </c>
      <c r="D3" s="18" t="n">
        <f aca="false">SUM(D5:D6)</f>
        <v>14514</v>
      </c>
      <c r="E3" s="18" t="n">
        <f aca="false">SUM(E5:E6)</f>
        <v>18404</v>
      </c>
      <c r="F3" s="18" t="n">
        <f aca="false">SUM(F5:F6)</f>
        <v>22563</v>
      </c>
      <c r="G3" s="18" t="n">
        <f aca="false">SUM(G5:G6)</f>
        <v>26272</v>
      </c>
      <c r="H3" s="18" t="n">
        <f aca="false">SUM(H5:H6)</f>
        <v>30771</v>
      </c>
      <c r="I3" s="18" t="n">
        <f aca="false">SUM(I5:I6)</f>
        <v>35580</v>
      </c>
      <c r="J3" s="18" t="n">
        <f aca="false">SUM(J5:J6)</f>
        <v>44062</v>
      </c>
      <c r="K3" s="18" t="n">
        <f aca="false">SUM(K5:K6)</f>
        <v>41096</v>
      </c>
      <c r="L3" s="18" t="n">
        <f aca="false">SUM(L5:L6)</f>
        <v>51215</v>
      </c>
      <c r="M3" s="18" t="n">
        <f aca="false">SUM(M5:M6)</f>
        <v>62314</v>
      </c>
      <c r="N3" s="18" t="n">
        <f aca="false">SUM(N5:N6)</f>
        <v>75200</v>
      </c>
      <c r="O3" s="18" t="n">
        <f aca="false">SUM(O5:O6)</f>
        <v>89023</v>
      </c>
      <c r="Y3" s="18" t="n">
        <v>199</v>
      </c>
      <c r="Z3" s="18" t="n">
        <v>317</v>
      </c>
      <c r="AA3" s="18" t="n">
        <v>339</v>
      </c>
      <c r="AB3" s="18" t="n">
        <v>830</v>
      </c>
      <c r="AC3" s="18" t="n">
        <v>1932</v>
      </c>
      <c r="AD3" s="18" t="n">
        <v>2932</v>
      </c>
      <c r="AE3" s="18" t="n">
        <v>2983</v>
      </c>
      <c r="AF3" s="18" t="n">
        <v>6696</v>
      </c>
      <c r="AG3" s="18" t="n">
        <v>10613</v>
      </c>
      <c r="AH3" s="18" t="n">
        <v>15005</v>
      </c>
      <c r="AI3" s="18" t="n">
        <f aca="false">SUM(AI5:AI6)</f>
        <v>47525</v>
      </c>
      <c r="AJ3" s="18" t="n">
        <f aca="false">SUM(AJ5:AJ6)</f>
        <v>115186</v>
      </c>
      <c r="AK3" s="18" t="n">
        <v>193737</v>
      </c>
      <c r="DK3" s="1"/>
      <c r="DL3" s="1"/>
      <c r="DM3" s="1"/>
      <c r="DN3" s="1"/>
      <c r="DO3" s="1"/>
    </row>
    <row r="4" s="20" customFormat="true" ht="10.5" hidden="false" customHeight="true" outlineLevel="0" collapsed="false">
      <c r="A4" s="19"/>
      <c r="F4" s="20" t="n">
        <f aca="false">+F3/B3-1</f>
        <v>4.26680672268908</v>
      </c>
      <c r="G4" s="20" t="n">
        <f aca="false">+G3/C3-1</f>
        <v>1.54499660951274</v>
      </c>
      <c r="H4" s="20" t="n">
        <f aca="false">+H3/D3-1</f>
        <v>1.12009094667218</v>
      </c>
      <c r="I4" s="20" t="n">
        <f aca="false">+I3/E3-1</f>
        <v>0.933275374918496</v>
      </c>
      <c r="J4" s="20" t="n">
        <f aca="false">+J3/F3-1</f>
        <v>0.952843150290298</v>
      </c>
      <c r="K4" s="20" t="n">
        <f aca="false">+K3/G3-1</f>
        <v>0.564250913520098</v>
      </c>
      <c r="L4" s="20" t="n">
        <f aca="false">+L3/H3-1</f>
        <v>0.664391797471645</v>
      </c>
      <c r="M4" s="20" t="n">
        <f aca="false">+M3/I3-1</f>
        <v>0.751377178189994</v>
      </c>
      <c r="N4" s="20" t="n">
        <f aca="false">+N3/J3-1</f>
        <v>0.70668603331669</v>
      </c>
      <c r="O4" s="20" t="n">
        <f aca="false">+O3/K3-1</f>
        <v>1.16622055674518</v>
      </c>
      <c r="DK4" s="1"/>
      <c r="DL4" s="1"/>
      <c r="DM4" s="1"/>
      <c r="DN4" s="1"/>
      <c r="DO4" s="1"/>
    </row>
    <row r="5" s="18" customFormat="true" ht="12.8" hidden="false" customHeight="false" outlineLevel="0" collapsed="false">
      <c r="A5" s="17" t="s">
        <v>45</v>
      </c>
      <c r="B5" s="18" t="n">
        <v>3357</v>
      </c>
      <c r="C5" s="18" t="n">
        <v>8612</v>
      </c>
      <c r="D5" s="18" t="n">
        <v>11908</v>
      </c>
      <c r="E5" s="18" t="n">
        <v>15073</v>
      </c>
      <c r="F5" s="18" t="n">
        <v>19392</v>
      </c>
      <c r="G5" s="18" t="n">
        <v>22604</v>
      </c>
      <c r="H5" s="18" t="n">
        <v>27644</v>
      </c>
      <c r="I5" s="18" t="n">
        <v>32556</v>
      </c>
      <c r="J5" s="18" t="n">
        <v>39112</v>
      </c>
      <c r="K5" s="18" t="n">
        <v>33844</v>
      </c>
      <c r="L5" s="18" t="n">
        <v>43028</v>
      </c>
      <c r="M5" s="18" t="n">
        <v>51334</v>
      </c>
      <c r="N5" s="18" t="n">
        <v>60400</v>
      </c>
      <c r="O5" s="18" t="n">
        <v>48710</v>
      </c>
      <c r="AI5" s="18" t="n">
        <f aca="false">SUM(B5:E5)</f>
        <v>38950</v>
      </c>
      <c r="AJ5" s="18" t="n">
        <f aca="false">SUM(F5:I5)</f>
        <v>102196</v>
      </c>
      <c r="AK5" s="18" t="n">
        <v>162361</v>
      </c>
      <c r="DK5" s="1"/>
      <c r="DL5" s="1"/>
      <c r="DM5" s="1"/>
      <c r="DN5" s="1"/>
      <c r="DO5" s="1"/>
    </row>
    <row r="6" s="18" customFormat="true" ht="12.8" hidden="false" customHeight="false" outlineLevel="0" collapsed="false">
      <c r="A6" s="17" t="s">
        <v>46</v>
      </c>
      <c r="B6" s="18" t="n">
        <v>927</v>
      </c>
      <c r="C6" s="18" t="n">
        <v>1711</v>
      </c>
      <c r="D6" s="18" t="n">
        <v>2606</v>
      </c>
      <c r="E6" s="18" t="n">
        <v>3331</v>
      </c>
      <c r="F6" s="18" t="n">
        <v>3171</v>
      </c>
      <c r="G6" s="18" t="n">
        <v>3668</v>
      </c>
      <c r="H6" s="18" t="n">
        <v>3127</v>
      </c>
      <c r="I6" s="18" t="n">
        <v>3024</v>
      </c>
      <c r="J6" s="18" t="n">
        <v>4950</v>
      </c>
      <c r="K6" s="18" t="n">
        <v>7252</v>
      </c>
      <c r="L6" s="18" t="n">
        <v>8187</v>
      </c>
      <c r="M6" s="18" t="n">
        <v>10980</v>
      </c>
      <c r="N6" s="18" t="n">
        <v>14800</v>
      </c>
      <c r="O6" s="18" t="n">
        <v>40313</v>
      </c>
      <c r="AI6" s="18" t="n">
        <f aca="false">SUM(B6:E6)</f>
        <v>8575</v>
      </c>
      <c r="AJ6" s="18" t="n">
        <f aca="false">SUM(F6:I6)</f>
        <v>12990</v>
      </c>
      <c r="AK6" s="18" t="n">
        <f aca="false">SUM(J6:M6)</f>
        <v>31369</v>
      </c>
      <c r="DK6" s="1"/>
      <c r="DL6" s="1"/>
      <c r="DM6" s="1"/>
      <c r="DN6" s="1"/>
      <c r="DO6" s="1"/>
    </row>
    <row r="7" s="20" customFormat="true" ht="10.5" hidden="false" customHeight="true" outlineLevel="0" collapsed="false">
      <c r="A7" s="19" t="s">
        <v>47</v>
      </c>
      <c r="F7" s="20" t="n">
        <f aca="false">+F6/B6-1</f>
        <v>2.42071197411003</v>
      </c>
      <c r="G7" s="20" t="n">
        <f aca="false">+G6/C6-1</f>
        <v>1.1437755698422</v>
      </c>
      <c r="H7" s="20" t="n">
        <f aca="false">+H6/D6-1</f>
        <v>0.199923254029164</v>
      </c>
      <c r="I7" s="20" t="n">
        <f aca="false">+I6/E6-1</f>
        <v>-0.0921645151606124</v>
      </c>
      <c r="J7" s="20" t="n">
        <f aca="false">+J6/F6-1</f>
        <v>0.561021759697256</v>
      </c>
      <c r="K7" s="20" t="n">
        <f aca="false">+K6/G6-1</f>
        <v>0.977099236641221</v>
      </c>
      <c r="L7" s="20" t="n">
        <f aca="false">+L6/H6-1</f>
        <v>1.61816437480013</v>
      </c>
      <c r="M7" s="20" t="n">
        <f aca="false">+M6/I6-1</f>
        <v>2.63095238095238</v>
      </c>
      <c r="N7" s="20" t="n">
        <f aca="false">+N6/J6-1</f>
        <v>1.98989898989899</v>
      </c>
      <c r="O7" s="20" t="n">
        <f aca="false">+O6/K6-1</f>
        <v>4.55888030888031</v>
      </c>
      <c r="Y7" s="20" t="n">
        <f aca="false">Y3/Y$19</f>
        <v>0.04818401937046</v>
      </c>
      <c r="Z7" s="20" t="n">
        <f aca="false">Z3/Z$19</f>
        <v>0.0677061085006408</v>
      </c>
      <c r="AA7" s="20" t="n">
        <f aca="false">AA3/AA$19</f>
        <v>0.0676646706586826</v>
      </c>
      <c r="AB7" s="20" t="n">
        <f aca="false">AB3/AB$19</f>
        <v>0.120115774240232</v>
      </c>
      <c r="AC7" s="20" t="n">
        <f aca="false">AC3/AC$19</f>
        <v>0.198888202594194</v>
      </c>
      <c r="AD7" s="20" t="n">
        <f aca="false">AD3/AD$19</f>
        <v>0.250256060088768</v>
      </c>
      <c r="AE7" s="20" t="n">
        <f aca="false">AE3/AE$19</f>
        <v>0.273218538193808</v>
      </c>
      <c r="AF7" s="20" t="n">
        <f aca="false">AF3/AF$19</f>
        <v>0.401559220389805</v>
      </c>
      <c r="AG7" s="20" t="n">
        <f aca="false">AG3/AG$19</f>
        <v>0.394330088429814</v>
      </c>
      <c r="AH7" s="20" t="n">
        <f aca="false">AH3/AH$19</f>
        <v>0.556276414324906</v>
      </c>
      <c r="AI7" s="20" t="n">
        <f aca="false">AI3/AI$19</f>
        <v>0.780095860280359</v>
      </c>
      <c r="AJ7" s="20" t="n">
        <f aca="false">AJ3/AJ$19</f>
        <v>0.88267163229806</v>
      </c>
      <c r="AK7" s="20" t="n">
        <f aca="false">AK3/AK$19</f>
        <v>0.89718808176421</v>
      </c>
      <c r="DK7" s="1"/>
      <c r="DL7" s="1"/>
      <c r="DM7" s="1"/>
      <c r="DN7" s="1"/>
      <c r="DO7" s="1"/>
    </row>
    <row r="8" s="18" customFormat="true" ht="12.8" hidden="false" customHeight="false" outlineLevel="0" collapsed="false">
      <c r="A8" s="17" t="s">
        <v>48</v>
      </c>
      <c r="B8" s="18" t="n">
        <v>2240</v>
      </c>
      <c r="C8" s="18" t="n">
        <v>2486</v>
      </c>
      <c r="D8" s="18" t="n">
        <v>2856</v>
      </c>
      <c r="E8" s="18" t="n">
        <v>2865</v>
      </c>
      <c r="F8" s="18" t="n">
        <v>2647</v>
      </c>
      <c r="G8" s="18" t="n">
        <v>2880</v>
      </c>
      <c r="H8" s="18" t="n">
        <v>3279</v>
      </c>
      <c r="I8" s="18" t="n">
        <v>2544</v>
      </c>
      <c r="J8" s="18" t="n">
        <v>3763</v>
      </c>
      <c r="K8" s="18" t="n">
        <v>4287</v>
      </c>
      <c r="L8" s="18" t="n">
        <v>4265</v>
      </c>
      <c r="M8" s="18" t="n">
        <v>3727</v>
      </c>
      <c r="Y8" s="18" t="n">
        <v>1511</v>
      </c>
      <c r="Z8" s="18" t="n">
        <v>2058</v>
      </c>
      <c r="AA8" s="18" t="n">
        <v>2818</v>
      </c>
      <c r="AB8" s="18" t="n">
        <v>4060</v>
      </c>
      <c r="AC8" s="18" t="n">
        <v>5513</v>
      </c>
      <c r="AD8" s="18" t="n">
        <v>6246</v>
      </c>
      <c r="AE8" s="18" t="n">
        <v>5518</v>
      </c>
      <c r="AF8" s="18" t="n">
        <v>7759</v>
      </c>
      <c r="AG8" s="18" t="n">
        <v>12462</v>
      </c>
      <c r="AH8" s="18" t="n">
        <v>9067</v>
      </c>
      <c r="AI8" s="18" t="n">
        <f aca="false">SUM(B8:E8)</f>
        <v>10447</v>
      </c>
      <c r="AJ8" s="18" t="n">
        <f aca="false">SUM(F8:I8)</f>
        <v>11350</v>
      </c>
      <c r="AK8" s="18" t="n">
        <f aca="false">SUM(J8:M8)</f>
        <v>16042</v>
      </c>
      <c r="DK8" s="1"/>
      <c r="DL8" s="1"/>
      <c r="DM8" s="1"/>
      <c r="DN8" s="1"/>
      <c r="DO8" s="1"/>
    </row>
    <row r="9" s="20" customFormat="true" ht="10.5" hidden="false" customHeight="true" outlineLevel="0" collapsed="false">
      <c r="A9" s="19" t="s">
        <v>47</v>
      </c>
      <c r="F9" s="20" t="n">
        <f aca="false">+F8/B8-1</f>
        <v>0.181696428571429</v>
      </c>
      <c r="G9" s="20" t="n">
        <f aca="false">+G8/C8-1</f>
        <v>0.158487530168946</v>
      </c>
      <c r="H9" s="20" t="n">
        <f aca="false">+H8/D8-1</f>
        <v>0.148109243697479</v>
      </c>
      <c r="I9" s="20" t="n">
        <f aca="false">+I8/E8-1</f>
        <v>-0.112041884816754</v>
      </c>
      <c r="J9" s="20" t="n">
        <f aca="false">+J8/F8-1</f>
        <v>0.421609369097091</v>
      </c>
      <c r="K9" s="20" t="n">
        <f aca="false">+K8/G8-1</f>
        <v>0.488541666666667</v>
      </c>
      <c r="L9" s="20" t="n">
        <f aca="false">+L8/H8-1</f>
        <v>0.300701433363831</v>
      </c>
      <c r="M9" s="20" t="n">
        <f aca="false">+M8/I8-1</f>
        <v>0.46501572327044</v>
      </c>
      <c r="Y9" s="20" t="n">
        <f aca="false">Y8/Y$19</f>
        <v>0.365859564164649</v>
      </c>
      <c r="Z9" s="20" t="n">
        <f aca="false">Z8/Z$19</f>
        <v>0.439555745407945</v>
      </c>
      <c r="AA9" s="20" t="n">
        <f aca="false">AA8/AA$19</f>
        <v>0.5624750499002</v>
      </c>
      <c r="AB9" s="20" t="n">
        <f aca="false">AB8/AB$19</f>
        <v>0.587554269175109</v>
      </c>
      <c r="AC9" s="20" t="n">
        <f aca="false">AC8/AC$19</f>
        <v>0.567531397982294</v>
      </c>
      <c r="AD9" s="20" t="n">
        <f aca="false">AD8/AD$19</f>
        <v>0.53311710481393</v>
      </c>
      <c r="AE9" s="20" t="n">
        <f aca="false">AE8/AE$19</f>
        <v>0.505403920131892</v>
      </c>
      <c r="AF9" s="20" t="n">
        <f aca="false">AF8/AF$19</f>
        <v>0.465307346326837</v>
      </c>
      <c r="AG9" s="20" t="n">
        <f aca="false">AG8/AG$19</f>
        <v>0.463030393103961</v>
      </c>
      <c r="AH9" s="20" t="n">
        <f aca="false">AH8/AH$19</f>
        <v>0.336138503744346</v>
      </c>
      <c r="AI9" s="20" t="n">
        <f aca="false">AI8/AI$19</f>
        <v>0.171481566593349</v>
      </c>
      <c r="AJ9" s="20" t="n">
        <f aca="false">AJ8/AJ$19</f>
        <v>0.0869751795060423</v>
      </c>
      <c r="AK9" s="20" t="n">
        <f aca="false">AK8/AK$19</f>
        <v>0.0742898424547787</v>
      </c>
      <c r="DK9" s="1"/>
      <c r="DL9" s="1"/>
      <c r="DM9" s="1"/>
      <c r="DN9" s="1"/>
      <c r="DO9" s="1"/>
    </row>
    <row r="10" s="18" customFormat="true" ht="12.8" hidden="false" customHeight="false" outlineLevel="0" collapsed="false">
      <c r="A10" s="17" t="s">
        <v>49</v>
      </c>
      <c r="B10" s="18" t="n">
        <v>295</v>
      </c>
      <c r="C10" s="18" t="n">
        <v>379</v>
      </c>
      <c r="D10" s="18" t="n">
        <v>416</v>
      </c>
      <c r="E10" s="18" t="n">
        <v>463</v>
      </c>
      <c r="F10" s="18" t="n">
        <v>427</v>
      </c>
      <c r="G10" s="18" t="n">
        <v>454</v>
      </c>
      <c r="H10" s="18" t="n">
        <v>489</v>
      </c>
      <c r="I10" s="18" t="n">
        <v>511</v>
      </c>
      <c r="J10" s="18" t="n">
        <v>509</v>
      </c>
      <c r="K10" s="18" t="n">
        <v>601</v>
      </c>
      <c r="L10" s="18" t="n">
        <v>760</v>
      </c>
      <c r="M10" s="18" t="n">
        <v>1321</v>
      </c>
      <c r="Y10" s="18" t="n">
        <v>789</v>
      </c>
      <c r="Z10" s="18" t="n">
        <v>795</v>
      </c>
      <c r="AA10" s="18" t="n">
        <v>750</v>
      </c>
      <c r="AB10" s="18" t="n">
        <v>835</v>
      </c>
      <c r="AC10" s="18" t="n">
        <v>934</v>
      </c>
      <c r="AD10" s="18" t="n">
        <v>1130</v>
      </c>
      <c r="AE10" s="18" t="n">
        <v>1212</v>
      </c>
      <c r="AF10" s="18" t="n">
        <v>1053</v>
      </c>
      <c r="AG10" s="18" t="n">
        <v>2111</v>
      </c>
      <c r="AH10" s="18" t="n">
        <v>1544</v>
      </c>
      <c r="AI10" s="18" t="n">
        <f aca="false">SUM(B10:E10)</f>
        <v>1553</v>
      </c>
      <c r="AJ10" s="18" t="n">
        <v>1878</v>
      </c>
      <c r="AK10" s="18" t="n">
        <f aca="false">SUM(J10:M10)</f>
        <v>3191</v>
      </c>
      <c r="DK10" s="1"/>
      <c r="DL10" s="1"/>
      <c r="DM10" s="1"/>
      <c r="DN10" s="1"/>
      <c r="DO10" s="1"/>
    </row>
    <row r="11" s="20" customFormat="true" ht="10.5" hidden="false" customHeight="true" outlineLevel="0" collapsed="false">
      <c r="A11" s="19" t="s">
        <v>47</v>
      </c>
      <c r="F11" s="20" t="n">
        <f aca="false">+F10/B10-1</f>
        <v>0.447457627118644</v>
      </c>
      <c r="G11" s="20" t="n">
        <f aca="false">+G10/C10-1</f>
        <v>0.197889182058048</v>
      </c>
      <c r="H11" s="20" t="n">
        <f aca="false">+H10/D10-1</f>
        <v>0.175480769230769</v>
      </c>
      <c r="I11" s="20" t="n">
        <f aca="false">+I10/E10-1</f>
        <v>0.103671706263499</v>
      </c>
      <c r="J11" s="20" t="n">
        <f aca="false">+J10/F10-1</f>
        <v>0.192037470725995</v>
      </c>
      <c r="K11" s="20" t="n">
        <f aca="false">+K10/G10-1</f>
        <v>0.323788546255507</v>
      </c>
      <c r="L11" s="20" t="n">
        <f aca="false">+L10/H10-1</f>
        <v>0.554192229038855</v>
      </c>
      <c r="M11" s="20" t="n">
        <f aca="false">+M10/I10-1</f>
        <v>1.58512720156556</v>
      </c>
      <c r="Y11" s="20" t="n">
        <f aca="false">Y10/Y$19</f>
        <v>0.191041162227603</v>
      </c>
      <c r="Z11" s="20" t="n">
        <f aca="false">Z10/Z$19</f>
        <v>0.169799231097821</v>
      </c>
      <c r="AA11" s="20" t="n">
        <f aca="false">AA10/AA$19</f>
        <v>0.149700598802395</v>
      </c>
      <c r="AB11" s="20" t="n">
        <f aca="false">AB10/AB$19</f>
        <v>0.120839363241679</v>
      </c>
      <c r="AC11" s="20" t="n">
        <f aca="false">AC10/AC$19</f>
        <v>0.0961498867613753</v>
      </c>
      <c r="AD11" s="20" t="n">
        <f aca="false">AD10/AD$19</f>
        <v>0.096449300102424</v>
      </c>
      <c r="AE11" s="20" t="n">
        <f aca="false">AE10/AE$19</f>
        <v>0.111009342370398</v>
      </c>
      <c r="AF11" s="20" t="n">
        <f aca="false">AF10/AF$19</f>
        <v>0.0631484257871064</v>
      </c>
      <c r="AG11" s="20" t="n">
        <f aca="false">AG10/AG$19</f>
        <v>0.0784350152337074</v>
      </c>
      <c r="AH11" s="20" t="n">
        <f aca="false">AH10/AH$19</f>
        <v>0.0572403054793505</v>
      </c>
      <c r="AI11" s="20" t="n">
        <f aca="false">AI10/AI$19</f>
        <v>0.0254916122254686</v>
      </c>
      <c r="AJ11" s="20" t="n">
        <f aca="false">AJ10/AJ$19</f>
        <v>0.0143911354284007</v>
      </c>
      <c r="AK11" s="20" t="n">
        <f aca="false">AK10/AK$19</f>
        <v>0.0147773898063333</v>
      </c>
      <c r="DK11" s="1"/>
      <c r="DL11" s="1"/>
      <c r="DM11" s="1"/>
      <c r="DN11" s="1"/>
      <c r="DO11" s="1"/>
    </row>
    <row r="12" s="18" customFormat="true" ht="12.8" hidden="false" customHeight="false" outlineLevel="0" collapsed="false">
      <c r="A12" s="17" t="s">
        <v>50</v>
      </c>
      <c r="B12" s="18" t="n">
        <v>296</v>
      </c>
      <c r="C12" s="18" t="n">
        <v>253</v>
      </c>
      <c r="D12" s="18" t="n">
        <v>261</v>
      </c>
      <c r="E12" s="18" t="n">
        <v>281</v>
      </c>
      <c r="F12" s="18" t="n">
        <v>329</v>
      </c>
      <c r="G12" s="18" t="n">
        <v>346</v>
      </c>
      <c r="H12" s="18" t="n">
        <v>449</v>
      </c>
      <c r="I12" s="18" t="n">
        <v>570</v>
      </c>
      <c r="J12" s="18" t="n">
        <v>567</v>
      </c>
      <c r="K12" s="18" t="n">
        <v>586</v>
      </c>
      <c r="L12" s="18" t="n">
        <v>592</v>
      </c>
      <c r="M12" s="18" t="n">
        <v>604</v>
      </c>
      <c r="Y12" s="18" t="n">
        <v>99</v>
      </c>
      <c r="Z12" s="18" t="n">
        <v>183</v>
      </c>
      <c r="AA12" s="18" t="n">
        <v>320</v>
      </c>
      <c r="AB12" s="18" t="n">
        <v>487</v>
      </c>
      <c r="AC12" s="18" t="n">
        <v>558</v>
      </c>
      <c r="AD12" s="18" t="n">
        <v>641</v>
      </c>
      <c r="AE12" s="18" t="n">
        <v>700</v>
      </c>
      <c r="AF12" s="18" t="n">
        <v>536</v>
      </c>
      <c r="AG12" s="18" t="n">
        <v>566</v>
      </c>
      <c r="AH12" s="18" t="n">
        <v>903</v>
      </c>
      <c r="AI12" s="18" t="n">
        <f aca="false">SUM(B12:E12)</f>
        <v>1091</v>
      </c>
      <c r="AJ12" s="18" t="n">
        <f aca="false">SUM(F12:I12)</f>
        <v>1694</v>
      </c>
      <c r="AK12" s="18" t="n">
        <f aca="false">SUM(J12:M12)</f>
        <v>2349</v>
      </c>
      <c r="DK12" s="1"/>
      <c r="DL12" s="1"/>
      <c r="DM12" s="1"/>
      <c r="DN12" s="1"/>
      <c r="DO12" s="1"/>
    </row>
    <row r="13" s="20" customFormat="true" ht="10.5" hidden="false" customHeight="true" outlineLevel="0" collapsed="false">
      <c r="A13" s="19" t="s">
        <v>47</v>
      </c>
      <c r="F13" s="20" t="n">
        <f aca="false">+F12/B12-1</f>
        <v>0.111486486486486</v>
      </c>
      <c r="G13" s="20" t="n">
        <f aca="false">+G12/C12-1</f>
        <v>0.367588932806324</v>
      </c>
      <c r="H13" s="20" t="n">
        <f aca="false">+H12/D12-1</f>
        <v>0.720306513409962</v>
      </c>
      <c r="I13" s="20" t="n">
        <f aca="false">+I12/E12-1</f>
        <v>1.02846975088968</v>
      </c>
      <c r="J13" s="20" t="n">
        <f aca="false">+J12/F12-1</f>
        <v>0.723404255319149</v>
      </c>
      <c r="K13" s="20" t="n">
        <f aca="false">+K12/G12-1</f>
        <v>0.69364161849711</v>
      </c>
      <c r="L13" s="20" t="n">
        <f aca="false">+L12/H12-1</f>
        <v>0.318485523385301</v>
      </c>
      <c r="M13" s="20" t="n">
        <f aca="false">+M12/I12-1</f>
        <v>0.0596491228070175</v>
      </c>
      <c r="Y13" s="20" t="n">
        <f aca="false">Y12/Y$19</f>
        <v>0.0239709443099274</v>
      </c>
      <c r="Z13" s="20" t="n">
        <f aca="false">Z12/Z$19</f>
        <v>0.0390858607432721</v>
      </c>
      <c r="AA13" s="20" t="n">
        <f aca="false">AA12/AA$19</f>
        <v>0.063872255489022</v>
      </c>
      <c r="AB13" s="20" t="n">
        <f aca="false">AB12/AB$19</f>
        <v>0.0704775687409551</v>
      </c>
      <c r="AC13" s="20" t="n">
        <f aca="false">AC12/AC$19</f>
        <v>0.0574428659666461</v>
      </c>
      <c r="AD13" s="20" t="n">
        <f aca="false">AD12/AD$19</f>
        <v>0.054711505633322</v>
      </c>
      <c r="AE13" s="20" t="n">
        <f aca="false">AE12/AE$19</f>
        <v>0.0641143066495695</v>
      </c>
      <c r="AF13" s="20" t="n">
        <f aca="false">AF12/AF$19</f>
        <v>0.032143928035982</v>
      </c>
      <c r="AG13" s="20" t="n">
        <f aca="false">AG12/AG$19</f>
        <v>0.021029947239355</v>
      </c>
      <c r="AH13" s="20" t="n">
        <f aca="false">AH12/AH$19</f>
        <v>0.0334766812486098</v>
      </c>
      <c r="AI13" s="20" t="n">
        <f aca="false">AI12/AI$19</f>
        <v>0.0179081448409442</v>
      </c>
      <c r="AJ13" s="20" t="n">
        <f aca="false">AJ12/AJ$19</f>
        <v>0.0129811413289194</v>
      </c>
      <c r="AK13" s="20" t="n">
        <f aca="false">AK12/AK$19</f>
        <v>0.0108781224240291</v>
      </c>
      <c r="DK13" s="1"/>
      <c r="DL13" s="1"/>
      <c r="DM13" s="1"/>
      <c r="DN13" s="1"/>
      <c r="DO13" s="1"/>
    </row>
    <row r="14" s="18" customFormat="true" ht="12.8" hidden="false" customHeight="false" outlineLevel="0" collapsed="false">
      <c r="A14" s="17" t="s">
        <v>51</v>
      </c>
      <c r="B14" s="18" t="n">
        <v>77</v>
      </c>
      <c r="C14" s="18" t="n">
        <v>66</v>
      </c>
      <c r="D14" s="18" t="n">
        <v>73</v>
      </c>
      <c r="E14" s="18" t="n">
        <v>90</v>
      </c>
      <c r="F14" s="18" t="n">
        <v>78</v>
      </c>
      <c r="G14" s="18" t="n">
        <v>88</v>
      </c>
      <c r="H14" s="18" t="n">
        <v>97</v>
      </c>
      <c r="I14" s="18" t="n">
        <v>126</v>
      </c>
      <c r="J14" s="18" t="n">
        <v>111</v>
      </c>
      <c r="K14" s="18" t="n">
        <v>173</v>
      </c>
      <c r="L14" s="18" t="n">
        <v>174</v>
      </c>
      <c r="M14" s="18" t="n">
        <v>161</v>
      </c>
      <c r="Y14" s="18" t="n">
        <v>1532</v>
      </c>
      <c r="Z14" s="18" t="n">
        <v>1329</v>
      </c>
      <c r="AA14" s="18" t="n">
        <v>783</v>
      </c>
      <c r="AB14" s="18" t="n">
        <v>698</v>
      </c>
      <c r="AC14" s="18" t="n">
        <v>777</v>
      </c>
      <c r="AD14" s="18" t="n">
        <v>767</v>
      </c>
      <c r="AE14" s="18" t="n">
        <v>505</v>
      </c>
      <c r="AF14" s="18" t="n">
        <v>631</v>
      </c>
      <c r="AG14" s="18" t="n">
        <v>1162</v>
      </c>
      <c r="AH14" s="18" t="n">
        <v>455</v>
      </c>
      <c r="AI14" s="18" t="n">
        <f aca="false">SUM(B14:E14)</f>
        <v>306</v>
      </c>
      <c r="AJ14" s="18" t="n">
        <f aca="false">SUM(F14:I14)</f>
        <v>389</v>
      </c>
      <c r="AK14" s="18" t="n">
        <f aca="false">SUM(J14:M14)</f>
        <v>619</v>
      </c>
      <c r="DK14" s="1"/>
      <c r="DL14" s="1"/>
      <c r="DM14" s="1"/>
      <c r="DN14" s="1"/>
      <c r="DO14" s="1"/>
    </row>
    <row r="15" s="20" customFormat="true" ht="10.5" hidden="false" customHeight="true" outlineLevel="0" collapsed="false">
      <c r="A15" s="19" t="s">
        <v>47</v>
      </c>
      <c r="F15" s="20" t="n">
        <f aca="false">+F14/B14-1</f>
        <v>0.0129870129870129</v>
      </c>
      <c r="G15" s="20" t="n">
        <f aca="false">+G14/C14-1</f>
        <v>0.333333333333333</v>
      </c>
      <c r="H15" s="20" t="n">
        <f aca="false">+H14/D14-1</f>
        <v>0.328767123287671</v>
      </c>
      <c r="I15" s="20" t="n">
        <f aca="false">+I14/E14-1</f>
        <v>0.4</v>
      </c>
      <c r="J15" s="20" t="n">
        <f aca="false">+J14/F14-1</f>
        <v>0.423076923076923</v>
      </c>
      <c r="K15" s="20" t="n">
        <f aca="false">+K14/G14-1</f>
        <v>0.965909090909091</v>
      </c>
      <c r="L15" s="20" t="n">
        <f aca="false">+L14/H14-1</f>
        <v>0.793814432989691</v>
      </c>
      <c r="M15" s="20" t="n">
        <f aca="false">+M14/I14-1</f>
        <v>0.277777777777778</v>
      </c>
      <c r="Y15" s="20" t="n">
        <f aca="false">Y14/Y$19</f>
        <v>0.370944309927361</v>
      </c>
      <c r="Z15" s="20" t="n">
        <f aca="false">Z14/Z$19</f>
        <v>0.28385305425032</v>
      </c>
      <c r="AA15" s="20" t="n">
        <f aca="false">AA14/AA$19</f>
        <v>0.156287425149701</v>
      </c>
      <c r="AB15" s="20" t="n">
        <f aca="false">AB14/AB$19</f>
        <v>0.101013024602026</v>
      </c>
      <c r="AC15" s="20" t="n">
        <f aca="false">AC14/AC$19</f>
        <v>0.0799876466954911</v>
      </c>
      <c r="AD15" s="20" t="n">
        <f aca="false">AD14/AD$19</f>
        <v>0.0654660293615569</v>
      </c>
      <c r="AE15" s="20" t="n">
        <f aca="false">AE14/AE$19</f>
        <v>0.0462538926543323</v>
      </c>
      <c r="AF15" s="20" t="n">
        <f aca="false">AF14/AF$19</f>
        <v>0.0378410794602699</v>
      </c>
      <c r="AG15" s="20" t="n">
        <f aca="false">AG14/AG$19</f>
        <v>0.0431745559931634</v>
      </c>
      <c r="AH15" s="20" t="n">
        <f aca="false">AH14/AH$19</f>
        <v>0.0168680952027879</v>
      </c>
      <c r="AI15" s="20" t="n">
        <f aca="false">AI14/AI$19</f>
        <v>0.00502281605987985</v>
      </c>
      <c r="AJ15" s="20" t="n">
        <f aca="false">AJ14/AJ$19</f>
        <v>0.00298091143857713</v>
      </c>
      <c r="AK15" s="20" t="n">
        <f aca="false">AK14/AK$19</f>
        <v>0.0028665635506488</v>
      </c>
      <c r="DK15" s="1"/>
      <c r="DL15" s="1"/>
      <c r="DM15" s="1"/>
      <c r="DN15" s="1"/>
      <c r="DO15" s="1"/>
    </row>
    <row r="16" s="18" customFormat="true" ht="12.8" hidden="false" customHeight="true" outlineLevel="0" collapsed="false">
      <c r="A16" s="17" t="s">
        <v>52</v>
      </c>
      <c r="K16" s="18" t="n">
        <f aca="false">+K14+K12+K10+K8</f>
        <v>5647</v>
      </c>
      <c r="L16" s="18" t="n">
        <f aca="false">+L14+L12+L10+L8</f>
        <v>5791</v>
      </c>
      <c r="M16" s="18" t="n">
        <f aca="false">+M14+M12+M10+M8</f>
        <v>5813</v>
      </c>
      <c r="N16" s="18" t="n">
        <v>6369</v>
      </c>
      <c r="O16" s="18" t="n">
        <v>7198</v>
      </c>
      <c r="DK16" s="3"/>
      <c r="DL16" s="3"/>
      <c r="DM16" s="3"/>
      <c r="DN16" s="3"/>
      <c r="DO16" s="3"/>
    </row>
    <row r="17" s="18" customFormat="true" ht="12.8" hidden="false" customHeight="true" outlineLevel="0" collapsed="false">
      <c r="A17" s="17"/>
      <c r="O17" s="21" t="n">
        <f aca="false">+O16/K16-1</f>
        <v>0.274659111032407</v>
      </c>
      <c r="DK17" s="3"/>
      <c r="DL17" s="3"/>
      <c r="DM17" s="3"/>
      <c r="DN17" s="3"/>
      <c r="DO17" s="3"/>
    </row>
    <row r="18" s="20" customFormat="true" ht="10.5" hidden="false" customHeight="true" outlineLevel="0" collapsed="false">
      <c r="A18" s="19"/>
      <c r="DK18" s="1"/>
      <c r="DL18" s="1"/>
      <c r="DM18" s="1"/>
      <c r="DN18" s="1"/>
      <c r="DO18" s="1"/>
    </row>
    <row r="19" s="22" customFormat="true" ht="12.8" hidden="false" customHeight="false" outlineLevel="0" collapsed="false">
      <c r="A19" s="22" t="s">
        <v>53</v>
      </c>
      <c r="B19" s="22" t="n">
        <f aca="false">+B14+B12+B10+B8+B3</f>
        <v>7192</v>
      </c>
      <c r="C19" s="22" t="n">
        <f aca="false">+C14+C12+C10+C8+C3</f>
        <v>13507</v>
      </c>
      <c r="D19" s="22" t="n">
        <f aca="false">+D14+D12+D10+D8+D3</f>
        <v>18120</v>
      </c>
      <c r="E19" s="22" t="n">
        <f aca="false">+E14+E12+E10+E8+E3</f>
        <v>22103</v>
      </c>
      <c r="F19" s="22" t="n">
        <f aca="false">+F14+F12+F10+F8+F3</f>
        <v>26044</v>
      </c>
      <c r="G19" s="22" t="n">
        <f aca="false">+G14+G12+G10+G8+G3</f>
        <v>30040</v>
      </c>
      <c r="H19" s="22" t="n">
        <f aca="false">+H14+H12+H10+H8+H3</f>
        <v>35085</v>
      </c>
      <c r="I19" s="22" t="n">
        <f aca="false">+I14+I12+I10+I8+I3</f>
        <v>39331</v>
      </c>
      <c r="J19" s="22" t="n">
        <f aca="false">+J14+J12+J10+J8+J3</f>
        <v>49012</v>
      </c>
      <c r="K19" s="22" t="n">
        <f aca="false">+K14+K12+K10+K8+K3</f>
        <v>46743</v>
      </c>
      <c r="L19" s="22" t="n">
        <f aca="false">+L14+L12+L10+L8+L3</f>
        <v>57006</v>
      </c>
      <c r="M19" s="22" t="n">
        <f aca="false">+M14+M12+M10+M8+M3</f>
        <v>68127</v>
      </c>
      <c r="N19" s="22" t="n">
        <v>81615</v>
      </c>
      <c r="O19" s="22" t="n">
        <f aca="false">+O16+O3</f>
        <v>96221</v>
      </c>
      <c r="P19" s="22" t="n">
        <f aca="false">+L19*1.9</f>
        <v>108311.4</v>
      </c>
      <c r="Q19" s="22" t="n">
        <f aca="false">+M19*1.9</f>
        <v>129441.3</v>
      </c>
      <c r="V19" s="22" t="n">
        <v>3543.309</v>
      </c>
      <c r="W19" s="22" t="n">
        <v>3997.93</v>
      </c>
      <c r="X19" s="22" t="n">
        <v>4280.159</v>
      </c>
      <c r="Y19" s="22" t="n">
        <f aca="false">+Y14+Y12+Y10+Y8+Y3</f>
        <v>4130</v>
      </c>
      <c r="Z19" s="22" t="n">
        <f aca="false">+Z14+Z12+Z10+Z8+Z3</f>
        <v>4682</v>
      </c>
      <c r="AA19" s="22" t="n">
        <f aca="false">+AA14+AA12+AA10+AA8+AA3</f>
        <v>5010</v>
      </c>
      <c r="AB19" s="22" t="n">
        <f aca="false">+AB14+AB12+AB10+AB8+AB3</f>
        <v>6910</v>
      </c>
      <c r="AC19" s="22" t="n">
        <f aca="false">+AC14+AC12+AC10+AC8+AC3</f>
        <v>9714</v>
      </c>
      <c r="AD19" s="22" t="n">
        <f aca="false">+AD14+AD12+AD10+AD8+AD3</f>
        <v>11716</v>
      </c>
      <c r="AE19" s="22" t="n">
        <f aca="false">+AE14+AE12+AE10+AE8+AE3</f>
        <v>10918</v>
      </c>
      <c r="AF19" s="22" t="n">
        <f aca="false">+AF14+AF12+AF10+AF8+AF3</f>
        <v>16675</v>
      </c>
      <c r="AG19" s="22" t="n">
        <f aca="false">+AG14+AG12+AG10+AG8+AG3</f>
        <v>26914</v>
      </c>
      <c r="AH19" s="22" t="n">
        <f aca="false">+AH14+AH12+AH10+AH8+AH3</f>
        <v>26974</v>
      </c>
      <c r="AI19" s="22" t="n">
        <f aca="false">+AI14+AI12+AI10+AI8+AI3</f>
        <v>60922</v>
      </c>
      <c r="AJ19" s="22" t="n">
        <f aca="false">+AJ14+AJ12+AJ10+AJ8+AJ3</f>
        <v>130497</v>
      </c>
      <c r="AK19" s="22" t="n">
        <v>215938</v>
      </c>
      <c r="AL19" s="22" t="n">
        <f aca="false">+AK19*1.9</f>
        <v>410282.2</v>
      </c>
      <c r="AM19" s="22" t="n">
        <f aca="false">+AL19*1.8</f>
        <v>738507.96</v>
      </c>
      <c r="AN19" s="22" t="n">
        <f aca="false">+AM19*1.4</f>
        <v>1033911.144</v>
      </c>
      <c r="AO19" s="22" t="n">
        <f aca="false">+AN19*1.2</f>
        <v>1240693.3728</v>
      </c>
      <c r="AP19" s="22" t="n">
        <f aca="false">+AO19*1.2</f>
        <v>1488832.04736</v>
      </c>
      <c r="DK19" s="1"/>
      <c r="DL19" s="1"/>
      <c r="DM19" s="1"/>
      <c r="DN19" s="1"/>
      <c r="DO19" s="1"/>
    </row>
    <row r="20" s="23" customFormat="true" ht="10.5" hidden="false" customHeight="true" outlineLevel="0" collapsed="false">
      <c r="F20" s="20" t="n">
        <f aca="false">+F19/B19-1</f>
        <v>2.62124582869855</v>
      </c>
      <c r="G20" s="20" t="n">
        <f aca="false">+G19/C19-1</f>
        <v>1.22403198341601</v>
      </c>
      <c r="H20" s="20" t="n">
        <f aca="false">+H19/D19-1</f>
        <v>0.936258278145695</v>
      </c>
      <c r="I20" s="20" t="n">
        <f aca="false">+I19/E19-1</f>
        <v>0.779441704745962</v>
      </c>
      <c r="J20" s="20" t="n">
        <f aca="false">+J19/F19-1</f>
        <v>0.881892182460452</v>
      </c>
      <c r="K20" s="20" t="n">
        <f aca="false">+K19/G19-1</f>
        <v>0.556025299600533</v>
      </c>
      <c r="L20" s="20" t="n">
        <f aca="false">+L19/H19-1</f>
        <v>0.624796921761436</v>
      </c>
      <c r="M20" s="20" t="n">
        <f aca="false">+M19/I19-1</f>
        <v>0.732145127253312</v>
      </c>
      <c r="N20" s="20" t="n">
        <f aca="false">+N19/J19-1</f>
        <v>0.665204439729046</v>
      </c>
      <c r="O20" s="20" t="n">
        <f aca="false">+O19/K19-1</f>
        <v>1.05851143486725</v>
      </c>
      <c r="P20" s="20" t="n">
        <f aca="false">+P19/L19-1</f>
        <v>0.9</v>
      </c>
      <c r="Q20" s="20" t="n">
        <f aca="false">+Q19/M19-1</f>
        <v>0.9</v>
      </c>
      <c r="DK20" s="1"/>
      <c r="DL20" s="1"/>
      <c r="DM20" s="1"/>
      <c r="DN20" s="1"/>
      <c r="DO20" s="1"/>
    </row>
    <row r="21" customFormat="false" ht="12.8" hidden="false" customHeight="false" outlineLevel="0" collapsed="false">
      <c r="A21" s="3" t="s">
        <v>54</v>
      </c>
      <c r="B21" s="3" t="n">
        <v>2544</v>
      </c>
      <c r="C21" s="3" t="n">
        <v>4045</v>
      </c>
      <c r="D21" s="3" t="n">
        <v>4720</v>
      </c>
      <c r="E21" s="3" t="n">
        <v>5312</v>
      </c>
      <c r="F21" s="3" t="n">
        <v>5638</v>
      </c>
      <c r="G21" s="3" t="n">
        <v>7466</v>
      </c>
      <c r="H21" s="3" t="n">
        <v>8926</v>
      </c>
      <c r="I21" s="3" t="n">
        <v>10608</v>
      </c>
      <c r="J21" s="3" t="n">
        <v>17394</v>
      </c>
      <c r="K21" s="3" t="n">
        <v>12890</v>
      </c>
      <c r="L21" s="3" t="n">
        <v>15157</v>
      </c>
      <c r="M21" s="3" t="n">
        <v>17034</v>
      </c>
      <c r="N21" s="3" t="n">
        <v>20458</v>
      </c>
      <c r="O21" s="3" t="n">
        <v>24079</v>
      </c>
      <c r="P21" s="3" t="n">
        <f aca="false">+P19*0.25</f>
        <v>27077.85</v>
      </c>
      <c r="Q21" s="3" t="n">
        <f aca="false">+Q19*0.25</f>
        <v>32360.325</v>
      </c>
      <c r="V21" s="3" t="n">
        <v>2134.219</v>
      </c>
      <c r="W21" s="3" t="n">
        <v>1941.413</v>
      </c>
      <c r="X21" s="3" t="n">
        <v>2053.816</v>
      </c>
      <c r="Y21" s="3" t="n">
        <v>1862</v>
      </c>
      <c r="Z21" s="3" t="n">
        <v>2083</v>
      </c>
      <c r="AA21" s="3" t="n">
        <v>2199</v>
      </c>
      <c r="AB21" s="3" t="n">
        <v>2847</v>
      </c>
      <c r="AC21" s="3" t="n">
        <v>3892</v>
      </c>
      <c r="AD21" s="3" t="n">
        <v>4545</v>
      </c>
      <c r="AE21" s="3" t="n">
        <v>4150</v>
      </c>
      <c r="AF21" s="3" t="n">
        <v>6279</v>
      </c>
      <c r="AG21" s="3" t="n">
        <v>9439</v>
      </c>
      <c r="AH21" s="3" t="n">
        <v>11618</v>
      </c>
      <c r="AI21" s="18" t="n">
        <f aca="false">SUM(B21:E21)</f>
        <v>16621</v>
      </c>
      <c r="AJ21" s="18" t="n">
        <f aca="false">SUM(F21:I21)</f>
        <v>32638</v>
      </c>
      <c r="AK21" s="18" t="n">
        <f aca="false">SUM(J21:M21)</f>
        <v>62475</v>
      </c>
      <c r="AL21" s="3" t="n">
        <f aca="false">+AL19-AL23</f>
        <v>114879.016</v>
      </c>
      <c r="AM21" s="3" t="n">
        <f aca="false">+AM19-AM23</f>
        <v>203089.689</v>
      </c>
      <c r="AN21" s="3" t="n">
        <f aca="false">+AN19-AN23</f>
        <v>279156.00888</v>
      </c>
      <c r="AO21" s="3" t="n">
        <f aca="false">+AO19-AO23</f>
        <v>328783.743792</v>
      </c>
      <c r="AP21" s="3" t="n">
        <f aca="false">+AP19-AP23</f>
        <v>387096.3323136</v>
      </c>
    </row>
    <row r="22" s="24" customFormat="true" ht="10.5" hidden="false" customHeight="true" outlineLevel="0" collapsed="false">
      <c r="B22" s="24" t="n">
        <f aca="false">+B21/B$19</f>
        <v>0.353726362625139</v>
      </c>
      <c r="C22" s="24" t="n">
        <f aca="false">+C21/C$19</f>
        <v>0.299474346635078</v>
      </c>
      <c r="D22" s="24" t="n">
        <f aca="false">+D21/D$19</f>
        <v>0.260485651214128</v>
      </c>
      <c r="E22" s="24" t="n">
        <f aca="false">+E21/E$19</f>
        <v>0.240329367054246</v>
      </c>
      <c r="F22" s="24" t="n">
        <f aca="false">+F21/F$19</f>
        <v>0.216479803409615</v>
      </c>
      <c r="G22" s="24" t="n">
        <f aca="false">+G21/G$19</f>
        <v>0.248535286284953</v>
      </c>
      <c r="H22" s="24" t="n">
        <f aca="false">+H21/H$19</f>
        <v>0.254410716830554</v>
      </c>
      <c r="I22" s="24" t="n">
        <f aca="false">+I21/I$19</f>
        <v>0.269710915054283</v>
      </c>
      <c r="J22" s="24" t="n">
        <f aca="false">+J21/J$19</f>
        <v>0.354892679343834</v>
      </c>
      <c r="K22" s="24" t="n">
        <f aca="false">+K21/K$19</f>
        <v>0.275763215882592</v>
      </c>
      <c r="L22" s="24" t="n">
        <f aca="false">+L21/L$19</f>
        <v>0.265884292881451</v>
      </c>
      <c r="M22" s="24" t="n">
        <f aca="false">+M21/M$19</f>
        <v>0.250033026553349</v>
      </c>
      <c r="N22" s="24" t="n">
        <f aca="false">+N21/N$19</f>
        <v>0.250664706242725</v>
      </c>
      <c r="O22" s="24" t="n">
        <f aca="false">+O21/O$19</f>
        <v>0.250246827615593</v>
      </c>
      <c r="P22" s="24" t="n">
        <f aca="false">+P21/P$19</f>
        <v>0.25</v>
      </c>
      <c r="Q22" s="24" t="n">
        <f aca="false">+Q21/Q$19</f>
        <v>0.25</v>
      </c>
      <c r="V22" s="20" t="n">
        <f aca="false">+V21/V$19</f>
        <v>0.602323703634089</v>
      </c>
      <c r="W22" s="20" t="n">
        <f aca="false">+W21/W$19</f>
        <v>0.485604550354809</v>
      </c>
      <c r="X22" s="20" t="n">
        <f aca="false">+X21/X$19</f>
        <v>0.479845725357399</v>
      </c>
      <c r="Y22" s="20" t="n">
        <f aca="false">+Y21/Y$19</f>
        <v>0.450847457627119</v>
      </c>
      <c r="Z22" s="20" t="n">
        <f aca="false">+Z21/Z$19</f>
        <v>0.444895343870141</v>
      </c>
      <c r="AA22" s="20" t="n">
        <f aca="false">+AA21/AA$19</f>
        <v>0.438922155688623</v>
      </c>
      <c r="AB22" s="20" t="n">
        <f aca="false">+AB21/AB$19</f>
        <v>0.412011577424023</v>
      </c>
      <c r="AC22" s="20" t="n">
        <f aca="false">+AC21/AC$19</f>
        <v>0.400658842907144</v>
      </c>
      <c r="AD22" s="20" t="n">
        <f aca="false">+AD21/AD$19</f>
        <v>0.387931034482759</v>
      </c>
      <c r="AE22" s="20" t="n">
        <f aca="false">+AE21/AE$19</f>
        <v>0.380106246565305</v>
      </c>
      <c r="AF22" s="20" t="n">
        <f aca="false">+AF21/AF$19</f>
        <v>0.376551724137931</v>
      </c>
      <c r="AG22" s="20" t="n">
        <f aca="false">+AG21/AG$19</f>
        <v>0.350709667830869</v>
      </c>
      <c r="AH22" s="20" t="n">
        <f aca="false">+AH21/AH$19</f>
        <v>0.430711055090087</v>
      </c>
      <c r="AI22" s="20" t="n">
        <f aca="false">+AI21/AI$19</f>
        <v>0.27282426709563</v>
      </c>
      <c r="AJ22" s="20" t="n">
        <f aca="false">+AJ21/AJ$19</f>
        <v>0.250105366406891</v>
      </c>
      <c r="AK22" s="20" t="n">
        <f aca="false">+AK21/AK$19</f>
        <v>0.289319156424529</v>
      </c>
      <c r="AL22" s="20" t="n">
        <f aca="false">+AL21/AL$19</f>
        <v>0.28</v>
      </c>
      <c r="AM22" s="20" t="n">
        <f aca="false">+AM21/AM$19</f>
        <v>0.275</v>
      </c>
      <c r="AN22" s="20" t="n">
        <f aca="false">+AN21/AN$19</f>
        <v>0.27</v>
      </c>
      <c r="AO22" s="20" t="n">
        <f aca="false">+AO21/AO$19</f>
        <v>0.265</v>
      </c>
      <c r="AP22" s="20" t="n">
        <f aca="false">+AP21/AP$19</f>
        <v>0.26</v>
      </c>
      <c r="DK22" s="1"/>
      <c r="DL22" s="1"/>
      <c r="DM22" s="1"/>
      <c r="DN22" s="1"/>
      <c r="DO22" s="1"/>
    </row>
    <row r="23" customFormat="false" ht="12.8" hidden="false" customHeight="false" outlineLevel="0" collapsed="false">
      <c r="A23" s="3" t="s">
        <v>55</v>
      </c>
      <c r="B23" s="3" t="n">
        <f aca="false">B19-B21</f>
        <v>4648</v>
      </c>
      <c r="C23" s="3" t="n">
        <f aca="false">C19-C21</f>
        <v>9462</v>
      </c>
      <c r="D23" s="3" t="n">
        <f aca="false">D19-D21</f>
        <v>13400</v>
      </c>
      <c r="E23" s="3" t="n">
        <f aca="false">E19-E21</f>
        <v>16791</v>
      </c>
      <c r="F23" s="3" t="n">
        <f aca="false">F19-F21</f>
        <v>20406</v>
      </c>
      <c r="G23" s="3" t="n">
        <f aca="false">G19-G21</f>
        <v>22574</v>
      </c>
      <c r="H23" s="3" t="n">
        <f aca="false">H19-H21</f>
        <v>26159</v>
      </c>
      <c r="I23" s="3" t="n">
        <f aca="false">I19-I21</f>
        <v>28723</v>
      </c>
      <c r="J23" s="3" t="n">
        <f aca="false">J19-J21</f>
        <v>31618</v>
      </c>
      <c r="K23" s="3" t="n">
        <f aca="false">K19-K21</f>
        <v>33853</v>
      </c>
      <c r="L23" s="3" t="n">
        <f aca="false">L19-L21</f>
        <v>41849</v>
      </c>
      <c r="M23" s="3" t="n">
        <f aca="false">M19-M21</f>
        <v>51093</v>
      </c>
      <c r="N23" s="3" t="n">
        <f aca="false">N19-N21</f>
        <v>61157</v>
      </c>
      <c r="O23" s="3" t="n">
        <f aca="false">O19-O21</f>
        <v>72142</v>
      </c>
      <c r="P23" s="3" t="n">
        <f aca="false">P19-P21</f>
        <v>81233.55</v>
      </c>
      <c r="Q23" s="3" t="n">
        <f aca="false">Q19-Q21</f>
        <v>97080.975</v>
      </c>
      <c r="V23" s="3" t="n">
        <f aca="false">V19-V21</f>
        <v>1409.09</v>
      </c>
      <c r="W23" s="3" t="n">
        <f aca="false">W19-W21</f>
        <v>2056.517</v>
      </c>
      <c r="X23" s="3" t="n">
        <f aca="false">X19-X21</f>
        <v>2226.343</v>
      </c>
      <c r="Y23" s="3" t="n">
        <f aca="false">Y19-Y21</f>
        <v>2268</v>
      </c>
      <c r="Z23" s="3" t="n">
        <f aca="false">Z19-Z21</f>
        <v>2599</v>
      </c>
      <c r="AA23" s="3" t="n">
        <f aca="false">AA19-AA21</f>
        <v>2811</v>
      </c>
      <c r="AB23" s="3" t="n">
        <f aca="false">AB19-AB21</f>
        <v>4063</v>
      </c>
      <c r="AC23" s="3" t="n">
        <f aca="false">AC19-AC21</f>
        <v>5822</v>
      </c>
      <c r="AD23" s="3" t="n">
        <f aca="false">AD19-AD21</f>
        <v>7171</v>
      </c>
      <c r="AE23" s="3" t="n">
        <f aca="false">AE19-AE21</f>
        <v>6768</v>
      </c>
      <c r="AF23" s="3" t="n">
        <f aca="false">AF19-AF21</f>
        <v>10396</v>
      </c>
      <c r="AG23" s="3" t="n">
        <f aca="false">AG19-AG21</f>
        <v>17475</v>
      </c>
      <c r="AH23" s="3" t="n">
        <f aca="false">AH19-AH21</f>
        <v>15356</v>
      </c>
      <c r="AI23" s="3" t="n">
        <f aca="false">AI19-AI21</f>
        <v>44301</v>
      </c>
      <c r="AJ23" s="3" t="n">
        <f aca="false">AJ19-AJ21</f>
        <v>97859</v>
      </c>
      <c r="AK23" s="3" t="n">
        <f aca="false">AK19-AK21</f>
        <v>153463</v>
      </c>
      <c r="AL23" s="3" t="n">
        <f aca="false">+AL19*0.72</f>
        <v>295403.184</v>
      </c>
      <c r="AM23" s="3" t="n">
        <f aca="false">+AM19*0.725</f>
        <v>535418.271</v>
      </c>
      <c r="AN23" s="3" t="n">
        <f aca="false">+AN19*0.73</f>
        <v>754755.13512</v>
      </c>
      <c r="AO23" s="3" t="n">
        <f aca="false">+AO19*0.735</f>
        <v>911909.629008</v>
      </c>
      <c r="AP23" s="3" t="n">
        <f aca="false">+AP19*0.74</f>
        <v>1101735.7150464</v>
      </c>
    </row>
    <row r="24" s="24" customFormat="true" ht="10.5" hidden="false" customHeight="true" outlineLevel="0" collapsed="false">
      <c r="B24" s="24" t="n">
        <f aca="false">+B23/B$19</f>
        <v>0.646273637374861</v>
      </c>
      <c r="C24" s="24" t="n">
        <f aca="false">+C23/C$19</f>
        <v>0.700525653364922</v>
      </c>
      <c r="D24" s="24" t="n">
        <f aca="false">+D23/D$19</f>
        <v>0.739514348785872</v>
      </c>
      <c r="E24" s="24" t="n">
        <f aca="false">+E23/E$19</f>
        <v>0.759670632945754</v>
      </c>
      <c r="F24" s="24" t="n">
        <f aca="false">+F23/F$19</f>
        <v>0.783520196590386</v>
      </c>
      <c r="G24" s="24" t="n">
        <f aca="false">+G23/G$19</f>
        <v>0.751464713715047</v>
      </c>
      <c r="H24" s="24" t="n">
        <f aca="false">+H23/H$19</f>
        <v>0.745589283169446</v>
      </c>
      <c r="I24" s="24" t="n">
        <f aca="false">+I23/I$19</f>
        <v>0.730289084945717</v>
      </c>
      <c r="J24" s="24" t="n">
        <f aca="false">+J23/J$19</f>
        <v>0.645107320656166</v>
      </c>
      <c r="K24" s="24" t="n">
        <f aca="false">+K23/K$19</f>
        <v>0.724236784117408</v>
      </c>
      <c r="L24" s="24" t="n">
        <f aca="false">+L23/L$19</f>
        <v>0.734115707118549</v>
      </c>
      <c r="M24" s="24" t="n">
        <f aca="false">+M23/M$19</f>
        <v>0.749966973446651</v>
      </c>
      <c r="N24" s="24" t="n">
        <f aca="false">+N23/N$19</f>
        <v>0.749335293757275</v>
      </c>
      <c r="O24" s="24" t="n">
        <f aca="false">+O23/O$19</f>
        <v>0.749753172384407</v>
      </c>
      <c r="P24" s="24" t="n">
        <f aca="false">+P23/P$19</f>
        <v>0.75</v>
      </c>
      <c r="Q24" s="24" t="n">
        <f aca="false">+Q23/Q$19</f>
        <v>0.75</v>
      </c>
      <c r="V24" s="20" t="n">
        <f aca="false">+V23/V$19</f>
        <v>0.397676296365911</v>
      </c>
      <c r="W24" s="20" t="n">
        <f aca="false">+W23/W$19</f>
        <v>0.514395449645191</v>
      </c>
      <c r="X24" s="20" t="n">
        <f aca="false">+X23/X$19</f>
        <v>0.520154274642601</v>
      </c>
      <c r="Y24" s="20" t="n">
        <f aca="false">+Y23/Y$19</f>
        <v>0.549152542372881</v>
      </c>
      <c r="Z24" s="20" t="n">
        <f aca="false">+Z23/Z$19</f>
        <v>0.555104656129859</v>
      </c>
      <c r="AA24" s="20" t="n">
        <f aca="false">+AA23/AA$19</f>
        <v>0.561077844311377</v>
      </c>
      <c r="AB24" s="20" t="n">
        <f aca="false">+AB23/AB$19</f>
        <v>0.587988422575977</v>
      </c>
      <c r="AC24" s="20" t="n">
        <f aca="false">+AC23/AC$19</f>
        <v>0.599341157092856</v>
      </c>
      <c r="AD24" s="20" t="n">
        <f aca="false">+AD23/AD$19</f>
        <v>0.612068965517241</v>
      </c>
      <c r="AE24" s="20" t="n">
        <f aca="false">+AE23/AE$19</f>
        <v>0.619893753434695</v>
      </c>
      <c r="AF24" s="20" t="n">
        <f aca="false">+AF23/AF$19</f>
        <v>0.623448275862069</v>
      </c>
      <c r="AG24" s="20" t="n">
        <f aca="false">+AG23/AG$19</f>
        <v>0.649290332169131</v>
      </c>
      <c r="AH24" s="20" t="n">
        <f aca="false">+AH23/AH$19</f>
        <v>0.569288944909913</v>
      </c>
      <c r="AI24" s="20" t="n">
        <f aca="false">+AI23/AI$19</f>
        <v>0.72717573290437</v>
      </c>
      <c r="AJ24" s="20" t="n">
        <f aca="false">+AJ23/AJ$19</f>
        <v>0.749894633593109</v>
      </c>
      <c r="AK24" s="20" t="n">
        <f aca="false">+AK23/AK$19</f>
        <v>0.710680843575471</v>
      </c>
      <c r="AL24" s="20" t="n">
        <f aca="false">+AL23/AL$19</f>
        <v>0.72</v>
      </c>
      <c r="AM24" s="20" t="n">
        <f aca="false">+AM23/AM$19</f>
        <v>0.725</v>
      </c>
      <c r="AN24" s="20" t="n">
        <f aca="false">+AN23/AN$19</f>
        <v>0.73</v>
      </c>
      <c r="AO24" s="20" t="n">
        <f aca="false">+AO23/AO$19</f>
        <v>0.735</v>
      </c>
      <c r="AP24" s="20" t="n">
        <f aca="false">+AP23/AP$19</f>
        <v>0.74</v>
      </c>
      <c r="DK24" s="1"/>
      <c r="DL24" s="1"/>
      <c r="DM24" s="1"/>
      <c r="DN24" s="1"/>
      <c r="DO24" s="1"/>
    </row>
    <row r="25" customFormat="false" ht="12.8" hidden="false" customHeight="false" outlineLevel="0" collapsed="false">
      <c r="A25" s="3" t="s">
        <v>56</v>
      </c>
      <c r="B25" s="3" t="n">
        <v>1875</v>
      </c>
      <c r="C25" s="3" t="n">
        <v>2040</v>
      </c>
      <c r="D25" s="3" t="n">
        <v>2294</v>
      </c>
      <c r="E25" s="3" t="n">
        <v>2465</v>
      </c>
      <c r="F25" s="3" t="n">
        <v>2720</v>
      </c>
      <c r="G25" s="3" t="n">
        <v>3090</v>
      </c>
      <c r="H25" s="3" t="n">
        <v>3390</v>
      </c>
      <c r="I25" s="3" t="n">
        <v>3714</v>
      </c>
      <c r="J25" s="3" t="n">
        <v>3989</v>
      </c>
      <c r="K25" s="3" t="n">
        <v>4291</v>
      </c>
      <c r="L25" s="3" t="n">
        <v>4705</v>
      </c>
      <c r="M25" s="3" t="n">
        <v>5512</v>
      </c>
      <c r="N25" s="3" t="n">
        <v>6321</v>
      </c>
      <c r="O25" s="3" t="n">
        <v>7054</v>
      </c>
      <c r="P25" s="3" t="n">
        <f aca="false">+P19*0.07</f>
        <v>7581.798</v>
      </c>
      <c r="Q25" s="3" t="n">
        <f aca="false">+Q19*0.07</f>
        <v>9060.891</v>
      </c>
      <c r="V25" s="3" t="n">
        <v>848.83</v>
      </c>
      <c r="W25" s="3" t="n">
        <v>1002.605</v>
      </c>
      <c r="X25" s="3" t="n">
        <v>1147.282</v>
      </c>
      <c r="Y25" s="3" t="n">
        <v>1336</v>
      </c>
      <c r="Z25" s="3" t="n">
        <v>1360</v>
      </c>
      <c r="AA25" s="3" t="n">
        <v>1331</v>
      </c>
      <c r="AB25" s="3" t="n">
        <v>1463</v>
      </c>
      <c r="AC25" s="3" t="n">
        <v>1797</v>
      </c>
      <c r="AD25" s="3" t="n">
        <v>2376</v>
      </c>
      <c r="AE25" s="3" t="n">
        <v>2829</v>
      </c>
      <c r="AF25" s="3" t="n">
        <v>3924</v>
      </c>
      <c r="AG25" s="3" t="n">
        <v>5268</v>
      </c>
      <c r="AH25" s="3" t="n">
        <v>7339</v>
      </c>
      <c r="AI25" s="18" t="n">
        <f aca="false">SUM(B25:E25)</f>
        <v>8674</v>
      </c>
      <c r="AJ25" s="18" t="n">
        <f aca="false">SUM(F25:I25)</f>
        <v>12914</v>
      </c>
      <c r="AK25" s="18" t="n">
        <f aca="false">SUM(J25:M25)</f>
        <v>18497</v>
      </c>
      <c r="AL25" s="3" t="n">
        <f aca="false">+AL19*0.1</f>
        <v>41028.22</v>
      </c>
      <c r="AM25" s="3" t="n">
        <f aca="false">+AM19*0.1</f>
        <v>73850.796</v>
      </c>
      <c r="AN25" s="3" t="n">
        <f aca="false">+AN19*0.1</f>
        <v>103391.1144</v>
      </c>
      <c r="AO25" s="3" t="n">
        <f aca="false">+AO19*0.1</f>
        <v>124069.33728</v>
      </c>
      <c r="AP25" s="3" t="n">
        <f aca="false">+AP19*0.1</f>
        <v>148883.204736</v>
      </c>
    </row>
    <row r="26" s="24" customFormat="true" ht="10.5" hidden="false" customHeight="true" outlineLevel="0" collapsed="false">
      <c r="B26" s="24" t="n">
        <f aca="false">+B25/B$19</f>
        <v>0.260706340378198</v>
      </c>
      <c r="C26" s="24" t="n">
        <f aca="false">+C25/C$19</f>
        <v>0.151032797808544</v>
      </c>
      <c r="D26" s="24" t="n">
        <f aca="false">+D25/D$19</f>
        <v>0.126600441501104</v>
      </c>
      <c r="E26" s="24" t="n">
        <f aca="false">+E25/E$19</f>
        <v>0.111523322625888</v>
      </c>
      <c r="F26" s="24" t="n">
        <f aca="false">+F25/F$19</f>
        <v>0.10443864229765</v>
      </c>
      <c r="G26" s="24" t="n">
        <f aca="false">+G25/G$19</f>
        <v>0.102862849533955</v>
      </c>
      <c r="H26" s="24" t="n">
        <f aca="false">+H25/H$19</f>
        <v>0.0966224882428388</v>
      </c>
      <c r="I26" s="24" t="n">
        <f aca="false">+I25/I$19</f>
        <v>0.0944293305535074</v>
      </c>
      <c r="J26" s="24" t="n">
        <f aca="false">+J25/J$19</f>
        <v>0.0813882314535216</v>
      </c>
      <c r="K26" s="24" t="n">
        <f aca="false">+K25/K$19</f>
        <v>0.0917998416875254</v>
      </c>
      <c r="L26" s="24" t="n">
        <f aca="false">+L25/L$19</f>
        <v>0.0825351717363085</v>
      </c>
      <c r="M26" s="24" t="n">
        <f aca="false">+M25/M$19</f>
        <v>0.0809077164707091</v>
      </c>
      <c r="N26" s="24" t="n">
        <f aca="false">+N25/N$19</f>
        <v>0.0774489983458923</v>
      </c>
      <c r="O26" s="24" t="n">
        <f aca="false">+O25/O$19</f>
        <v>0.0733104000166284</v>
      </c>
      <c r="P26" s="24" t="n">
        <f aca="false">+P25/P$19</f>
        <v>0.07</v>
      </c>
      <c r="Q26" s="24" t="n">
        <f aca="false">+Q25/Q$19</f>
        <v>0.07</v>
      </c>
      <c r="V26" s="20" t="n">
        <f aca="false">+V25/V$19</f>
        <v>0.239558559527267</v>
      </c>
      <c r="W26" s="20" t="n">
        <f aca="false">+W25/W$19</f>
        <v>0.250781029182602</v>
      </c>
      <c r="X26" s="20" t="n">
        <f aca="false">+X25/X$19</f>
        <v>0.268046584250725</v>
      </c>
      <c r="Y26" s="20" t="n">
        <f aca="false">+Y25/Y$19</f>
        <v>0.323486682808717</v>
      </c>
      <c r="Z26" s="20" t="n">
        <f aca="false">+Z25/Z$19</f>
        <v>0.290474156343443</v>
      </c>
      <c r="AA26" s="20" t="n">
        <f aca="false">+AA25/AA$19</f>
        <v>0.265668662674651</v>
      </c>
      <c r="AB26" s="20" t="n">
        <f aca="false">+AB25/AB$19</f>
        <v>0.211722141823444</v>
      </c>
      <c r="AC26" s="20" t="n">
        <f aca="false">+AC25/AC$19</f>
        <v>0.184990735021618</v>
      </c>
      <c r="AD26" s="20" t="n">
        <f aca="false">+AD25/AD$19</f>
        <v>0.202799590303858</v>
      </c>
      <c r="AE26" s="20" t="n">
        <f aca="false">+AE25/AE$19</f>
        <v>0.259113390730903</v>
      </c>
      <c r="AF26" s="20" t="n">
        <f aca="false">+AF25/AF$19</f>
        <v>0.235322338830585</v>
      </c>
      <c r="AG26" s="20" t="n">
        <f aca="false">+AG25/AG$19</f>
        <v>0.195734561938025</v>
      </c>
      <c r="AH26" s="20" t="n">
        <f aca="false">+AH25/AH$19</f>
        <v>0.272076814710462</v>
      </c>
      <c r="AI26" s="20" t="n">
        <f aca="false">+AI25/AI$19</f>
        <v>0.142378779422869</v>
      </c>
      <c r="AJ26" s="20" t="n">
        <f aca="false">+AJ25/AJ$19</f>
        <v>0.0989601293516326</v>
      </c>
      <c r="AK26" s="20" t="n">
        <f aca="false">+AK25/AK$19</f>
        <v>0.0856588465207606</v>
      </c>
      <c r="AL26" s="20" t="n">
        <f aca="false">+AL25/AL$19</f>
        <v>0.1</v>
      </c>
      <c r="AM26" s="20" t="n">
        <f aca="false">+AM25/AM$19</f>
        <v>0.1</v>
      </c>
      <c r="AN26" s="20" t="n">
        <f aca="false">+AN25/AN$19</f>
        <v>0.1</v>
      </c>
      <c r="AO26" s="20" t="n">
        <f aca="false">+AO25/AO$19</f>
        <v>0.1</v>
      </c>
      <c r="AP26" s="20" t="n">
        <f aca="false">+AP25/AP$19</f>
        <v>0.1</v>
      </c>
      <c r="DK26" s="1"/>
      <c r="DL26" s="1"/>
      <c r="DM26" s="1"/>
      <c r="DN26" s="1"/>
      <c r="DO26" s="1"/>
    </row>
    <row r="27" customFormat="false" ht="12.8" hidden="false" customHeight="false" outlineLevel="0" collapsed="false">
      <c r="A27" s="3" t="s">
        <v>57</v>
      </c>
      <c r="B27" s="3" t="n">
        <v>633</v>
      </c>
      <c r="C27" s="3" t="n">
        <v>622</v>
      </c>
      <c r="D27" s="3" t="n">
        <v>689</v>
      </c>
      <c r="E27" s="3" t="n">
        <v>711</v>
      </c>
      <c r="F27" s="3" t="n">
        <v>777</v>
      </c>
      <c r="G27" s="3" t="n">
        <v>842</v>
      </c>
      <c r="H27" s="3" t="n">
        <v>897</v>
      </c>
      <c r="I27" s="3" t="n">
        <v>975</v>
      </c>
      <c r="J27" s="3" t="n">
        <v>1041</v>
      </c>
      <c r="K27" s="3" t="n">
        <v>1122</v>
      </c>
      <c r="L27" s="3" t="n">
        <v>1134</v>
      </c>
      <c r="M27" s="3" t="n">
        <v>1282</v>
      </c>
      <c r="N27" s="3" t="n">
        <v>1300</v>
      </c>
      <c r="O27" s="3" t="n">
        <v>1354</v>
      </c>
      <c r="P27" s="3" t="n">
        <f aca="false">+P19*0.015</f>
        <v>1624.671</v>
      </c>
      <c r="Q27" s="3" t="n">
        <f aca="false">+Q19*0.015</f>
        <v>1941.6195</v>
      </c>
      <c r="V27" s="3" t="n">
        <f aca="false">+361.513-57</f>
        <v>304.513</v>
      </c>
      <c r="W27" s="3" t="n">
        <v>405.613</v>
      </c>
      <c r="X27" s="3" t="n">
        <v>430.822</v>
      </c>
      <c r="Y27" s="3" t="n">
        <v>436</v>
      </c>
      <c r="Z27" s="3" t="n">
        <v>480</v>
      </c>
      <c r="AA27" s="3" t="n">
        <f aca="false">+602+131</f>
        <v>733</v>
      </c>
      <c r="AB27" s="3" t="n">
        <f aca="false">+663+3</f>
        <v>666</v>
      </c>
      <c r="AC27" s="3" t="n">
        <v>815</v>
      </c>
      <c r="AD27" s="3" t="n">
        <v>991</v>
      </c>
      <c r="AE27" s="3" t="n">
        <v>1093</v>
      </c>
      <c r="AF27" s="3" t="n">
        <v>1940</v>
      </c>
      <c r="AG27" s="3" t="n">
        <v>2166</v>
      </c>
      <c r="AH27" s="3" t="n">
        <f aca="false">+2440+1353</f>
        <v>3793</v>
      </c>
      <c r="AI27" s="18" t="n">
        <f aca="false">SUM(B27:E27)</f>
        <v>2655</v>
      </c>
      <c r="AJ27" s="18" t="n">
        <f aca="false">SUM(F27:I27)</f>
        <v>3491</v>
      </c>
      <c r="AK27" s="18" t="n">
        <f aca="false">SUM(J27:M27)</f>
        <v>4579</v>
      </c>
      <c r="AL27" s="3" t="n">
        <f aca="false">+AL19*0.02</f>
        <v>8205.644</v>
      </c>
      <c r="AM27" s="3" t="n">
        <f aca="false">+AM19*0.02</f>
        <v>14770.1592</v>
      </c>
      <c r="AN27" s="3" t="n">
        <f aca="false">+AN19*0.02</f>
        <v>20678.22288</v>
      </c>
      <c r="AO27" s="3" t="n">
        <f aca="false">+AO19*0.02</f>
        <v>24813.867456</v>
      </c>
      <c r="AP27" s="3" t="n">
        <f aca="false">+AP19*0.02</f>
        <v>29776.6409472</v>
      </c>
    </row>
    <row r="28" s="24" customFormat="true" ht="10.5" hidden="false" customHeight="true" outlineLevel="0" collapsed="false">
      <c r="B28" s="24" t="n">
        <f aca="false">+B27/B$19</f>
        <v>0.0880144605116797</v>
      </c>
      <c r="C28" s="24" t="n">
        <f aca="false">+C27/C$19</f>
        <v>0.0460501961945658</v>
      </c>
      <c r="D28" s="24" t="n">
        <f aca="false">+D27/D$19</f>
        <v>0.0380242825607064</v>
      </c>
      <c r="E28" s="24" t="n">
        <f aca="false">+E27/E$19</f>
        <v>0.0321675790616658</v>
      </c>
      <c r="F28" s="24" t="n">
        <f aca="false">+F27/F$19</f>
        <v>0.0298341268622331</v>
      </c>
      <c r="G28" s="24" t="n">
        <f aca="false">+G27/G$19</f>
        <v>0.0280292942743009</v>
      </c>
      <c r="H28" s="24" t="n">
        <f aca="false">+H27/H$19</f>
        <v>0.0255664814023087</v>
      </c>
      <c r="I28" s="24" t="n">
        <f aca="false">+I27/I$19</f>
        <v>0.0247896061630775</v>
      </c>
      <c r="J28" s="24" t="n">
        <f aca="false">+J27/J$19</f>
        <v>0.0212396964008814</v>
      </c>
      <c r="K28" s="24" t="n">
        <f aca="false">+K27/K$19</f>
        <v>0.0240035941210449</v>
      </c>
      <c r="L28" s="24" t="n">
        <f aca="false">+L27/L$19</f>
        <v>0.0198926428796969</v>
      </c>
      <c r="M28" s="24" t="n">
        <f aca="false">+M27/M$19</f>
        <v>0.0188177961747912</v>
      </c>
      <c r="N28" s="24" t="n">
        <f aca="false">+N27/N$19</f>
        <v>0.0159284445261288</v>
      </c>
      <c r="O28" s="24" t="n">
        <f aca="false">+O27/O$19</f>
        <v>0.0140717722742437</v>
      </c>
      <c r="P28" s="24" t="n">
        <f aca="false">+P27/P$19</f>
        <v>0.015</v>
      </c>
      <c r="Q28" s="24" t="n">
        <f aca="false">+Q27/Q$19</f>
        <v>0.015</v>
      </c>
      <c r="V28" s="20" t="n">
        <f aca="false">+V27/V$19</f>
        <v>0.0859402891477994</v>
      </c>
      <c r="W28" s="20" t="n">
        <f aca="false">+W27/W$19</f>
        <v>0.10145575335236</v>
      </c>
      <c r="X28" s="20" t="n">
        <f aca="false">+X27/X$19</f>
        <v>0.100655606485647</v>
      </c>
      <c r="Y28" s="20" t="n">
        <f aca="false">+Y27/Y$19</f>
        <v>0.105569007263923</v>
      </c>
      <c r="Z28" s="20" t="n">
        <f aca="false">+Z27/Z$19</f>
        <v>0.102520290474156</v>
      </c>
      <c r="AA28" s="20" t="n">
        <f aca="false">+AA27/AA$19</f>
        <v>0.146307385229541</v>
      </c>
      <c r="AB28" s="20" t="n">
        <f aca="false">+AB27/AB$19</f>
        <v>0.0963820549927641</v>
      </c>
      <c r="AC28" s="20" t="n">
        <f aca="false">+AC27/AC$19</f>
        <v>0.0838995264566605</v>
      </c>
      <c r="AD28" s="20" t="n">
        <f aca="false">+AD27/AD$19</f>
        <v>0.0845851826561967</v>
      </c>
      <c r="AE28" s="20" t="n">
        <f aca="false">+AE27/AE$19</f>
        <v>0.100109910239971</v>
      </c>
      <c r="AF28" s="20" t="n">
        <f aca="false">+AF27/AF$19</f>
        <v>0.116341829085457</v>
      </c>
      <c r="AG28" s="20" t="n">
        <f aca="false">+AG27/AG$19</f>
        <v>0.0804785613435387</v>
      </c>
      <c r="AH28" s="20" t="n">
        <f aca="false">+AH27/AH$19</f>
        <v>0.140616890338845</v>
      </c>
      <c r="AI28" s="20" t="n">
        <f aca="false">+AI27/AI$19</f>
        <v>0.0435803158136634</v>
      </c>
      <c r="AJ28" s="20" t="n">
        <f aca="false">+AJ27/AJ$19</f>
        <v>0.0267515728330919</v>
      </c>
      <c r="AK28" s="20" t="n">
        <f aca="false">+AK27/AK$19</f>
        <v>0.0212051607405829</v>
      </c>
      <c r="AL28" s="20" t="n">
        <f aca="false">+AL27/AL$19</f>
        <v>0.02</v>
      </c>
      <c r="AM28" s="20" t="n">
        <f aca="false">+AM27/AM$19</f>
        <v>0.02</v>
      </c>
      <c r="AN28" s="20" t="n">
        <f aca="false">+AN27/AN$19</f>
        <v>0.02</v>
      </c>
      <c r="AO28" s="20" t="n">
        <f aca="false">+AO27/AO$19</f>
        <v>0.02</v>
      </c>
      <c r="AP28" s="20" t="n">
        <f aca="false">+AP27/AP$19</f>
        <v>0.02</v>
      </c>
      <c r="DK28" s="1"/>
      <c r="DL28" s="1"/>
      <c r="DM28" s="1"/>
      <c r="DN28" s="1"/>
      <c r="DO28" s="1"/>
    </row>
    <row r="29" customFormat="false" ht="12.8" hidden="false" customHeight="false" outlineLevel="0" collapsed="false">
      <c r="A29" s="3" t="s">
        <v>58</v>
      </c>
      <c r="B29" s="3" t="n">
        <f aca="false">+B27+B25</f>
        <v>2508</v>
      </c>
      <c r="C29" s="3" t="n">
        <f aca="false">+C27+C25</f>
        <v>2662</v>
      </c>
      <c r="D29" s="3" t="n">
        <f aca="false">+D27+D25</f>
        <v>2983</v>
      </c>
      <c r="E29" s="3" t="n">
        <f aca="false">+E27+E25</f>
        <v>3176</v>
      </c>
      <c r="F29" s="3" t="n">
        <f aca="false">+F27+F25</f>
        <v>3497</v>
      </c>
      <c r="G29" s="3" t="n">
        <f aca="false">+G27+G25</f>
        <v>3932</v>
      </c>
      <c r="H29" s="3" t="n">
        <f aca="false">+H27+H25</f>
        <v>4287</v>
      </c>
      <c r="I29" s="3" t="n">
        <f aca="false">+I27+I25</f>
        <v>4689</v>
      </c>
      <c r="J29" s="3" t="n">
        <f aca="false">+J27+J25</f>
        <v>5030</v>
      </c>
      <c r="K29" s="3" t="n">
        <f aca="false">+K27+K25</f>
        <v>5413</v>
      </c>
      <c r="L29" s="3" t="n">
        <f aca="false">+L27+L25</f>
        <v>5839</v>
      </c>
      <c r="M29" s="3" t="n">
        <f aca="false">+M27+M25</f>
        <v>6794</v>
      </c>
      <c r="N29" s="3" t="n">
        <f aca="false">+N27+N25</f>
        <v>7621</v>
      </c>
      <c r="O29" s="3" t="n">
        <f aca="false">+O27+O25</f>
        <v>8408</v>
      </c>
      <c r="P29" s="3" t="n">
        <f aca="false">+P27+P25</f>
        <v>9206.469</v>
      </c>
      <c r="Q29" s="3" t="n">
        <f aca="false">+Q27+Q25</f>
        <v>11002.5105</v>
      </c>
      <c r="V29" s="3" t="n">
        <f aca="false">+V27+V25</f>
        <v>1153.343</v>
      </c>
      <c r="W29" s="3" t="n">
        <f aca="false">+W27+W25</f>
        <v>1408.218</v>
      </c>
      <c r="X29" s="3" t="n">
        <f aca="false">+X27+X25</f>
        <v>1578.104</v>
      </c>
      <c r="Y29" s="3" t="n">
        <f aca="false">+Y27+Y25</f>
        <v>1772</v>
      </c>
      <c r="Z29" s="3" t="n">
        <f aca="false">+Z27+Z25</f>
        <v>1840</v>
      </c>
      <c r="AA29" s="3" t="n">
        <f aca="false">+AA27+AA25</f>
        <v>2064</v>
      </c>
      <c r="AB29" s="3" t="n">
        <f aca="false">+AB27+AB25</f>
        <v>2129</v>
      </c>
      <c r="AC29" s="3" t="n">
        <f aca="false">+AC27+AC25</f>
        <v>2612</v>
      </c>
      <c r="AD29" s="3" t="n">
        <f aca="false">+AD27+AD25</f>
        <v>3367</v>
      </c>
      <c r="AE29" s="3" t="n">
        <f aca="false">+AE27+AE25</f>
        <v>3922</v>
      </c>
      <c r="AF29" s="3" t="n">
        <f aca="false">+AF27+AF25</f>
        <v>5864</v>
      </c>
      <c r="AG29" s="3" t="n">
        <f aca="false">+AG27+AG25</f>
        <v>7434</v>
      </c>
      <c r="AH29" s="3" t="n">
        <f aca="false">+AH27+AH25</f>
        <v>11132</v>
      </c>
      <c r="AI29" s="3" t="n">
        <f aca="false">+AI27+AI25</f>
        <v>11329</v>
      </c>
      <c r="AJ29" s="3" t="n">
        <f aca="false">+AJ27+AJ25</f>
        <v>16405</v>
      </c>
      <c r="AK29" s="3" t="n">
        <f aca="false">+AK27+AK25</f>
        <v>23076</v>
      </c>
      <c r="AL29" s="3" t="n">
        <f aca="false">+AL27+AL25</f>
        <v>49233.864</v>
      </c>
      <c r="AM29" s="3" t="n">
        <f aca="false">+AM27+AM25</f>
        <v>88620.9552</v>
      </c>
      <c r="AN29" s="3" t="n">
        <f aca="false">+AN27+AN25</f>
        <v>124069.33728</v>
      </c>
      <c r="AO29" s="3" t="n">
        <f aca="false">+AO27+AO25</f>
        <v>148883.204736</v>
      </c>
      <c r="AP29" s="3" t="n">
        <f aca="false">+AP27+AP25</f>
        <v>178659.8456832</v>
      </c>
    </row>
    <row r="30" s="24" customFormat="true" ht="10.5" hidden="false" customHeight="true" outlineLevel="0" collapsed="false">
      <c r="B30" s="24" t="n">
        <f aca="false">+B29/B$19</f>
        <v>0.348720800889878</v>
      </c>
      <c r="C30" s="24" t="n">
        <f aca="false">+C29/C$19</f>
        <v>0.19708299400311</v>
      </c>
      <c r="D30" s="24" t="n">
        <f aca="false">+D29/D$19</f>
        <v>0.16462472406181</v>
      </c>
      <c r="E30" s="24" t="n">
        <f aca="false">+E29/E$19</f>
        <v>0.143690901687554</v>
      </c>
      <c r="F30" s="24" t="n">
        <f aca="false">+F29/F$19</f>
        <v>0.134272769159883</v>
      </c>
      <c r="G30" s="24" t="n">
        <f aca="false">+G29/G$19</f>
        <v>0.130892143808256</v>
      </c>
      <c r="H30" s="24" t="n">
        <f aca="false">+H29/H$19</f>
        <v>0.122188969645148</v>
      </c>
      <c r="I30" s="24" t="n">
        <f aca="false">+I29/I$19</f>
        <v>0.119218936716585</v>
      </c>
      <c r="J30" s="24" t="n">
        <f aca="false">+J29/J$19</f>
        <v>0.102627927854403</v>
      </c>
      <c r="K30" s="24" t="n">
        <f aca="false">+K29/K$19</f>
        <v>0.11580343580857</v>
      </c>
      <c r="L30" s="24" t="n">
        <f aca="false">+L29/L$19</f>
        <v>0.102427814616005</v>
      </c>
      <c r="M30" s="24" t="n">
        <f aca="false">+M29/M$19</f>
        <v>0.0997255126455003</v>
      </c>
      <c r="N30" s="24" t="n">
        <f aca="false">+N29/N$19</f>
        <v>0.0933774428720211</v>
      </c>
      <c r="O30" s="24" t="n">
        <f aca="false">+O29/O$19</f>
        <v>0.0873821722908721</v>
      </c>
      <c r="P30" s="24" t="n">
        <f aca="false">+P29/P$19</f>
        <v>0.085</v>
      </c>
      <c r="Q30" s="24" t="n">
        <f aca="false">+Q29/Q$19</f>
        <v>0.085</v>
      </c>
      <c r="V30" s="20" t="n">
        <f aca="false">+V29/V$19</f>
        <v>0.325498848675066</v>
      </c>
      <c r="W30" s="20" t="n">
        <f aca="false">+W29/W$19</f>
        <v>0.352236782534962</v>
      </c>
      <c r="X30" s="20" t="n">
        <f aca="false">+X29/X$19</f>
        <v>0.368702190736372</v>
      </c>
      <c r="Y30" s="20" t="n">
        <f aca="false">+Y29/Y$19</f>
        <v>0.429055690072639</v>
      </c>
      <c r="Z30" s="20" t="n">
        <f aca="false">+Z29/Z$19</f>
        <v>0.392994446817599</v>
      </c>
      <c r="AA30" s="20" t="n">
        <f aca="false">+AA29/AA$19</f>
        <v>0.411976047904192</v>
      </c>
      <c r="AB30" s="20" t="n">
        <f aca="false">+AB29/AB$19</f>
        <v>0.308104196816208</v>
      </c>
      <c r="AC30" s="20" t="n">
        <f aca="false">+AC29/AC$19</f>
        <v>0.268890261478279</v>
      </c>
      <c r="AD30" s="20" t="n">
        <f aca="false">+AD29/AD$19</f>
        <v>0.287384772960055</v>
      </c>
      <c r="AE30" s="20" t="n">
        <f aca="false">+AE29/AE$19</f>
        <v>0.359223300970874</v>
      </c>
      <c r="AF30" s="20" t="n">
        <f aca="false">+AF29/AF$19</f>
        <v>0.351664167916042</v>
      </c>
      <c r="AG30" s="20" t="n">
        <f aca="false">+AG29/AG$19</f>
        <v>0.276213123281564</v>
      </c>
      <c r="AH30" s="20" t="n">
        <f aca="false">+AH29/AH$19</f>
        <v>0.412693705049307</v>
      </c>
      <c r="AI30" s="20" t="n">
        <f aca="false">+AI29/AI$19</f>
        <v>0.185959095236532</v>
      </c>
      <c r="AJ30" s="20" t="n">
        <f aca="false">+AJ29/AJ$19</f>
        <v>0.125711702184725</v>
      </c>
      <c r="AK30" s="20" t="n">
        <f aca="false">+AK29/AK$19</f>
        <v>0.106864007261344</v>
      </c>
      <c r="AL30" s="20" t="n">
        <f aca="false">+AL29/AL$19</f>
        <v>0.12</v>
      </c>
      <c r="AM30" s="20" t="n">
        <f aca="false">+AM29/AM$19</f>
        <v>0.12</v>
      </c>
      <c r="AN30" s="20" t="n">
        <f aca="false">+AN29/AN$19</f>
        <v>0.12</v>
      </c>
      <c r="AO30" s="20" t="n">
        <f aca="false">+AO29/AO$19</f>
        <v>0.12</v>
      </c>
      <c r="AP30" s="20" t="n">
        <f aca="false">+AP29/AP$19</f>
        <v>0.12</v>
      </c>
      <c r="DK30" s="1"/>
      <c r="DL30" s="1"/>
      <c r="DM30" s="1"/>
      <c r="DN30" s="1"/>
      <c r="DO30" s="1"/>
    </row>
    <row r="31" customFormat="false" ht="12.8" hidden="false" customHeight="false" outlineLevel="0" collapsed="false">
      <c r="A31" s="3" t="s">
        <v>59</v>
      </c>
      <c r="B31" s="3" t="n">
        <f aca="false">B23-B29</f>
        <v>2140</v>
      </c>
      <c r="C31" s="3" t="n">
        <f aca="false">C23-C29</f>
        <v>6800</v>
      </c>
      <c r="D31" s="3" t="n">
        <f aca="false">D23-D29</f>
        <v>10417</v>
      </c>
      <c r="E31" s="3" t="n">
        <f aca="false">E23-E29</f>
        <v>13615</v>
      </c>
      <c r="F31" s="3" t="n">
        <f aca="false">F23-F29</f>
        <v>16909</v>
      </c>
      <c r="G31" s="3" t="n">
        <f aca="false">G23-G29</f>
        <v>18642</v>
      </c>
      <c r="H31" s="3" t="n">
        <f aca="false">H23-H29</f>
        <v>21872</v>
      </c>
      <c r="I31" s="3" t="n">
        <f aca="false">I23-I29</f>
        <v>24034</v>
      </c>
      <c r="J31" s="3" t="n">
        <f aca="false">J23-J29</f>
        <v>26588</v>
      </c>
      <c r="K31" s="3" t="n">
        <f aca="false">K23-K29</f>
        <v>28440</v>
      </c>
      <c r="L31" s="3" t="n">
        <f aca="false">L23-L29</f>
        <v>36010</v>
      </c>
      <c r="M31" s="3" t="n">
        <f aca="false">M23-M29</f>
        <v>44299</v>
      </c>
      <c r="N31" s="3" t="n">
        <f aca="false">N23-N29</f>
        <v>53536</v>
      </c>
      <c r="O31" s="3" t="n">
        <f aca="false">O23-O29</f>
        <v>63734</v>
      </c>
      <c r="P31" s="3" t="n">
        <f aca="false">P23-P29</f>
        <v>72027.081</v>
      </c>
      <c r="Q31" s="3" t="n">
        <f aca="false">Q23-Q29</f>
        <v>86078.4645</v>
      </c>
      <c r="V31" s="3" t="n">
        <f aca="false">V23-V29</f>
        <v>255.747</v>
      </c>
      <c r="W31" s="3" t="n">
        <f aca="false">W23-W29</f>
        <v>648.299</v>
      </c>
      <c r="X31" s="3" t="n">
        <f aca="false">X23-X29</f>
        <v>648.239</v>
      </c>
      <c r="Y31" s="3" t="n">
        <f aca="false">Y23-Y29</f>
        <v>496</v>
      </c>
      <c r="Z31" s="3" t="n">
        <f aca="false">Z23-Z29</f>
        <v>759</v>
      </c>
      <c r="AA31" s="3" t="n">
        <f aca="false">AA23-AA29</f>
        <v>747</v>
      </c>
      <c r="AB31" s="3" t="n">
        <f aca="false">AB23-AB29</f>
        <v>1934</v>
      </c>
      <c r="AC31" s="3" t="n">
        <f aca="false">AC23-AC29</f>
        <v>3210</v>
      </c>
      <c r="AD31" s="3" t="n">
        <f aca="false">AD23-AD29</f>
        <v>3804</v>
      </c>
      <c r="AE31" s="3" t="n">
        <f aca="false">AE23-AE29</f>
        <v>2846</v>
      </c>
      <c r="AF31" s="3" t="n">
        <f aca="false">AF23-AF29</f>
        <v>4532</v>
      </c>
      <c r="AG31" s="3" t="n">
        <f aca="false">AG23-AG29</f>
        <v>10041</v>
      </c>
      <c r="AH31" s="3" t="n">
        <f aca="false">AH23-AH29</f>
        <v>4224</v>
      </c>
      <c r="AI31" s="3" t="n">
        <f aca="false">AI23-AI29</f>
        <v>32972</v>
      </c>
      <c r="AJ31" s="3" t="n">
        <f aca="false">AJ23-AJ29</f>
        <v>81454</v>
      </c>
      <c r="AK31" s="3" t="n">
        <f aca="false">AK23-AK29</f>
        <v>130387</v>
      </c>
      <c r="AL31" s="3" t="n">
        <f aca="false">AL23-AL29</f>
        <v>246169.32</v>
      </c>
      <c r="AM31" s="3" t="n">
        <f aca="false">AM23-AM29</f>
        <v>446797.3158</v>
      </c>
      <c r="AN31" s="3" t="n">
        <f aca="false">AN23-AN29</f>
        <v>630685.79784</v>
      </c>
      <c r="AO31" s="3" t="n">
        <f aca="false">AO23-AO29</f>
        <v>763026.424272</v>
      </c>
      <c r="AP31" s="3" t="n">
        <f aca="false">AP23-AP29</f>
        <v>923075.8693632</v>
      </c>
    </row>
    <row r="32" s="24" customFormat="true" ht="10.5" hidden="false" customHeight="true" outlineLevel="0" collapsed="false">
      <c r="B32" s="24" t="n">
        <f aca="false">+B31/B$19</f>
        <v>0.297552836484983</v>
      </c>
      <c r="C32" s="24" t="n">
        <f aca="false">+C31/C$19</f>
        <v>0.503442659361812</v>
      </c>
      <c r="D32" s="24" t="n">
        <f aca="false">+D31/D$19</f>
        <v>0.574889624724062</v>
      </c>
      <c r="E32" s="24" t="n">
        <f aca="false">+E31/E$19</f>
        <v>0.6159797312582</v>
      </c>
      <c r="F32" s="24" t="n">
        <f aca="false">+F31/F$19</f>
        <v>0.649247427430502</v>
      </c>
      <c r="G32" s="24" t="n">
        <f aca="false">+G31/G$19</f>
        <v>0.620572569906791</v>
      </c>
      <c r="H32" s="24" t="n">
        <f aca="false">+H31/H$19</f>
        <v>0.623400313524298</v>
      </c>
      <c r="I32" s="24" t="n">
        <f aca="false">+I31/I$19</f>
        <v>0.611070148229132</v>
      </c>
      <c r="J32" s="24" t="n">
        <f aca="false">+J31/J$19</f>
        <v>0.542479392801763</v>
      </c>
      <c r="K32" s="24" t="n">
        <f aca="false">+K31/K$19</f>
        <v>0.608433348308838</v>
      </c>
      <c r="L32" s="24" t="n">
        <f aca="false">+L31/L$19</f>
        <v>0.631687892502544</v>
      </c>
      <c r="M32" s="24" t="n">
        <f aca="false">+M31/M$19</f>
        <v>0.650241460801151</v>
      </c>
      <c r="N32" s="24" t="n">
        <f aca="false">+N31/N$19</f>
        <v>0.655957850885254</v>
      </c>
      <c r="O32" s="24" t="n">
        <f aca="false">+O31/O$19</f>
        <v>0.662371000093535</v>
      </c>
      <c r="P32" s="24" t="n">
        <f aca="false">+P31/P$19</f>
        <v>0.665</v>
      </c>
      <c r="Q32" s="24" t="n">
        <f aca="false">+Q31/Q$19</f>
        <v>0.665</v>
      </c>
      <c r="V32" s="20" t="n">
        <f aca="false">+V31/V$19</f>
        <v>0.0721774476908449</v>
      </c>
      <c r="W32" s="20" t="n">
        <f aca="false">+W31/W$19</f>
        <v>0.16215866711023</v>
      </c>
      <c r="X32" s="20" t="n">
        <f aca="false">+X31/X$19</f>
        <v>0.151452083906229</v>
      </c>
      <c r="Y32" s="20" t="n">
        <f aca="false">+Y31/Y$19</f>
        <v>0.120096852300242</v>
      </c>
      <c r="Z32" s="20" t="n">
        <f aca="false">+Z31/Z$19</f>
        <v>0.16211020931226</v>
      </c>
      <c r="AA32" s="20" t="n">
        <f aca="false">+AA31/AA$19</f>
        <v>0.149101796407186</v>
      </c>
      <c r="AB32" s="20" t="n">
        <f aca="false">+AB31/AB$19</f>
        <v>0.279884225759768</v>
      </c>
      <c r="AC32" s="20" t="n">
        <f aca="false">+AC31/AC$19</f>
        <v>0.330450895614577</v>
      </c>
      <c r="AD32" s="20" t="n">
        <f aca="false">+AD31/AD$19</f>
        <v>0.324684192557187</v>
      </c>
      <c r="AE32" s="20" t="n">
        <f aca="false">+AE31/AE$19</f>
        <v>0.260670452463821</v>
      </c>
      <c r="AF32" s="20" t="n">
        <f aca="false">+AF31/AF$19</f>
        <v>0.271784107946027</v>
      </c>
      <c r="AG32" s="20" t="n">
        <f aca="false">+AG31/AG$19</f>
        <v>0.373077208887568</v>
      </c>
      <c r="AH32" s="20" t="n">
        <f aca="false">+AH31/AH$19</f>
        <v>0.156595239860607</v>
      </c>
      <c r="AI32" s="20" t="n">
        <f aca="false">+AI31/AI$19</f>
        <v>0.541216637667838</v>
      </c>
      <c r="AJ32" s="20" t="n">
        <f aca="false">+AJ31/AJ$19</f>
        <v>0.624182931408385</v>
      </c>
      <c r="AK32" s="20" t="n">
        <f aca="false">+AK31/AK$19</f>
        <v>0.603816836314127</v>
      </c>
      <c r="AL32" s="20" t="n">
        <f aca="false">+AL31/AL$19</f>
        <v>0.6</v>
      </c>
      <c r="AM32" s="20" t="n">
        <f aca="false">+AM31/AM$19</f>
        <v>0.605</v>
      </c>
      <c r="AN32" s="20" t="n">
        <f aca="false">+AN31/AN$19</f>
        <v>0.61</v>
      </c>
      <c r="AO32" s="20" t="n">
        <f aca="false">+AO31/AO$19</f>
        <v>0.615</v>
      </c>
      <c r="AP32" s="20" t="n">
        <f aca="false">+AP31/AP$19</f>
        <v>0.62</v>
      </c>
      <c r="DK32" s="1"/>
      <c r="DL32" s="1"/>
      <c r="DM32" s="1"/>
      <c r="DN32" s="1"/>
      <c r="DO32" s="1"/>
    </row>
    <row r="33" customFormat="false" ht="12.8" hidden="false" customHeight="false" outlineLevel="0" collapsed="false">
      <c r="A33" s="3" t="s">
        <v>60</v>
      </c>
      <c r="B33" s="3" t="n">
        <v>150</v>
      </c>
      <c r="C33" s="3" t="n">
        <v>187</v>
      </c>
      <c r="D33" s="3" t="n">
        <v>234</v>
      </c>
      <c r="E33" s="3" t="n">
        <v>294</v>
      </c>
      <c r="F33" s="3" t="n">
        <v>359</v>
      </c>
      <c r="G33" s="3" t="n">
        <v>444</v>
      </c>
      <c r="H33" s="3" t="n">
        <v>472</v>
      </c>
      <c r="I33" s="3" t="n">
        <v>511</v>
      </c>
      <c r="J33" s="3" t="n">
        <v>515</v>
      </c>
      <c r="K33" s="3" t="n">
        <v>592</v>
      </c>
      <c r="L33" s="3" t="n">
        <v>624</v>
      </c>
      <c r="M33" s="3" t="n">
        <v>568</v>
      </c>
      <c r="N33" s="3" t="n">
        <v>540</v>
      </c>
      <c r="V33" s="3" t="n">
        <v>19.057</v>
      </c>
      <c r="W33" s="3" t="n">
        <v>19.149</v>
      </c>
      <c r="X33" s="3" t="n">
        <v>19.908</v>
      </c>
      <c r="Y33" s="3" t="n">
        <v>17</v>
      </c>
      <c r="Z33" s="3" t="n">
        <v>28</v>
      </c>
      <c r="AA33" s="3" t="n">
        <v>39</v>
      </c>
      <c r="AB33" s="3" t="n">
        <v>54</v>
      </c>
      <c r="AC33" s="3" t="n">
        <v>69</v>
      </c>
      <c r="AD33" s="3" t="n">
        <v>136</v>
      </c>
      <c r="AE33" s="3" t="n">
        <v>178</v>
      </c>
      <c r="AF33" s="3" t="n">
        <v>57</v>
      </c>
      <c r="AG33" s="3" t="n">
        <v>29</v>
      </c>
      <c r="AH33" s="3" t="n">
        <v>267</v>
      </c>
      <c r="AI33" s="18" t="n">
        <f aca="false">SUM(B33:E33)</f>
        <v>865</v>
      </c>
      <c r="AJ33" s="18" t="n">
        <f aca="false">SUM(F33:I33)</f>
        <v>1786</v>
      </c>
      <c r="AK33" s="18" t="n">
        <f aca="false">SUM(J33:M33)</f>
        <v>2299</v>
      </c>
      <c r="AL33" s="3" t="n">
        <f aca="false">+AL19*0.01</f>
        <v>4102.822</v>
      </c>
      <c r="AM33" s="3" t="n">
        <f aca="false">+AM19*0.01</f>
        <v>7385.0796</v>
      </c>
      <c r="AN33" s="3" t="n">
        <f aca="false">+AN19*0.01</f>
        <v>10339.11144</v>
      </c>
      <c r="AO33" s="3" t="n">
        <f aca="false">+AO19*0.01</f>
        <v>12406.933728</v>
      </c>
      <c r="AP33" s="3" t="n">
        <f aca="false">+AP19*0.01</f>
        <v>14888.3204736</v>
      </c>
    </row>
    <row r="34" s="24" customFormat="true" ht="10.5" hidden="false" customHeight="true" outlineLevel="0" collapsed="false">
      <c r="B34" s="24" t="n">
        <f aca="false">+B33/B$19</f>
        <v>0.0208565072302558</v>
      </c>
      <c r="C34" s="24" t="n">
        <f aca="false">+C33/C$19</f>
        <v>0.0138446731324498</v>
      </c>
      <c r="D34" s="24" t="n">
        <f aca="false">+D33/D$19</f>
        <v>0.0129139072847682</v>
      </c>
      <c r="E34" s="24" t="n">
        <f aca="false">+E33/E$19</f>
        <v>0.0133013618060897</v>
      </c>
      <c r="F34" s="24" t="n">
        <f aca="false">+F33/F$19</f>
        <v>0.0137843649209031</v>
      </c>
      <c r="G34" s="24" t="n">
        <f aca="false">+G33/G$19</f>
        <v>0.014780292942743</v>
      </c>
      <c r="H34" s="24" t="n">
        <f aca="false">+H33/H$19</f>
        <v>0.0134530426108023</v>
      </c>
      <c r="I34" s="24" t="n">
        <f aca="false">+I33/I$19</f>
        <v>0.0129922961531616</v>
      </c>
      <c r="J34" s="24" t="n">
        <f aca="false">+J33/J$19</f>
        <v>0.0105076307842977</v>
      </c>
      <c r="K34" s="24" t="n">
        <f aca="false">+K33/K$19</f>
        <v>0.0126649979676101</v>
      </c>
      <c r="L34" s="24" t="n">
        <f aca="false">+L33/L$19</f>
        <v>0.0109462161877697</v>
      </c>
      <c r="M34" s="24" t="n">
        <f aca="false">+M33/M$19</f>
        <v>0.00833736991207598</v>
      </c>
      <c r="N34" s="24" t="n">
        <f aca="false">+N33/N$19</f>
        <v>0.00661643080316118</v>
      </c>
      <c r="V34" s="20" t="n">
        <f aca="false">+V33/V$19</f>
        <v>0.00537830598460366</v>
      </c>
      <c r="W34" s="20" t="n">
        <f aca="false">+W33/W$19</f>
        <v>0.00478972868459428</v>
      </c>
      <c r="X34" s="20" t="n">
        <f aca="false">+X33/X$19</f>
        <v>0.0046512290781721</v>
      </c>
      <c r="Y34" s="20" t="n">
        <f aca="false">+Y33/Y$19</f>
        <v>0.00411622276029056</v>
      </c>
      <c r="Z34" s="20" t="n">
        <f aca="false">+Z33/Z$19</f>
        <v>0.00598035027765912</v>
      </c>
      <c r="AA34" s="20" t="n">
        <f aca="false">+AA33/AA$19</f>
        <v>0.00778443113772455</v>
      </c>
      <c r="AB34" s="20" t="n">
        <f aca="false">+AB33/AB$19</f>
        <v>0.00781476121562952</v>
      </c>
      <c r="AC34" s="20" t="n">
        <f aca="false">+AC33/AC$19</f>
        <v>0.00710315009264978</v>
      </c>
      <c r="AD34" s="20" t="n">
        <f aca="false">+AD33/AD$19</f>
        <v>0.0116080573574599</v>
      </c>
      <c r="AE34" s="20" t="n">
        <f aca="false">+AE33/AE$19</f>
        <v>0.0163033522623191</v>
      </c>
      <c r="AF34" s="20" t="n">
        <f aca="false">+AF33/AF$19</f>
        <v>0.00341829085457271</v>
      </c>
      <c r="AG34" s="20" t="n">
        <f aca="false">+AG33/AG$19</f>
        <v>0.00107750613063833</v>
      </c>
      <c r="AH34" s="20" t="n">
        <f aca="false">+AH33/AH$19</f>
        <v>0.00989842070141618</v>
      </c>
      <c r="AI34" s="20" t="n">
        <f aca="false">+AI33/AI$19</f>
        <v>0.0141984833065231</v>
      </c>
      <c r="AJ34" s="20" t="n">
        <f aca="false">+AJ33/AJ$19</f>
        <v>0.01368613837866</v>
      </c>
      <c r="AK34" s="20" t="n">
        <f aca="false">+AK33/AK$19</f>
        <v>0.0106465744797118</v>
      </c>
      <c r="AL34" s="20" t="n">
        <f aca="false">+AL33/AL$19</f>
        <v>0.01</v>
      </c>
      <c r="AM34" s="20" t="n">
        <f aca="false">+AM33/AM$19</f>
        <v>0.01</v>
      </c>
      <c r="AN34" s="20" t="n">
        <f aca="false">+AN33/AN$19</f>
        <v>0.01</v>
      </c>
      <c r="AO34" s="20" t="n">
        <f aca="false">+AO33/AO$19</f>
        <v>0.01</v>
      </c>
      <c r="AP34" s="20" t="n">
        <f aca="false">+AP33/AP$19</f>
        <v>0.01</v>
      </c>
      <c r="DK34" s="1"/>
      <c r="DL34" s="1"/>
      <c r="DM34" s="1"/>
      <c r="DN34" s="1"/>
      <c r="DO34" s="1"/>
    </row>
    <row r="35" customFormat="false" ht="12.8" hidden="false" customHeight="false" outlineLevel="0" collapsed="false">
      <c r="A35" s="3" t="s">
        <v>61</v>
      </c>
      <c r="B35" s="3" t="n">
        <v>-66</v>
      </c>
      <c r="C35" s="3" t="n">
        <v>-65</v>
      </c>
      <c r="D35" s="3" t="n">
        <v>-63</v>
      </c>
      <c r="E35" s="3" t="n">
        <v>-63</v>
      </c>
      <c r="F35" s="3" t="n">
        <v>-64</v>
      </c>
      <c r="G35" s="3" t="n">
        <v>-61</v>
      </c>
      <c r="H35" s="3" t="n">
        <v>-61</v>
      </c>
      <c r="I35" s="3" t="n">
        <v>-61</v>
      </c>
      <c r="J35" s="3" t="n">
        <v>-63</v>
      </c>
      <c r="K35" s="3" t="n">
        <v>-62</v>
      </c>
      <c r="L35" s="3" t="n">
        <v>-61</v>
      </c>
      <c r="M35" s="3" t="n">
        <v>-74</v>
      </c>
      <c r="N35" s="3" t="n">
        <v>-102</v>
      </c>
      <c r="V35" s="3" t="n">
        <v>-3.127</v>
      </c>
      <c r="W35" s="3" t="n">
        <v>-3.089</v>
      </c>
      <c r="X35" s="3" t="n">
        <v>-3.294</v>
      </c>
      <c r="Y35" s="3" t="n">
        <v>-10</v>
      </c>
      <c r="Z35" s="3" t="n">
        <v>-46</v>
      </c>
      <c r="AA35" s="3" t="n">
        <v>-47</v>
      </c>
      <c r="AB35" s="3" t="n">
        <v>-58</v>
      </c>
      <c r="AC35" s="3" t="n">
        <v>-61</v>
      </c>
      <c r="AD35" s="3" t="n">
        <v>-58</v>
      </c>
      <c r="AE35" s="3" t="n">
        <v>-52</v>
      </c>
      <c r="AF35" s="3" t="n">
        <v>-184</v>
      </c>
      <c r="AG35" s="3" t="n">
        <v>-236</v>
      </c>
      <c r="AH35" s="3" t="n">
        <v>-262</v>
      </c>
      <c r="AI35" s="18" t="n">
        <f aca="false">SUM(B35:E35)</f>
        <v>-257</v>
      </c>
      <c r="AJ35" s="18" t="n">
        <f aca="false">SUM(F35:I35)</f>
        <v>-247</v>
      </c>
      <c r="AK35" s="18" t="n">
        <f aca="false">SUM(J35:M35)</f>
        <v>-260</v>
      </c>
      <c r="AL35" s="3" t="n">
        <v>-300</v>
      </c>
      <c r="AM35" s="3" t="n">
        <v>-300</v>
      </c>
      <c r="AN35" s="3" t="n">
        <v>-300</v>
      </c>
      <c r="AO35" s="3" t="n">
        <v>-300</v>
      </c>
      <c r="AP35" s="3" t="n">
        <v>-300</v>
      </c>
    </row>
    <row r="36" s="24" customFormat="true" ht="10.5" hidden="false" customHeight="true" outlineLevel="0" collapsed="false">
      <c r="B36" s="24" t="n">
        <f aca="false">+B35/B$19</f>
        <v>-0.00917686318131257</v>
      </c>
      <c r="C36" s="24" t="n">
        <f aca="false">+C35/C$19</f>
        <v>-0.00481231953801732</v>
      </c>
      <c r="D36" s="24" t="n">
        <f aca="false">+D35/D$19</f>
        <v>-0.00347682119205298</v>
      </c>
      <c r="E36" s="24" t="n">
        <f aca="false">+E35/E$19</f>
        <v>-0.00285029181559064</v>
      </c>
      <c r="F36" s="24" t="n">
        <f aca="false">+F35/F$19</f>
        <v>-0.00245737981876824</v>
      </c>
      <c r="G36" s="24" t="n">
        <f aca="false">+G35/G$19</f>
        <v>-0.0020306258322237</v>
      </c>
      <c r="H36" s="24" t="n">
        <f aca="false">+H35/H$19</f>
        <v>-0.00173863474419268</v>
      </c>
      <c r="I36" s="24" t="n">
        <f aca="false">+I35/I$19</f>
        <v>-0.00155093946251049</v>
      </c>
      <c r="J36" s="24" t="n">
        <f aca="false">+J35/J$19</f>
        <v>-0.00128539949400147</v>
      </c>
      <c r="K36" s="24" t="n">
        <f aca="false">+K35/K$19</f>
        <v>-0.00132640181417538</v>
      </c>
      <c r="L36" s="24" t="n">
        <f aca="false">+L35/L$19</f>
        <v>-0.00107006280040697</v>
      </c>
      <c r="M36" s="24" t="n">
        <f aca="false">+M35/M$19</f>
        <v>-0.00108620664347469</v>
      </c>
      <c r="N36" s="24" t="n">
        <f aca="false">+N35/N$19</f>
        <v>-0.00124977026281933</v>
      </c>
      <c r="V36" s="20" t="n">
        <f aca="false">+V35/V$19</f>
        <v>-0.000882508412334346</v>
      </c>
      <c r="W36" s="20" t="n">
        <f aca="false">+W35/W$19</f>
        <v>-0.000772649846295458</v>
      </c>
      <c r="X36" s="20" t="n">
        <f aca="false">+X35/X$19</f>
        <v>-0.0007695975780339</v>
      </c>
      <c r="Y36" s="20" t="n">
        <f aca="false">+Y35/Y$19</f>
        <v>-0.00242130750605327</v>
      </c>
      <c r="Z36" s="20" t="n">
        <f aca="false">+Z35/Z$19</f>
        <v>-0.00982486117043998</v>
      </c>
      <c r="AA36" s="20" t="n">
        <f aca="false">+AA35/AA$19</f>
        <v>-0.0093812375249501</v>
      </c>
      <c r="AB36" s="20" t="n">
        <f aca="false">+AB35/AB$19</f>
        <v>-0.00839363241678726</v>
      </c>
      <c r="AC36" s="20" t="n">
        <f aca="false">+AC35/AC$19</f>
        <v>-0.00627959645871937</v>
      </c>
      <c r="AD36" s="20" t="n">
        <f aca="false">+AD35/AD$19</f>
        <v>-0.00495049504950495</v>
      </c>
      <c r="AE36" s="20" t="n">
        <f aca="false">+AE35/AE$19</f>
        <v>-0.00476277706539659</v>
      </c>
      <c r="AF36" s="20" t="n">
        <f aca="false">+AF35/AF$19</f>
        <v>-0.0110344827586207</v>
      </c>
      <c r="AG36" s="20" t="n">
        <f aca="false">+AG35/AG$19</f>
        <v>-0.0087686705803671</v>
      </c>
      <c r="AH36" s="20" t="n">
        <f aca="false">+AH35/AH$19</f>
        <v>-0.00971305701786906</v>
      </c>
      <c r="AI36" s="20" t="n">
        <f aca="false">+AI35/AI$19</f>
        <v>-0.00421850891303634</v>
      </c>
      <c r="AJ36" s="20" t="n">
        <f aca="false">+AJ35/AJ$19</f>
        <v>-0.00189276381832533</v>
      </c>
      <c r="AK36" s="20" t="n">
        <f aca="false">+AK35/AK$19</f>
        <v>-0.00120404931045022</v>
      </c>
      <c r="AL36" s="20" t="n">
        <f aca="false">+AL35/AL$19</f>
        <v>-0.00073120403468637</v>
      </c>
      <c r="AM36" s="20" t="n">
        <f aca="false">+AM35/AM$19</f>
        <v>-0.00040622446371465</v>
      </c>
      <c r="AN36" s="20" t="n">
        <f aca="false">+AN35/AN$19</f>
        <v>-0.00029016033122475</v>
      </c>
      <c r="AO36" s="20" t="n">
        <f aca="false">+AO35/AO$19</f>
        <v>-0.000241800276020625</v>
      </c>
      <c r="AP36" s="20" t="n">
        <f aca="false">+AP35/AP$19</f>
        <v>-0.000201500230017187</v>
      </c>
      <c r="DK36" s="1"/>
      <c r="DL36" s="1"/>
      <c r="DM36" s="1"/>
      <c r="DN36" s="1"/>
      <c r="DO36" s="1"/>
    </row>
    <row r="37" customFormat="false" ht="12.8" hidden="false" customHeight="false" outlineLevel="0" collapsed="false">
      <c r="A37" s="3" t="s">
        <v>62</v>
      </c>
      <c r="B37" s="3" t="n">
        <v>-15</v>
      </c>
      <c r="C37" s="3" t="n">
        <v>59</v>
      </c>
      <c r="D37" s="3" t="n">
        <v>-66</v>
      </c>
      <c r="E37" s="3" t="n">
        <v>260</v>
      </c>
      <c r="F37" s="3" t="n">
        <v>75</v>
      </c>
      <c r="G37" s="3" t="n">
        <v>189</v>
      </c>
      <c r="H37" s="3" t="n">
        <v>36</v>
      </c>
      <c r="I37" s="3" t="n">
        <v>733</v>
      </c>
      <c r="J37" s="3" t="n">
        <v>-180</v>
      </c>
      <c r="K37" s="3" t="n">
        <v>2236</v>
      </c>
      <c r="L37" s="3" t="n">
        <v>1363</v>
      </c>
      <c r="M37" s="3" t="n">
        <v>5604</v>
      </c>
      <c r="N37" s="3" t="n">
        <v>15929</v>
      </c>
      <c r="O37" s="3" t="n">
        <v>7773</v>
      </c>
      <c r="P37" s="3" t="n">
        <f aca="false">+P19*0.08</f>
        <v>8664.912</v>
      </c>
      <c r="Q37" s="3" t="n">
        <f aca="false">+Q19*0.08</f>
        <v>10355.304</v>
      </c>
      <c r="V37" s="3" t="n">
        <v>-0.508</v>
      </c>
      <c r="W37" s="3" t="n">
        <v>-0.963</v>
      </c>
      <c r="X37" s="3" t="n">
        <v>-2.814</v>
      </c>
      <c r="Y37" s="3" t="n">
        <v>7</v>
      </c>
      <c r="Z37" s="3" t="n">
        <v>14</v>
      </c>
      <c r="AA37" s="3" t="n">
        <v>4</v>
      </c>
      <c r="AB37" s="3" t="n">
        <v>-25</v>
      </c>
      <c r="AC37" s="3" t="n">
        <v>-22</v>
      </c>
      <c r="AD37" s="3" t="n">
        <v>14</v>
      </c>
      <c r="AE37" s="3" t="n">
        <v>-2</v>
      </c>
      <c r="AF37" s="3" t="n">
        <v>4</v>
      </c>
      <c r="AG37" s="3" t="n">
        <v>107</v>
      </c>
      <c r="AH37" s="3" t="n">
        <v>-48</v>
      </c>
      <c r="AI37" s="18" t="n">
        <f aca="false">SUM(B37:E37)</f>
        <v>238</v>
      </c>
      <c r="AJ37" s="18" t="n">
        <f aca="false">SUM(F37:I37)</f>
        <v>1033</v>
      </c>
      <c r="AK37" s="18" t="n">
        <f aca="false">SUM(J37:M37)</f>
        <v>9023</v>
      </c>
      <c r="AL37" s="3" t="n">
        <v>30000</v>
      </c>
      <c r="AM37" s="3" t="n">
        <f aca="false">+AM19*0.01</f>
        <v>7385.0796</v>
      </c>
      <c r="AN37" s="3" t="n">
        <f aca="false">+AN19*0.01</f>
        <v>10339.11144</v>
      </c>
      <c r="AO37" s="3" t="n">
        <f aca="false">+AO19*0.01</f>
        <v>12406.933728</v>
      </c>
      <c r="AP37" s="3" t="n">
        <f aca="false">+AP19*0.01</f>
        <v>14888.3204736</v>
      </c>
    </row>
    <row r="38" s="24" customFormat="true" ht="10.5" hidden="false" customHeight="true" outlineLevel="0" collapsed="false">
      <c r="B38" s="24" t="n">
        <f aca="false">+B37/B$19</f>
        <v>-0.00208565072302558</v>
      </c>
      <c r="C38" s="24" t="n">
        <f aca="false">+C37/C$19</f>
        <v>0.00436810542681573</v>
      </c>
      <c r="D38" s="24" t="n">
        <f aca="false">+D37/D$19</f>
        <v>-0.00364238410596027</v>
      </c>
      <c r="E38" s="24" t="n">
        <f aca="false">+E37/E$19</f>
        <v>0.0117631090802154</v>
      </c>
      <c r="F38" s="24" t="n">
        <f aca="false">+F37/F$19</f>
        <v>0.00287974197511903</v>
      </c>
      <c r="G38" s="24" t="n">
        <f aca="false">+G37/G$19</f>
        <v>0.00629161118508655</v>
      </c>
      <c r="H38" s="24" t="n">
        <f aca="false">+H37/H$19</f>
        <v>0.00102607952116289</v>
      </c>
      <c r="I38" s="24" t="n">
        <f aca="false">+I37/I$19</f>
        <v>0.0186366987872162</v>
      </c>
      <c r="J38" s="24" t="n">
        <f aca="false">+J37/J$19</f>
        <v>-0.00367256998286134</v>
      </c>
      <c r="K38" s="24" t="n">
        <f aca="false">+K37/K$19</f>
        <v>0.0478360396209058</v>
      </c>
      <c r="L38" s="24" t="n">
        <f aca="false">+L37/L$19</f>
        <v>0.0239097638845034</v>
      </c>
      <c r="M38" s="24" t="n">
        <f aca="false">+M37/M$19</f>
        <v>0.0822581355409749</v>
      </c>
      <c r="N38" s="24" t="n">
        <f aca="false">+N37/N$19</f>
        <v>0.195172456043619</v>
      </c>
      <c r="O38" s="24" t="n">
        <f aca="false">+O37/O$19</f>
        <v>0.0807827813055362</v>
      </c>
      <c r="P38" s="24" t="n">
        <f aca="false">+P37/P$19</f>
        <v>0.08</v>
      </c>
      <c r="Q38" s="24" t="n">
        <f aca="false">+Q37/Q$19</f>
        <v>0.08</v>
      </c>
      <c r="V38" s="20" t="n">
        <f aca="false">+V37/V$19</f>
        <v>-0.000143368811469731</v>
      </c>
      <c r="W38" s="20" t="n">
        <f aca="false">+W37/W$19</f>
        <v>-0.000240874652632737</v>
      </c>
      <c r="X38" s="20" t="n">
        <f aca="false">+X37/X$19</f>
        <v>-0.000657452211471583</v>
      </c>
      <c r="Y38" s="20" t="n">
        <f aca="false">+Y37/Y$19</f>
        <v>0.00169491525423729</v>
      </c>
      <c r="Z38" s="20" t="n">
        <f aca="false">+Z37/Z$19</f>
        <v>0.00299017513882956</v>
      </c>
      <c r="AA38" s="20" t="n">
        <f aca="false">+AA37/AA$19</f>
        <v>0.000798403193612774</v>
      </c>
      <c r="AB38" s="20" t="n">
        <f aca="false">+AB37/AB$19</f>
        <v>-0.00361794500723589</v>
      </c>
      <c r="AC38" s="20" t="n">
        <f aca="false">+AC37/AC$19</f>
        <v>-0.00226477249330863</v>
      </c>
      <c r="AD38" s="20" t="n">
        <f aca="false">+AD37/AD$19</f>
        <v>0.00119494708091499</v>
      </c>
      <c r="AE38" s="20" t="n">
        <f aca="false">+AE37/AE$19</f>
        <v>-0.000183183733284484</v>
      </c>
      <c r="AF38" s="20" t="n">
        <f aca="false">+AF37/AF$19</f>
        <v>0.000239880059970015</v>
      </c>
      <c r="AG38" s="20" t="n">
        <f aca="false">+AG37/AG$19</f>
        <v>0.00397562606821729</v>
      </c>
      <c r="AH38" s="20" t="n">
        <f aca="false">+AH37/AH$19</f>
        <v>-0.00177949136205235</v>
      </c>
      <c r="AI38" s="20" t="n">
        <f aca="false">+AI37/AI$19</f>
        <v>0.00390663471323988</v>
      </c>
      <c r="AJ38" s="20" t="n">
        <f aca="false">+AJ37/AJ$19</f>
        <v>0.00791589078676138</v>
      </c>
      <c r="AK38" s="20" t="n">
        <f aca="false">+AK37/AK$19</f>
        <v>0.041785142031509</v>
      </c>
      <c r="AL38" s="20" t="n">
        <f aca="false">+AL37/AL$19</f>
        <v>0.073120403468637</v>
      </c>
      <c r="AM38" s="20" t="n">
        <f aca="false">+AM37/AM$19</f>
        <v>0.01</v>
      </c>
      <c r="AN38" s="20" t="n">
        <f aca="false">+AN37/AN$19</f>
        <v>0.01</v>
      </c>
      <c r="AO38" s="20" t="n">
        <f aca="false">+AO37/AO$19</f>
        <v>0.01</v>
      </c>
      <c r="AP38" s="20" t="n">
        <f aca="false">+AP37/AP$19</f>
        <v>0.01</v>
      </c>
      <c r="DK38" s="1"/>
      <c r="DL38" s="1"/>
      <c r="DM38" s="1"/>
      <c r="DN38" s="1"/>
      <c r="DO38" s="1"/>
    </row>
    <row r="39" customFormat="false" ht="12.8" hidden="false" customHeight="false" outlineLevel="0" collapsed="false">
      <c r="A39" s="3" t="s">
        <v>63</v>
      </c>
      <c r="B39" s="3" t="n">
        <f aca="false">SUM(B31:B37)</f>
        <v>2209.30923248053</v>
      </c>
      <c r="C39" s="3" t="n">
        <f aca="false">SUM(C31:C37)</f>
        <v>6981.51247501296</v>
      </c>
      <c r="D39" s="3" t="n">
        <f aca="false">SUM(D31:D37)</f>
        <v>10522.5843267108</v>
      </c>
      <c r="E39" s="3" t="n">
        <f aca="false">SUM(E31:E37)</f>
        <v>14106.6264308012</v>
      </c>
      <c r="F39" s="3" t="n">
        <f aca="false">SUM(F31:F37)</f>
        <v>17279.6605744125</v>
      </c>
      <c r="G39" s="3" t="n">
        <f aca="false">SUM(G31:G37)</f>
        <v>19214.633322237</v>
      </c>
      <c r="H39" s="3" t="n">
        <f aca="false">SUM(H31:H37)</f>
        <v>22319.6351147214</v>
      </c>
      <c r="I39" s="3" t="n">
        <f aca="false">SUM(I31:I37)</f>
        <v>25217.6225115049</v>
      </c>
      <c r="J39" s="3" t="n">
        <f aca="false">SUM(J31:J37)</f>
        <v>26860.5517016241</v>
      </c>
      <c r="K39" s="3" t="n">
        <f aca="false">SUM(K31:K37)</f>
        <v>31206.6197719445</v>
      </c>
      <c r="L39" s="3" t="n">
        <f aca="false">SUM(L31:L37)</f>
        <v>37936.6415640459</v>
      </c>
      <c r="M39" s="3" t="n">
        <f aca="false">SUM(M31:M37)</f>
        <v>50397.6574926241</v>
      </c>
      <c r="N39" s="3" t="n">
        <f aca="false">SUM(N31:N37)</f>
        <v>69903.6613245114</v>
      </c>
      <c r="O39" s="3" t="n">
        <f aca="false">SUM(O31:O37)</f>
        <v>71507.6623710001</v>
      </c>
      <c r="P39" s="3" t="n">
        <f aca="false">SUM(P31:P37)</f>
        <v>80692.658</v>
      </c>
      <c r="Q39" s="3" t="n">
        <f aca="false">SUM(Q31:Q37)</f>
        <v>96434.4335</v>
      </c>
      <c r="V39" s="3" t="n">
        <f aca="false">SUM(V31:V37)-V32-V34-V36</f>
        <v>271.169</v>
      </c>
      <c r="W39" s="3" t="n">
        <f aca="false">SUM(W31:W37)-W32-W34-W36</f>
        <v>663.396</v>
      </c>
      <c r="X39" s="3" t="n">
        <f aca="false">SUM(X31:X37)-X32-X34-X36</f>
        <v>662.039</v>
      </c>
      <c r="Y39" s="3" t="n">
        <f aca="false">SUM(Y31:Y37)-Y32-Y34-Y36</f>
        <v>510</v>
      </c>
      <c r="Z39" s="3" t="n">
        <f aca="false">SUM(Z31:Z37)-Z32-Z34-Z36</f>
        <v>755</v>
      </c>
      <c r="AA39" s="3" t="n">
        <f aca="false">SUM(AA31:AA37)-AA32-AA34-AA36</f>
        <v>743</v>
      </c>
      <c r="AB39" s="3" t="n">
        <f aca="false">SUM(AB31:AB37)-AB32-AB34-AB36</f>
        <v>1905</v>
      </c>
      <c r="AC39" s="3" t="n">
        <f aca="false">SUM(AC31:AC37)-AC32-AC34-AC36</f>
        <v>3196</v>
      </c>
      <c r="AD39" s="3" t="n">
        <f aca="false">SUM(AD31:AD37)-AD32-AD34-AD36</f>
        <v>3896</v>
      </c>
      <c r="AE39" s="3" t="n">
        <f aca="false">SUM(AE31:AE37)-AE32-AE34-AE36</f>
        <v>2970</v>
      </c>
      <c r="AF39" s="3" t="n">
        <f aca="false">SUM(AF31:AF37)-AF32-AF34-AF36</f>
        <v>4409</v>
      </c>
      <c r="AG39" s="3" t="n">
        <f aca="false">SUM(AG31:AG37)-AG32-AG34-AG36</f>
        <v>9941</v>
      </c>
      <c r="AH39" s="3" t="n">
        <f aca="false">SUM(AH31:AH37)-AH32-AH34-AH36</f>
        <v>4181</v>
      </c>
      <c r="AI39" s="3" t="n">
        <f aca="false">SUM(AI31:AI37)-AI32-AI34-AI36</f>
        <v>33818</v>
      </c>
      <c r="AJ39" s="3" t="n">
        <f aca="false">SUM(AJ31:AJ37)-AJ32-AJ34-AJ36</f>
        <v>84026</v>
      </c>
      <c r="AK39" s="3" t="n">
        <f aca="false">SUM(AK31:AK37)-AK32-AK34-AK36</f>
        <v>141449</v>
      </c>
      <c r="AL39" s="3" t="n">
        <f aca="false">SUM(AL31:AL37)-AL32-AL34-AL36</f>
        <v>279972.142</v>
      </c>
      <c r="AM39" s="3" t="n">
        <f aca="false">SUM(AM31:AM37)-AM32-AM34-AM36</f>
        <v>461267.475</v>
      </c>
      <c r="AN39" s="3" t="n">
        <f aca="false">SUM(AN31:AN37)-AN32-AN34-AN36</f>
        <v>651064.02072</v>
      </c>
      <c r="AO39" s="3" t="n">
        <f aca="false">SUM(AO31:AO37)-AO32-AO34-AO36</f>
        <v>787540.291728</v>
      </c>
      <c r="AP39" s="3" t="n">
        <f aca="false">SUM(AP31:AP37)-AP32-AP34-AP36</f>
        <v>952552.5103104</v>
      </c>
    </row>
    <row r="40" s="24" customFormat="true" ht="10.5" hidden="false" customHeight="true" outlineLevel="0" collapsed="false">
      <c r="B40" s="24" t="n">
        <f aca="false">+B39/B$19</f>
        <v>0.307189826540675</v>
      </c>
      <c r="C40" s="24" t="n">
        <f aca="false">+C39/C$19</f>
        <v>0.516881059821793</v>
      </c>
      <c r="D40" s="24" t="n">
        <f aca="false">+D39/D$19</f>
        <v>0.580716574321789</v>
      </c>
      <c r="E40" s="24" t="n">
        <f aca="false">+E39/E$19</f>
        <v>0.638222251766785</v>
      </c>
      <c r="F40" s="24" t="n">
        <f aca="false">+F39/F$19</f>
        <v>0.663479518292602</v>
      </c>
      <c r="G40" s="24" t="n">
        <f aca="false">+G39/G$19</f>
        <v>0.639634930833456</v>
      </c>
      <c r="H40" s="24" t="n">
        <f aca="false">+H39/H$19</f>
        <v>0.636158903084549</v>
      </c>
      <c r="I40" s="24" t="n">
        <f aca="false">+I39/I$19</f>
        <v>0.641164031209604</v>
      </c>
      <c r="J40" s="24" t="n">
        <f aca="false">+J39/J$19</f>
        <v>0.548040310569332</v>
      </c>
      <c r="K40" s="24" t="n">
        <f aca="false">+K39/K$19</f>
        <v>0.667621243222396</v>
      </c>
      <c r="L40" s="24" t="n">
        <f aca="false">+L39/L$19</f>
        <v>0.665485064099321</v>
      </c>
      <c r="M40" s="24" t="n">
        <f aca="false">+M39/M$19</f>
        <v>0.739760410595272</v>
      </c>
      <c r="N40" s="24" t="n">
        <f aca="false">+N39/N$19</f>
        <v>0.856505070446749</v>
      </c>
      <c r="O40" s="24" t="n">
        <f aca="false">+O39/O$19</f>
        <v>0.743160665249791</v>
      </c>
      <c r="P40" s="24" t="n">
        <f aca="false">+P39/P$19</f>
        <v>0.745006139704593</v>
      </c>
      <c r="Q40" s="24" t="n">
        <f aca="false">+Q39/Q$19</f>
        <v>0.745005137463854</v>
      </c>
      <c r="V40" s="20" t="n">
        <f aca="false">+V39/V$19</f>
        <v>0.0765298764516445</v>
      </c>
      <c r="W40" s="20" t="n">
        <f aca="false">+W39/W$19</f>
        <v>0.165934871295896</v>
      </c>
      <c r="X40" s="20" t="n">
        <f aca="false">+X39/X$19</f>
        <v>0.154676263194895</v>
      </c>
      <c r="Y40" s="20" t="n">
        <f aca="false">+Y39/Y$19</f>
        <v>0.123486682808717</v>
      </c>
      <c r="Z40" s="20" t="n">
        <f aca="false">+Z39/Z$19</f>
        <v>0.161255873558308</v>
      </c>
      <c r="AA40" s="20" t="n">
        <f aca="false">+AA39/AA$19</f>
        <v>0.148303393213573</v>
      </c>
      <c r="AB40" s="20" t="n">
        <f aca="false">+AB39/AB$19</f>
        <v>0.275687409551375</v>
      </c>
      <c r="AC40" s="20" t="n">
        <f aca="false">+AC39/AC$19</f>
        <v>0.329009676755199</v>
      </c>
      <c r="AD40" s="20" t="n">
        <f aca="false">+AD39/AD$19</f>
        <v>0.332536701946057</v>
      </c>
      <c r="AE40" s="20" t="n">
        <f aca="false">+AE39/AE$19</f>
        <v>0.272027843927459</v>
      </c>
      <c r="AF40" s="20" t="n">
        <f aca="false">+AF39/AF$19</f>
        <v>0.264407796101949</v>
      </c>
      <c r="AG40" s="20" t="n">
        <f aca="false">+AG39/AG$19</f>
        <v>0.369361670506056</v>
      </c>
      <c r="AH40" s="20" t="n">
        <f aca="false">+AH39/AH$19</f>
        <v>0.155001112182101</v>
      </c>
      <c r="AI40" s="20" t="n">
        <f aca="false">+AI39/AI$19</f>
        <v>0.555103246774564</v>
      </c>
      <c r="AJ40" s="20" t="n">
        <f aca="false">+AJ39/AJ$19</f>
        <v>0.643892196755481</v>
      </c>
      <c r="AK40" s="20" t="n">
        <f aca="false">+AK39/AK$19</f>
        <v>0.655044503514898</v>
      </c>
      <c r="AL40" s="20" t="n">
        <f aca="false">+AL39/AL$19</f>
        <v>0.682389199433951</v>
      </c>
      <c r="AM40" s="20" t="n">
        <f aca="false">+AM39/AM$19</f>
        <v>0.624593775536285</v>
      </c>
      <c r="AN40" s="20" t="n">
        <f aca="false">+AN39/AN$19</f>
        <v>0.629709839668775</v>
      </c>
      <c r="AO40" s="20" t="n">
        <f aca="false">+AO39/AO$19</f>
        <v>0.634758199723979</v>
      </c>
      <c r="AP40" s="20" t="n">
        <f aca="false">+AP39/AP$19</f>
        <v>0.639798499769983</v>
      </c>
      <c r="DK40" s="1"/>
      <c r="DL40" s="1"/>
      <c r="DM40" s="1"/>
      <c r="DN40" s="1"/>
      <c r="DO40" s="1"/>
    </row>
    <row r="41" customFormat="false" ht="12.8" hidden="false" customHeight="false" outlineLevel="0" collapsed="false">
      <c r="A41" s="3" t="s">
        <v>64</v>
      </c>
      <c r="B41" s="3" t="n">
        <v>166</v>
      </c>
      <c r="C41" s="3" t="n">
        <v>793</v>
      </c>
      <c r="D41" s="3" t="n">
        <v>1279</v>
      </c>
      <c r="E41" s="3" t="n">
        <v>1821</v>
      </c>
      <c r="F41" s="3" t="n">
        <v>2398</v>
      </c>
      <c r="G41" s="3" t="n">
        <v>2615</v>
      </c>
      <c r="H41" s="3" t="n">
        <v>3007</v>
      </c>
      <c r="I41" s="3" t="n">
        <v>3126</v>
      </c>
      <c r="J41" s="3" t="n">
        <v>3135</v>
      </c>
      <c r="K41" s="3" t="n">
        <v>4784</v>
      </c>
      <c r="L41" s="3" t="n">
        <v>6026</v>
      </c>
      <c r="M41" s="3" t="n">
        <v>7437</v>
      </c>
      <c r="N41" s="3" t="n">
        <v>11582</v>
      </c>
      <c r="O41" s="3" t="n">
        <v>11819</v>
      </c>
      <c r="V41" s="3" t="n">
        <v>18.023</v>
      </c>
      <c r="W41" s="3" t="n">
        <v>82.306</v>
      </c>
      <c r="X41" s="3" t="n">
        <v>99.503</v>
      </c>
      <c r="Y41" s="3" t="n">
        <v>70</v>
      </c>
      <c r="Z41" s="3" t="n">
        <v>124</v>
      </c>
      <c r="AA41" s="3" t="n">
        <v>129</v>
      </c>
      <c r="AB41" s="3" t="n">
        <v>239</v>
      </c>
      <c r="AC41" s="3" t="n">
        <v>149</v>
      </c>
      <c r="AD41" s="3" t="n">
        <v>-245</v>
      </c>
      <c r="AE41" s="3" t="n">
        <v>174</v>
      </c>
      <c r="AF41" s="3" t="n">
        <v>77</v>
      </c>
      <c r="AG41" s="3" t="n">
        <v>189</v>
      </c>
      <c r="AH41" s="3" t="n">
        <v>-187</v>
      </c>
      <c r="AI41" s="18" t="n">
        <f aca="false">SUM(B41:E41)</f>
        <v>4059</v>
      </c>
      <c r="AJ41" s="18" t="n">
        <f aca="false">SUM(F41:I41)</f>
        <v>11146</v>
      </c>
      <c r="AK41" s="18" t="n">
        <f aca="false">SUM(J41:M41)</f>
        <v>21382</v>
      </c>
      <c r="AL41" s="3" t="n">
        <f aca="false">+AL39*0.13</f>
        <v>36396.37846</v>
      </c>
      <c r="AM41" s="3" t="n">
        <f aca="false">+AM39*0.13</f>
        <v>59964.77175</v>
      </c>
      <c r="AN41" s="3" t="n">
        <f aca="false">+AN39*0.13</f>
        <v>84638.3226936</v>
      </c>
      <c r="AO41" s="3" t="n">
        <f aca="false">+AO39*0.13</f>
        <v>102380.23792464</v>
      </c>
      <c r="AP41" s="3" t="n">
        <f aca="false">+AP39*0.13</f>
        <v>123831.826340352</v>
      </c>
    </row>
    <row r="42" s="24" customFormat="true" ht="10.5" hidden="false" customHeight="true" outlineLevel="0" collapsed="false">
      <c r="B42" s="24" t="n">
        <f aca="false">+B41/B$19</f>
        <v>0.0230812013348165</v>
      </c>
      <c r="C42" s="24" t="n">
        <f aca="false">+C41/C$19</f>
        <v>0.0587102983638114</v>
      </c>
      <c r="D42" s="24" t="n">
        <f aca="false">+D41/D$19</f>
        <v>0.0705849889624724</v>
      </c>
      <c r="E42" s="24" t="n">
        <f aca="false">+E41/E$19</f>
        <v>0.0823870062887391</v>
      </c>
      <c r="F42" s="24" t="n">
        <f aca="false">+F41/F$19</f>
        <v>0.0920749500844724</v>
      </c>
      <c r="G42" s="24" t="n">
        <f aca="false">+G41/G$19</f>
        <v>0.0870505992010652</v>
      </c>
      <c r="H42" s="24" t="n">
        <f aca="false">+H41/H$19</f>
        <v>0.0857061422260225</v>
      </c>
      <c r="I42" s="24" t="n">
        <f aca="false">+I41/I$19</f>
        <v>0.0794792911443899</v>
      </c>
      <c r="J42" s="24" t="n">
        <f aca="false">+J41/J$19</f>
        <v>0.0639639272015017</v>
      </c>
      <c r="K42" s="24" t="n">
        <f aca="false">+K41/K$19</f>
        <v>0.102346875467985</v>
      </c>
      <c r="L42" s="24" t="n">
        <f aca="false">+L41/L$19</f>
        <v>0.105708171069712</v>
      </c>
      <c r="M42" s="24" t="n">
        <f aca="false">+M41/M$19</f>
        <v>0.109163767669206</v>
      </c>
      <c r="N42" s="24" t="n">
        <f aca="false">+N41/N$19</f>
        <v>0.141910188078172</v>
      </c>
      <c r="O42" s="24" t="n">
        <f aca="false">+O41/O$19</f>
        <v>0.12283181426092</v>
      </c>
      <c r="P42" s="24" t="n">
        <f aca="false">+P41/P$19</f>
        <v>0</v>
      </c>
      <c r="Q42" s="24" t="n">
        <f aca="false">+Q41/Q$19</f>
        <v>0</v>
      </c>
      <c r="V42" s="20" t="n">
        <f aca="false">+V41/V$19</f>
        <v>0.00508648836440739</v>
      </c>
      <c r="W42" s="20" t="n">
        <f aca="false">+W41/W$19</f>
        <v>0.0205871538521185</v>
      </c>
      <c r="X42" s="20" t="n">
        <f aca="false">+X41/X$19</f>
        <v>0.023247500852188</v>
      </c>
      <c r="Y42" s="20" t="n">
        <f aca="false">+Y41/Y$19</f>
        <v>0.0169491525423729</v>
      </c>
      <c r="Z42" s="20" t="n">
        <f aca="false">+Z41/Z$19</f>
        <v>0.0264844083724904</v>
      </c>
      <c r="AA42" s="20" t="n">
        <f aca="false">+AA41/AA$19</f>
        <v>0.025748502994012</v>
      </c>
      <c r="AB42" s="20" t="n">
        <f aca="false">+AB41/AB$19</f>
        <v>0.0345875542691751</v>
      </c>
      <c r="AC42" s="20" t="n">
        <f aca="false">+AC41/AC$19</f>
        <v>0.0153386864319539</v>
      </c>
      <c r="AD42" s="20" t="n">
        <f aca="false">+AD41/AD$19</f>
        <v>-0.0209115739160123</v>
      </c>
      <c r="AE42" s="20" t="n">
        <f aca="false">+AE41/AE$19</f>
        <v>0.0159369847957501</v>
      </c>
      <c r="AF42" s="20" t="n">
        <f aca="false">+AF41/AF$19</f>
        <v>0.00461769115442279</v>
      </c>
      <c r="AG42" s="20" t="n">
        <f aca="false">+AG41/AG$19</f>
        <v>0.0070223675410567</v>
      </c>
      <c r="AH42" s="20" t="n">
        <f aca="false">+AH41/AH$19</f>
        <v>-0.00693260176466227</v>
      </c>
      <c r="AI42" s="20" t="n">
        <f aca="false">+AI41/AI$19</f>
        <v>0.066626177735465</v>
      </c>
      <c r="AJ42" s="20" t="n">
        <f aca="false">+AJ41/AJ$19</f>
        <v>0.0854119251783566</v>
      </c>
      <c r="AK42" s="20" t="n">
        <f aca="false">+AK41/AK$19</f>
        <v>0.0990191629078717</v>
      </c>
      <c r="AL42" s="20" t="n">
        <f aca="false">+AL41/AL$19</f>
        <v>0.0887105959264136</v>
      </c>
      <c r="AM42" s="20" t="n">
        <f aca="false">+AM41/AM$19</f>
        <v>0.0811971908197171</v>
      </c>
      <c r="AN42" s="20" t="n">
        <f aca="false">+AN41/AN$19</f>
        <v>0.0818622791569408</v>
      </c>
      <c r="AO42" s="20" t="n">
        <f aca="false">+AO41/AO$19</f>
        <v>0.0825185659641173</v>
      </c>
      <c r="AP42" s="20" t="n">
        <f aca="false">+AP41/AP$19</f>
        <v>0.0831738049700978</v>
      </c>
      <c r="DK42" s="1"/>
      <c r="DL42" s="1"/>
      <c r="DM42" s="1"/>
      <c r="DN42" s="1"/>
      <c r="DO42" s="1"/>
    </row>
    <row r="43" s="22" customFormat="true" ht="12.8" hidden="false" customHeight="false" outlineLevel="0" collapsed="false">
      <c r="A43" s="22" t="s">
        <v>65</v>
      </c>
      <c r="B43" s="22" t="n">
        <f aca="false">B39-B41</f>
        <v>2043.30923248053</v>
      </c>
      <c r="C43" s="22" t="n">
        <f aca="false">C39-C41</f>
        <v>6188.51247501296</v>
      </c>
      <c r="D43" s="22" t="n">
        <f aca="false">D39-D41</f>
        <v>9243.58432671082</v>
      </c>
      <c r="E43" s="22" t="n">
        <f aca="false">E39-E41</f>
        <v>12285.6264308012</v>
      </c>
      <c r="F43" s="22" t="n">
        <f aca="false">F39-F41</f>
        <v>14881.6605744125</v>
      </c>
      <c r="G43" s="22" t="n">
        <f aca="false">G39-G41</f>
        <v>16599.633322237</v>
      </c>
      <c r="H43" s="22" t="n">
        <f aca="false">H39-H41</f>
        <v>19312.6351147214</v>
      </c>
      <c r="I43" s="22" t="n">
        <f aca="false">I39-I41</f>
        <v>22091.6225115049</v>
      </c>
      <c r="J43" s="22" t="n">
        <f aca="false">J39-J41</f>
        <v>23725.5517016241</v>
      </c>
      <c r="K43" s="22" t="n">
        <f aca="false">K39-K41</f>
        <v>26422.6197719445</v>
      </c>
      <c r="L43" s="22" t="n">
        <f aca="false">L39-L41</f>
        <v>31910.6415640459</v>
      </c>
      <c r="M43" s="22" t="n">
        <f aca="false">M39-M41</f>
        <v>42960.6574926241</v>
      </c>
      <c r="N43" s="22" t="n">
        <f aca="false">N39-N41</f>
        <v>58321.6613245114</v>
      </c>
      <c r="O43" s="22" t="n">
        <f aca="false">O39-O41</f>
        <v>59688.6623710001</v>
      </c>
      <c r="P43" s="22" t="n">
        <f aca="false">P39-P41</f>
        <v>80692.658</v>
      </c>
      <c r="Q43" s="22" t="n">
        <f aca="false">Q39-Q41</f>
        <v>96434.4335</v>
      </c>
      <c r="V43" s="22" t="n">
        <f aca="false">V39-V41</f>
        <v>253.146</v>
      </c>
      <c r="W43" s="22" t="n">
        <f aca="false">W39-W41</f>
        <v>581.09</v>
      </c>
      <c r="X43" s="22" t="n">
        <f aca="false">X39-X41</f>
        <v>562.536</v>
      </c>
      <c r="Y43" s="22" t="n">
        <f aca="false">Y39-Y41</f>
        <v>440</v>
      </c>
      <c r="Z43" s="22" t="n">
        <f aca="false">Z39-Z41</f>
        <v>631</v>
      </c>
      <c r="AA43" s="22" t="n">
        <f aca="false">AA39-AA41</f>
        <v>614</v>
      </c>
      <c r="AB43" s="22" t="n">
        <f aca="false">AB39-AB41</f>
        <v>1666</v>
      </c>
      <c r="AC43" s="22" t="n">
        <f aca="false">AC39-AC41</f>
        <v>3047</v>
      </c>
      <c r="AD43" s="22" t="n">
        <f aca="false">AD39-AD41</f>
        <v>4141</v>
      </c>
      <c r="AE43" s="22" t="n">
        <f aca="false">AE39-AE41</f>
        <v>2796</v>
      </c>
      <c r="AF43" s="22" t="n">
        <f aca="false">AF39-AF41</f>
        <v>4332</v>
      </c>
      <c r="AG43" s="22" t="n">
        <f aca="false">AG39-AG41</f>
        <v>9752</v>
      </c>
      <c r="AH43" s="22" t="n">
        <f aca="false">AH39-AH41</f>
        <v>4368</v>
      </c>
      <c r="AI43" s="22" t="n">
        <f aca="false">AI39-AI41</f>
        <v>29759</v>
      </c>
      <c r="AJ43" s="22" t="n">
        <f aca="false">AJ39-AJ41</f>
        <v>72880</v>
      </c>
      <c r="AK43" s="22" t="n">
        <f aca="false">AK39-AK41</f>
        <v>120067</v>
      </c>
      <c r="AL43" s="22" t="n">
        <f aca="false">AL39-AL41</f>
        <v>243575.76354</v>
      </c>
      <c r="AM43" s="22" t="n">
        <f aca="false">AM39-AM41</f>
        <v>401302.70325</v>
      </c>
      <c r="AN43" s="22" t="n">
        <f aca="false">AN39-AN41</f>
        <v>566425.6980264</v>
      </c>
      <c r="AO43" s="22" t="n">
        <f aca="false">AO39-AO41</f>
        <v>685160.05380336</v>
      </c>
      <c r="AP43" s="22" t="n">
        <f aca="false">AP39-AP41</f>
        <v>828720.683970048</v>
      </c>
      <c r="AQ43" s="22" t="n">
        <f aca="false">+AP43*(1+AT52)</f>
        <v>853582.304489149</v>
      </c>
      <c r="AR43" s="22" t="n">
        <f aca="false">+AQ43*(1+$AT$52)</f>
        <v>879189.773623824</v>
      </c>
      <c r="AS43" s="22" t="n">
        <f aca="false">+AR43*(1+$AT$52)</f>
        <v>905565.466832539</v>
      </c>
      <c r="AT43" s="22" t="n">
        <f aca="false">+AS43*(1+$AT$52)</f>
        <v>932732.430837515</v>
      </c>
      <c r="AU43" s="22" t="n">
        <f aca="false">+AT43*(1+$AT$52)</f>
        <v>960714.40376264</v>
      </c>
      <c r="AV43" s="22" t="n">
        <f aca="false">+AU43*(1+$AT$52)</f>
        <v>989535.835875519</v>
      </c>
      <c r="AW43" s="22" t="n">
        <f aca="false">+AV43*(1+$AT$52)</f>
        <v>1019221.91095179</v>
      </c>
      <c r="AX43" s="22" t="n">
        <f aca="false">+AW43*(1+$AT$52)</f>
        <v>1049798.56828034</v>
      </c>
      <c r="AY43" s="22" t="n">
        <f aca="false">+AX43*(1+$AT$52)</f>
        <v>1081292.52532875</v>
      </c>
      <c r="AZ43" s="22" t="n">
        <f aca="false">+AY43*(1+$AT$52)</f>
        <v>1113731.30108861</v>
      </c>
      <c r="BA43" s="22" t="n">
        <f aca="false">+AZ43*(1+$AT$52)</f>
        <v>1147143.24012127</v>
      </c>
      <c r="BB43" s="22" t="n">
        <f aca="false">+BA43*(1+$AT$52)</f>
        <v>1181557.53732491</v>
      </c>
      <c r="BC43" s="22" t="n">
        <f aca="false">+BB43*(1+$AT$52)</f>
        <v>1217004.26344465</v>
      </c>
      <c r="BD43" s="22" t="n">
        <f aca="false">+BC43*(1+$AT$52)</f>
        <v>1253514.39134799</v>
      </c>
      <c r="BE43" s="22" t="n">
        <f aca="false">+BD43*(1+$AT$52)</f>
        <v>1291119.82308843</v>
      </c>
      <c r="BF43" s="22" t="n">
        <f aca="false">+BE43*(1+$AT$52)</f>
        <v>1329853.41778109</v>
      </c>
      <c r="BG43" s="22" t="n">
        <f aca="false">+BF43*(1+$AT$52)</f>
        <v>1369749.02031452</v>
      </c>
      <c r="BH43" s="22" t="n">
        <f aca="false">+BG43*(1+$AT$52)</f>
        <v>1410841.49092396</v>
      </c>
      <c r="BI43" s="22" t="n">
        <f aca="false">+BH43*(1+$AT$52)</f>
        <v>1453166.73565167</v>
      </c>
      <c r="BJ43" s="22" t="n">
        <f aca="false">+BI43*(1+$AT$52)</f>
        <v>1496761.73772122</v>
      </c>
      <c r="BK43" s="22" t="n">
        <f aca="false">+BJ43*(1+$AT$52)</f>
        <v>1541664.58985286</v>
      </c>
      <c r="BL43" s="22" t="n">
        <f aca="false">+BK43*(1+$AT$52)</f>
        <v>1587914.52754845</v>
      </c>
      <c r="BM43" s="22" t="n">
        <f aca="false">+BL43*(1+$AT$52)</f>
        <v>1635551.9633749</v>
      </c>
      <c r="BN43" s="22" t="n">
        <f aca="false">+BM43*(1+$AT$52)</f>
        <v>1684618.52227615</v>
      </c>
      <c r="BO43" s="22" t="n">
        <f aca="false">+BN43*(1+$AT$52)</f>
        <v>1735157.07794443</v>
      </c>
      <c r="BP43" s="22" t="n">
        <f aca="false">+BO43*(1+$AT$52)</f>
        <v>1787211.79028277</v>
      </c>
      <c r="BQ43" s="22" t="n">
        <f aca="false">+BP43*(1+$AT$52)</f>
        <v>1840828.14399125</v>
      </c>
      <c r="BR43" s="22" t="n">
        <f aca="false">+BQ43*(1+$AT$52)</f>
        <v>1896052.98831099</v>
      </c>
      <c r="BS43" s="22" t="n">
        <f aca="false">+BR43*(1+$AT$52)</f>
        <v>1952934.57796032</v>
      </c>
      <c r="BT43" s="22" t="n">
        <f aca="false">+BS43*(1+$AT$52)</f>
        <v>2011522.61529913</v>
      </c>
      <c r="BU43" s="22" t="n">
        <f aca="false">+BT43*(1+$AT$52)</f>
        <v>2071868.2937581</v>
      </c>
      <c r="BV43" s="22" t="n">
        <f aca="false">+BU43*(1+$AT$52)</f>
        <v>2134024.34257084</v>
      </c>
      <c r="BW43" s="22" t="n">
        <f aca="false">+BV43*(1+$AT$52)</f>
        <v>2198045.07284797</v>
      </c>
      <c r="BX43" s="22" t="n">
        <f aca="false">+BW43*(1+$AT$52)</f>
        <v>2263986.42503341</v>
      </c>
      <c r="BY43" s="22" t="n">
        <f aca="false">+BX43*(1+$AT$52)</f>
        <v>2331906.01778441</v>
      </c>
      <c r="BZ43" s="22" t="n">
        <f aca="false">+BY43*(1+$AT$52)</f>
        <v>2401863.19831794</v>
      </c>
      <c r="CA43" s="22" t="n">
        <f aca="false">+BZ43*(1+$AT$52)</f>
        <v>2473919.09426748</v>
      </c>
      <c r="CB43" s="22" t="n">
        <f aca="false">+CA43*(1+$AT$52)</f>
        <v>2548136.6670955</v>
      </c>
      <c r="CC43" s="22" t="n">
        <f aca="false">+CB43*(1+$AT$52)</f>
        <v>2624580.76710837</v>
      </c>
      <c r="CD43" s="22" t="n">
        <f aca="false">+CC43*(1+$AT$52)</f>
        <v>2703318.19012162</v>
      </c>
      <c r="CE43" s="22" t="n">
        <f aca="false">+CD43*(1+$AT$52)</f>
        <v>2784417.73582527</v>
      </c>
      <c r="CF43" s="22" t="n">
        <f aca="false">+CE43*(1+$AT$52)</f>
        <v>2867950.26790003</v>
      </c>
      <c r="CG43" s="22" t="n">
        <f aca="false">+CF43*(1+$AT$52)</f>
        <v>2953988.77593703</v>
      </c>
      <c r="CH43" s="22" t="n">
        <f aca="false">+CG43*(1+$AT$52)</f>
        <v>3042608.43921514</v>
      </c>
      <c r="CI43" s="22" t="n">
        <f aca="false">+CH43*(1+$AT$52)</f>
        <v>3133886.69239159</v>
      </c>
      <c r="CJ43" s="22" t="n">
        <f aca="false">+CI43*(1+$AT$52)</f>
        <v>3227903.29316334</v>
      </c>
      <c r="CK43" s="22" t="n">
        <f aca="false">+CJ43*(1+$AT$52)</f>
        <v>3324740.39195824</v>
      </c>
      <c r="CL43" s="22" t="n">
        <f aca="false">+CK43*(1+$AT$52)</f>
        <v>3424482.60371699</v>
      </c>
      <c r="CM43" s="22" t="n">
        <f aca="false">+CL43*(1+$AT$52)</f>
        <v>3527217.0818285</v>
      </c>
      <c r="CN43" s="22" t="n">
        <f aca="false">+CM43*(1+$AT$52)</f>
        <v>3633033.59428335</v>
      </c>
      <c r="CO43" s="22" t="n">
        <f aca="false">+CN43*(1+$AT$52)</f>
        <v>3742024.60211185</v>
      </c>
      <c r="CP43" s="22" t="n">
        <f aca="false">+CO43*(1+$AT$52)</f>
        <v>3854285.34017521</v>
      </c>
      <c r="CQ43" s="22" t="n">
        <f aca="false">+CP43*(1+$AT$52)</f>
        <v>3969913.90038047</v>
      </c>
      <c r="CR43" s="22" t="n">
        <f aca="false">+CQ43*(1+$AT$52)</f>
        <v>4089011.31739188</v>
      </c>
      <c r="CS43" s="22" t="n">
        <f aca="false">+CR43*(1+$AT$52)</f>
        <v>4211681.65691364</v>
      </c>
      <c r="CT43" s="22" t="n">
        <f aca="false">+CS43*(1+$AT$52)</f>
        <v>4338032.10662105</v>
      </c>
      <c r="CU43" s="22" t="n">
        <f aca="false">+CT43*(1+$AT$52)</f>
        <v>4468173.06981968</v>
      </c>
      <c r="CV43" s="22" t="n">
        <f aca="false">+CU43*(1+$AT$52)</f>
        <v>4602218.26191427</v>
      </c>
      <c r="CW43" s="22" t="n">
        <f aca="false">+CV43*(1+$AT$52)</f>
        <v>4740284.8097717</v>
      </c>
      <c r="CX43" s="22" t="n">
        <f aca="false">+CW43*(1+$AT$52)</f>
        <v>4882493.35406485</v>
      </c>
      <c r="CY43" s="22" t="n">
        <f aca="false">+CX43*(1+$AT$52)</f>
        <v>5028968.1546868</v>
      </c>
      <c r="CZ43" s="22" t="n">
        <f aca="false">+CY43*(1+$AT$52)</f>
        <v>5179837.1993274</v>
      </c>
      <c r="DA43" s="22" t="n">
        <f aca="false">+CZ43*(1+$AT$52)</f>
        <v>5335232.31530722</v>
      </c>
      <c r="DB43" s="22" t="n">
        <f aca="false">+DA43*(1+$AT$52)</f>
        <v>5495289.28476644</v>
      </c>
      <c r="DC43" s="22" t="n">
        <f aca="false">+DB43*(1+$AT$52)</f>
        <v>5660147.96330943</v>
      </c>
      <c r="DD43" s="22" t="n">
        <f aca="false">+DC43*(1+$AT$52)</f>
        <v>5829952.40220872</v>
      </c>
      <c r="DE43" s="22" t="n">
        <f aca="false">+DD43*(1+$AT$52)</f>
        <v>6004850.97427498</v>
      </c>
      <c r="DF43" s="22" t="n">
        <f aca="false">+DE43*(1+$AT$52)</f>
        <v>6184996.50350323</v>
      </c>
      <c r="DG43" s="22" t="n">
        <f aca="false">+DF43*(1+$AT$52)</f>
        <v>6370546.39860832</v>
      </c>
      <c r="DH43" s="22" t="n">
        <f aca="false">+DG43*(1+$AT$52)</f>
        <v>6561662.79056657</v>
      </c>
      <c r="DI43" s="22" t="n">
        <f aca="false">+DH43*(1+$AT$52)</f>
        <v>6758512.67428357</v>
      </c>
      <c r="DJ43" s="22" t="n">
        <f aca="false">+DI43*(1+$AT$52)</f>
        <v>6961268.05451208</v>
      </c>
      <c r="DK43" s="1"/>
      <c r="DL43" s="1"/>
      <c r="DM43" s="1"/>
      <c r="DN43" s="1"/>
      <c r="DO43" s="1"/>
    </row>
    <row r="44" s="23" customFormat="true" ht="10.5" hidden="false" customHeight="true" outlineLevel="0" collapsed="false">
      <c r="B44" s="24" t="n">
        <f aca="false">+B43/B$19</f>
        <v>0.284108625205858</v>
      </c>
      <c r="C44" s="24" t="n">
        <f aca="false">+C43/C$19</f>
        <v>0.458170761457982</v>
      </c>
      <c r="D44" s="24" t="n">
        <f aca="false">+D43/D$19</f>
        <v>0.510131585359317</v>
      </c>
      <c r="E44" s="24" t="n">
        <f aca="false">+E43/E$19</f>
        <v>0.555835245478046</v>
      </c>
      <c r="F44" s="24" t="n">
        <f aca="false">+F43/F$19</f>
        <v>0.57140456820813</v>
      </c>
      <c r="G44" s="24" t="n">
        <f aca="false">+G43/G$19</f>
        <v>0.552584331632391</v>
      </c>
      <c r="H44" s="24" t="n">
        <f aca="false">+H43/H$19</f>
        <v>0.550452760858526</v>
      </c>
      <c r="I44" s="24" t="n">
        <f aca="false">+I43/I$19</f>
        <v>0.561684740065214</v>
      </c>
      <c r="J44" s="24" t="n">
        <f aca="false">+J43/J$19</f>
        <v>0.48407638336783</v>
      </c>
      <c r="K44" s="24" t="n">
        <f aca="false">+K43/K$19</f>
        <v>0.565274367754412</v>
      </c>
      <c r="L44" s="24" t="n">
        <f aca="false">+L43/L$19</f>
        <v>0.559776893029609</v>
      </c>
      <c r="M44" s="24" t="n">
        <f aca="false">+M43/M$19</f>
        <v>0.630596642926066</v>
      </c>
      <c r="N44" s="24" t="n">
        <f aca="false">+N43/N$19</f>
        <v>0.714594882368577</v>
      </c>
      <c r="O44" s="24" t="n">
        <f aca="false">+O43/O$19</f>
        <v>0.62032885098887</v>
      </c>
      <c r="P44" s="24" t="n">
        <f aca="false">+P43/P$19</f>
        <v>0.745006139704593</v>
      </c>
      <c r="Q44" s="24" t="n">
        <f aca="false">+Q43/Q$19</f>
        <v>0.745005137463854</v>
      </c>
      <c r="V44" s="20" t="n">
        <f aca="false">+V43/V$19</f>
        <v>0.0714433880872371</v>
      </c>
      <c r="W44" s="20" t="n">
        <f aca="false">+W43/W$19</f>
        <v>0.145347717443777</v>
      </c>
      <c r="X44" s="20" t="n">
        <f aca="false">+X43/X$19</f>
        <v>0.131428762342707</v>
      </c>
      <c r="Y44" s="20" t="n">
        <f aca="false">+Y43/Y$19</f>
        <v>0.106537530266344</v>
      </c>
      <c r="Z44" s="20" t="n">
        <f aca="false">+Z43/Z$19</f>
        <v>0.134771465185818</v>
      </c>
      <c r="AA44" s="20" t="n">
        <f aca="false">+AA43/AA$19</f>
        <v>0.122554890219561</v>
      </c>
      <c r="AB44" s="20" t="n">
        <f aca="false">+AB43/AB$19</f>
        <v>0.2410998552822</v>
      </c>
      <c r="AC44" s="20" t="n">
        <f aca="false">+AC43/AC$19</f>
        <v>0.313670990323245</v>
      </c>
      <c r="AD44" s="20" t="n">
        <f aca="false">+AD43/AD$19</f>
        <v>0.353448275862069</v>
      </c>
      <c r="AE44" s="20" t="n">
        <f aca="false">+AE43/AE$19</f>
        <v>0.256090859131709</v>
      </c>
      <c r="AF44" s="20" t="n">
        <f aca="false">+AF43/AF$19</f>
        <v>0.259790104947526</v>
      </c>
      <c r="AG44" s="20" t="n">
        <f aca="false">+AG43/AG$19</f>
        <v>0.362339302965</v>
      </c>
      <c r="AH44" s="20" t="n">
        <f aca="false">+AH43/AH$19</f>
        <v>0.161933713946764</v>
      </c>
      <c r="AI44" s="20" t="n">
        <f aca="false">+AI43/AI$19</f>
        <v>0.488477069039099</v>
      </c>
      <c r="AJ44" s="20" t="n">
        <f aca="false">+AJ43/AJ$19</f>
        <v>0.558480271577124</v>
      </c>
      <c r="AK44" s="20" t="n">
        <f aca="false">+AK43/AK$19</f>
        <v>0.556025340607026</v>
      </c>
      <c r="AL44" s="20" t="n">
        <f aca="false">+AL43/AL$19</f>
        <v>0.593678603507537</v>
      </c>
      <c r="AM44" s="20" t="n">
        <f aca="false">+AM43/AM$19</f>
        <v>0.543396584716568</v>
      </c>
      <c r="AN44" s="20" t="n">
        <f aca="false">+AN43/AN$19</f>
        <v>0.547847560511835</v>
      </c>
      <c r="AO44" s="20" t="n">
        <f aca="false">+AO43/AO$19</f>
        <v>0.552239633759862</v>
      </c>
      <c r="AP44" s="20" t="n">
        <f aca="false">+AP43/AP$19</f>
        <v>0.556624694799885</v>
      </c>
      <c r="DK44" s="1"/>
      <c r="DL44" s="1"/>
      <c r="DM44" s="1"/>
      <c r="DN44" s="1"/>
      <c r="DO44" s="1"/>
    </row>
    <row r="45" s="25" customFormat="true" ht="12.8" hidden="false" customHeight="false" outlineLevel="0" collapsed="false">
      <c r="A45" s="25" t="s">
        <v>66</v>
      </c>
      <c r="B45" s="25" t="n">
        <f aca="false">B43/B47</f>
        <v>0.820606117462062</v>
      </c>
      <c r="C45" s="25" t="n">
        <f aca="false">C43/C47</f>
        <v>0.247599922982034</v>
      </c>
      <c r="D45" s="25" t="n">
        <f aca="false">D43/D47</f>
        <v>0.370632892009255</v>
      </c>
      <c r="E45" s="25" t="n">
        <f aca="false">E43/E47</f>
        <v>0.493398651839408</v>
      </c>
      <c r="F45" s="25" t="n">
        <f aca="false">F43/F47</f>
        <v>0.597897170526819</v>
      </c>
      <c r="G45" s="25" t="n">
        <f aca="false">G43/G47</f>
        <v>0.668047059008251</v>
      </c>
      <c r="H45" s="25" t="n">
        <f aca="false">H43/H47</f>
        <v>0.779552559728804</v>
      </c>
      <c r="I45" s="25" t="n">
        <f aca="false">I43/I47</f>
        <v>0.894180462701567</v>
      </c>
      <c r="J45" s="25" t="n">
        <f aca="false">J43/J47</f>
        <v>0.964022254342534</v>
      </c>
      <c r="K45" s="25" t="n">
        <f aca="false">K43/K47</f>
        <v>1.07706749437243</v>
      </c>
      <c r="L45" s="25" t="n">
        <f aca="false">L43/L47</f>
        <v>1.3033795516908</v>
      </c>
      <c r="M45" s="25" t="n">
        <f aca="false">M43/M47</f>
        <v>1.75837661643026</v>
      </c>
      <c r="N45" s="25" t="n">
        <f aca="false">N43/N47</f>
        <v>2.39111398977129</v>
      </c>
      <c r="O45" s="25" t="n">
        <f aca="false">O43/O47</f>
        <v>2.45784074000412</v>
      </c>
      <c r="P45" s="25" t="n">
        <f aca="false">P43/P47</f>
        <v>3.32273658637019</v>
      </c>
      <c r="Q45" s="25" t="n">
        <f aca="false">Q43/Q47</f>
        <v>3.97094640724727</v>
      </c>
      <c r="V45" s="25" t="n">
        <f aca="false">V43/V47</f>
        <v>0.430020180606234</v>
      </c>
      <c r="W45" s="25" t="n">
        <f aca="false">W43/W47</f>
        <v>0.942760123367258</v>
      </c>
      <c r="X45" s="25" t="n">
        <f aca="false">X43/X47</f>
        <v>0.900119528223542</v>
      </c>
      <c r="Y45" s="25" t="n">
        <f aca="false">Y43/Y47</f>
        <v>0.739495798319328</v>
      </c>
      <c r="Z45" s="25" t="n">
        <f aca="false">Z43/Z47</f>
        <v>1.12078152753108</v>
      </c>
      <c r="AA45" s="25" t="n">
        <f aca="false">AA43/AA47</f>
        <v>1.07908611599297</v>
      </c>
      <c r="AB45" s="25" t="n">
        <f aca="false">AB43/AB47</f>
        <v>2.56702619414484</v>
      </c>
      <c r="AC45" s="25" t="n">
        <f aca="false">AC43/AC47</f>
        <v>4.82120253164557</v>
      </c>
      <c r="AD45" s="25" t="n">
        <f aca="false">AD43/AD47</f>
        <v>6.6256</v>
      </c>
      <c r="AE45" s="25" t="n">
        <f aca="false">AE43/AE47</f>
        <v>4.5242718446602</v>
      </c>
      <c r="AF45" s="25" t="n">
        <f aca="false">AF43/AF47</f>
        <v>6.89808917197452</v>
      </c>
      <c r="AG45" s="25" t="n">
        <f aca="false">AG43/AG47</f>
        <v>3.84694280078895</v>
      </c>
      <c r="AH45" s="25" t="n">
        <f aca="false">AH43/AH47</f>
        <v>1.74232149980056</v>
      </c>
      <c r="AI45" s="25" t="n">
        <f aca="false">AI43/AI47</f>
        <v>1.19322373696872</v>
      </c>
      <c r="AJ45" s="25" t="n">
        <f aca="false">AJ43/AJ47</f>
        <v>2.93817654054708</v>
      </c>
      <c r="AK45" s="25" t="n">
        <f aca="false">AK43/AK47</f>
        <v>4.89779518244304</v>
      </c>
      <c r="AL45" s="25" t="n">
        <f aca="false">AL43/AL47</f>
        <v>11.7054268381952</v>
      </c>
      <c r="AM45" s="25" t="n">
        <f aca="false">AM43/AM47</f>
        <v>22.7196422985247</v>
      </c>
      <c r="AN45" s="25" t="n">
        <f aca="false">AN43/AN47</f>
        <v>37.7788361752263</v>
      </c>
      <c r="AO45" s="25" t="n">
        <f aca="false">AO43/AO47</f>
        <v>53.8361361886362</v>
      </c>
      <c r="AP45" s="25" t="n">
        <f aca="false">AP43/AP47</f>
        <v>76.7125198727657</v>
      </c>
      <c r="DK45" s="1"/>
      <c r="DL45" s="1"/>
      <c r="DM45" s="1"/>
      <c r="DN45" s="1"/>
      <c r="DO45" s="1"/>
    </row>
    <row r="46" s="23" customFormat="true" ht="10.5" hidden="false" customHeight="true" outlineLevel="0" collapsed="false">
      <c r="F46" s="20" t="n">
        <f aca="false">+F45/B45-1</f>
        <v>-0.271395669854409</v>
      </c>
      <c r="G46" s="20" t="n">
        <f aca="false">+G45/C45-1</f>
        <v>1.69809073832678</v>
      </c>
      <c r="H46" s="20" t="n">
        <f aca="false">+H45/D45-1</f>
        <v>1.10330107374641</v>
      </c>
      <c r="I46" s="20" t="n">
        <f aca="false">+I45/E45-1</f>
        <v>0.812288013694466</v>
      </c>
      <c r="J46" s="20" t="n">
        <f aca="false">+J45/F45-1</f>
        <v>0.612354601867599</v>
      </c>
      <c r="K46" s="20" t="n">
        <f aca="false">+K45/G45-1</f>
        <v>0.612262908501372</v>
      </c>
      <c r="L46" s="20" t="n">
        <f aca="false">+L45/H45-1</f>
        <v>0.671958529831818</v>
      </c>
      <c r="M46" s="20" t="n">
        <f aca="false">+M45/I45-1</f>
        <v>0.966467273415609</v>
      </c>
      <c r="N46" s="20" t="n">
        <f aca="false">+N45/J45-1</f>
        <v>1.48035144313347</v>
      </c>
      <c r="O46" s="20" t="n">
        <f aca="false">+O45/K45-1</f>
        <v>1.28197466996831</v>
      </c>
      <c r="P46" s="20" t="n">
        <f aca="false">+P45/L45-1</f>
        <v>1.54932385739809</v>
      </c>
      <c r="Q46" s="20" t="n">
        <f aca="false">+Q45/M45-1</f>
        <v>1.25830255597281</v>
      </c>
      <c r="DK46" s="1"/>
      <c r="DL46" s="1"/>
      <c r="DM46" s="1"/>
      <c r="DN46" s="1"/>
      <c r="DO46" s="1"/>
    </row>
    <row r="47" customFormat="false" ht="12.8" hidden="false" customHeight="false" outlineLevel="0" collapsed="false">
      <c r="A47" s="3" t="s">
        <v>67</v>
      </c>
      <c r="B47" s="3" t="n">
        <v>2490</v>
      </c>
      <c r="C47" s="3" t="n">
        <v>24994</v>
      </c>
      <c r="D47" s="3" t="n">
        <v>24940</v>
      </c>
      <c r="E47" s="3" t="n">
        <v>24900</v>
      </c>
      <c r="F47" s="3" t="n">
        <v>24890</v>
      </c>
      <c r="G47" s="3" t="n">
        <v>24848</v>
      </c>
      <c r="H47" s="3" t="n">
        <v>24774</v>
      </c>
      <c r="I47" s="3" t="n">
        <v>24706</v>
      </c>
      <c r="J47" s="3" t="n">
        <v>24611</v>
      </c>
      <c r="K47" s="3" t="n">
        <v>24532</v>
      </c>
      <c r="L47" s="3" t="n">
        <v>24483</v>
      </c>
      <c r="M47" s="3" t="n">
        <v>24432</v>
      </c>
      <c r="N47" s="3" t="n">
        <v>24391</v>
      </c>
      <c r="O47" s="3" t="n">
        <v>24285</v>
      </c>
      <c r="P47" s="3" t="n">
        <v>24285</v>
      </c>
      <c r="Q47" s="3" t="n">
        <v>24285</v>
      </c>
      <c r="V47" s="3" t="n">
        <v>588.684</v>
      </c>
      <c r="W47" s="3" t="n">
        <v>616.371</v>
      </c>
      <c r="X47" s="3" t="n">
        <v>624.957</v>
      </c>
      <c r="Y47" s="3" t="n">
        <v>595</v>
      </c>
      <c r="Z47" s="3" t="n">
        <v>563</v>
      </c>
      <c r="AA47" s="3" t="n">
        <v>569</v>
      </c>
      <c r="AB47" s="3" t="n">
        <v>649</v>
      </c>
      <c r="AC47" s="3" t="n">
        <v>632</v>
      </c>
      <c r="AD47" s="3" t="n">
        <v>625</v>
      </c>
      <c r="AE47" s="3" t="n">
        <v>618</v>
      </c>
      <c r="AF47" s="3" t="n">
        <v>628</v>
      </c>
      <c r="AG47" s="3" t="n">
        <v>2535</v>
      </c>
      <c r="AH47" s="3" t="n">
        <v>2507</v>
      </c>
      <c r="AI47" s="3" t="n">
        <v>24940</v>
      </c>
      <c r="AJ47" s="3" t="n">
        <f aca="false">AVERAGE(F47:I47)</f>
        <v>24804.5</v>
      </c>
      <c r="AK47" s="3" t="n">
        <f aca="false">AVERAGE(J47:M47)</f>
        <v>24514.5</v>
      </c>
      <c r="AL47" s="3" t="n">
        <f aca="false">+AK47*(1-$AK$64)</f>
        <v>20808.7895389858</v>
      </c>
      <c r="AM47" s="3" t="n">
        <f aca="false">+AL47*(1-$AK$64)</f>
        <v>17663.2491822311</v>
      </c>
      <c r="AN47" s="3" t="n">
        <f aca="false">+AM47*(1-$AK$64)</f>
        <v>14993.2013627735</v>
      </c>
      <c r="AO47" s="3" t="n">
        <f aca="false">+AN47*(1-$AK$64)</f>
        <v>12726.7687153965</v>
      </c>
      <c r="AP47" s="3" t="n">
        <f aca="false">+AO47*(1-$AK$64)</f>
        <v>10802.9391466289</v>
      </c>
    </row>
    <row r="48" s="24" customFormat="true" ht="10.5" hidden="false" customHeight="true" outlineLevel="0" collapsed="false">
      <c r="C48" s="24" t="n">
        <f aca="false">+C47/B47-1</f>
        <v>9.03775100401606</v>
      </c>
      <c r="D48" s="24" t="n">
        <f aca="false">+D47/C47-1</f>
        <v>-0.00216051852444588</v>
      </c>
      <c r="E48" s="24" t="n">
        <f aca="false">+E47/D47-1</f>
        <v>-0.00160384923817158</v>
      </c>
      <c r="F48" s="24" t="n">
        <f aca="false">+F47/E47-1</f>
        <v>-0.000401606425702861</v>
      </c>
      <c r="G48" s="24" t="n">
        <f aca="false">+G47/F47-1</f>
        <v>-0.00168742466854155</v>
      </c>
      <c r="H48" s="24" t="n">
        <f aca="false">+H47/G47-1</f>
        <v>-0.00297810688989053</v>
      </c>
      <c r="I48" s="24" t="n">
        <f aca="false">+I47/H47-1</f>
        <v>-0.00274481311051911</v>
      </c>
      <c r="J48" s="24" t="n">
        <f aca="false">+J47/I47-1</f>
        <v>-0.00384521978466768</v>
      </c>
      <c r="K48" s="24" t="n">
        <f aca="false">+K47/J47-1</f>
        <v>-0.00320994677176867</v>
      </c>
      <c r="L48" s="24" t="n">
        <f aca="false">+L47/K47-1</f>
        <v>-0.00199739116256314</v>
      </c>
      <c r="M48" s="24" t="n">
        <f aca="false">+M47/L47-1</f>
        <v>-0.00208307805416008</v>
      </c>
      <c r="N48" s="24" t="n">
        <f aca="false">+N47/M47-1</f>
        <v>-0.00167812704649639</v>
      </c>
      <c r="O48" s="24" t="n">
        <f aca="false">+O47/N47-1</f>
        <v>-0.00434586527817638</v>
      </c>
      <c r="P48" s="24" t="n">
        <f aca="false">+P47/O47-1</f>
        <v>0</v>
      </c>
      <c r="Q48" s="24" t="n">
        <f aca="false">+Q47/P47-1</f>
        <v>0</v>
      </c>
      <c r="DK48" s="1"/>
      <c r="DL48" s="1"/>
      <c r="DM48" s="1"/>
      <c r="DN48" s="1"/>
      <c r="DO48" s="1"/>
    </row>
    <row r="50" s="26" customFormat="true" ht="12.8" hidden="false" customHeight="false" outlineLevel="0" collapsed="false">
      <c r="A50" s="26" t="s">
        <v>68</v>
      </c>
      <c r="B50" s="26" t="n">
        <v>0</v>
      </c>
      <c r="C50" s="26" t="n">
        <v>0</v>
      </c>
      <c r="D50" s="26" t="n">
        <v>0</v>
      </c>
      <c r="E50" s="26" t="n">
        <v>0</v>
      </c>
      <c r="F50" s="26" t="n">
        <f aca="false">F19/B19-1</f>
        <v>2.62124582869855</v>
      </c>
      <c r="G50" s="26" t="n">
        <f aca="false">G19/C19-1</f>
        <v>1.22403198341601</v>
      </c>
      <c r="H50" s="26" t="n">
        <f aca="false">H19/D19-1</f>
        <v>0.936258278145695</v>
      </c>
      <c r="I50" s="26" t="n">
        <f aca="false">I19/E19-1</f>
        <v>0.779441704745962</v>
      </c>
      <c r="J50" s="26" t="n">
        <f aca="false">J19/F19-1</f>
        <v>0.881892182460452</v>
      </c>
      <c r="K50" s="26" t="n">
        <f aca="false">K19/G19-1</f>
        <v>0.556025299600533</v>
      </c>
      <c r="L50" s="26" t="n">
        <f aca="false">L19/H19-1</f>
        <v>0.624796921761436</v>
      </c>
      <c r="M50" s="26" t="n">
        <f aca="false">M19/I19-1</f>
        <v>0.732145127253312</v>
      </c>
      <c r="N50" s="26" t="n">
        <f aca="false">N19/J19-1</f>
        <v>0.665204439729046</v>
      </c>
      <c r="O50" s="26" t="n">
        <f aca="false">O19/K19-1</f>
        <v>1.05851143486725</v>
      </c>
      <c r="P50" s="26" t="n">
        <f aca="false">P19/L19-1</f>
        <v>0.9</v>
      </c>
      <c r="Q50" s="26" t="n">
        <f aca="false">Q19/M19-1</f>
        <v>0.9</v>
      </c>
      <c r="W50" s="26" t="n">
        <f aca="false">W19/V19-1</f>
        <v>0.128304079604686</v>
      </c>
      <c r="X50" s="26" t="n">
        <f aca="false">X19/W19-1</f>
        <v>0.070593782282331</v>
      </c>
      <c r="Y50" s="26" t="n">
        <f aca="false">Y19/X19-1</f>
        <v>-0.0350825752033978</v>
      </c>
      <c r="Z50" s="26" t="n">
        <f aca="false">Z19/Y19-1</f>
        <v>0.13365617433414</v>
      </c>
      <c r="AA50" s="26" t="n">
        <f aca="false">AA19/Z19-1</f>
        <v>0.0700555318240068</v>
      </c>
      <c r="AB50" s="26" t="n">
        <f aca="false">AB19/AA19-1</f>
        <v>0.379241516966068</v>
      </c>
      <c r="AC50" s="26" t="n">
        <f aca="false">AC19/AB19-1</f>
        <v>0.405788712011578</v>
      </c>
      <c r="AD50" s="26" t="n">
        <f aca="false">AD19/AC19-1</f>
        <v>0.206094296891085</v>
      </c>
      <c r="AE50" s="26" t="n">
        <f aca="false">AE19/AD19-1</f>
        <v>-0.0681119836121543</v>
      </c>
      <c r="AF50" s="26" t="n">
        <f aca="false">AF19/AE19-1</f>
        <v>0.527294376259388</v>
      </c>
      <c r="AG50" s="26" t="n">
        <f aca="false">AG19/AF19-1</f>
        <v>0.614032983508246</v>
      </c>
      <c r="AH50" s="26" t="n">
        <f aca="false">AH19/AG19-1</f>
        <v>0.00222932302890699</v>
      </c>
      <c r="AI50" s="26" t="n">
        <f aca="false">AI19/AH19-1</f>
        <v>1.25854526581152</v>
      </c>
      <c r="AJ50" s="26" t="n">
        <f aca="false">AJ19/AI19-1</f>
        <v>1.14203407635994</v>
      </c>
      <c r="AK50" s="26" t="n">
        <f aca="false">AK19/AJ19-1</f>
        <v>0.654735357900948</v>
      </c>
      <c r="AL50" s="26" t="n">
        <f aca="false">AL19/AK19-1</f>
        <v>0.9</v>
      </c>
      <c r="AM50" s="26" t="n">
        <f aca="false">AM19/AL19-1</f>
        <v>0.8</v>
      </c>
      <c r="AN50" s="26" t="n">
        <f aca="false">AN19/AM19-1</f>
        <v>0.4</v>
      </c>
      <c r="AO50" s="26" t="n">
        <f aca="false">AO19/AN19-1</f>
        <v>0.2</v>
      </c>
      <c r="AP50" s="26" t="n">
        <f aca="false">AP19/AO19-1</f>
        <v>0.2</v>
      </c>
      <c r="DK50" s="1"/>
      <c r="DL50" s="1"/>
      <c r="DM50" s="1"/>
      <c r="DN50" s="1"/>
      <c r="DO50" s="1"/>
    </row>
    <row r="51" s="27" customFormat="true" ht="12.8" hidden="false" customHeight="false" outlineLevel="0" collapsed="false">
      <c r="A51" s="27" t="s">
        <v>69</v>
      </c>
      <c r="B51" s="27" t="n">
        <v>0</v>
      </c>
      <c r="C51" s="27" t="n">
        <f aca="false">C19/B19-1</f>
        <v>0.878058954393771</v>
      </c>
      <c r="D51" s="27" t="n">
        <f aca="false">D19/C19-1</f>
        <v>0.34152661582883</v>
      </c>
      <c r="E51" s="27" t="n">
        <f aca="false">E19/D19-1</f>
        <v>0.219812362030905</v>
      </c>
      <c r="F51" s="27" t="n">
        <f aca="false">F19/E19-1</f>
        <v>0.178301588019726</v>
      </c>
      <c r="G51" s="27" t="n">
        <f aca="false">G19/F19-1</f>
        <v>0.153432652434342</v>
      </c>
      <c r="H51" s="27" t="n">
        <f aca="false">H19/G19-1</f>
        <v>0.167942743009321</v>
      </c>
      <c r="I51" s="27" t="n">
        <f aca="false">I19/H19-1</f>
        <v>0.121020379079379</v>
      </c>
      <c r="J51" s="27" t="n">
        <f aca="false">J19/I19-1</f>
        <v>0.246141720271541</v>
      </c>
      <c r="K51" s="27" t="n">
        <f aca="false">K19/J19-1</f>
        <v>-0.0462947849506243</v>
      </c>
      <c r="L51" s="27" t="n">
        <f aca="false">L19/K19-1</f>
        <v>0.219562287401322</v>
      </c>
      <c r="M51" s="27" t="n">
        <f aca="false">M19/L19-1</f>
        <v>0.195084727923377</v>
      </c>
      <c r="N51" s="27" t="n">
        <f aca="false">N19/M19-1</f>
        <v>0.197983178475494</v>
      </c>
      <c r="O51" s="27" t="n">
        <f aca="false">O19/N19-1</f>
        <v>0.178962200575875</v>
      </c>
      <c r="P51" s="27" t="n">
        <f aca="false">P19/O19-1</f>
        <v>0.125652404360794</v>
      </c>
      <c r="Q51" s="27" t="n">
        <f aca="false">Q19/P19-1</f>
        <v>0.195084727923377</v>
      </c>
      <c r="W51" s="27" t="n">
        <v>0</v>
      </c>
      <c r="X51" s="27" t="n">
        <v>0</v>
      </c>
      <c r="Y51" s="27" t="n">
        <v>0</v>
      </c>
      <c r="Z51" s="27" t="n">
        <v>0</v>
      </c>
      <c r="AA51" s="27" t="n">
        <v>0</v>
      </c>
      <c r="AB51" s="27" t="n">
        <v>0</v>
      </c>
      <c r="AC51" s="27" t="n">
        <v>0</v>
      </c>
      <c r="AD51" s="27" t="n">
        <v>0</v>
      </c>
      <c r="AE51" s="27" t="n">
        <v>0</v>
      </c>
      <c r="AF51" s="27" t="n">
        <v>0</v>
      </c>
      <c r="AG51" s="27" t="n">
        <v>0</v>
      </c>
      <c r="AH51" s="27" t="n">
        <v>0</v>
      </c>
      <c r="AI51" s="27" t="n">
        <v>0</v>
      </c>
      <c r="AJ51" s="27" t="n">
        <v>0</v>
      </c>
      <c r="AK51" s="27" t="n">
        <v>0</v>
      </c>
      <c r="AL51" s="28"/>
      <c r="DK51" s="1"/>
      <c r="DL51" s="1"/>
      <c r="DM51" s="1"/>
      <c r="DN51" s="1"/>
      <c r="DO51" s="1"/>
    </row>
    <row r="52" s="27" customFormat="true" ht="12.8" hidden="false" customHeight="false" outlineLevel="0" collapsed="false">
      <c r="A52" s="27" t="s">
        <v>70</v>
      </c>
      <c r="B52" s="27" t="n">
        <v>0</v>
      </c>
      <c r="C52" s="27" t="n">
        <v>0</v>
      </c>
      <c r="D52" s="27" t="n">
        <v>0</v>
      </c>
      <c r="E52" s="27" t="n">
        <f aca="false">((E43+D43)/(C43+B43))-1</f>
        <v>1.61536407401947</v>
      </c>
      <c r="F52" s="27" t="n">
        <f aca="false">((F43+E43)/(D43+C43))-1</f>
        <v>0.760440421950903</v>
      </c>
      <c r="G52" s="27" t="n">
        <f aca="false">((G43+F43)/(E43+D43))-1</f>
        <v>0.462259543614016</v>
      </c>
      <c r="H52" s="27" t="n">
        <f aca="false">((H43+G43)/(F43+E43))-1</f>
        <v>0.321893806697236</v>
      </c>
      <c r="I52" s="27" t="n">
        <f aca="false">((I43+H43)/(G43+F43))-1</f>
        <v>0.315201902506073</v>
      </c>
      <c r="J52" s="27" t="n">
        <f aca="false">((J43+I43)/(H43+G43))-1</f>
        <v>0.275808413315857</v>
      </c>
      <c r="K52" s="27" t="n">
        <f aca="false">((K43+J43)/(I43+H43))-1</f>
        <v>0.211183930074951</v>
      </c>
      <c r="L52" s="27" t="n">
        <f aca="false">((L43+K43)/(J43+I43))-1</f>
        <v>0.27317457564362</v>
      </c>
      <c r="M52" s="27" t="n">
        <f aca="false">((M43+L43)/(K43+J43))-1</f>
        <v>0.493001576261502</v>
      </c>
      <c r="N52" s="27" t="n">
        <f aca="false">((N43+M43)/(L43+K43))-1</f>
        <v>0.736270465554211</v>
      </c>
      <c r="O52" s="27" t="n">
        <f aca="false">((O43+N43)/(M43+L43))-1</f>
        <v>0.576175719967002</v>
      </c>
      <c r="P52" s="27" t="n">
        <f aca="false">((P43+O43)/(N43+M43))-1</f>
        <v>0.386039755117154</v>
      </c>
      <c r="Q52" s="27" t="n">
        <f aca="false">((Q43+P43)/(O43+N43))-1</f>
        <v>0.50094573045169</v>
      </c>
      <c r="W52" s="27" t="n">
        <v>0</v>
      </c>
      <c r="X52" s="27" t="n">
        <v>0</v>
      </c>
      <c r="Y52" s="27" t="n">
        <v>0</v>
      </c>
      <c r="Z52" s="27" t="n">
        <v>0</v>
      </c>
      <c r="AA52" s="27" t="n">
        <v>0</v>
      </c>
      <c r="AB52" s="27" t="n">
        <v>0</v>
      </c>
      <c r="AC52" s="27" t="n">
        <v>0</v>
      </c>
      <c r="AD52" s="27" t="n">
        <v>0</v>
      </c>
      <c r="AE52" s="27" t="n">
        <v>0</v>
      </c>
      <c r="AF52" s="27" t="n">
        <v>0</v>
      </c>
      <c r="AG52" s="27" t="n">
        <v>0</v>
      </c>
      <c r="AH52" s="27" t="n">
        <v>0</v>
      </c>
      <c r="AI52" s="27" t="n">
        <v>0</v>
      </c>
      <c r="AJ52" s="27" t="n">
        <v>0</v>
      </c>
      <c r="AK52" s="27" t="n">
        <v>0</v>
      </c>
      <c r="AL52" s="28"/>
      <c r="AS52" s="29" t="s">
        <v>71</v>
      </c>
      <c r="AT52" s="30" t="n">
        <v>0.03</v>
      </c>
      <c r="DK52" s="1"/>
      <c r="DL52" s="1"/>
      <c r="DM52" s="1"/>
      <c r="DN52" s="1"/>
      <c r="DO52" s="1"/>
    </row>
    <row r="53" s="28" customFormat="true" ht="12.8" hidden="false" customHeight="false" outlineLevel="0" collapsed="false">
      <c r="A53" s="28" t="s">
        <v>72</v>
      </c>
      <c r="B53" s="27" t="n">
        <v>0</v>
      </c>
      <c r="C53" s="27" t="n">
        <v>0</v>
      </c>
      <c r="D53" s="27" t="n">
        <v>0</v>
      </c>
      <c r="E53" s="27" t="n">
        <v>0</v>
      </c>
      <c r="F53" s="28" t="n">
        <f aca="false">F3/B3-1</f>
        <v>4.26680672268908</v>
      </c>
      <c r="G53" s="28" t="n">
        <f aca="false">G3/C3-1</f>
        <v>1.54499660951274</v>
      </c>
      <c r="H53" s="28" t="n">
        <f aca="false">H3/D3-1</f>
        <v>1.12009094667218</v>
      </c>
      <c r="I53" s="28" t="n">
        <f aca="false">I3/E3-1</f>
        <v>0.933275374918496</v>
      </c>
      <c r="J53" s="28" t="n">
        <f aca="false">J3/F3-1</f>
        <v>0.952843150290298</v>
      </c>
      <c r="K53" s="28" t="n">
        <f aca="false">K3/G3-1</f>
        <v>0.564250913520098</v>
      </c>
      <c r="L53" s="28" t="n">
        <f aca="false">L3/H3-1</f>
        <v>0.664391797471645</v>
      </c>
      <c r="M53" s="28" t="n">
        <f aca="false">M3/I3-1</f>
        <v>0.751377178189994</v>
      </c>
      <c r="N53" s="28" t="n">
        <f aca="false">N3/J3-1</f>
        <v>0.70668603331669</v>
      </c>
      <c r="Z53" s="28" t="n">
        <f aca="false">Z3/Y3-1</f>
        <v>0.592964824120603</v>
      </c>
      <c r="AA53" s="28" t="n">
        <f aca="false">AA3/Z3-1</f>
        <v>0.0694006309148265</v>
      </c>
      <c r="AB53" s="28" t="n">
        <f aca="false">AB3/AA3-1</f>
        <v>1.44837758112094</v>
      </c>
      <c r="AC53" s="28" t="n">
        <f aca="false">AC3/AB3-1</f>
        <v>1.32771084337349</v>
      </c>
      <c r="AD53" s="28" t="n">
        <f aca="false">AD3/AC3-1</f>
        <v>0.5175983436853</v>
      </c>
      <c r="AE53" s="28" t="n">
        <f aca="false">AE3/AD3-1</f>
        <v>0.0173942701227832</v>
      </c>
      <c r="AF53" s="28" t="n">
        <f aca="false">AF3/AE3-1</f>
        <v>1.24472008045592</v>
      </c>
      <c r="AG53" s="28" t="n">
        <f aca="false">AG3/AF3-1</f>
        <v>0.584976105137395</v>
      </c>
      <c r="AH53" s="28" t="n">
        <f aca="false">AH3/AG3-1</f>
        <v>0.41383209271648</v>
      </c>
      <c r="AI53" s="28" t="n">
        <f aca="false">AI3/AH3-1</f>
        <v>2.16727757414195</v>
      </c>
      <c r="AJ53" s="28" t="n">
        <f aca="false">AJ3/AI3-1</f>
        <v>1.4236927932667</v>
      </c>
      <c r="AK53" s="28" t="n">
        <f aca="false">AK3/AJ3-1</f>
        <v>0.681949195214696</v>
      </c>
      <c r="AS53" s="31" t="s">
        <v>73</v>
      </c>
      <c r="AT53" s="32" t="n">
        <v>0.16</v>
      </c>
      <c r="DK53" s="1"/>
      <c r="DL53" s="1"/>
      <c r="DM53" s="1"/>
      <c r="DN53" s="1"/>
      <c r="DO53" s="1"/>
    </row>
    <row r="54" s="28" customFormat="true" ht="12.8" hidden="false" customHeight="false" outlineLevel="0" collapsed="false">
      <c r="A54" s="28" t="s">
        <v>74</v>
      </c>
      <c r="B54" s="27" t="n">
        <v>0</v>
      </c>
      <c r="C54" s="27" t="n">
        <v>0</v>
      </c>
      <c r="D54" s="27" t="n">
        <v>0</v>
      </c>
      <c r="E54" s="27" t="n">
        <v>0</v>
      </c>
      <c r="F54" s="28" t="n">
        <f aca="false">F8/B8-1</f>
        <v>0.181696428571429</v>
      </c>
      <c r="G54" s="28" t="n">
        <f aca="false">G8/C8-1</f>
        <v>0.158487530168946</v>
      </c>
      <c r="H54" s="28" t="n">
        <f aca="false">H8/D8-1</f>
        <v>0.148109243697479</v>
      </c>
      <c r="I54" s="28" t="n">
        <f aca="false">I8/E8-1</f>
        <v>-0.112041884816754</v>
      </c>
      <c r="J54" s="28" t="n">
        <f aca="false">J8/F8-1</f>
        <v>0.421609369097091</v>
      </c>
      <c r="K54" s="28" t="n">
        <f aca="false">K8/G8-1</f>
        <v>0.488541666666667</v>
      </c>
      <c r="L54" s="28" t="n">
        <f aca="false">L8/H8-1</f>
        <v>0.300701433363831</v>
      </c>
      <c r="M54" s="28" t="n">
        <f aca="false">M8/I8-1</f>
        <v>0.46501572327044</v>
      </c>
      <c r="Z54" s="28" t="n">
        <f aca="false">Z8/Y8-1</f>
        <v>0.362011912640635</v>
      </c>
      <c r="AA54" s="28" t="n">
        <f aca="false">AA8/Z8-1</f>
        <v>0.369290573372206</v>
      </c>
      <c r="AB54" s="28" t="n">
        <f aca="false">AB8/AA8-1</f>
        <v>0.440738112136267</v>
      </c>
      <c r="AC54" s="28" t="n">
        <f aca="false">AC8/AB8-1</f>
        <v>0.357881773399015</v>
      </c>
      <c r="AD54" s="28" t="n">
        <f aca="false">AD8/AC8-1</f>
        <v>0.132958461817522</v>
      </c>
      <c r="AE54" s="28" t="n">
        <f aca="false">AE8/AD8-1</f>
        <v>-0.116554594940762</v>
      </c>
      <c r="AF54" s="28" t="n">
        <f aca="false">AF8/AE8-1</f>
        <v>0.406125407756434</v>
      </c>
      <c r="AG54" s="28" t="n">
        <f aca="false">AG8/AF8-1</f>
        <v>0.606134811187009</v>
      </c>
      <c r="AH54" s="28" t="n">
        <f aca="false">AH8/AG8-1</f>
        <v>-0.272428181672284</v>
      </c>
      <c r="AI54" s="28" t="n">
        <f aca="false">AI8/AH8-1</f>
        <v>0.152200286754163</v>
      </c>
      <c r="AJ54" s="28" t="n">
        <f aca="false">AJ8/AI8-1</f>
        <v>0.086436297501675</v>
      </c>
      <c r="AK54" s="28" t="n">
        <f aca="false">AK8/AJ8-1</f>
        <v>0.413392070484582</v>
      </c>
      <c r="AS54" s="33" t="s">
        <v>75</v>
      </c>
      <c r="AT54" s="34" t="n">
        <v>0.02</v>
      </c>
      <c r="DK54" s="1"/>
      <c r="DL54" s="1"/>
      <c r="DM54" s="1"/>
      <c r="DN54" s="1"/>
      <c r="DO54" s="1"/>
    </row>
    <row r="55" s="28" customFormat="true" ht="12.8" hidden="false" customHeight="false" outlineLevel="0" collapsed="false">
      <c r="A55" s="28" t="s">
        <v>76</v>
      </c>
      <c r="B55" s="27" t="n">
        <v>0</v>
      </c>
      <c r="C55" s="27" t="n">
        <v>0</v>
      </c>
      <c r="D55" s="27" t="n">
        <v>0</v>
      </c>
      <c r="E55" s="27" t="n">
        <v>0</v>
      </c>
      <c r="F55" s="28" t="n">
        <f aca="false">F10/B10-1</f>
        <v>0.447457627118644</v>
      </c>
      <c r="G55" s="28" t="n">
        <f aca="false">G10/C10-1</f>
        <v>0.197889182058048</v>
      </c>
      <c r="H55" s="28" t="n">
        <f aca="false">H10/D10-1</f>
        <v>0.175480769230769</v>
      </c>
      <c r="I55" s="28" t="n">
        <f aca="false">I10/E10-1</f>
        <v>0.103671706263499</v>
      </c>
      <c r="J55" s="28" t="n">
        <f aca="false">J10/F10-1</f>
        <v>0.192037470725995</v>
      </c>
      <c r="K55" s="28" t="n">
        <f aca="false">K10/G10-1</f>
        <v>0.323788546255507</v>
      </c>
      <c r="L55" s="28" t="n">
        <f aca="false">L10/H10-1</f>
        <v>0.554192229038855</v>
      </c>
      <c r="M55" s="28" t="n">
        <f aca="false">M10/I10-1</f>
        <v>1.58512720156556</v>
      </c>
      <c r="Z55" s="28" t="n">
        <f aca="false">Z10/Y10-1</f>
        <v>0.00760456273764265</v>
      </c>
      <c r="AA55" s="28" t="n">
        <f aca="false">AA10/Z10-1</f>
        <v>-0.0566037735849057</v>
      </c>
      <c r="AB55" s="28" t="n">
        <f aca="false">AB10/AA10-1</f>
        <v>0.113333333333333</v>
      </c>
      <c r="AC55" s="28" t="n">
        <f aca="false">AC10/AB10-1</f>
        <v>0.118562874251497</v>
      </c>
      <c r="AD55" s="28" t="n">
        <f aca="false">AD10/AC10-1</f>
        <v>0.209850107066381</v>
      </c>
      <c r="AE55" s="28" t="n">
        <f aca="false">AE10/AD10-1</f>
        <v>0.072566371681416</v>
      </c>
      <c r="AF55" s="28" t="n">
        <f aca="false">AF10/AE10-1</f>
        <v>-0.131188118811881</v>
      </c>
      <c r="AG55" s="28" t="n">
        <f aca="false">AG10/AF10-1</f>
        <v>1.00474833808167</v>
      </c>
      <c r="AH55" s="28" t="n">
        <f aca="false">AH10/AG10-1</f>
        <v>-0.268593083846518</v>
      </c>
      <c r="AI55" s="28" t="n">
        <f aca="false">AI10/AH10-1</f>
        <v>0.00582901554404147</v>
      </c>
      <c r="AJ55" s="28" t="n">
        <f aca="false">AJ10/AI10-1</f>
        <v>0.209272376046362</v>
      </c>
      <c r="AK55" s="28" t="n">
        <f aca="false">AK10/AJ10-1</f>
        <v>0.699148029818956</v>
      </c>
      <c r="AS55" s="31" t="s">
        <v>77</v>
      </c>
      <c r="AT55" s="35" t="n">
        <f aca="false">+NPV(AT53,AL43:DJ43)</f>
        <v>4769636.12987327</v>
      </c>
      <c r="DK55" s="1"/>
      <c r="DL55" s="1"/>
      <c r="DM55" s="1"/>
      <c r="DN55" s="1"/>
      <c r="DO55" s="1"/>
    </row>
    <row r="56" s="28" customFormat="true" ht="12.8" hidden="false" customHeight="false" outlineLevel="0" collapsed="false">
      <c r="A56" s="28" t="s">
        <v>78</v>
      </c>
      <c r="B56" s="27" t="n">
        <v>0</v>
      </c>
      <c r="C56" s="27" t="n">
        <v>0</v>
      </c>
      <c r="D56" s="27" t="n">
        <v>0</v>
      </c>
      <c r="E56" s="27" t="n">
        <v>0</v>
      </c>
      <c r="F56" s="28" t="n">
        <f aca="false">F12/B12-1</f>
        <v>0.111486486486486</v>
      </c>
      <c r="G56" s="28" t="n">
        <f aca="false">G12/C12-1</f>
        <v>0.367588932806324</v>
      </c>
      <c r="H56" s="28" t="n">
        <f aca="false">H12/D12-1</f>
        <v>0.720306513409962</v>
      </c>
      <c r="I56" s="28" t="n">
        <f aca="false">I12/E12-1</f>
        <v>1.02846975088968</v>
      </c>
      <c r="J56" s="28" t="n">
        <f aca="false">J12/F12-1</f>
        <v>0.723404255319149</v>
      </c>
      <c r="K56" s="28" t="n">
        <f aca="false">K12/G12-1</f>
        <v>0.69364161849711</v>
      </c>
      <c r="L56" s="28" t="n">
        <f aca="false">L12/H12-1</f>
        <v>0.318485523385301</v>
      </c>
      <c r="M56" s="28" t="n">
        <f aca="false">M12/I12-1</f>
        <v>0.0596491228070175</v>
      </c>
      <c r="Z56" s="28" t="n">
        <f aca="false">Z12/Y12-1</f>
        <v>0.848484848484848</v>
      </c>
      <c r="AA56" s="28" t="n">
        <f aca="false">AA12/Z12-1</f>
        <v>0.748633879781421</v>
      </c>
      <c r="AB56" s="28" t="n">
        <f aca="false">AB12/AA12-1</f>
        <v>0.521875</v>
      </c>
      <c r="AC56" s="28" t="n">
        <f aca="false">AC12/AB12-1</f>
        <v>0.145790554414784</v>
      </c>
      <c r="AD56" s="28" t="n">
        <f aca="false">AD12/AC12-1</f>
        <v>0.148745519713262</v>
      </c>
      <c r="AE56" s="28" t="n">
        <f aca="false">AE12/AD12-1</f>
        <v>0.0920436817472699</v>
      </c>
      <c r="AF56" s="28" t="n">
        <f aca="false">AF12/AE12-1</f>
        <v>-0.234285714285714</v>
      </c>
      <c r="AG56" s="28" t="n">
        <f aca="false">AG12/AF12-1</f>
        <v>0.0559701492537315</v>
      </c>
      <c r="AH56" s="28" t="n">
        <f aca="false">AH12/AG12-1</f>
        <v>0.595406360424028</v>
      </c>
      <c r="AI56" s="28" t="n">
        <f aca="false">AI12/AH12-1</f>
        <v>0.208194905869324</v>
      </c>
      <c r="AJ56" s="28" t="n">
        <f aca="false">AJ12/AI12-1</f>
        <v>0.552703941338222</v>
      </c>
      <c r="AK56" s="28" t="n">
        <f aca="false">AK12/AJ12-1</f>
        <v>0.386658795749705</v>
      </c>
      <c r="AS56" s="33" t="s">
        <v>2</v>
      </c>
      <c r="AT56" s="36" t="n">
        <f aca="false">+AT55/Main!F2</f>
        <v>197.910212857812</v>
      </c>
      <c r="DK56" s="1"/>
      <c r="DL56" s="1"/>
      <c r="DM56" s="1"/>
      <c r="DN56" s="1"/>
      <c r="DO56" s="1"/>
    </row>
    <row r="57" s="28" customFormat="true" ht="12.8" hidden="false" customHeight="false" outlineLevel="0" collapsed="false">
      <c r="A57" s="28" t="s">
        <v>79</v>
      </c>
      <c r="B57" s="27" t="n">
        <v>0</v>
      </c>
      <c r="C57" s="27" t="n">
        <v>0</v>
      </c>
      <c r="D57" s="27" t="n">
        <v>0</v>
      </c>
      <c r="E57" s="27" t="n">
        <v>0</v>
      </c>
      <c r="F57" s="28" t="n">
        <f aca="false">F14/B14-1</f>
        <v>0.0129870129870129</v>
      </c>
      <c r="G57" s="28" t="n">
        <f aca="false">G14/C14-1</f>
        <v>0.333333333333333</v>
      </c>
      <c r="H57" s="28" t="n">
        <f aca="false">H14/D14-1</f>
        <v>0.328767123287671</v>
      </c>
      <c r="I57" s="28" t="n">
        <f aca="false">I14/E14-1</f>
        <v>0.4</v>
      </c>
      <c r="J57" s="28" t="n">
        <f aca="false">J14/F14-1</f>
        <v>0.423076923076923</v>
      </c>
      <c r="K57" s="28" t="n">
        <f aca="false">K14/G14-1</f>
        <v>0.965909090909091</v>
      </c>
      <c r="L57" s="28" t="n">
        <f aca="false">L14/H14-1</f>
        <v>0.793814432989691</v>
      </c>
      <c r="M57" s="28" t="n">
        <f aca="false">M14/I14-1</f>
        <v>0.277777777777778</v>
      </c>
      <c r="Z57" s="28" t="n">
        <f aca="false">Z14/Y14-1</f>
        <v>-0.132506527415144</v>
      </c>
      <c r="AA57" s="28" t="n">
        <f aca="false">AA14/Z14-1</f>
        <v>-0.410835214446953</v>
      </c>
      <c r="AB57" s="28" t="n">
        <f aca="false">AB14/AA14-1</f>
        <v>-0.108556832694764</v>
      </c>
      <c r="AC57" s="28" t="n">
        <f aca="false">AC14/AB14-1</f>
        <v>0.113180515759312</v>
      </c>
      <c r="AD57" s="28" t="n">
        <f aca="false">AD14/AC14-1</f>
        <v>-0.0128700128700129</v>
      </c>
      <c r="AE57" s="28" t="n">
        <f aca="false">AE14/AD14-1</f>
        <v>-0.341590612777054</v>
      </c>
      <c r="AF57" s="28" t="n">
        <f aca="false">AF14/AE14-1</f>
        <v>0.24950495049505</v>
      </c>
      <c r="AG57" s="28" t="n">
        <f aca="false">AG14/AF14-1</f>
        <v>0.841521394611728</v>
      </c>
      <c r="AH57" s="28" t="n">
        <f aca="false">AH14/AG14-1</f>
        <v>-0.608433734939759</v>
      </c>
      <c r="AI57" s="28" t="n">
        <f aca="false">AI14/AH14-1</f>
        <v>-0.327472527472527</v>
      </c>
      <c r="AJ57" s="28" t="n">
        <f aca="false">AJ14/AI14-1</f>
        <v>0.271241830065359</v>
      </c>
      <c r="AK57" s="28" t="n">
        <f aca="false">AK14/AJ14-1</f>
        <v>0.591259640102828</v>
      </c>
      <c r="AS57" s="37" t="s">
        <v>80</v>
      </c>
      <c r="AT57" s="38" t="n">
        <f aca="false">+AT56/Main!F1-1</f>
        <v>-0.0963003979095335</v>
      </c>
      <c r="DK57" s="1"/>
      <c r="DL57" s="1"/>
      <c r="DM57" s="1"/>
      <c r="DN57" s="1"/>
      <c r="DO57" s="1"/>
    </row>
    <row r="58" s="28" customFormat="true" ht="12.8" hidden="false" customHeight="false" outlineLevel="0" collapsed="false">
      <c r="A58" s="28" t="s">
        <v>19</v>
      </c>
      <c r="B58" s="27"/>
      <c r="C58" s="27"/>
      <c r="D58" s="27"/>
      <c r="E58" s="27"/>
      <c r="F58" s="39"/>
      <c r="G58" s="39"/>
      <c r="H58" s="39"/>
      <c r="I58" s="39"/>
      <c r="J58" s="39" t="n">
        <f aca="false">+((SUM(G31:J31)-SUM(C31:F31))/((SUM(G19:J19)-SUM(C19:F19))))</f>
        <v>0.588853909409179</v>
      </c>
      <c r="K58" s="39" t="n">
        <f aca="false">+((SUM(H31:K31)-SUM(D31:G31))/((SUM(H19:K19)-SUM(D19:G19))))</f>
        <v>0.559826167009639</v>
      </c>
      <c r="L58" s="39" t="n">
        <f aca="false">+((SUM(I31:L31)-SUM(E31:H31))/((SUM(I19:L19)-SUM(E19:H19))))</f>
        <v>0.558665313372241</v>
      </c>
      <c r="M58" s="39" t="n">
        <f aca="false">+((SUM(J31:M31)-SUM(F31:I31))/((SUM(J19:M19)-SUM(F19:I19))))</f>
        <v>0.596096827012435</v>
      </c>
      <c r="N58" s="39" t="n">
        <f aca="false">+((SUM(K31:N31)-SUM(G31:J31))/((SUM(K19:N19)-SUM(G19:J19))))</f>
        <v>0.711326394929166</v>
      </c>
      <c r="O58" s="39" t="n">
        <f aca="false">+((SUM(L31:O31)-SUM(H31:K31))/((SUM(L19:O19)-SUM(H19:K19))))</f>
        <v>0.727759454208648</v>
      </c>
      <c r="P58" s="39" t="n">
        <f aca="false">+((SUM(M31:P31)-SUM(I31:L31))/((SUM(M19:P19)-SUM(I19:L19))))</f>
        <v>0.730807294749615</v>
      </c>
      <c r="Q58" s="39" t="n">
        <f aca="false">+((SUM(N31:Q31)-SUM(J31:M31))/((SUM(N19:Q19)-SUM(J19:M19))))</f>
        <v>0.719250344246323</v>
      </c>
      <c r="DK58" s="1"/>
      <c r="DL58" s="1"/>
      <c r="DM58" s="1"/>
      <c r="DN58" s="1"/>
      <c r="DO58" s="1"/>
    </row>
    <row r="59" s="28" customFormat="true" ht="12.8" hidden="false" customHeight="false" outlineLevel="0" collapsed="false">
      <c r="B59" s="27"/>
      <c r="C59" s="27"/>
      <c r="D59" s="27"/>
      <c r="E59" s="27"/>
      <c r="DK59" s="1"/>
      <c r="DL59" s="1"/>
      <c r="DM59" s="1"/>
      <c r="DN59" s="1"/>
      <c r="DO59" s="1"/>
    </row>
    <row r="60" s="28" customFormat="true" ht="12.8" hidden="false" customHeight="false" outlineLevel="0" collapsed="false">
      <c r="DK60" s="1"/>
      <c r="DL60" s="1"/>
      <c r="DM60" s="1"/>
      <c r="DN60" s="1"/>
      <c r="DO60" s="1"/>
    </row>
    <row r="61" s="28" customFormat="true" ht="12.8" hidden="false" customHeight="false" outlineLevel="0" collapsed="false">
      <c r="A61" s="28" t="s">
        <v>81</v>
      </c>
      <c r="B61" s="28" t="n">
        <f aca="false">B23/B19</f>
        <v>0.646273637374861</v>
      </c>
      <c r="C61" s="28" t="n">
        <f aca="false">C23/C19</f>
        <v>0.700525653364922</v>
      </c>
      <c r="D61" s="28" t="n">
        <f aca="false">D23/D19</f>
        <v>0.739514348785872</v>
      </c>
      <c r="E61" s="28" t="n">
        <f aca="false">E23/E19</f>
        <v>0.759670632945754</v>
      </c>
      <c r="F61" s="28" t="n">
        <f aca="false">F23/F19</f>
        <v>0.783520196590386</v>
      </c>
      <c r="G61" s="28" t="n">
        <f aca="false">G23/G19</f>
        <v>0.751464713715047</v>
      </c>
      <c r="H61" s="28" t="n">
        <f aca="false">H23/H19</f>
        <v>0.745589283169446</v>
      </c>
      <c r="I61" s="28" t="n">
        <f aca="false">I23/I19</f>
        <v>0.730289084945717</v>
      </c>
      <c r="J61" s="28" t="n">
        <f aca="false">J23/J19</f>
        <v>0.645107320656166</v>
      </c>
      <c r="K61" s="28" t="n">
        <f aca="false">K23/K19</f>
        <v>0.724236784117408</v>
      </c>
      <c r="L61" s="28" t="n">
        <f aca="false">L23/L19</f>
        <v>0.734115707118549</v>
      </c>
      <c r="M61" s="28" t="n">
        <f aca="false">M23/M19</f>
        <v>0.749966973446651</v>
      </c>
      <c r="N61" s="28" t="n">
        <f aca="false">N23/N19</f>
        <v>0.749335293757275</v>
      </c>
      <c r="O61" s="28" t="n">
        <f aca="false">O23/O19</f>
        <v>0.749753172384407</v>
      </c>
      <c r="P61" s="28" t="n">
        <f aca="false">P23/P19</f>
        <v>0.75</v>
      </c>
      <c r="Q61" s="28" t="n">
        <f aca="false">Q23/Q19</f>
        <v>0.75</v>
      </c>
      <c r="V61" s="28" t="n">
        <f aca="false">V23/V19</f>
        <v>0.397676296365911</v>
      </c>
      <c r="W61" s="28" t="n">
        <f aca="false">W23/W19</f>
        <v>0.514395449645191</v>
      </c>
      <c r="X61" s="28" t="n">
        <f aca="false">X23/X19</f>
        <v>0.520154274642601</v>
      </c>
      <c r="Y61" s="28" t="n">
        <f aca="false">Y23/Y19</f>
        <v>0.549152542372881</v>
      </c>
      <c r="Z61" s="28" t="n">
        <f aca="false">Z23/Z19</f>
        <v>0.555104656129859</v>
      </c>
      <c r="AA61" s="28" t="n">
        <f aca="false">AA23/AA19</f>
        <v>0.561077844311377</v>
      </c>
      <c r="AB61" s="28" t="n">
        <f aca="false">AB23/AB19</f>
        <v>0.587988422575977</v>
      </c>
      <c r="AC61" s="28" t="n">
        <f aca="false">AC23/AC19</f>
        <v>0.599341157092856</v>
      </c>
      <c r="AD61" s="28" t="n">
        <f aca="false">AD23/AD19</f>
        <v>0.612068965517241</v>
      </c>
      <c r="AE61" s="28" t="n">
        <f aca="false">AE23/AE19</f>
        <v>0.619893753434695</v>
      </c>
      <c r="AF61" s="28" t="n">
        <f aca="false">AF23/AF19</f>
        <v>0.623448275862069</v>
      </c>
      <c r="AG61" s="28" t="n">
        <f aca="false">AG23/AG19</f>
        <v>0.649290332169131</v>
      </c>
      <c r="AH61" s="28" t="n">
        <f aca="false">AH23/AH19</f>
        <v>0.569288944909913</v>
      </c>
      <c r="AI61" s="28" t="n">
        <f aca="false">AI23/AI19</f>
        <v>0.72717573290437</v>
      </c>
      <c r="AJ61" s="28" t="n">
        <f aca="false">AJ23/AJ19</f>
        <v>0.749894633593109</v>
      </c>
      <c r="AK61" s="28" t="n">
        <f aca="false">AK23/AK19</f>
        <v>0.710680843575471</v>
      </c>
      <c r="AL61" s="28" t="n">
        <f aca="false">AL23/AL19</f>
        <v>0.72</v>
      </c>
      <c r="AM61" s="28" t="n">
        <f aca="false">AM23/AM19</f>
        <v>0.725</v>
      </c>
      <c r="AN61" s="28" t="n">
        <f aca="false">AN23/AN19</f>
        <v>0.73</v>
      </c>
      <c r="AO61" s="28" t="n">
        <f aca="false">AO23/AO19</f>
        <v>0.735</v>
      </c>
      <c r="AP61" s="28" t="n">
        <f aca="false">AP23/AP19</f>
        <v>0.74</v>
      </c>
      <c r="DK61" s="1"/>
      <c r="DL61" s="1"/>
      <c r="DM61" s="1"/>
      <c r="DN61" s="1"/>
      <c r="DO61" s="1"/>
    </row>
    <row r="62" s="27" customFormat="true" ht="12.8" hidden="false" customHeight="false" outlineLevel="0" collapsed="false">
      <c r="A62" s="28" t="s">
        <v>82</v>
      </c>
      <c r="B62" s="28" t="n">
        <f aca="false">B31/B19</f>
        <v>0.297552836484983</v>
      </c>
      <c r="C62" s="28" t="n">
        <f aca="false">C31/C19</f>
        <v>0.503442659361812</v>
      </c>
      <c r="D62" s="28" t="n">
        <f aca="false">D31/D19</f>
        <v>0.574889624724062</v>
      </c>
      <c r="E62" s="28" t="n">
        <f aca="false">E31/E19</f>
        <v>0.6159797312582</v>
      </c>
      <c r="F62" s="28" t="n">
        <f aca="false">F31/F19</f>
        <v>0.649247427430502</v>
      </c>
      <c r="G62" s="28" t="n">
        <f aca="false">G31/G19</f>
        <v>0.620572569906791</v>
      </c>
      <c r="H62" s="28" t="n">
        <f aca="false">H31/H19</f>
        <v>0.623400313524298</v>
      </c>
      <c r="I62" s="28" t="n">
        <f aca="false">I31/I19</f>
        <v>0.611070148229132</v>
      </c>
      <c r="J62" s="28" t="n">
        <f aca="false">J31/J19</f>
        <v>0.542479392801763</v>
      </c>
      <c r="K62" s="28" t="n">
        <f aca="false">K31/K19</f>
        <v>0.608433348308838</v>
      </c>
      <c r="L62" s="28" t="n">
        <f aca="false">L31/L19</f>
        <v>0.631687892502544</v>
      </c>
      <c r="M62" s="28" t="n">
        <f aca="false">M31/M19</f>
        <v>0.650241460801151</v>
      </c>
      <c r="N62" s="28" t="n">
        <f aca="false">N31/N19</f>
        <v>0.655957850885254</v>
      </c>
      <c r="O62" s="28" t="n">
        <f aca="false">O31/O19</f>
        <v>0.662371000093535</v>
      </c>
      <c r="P62" s="28" t="n">
        <f aca="false">P31/P19</f>
        <v>0.665</v>
      </c>
      <c r="Q62" s="28" t="n">
        <f aca="false">Q31/Q19</f>
        <v>0.665</v>
      </c>
      <c r="R62" s="28"/>
      <c r="S62" s="28"/>
      <c r="T62" s="28"/>
      <c r="U62" s="28"/>
      <c r="V62" s="28" t="n">
        <f aca="false">V31/V19</f>
        <v>0.0721774476908449</v>
      </c>
      <c r="W62" s="28" t="n">
        <f aca="false">W31/W19</f>
        <v>0.16215866711023</v>
      </c>
      <c r="X62" s="28" t="n">
        <f aca="false">X31/X19</f>
        <v>0.151452083906229</v>
      </c>
      <c r="Y62" s="28" t="n">
        <f aca="false">Y31/Y19</f>
        <v>0.120096852300242</v>
      </c>
      <c r="Z62" s="28" t="n">
        <f aca="false">Z31/Z19</f>
        <v>0.16211020931226</v>
      </c>
      <c r="AA62" s="28" t="n">
        <f aca="false">AA31/AA19</f>
        <v>0.149101796407186</v>
      </c>
      <c r="AB62" s="28" t="n">
        <f aca="false">AB31/AB19</f>
        <v>0.279884225759768</v>
      </c>
      <c r="AC62" s="28" t="n">
        <f aca="false">AC31/AC19</f>
        <v>0.330450895614577</v>
      </c>
      <c r="AD62" s="28" t="n">
        <f aca="false">AD31/AD19</f>
        <v>0.324684192557187</v>
      </c>
      <c r="AE62" s="28" t="n">
        <f aca="false">AE31/AE19</f>
        <v>0.260670452463821</v>
      </c>
      <c r="AF62" s="28" t="n">
        <f aca="false">AF31/AF19</f>
        <v>0.271784107946027</v>
      </c>
      <c r="AG62" s="28" t="n">
        <f aca="false">AG31/AG19</f>
        <v>0.373077208887568</v>
      </c>
      <c r="AH62" s="28" t="n">
        <f aca="false">AH31/AH19</f>
        <v>0.156595239860607</v>
      </c>
      <c r="AI62" s="28" t="n">
        <f aca="false">AI31/AI19</f>
        <v>0.541216637667838</v>
      </c>
      <c r="AJ62" s="28" t="n">
        <f aca="false">AJ31/AJ19</f>
        <v>0.624182931408385</v>
      </c>
      <c r="AK62" s="28" t="n">
        <f aca="false">AK31/AK19</f>
        <v>0.603816836314127</v>
      </c>
      <c r="AL62" s="28" t="n">
        <f aca="false">AL31/AL19</f>
        <v>0.6</v>
      </c>
      <c r="AM62" s="28" t="n">
        <f aca="false">AM31/AM19</f>
        <v>0.605</v>
      </c>
      <c r="AN62" s="28" t="n">
        <f aca="false">AN31/AN19</f>
        <v>0.61</v>
      </c>
      <c r="AO62" s="28" t="n">
        <f aca="false">AO31/AO19</f>
        <v>0.615</v>
      </c>
      <c r="AP62" s="28" t="n">
        <f aca="false">AP31/AP19</f>
        <v>0.62</v>
      </c>
      <c r="AQ62" s="28"/>
      <c r="AR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1"/>
      <c r="DL62" s="1"/>
      <c r="DM62" s="1"/>
      <c r="DN62" s="1"/>
      <c r="DO62" s="1"/>
    </row>
    <row r="63" s="40" customFormat="true" ht="12.8" hidden="false" customHeight="false" outlineLevel="0" collapsed="false">
      <c r="A63" s="28" t="s">
        <v>83</v>
      </c>
      <c r="B63" s="28" t="n">
        <f aca="false">+B43/B19</f>
        <v>0.284108625205858</v>
      </c>
      <c r="C63" s="28" t="n">
        <f aca="false">+C43/C19</f>
        <v>0.458170761457982</v>
      </c>
      <c r="D63" s="28" t="n">
        <f aca="false">+D43/D19</f>
        <v>0.510131585359317</v>
      </c>
      <c r="E63" s="28" t="n">
        <f aca="false">+E43/E19</f>
        <v>0.555835245478046</v>
      </c>
      <c r="F63" s="28" t="n">
        <f aca="false">+F43/F19</f>
        <v>0.57140456820813</v>
      </c>
      <c r="G63" s="28" t="n">
        <f aca="false">+G43/G19</f>
        <v>0.552584331632391</v>
      </c>
      <c r="H63" s="28" t="n">
        <f aca="false">+H43/H19</f>
        <v>0.550452760858526</v>
      </c>
      <c r="I63" s="28" t="n">
        <f aca="false">+I43/I19</f>
        <v>0.561684740065214</v>
      </c>
      <c r="J63" s="28" t="n">
        <f aca="false">+J43/J19</f>
        <v>0.48407638336783</v>
      </c>
      <c r="K63" s="28" t="n">
        <f aca="false">+K43/K19</f>
        <v>0.565274367754412</v>
      </c>
      <c r="L63" s="28" t="n">
        <f aca="false">+L43/L19</f>
        <v>0.559776893029609</v>
      </c>
      <c r="M63" s="28" t="n">
        <f aca="false">+M43/M19</f>
        <v>0.630596642926066</v>
      </c>
      <c r="N63" s="28" t="n">
        <f aca="false">+N43/N19</f>
        <v>0.714594882368577</v>
      </c>
      <c r="O63" s="28" t="n">
        <f aca="false">+O43/O19</f>
        <v>0.62032885098887</v>
      </c>
      <c r="P63" s="28" t="n">
        <f aca="false">+P43/P19</f>
        <v>0.745006139704593</v>
      </c>
      <c r="Q63" s="28" t="n">
        <f aca="false">+Q43/Q19</f>
        <v>0.745005137463854</v>
      </c>
      <c r="R63" s="28"/>
      <c r="S63" s="28"/>
      <c r="T63" s="28"/>
      <c r="U63" s="28"/>
      <c r="V63" s="28" t="n">
        <f aca="false">V43/V19</f>
        <v>0.0714433880872371</v>
      </c>
      <c r="W63" s="28" t="n">
        <f aca="false">W43/W19</f>
        <v>0.145347717443777</v>
      </c>
      <c r="X63" s="28" t="n">
        <f aca="false">X43/X19</f>
        <v>0.131428762342707</v>
      </c>
      <c r="Y63" s="28" t="n">
        <f aca="false">Y43/Y19</f>
        <v>0.106537530266344</v>
      </c>
      <c r="Z63" s="28" t="n">
        <f aca="false">Z43/Z19</f>
        <v>0.134771465185818</v>
      </c>
      <c r="AA63" s="28" t="n">
        <f aca="false">AA43/AA19</f>
        <v>0.122554890219561</v>
      </c>
      <c r="AB63" s="28" t="n">
        <f aca="false">AB43/AB19</f>
        <v>0.2410998552822</v>
      </c>
      <c r="AC63" s="28" t="n">
        <f aca="false">AC43/AC19</f>
        <v>0.313670990323245</v>
      </c>
      <c r="AD63" s="28" t="n">
        <f aca="false">AD43/AD19</f>
        <v>0.353448275862069</v>
      </c>
      <c r="AE63" s="28" t="n">
        <f aca="false">AE43/AE19</f>
        <v>0.256090859131709</v>
      </c>
      <c r="AF63" s="28" t="n">
        <f aca="false">AF43/AF19</f>
        <v>0.259790104947526</v>
      </c>
      <c r="AG63" s="28" t="n">
        <f aca="false">AG43/AG19</f>
        <v>0.362339302965</v>
      </c>
      <c r="AH63" s="28" t="n">
        <f aca="false">AH43/AH19</f>
        <v>0.161933713946764</v>
      </c>
      <c r="AI63" s="28" t="n">
        <f aca="false">AI43/AI19</f>
        <v>0.488477069039099</v>
      </c>
      <c r="AJ63" s="28" t="n">
        <f aca="false">AJ43/AJ19</f>
        <v>0.558480271577124</v>
      </c>
      <c r="AK63" s="28" t="n">
        <f aca="false">AK43/AK19</f>
        <v>0.556025340607026</v>
      </c>
      <c r="AL63" s="28" t="n">
        <f aca="false">AL43/AL19</f>
        <v>0.593678603507537</v>
      </c>
      <c r="AM63" s="28" t="n">
        <f aca="false">AM43/AM19</f>
        <v>0.543396584716568</v>
      </c>
      <c r="AN63" s="28" t="n">
        <f aca="false">AN43/AN19</f>
        <v>0.547847560511835</v>
      </c>
      <c r="AO63" s="28" t="n">
        <f aca="false">AO43/AO19</f>
        <v>0.552239633759862</v>
      </c>
      <c r="AP63" s="28" t="n">
        <f aca="false">AP43/AP19</f>
        <v>0.556624694799885</v>
      </c>
      <c r="AQ63" s="28"/>
      <c r="AR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1"/>
      <c r="DL63" s="1"/>
      <c r="DM63" s="1"/>
      <c r="DN63" s="1"/>
      <c r="DO63" s="1"/>
    </row>
    <row r="64" customFormat="false" ht="12.8" hidden="false" customHeight="false" outlineLevel="0" collapsed="false">
      <c r="A64" s="27" t="s">
        <v>84</v>
      </c>
      <c r="B64" s="27" t="n">
        <f aca="false">B41/B39</f>
        <v>0.075136607207141</v>
      </c>
      <c r="C64" s="27" t="n">
        <f aca="false">C41/C39</f>
        <v>0.113585702645118</v>
      </c>
      <c r="D64" s="27" t="n">
        <f aca="false">D41/D39</f>
        <v>0.121548087455413</v>
      </c>
      <c r="E64" s="27" t="n">
        <f aca="false">E41/E39</f>
        <v>0.129088269894489</v>
      </c>
      <c r="F64" s="27" t="n">
        <f aca="false">F41/F39</f>
        <v>0.138775874078853</v>
      </c>
      <c r="G64" s="27" t="n">
        <f aca="false">G41/G39</f>
        <v>0.136094192178712</v>
      </c>
      <c r="H64" s="27" t="n">
        <f aca="false">H41/H39</f>
        <v>0.134724424684554</v>
      </c>
      <c r="I64" s="27" t="n">
        <f aca="false">I41/I39</f>
        <v>0.123960932422311</v>
      </c>
      <c r="J64" s="27" t="n">
        <f aca="false">J41/J39</f>
        <v>0.116713909484236</v>
      </c>
      <c r="K64" s="27" t="n">
        <f aca="false">K41/K39</f>
        <v>0.153300807167232</v>
      </c>
      <c r="L64" s="27" t="n">
        <f aca="false">L41/L39</f>
        <v>0.158843791953136</v>
      </c>
      <c r="M64" s="27" t="n">
        <f aca="false">M41/M39</f>
        <v>0.147566382447209</v>
      </c>
      <c r="N64" s="27" t="n">
        <f aca="false">N41/N39</f>
        <v>0.165685169854455</v>
      </c>
      <c r="O64" s="27" t="n">
        <f aca="false">O41/O39</f>
        <v>0.165282986579536</v>
      </c>
      <c r="P64" s="27" t="n">
        <f aca="false">P41/P39</f>
        <v>0</v>
      </c>
      <c r="Q64" s="27" t="n">
        <f aca="false">Q41/Q39</f>
        <v>0</v>
      </c>
      <c r="R64" s="27"/>
      <c r="S64" s="27"/>
      <c r="T64" s="27"/>
      <c r="U64" s="27"/>
      <c r="V64" s="27" t="n">
        <f aca="false">V41/V39</f>
        <v>0.0664640869715934</v>
      </c>
      <c r="W64" s="27" t="n">
        <f aca="false">W41/W39</f>
        <v>0.124067676018547</v>
      </c>
      <c r="X64" s="27" t="n">
        <f aca="false">X41/X39</f>
        <v>0.150297792124029</v>
      </c>
      <c r="Y64" s="27" t="n">
        <f aca="false">Y41/Y39</f>
        <v>0.137254901960784</v>
      </c>
      <c r="Z64" s="27" t="n">
        <f aca="false">Z41/Z39</f>
        <v>0.164238410596027</v>
      </c>
      <c r="AA64" s="27" t="n">
        <f aca="false">AA41/AA39</f>
        <v>0.173620457604307</v>
      </c>
      <c r="AB64" s="27" t="n">
        <f aca="false">AB41/AB39</f>
        <v>0.125459317585302</v>
      </c>
      <c r="AC64" s="27" t="n">
        <f aca="false">AC41/AC39</f>
        <v>0.0466207759699625</v>
      </c>
      <c r="AD64" s="27" t="n">
        <f aca="false">AD41/AD39</f>
        <v>-0.0628850102669405</v>
      </c>
      <c r="AE64" s="27" t="n">
        <f aca="false">AE41/AE39</f>
        <v>0.0585858585858586</v>
      </c>
      <c r="AF64" s="27" t="n">
        <f aca="false">AF41/AF39</f>
        <v>0.0174642776139714</v>
      </c>
      <c r="AG64" s="27" t="n">
        <f aca="false">AG41/AG39</f>
        <v>0.0190121718137008</v>
      </c>
      <c r="AH64" s="27" t="n">
        <f aca="false">AH41/AH39</f>
        <v>-0.0447261420712748</v>
      </c>
      <c r="AI64" s="27" t="n">
        <f aca="false">AI41/AI39</f>
        <v>0.12002483884322</v>
      </c>
      <c r="AJ64" s="27" t="n">
        <f aca="false">AJ41/AJ39</f>
        <v>0.132649418037274</v>
      </c>
      <c r="AK64" s="27" t="n">
        <f aca="false">AK41/AK39</f>
        <v>0.151164023782423</v>
      </c>
      <c r="AL64" s="27" t="n">
        <f aca="false">AL41/AL39</f>
        <v>0.13</v>
      </c>
      <c r="AM64" s="27" t="n">
        <f aca="false">AM41/AM39</f>
        <v>0.13</v>
      </c>
      <c r="AN64" s="27" t="n">
        <f aca="false">AN41/AN39</f>
        <v>0.13</v>
      </c>
      <c r="AO64" s="27" t="n">
        <f aca="false">AO41/AO39</f>
        <v>0.13</v>
      </c>
      <c r="AP64" s="27" t="n">
        <f aca="false">AP41/AP39</f>
        <v>0.13</v>
      </c>
      <c r="AQ64" s="27"/>
      <c r="AR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</row>
    <row r="65" s="41" customFormat="true" ht="12.8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1"/>
      <c r="DL65" s="1"/>
      <c r="DM65" s="1"/>
      <c r="DN65" s="1"/>
      <c r="DO65" s="1"/>
    </row>
    <row r="66" s="41" customFormat="true" ht="12.8" hidden="false" customHeight="false" outlineLevel="0" collapsed="false">
      <c r="A66" s="41" t="s">
        <v>85</v>
      </c>
      <c r="F66" s="41" t="n">
        <f aca="false">+SUM(C43:F43)/AVERAGE(C93:F93)</f>
        <v>0.691259478496206</v>
      </c>
      <c r="G66" s="41" t="n">
        <f aca="false">+SUM(D43:G43)/AVERAGE(D93:G93)</f>
        <v>0.751455722926009</v>
      </c>
      <c r="H66" s="41" t="n">
        <f aca="false">+SUM(E43:H43)/AVERAGE(E93:H93)</f>
        <v>0.778663812395657</v>
      </c>
      <c r="I66" s="41" t="n">
        <f aca="false">+SUM(F43:I43)/AVERAGE(F93:I93)</f>
        <v>0.788137227108816</v>
      </c>
      <c r="J66" s="41" t="n">
        <f aca="false">+SUM(G43:J43)/AVERAGE(G93:J93)</f>
        <v>0.781922220070438</v>
      </c>
      <c r="K66" s="41" t="n">
        <f aca="false">+SUM(H43:K43)/AVERAGE(H93:K93)</f>
        <v>0.773233806015058</v>
      </c>
      <c r="L66" s="41" t="n">
        <f aca="false">+SUM(I43:L43)/AVERAGE(I93:L93)</f>
        <v>0.773284742811466</v>
      </c>
      <c r="M66" s="41" t="n">
        <f aca="false">+SUM(J43:M43)/AVERAGE(J93:M93)</f>
        <v>0.788834807626772</v>
      </c>
      <c r="N66" s="41" t="n">
        <f aca="false">+SUM(K43:N43)/AVERAGE(K93:N93)</f>
        <v>0.831152578694035</v>
      </c>
      <c r="O66" s="41" t="n">
        <f aca="false">+SUM(L43:O43)/AVERAGE(L93:O93)</f>
        <v>0.814106714497066</v>
      </c>
      <c r="W66" s="41" t="n">
        <f aca="false">+SUM(W43)/AVERAGE(V93:W93)</f>
        <v>0.115660567306161</v>
      </c>
      <c r="X66" s="41" t="n">
        <f aca="false">+SUM(X43)/AVERAGE(W93:X93)</f>
        <v>0.0940286334333984</v>
      </c>
      <c r="Y66" s="41" t="n">
        <f aca="false">+SUM(Y43)/AVERAGE(X93:Y93)</f>
        <v>0.0644066896505243</v>
      </c>
      <c r="Z66" s="41" t="n">
        <f aca="false">+SUM(Z43)/AVERAGE(Y93:Z93)</f>
        <v>0.0873240011541675</v>
      </c>
      <c r="AA66" s="41" t="n">
        <f aca="false">+SUM(AA43)/AVERAGE(Z93:AA93)</f>
        <v>0.0842767946996484</v>
      </c>
      <c r="AB66" s="41" t="n">
        <f aca="false">+SUM(AB43)/AVERAGE(AA93:AB93)</f>
        <v>0.193596717232894</v>
      </c>
      <c r="AC66" s="41" t="n">
        <f aca="false">+SUM(AC43)/AVERAGE(AB93:AC93)</f>
        <v>0.289061403314019</v>
      </c>
      <c r="AD66" s="41" t="n">
        <f aca="false">+SUM(AD43)/AVERAGE(AC93:AD93)</f>
        <v>0.337585826950189</v>
      </c>
      <c r="AE66" s="41" t="n">
        <f aca="false">+SUM(AE43)/AVERAGE(AD93:AE93)</f>
        <v>0.182703148035226</v>
      </c>
      <c r="AF66" s="41" t="n">
        <f aca="false">+SUM(AF43)/AVERAGE(AE93:AF93)</f>
        <v>0.187914687989661</v>
      </c>
      <c r="AG66" s="41" t="n">
        <f aca="false">+SUM(AG43)/AVERAGE(AF93:AG93)</f>
        <v>0.267258523596344</v>
      </c>
      <c r="AH66" s="41" t="n">
        <f aca="false">+SUM(AH43)/AVERAGE(AG93:AH93)</f>
        <v>0.102332176873977</v>
      </c>
      <c r="AI66" s="41" t="n">
        <f aca="false">+SUM(AI43)/AVERAGE(AH93:AI93)</f>
        <v>0.556710836492289</v>
      </c>
      <c r="AJ66" s="41" t="n">
        <f aca="false">+SUM(AJ43)/AVERAGE(AI93:AJ93)</f>
        <v>0.821974604780408</v>
      </c>
      <c r="AK66" s="41" t="n">
        <f aca="false">+SUM(AK43)/AVERAGE(AJ93:AK93)</f>
        <v>0.754180120538369</v>
      </c>
      <c r="DK66" s="1"/>
      <c r="DL66" s="1"/>
      <c r="DM66" s="1"/>
      <c r="DN66" s="1"/>
      <c r="DO66" s="1"/>
    </row>
    <row r="67" s="42" customFormat="true" ht="12.8" hidden="false" customHeight="false" outlineLevel="0" collapsed="false">
      <c r="A67" s="41" t="s">
        <v>86</v>
      </c>
      <c r="B67" s="41"/>
      <c r="C67" s="41"/>
      <c r="D67" s="41"/>
      <c r="E67" s="41"/>
      <c r="F67" s="41" t="n">
        <f aca="false">+F68*F69*F63</f>
        <v>1.19260698884752</v>
      </c>
      <c r="G67" s="41" t="n">
        <f aca="false">+G68*G69*G63</f>
        <v>1.15979425366446</v>
      </c>
      <c r="H67" s="41" t="n">
        <f aca="false">+H68*H69*H63</f>
        <v>1.15370596417673</v>
      </c>
      <c r="I67" s="41" t="n">
        <f aca="false">+I68*I69*I63</f>
        <v>1.16107092095453</v>
      </c>
      <c r="J67" s="41" t="n">
        <f aca="false">+J68*J69*J63</f>
        <v>1.03458926981115</v>
      </c>
      <c r="K67" s="41" t="n">
        <f aca="false">+K68*K69*K63</f>
        <v>1.16881293359825</v>
      </c>
      <c r="L67" s="41" t="n">
        <f aca="false">+L68*L69*L63</f>
        <v>1.12537127808982</v>
      </c>
      <c r="M67" s="41" t="n">
        <f aca="false">+M68*M69*M63</f>
        <v>1.21078852905708</v>
      </c>
      <c r="N67" s="41" t="n">
        <f aca="false">+N68*N69*N63</f>
        <v>1.26718436459374</v>
      </c>
      <c r="O67" s="41" t="n">
        <f aca="false">+O68*O69*O63</f>
        <v>1.07294736840594</v>
      </c>
      <c r="P67" s="41"/>
      <c r="Q67" s="41"/>
      <c r="R67" s="41"/>
      <c r="S67" s="41"/>
      <c r="T67" s="41"/>
      <c r="U67" s="41"/>
      <c r="V67" s="41"/>
      <c r="W67" s="41" t="n">
        <f aca="false">+W68*W69*W63</f>
        <v>0.158612051065716</v>
      </c>
      <c r="X67" s="41" t="n">
        <f aca="false">+X68*X69*X63</f>
        <v>0.125378507420373</v>
      </c>
      <c r="Y67" s="41" t="n">
        <f aca="false">+Y68*Y69*Y63</f>
        <v>0.0947856986906971</v>
      </c>
      <c r="Z67" s="41" t="n">
        <f aca="false">+Z68*Z69*Z63</f>
        <v>0.142206829128015</v>
      </c>
      <c r="AA67" s="41" t="n">
        <f aca="false">+AA68*AA69*AA63</f>
        <v>0.136839759304658</v>
      </c>
      <c r="AB67" s="41" t="n">
        <f aca="false">+AB68*AB69*AB63</f>
        <v>0.321963474731858</v>
      </c>
      <c r="AC67" s="41" t="n">
        <f aca="false">+AC68*AC69*AC63</f>
        <v>0.459439083232811</v>
      </c>
      <c r="AD67" s="41" t="n">
        <f aca="false">+AD68*AD69*AD63</f>
        <v>0.492595015761613</v>
      </c>
      <c r="AE67" s="41" t="n">
        <f aca="false">+AE68*AE69*AE63</f>
        <v>0.259537733221944</v>
      </c>
      <c r="AF67" s="41" t="n">
        <f aca="false">+AF68*AF69*AF63</f>
        <v>0.297762655943912</v>
      </c>
      <c r="AG67" s="41" t="n">
        <f aca="false">+AG68*AG69*AG63</f>
        <v>0.448316285484427</v>
      </c>
      <c r="AH67" s="41" t="n">
        <f aca="false">+AH68*AH69*AH63</f>
        <v>0.179336111510274</v>
      </c>
      <c r="AI67" s="41" t="n">
        <f aca="false">+AI68*AI69*AI63</f>
        <v>0.914550008451267</v>
      </c>
      <c r="AJ67" s="41" t="n">
        <f aca="false">+AJ68*AJ69*AJ63</f>
        <v>1.19177466170639</v>
      </c>
      <c r="AK67" s="41" t="n">
        <f aca="false">+AK68*AK69*AK63</f>
        <v>1.01485081565379</v>
      </c>
      <c r="AL67" s="41"/>
      <c r="AM67" s="41"/>
      <c r="AN67" s="41"/>
      <c r="AO67" s="41"/>
      <c r="AP67" s="41"/>
      <c r="AQ67" s="41"/>
      <c r="AR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1"/>
      <c r="DD67" s="41"/>
      <c r="DE67" s="41"/>
      <c r="DF67" s="41"/>
      <c r="DG67" s="41"/>
      <c r="DH67" s="41"/>
      <c r="DI67" s="41"/>
      <c r="DJ67" s="41"/>
      <c r="DK67" s="1"/>
      <c r="DL67" s="1"/>
      <c r="DM67" s="1"/>
      <c r="DN67" s="1"/>
      <c r="DO67" s="1"/>
    </row>
    <row r="68" s="41" customFormat="true" ht="12.8" hidden="false" customHeight="false" outlineLevel="0" collapsed="false">
      <c r="A68" s="41" t="s">
        <v>87</v>
      </c>
      <c r="F68" s="41" t="n">
        <f aca="false">+SUM(C19:F19)/AVERAGE(C93:F93)</f>
        <v>1.29449134493292</v>
      </c>
      <c r="G68" s="41" t="n">
        <f aca="false">+SUM(D19:G19)/AVERAGE(D93:G93)</f>
        <v>1.36520953309117</v>
      </c>
      <c r="H68" s="41" t="n">
        <f aca="false">+SUM(E19:H19)/AVERAGE(E93:H93)</f>
        <v>1.39824712998395</v>
      </c>
      <c r="I68" s="41" t="n">
        <f aca="false">+SUM(F19:I19)/AVERAGE(F93:I93)</f>
        <v>1.41114262002146</v>
      </c>
      <c r="J68" s="41" t="n">
        <f aca="false">+SUM(G19:J19)/AVERAGE(G93:J93)</f>
        <v>1.46825960607039</v>
      </c>
      <c r="K68" s="41" t="n">
        <f aca="false">+SUM(H19:K19)/AVERAGE(H93:K93)</f>
        <v>1.43723079002044</v>
      </c>
      <c r="L68" s="41" t="n">
        <f aca="false">+SUM(I19:L19)/AVERAGE(I93:L93)</f>
        <v>1.4262236353883</v>
      </c>
      <c r="M68" s="41" t="n">
        <f aca="false">+SUM(J19:M19)/AVERAGE(J93:M93)</f>
        <v>1.3937360496573</v>
      </c>
      <c r="N68" s="41" t="n">
        <f aca="false">+SUM(K19:N19)/AVERAGE(K93:N93)</f>
        <v>1.31998203510964</v>
      </c>
      <c r="O68" s="41" t="n">
        <f aca="false">+SUM(L19:O19)/AVERAGE(L93:O93)</f>
        <v>1.27875892822284</v>
      </c>
      <c r="W68" s="41" t="n">
        <f aca="false">+SUM(W19)/AVERAGE(V93:W93)</f>
        <v>0.795750833520317</v>
      </c>
      <c r="X68" s="41" t="n">
        <f aca="false">+SUM(X19)/AVERAGE(W93:X93)</f>
        <v>0.715434215139406</v>
      </c>
      <c r="Y68" s="41" t="n">
        <f aca="false">+SUM(Y19)/AVERAGE(X93:Y93)</f>
        <v>0.604544609674239</v>
      </c>
      <c r="Z68" s="41" t="n">
        <f aca="false">+SUM(Z19)/AVERAGE(Y93:Z93)</f>
        <v>0.647941320766739</v>
      </c>
      <c r="AA68" s="41" t="n">
        <f aca="false">+SUM(AA19)/AVERAGE(Z93:AA93)</f>
        <v>0.687665702679541</v>
      </c>
      <c r="AB68" s="41" t="n">
        <f aca="false">+SUM(AB19)/AVERAGE(AA93:AB93)</f>
        <v>0.802973178919146</v>
      </c>
      <c r="AC68" s="41" t="n">
        <f aca="false">+SUM(AC19)/AVERAGE(AB93:AC93)</f>
        <v>0.921543312042132</v>
      </c>
      <c r="AD68" s="41" t="n">
        <f aca="false">+SUM(AD19)/AVERAGE(AC93:AD93)</f>
        <v>0.955120876249315</v>
      </c>
      <c r="AE68" s="41" t="n">
        <f aca="false">+SUM(AE19)/AVERAGE(AD93:AE93)</f>
        <v>0.713430962177611</v>
      </c>
      <c r="AF68" s="41" t="n">
        <f aca="false">+SUM(AF19)/AVERAGE(AE93:AF93)</f>
        <v>0.723332738279684</v>
      </c>
      <c r="AG68" s="41" t="n">
        <f aca="false">+SUM(AG19)/AVERAGE(AF93:AG93)</f>
        <v>0.737591868752257</v>
      </c>
      <c r="AH68" s="41" t="n">
        <f aca="false">+SUM(AH19)/AVERAGE(AG93:AH93)</f>
        <v>0.631938676510679</v>
      </c>
      <c r="AI68" s="41" t="n">
        <f aca="false">+SUM(AI19)/AVERAGE(AH93:AI93)</f>
        <v>1.13968673613976</v>
      </c>
      <c r="AJ68" s="41" t="n">
        <f aca="false">+SUM(AJ19)/AVERAGE(AI93:AJ93)</f>
        <v>1.47180598243728</v>
      </c>
      <c r="AK68" s="41" t="n">
        <f aca="false">+SUM(AK19)/AVERAGE(AJ93:AK93)</f>
        <v>1.35637724661076</v>
      </c>
      <c r="DK68" s="1"/>
      <c r="DL68" s="1"/>
      <c r="DM68" s="1"/>
      <c r="DN68" s="1"/>
      <c r="DO68" s="1"/>
    </row>
    <row r="69" customFormat="false" ht="12.8" hidden="false" customHeight="false" outlineLevel="0" collapsed="false">
      <c r="A69" s="42" t="s">
        <v>88</v>
      </c>
      <c r="B69" s="42"/>
      <c r="C69" s="42"/>
      <c r="D69" s="42"/>
      <c r="E69" s="42"/>
      <c r="F69" s="42" t="n">
        <f aca="false">+AVERAGE(C93:F93)/AVERAGE(C109:F109)</f>
        <v>1.61233206441401</v>
      </c>
      <c r="G69" s="42" t="n">
        <f aca="false">+AVERAGE(D93:G93)/AVERAGE(D109:G109)</f>
        <v>1.53738653823103</v>
      </c>
      <c r="H69" s="42" t="n">
        <f aca="false">+AVERAGE(E93:H93)/AVERAGE(E109:H109)</f>
        <v>1.49896380726815</v>
      </c>
      <c r="I69" s="42" t="n">
        <f aca="false">+AVERAGE(F93:I93)/AVERAGE(F109:I109)</f>
        <v>1.46485694485694</v>
      </c>
      <c r="J69" s="42" t="n">
        <f aca="false">+AVERAGE(G93:J93)/AVERAGE(G109:J109)</f>
        <v>1.45563075766121</v>
      </c>
      <c r="K69" s="42" t="n">
        <f aca="false">+AVERAGE(H93:K93)/AVERAGE(H109:K109)</f>
        <v>1.43866342648846</v>
      </c>
      <c r="L69" s="42" t="n">
        <f aca="false">+AVERAGE(I93:L93)/AVERAGE(I109:L109)</f>
        <v>1.40959136363874</v>
      </c>
      <c r="M69" s="42" t="n">
        <f aca="false">+AVERAGE(J93:M93)/AVERAGE(J109:M109)</f>
        <v>1.37764116070905</v>
      </c>
      <c r="N69" s="42" t="n">
        <f aca="false">+AVERAGE(K93:N93)/AVERAGE(K109:N109)</f>
        <v>1.34342022882207</v>
      </c>
      <c r="O69" s="42" t="n">
        <f aca="false">+AVERAGE(L93:O93)/AVERAGE(L109:O109)</f>
        <v>1.35259494384508</v>
      </c>
      <c r="P69" s="42"/>
      <c r="Q69" s="42"/>
      <c r="R69" s="42"/>
      <c r="S69" s="42"/>
      <c r="T69" s="42"/>
      <c r="U69" s="42"/>
      <c r="V69" s="42"/>
      <c r="W69" s="42" t="n">
        <f aca="false">+AVERAGE(V93:W93)/AVERAGE(V109:W109)</f>
        <v>1.37135805884351</v>
      </c>
      <c r="X69" s="42" t="n">
        <f aca="false">+AVERAGE(W93:X93)/AVERAGE(W109:X109)</f>
        <v>1.3334077380714</v>
      </c>
      <c r="Y69" s="42" t="n">
        <f aca="false">+AVERAGE(X93:Y93)/AVERAGE(X109:Y109)</f>
        <v>1.47167474690924</v>
      </c>
      <c r="Z69" s="42" t="n">
        <f aca="false">+AVERAGE(Y93:Z93)/AVERAGE(Y109:Z109)</f>
        <v>1.62849648720234</v>
      </c>
      <c r="AA69" s="42" t="n">
        <f aca="false">+AVERAGE(Z93:AA93)/AVERAGE(Z109:AA109)</f>
        <v>1.62369439645085</v>
      </c>
      <c r="AB69" s="42" t="n">
        <f aca="false">+AVERAGE(AA93:AB93)/AVERAGE(AA109:AB109)</f>
        <v>1.66306267654601</v>
      </c>
      <c r="AC69" s="42" t="n">
        <f aca="false">+AVERAGE(AB93:AC93)/AVERAGE(AB109:AC109)</f>
        <v>1.58941691268863</v>
      </c>
      <c r="AD69" s="42" t="n">
        <f aca="false">+AVERAGE(AC93:AD93)/AVERAGE(AC109:AD109)</f>
        <v>1.4591697175554</v>
      </c>
      <c r="AE69" s="42" t="n">
        <f aca="false">+AVERAGE(AD93:AE93)/AVERAGE(AD109:AE109)</f>
        <v>1.42054330214334</v>
      </c>
      <c r="AF69" s="42" t="n">
        <f aca="false">+AVERAGE(AE93:AF93)/AVERAGE(AE109:AF109)</f>
        <v>1.58456296912935</v>
      </c>
      <c r="AG69" s="42" t="n">
        <f aca="false">+AVERAGE(AF93:AG93)/AVERAGE(AF109:AG109)</f>
        <v>1.67746300268254</v>
      </c>
      <c r="AH69" s="42" t="n">
        <f aca="false">+AVERAGE(AG93:AH93)/AVERAGE(AG109:AH109)</f>
        <v>1.75248994977532</v>
      </c>
      <c r="AI69" s="42" t="n">
        <f aca="false">+AVERAGE(AH93:AI93)/AVERAGE(AH109:AI109)</f>
        <v>1.64277385763432</v>
      </c>
      <c r="AJ69" s="42" t="n">
        <f aca="false">+AVERAGE(AI93:AJ93)/AVERAGE(AI109:AJ109)</f>
        <v>1.44989231391738</v>
      </c>
      <c r="AK69" s="42" t="n">
        <f aca="false">+AVERAGE(AJ93:AK93)/AVERAGE(AJ109:AK109)</f>
        <v>1.345634534797</v>
      </c>
      <c r="AL69" s="42"/>
      <c r="AM69" s="42"/>
      <c r="AN69" s="42"/>
      <c r="AO69" s="42"/>
      <c r="AP69" s="42"/>
      <c r="AQ69" s="42"/>
      <c r="AR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42"/>
      <c r="BT69" s="42"/>
      <c r="BU69" s="42"/>
      <c r="BV69" s="42"/>
      <c r="BW69" s="42"/>
      <c r="BX69" s="42"/>
      <c r="BY69" s="42"/>
      <c r="BZ69" s="42"/>
      <c r="CA69" s="42"/>
      <c r="CB69" s="42"/>
      <c r="CC69" s="42"/>
      <c r="CD69" s="42"/>
      <c r="CE69" s="42"/>
      <c r="CF69" s="42"/>
      <c r="CG69" s="42"/>
      <c r="CH69" s="42"/>
      <c r="CI69" s="42"/>
      <c r="CJ69" s="42"/>
      <c r="CK69" s="42"/>
      <c r="CL69" s="42"/>
      <c r="CM69" s="42"/>
      <c r="CN69" s="42"/>
      <c r="CO69" s="42"/>
      <c r="CP69" s="42"/>
      <c r="CQ69" s="42"/>
      <c r="CR69" s="42"/>
      <c r="CS69" s="42"/>
      <c r="CT69" s="42"/>
      <c r="CU69" s="42"/>
      <c r="CV69" s="42"/>
      <c r="CW69" s="42"/>
      <c r="CX69" s="42"/>
      <c r="CY69" s="42"/>
      <c r="CZ69" s="42"/>
      <c r="DA69" s="42"/>
      <c r="DB69" s="42"/>
      <c r="DC69" s="42"/>
      <c r="DD69" s="42"/>
      <c r="DE69" s="42"/>
      <c r="DF69" s="42"/>
      <c r="DG69" s="42"/>
      <c r="DH69" s="42"/>
      <c r="DI69" s="42"/>
      <c r="DJ69" s="42"/>
    </row>
    <row r="70" customFormat="false" ht="12.8" hidden="false" customHeight="false" outlineLevel="0" collapsed="false">
      <c r="A70" s="41" t="s">
        <v>89</v>
      </c>
      <c r="B70" s="41"/>
      <c r="C70" s="41"/>
      <c r="D70" s="41"/>
      <c r="E70" s="41"/>
      <c r="F70" s="41" t="n">
        <f aca="false">+F67-F66</f>
        <v>0.50134751035131</v>
      </c>
      <c r="G70" s="41" t="n">
        <f aca="false">+G67-G66</f>
        <v>0.408338530738453</v>
      </c>
      <c r="H70" s="41" t="n">
        <f aca="false">+H67-H66</f>
        <v>0.375042151781069</v>
      </c>
      <c r="I70" s="41" t="n">
        <f aca="false">+I67-I66</f>
        <v>0.372933693845709</v>
      </c>
      <c r="J70" s="41" t="n">
        <f aca="false">+J67-J66</f>
        <v>0.25266704974071</v>
      </c>
      <c r="K70" s="41" t="n">
        <f aca="false">+K67-K66</f>
        <v>0.395579127583192</v>
      </c>
      <c r="L70" s="41" t="n">
        <f aca="false">+L67-L66</f>
        <v>0.352086535278359</v>
      </c>
      <c r="M70" s="41" t="n">
        <f aca="false">+M67-M66</f>
        <v>0.421953721430312</v>
      </c>
      <c r="N70" s="41" t="n">
        <f aca="false">+N67-N66</f>
        <v>0.436031785899709</v>
      </c>
      <c r="O70" s="41" t="n">
        <f aca="false">+O67-O66</f>
        <v>0.258840653908871</v>
      </c>
      <c r="P70" s="41"/>
      <c r="Q70" s="41"/>
      <c r="R70" s="41"/>
      <c r="S70" s="41"/>
      <c r="T70" s="41"/>
      <c r="U70" s="41"/>
      <c r="V70" s="41"/>
      <c r="W70" s="41" t="n">
        <f aca="false">+W67-W66</f>
        <v>0.042951483759555</v>
      </c>
      <c r="X70" s="41" t="n">
        <f aca="false">+X67-X66</f>
        <v>0.0313498739869741</v>
      </c>
      <c r="Y70" s="41" t="n">
        <f aca="false">+Y67-Y66</f>
        <v>0.0303790090401728</v>
      </c>
      <c r="Z70" s="41" t="n">
        <f aca="false">+Z67-Z66</f>
        <v>0.0548828279738477</v>
      </c>
      <c r="AA70" s="41" t="n">
        <f aca="false">+AA67-AA66</f>
        <v>0.0525629646050096</v>
      </c>
      <c r="AB70" s="41" t="n">
        <f aca="false">+AB67-AB66</f>
        <v>0.128366757498964</v>
      </c>
      <c r="AC70" s="41" t="n">
        <f aca="false">+AC67-AC66</f>
        <v>0.170377679918792</v>
      </c>
      <c r="AD70" s="41" t="n">
        <f aca="false">+AD67-AD66</f>
        <v>0.155009188811424</v>
      </c>
      <c r="AE70" s="41" t="n">
        <f aca="false">+AE67-AE66</f>
        <v>0.0768345851867177</v>
      </c>
      <c r="AF70" s="41" t="n">
        <f aca="false">+AF67-AF66</f>
        <v>0.109847967954251</v>
      </c>
      <c r="AG70" s="41" t="n">
        <f aca="false">+AG67-AG66</f>
        <v>0.181057761888083</v>
      </c>
      <c r="AH70" s="41" t="n">
        <f aca="false">+AH67-AH66</f>
        <v>0.0770039346362979</v>
      </c>
      <c r="AI70" s="41" t="n">
        <f aca="false">+AI67-AI66</f>
        <v>0.357839171958978</v>
      </c>
      <c r="AJ70" s="41" t="n">
        <f aca="false">+AJ67-AJ66</f>
        <v>0.369800056925983</v>
      </c>
      <c r="AK70" s="41" t="n">
        <f aca="false">+AK67-AK66</f>
        <v>0.260670695115422</v>
      </c>
      <c r="AL70" s="41"/>
      <c r="AM70" s="41"/>
      <c r="AN70" s="41"/>
      <c r="AO70" s="41"/>
      <c r="AP70" s="41"/>
      <c r="AQ70" s="41"/>
      <c r="AR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  <c r="CL70" s="41"/>
      <c r="CM70" s="41"/>
      <c r="CN70" s="41"/>
      <c r="CO70" s="41"/>
      <c r="CP70" s="41"/>
      <c r="CQ70" s="41"/>
      <c r="CR70" s="41"/>
      <c r="CS70" s="41"/>
      <c r="CT70" s="41"/>
      <c r="CU70" s="41"/>
      <c r="CV70" s="41"/>
      <c r="CW70" s="41"/>
      <c r="CX70" s="41"/>
      <c r="CY70" s="41"/>
      <c r="CZ70" s="41"/>
      <c r="DA70" s="41"/>
      <c r="DB70" s="41"/>
      <c r="DC70" s="41"/>
      <c r="DD70" s="41"/>
      <c r="DE70" s="41"/>
      <c r="DF70" s="41"/>
      <c r="DG70" s="41"/>
      <c r="DH70" s="41"/>
      <c r="DI70" s="41"/>
      <c r="DJ70" s="41"/>
    </row>
    <row r="73" customFormat="false" ht="12.8" hidden="false" customHeight="false" outlineLevel="0" collapsed="false">
      <c r="A73" s="3" t="s">
        <v>90</v>
      </c>
      <c r="B73" s="3" t="n">
        <f aca="false">+B31+B116</f>
        <v>2524</v>
      </c>
      <c r="C73" s="3" t="n">
        <f aca="false">+C31+C116</f>
        <v>7165</v>
      </c>
      <c r="D73" s="3" t="n">
        <f aca="false">+D31+D116</f>
        <v>10789</v>
      </c>
      <c r="E73" s="3" t="n">
        <f aca="false">+E31+E116</f>
        <v>14002</v>
      </c>
      <c r="F73" s="3" t="n">
        <f aca="false">+F31+F116</f>
        <v>17319</v>
      </c>
      <c r="G73" s="3" t="n">
        <f aca="false">+G31+G116</f>
        <v>19075</v>
      </c>
      <c r="H73" s="3" t="n">
        <f aca="false">+H31+H116</f>
        <v>22350</v>
      </c>
      <c r="I73" s="3" t="n">
        <f aca="false">+I31+I116</f>
        <v>24577</v>
      </c>
      <c r="J73" s="3" t="n">
        <f aca="false">+J31+J116</f>
        <v>27199</v>
      </c>
      <c r="K73" s="3" t="n">
        <f aca="false">+K31+K116</f>
        <v>29108</v>
      </c>
      <c r="L73" s="3" t="n">
        <f aca="false">+L31+L116</f>
        <v>36762</v>
      </c>
      <c r="M73" s="3" t="n">
        <f aca="false">+M31+M116</f>
        <v>45110</v>
      </c>
      <c r="N73" s="3" t="n">
        <f aca="false">+N31+N116</f>
        <v>55120</v>
      </c>
      <c r="O73" s="3" t="n">
        <f aca="false">+O31+O116</f>
        <v>64861</v>
      </c>
      <c r="P73" s="3" t="n">
        <f aca="false">+P31+P116</f>
        <v>72027.081</v>
      </c>
      <c r="Q73" s="3" t="n">
        <f aca="false">+Q31+Q116</f>
        <v>86078.4645</v>
      </c>
      <c r="V73" s="3" t="n">
        <f aca="false">+V31+V116</f>
        <v>356.1</v>
      </c>
      <c r="W73" s="3" t="n">
        <f aca="false">+W31+W116</f>
        <v>784.653</v>
      </c>
      <c r="X73" s="3" t="n">
        <f aca="false">+X31+X116</f>
        <v>784.901</v>
      </c>
      <c r="Y73" s="3" t="n">
        <f aca="false">+Y31+Y116</f>
        <v>632</v>
      </c>
      <c r="Z73" s="3" t="n">
        <f aca="false">+Z31+Z116</f>
        <v>917</v>
      </c>
      <c r="AA73" s="3" t="n">
        <f aca="false">+AA31+AA116</f>
        <v>944</v>
      </c>
      <c r="AB73" s="3" t="n">
        <f aca="false">+AB31+AB116</f>
        <v>2121</v>
      </c>
      <c r="AC73" s="3" t="n">
        <f aca="false">+AC31+AC116</f>
        <v>3409</v>
      </c>
      <c r="AD73" s="3" t="n">
        <f aca="false">+AD31+AD116</f>
        <v>4066</v>
      </c>
      <c r="AE73" s="3" t="n">
        <f aca="false">+AE31+AE116</f>
        <v>3227</v>
      </c>
      <c r="AF73" s="3" t="n">
        <f aca="false">+AF31+AF116</f>
        <v>5630</v>
      </c>
      <c r="AG73" s="3" t="n">
        <f aca="false">+AG31+AG116</f>
        <v>11215</v>
      </c>
      <c r="AH73" s="3" t="n">
        <f aca="false">+AH31+AH116</f>
        <v>7121</v>
      </c>
      <c r="AI73" s="3" t="n">
        <f aca="false">+AI31+AI116</f>
        <v>34680</v>
      </c>
      <c r="AJ73" s="3" t="n">
        <f aca="false">+AJ31+AJ116</f>
        <v>83318</v>
      </c>
      <c r="AK73" s="3" t="n">
        <f aca="false">+AK31+AK116</f>
        <v>133229</v>
      </c>
      <c r="AL73" s="3" t="n">
        <f aca="false">+AL31+AL116</f>
        <v>251502.9886</v>
      </c>
      <c r="AM73" s="3" t="n">
        <f aca="false">+AM31+AM116</f>
        <v>456397.91928</v>
      </c>
      <c r="AN73" s="3" t="n">
        <f aca="false">+AN31+AN116</f>
        <v>644126.642712</v>
      </c>
      <c r="AO73" s="3" t="n">
        <f aca="false">+AO31+AO116</f>
        <v>779155.4381184</v>
      </c>
      <c r="AP73" s="3" t="n">
        <f aca="false">+AP31+AP116</f>
        <v>942430.68597888</v>
      </c>
    </row>
    <row r="74" customFormat="false" ht="12.8" hidden="false" customHeight="false" outlineLevel="0" collapsed="false">
      <c r="A74" s="3" t="s">
        <v>91</v>
      </c>
      <c r="B74" s="3" t="n">
        <f aca="false">+B81-B98</f>
        <v>4366</v>
      </c>
      <c r="C74" s="3" t="n">
        <f aca="false">+C81-C98</f>
        <v>6318</v>
      </c>
      <c r="D74" s="3" t="n">
        <f aca="false">+D81-D98</f>
        <v>8575</v>
      </c>
      <c r="E74" s="3" t="n">
        <f aca="false">+E81-E98</f>
        <v>16275</v>
      </c>
      <c r="F74" s="3" t="n">
        <f aca="false">+F81-F98</f>
        <v>21728</v>
      </c>
      <c r="G74" s="3" t="n">
        <f aca="false">+G81-G98</f>
        <v>26339</v>
      </c>
      <c r="H74" s="3" t="n">
        <f aca="false">+H81-H98</f>
        <v>30025</v>
      </c>
      <c r="I74" s="3" t="n">
        <f aca="false">+I81-I98</f>
        <v>34747</v>
      </c>
      <c r="J74" s="3" t="n">
        <f aca="false">+J81-J98</f>
        <v>45227</v>
      </c>
      <c r="K74" s="3" t="n">
        <f aca="false">+K81-K98</f>
        <v>48325</v>
      </c>
      <c r="L74" s="3" t="n">
        <f aca="false">+L81-L98</f>
        <v>52141</v>
      </c>
      <c r="M74" s="3" t="n">
        <f aca="false">+M81-M98</f>
        <v>41202</v>
      </c>
      <c r="N74" s="3" t="n">
        <f aca="false">+N81-N98</f>
        <v>41865</v>
      </c>
      <c r="O74" s="3" t="n">
        <f aca="false">+O81-O98</f>
        <v>23220</v>
      </c>
      <c r="V74" s="3" t="n">
        <f aca="false">+V81-V98</f>
        <v>2490.563</v>
      </c>
      <c r="W74" s="3" t="n">
        <f aca="false">+W81-W98</f>
        <v>3129.576</v>
      </c>
      <c r="X74" s="3" t="n">
        <f aca="false">+X81-X98</f>
        <v>3727.886</v>
      </c>
      <c r="Y74" s="3" t="n">
        <f aca="false">+Y81-Y98</f>
        <v>3315.435</v>
      </c>
      <c r="Z74" s="3" t="n">
        <f aca="false">+Z81-Z98</f>
        <v>3239</v>
      </c>
      <c r="AA74" s="3" t="n">
        <f aca="false">+AA81-AA98</f>
        <v>3624</v>
      </c>
      <c r="AB74" s="3" t="n">
        <f aca="false">+AB81-AB98</f>
        <v>4019</v>
      </c>
      <c r="AC74" s="3" t="n">
        <f aca="false">+AC81-AC98</f>
        <v>5108</v>
      </c>
      <c r="AD74" s="3" t="n">
        <f aca="false">+AD81-AD98</f>
        <v>5434</v>
      </c>
      <c r="AE74" s="3" t="n">
        <f aca="false">+AE81-AE98</f>
        <v>8906</v>
      </c>
      <c r="AF74" s="3" t="n">
        <f aca="false">+AF81-AF98</f>
        <v>4598</v>
      </c>
      <c r="AG74" s="3" t="n">
        <f aca="false">+AG81-AG98</f>
        <v>10262</v>
      </c>
      <c r="AH74" s="3" t="n">
        <f aca="false">+AH81-AH98</f>
        <v>2343</v>
      </c>
      <c r="AI74" s="3" t="n">
        <f aca="false">+AI81-AI98</f>
        <v>16275</v>
      </c>
      <c r="AJ74" s="3" t="n">
        <f aca="false">+AJ81-AJ98</f>
        <v>34747</v>
      </c>
      <c r="AK74" s="3" t="n">
        <f aca="false">+AK81-AK98</f>
        <v>54088</v>
      </c>
      <c r="AL74" s="3" t="n">
        <f aca="false">+AK74+AL43</f>
        <v>297663.76354</v>
      </c>
      <c r="AM74" s="3" t="n">
        <f aca="false">+AL74+AM43</f>
        <v>698966.46679</v>
      </c>
      <c r="AN74" s="3" t="n">
        <f aca="false">+AM74+AN43</f>
        <v>1265392.1648164</v>
      </c>
      <c r="AO74" s="3" t="n">
        <f aca="false">+AN74+AO43</f>
        <v>1950552.21861976</v>
      </c>
      <c r="AP74" s="3" t="n">
        <f aca="false">+AO74+AP43</f>
        <v>2779272.90258981</v>
      </c>
    </row>
    <row r="75" customFormat="false" ht="12.8" hidden="false" customHeight="false" outlineLevel="0" collapsed="false">
      <c r="AS75" s="43" t="s">
        <v>71</v>
      </c>
      <c r="AT75" s="44" t="n">
        <v>0.03</v>
      </c>
      <c r="AV75" s="11"/>
      <c r="AW75" s="3" t="s">
        <v>11</v>
      </c>
      <c r="AX75" s="3" t="n">
        <f aca="false">+AT77</f>
        <v>8296414.85099556</v>
      </c>
    </row>
    <row r="76" customFormat="false" ht="12.8" hidden="false" customHeight="false" outlineLevel="0" collapsed="false">
      <c r="A76" s="3" t="s">
        <v>92</v>
      </c>
      <c r="B76" s="3" t="n">
        <f aca="false">+B31*(1-B64)</f>
        <v>1979.20766057672</v>
      </c>
      <c r="C76" s="3" t="n">
        <f aca="false">+C31*(1-C64)</f>
        <v>6027.6172220132</v>
      </c>
      <c r="D76" s="3" t="n">
        <f aca="false">+D31*(1-D64)</f>
        <v>9150.83357297697</v>
      </c>
      <c r="E76" s="3" t="n">
        <f aca="false">+E31*(1-E64)</f>
        <v>11857.4632053865</v>
      </c>
      <c r="F76" s="3" t="n">
        <f aca="false">+F31*(1-F64)</f>
        <v>14562.4387452007</v>
      </c>
      <c r="G76" s="3" t="n">
        <f aca="false">+G31*(1-G64)</f>
        <v>16104.9320694045</v>
      </c>
      <c r="H76" s="3" t="n">
        <f aca="false">+H31*(1-H64)</f>
        <v>18925.3073832994</v>
      </c>
      <c r="I76" s="3" t="n">
        <f aca="false">+I31*(1-I64)</f>
        <v>21054.7229501622</v>
      </c>
      <c r="J76" s="3" t="n">
        <f aca="false">+J31*(1-J64)</f>
        <v>23484.8105746331</v>
      </c>
      <c r="K76" s="3" t="n">
        <f aca="false">+K31*(1-K64)</f>
        <v>24080.1250441639</v>
      </c>
      <c r="L76" s="3" t="n">
        <f aca="false">+L31*(1-L64)</f>
        <v>30290.0350517676</v>
      </c>
      <c r="M76" s="3" t="n">
        <f aca="false">+M31*(1-M64)</f>
        <v>37761.9568239711</v>
      </c>
      <c r="N76" s="3" t="n">
        <f aca="false">+N31*(1-N64)</f>
        <v>44665.8787466719</v>
      </c>
      <c r="O76" s="3" t="n">
        <f aca="false">+O31*(1-O64)</f>
        <v>53199.8541333399</v>
      </c>
      <c r="P76" s="3" t="n">
        <f aca="false">+P31*(1-P64)</f>
        <v>72027.081</v>
      </c>
      <c r="Q76" s="3" t="n">
        <f aca="false">+Q31*(1-Q64)</f>
        <v>86078.4645</v>
      </c>
      <c r="V76" s="3" t="n">
        <f aca="false">+V31*(1-V64)</f>
        <v>238.749009149276</v>
      </c>
      <c r="W76" s="3" t="n">
        <f aca="false">+W31*(1-W64)</f>
        <v>567.866049704852</v>
      </c>
      <c r="X76" s="3" t="n">
        <f aca="false">+X31*(1-X64)</f>
        <v>550.810109531312</v>
      </c>
      <c r="Y76" s="3" t="n">
        <f aca="false">+Y31*(1-Y64)</f>
        <v>427.921568627451</v>
      </c>
      <c r="Z76" s="3" t="n">
        <f aca="false">+Z31*(1-Z64)</f>
        <v>634.343046357616</v>
      </c>
      <c r="AA76" s="3" t="n">
        <f aca="false">+AA31*(1-AA64)</f>
        <v>617.305518169583</v>
      </c>
      <c r="AB76" s="3" t="n">
        <f aca="false">+AB31*(1-AB64)</f>
        <v>1691.36167979003</v>
      </c>
      <c r="AC76" s="3" t="n">
        <f aca="false">+AC31*(1-AC64)</f>
        <v>3060.34730913642</v>
      </c>
      <c r="AD76" s="3" t="n">
        <f aca="false">+AD31*(1-AD64)</f>
        <v>4043.21457905544</v>
      </c>
      <c r="AE76" s="3" t="n">
        <f aca="false">+AE31*(1-AE64)</f>
        <v>2679.26464646465</v>
      </c>
      <c r="AF76" s="3" t="n">
        <f aca="false">+AF31*(1-AF64)</f>
        <v>4452.85189385348</v>
      </c>
      <c r="AG76" s="3" t="n">
        <f aca="false">+AG31*(1-AG64)</f>
        <v>9850.09878281863</v>
      </c>
      <c r="AH76" s="3" t="n">
        <f aca="false">+AH31*(1-AH64)</f>
        <v>4412.92322410907</v>
      </c>
      <c r="AI76" s="3" t="n">
        <f aca="false">+AI31*(1-AI64)</f>
        <v>29014.5410136614</v>
      </c>
      <c r="AJ76" s="3" t="n">
        <f aca="false">+AJ31*(1-AJ64)</f>
        <v>70649.1743031919</v>
      </c>
      <c r="AK76" s="3" t="n">
        <f aca="false">+AK31*(1-AK64)</f>
        <v>110677.176431081</v>
      </c>
      <c r="AL76" s="3" t="n">
        <f aca="false">+AL31*(1-AL64)</f>
        <v>214167.3084</v>
      </c>
      <c r="AM76" s="3" t="n">
        <f aca="false">+AM31*(1-AM64)</f>
        <v>388713.664746</v>
      </c>
      <c r="AN76" s="3" t="n">
        <f aca="false">+AN31*(1-AN64)</f>
        <v>548696.6441208</v>
      </c>
      <c r="AO76" s="3" t="n">
        <f aca="false">+AO31*(1-AO64)</f>
        <v>663832.98911664</v>
      </c>
      <c r="AP76" s="3" t="n">
        <f aca="false">+AP31*(1-AP64)</f>
        <v>803076.006345984</v>
      </c>
      <c r="AS76" s="45" t="s">
        <v>73</v>
      </c>
      <c r="AT76" s="46" t="n">
        <f aca="false">+Main!H10</f>
        <v>0.15870007698289</v>
      </c>
      <c r="AV76" s="11"/>
      <c r="AW76" s="3" t="s">
        <v>10</v>
      </c>
      <c r="AX76" s="3" t="n">
        <f aca="false">+Main!F5</f>
        <v>33366</v>
      </c>
    </row>
    <row r="77" customFormat="false" ht="12.8" hidden="false" customHeight="false" outlineLevel="0" collapsed="false">
      <c r="A77" s="3" t="s">
        <v>93</v>
      </c>
      <c r="B77" s="3" t="n">
        <f aca="false">+B83+B84+B85-B95-B96</f>
        <v>3553</v>
      </c>
      <c r="C77" s="3" t="n">
        <f aca="false">+C83+C84+C85-C95-C96</f>
        <v>3689</v>
      </c>
      <c r="D77" s="3" t="n">
        <f aca="false">+D83+D84+D85-D95-D96</f>
        <v>6525</v>
      </c>
      <c r="E77" s="3" t="n">
        <f aca="false">+E83+E84+E85-E95-E96</f>
        <v>8980</v>
      </c>
      <c r="F77" s="3" t="n">
        <f aca="false">+F83+F84+F85-F95-F96</f>
        <v>8318</v>
      </c>
      <c r="G77" s="3" t="n">
        <f aca="false">+G83+G84+G85-G95-G96</f>
        <v>10864</v>
      </c>
      <c r="H77" s="3" t="n">
        <f aca="false">+H83+H84+H85-H95-H96</f>
        <v>12674</v>
      </c>
      <c r="I77" s="3" t="n">
        <f aca="false">+I83+I84+I85-I95-I96</f>
        <v>18869</v>
      </c>
      <c r="J77" s="3" t="n">
        <f aca="false">+J83+J84+J85-J95-J96</f>
        <v>9702</v>
      </c>
      <c r="K77" s="3" t="n">
        <f aca="false">+K83+K84+K85-K95-K96</f>
        <v>21171</v>
      </c>
      <c r="L77" s="3" t="n">
        <f aca="false">+L83+L84+L85-L95-L96</f>
        <v>30808</v>
      </c>
      <c r="M77" s="3" t="n">
        <f aca="false">+M83+M84+M85-M95-M96</f>
        <v>31885</v>
      </c>
      <c r="N77" s="3" t="n">
        <f aca="false">+N83+N84+N85-N95-N96</f>
        <v>27539</v>
      </c>
      <c r="O77" s="3" t="n">
        <f aca="false">+O83+O84+O85-O95-O96</f>
        <v>56024</v>
      </c>
      <c r="V77" s="3" t="n">
        <f aca="false">+V83+V84+V85-V95-V96</f>
        <v>-215.751</v>
      </c>
      <c r="W77" s="3" t="n">
        <f aca="false">+W83+W84+W85-W95-W96</f>
        <v>-204.107</v>
      </c>
      <c r="X77" s="3" t="n">
        <f aca="false">+X83+X84+X85-X95-X96</f>
        <v>-32.5839999999999</v>
      </c>
      <c r="Y77" s="3" t="n">
        <f aca="false">+Y83+Y84+Y85-Y95-Y96</f>
        <v>-61.0889999999999</v>
      </c>
      <c r="Z77" s="3" t="n">
        <f aca="false">+Z83+Z84+Z85-Z95-Z96</f>
        <v>131</v>
      </c>
      <c r="AA77" s="3" t="n">
        <f aca="false">+AA83+AA84+AA85-AA95-AA96</f>
        <v>78</v>
      </c>
      <c r="AB77" s="3" t="n">
        <f aca="false">+AB83+AB84+AB85-AB95-AB96</f>
        <v>746</v>
      </c>
      <c r="AC77" s="3" t="n">
        <f aca="false">+AC83+AC84+AC85-AC95-AC96</f>
        <v>1009</v>
      </c>
      <c r="AD77" s="3" t="n">
        <f aca="false">+AD83+AD84+AD85-AD95-AD96</f>
        <v>1806</v>
      </c>
      <c r="AE77" s="3" t="n">
        <f aca="false">+AE83+AE84+AE85-AE95-AE96</f>
        <v>1009</v>
      </c>
      <c r="AF77" s="3" t="n">
        <f aca="false">+AF83+AF84+AF85-AF95-AF96</f>
        <v>1568</v>
      </c>
      <c r="AG77" s="3" t="n">
        <f aca="false">+AG83+AG84+AG85-AG95-AG96</f>
        <v>3286</v>
      </c>
      <c r="AH77" s="3" t="n">
        <f aca="false">+AH83+AH84+AH85-AH95-AH96</f>
        <v>4464</v>
      </c>
      <c r="AI77" s="3" t="n">
        <f aca="false">+AI83+AI84+AI85-AI95-AI96</f>
        <v>8980</v>
      </c>
      <c r="AJ77" s="3" t="n">
        <f aca="false">+AJ83+AJ84+AJ85-AJ95-AJ96</f>
        <v>18869</v>
      </c>
      <c r="AK77" s="3" t="n">
        <f aca="false">+AK83+AK84+AK85-AK95-AK96</f>
        <v>31885</v>
      </c>
      <c r="AL77" s="3" t="n">
        <f aca="false">+AL83+AL84+AL85-AL95-AL96</f>
        <v>35949.8297966877</v>
      </c>
      <c r="AM77" s="3" t="n">
        <f aca="false">+AM83+AM84+AM85-AM95-AM96</f>
        <v>61139.8466245749</v>
      </c>
      <c r="AN77" s="3" t="n">
        <f aca="false">+AN83+AN84+AN85-AN95-AN96</f>
        <v>80654.6521265814</v>
      </c>
      <c r="AO77" s="3" t="n">
        <f aca="false">+AO83+AO84+AO85-AO95-AO96</f>
        <v>90924.2059730189</v>
      </c>
      <c r="AP77" s="3" t="n">
        <f aca="false">+AP83+AP84+AP85-AP95-AP96</f>
        <v>102156.97511118</v>
      </c>
      <c r="AS77" s="47" t="s">
        <v>11</v>
      </c>
      <c r="AT77" s="48" t="n">
        <f aca="false">+NPV(AT76,AL78:AO78,AP78+AU78)</f>
        <v>8296414.85099556</v>
      </c>
      <c r="AV77" s="11"/>
      <c r="AW77" s="49" t="s">
        <v>8</v>
      </c>
      <c r="AX77" s="49" t="n">
        <f aca="false">+Main!F4</f>
        <v>99369</v>
      </c>
    </row>
    <row r="78" customFormat="false" ht="12.8" hidden="false" customHeight="false" outlineLevel="0" collapsed="false">
      <c r="A78" s="3" t="s">
        <v>94</v>
      </c>
      <c r="W78" s="3" t="n">
        <f aca="false">+W76+W116-W129-(W77-V77)</f>
        <v>553.841049704852</v>
      </c>
      <c r="X78" s="3" t="n">
        <f aca="false">+X76+X116-X129-(X77-W77)</f>
        <v>332.640109531312</v>
      </c>
      <c r="Y78" s="3" t="n">
        <f aca="false">+Y76+Y116-Y129-(Y77-X77)</f>
        <v>337.426568627451</v>
      </c>
      <c r="Z78" s="3" t="n">
        <f aca="false">+Z76+Z116-Z129-(Z77-Y77)</f>
        <v>478.254046357616</v>
      </c>
      <c r="AA78" s="3" t="n">
        <f aca="false">+AA76+AA116-AA129-(AA77-Z77)</f>
        <v>781.305518169583</v>
      </c>
      <c r="AB78" s="3" t="n">
        <f aca="false">+AB76+AB116-AB129-(AB77-AA77)</f>
        <v>1034.36167979003</v>
      </c>
      <c r="AC78" s="3" t="n">
        <f aca="false">+AC76+AC116-AC129-(AC77-AB77)</f>
        <v>2403.34730913642</v>
      </c>
      <c r="AD78" s="3" t="n">
        <f aca="false">+AD76+AD116-AD129-(AD77-AC77)</f>
        <v>2908.21457905544</v>
      </c>
      <c r="AE78" s="3" t="n">
        <f aca="false">+AE76+AE116-AE129-(AE77-AD77)</f>
        <v>3368.26464646465</v>
      </c>
      <c r="AF78" s="3" t="n">
        <f aca="false">+AF76+AF116-AF129-(AF77-AE77)</f>
        <v>3863.85189385348</v>
      </c>
      <c r="AG78" s="3" t="n">
        <f aca="false">+AG76+AG116-AG129-(AG77-AF77)</f>
        <v>8330.09878281863</v>
      </c>
      <c r="AH78" s="3" t="n">
        <f aca="false">+AH76+AH116-AH129-(AH77-AG77)</f>
        <v>4298.92322410907</v>
      </c>
      <c r="AI78" s="3" t="n">
        <f aca="false">+AI76+AI116-AI129-(AI77-AH77)</f>
        <v>23794.5410136614</v>
      </c>
      <c r="AJ78" s="3" t="n">
        <f aca="false">+AJ76+AJ116-AJ129-(AJ77-AI77)</f>
        <v>59388.1743031919</v>
      </c>
      <c r="AK78" s="3" t="n">
        <f aca="false">+AK76+AK116-AK129-(AK77-AJ77)</f>
        <v>94461.1764310812</v>
      </c>
      <c r="AL78" s="3" t="n">
        <f aca="false">+AL76+AL116-AL129-(AL77-AK77)</f>
        <v>209281.914203312</v>
      </c>
      <c r="AM78" s="3" t="n">
        <f aca="false">+AM76+AM116-AM129-(AM77-AL77)</f>
        <v>362046.631998113</v>
      </c>
      <c r="AN78" s="3" t="n">
        <f aca="false">+AN76+AN116-AN129-(AN77-AM77)</f>
        <v>527114.016330794</v>
      </c>
      <c r="AO78" s="3" t="n">
        <f aca="false">+AO76+AO116-AO129-(AO77-AN77)</f>
        <v>651082.048524602</v>
      </c>
      <c r="AP78" s="3" t="n">
        <f aca="false">+AP76+AP116-AP129-(AP77-AO77)</f>
        <v>788865.573113103</v>
      </c>
      <c r="AS78" s="45" t="s">
        <v>95</v>
      </c>
      <c r="AT78" s="50" t="n">
        <f aca="false">+AP78*(1+AT75)/(AT76-AT75)</f>
        <v>6313372.60516571</v>
      </c>
      <c r="AU78" s="3" t="n">
        <f aca="false">+AP73*15</f>
        <v>14136460.2896832</v>
      </c>
      <c r="AV78" s="11"/>
      <c r="AW78" s="3" t="s">
        <v>96</v>
      </c>
      <c r="AX78" s="3" t="n">
        <f aca="false">+AX75-AX76+AX77</f>
        <v>8362417.85099556</v>
      </c>
    </row>
    <row r="79" customFormat="false" ht="12.8" hidden="false" customHeight="false" outlineLevel="0" collapsed="false">
      <c r="AS79" s="51" t="s">
        <v>80</v>
      </c>
      <c r="AT79" s="52" t="n">
        <f aca="false">+AT77/Main!F6-1</f>
        <v>0.591822488240953</v>
      </c>
      <c r="AV79" s="11"/>
      <c r="AW79" s="49" t="s">
        <v>67</v>
      </c>
      <c r="AX79" s="49" t="n">
        <f aca="false">+Main!F2</f>
        <v>24100</v>
      </c>
    </row>
    <row r="80" customFormat="false" ht="12.8" hidden="false" customHeight="false" outlineLevel="0" collapsed="false">
      <c r="AV80" s="11"/>
      <c r="AW80" s="3" t="s">
        <v>1</v>
      </c>
      <c r="AX80" s="3" t="n">
        <f aca="false">+AX78/AX79</f>
        <v>346.98829257243</v>
      </c>
    </row>
    <row r="81" customFormat="false" ht="12.8" hidden="false" customHeight="false" outlineLevel="0" collapsed="false">
      <c r="A81" s="3" t="s">
        <v>8</v>
      </c>
      <c r="B81" s="3" t="n">
        <v>15320</v>
      </c>
      <c r="C81" s="3" t="n">
        <v>16023</v>
      </c>
      <c r="D81" s="3" t="n">
        <v>18281</v>
      </c>
      <c r="E81" s="3" t="n">
        <v>25984</v>
      </c>
      <c r="F81" s="3" t="n">
        <v>31438</v>
      </c>
      <c r="G81" s="3" t="n">
        <v>34800</v>
      </c>
      <c r="H81" s="3" t="n">
        <v>38487</v>
      </c>
      <c r="I81" s="3" t="n">
        <v>43210</v>
      </c>
      <c r="J81" s="3" t="n">
        <v>53691</v>
      </c>
      <c r="K81" s="3" t="n">
        <v>56791</v>
      </c>
      <c r="L81" s="3" t="n">
        <v>60608</v>
      </c>
      <c r="M81" s="3" t="n">
        <f aca="false">+10605+39065</f>
        <v>49670</v>
      </c>
      <c r="N81" s="3" t="n">
        <f aca="false">+13237+37098</f>
        <v>50335</v>
      </c>
      <c r="O81" s="3" t="n">
        <f aca="false">+22443+34143</f>
        <v>56586</v>
      </c>
      <c r="V81" s="3" t="n">
        <f aca="false">+665.361+1825.202</f>
        <v>2490.563</v>
      </c>
      <c r="W81" s="3" t="n">
        <f aca="false">+667.876+2461.7</f>
        <v>3129.576</v>
      </c>
      <c r="X81" s="3" t="n">
        <f aca="false">+732.789+2995.097</f>
        <v>3727.886</v>
      </c>
      <c r="Y81" s="3" t="n">
        <f aca="false">+1151.587+3520.223</f>
        <v>4671.81</v>
      </c>
      <c r="Z81" s="3" t="n">
        <f aca="false">+497+4126</f>
        <v>4623</v>
      </c>
      <c r="AA81" s="3" t="n">
        <f aca="false">+4441+596</f>
        <v>5037</v>
      </c>
      <c r="AB81" s="3" t="n">
        <f aca="false">+1766+5032</f>
        <v>6798</v>
      </c>
      <c r="AC81" s="3" t="n">
        <f aca="false">+4002+3106</f>
        <v>7108</v>
      </c>
      <c r="AD81" s="3" t="n">
        <f aca="false">+782+6640</f>
        <v>7422</v>
      </c>
      <c r="AE81" s="3" t="n">
        <f aca="false">+10896+1</f>
        <v>10897</v>
      </c>
      <c r="AF81" s="3" t="n">
        <f aca="false">+847+10714</f>
        <v>11561</v>
      </c>
      <c r="AG81" s="3" t="n">
        <f aca="false">+1990+19218</f>
        <v>21208</v>
      </c>
      <c r="AH81" s="3" t="n">
        <f aca="false">+3389+9907</f>
        <v>13296</v>
      </c>
      <c r="AI81" s="3" t="n">
        <f aca="false">+7280+18704</f>
        <v>25984</v>
      </c>
      <c r="AJ81" s="3" t="n">
        <v>43210</v>
      </c>
      <c r="AK81" s="3" t="n">
        <v>62556</v>
      </c>
      <c r="AV81" s="11"/>
      <c r="AX81" s="53" t="n">
        <f aca="false">+AX80/Main!F1-1</f>
        <v>0.584421427271369</v>
      </c>
    </row>
    <row r="82" customFormat="false" ht="12.8" hidden="false" customHeight="false" outlineLevel="0" collapsed="false">
      <c r="A82" s="3" t="s">
        <v>97</v>
      </c>
      <c r="M82" s="3" t="n">
        <v>12886</v>
      </c>
      <c r="N82" s="3" t="n">
        <v>30237</v>
      </c>
      <c r="O82" s="3" t="n">
        <v>42783</v>
      </c>
    </row>
    <row r="83" customFormat="false" ht="12.8" hidden="false" customHeight="false" outlineLevel="0" collapsed="false">
      <c r="A83" s="3" t="s">
        <v>98</v>
      </c>
      <c r="B83" s="3" t="n">
        <v>4080</v>
      </c>
      <c r="C83" s="3" t="n">
        <v>7066</v>
      </c>
      <c r="D83" s="3" t="n">
        <v>8309</v>
      </c>
      <c r="E83" s="3" t="n">
        <v>9999</v>
      </c>
      <c r="F83" s="3" t="n">
        <v>12365</v>
      </c>
      <c r="G83" s="3" t="n">
        <v>14132</v>
      </c>
      <c r="H83" s="3" t="n">
        <v>17693</v>
      </c>
      <c r="I83" s="3" t="n">
        <v>23065</v>
      </c>
      <c r="J83" s="3" t="n">
        <v>22132</v>
      </c>
      <c r="K83" s="3" t="n">
        <v>27808</v>
      </c>
      <c r="L83" s="3" t="n">
        <v>33391</v>
      </c>
      <c r="M83" s="3" t="n">
        <v>38466</v>
      </c>
      <c r="N83" s="3" t="n">
        <v>40710</v>
      </c>
      <c r="O83" s="3" t="n">
        <v>63059</v>
      </c>
      <c r="V83" s="3" t="n">
        <v>348.77</v>
      </c>
      <c r="W83" s="3" t="n">
        <v>336.143</v>
      </c>
      <c r="X83" s="3" t="n">
        <v>454.252</v>
      </c>
      <c r="Y83" s="3" t="n">
        <v>426.357</v>
      </c>
      <c r="Z83" s="3" t="n">
        <v>474</v>
      </c>
      <c r="AA83" s="3" t="n">
        <v>505</v>
      </c>
      <c r="AB83" s="3" t="n">
        <v>826</v>
      </c>
      <c r="AC83" s="3" t="n">
        <v>1265</v>
      </c>
      <c r="AD83" s="3" t="n">
        <v>1424</v>
      </c>
      <c r="AE83" s="3" t="n">
        <v>1657</v>
      </c>
      <c r="AF83" s="3" t="n">
        <v>2429</v>
      </c>
      <c r="AG83" s="3" t="n">
        <v>4650</v>
      </c>
      <c r="AH83" s="3" t="n">
        <v>3827</v>
      </c>
      <c r="AI83" s="3" t="n">
        <v>9999</v>
      </c>
      <c r="AJ83" s="3" t="n">
        <v>23065</v>
      </c>
      <c r="AK83" s="3" t="n">
        <v>38466</v>
      </c>
      <c r="AL83" s="3" t="n">
        <f aca="false">+AL137*AL19/365</f>
        <v>57330.3891780822</v>
      </c>
      <c r="AM83" s="3" t="n">
        <f aca="false">+AM137*AM19/365</f>
        <v>101171.391041096</v>
      </c>
      <c r="AN83" s="3" t="n">
        <f aca="false">+AN137*AN19/365</f>
        <v>138807.314186301</v>
      </c>
      <c r="AO83" s="3" t="n">
        <f aca="false">+AO137*AO19/365</f>
        <v>163169.617098082</v>
      </c>
      <c r="AP83" s="3" t="n">
        <f aca="false">+AP137*AP19/365</f>
        <v>191724.548607123</v>
      </c>
    </row>
    <row r="84" customFormat="false" ht="12.8" hidden="false" customHeight="false" outlineLevel="0" collapsed="false">
      <c r="A84" s="3" t="s">
        <v>99</v>
      </c>
      <c r="B84" s="3" t="n">
        <v>4611</v>
      </c>
      <c r="C84" s="3" t="n">
        <v>4319</v>
      </c>
      <c r="D84" s="3" t="n">
        <v>4779</v>
      </c>
      <c r="E84" s="3" t="n">
        <v>5282</v>
      </c>
      <c r="F84" s="3" t="n">
        <v>5864</v>
      </c>
      <c r="G84" s="3" t="n">
        <v>6675</v>
      </c>
      <c r="H84" s="3" t="n">
        <v>7654</v>
      </c>
      <c r="I84" s="3" t="n">
        <v>10080</v>
      </c>
      <c r="J84" s="3" t="n">
        <v>11333</v>
      </c>
      <c r="K84" s="3" t="n">
        <v>14962</v>
      </c>
      <c r="L84" s="3" t="n">
        <v>19784</v>
      </c>
      <c r="M84" s="3" t="n">
        <v>21403</v>
      </c>
      <c r="N84" s="3" t="n">
        <v>25797</v>
      </c>
      <c r="O84" s="3" t="n">
        <v>31575</v>
      </c>
      <c r="V84" s="3" t="n">
        <v>345.525</v>
      </c>
      <c r="W84" s="3" t="n">
        <v>340.297</v>
      </c>
      <c r="X84" s="3" t="n">
        <v>412.467</v>
      </c>
      <c r="Y84" s="3" t="n">
        <v>387.765</v>
      </c>
      <c r="Z84" s="3" t="n">
        <v>483</v>
      </c>
      <c r="AA84" s="3" t="n">
        <v>418</v>
      </c>
      <c r="AB84" s="3" t="n">
        <v>794</v>
      </c>
      <c r="AC84" s="3" t="n">
        <v>796</v>
      </c>
      <c r="AD84" s="3" t="n">
        <v>1575</v>
      </c>
      <c r="AE84" s="3" t="n">
        <v>979</v>
      </c>
      <c r="AF84" s="3" t="n">
        <v>1826</v>
      </c>
      <c r="AG84" s="3" t="n">
        <v>2605</v>
      </c>
      <c r="AH84" s="3" t="n">
        <v>5159</v>
      </c>
      <c r="AI84" s="3" t="n">
        <v>5282</v>
      </c>
      <c r="AJ84" s="3" t="n">
        <v>10080</v>
      </c>
      <c r="AK84" s="3" t="n">
        <v>21403</v>
      </c>
      <c r="AL84" s="3" t="n">
        <f aca="false">+AL138*AL21/365</f>
        <v>28630.729642356</v>
      </c>
      <c r="AM84" s="3" t="n">
        <f aca="false">+AM138*AM21/365</f>
        <v>50058.6297966015</v>
      </c>
      <c r="AN84" s="3" t="n">
        <f aca="false">+AN138*AN21/365</f>
        <v>68043.0510644594</v>
      </c>
      <c r="AO84" s="3" t="n">
        <f aca="false">+AO138*AO21/365</f>
        <v>79238.8160956667</v>
      </c>
      <c r="AP84" s="3" t="n">
        <f aca="false">+AP138*AP21/365</f>
        <v>92231.9550158845</v>
      </c>
    </row>
    <row r="85" customFormat="false" ht="12.8" hidden="false" customHeight="false" outlineLevel="0" collapsed="false">
      <c r="A85" s="3" t="s">
        <v>100</v>
      </c>
      <c r="B85" s="3" t="n">
        <v>872</v>
      </c>
      <c r="C85" s="3" t="n">
        <v>1389</v>
      </c>
      <c r="D85" s="3" t="n">
        <v>1289</v>
      </c>
      <c r="E85" s="3" t="n">
        <v>3080</v>
      </c>
      <c r="F85" s="3" t="n">
        <v>4062</v>
      </c>
      <c r="G85" s="3" t="n">
        <v>4026</v>
      </c>
      <c r="H85" s="3" t="n">
        <v>3806</v>
      </c>
      <c r="I85" s="3" t="n">
        <v>3771</v>
      </c>
      <c r="J85" s="3" t="n">
        <v>2779</v>
      </c>
      <c r="K85" s="3" t="n">
        <v>2658</v>
      </c>
      <c r="L85" s="3" t="n">
        <v>2709</v>
      </c>
      <c r="M85" s="3" t="n">
        <v>3180</v>
      </c>
      <c r="N85" s="3" t="n">
        <v>3916</v>
      </c>
      <c r="O85" s="3" t="n">
        <v>3409</v>
      </c>
      <c r="V85" s="3" t="n">
        <v>32.636</v>
      </c>
      <c r="W85" s="3" t="n">
        <v>49.411</v>
      </c>
      <c r="X85" s="3" t="n">
        <v>76.92</v>
      </c>
      <c r="Y85" s="3" t="n">
        <v>70.285</v>
      </c>
      <c r="Z85" s="3" t="n">
        <v>70</v>
      </c>
      <c r="AA85" s="3" t="n">
        <v>93</v>
      </c>
      <c r="AB85" s="3" t="n">
        <v>118</v>
      </c>
      <c r="AC85" s="3" t="n">
        <v>86</v>
      </c>
      <c r="AD85" s="3" t="n">
        <v>136</v>
      </c>
      <c r="AE85" s="3" t="n">
        <v>157</v>
      </c>
      <c r="AF85" s="3" t="n">
        <v>239</v>
      </c>
      <c r="AG85" s="3" t="n">
        <v>366</v>
      </c>
      <c r="AH85" s="3" t="n">
        <v>791</v>
      </c>
      <c r="AI85" s="3" t="n">
        <v>3080</v>
      </c>
      <c r="AJ85" s="3" t="n">
        <v>3771</v>
      </c>
      <c r="AK85" s="3" t="n">
        <v>3180</v>
      </c>
      <c r="AL85" s="54" t="n">
        <f aca="false">+AL19*0.015</f>
        <v>6154.233</v>
      </c>
      <c r="AM85" s="54" t="n">
        <f aca="false">+AM19*0.015</f>
        <v>11077.6194</v>
      </c>
      <c r="AN85" s="54" t="n">
        <f aca="false">+AN19*0.015</f>
        <v>15508.66716</v>
      </c>
      <c r="AO85" s="54" t="n">
        <f aca="false">+AO19*0.015</f>
        <v>18610.400592</v>
      </c>
      <c r="AP85" s="54" t="n">
        <f aca="false">+AP19*0.015</f>
        <v>22332.4807104</v>
      </c>
    </row>
    <row r="86" customFormat="false" ht="12.8" hidden="false" customHeight="false" outlineLevel="0" collapsed="false">
      <c r="V86" s="20" t="n">
        <f aca="false">+V85/V$19</f>
        <v>0.00921059947072073</v>
      </c>
      <c r="W86" s="20" t="n">
        <f aca="false">+W85/W$19</f>
        <v>0.0123591458579815</v>
      </c>
      <c r="X86" s="20" t="n">
        <f aca="false">+X85/X$19</f>
        <v>0.0179712949916113</v>
      </c>
      <c r="Y86" s="20" t="n">
        <f aca="false">+Y85/Y$19</f>
        <v>0.0170181598062954</v>
      </c>
      <c r="Z86" s="20" t="n">
        <f aca="false">+Z85/Z$19</f>
        <v>0.0149508756941478</v>
      </c>
      <c r="AA86" s="20" t="n">
        <f aca="false">+AA85/AA$19</f>
        <v>0.018562874251497</v>
      </c>
      <c r="AB86" s="20" t="n">
        <f aca="false">+AB85/AB$19</f>
        <v>0.0170767004341534</v>
      </c>
      <c r="AC86" s="20" t="n">
        <f aca="false">+AC85/AC$19</f>
        <v>0.00885320156475191</v>
      </c>
      <c r="AD86" s="20" t="n">
        <f aca="false">+AD85/AD$19</f>
        <v>0.0116080573574599</v>
      </c>
      <c r="AE86" s="20" t="n">
        <f aca="false">+AE85/AE$19</f>
        <v>0.014379923062832</v>
      </c>
      <c r="AF86" s="20" t="n">
        <f aca="false">+AF85/AF$19</f>
        <v>0.0143328335832084</v>
      </c>
      <c r="AG86" s="20" t="n">
        <f aca="false">+AG85/AG$19</f>
        <v>0.013598870476332</v>
      </c>
      <c r="AH86" s="20" t="n">
        <f aca="false">+AH85/AH$19</f>
        <v>0.0293245347371543</v>
      </c>
      <c r="AI86" s="20" t="n">
        <f aca="false">+AI85/AI$19</f>
        <v>0.0505564492301632</v>
      </c>
      <c r="AJ86" s="20" t="n">
        <f aca="false">+AJ85/AJ$19</f>
        <v>0.0288972160279547</v>
      </c>
      <c r="AK86" s="20" t="n">
        <f aca="false">+AK85/AK$19</f>
        <v>0.0147264492585835</v>
      </c>
      <c r="AL86" s="20" t="n">
        <f aca="false">+AL85/AL$19</f>
        <v>0.015</v>
      </c>
      <c r="AM86" s="20" t="n">
        <f aca="false">+AM85/AM$19</f>
        <v>0.015</v>
      </c>
      <c r="AN86" s="20" t="n">
        <f aca="false">+AN85/AN$19</f>
        <v>0.015</v>
      </c>
      <c r="AO86" s="20" t="n">
        <f aca="false">+AO85/AO$19</f>
        <v>0.015</v>
      </c>
      <c r="AP86" s="20" t="n">
        <f aca="false">+AP85/AP$19</f>
        <v>0.015</v>
      </c>
    </row>
    <row r="87" customFormat="false" ht="12.8" hidden="false" customHeight="false" outlineLevel="0" collapsed="false">
      <c r="A87" s="3" t="s">
        <v>101</v>
      </c>
      <c r="B87" s="3" t="n">
        <v>3740</v>
      </c>
      <c r="C87" s="3" t="n">
        <v>3799</v>
      </c>
      <c r="D87" s="3" t="n">
        <v>3844</v>
      </c>
      <c r="E87" s="3" t="n">
        <v>3914</v>
      </c>
      <c r="F87" s="3" t="n">
        <v>4006</v>
      </c>
      <c r="G87" s="3" t="n">
        <v>4885</v>
      </c>
      <c r="H87" s="3" t="n">
        <v>5343</v>
      </c>
      <c r="I87" s="3" t="n">
        <v>6283</v>
      </c>
      <c r="J87" s="3" t="n">
        <v>7136</v>
      </c>
      <c r="K87" s="3" t="n">
        <v>9141</v>
      </c>
      <c r="L87" s="3" t="n">
        <v>9780</v>
      </c>
      <c r="M87" s="3" t="n">
        <v>10383</v>
      </c>
      <c r="N87" s="3" t="n">
        <v>12403</v>
      </c>
      <c r="O87" s="3" t="n">
        <v>14285</v>
      </c>
      <c r="V87" s="3" t="n">
        <v>568.857</v>
      </c>
      <c r="W87" s="3" t="n">
        <v>560.072</v>
      </c>
      <c r="X87" s="3" t="n">
        <v>576.144</v>
      </c>
      <c r="Y87" s="3" t="n">
        <v>582.74</v>
      </c>
      <c r="Z87" s="3" t="n">
        <v>557</v>
      </c>
      <c r="AA87" s="3" t="n">
        <v>466</v>
      </c>
      <c r="AB87" s="3" t="n">
        <v>521</v>
      </c>
      <c r="AC87" s="3" t="n">
        <v>997</v>
      </c>
      <c r="AD87" s="3" t="n">
        <v>1404</v>
      </c>
      <c r="AE87" s="3" t="n">
        <v>1674</v>
      </c>
      <c r="AF87" s="3" t="n">
        <v>2149</v>
      </c>
      <c r="AG87" s="3" t="n">
        <v>2778</v>
      </c>
      <c r="AH87" s="3" t="n">
        <v>3807</v>
      </c>
      <c r="AI87" s="3" t="n">
        <v>3914</v>
      </c>
      <c r="AJ87" s="3" t="n">
        <v>6283</v>
      </c>
      <c r="AK87" s="3" t="n">
        <v>10383</v>
      </c>
    </row>
    <row r="88" customFormat="false" ht="12.8" hidden="false" customHeight="false" outlineLevel="0" collapsed="false">
      <c r="A88" s="3" t="s">
        <v>102</v>
      </c>
      <c r="B88" s="3" t="n">
        <v>1094</v>
      </c>
      <c r="C88" s="3" t="n">
        <v>1235</v>
      </c>
      <c r="D88" s="3" t="n">
        <v>1316</v>
      </c>
      <c r="E88" s="3" t="n">
        <v>1346</v>
      </c>
      <c r="F88" s="3" t="n">
        <v>1532</v>
      </c>
      <c r="G88" s="3" t="n">
        <v>1556</v>
      </c>
      <c r="H88" s="3" t="n">
        <v>1755</v>
      </c>
      <c r="I88" s="3" t="n">
        <v>1793</v>
      </c>
      <c r="J88" s="3" t="n">
        <v>1810</v>
      </c>
      <c r="K88" s="3" t="n">
        <v>2084</v>
      </c>
      <c r="L88" s="3" t="n">
        <v>2281</v>
      </c>
      <c r="M88" s="3" t="n">
        <v>2867</v>
      </c>
      <c r="N88" s="3" t="n">
        <v>4258</v>
      </c>
      <c r="O88" s="3" t="n">
        <v>5390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618</v>
      </c>
      <c r="AF88" s="3" t="n">
        <v>707</v>
      </c>
      <c r="AG88" s="3" t="n">
        <v>829</v>
      </c>
      <c r="AH88" s="3" t="n">
        <v>1038</v>
      </c>
      <c r="AI88" s="3" t="n">
        <v>1346</v>
      </c>
      <c r="AJ88" s="3" t="n">
        <v>1793</v>
      </c>
      <c r="AK88" s="3" t="n">
        <v>2867</v>
      </c>
    </row>
    <row r="89" customFormat="false" ht="12.8" hidden="false" customHeight="false" outlineLevel="0" collapsed="false">
      <c r="A89" s="3" t="s">
        <v>103</v>
      </c>
      <c r="B89" s="3" t="n">
        <v>4430</v>
      </c>
      <c r="C89" s="3" t="n">
        <v>4430</v>
      </c>
      <c r="D89" s="3" t="n">
        <v>4430</v>
      </c>
      <c r="E89" s="3" t="n">
        <v>4430</v>
      </c>
      <c r="F89" s="3" t="n">
        <v>4453</v>
      </c>
      <c r="G89" s="3" t="n">
        <v>4622</v>
      </c>
      <c r="H89" s="3" t="n">
        <v>4724</v>
      </c>
      <c r="I89" s="3" t="n">
        <v>5188</v>
      </c>
      <c r="J89" s="3" t="n">
        <v>5498</v>
      </c>
      <c r="K89" s="3" t="n">
        <v>5755</v>
      </c>
      <c r="L89" s="3" t="n">
        <v>6261</v>
      </c>
      <c r="M89" s="3" t="n">
        <v>20832</v>
      </c>
      <c r="N89" s="3" t="n">
        <v>20894</v>
      </c>
      <c r="O89" s="3" t="n">
        <v>21125</v>
      </c>
      <c r="V89" s="3" t="n">
        <v>369.844</v>
      </c>
      <c r="W89" s="3" t="n">
        <v>641.03</v>
      </c>
      <c r="X89" s="3" t="n">
        <v>641.03</v>
      </c>
      <c r="Y89" s="3" t="n">
        <v>643.179</v>
      </c>
      <c r="Z89" s="3" t="n">
        <v>618</v>
      </c>
      <c r="AA89" s="3" t="n">
        <v>618</v>
      </c>
      <c r="AB89" s="3" t="n">
        <v>618</v>
      </c>
      <c r="AC89" s="3" t="n">
        <v>618</v>
      </c>
      <c r="AD89" s="3" t="n">
        <v>618</v>
      </c>
      <c r="AE89" s="3" t="n">
        <v>618</v>
      </c>
      <c r="AF89" s="3" t="n">
        <v>4193</v>
      </c>
      <c r="AG89" s="3" t="n">
        <v>4349</v>
      </c>
      <c r="AH89" s="3" t="n">
        <v>4372</v>
      </c>
      <c r="AI89" s="3" t="n">
        <v>4430</v>
      </c>
      <c r="AJ89" s="3" t="n">
        <v>5188</v>
      </c>
      <c r="AK89" s="3" t="n">
        <v>20832</v>
      </c>
    </row>
    <row r="90" customFormat="false" ht="12.8" hidden="false" customHeight="false" outlineLevel="0" collapsed="false">
      <c r="A90" s="3" t="s">
        <v>104</v>
      </c>
      <c r="B90" s="3" t="n">
        <v>1541</v>
      </c>
      <c r="C90" s="3" t="n">
        <v>1395</v>
      </c>
      <c r="D90" s="3" t="n">
        <v>1251</v>
      </c>
      <c r="E90" s="3" t="n">
        <v>1112</v>
      </c>
      <c r="F90" s="3" t="n">
        <v>986</v>
      </c>
      <c r="G90" s="3" t="n">
        <v>952</v>
      </c>
      <c r="H90" s="3" t="n">
        <v>838</v>
      </c>
      <c r="I90" s="3" t="n">
        <v>807</v>
      </c>
      <c r="J90" s="3" t="n">
        <v>769</v>
      </c>
      <c r="K90" s="3" t="n">
        <v>755</v>
      </c>
      <c r="L90" s="3" t="n">
        <v>936</v>
      </c>
      <c r="M90" s="3" t="n">
        <v>3306</v>
      </c>
      <c r="N90" s="3" t="n">
        <v>3120</v>
      </c>
      <c r="O90" s="3" t="n">
        <v>2998</v>
      </c>
      <c r="V90" s="3" t="n">
        <v>288.745</v>
      </c>
      <c r="W90" s="3" t="n">
        <v>326.136</v>
      </c>
      <c r="X90" s="3" t="n">
        <v>312.332</v>
      </c>
      <c r="Y90" s="3" t="n">
        <v>296.012</v>
      </c>
      <c r="Z90" s="3" t="n">
        <v>222</v>
      </c>
      <c r="AA90" s="3" t="n">
        <v>166</v>
      </c>
      <c r="AB90" s="3" t="n">
        <v>104</v>
      </c>
      <c r="AC90" s="3" t="n">
        <v>52</v>
      </c>
      <c r="AD90" s="3" t="n">
        <v>45</v>
      </c>
      <c r="AE90" s="3" t="n">
        <v>49</v>
      </c>
      <c r="AF90" s="3" t="n">
        <v>2737</v>
      </c>
      <c r="AG90" s="3" t="n">
        <v>2339</v>
      </c>
      <c r="AH90" s="3" t="n">
        <v>1676</v>
      </c>
      <c r="AI90" s="3" t="n">
        <v>1112</v>
      </c>
      <c r="AJ90" s="3" t="n">
        <v>807</v>
      </c>
      <c r="AK90" s="3" t="n">
        <v>13258</v>
      </c>
    </row>
    <row r="91" customFormat="false" ht="12.8" hidden="false" customHeight="false" outlineLevel="0" collapsed="false">
      <c r="A91" s="3" t="s">
        <v>105</v>
      </c>
      <c r="B91" s="3" t="n">
        <v>4568</v>
      </c>
      <c r="C91" s="3" t="n">
        <v>5398</v>
      </c>
      <c r="D91" s="3" t="n">
        <v>5982</v>
      </c>
      <c r="E91" s="3" t="n">
        <v>6081</v>
      </c>
      <c r="F91" s="3" t="n">
        <v>7798</v>
      </c>
      <c r="G91" s="3" t="n">
        <v>9578</v>
      </c>
      <c r="H91" s="3" t="n">
        <v>10276</v>
      </c>
      <c r="I91" s="3" t="n">
        <v>10979</v>
      </c>
      <c r="J91" s="3" t="n">
        <v>13318</v>
      </c>
      <c r="K91" s="3" t="n">
        <v>13570</v>
      </c>
      <c r="L91" s="3" t="n">
        <v>13674</v>
      </c>
      <c r="M91" s="3" t="n">
        <v>13258</v>
      </c>
      <c r="N91" s="3" t="n">
        <v>11707</v>
      </c>
      <c r="O91" s="3" t="n">
        <v>12159</v>
      </c>
      <c r="V91" s="3" t="n">
        <v>9.456</v>
      </c>
      <c r="W91" s="3" t="n">
        <v>49.931</v>
      </c>
      <c r="X91" s="3" t="n">
        <v>103.736</v>
      </c>
      <c r="Y91" s="3" t="n">
        <v>68.494</v>
      </c>
      <c r="Z91" s="3" t="n">
        <v>63</v>
      </c>
      <c r="AA91" s="3" t="n">
        <v>0</v>
      </c>
      <c r="AB91" s="3" t="n">
        <v>0</v>
      </c>
      <c r="AC91" s="3" t="n">
        <v>0</v>
      </c>
      <c r="AD91" s="3" t="n">
        <v>560</v>
      </c>
      <c r="AE91" s="3" t="n">
        <v>548</v>
      </c>
      <c r="AF91" s="3" t="n">
        <v>806</v>
      </c>
      <c r="AG91" s="3" t="n">
        <v>1222</v>
      </c>
      <c r="AH91" s="3" t="n">
        <v>3396</v>
      </c>
      <c r="AI91" s="3" t="n">
        <v>6081</v>
      </c>
      <c r="AJ91" s="3" t="n">
        <v>10979</v>
      </c>
      <c r="AK91" s="3" t="n">
        <v>22251</v>
      </c>
    </row>
    <row r="92" customFormat="false" ht="12.8" hidden="false" customHeight="false" outlineLevel="0" collapsed="false">
      <c r="A92" s="3" t="s">
        <v>106</v>
      </c>
      <c r="B92" s="3" t="n">
        <v>4204</v>
      </c>
      <c r="C92" s="3" t="n">
        <v>4501</v>
      </c>
      <c r="D92" s="3" t="n">
        <v>4667</v>
      </c>
      <c r="E92" s="3" t="n">
        <v>4500</v>
      </c>
      <c r="F92" s="3" t="n">
        <v>4568</v>
      </c>
      <c r="G92" s="3" t="n">
        <v>4001</v>
      </c>
      <c r="H92" s="3" t="n">
        <v>5437</v>
      </c>
      <c r="I92" s="3" t="n">
        <v>6425</v>
      </c>
      <c r="J92" s="3" t="n">
        <v>6788</v>
      </c>
      <c r="K92" s="3" t="n">
        <v>7216</v>
      </c>
      <c r="L92" s="3" t="n">
        <v>11724</v>
      </c>
      <c r="M92" s="3" t="n">
        <f aca="false">+22251+8301</f>
        <v>30552</v>
      </c>
      <c r="N92" s="3" t="n">
        <f aca="false">+43364+12733</f>
        <v>56097</v>
      </c>
      <c r="O92" s="3" t="n">
        <f aca="false">+51157+15746</f>
        <v>66903</v>
      </c>
      <c r="V92" s="3" t="n">
        <v>40.85</v>
      </c>
      <c r="W92" s="3" t="n">
        <v>120.332</v>
      </c>
      <c r="X92" s="3" t="n">
        <v>107.481</v>
      </c>
      <c r="Y92" s="3" t="n">
        <v>104.252</v>
      </c>
      <c r="Z92" s="3" t="n">
        <v>91</v>
      </c>
      <c r="AA92" s="3" t="n">
        <v>67</v>
      </c>
      <c r="AB92" s="3" t="n">
        <v>62</v>
      </c>
      <c r="AC92" s="3" t="n">
        <v>319</v>
      </c>
      <c r="AD92" s="3" t="n">
        <v>108</v>
      </c>
      <c r="AE92" s="3" t="n">
        <v>118</v>
      </c>
      <c r="AF92" s="3" t="n">
        <v>2144</v>
      </c>
      <c r="AG92" s="3" t="n">
        <v>3841</v>
      </c>
      <c r="AH92" s="3" t="n">
        <v>3820</v>
      </c>
      <c r="AI92" s="3" t="n">
        <v>4500</v>
      </c>
      <c r="AJ92" s="3" t="n">
        <v>6425</v>
      </c>
      <c r="AK92" s="3" t="n">
        <f aca="false">+3306+8301</f>
        <v>11607</v>
      </c>
    </row>
    <row r="93" customFormat="false" ht="12.8" hidden="false" customHeight="false" outlineLevel="0" collapsed="false">
      <c r="A93" s="3" t="s">
        <v>107</v>
      </c>
      <c r="B93" s="3" t="n">
        <f aca="false">SUM(B81:B92)</f>
        <v>44460</v>
      </c>
      <c r="C93" s="3" t="n">
        <f aca="false">SUM(C81:C92)</f>
        <v>49555</v>
      </c>
      <c r="D93" s="3" t="n">
        <f aca="false">SUM(D81:D92)</f>
        <v>54148</v>
      </c>
      <c r="E93" s="3" t="n">
        <f aca="false">SUM(E81:E92)</f>
        <v>65728</v>
      </c>
      <c r="F93" s="3" t="n">
        <f aca="false">SUM(F81:F92)</f>
        <v>77072</v>
      </c>
      <c r="G93" s="3" t="n">
        <f aca="false">SUM(G81:G92)</f>
        <v>85227</v>
      </c>
      <c r="H93" s="3" t="n">
        <f aca="false">SUM(H81:H92)</f>
        <v>96013</v>
      </c>
      <c r="I93" s="3" t="n">
        <f aca="false">SUM(I81:I92)</f>
        <v>111601</v>
      </c>
      <c r="J93" s="3" t="n">
        <f aca="false">SUM(J81:J92)</f>
        <v>125254</v>
      </c>
      <c r="K93" s="3" t="n">
        <f aca="false">SUM(K81:K92)</f>
        <v>140740</v>
      </c>
      <c r="L93" s="3" t="n">
        <f aca="false">SUM(L81:L92)</f>
        <v>161148</v>
      </c>
      <c r="M93" s="3" t="n">
        <f aca="false">SUM(M81:M92)</f>
        <v>206803</v>
      </c>
      <c r="N93" s="3" t="n">
        <f aca="false">SUM(N81:N92)</f>
        <v>259474</v>
      </c>
      <c r="O93" s="3" t="n">
        <f aca="false">SUM(O81:O92)</f>
        <v>320272</v>
      </c>
      <c r="V93" s="3" t="n">
        <f aca="false">SUM(V81:V92)</f>
        <v>4495.25521059947</v>
      </c>
      <c r="W93" s="3" t="n">
        <f aca="false">SUM(W81:W92)</f>
        <v>5552.94035914586</v>
      </c>
      <c r="X93" s="3" t="n">
        <f aca="false">SUM(X81:X92)</f>
        <v>6412.26597129499</v>
      </c>
      <c r="Y93" s="3" t="n">
        <f aca="false">SUM(Y81:Y92)</f>
        <v>7250.91101815981</v>
      </c>
      <c r="Z93" s="3" t="n">
        <f aca="false">SUM(Z81:Z92)</f>
        <v>7201.01495087569</v>
      </c>
      <c r="AA93" s="3" t="n">
        <f aca="false">SUM(AA81:AA92)</f>
        <v>7370.01856287425</v>
      </c>
      <c r="AB93" s="3" t="n">
        <f aca="false">SUM(AB81:AB92)</f>
        <v>9841.01707670044</v>
      </c>
      <c r="AC93" s="3" t="n">
        <f aca="false">SUM(AC81:AC92)</f>
        <v>11241.0088532016</v>
      </c>
      <c r="AD93" s="3" t="n">
        <f aca="false">SUM(AD81:AD92)</f>
        <v>13292.0116080574</v>
      </c>
      <c r="AE93" s="3" t="n">
        <f aca="false">SUM(AE81:AE92)</f>
        <v>17315.0143799231</v>
      </c>
      <c r="AF93" s="3" t="n">
        <f aca="false">SUM(AF81:AF92)</f>
        <v>28791.0143328336</v>
      </c>
      <c r="AG93" s="3" t="n">
        <f aca="false">SUM(AG81:AG92)</f>
        <v>44187.0135988705</v>
      </c>
      <c r="AH93" s="3" t="n">
        <f aca="false">SUM(AH81:AH92)</f>
        <v>41182.0293245347</v>
      </c>
      <c r="AI93" s="3" t="n">
        <f aca="false">SUM(AI81:AI92)</f>
        <v>65728.0505564492</v>
      </c>
      <c r="AJ93" s="3" t="n">
        <f aca="false">SUM(AJ81:AJ92)</f>
        <v>111601.028897216</v>
      </c>
      <c r="AK93" s="3" t="n">
        <f aca="false">SUM(AK81:AK92)</f>
        <v>206803.014726449</v>
      </c>
    </row>
    <row r="95" customFormat="false" ht="12.8" hidden="false" customHeight="false" outlineLevel="0" collapsed="false">
      <c r="A95" s="3" t="s">
        <v>108</v>
      </c>
      <c r="B95" s="3" t="n">
        <v>1141</v>
      </c>
      <c r="C95" s="3" t="n">
        <v>1929</v>
      </c>
      <c r="D95" s="3" t="n">
        <v>2380</v>
      </c>
      <c r="E95" s="3" t="n">
        <v>2699</v>
      </c>
      <c r="F95" s="3" t="n">
        <v>2715</v>
      </c>
      <c r="G95" s="3" t="n">
        <v>3680</v>
      </c>
      <c r="H95" s="3" t="n">
        <v>5353</v>
      </c>
      <c r="I95" s="3" t="n">
        <v>6310</v>
      </c>
      <c r="J95" s="3" t="n">
        <v>7331</v>
      </c>
      <c r="K95" s="3" t="n">
        <v>9064</v>
      </c>
      <c r="L95" s="3" t="n">
        <v>8624</v>
      </c>
      <c r="M95" s="3" t="n">
        <v>9812</v>
      </c>
      <c r="N95" s="3" t="n">
        <v>13097</v>
      </c>
      <c r="O95" s="3" t="n">
        <v>15059</v>
      </c>
      <c r="V95" s="3" t="n">
        <v>286.138</v>
      </c>
      <c r="W95" s="3" t="n">
        <v>335.072</v>
      </c>
      <c r="X95" s="3" t="n">
        <v>356.428</v>
      </c>
      <c r="Y95" s="3" t="n">
        <v>324.391</v>
      </c>
      <c r="Z95" s="3" t="n">
        <v>293</v>
      </c>
      <c r="AA95" s="3" t="n">
        <v>296</v>
      </c>
      <c r="AB95" s="3" t="n">
        <v>485</v>
      </c>
      <c r="AC95" s="3" t="n">
        <v>596</v>
      </c>
      <c r="AD95" s="3" t="n">
        <v>511</v>
      </c>
      <c r="AE95" s="3" t="n">
        <v>687</v>
      </c>
      <c r="AF95" s="3" t="n">
        <v>1149</v>
      </c>
      <c r="AG95" s="3" t="n">
        <v>1783</v>
      </c>
      <c r="AH95" s="3" t="n">
        <v>1193</v>
      </c>
      <c r="AI95" s="3" t="n">
        <v>2699</v>
      </c>
      <c r="AJ95" s="3" t="n">
        <v>6310</v>
      </c>
      <c r="AK95" s="3" t="n">
        <v>9812</v>
      </c>
      <c r="AL95" s="3" t="n">
        <f aca="false">+AL139*AL21/365</f>
        <v>15137.3020237504</v>
      </c>
      <c r="AM95" s="3" t="n">
        <f aca="false">+AM139*AM21/365</f>
        <v>27316.9976131224</v>
      </c>
      <c r="AN95" s="3" t="n">
        <f aca="false">+AN139*AN21/365</f>
        <v>38313.2658841793</v>
      </c>
      <c r="AO95" s="3" t="n">
        <f aca="false">+AO139*AO21/365</f>
        <v>46025.2905327299</v>
      </c>
      <c r="AP95" s="3" t="n">
        <f aca="false">+AP139*AP21/365</f>
        <v>55248.8044862278</v>
      </c>
    </row>
    <row r="96" customFormat="false" ht="12.8" hidden="false" customHeight="false" outlineLevel="0" collapsed="false">
      <c r="A96" s="3" t="s">
        <v>109</v>
      </c>
      <c r="B96" s="3" t="n">
        <v>4869</v>
      </c>
      <c r="C96" s="3" t="n">
        <v>7156</v>
      </c>
      <c r="D96" s="3" t="n">
        <v>5472</v>
      </c>
      <c r="E96" s="3" t="n">
        <v>6682</v>
      </c>
      <c r="F96" s="3" t="n">
        <v>11258</v>
      </c>
      <c r="G96" s="3" t="n">
        <v>10289</v>
      </c>
      <c r="H96" s="3" t="n">
        <v>11126</v>
      </c>
      <c r="I96" s="3" t="n">
        <v>11737</v>
      </c>
      <c r="J96" s="3" t="n">
        <v>19211</v>
      </c>
      <c r="K96" s="3" t="n">
        <v>15193</v>
      </c>
      <c r="L96" s="3" t="n">
        <v>16452</v>
      </c>
      <c r="M96" s="3" t="n">
        <v>21352</v>
      </c>
      <c r="N96" s="3" t="n">
        <v>29787</v>
      </c>
      <c r="O96" s="3" t="n">
        <v>26960</v>
      </c>
      <c r="V96" s="3" t="n">
        <v>656.544</v>
      </c>
      <c r="W96" s="3" t="n">
        <v>594.886</v>
      </c>
      <c r="X96" s="3" t="n">
        <v>619.795</v>
      </c>
      <c r="Y96" s="3" t="n">
        <v>621.105</v>
      </c>
      <c r="Z96" s="3" t="n">
        <v>603</v>
      </c>
      <c r="AA96" s="3" t="n">
        <v>642</v>
      </c>
      <c r="AB96" s="3" t="n">
        <v>507</v>
      </c>
      <c r="AC96" s="3" t="n">
        <v>542</v>
      </c>
      <c r="AD96" s="3" t="n">
        <v>818</v>
      </c>
      <c r="AE96" s="3" t="n">
        <v>1097</v>
      </c>
      <c r="AF96" s="3" t="n">
        <v>1777</v>
      </c>
      <c r="AG96" s="3" t="n">
        <v>2552</v>
      </c>
      <c r="AH96" s="3" t="n">
        <v>4120</v>
      </c>
      <c r="AI96" s="3" t="n">
        <v>6682</v>
      </c>
      <c r="AJ96" s="3" t="n">
        <v>11737</v>
      </c>
      <c r="AK96" s="3" t="n">
        <v>21352</v>
      </c>
      <c r="AL96" s="54" t="n">
        <f aca="false">+AL19*0.1</f>
        <v>41028.22</v>
      </c>
      <c r="AM96" s="54" t="n">
        <f aca="false">+AM19*0.1</f>
        <v>73850.796</v>
      </c>
      <c r="AN96" s="54" t="n">
        <f aca="false">+AN19*0.1</f>
        <v>103391.1144</v>
      </c>
      <c r="AO96" s="54" t="n">
        <f aca="false">+AO19*0.1</f>
        <v>124069.33728</v>
      </c>
      <c r="AP96" s="54" t="n">
        <f aca="false">+AP19*0.1</f>
        <v>148883.204736</v>
      </c>
    </row>
    <row r="97" customFormat="false" ht="12.8" hidden="false" customHeight="false" outlineLevel="0" collapsed="false">
      <c r="B97" s="20" t="n">
        <f aca="false">+B96/B$19</f>
        <v>0.677002224694105</v>
      </c>
      <c r="C97" s="20" t="n">
        <f aca="false">+C96/C$19</f>
        <v>0.529799363293107</v>
      </c>
      <c r="D97" s="20" t="n">
        <f aca="false">+D96/D$19</f>
        <v>0.301986754966887</v>
      </c>
      <c r="E97" s="20" t="n">
        <f aca="false">+E96/E$19</f>
        <v>0.302311903361535</v>
      </c>
      <c r="F97" s="20" t="n">
        <f aca="false">+F96/F$19</f>
        <v>0.4322684687452</v>
      </c>
      <c r="G97" s="20" t="n">
        <f aca="false">+G96/G$19</f>
        <v>0.342509986684421</v>
      </c>
      <c r="H97" s="20" t="n">
        <f aca="false">+H96/H$19</f>
        <v>0.317115576457175</v>
      </c>
      <c r="I97" s="20" t="n">
        <f aca="false">+I96/I$19</f>
        <v>0.298416007729272</v>
      </c>
      <c r="J97" s="20" t="n">
        <f aca="false">+J96/J$19</f>
        <v>0.391965233004162</v>
      </c>
      <c r="K97" s="20" t="n">
        <f aca="false">+K96/K$19</f>
        <v>0.325032625205913</v>
      </c>
      <c r="L97" s="20" t="n">
        <f aca="false">+L96/L$19</f>
        <v>0.288601199873698</v>
      </c>
      <c r="M97" s="20" t="n">
        <f aca="false">+M96/M$19</f>
        <v>0.313414652046912</v>
      </c>
      <c r="N97" s="20" t="n">
        <f aca="false">+N96/N$19</f>
        <v>0.364969674692152</v>
      </c>
      <c r="O97" s="20" t="n">
        <f aca="false">+O96/O$19</f>
        <v>0.280188316479771</v>
      </c>
      <c r="V97" s="20" t="n">
        <f aca="false">+V96/V$19</f>
        <v>0.185291206609415</v>
      </c>
      <c r="W97" s="20" t="n">
        <f aca="false">+W96/W$19</f>
        <v>0.148798503225419</v>
      </c>
      <c r="X97" s="20" t="n">
        <f aca="false">+X96/X$19</f>
        <v>0.14480653639269</v>
      </c>
      <c r="Y97" s="20" t="n">
        <f aca="false">+Y96/Y$19</f>
        <v>0.150388619854722</v>
      </c>
      <c r="Z97" s="20" t="n">
        <f aca="false">+Z96/Z$19</f>
        <v>0.128791114908159</v>
      </c>
      <c r="AA97" s="20" t="n">
        <f aca="false">+AA96/AA$19</f>
        <v>0.12814371257485</v>
      </c>
      <c r="AB97" s="20" t="n">
        <f aca="false">+AB96/AB$19</f>
        <v>0.0733719247467439</v>
      </c>
      <c r="AC97" s="20" t="n">
        <f aca="false">+AC96/AC$19</f>
        <v>0.0557957586987853</v>
      </c>
      <c r="AD97" s="20" t="n">
        <f aca="false">+AD96/AD$19</f>
        <v>0.0698190508706043</v>
      </c>
      <c r="AE97" s="20" t="n">
        <f aca="false">+AE96/AE$19</f>
        <v>0.10047627770654</v>
      </c>
      <c r="AF97" s="20" t="n">
        <f aca="false">+AF96/AF$19</f>
        <v>0.106566716641679</v>
      </c>
      <c r="AG97" s="20" t="n">
        <f aca="false">+AG96/AG$19</f>
        <v>0.094820539496173</v>
      </c>
      <c r="AH97" s="20" t="n">
        <f aca="false">+AH96/AH$19</f>
        <v>0.152739675242826</v>
      </c>
      <c r="AI97" s="20" t="n">
        <f aca="false">+AI96/AI$19</f>
        <v>0.109681231738945</v>
      </c>
      <c r="AJ97" s="20" t="n">
        <f aca="false">+AJ96/AJ$19</f>
        <v>0.089940764921799</v>
      </c>
      <c r="AK97" s="20" t="n">
        <f aca="false">+AK96/AK$19</f>
        <v>0.0988802341412813</v>
      </c>
      <c r="AL97" s="20" t="n">
        <f aca="false">+AL96/AL$19</f>
        <v>0.1</v>
      </c>
      <c r="AM97" s="20" t="n">
        <f aca="false">+AM96/AM$19</f>
        <v>0.1</v>
      </c>
      <c r="AN97" s="20" t="n">
        <f aca="false">+AN96/AN$19</f>
        <v>0.1</v>
      </c>
      <c r="AO97" s="20" t="n">
        <f aca="false">+AO96/AO$19</f>
        <v>0.1</v>
      </c>
      <c r="AP97" s="20" t="n">
        <f aca="false">+AP96/AP$19</f>
        <v>0.1</v>
      </c>
    </row>
    <row r="98" customFormat="false" ht="12.8" hidden="false" customHeight="false" outlineLevel="0" collapsed="false">
      <c r="A98" s="3" t="s">
        <v>10</v>
      </c>
      <c r="B98" s="3" t="n">
        <f aca="false">+1250+9704</f>
        <v>10954</v>
      </c>
      <c r="C98" s="3" t="n">
        <f aca="false">+1249+8456</f>
        <v>9705</v>
      </c>
      <c r="D98" s="3" t="n">
        <f aca="false">+1249+8457</f>
        <v>9706</v>
      </c>
      <c r="E98" s="3" t="n">
        <f aca="false">+1250+8459</f>
        <v>9709</v>
      </c>
      <c r="F98" s="3" t="n">
        <f aca="false">+1250+8460</f>
        <v>9710</v>
      </c>
      <c r="G98" s="3" t="n">
        <v>8461</v>
      </c>
      <c r="H98" s="3" t="n">
        <v>8462</v>
      </c>
      <c r="I98" s="3" t="n">
        <v>8463</v>
      </c>
      <c r="J98" s="3" t="n">
        <v>8464</v>
      </c>
      <c r="K98" s="3" t="n">
        <v>8466</v>
      </c>
      <c r="L98" s="3" t="n">
        <f aca="false">+7468+999</f>
        <v>8467</v>
      </c>
      <c r="M98" s="3" t="n">
        <f aca="false">+999+7469</f>
        <v>8468</v>
      </c>
      <c r="N98" s="3" t="n">
        <f aca="false">+1000+7470</f>
        <v>8470</v>
      </c>
      <c r="O98" s="3" t="n">
        <f aca="false">+1000+32366</f>
        <v>33366</v>
      </c>
      <c r="V98" s="3" t="n">
        <v>0</v>
      </c>
      <c r="W98" s="3" t="n">
        <v>0</v>
      </c>
      <c r="X98" s="3" t="n">
        <v>0</v>
      </c>
      <c r="Y98" s="3" t="n">
        <v>1356.375</v>
      </c>
      <c r="Z98" s="3" t="n">
        <f aca="false">+0+1384</f>
        <v>1384</v>
      </c>
      <c r="AA98" s="3" t="n">
        <f aca="false">+1413+0</f>
        <v>1413</v>
      </c>
      <c r="AB98" s="3" t="n">
        <f aca="false">+796+1983</f>
        <v>2779</v>
      </c>
      <c r="AC98" s="3" t="n">
        <f aca="false">+15+1985</f>
        <v>2000</v>
      </c>
      <c r="AD98" s="3" t="n">
        <v>1988</v>
      </c>
      <c r="AE98" s="3" t="n">
        <f aca="false">+0+1991</f>
        <v>1991</v>
      </c>
      <c r="AF98" s="3" t="n">
        <f aca="false">+999+5964</f>
        <v>6963</v>
      </c>
      <c r="AG98" s="3" t="n">
        <f aca="false">+0+10946</f>
        <v>10946</v>
      </c>
      <c r="AH98" s="3" t="n">
        <f aca="false">+1250+9703</f>
        <v>10953</v>
      </c>
      <c r="AI98" s="3" t="n">
        <f aca="false">+1250+8459</f>
        <v>9709</v>
      </c>
      <c r="AJ98" s="3" t="n">
        <v>8463</v>
      </c>
      <c r="AK98" s="3" t="n">
        <f aca="false">+999+7469</f>
        <v>8468</v>
      </c>
    </row>
    <row r="99" customFormat="false" ht="12.8" hidden="false" customHeight="false" outlineLevel="0" collapsed="false">
      <c r="A99" s="3" t="s">
        <v>102</v>
      </c>
      <c r="B99" s="3" t="n">
        <v>939</v>
      </c>
      <c r="C99" s="3" t="n">
        <v>1041</v>
      </c>
      <c r="D99" s="3" t="n">
        <v>1091</v>
      </c>
      <c r="E99" s="3" t="n">
        <v>1119</v>
      </c>
      <c r="F99" s="3" t="n">
        <v>1281</v>
      </c>
      <c r="G99" s="3" t="n">
        <v>1304</v>
      </c>
      <c r="H99" s="3" t="n">
        <v>1490</v>
      </c>
      <c r="I99" s="3" t="n">
        <v>1519</v>
      </c>
      <c r="J99" s="3" t="n">
        <v>1521</v>
      </c>
      <c r="K99" s="3" t="n">
        <v>1831</v>
      </c>
      <c r="L99" s="3" t="n">
        <v>2014</v>
      </c>
      <c r="M99" s="3" t="n">
        <v>2572</v>
      </c>
      <c r="N99" s="3" t="n">
        <v>3878</v>
      </c>
      <c r="O99" s="3" t="n">
        <v>4985</v>
      </c>
      <c r="V99" s="3" t="n">
        <v>23.389</v>
      </c>
      <c r="W99" s="3" t="n">
        <v>21.439</v>
      </c>
      <c r="X99" s="3" t="n">
        <v>18.998</v>
      </c>
      <c r="Y99" s="3" t="n">
        <v>17.5</v>
      </c>
      <c r="Z99" s="3" t="n">
        <v>489</v>
      </c>
      <c r="AA99" s="3" t="n">
        <v>453</v>
      </c>
      <c r="AB99" s="3" t="n">
        <v>0</v>
      </c>
      <c r="AC99" s="3" t="n">
        <v>0</v>
      </c>
      <c r="AD99" s="3" t="n">
        <v>0</v>
      </c>
      <c r="AE99" s="3" t="n">
        <v>561</v>
      </c>
      <c r="AF99" s="3" t="n">
        <v>634</v>
      </c>
      <c r="AG99" s="3" t="n">
        <v>741</v>
      </c>
      <c r="AH99" s="3" t="n">
        <v>902</v>
      </c>
      <c r="AI99" s="3" t="n">
        <v>1119</v>
      </c>
      <c r="AJ99" s="3" t="n">
        <v>1519</v>
      </c>
      <c r="AK99" s="3" t="n">
        <v>2572</v>
      </c>
    </row>
    <row r="100" customFormat="false" ht="12.8" hidden="false" customHeight="false" outlineLevel="0" collapsed="false">
      <c r="A100" s="3" t="s">
        <v>110</v>
      </c>
      <c r="B100" s="3" t="n">
        <v>2037</v>
      </c>
      <c r="C100" s="3" t="n">
        <v>2223</v>
      </c>
      <c r="D100" s="3" t="n">
        <v>2234</v>
      </c>
      <c r="E100" s="3" t="n">
        <v>2541</v>
      </c>
      <c r="F100" s="3" t="n">
        <v>2966</v>
      </c>
      <c r="G100" s="3" t="n">
        <v>3336</v>
      </c>
      <c r="H100" s="3" t="n">
        <v>3683</v>
      </c>
      <c r="I100" s="3" t="n">
        <v>4245</v>
      </c>
      <c r="J100" s="3" t="n">
        <v>4884</v>
      </c>
      <c r="K100" s="3" t="n">
        <v>6055</v>
      </c>
      <c r="L100" s="3" t="n">
        <v>6694</v>
      </c>
      <c r="M100" s="3" t="n">
        <v>7306</v>
      </c>
      <c r="N100" s="3" t="n">
        <v>8768</v>
      </c>
      <c r="O100" s="3" t="n">
        <v>10918</v>
      </c>
      <c r="V100" s="3" t="n">
        <v>347.713</v>
      </c>
      <c r="W100" s="3" t="n">
        <v>455.807</v>
      </c>
      <c r="X100" s="3" t="n">
        <v>589.321</v>
      </c>
      <c r="Y100" s="3" t="n">
        <v>475.125</v>
      </c>
      <c r="Z100" s="3" t="n">
        <v>14</v>
      </c>
      <c r="AA100" s="3" t="n">
        <v>10</v>
      </c>
      <c r="AB100" s="3" t="n">
        <v>277</v>
      </c>
      <c r="AC100" s="3" t="n">
        <v>632</v>
      </c>
      <c r="AD100" s="3" t="n">
        <v>633</v>
      </c>
      <c r="AE100" s="3" t="n">
        <v>775</v>
      </c>
      <c r="AF100" s="3" t="n">
        <v>1375</v>
      </c>
      <c r="AG100" s="3" t="n">
        <v>1553</v>
      </c>
      <c r="AH100" s="3" t="n">
        <v>1913</v>
      </c>
      <c r="AI100" s="3" t="n">
        <v>2541</v>
      </c>
      <c r="AJ100" s="3" t="n">
        <v>4245</v>
      </c>
      <c r="AK100" s="3" t="n">
        <v>7306</v>
      </c>
    </row>
    <row r="101" customFormat="false" ht="12.8" hidden="false" customHeight="false" outlineLevel="0" collapsed="false">
      <c r="A101" s="3" t="s">
        <v>111</v>
      </c>
      <c r="B101" s="3" t="n">
        <f aca="false">SUM(B95:B100)-B97</f>
        <v>19940</v>
      </c>
      <c r="C101" s="3" t="n">
        <f aca="false">SUM(C95:C100)-C97</f>
        <v>22054</v>
      </c>
      <c r="D101" s="3" t="n">
        <f aca="false">SUM(D95:D100)-D97</f>
        <v>20883</v>
      </c>
      <c r="E101" s="3" t="n">
        <f aca="false">SUM(E95:E100)-E97</f>
        <v>22750</v>
      </c>
      <c r="F101" s="3" t="n">
        <f aca="false">SUM(F95:F100)-F97</f>
        <v>27930</v>
      </c>
      <c r="G101" s="3" t="n">
        <f aca="false">SUM(G95:G100)-G97</f>
        <v>27070</v>
      </c>
      <c r="H101" s="3" t="n">
        <f aca="false">SUM(H95:H100)-H97</f>
        <v>30114</v>
      </c>
      <c r="I101" s="3" t="n">
        <f aca="false">SUM(I95:I100)-I97</f>
        <v>32274</v>
      </c>
      <c r="J101" s="3" t="n">
        <f aca="false">SUM(J95:J100)-J97</f>
        <v>41411</v>
      </c>
      <c r="K101" s="3" t="n">
        <f aca="false">SUM(K95:K100)-K97</f>
        <v>40609</v>
      </c>
      <c r="L101" s="3" t="n">
        <f aca="false">SUM(L95:L100)-L97</f>
        <v>42251</v>
      </c>
      <c r="M101" s="3" t="n">
        <f aca="false">SUM(M95:M100)-M97</f>
        <v>49510</v>
      </c>
      <c r="N101" s="3" t="n">
        <f aca="false">SUM(N95:N100)-N97</f>
        <v>64000</v>
      </c>
      <c r="O101" s="3" t="n">
        <f aca="false">SUM(O95:O100)-O97</f>
        <v>91288</v>
      </c>
      <c r="V101" s="3" t="n">
        <f aca="false">SUM(V95:V100)-V97</f>
        <v>1313.784</v>
      </c>
      <c r="W101" s="3" t="n">
        <f aca="false">SUM(W95:W100)-W97</f>
        <v>1407.204</v>
      </c>
      <c r="X101" s="3" t="n">
        <f aca="false">SUM(X95:X100)-X97</f>
        <v>1584.542</v>
      </c>
      <c r="Y101" s="3" t="n">
        <f aca="false">SUM(Y95:Y100)-Y97</f>
        <v>2794.496</v>
      </c>
      <c r="Z101" s="3" t="n">
        <f aca="false">SUM(Z95:Z100)-Z97</f>
        <v>2783</v>
      </c>
      <c r="AA101" s="3" t="n">
        <f aca="false">SUM(AA95:AA100)-AA97</f>
        <v>2814</v>
      </c>
      <c r="AB101" s="3" t="n">
        <f aca="false">SUM(AB95:AB100)-AB97</f>
        <v>4048</v>
      </c>
      <c r="AC101" s="3" t="n">
        <f aca="false">SUM(AC95:AC100)-AC97</f>
        <v>3770</v>
      </c>
      <c r="AD101" s="3" t="n">
        <f aca="false">SUM(AD95:AD100)-AD97</f>
        <v>3950</v>
      </c>
      <c r="AE101" s="3" t="n">
        <f aca="false">SUM(AE95:AE100)-AE97</f>
        <v>5111</v>
      </c>
      <c r="AF101" s="3" t="n">
        <f aca="false">SUM(AF95:AF100)-AF97</f>
        <v>11898</v>
      </c>
      <c r="AG101" s="3" t="n">
        <f aca="false">SUM(AG95:AG100)-AG97</f>
        <v>17575</v>
      </c>
      <c r="AH101" s="3" t="n">
        <f aca="false">SUM(AH95:AH100)-AH97</f>
        <v>19081</v>
      </c>
      <c r="AI101" s="3" t="n">
        <f aca="false">SUM(AI95:AI100)-AI97</f>
        <v>22750</v>
      </c>
      <c r="AJ101" s="3" t="n">
        <f aca="false">SUM(AJ95:AJ100)-AJ97</f>
        <v>32274</v>
      </c>
      <c r="AK101" s="3" t="n">
        <f aca="false">SUM(AK95:AK100)-AK97</f>
        <v>49510</v>
      </c>
    </row>
    <row r="102" customFormat="false" ht="12.8" hidden="false" customHeight="false" outlineLevel="0" collapsed="false">
      <c r="A102" s="3" t="s">
        <v>112</v>
      </c>
      <c r="M102" s="3" t="n">
        <v>0</v>
      </c>
      <c r="N102" s="3" t="n">
        <v>0</v>
      </c>
      <c r="O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87</v>
      </c>
      <c r="AB102" s="3" t="n">
        <v>31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</row>
    <row r="103" customFormat="false" ht="12.8" hidden="false" customHeight="false" outlineLevel="0" collapsed="false">
      <c r="A103" s="3" t="s">
        <v>113</v>
      </c>
      <c r="M103" s="3" t="n">
        <v>0</v>
      </c>
      <c r="N103" s="3" t="n">
        <v>0</v>
      </c>
      <c r="O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</row>
    <row r="104" customFormat="false" ht="12.8" hidden="false" customHeight="false" outlineLevel="0" collapsed="false">
      <c r="A104" s="3" t="s">
        <v>67</v>
      </c>
      <c r="M104" s="3" t="n">
        <v>24</v>
      </c>
      <c r="N104" s="3" t="n">
        <v>24</v>
      </c>
      <c r="O104" s="3" t="n">
        <v>24</v>
      </c>
      <c r="V104" s="3" t="n">
        <v>0.7</v>
      </c>
      <c r="W104" s="3" t="n">
        <v>0.677</v>
      </c>
      <c r="X104" s="3" t="n">
        <v>0.72</v>
      </c>
      <c r="Y104" s="3" t="n">
        <v>0.732</v>
      </c>
      <c r="Z104" s="3" t="n">
        <v>1</v>
      </c>
      <c r="AA104" s="3" t="n">
        <v>1</v>
      </c>
      <c r="AB104" s="3" t="n">
        <v>1</v>
      </c>
      <c r="AC104" s="3" t="n">
        <v>1</v>
      </c>
      <c r="AD104" s="3" t="n">
        <v>1</v>
      </c>
      <c r="AE104" s="3" t="n">
        <v>1</v>
      </c>
      <c r="AF104" s="3" t="n">
        <v>3</v>
      </c>
      <c r="AG104" s="3" t="n">
        <v>3</v>
      </c>
      <c r="AH104" s="3" t="n">
        <v>2</v>
      </c>
      <c r="AI104" s="3" t="n">
        <v>2</v>
      </c>
      <c r="AJ104" s="3" t="n">
        <v>24</v>
      </c>
      <c r="AK104" s="3" t="n">
        <v>24</v>
      </c>
    </row>
    <row r="105" customFormat="false" ht="12.8" hidden="false" customHeight="false" outlineLevel="0" collapsed="false">
      <c r="A105" s="3" t="s">
        <v>114</v>
      </c>
      <c r="M105" s="3" t="n">
        <v>10118</v>
      </c>
      <c r="N105" s="3" t="n">
        <v>10275</v>
      </c>
      <c r="O105" s="3" t="n">
        <v>9828</v>
      </c>
      <c r="V105" s="3" t="n">
        <v>2500.577</v>
      </c>
      <c r="W105" s="3" t="n">
        <v>2900.896</v>
      </c>
      <c r="X105" s="3" t="n">
        <v>3193.623</v>
      </c>
      <c r="Y105" s="3" t="n">
        <v>3483.342</v>
      </c>
      <c r="Z105" s="3" t="n">
        <v>3855</v>
      </c>
      <c r="AA105" s="3" t="n">
        <v>4170</v>
      </c>
      <c r="AB105" s="3" t="n">
        <v>4708</v>
      </c>
      <c r="AC105" s="3" t="n">
        <v>5351</v>
      </c>
      <c r="AD105" s="3" t="n">
        <v>6051</v>
      </c>
      <c r="AE105" s="3" t="n">
        <v>7045</v>
      </c>
      <c r="AF105" s="3" t="n">
        <v>8719</v>
      </c>
      <c r="AG105" s="3" t="n">
        <v>10385</v>
      </c>
      <c r="AH105" s="3" t="n">
        <v>11971</v>
      </c>
      <c r="AI105" s="3" t="n">
        <v>13132</v>
      </c>
      <c r="AJ105" s="3" t="n">
        <v>11237</v>
      </c>
      <c r="AK105" s="3" t="n">
        <v>10118</v>
      </c>
    </row>
    <row r="106" customFormat="false" ht="12.8" hidden="false" customHeight="false" outlineLevel="0" collapsed="false">
      <c r="A106" s="3" t="s">
        <v>115</v>
      </c>
      <c r="M106" s="3" t="n">
        <v>178</v>
      </c>
      <c r="N106" s="3" t="n">
        <v>137</v>
      </c>
      <c r="O106" s="3" t="n">
        <v>-25</v>
      </c>
      <c r="V106" s="3" t="n">
        <v>-1479.392</v>
      </c>
      <c r="W106" s="3" t="n">
        <v>-1496.904</v>
      </c>
      <c r="X106" s="3" t="n">
        <v>-1622.709</v>
      </c>
      <c r="Y106" s="3" t="n">
        <v>-2537.295</v>
      </c>
      <c r="Z106" s="3" t="n">
        <v>-3395</v>
      </c>
      <c r="AA106" s="3" t="n">
        <v>-4048</v>
      </c>
      <c r="AB106" s="3" t="n">
        <v>-5039</v>
      </c>
      <c r="AC106" s="3" t="n">
        <v>-6650</v>
      </c>
      <c r="AD106" s="3" t="n">
        <v>-9263</v>
      </c>
      <c r="AE106" s="3" t="n">
        <v>-9814</v>
      </c>
      <c r="AF106" s="3" t="n">
        <v>-10756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</row>
    <row r="107" customFormat="false" ht="12.8" hidden="false" customHeight="false" outlineLevel="0" collapsed="false">
      <c r="A107" s="3" t="s">
        <v>116</v>
      </c>
      <c r="M107" s="3" t="n">
        <v>0</v>
      </c>
      <c r="N107" s="3" t="n">
        <v>0</v>
      </c>
      <c r="O107" s="3" t="n">
        <v>0</v>
      </c>
      <c r="V107" s="3" t="n">
        <v>10.272</v>
      </c>
      <c r="W107" s="3" t="n">
        <v>10.614</v>
      </c>
      <c r="X107" s="3" t="n">
        <v>9.981</v>
      </c>
      <c r="Y107" s="3" t="n">
        <v>4.877</v>
      </c>
      <c r="Z107" s="3" t="n">
        <v>8</v>
      </c>
      <c r="AA107" s="3" t="n">
        <v>-4</v>
      </c>
      <c r="AB107" s="3" t="n">
        <v>-16</v>
      </c>
      <c r="AC107" s="3" t="n">
        <v>-18</v>
      </c>
      <c r="AD107" s="3" t="n">
        <v>-12</v>
      </c>
      <c r="AE107" s="3" t="n">
        <v>1</v>
      </c>
      <c r="AF107" s="3" t="n">
        <v>19</v>
      </c>
      <c r="AG107" s="3" t="n">
        <v>-11</v>
      </c>
      <c r="AH107" s="3" t="n">
        <v>-43</v>
      </c>
      <c r="AI107" s="3" t="n">
        <v>27</v>
      </c>
      <c r="AJ107" s="3" t="n">
        <v>28</v>
      </c>
      <c r="AK107" s="3" t="n">
        <v>178</v>
      </c>
    </row>
    <row r="108" customFormat="false" ht="12.8" hidden="false" customHeight="false" outlineLevel="0" collapsed="false">
      <c r="A108" s="3" t="s">
        <v>117</v>
      </c>
      <c r="M108" s="3" t="n">
        <v>146976</v>
      </c>
      <c r="N108" s="3" t="n">
        <v>185038</v>
      </c>
      <c r="O108" s="3" t="n">
        <v>219157</v>
      </c>
      <c r="V108" s="3" t="n">
        <v>2149.328</v>
      </c>
      <c r="W108" s="3" t="n">
        <v>2730.418</v>
      </c>
      <c r="X108" s="3" t="n">
        <v>3246.088</v>
      </c>
      <c r="Y108" s="3" t="n">
        <v>3504.742</v>
      </c>
      <c r="Z108" s="3" t="n">
        <v>3949</v>
      </c>
      <c r="AA108" s="3" t="n">
        <v>4350</v>
      </c>
      <c r="AB108" s="3" t="n">
        <v>6108</v>
      </c>
      <c r="AC108" s="3" t="n">
        <v>8787</v>
      </c>
      <c r="AD108" s="3" t="n">
        <v>12565</v>
      </c>
      <c r="AE108" s="3" t="n">
        <v>14971</v>
      </c>
      <c r="AF108" s="3" t="n">
        <v>18908</v>
      </c>
      <c r="AG108" s="3" t="n">
        <v>16235</v>
      </c>
      <c r="AH108" s="3" t="n">
        <v>10171</v>
      </c>
      <c r="AI108" s="3" t="n">
        <v>29817</v>
      </c>
      <c r="AJ108" s="3" t="n">
        <v>68038</v>
      </c>
      <c r="AK108" s="3" t="n">
        <v>146973</v>
      </c>
    </row>
    <row r="109" customFormat="false" ht="12.8" hidden="false" customHeight="false" outlineLevel="0" collapsed="false">
      <c r="A109" s="3" t="s">
        <v>118</v>
      </c>
      <c r="B109" s="3" t="n">
        <v>24520</v>
      </c>
      <c r="C109" s="3" t="n">
        <v>27501</v>
      </c>
      <c r="D109" s="3" t="n">
        <v>33265</v>
      </c>
      <c r="E109" s="3" t="n">
        <v>42978</v>
      </c>
      <c r="F109" s="3" t="n">
        <v>49142</v>
      </c>
      <c r="G109" s="3" t="n">
        <v>58157</v>
      </c>
      <c r="H109" s="3" t="n">
        <v>65899</v>
      </c>
      <c r="I109" s="3" t="n">
        <v>79327</v>
      </c>
      <c r="J109" s="3" t="n">
        <v>83843</v>
      </c>
      <c r="K109" s="3" t="n">
        <v>100131</v>
      </c>
      <c r="L109" s="3" t="n">
        <v>118897</v>
      </c>
      <c r="M109" s="3" t="n">
        <f aca="false">+SUM(M102:M108)</f>
        <v>157296</v>
      </c>
      <c r="N109" s="3" t="n">
        <f aca="false">+SUM(N102:N108)</f>
        <v>195474</v>
      </c>
      <c r="O109" s="3" t="n">
        <f aca="false">+SUM(O102:O108)</f>
        <v>228984</v>
      </c>
      <c r="V109" s="3" t="n">
        <f aca="false">+SUM(V102:V108)</f>
        <v>3181.485</v>
      </c>
      <c r="W109" s="3" t="n">
        <f aca="false">+SUM(W102:W108)</f>
        <v>4145.701</v>
      </c>
      <c r="X109" s="3" t="n">
        <f aca="false">+SUM(X102:X108)</f>
        <v>4827.703</v>
      </c>
      <c r="Y109" s="3" t="n">
        <f aca="false">+SUM(Y102:Y108)</f>
        <v>4456.398</v>
      </c>
      <c r="Z109" s="3" t="n">
        <f aca="false">+SUM(Z102:Z108)</f>
        <v>4418</v>
      </c>
      <c r="AA109" s="3" t="n">
        <f aca="false">+SUM(AA102:AA108)</f>
        <v>4556</v>
      </c>
      <c r="AB109" s="3" t="n">
        <f aca="false">+SUM(AB102:AB108)</f>
        <v>5793</v>
      </c>
      <c r="AC109" s="3" t="n">
        <f aca="false">+SUM(AC102:AC108)</f>
        <v>7471</v>
      </c>
      <c r="AD109" s="3" t="n">
        <f aca="false">+SUM(AD102:AD108)</f>
        <v>9342</v>
      </c>
      <c r="AE109" s="3" t="n">
        <f aca="false">+SUM(AE102:AE108)</f>
        <v>12204</v>
      </c>
      <c r="AF109" s="3" t="n">
        <f aca="false">+SUM(AF102:AF108)</f>
        <v>16893</v>
      </c>
      <c r="AG109" s="3" t="n">
        <f aca="false">+SUM(AG102:AG108)</f>
        <v>26612</v>
      </c>
      <c r="AH109" s="3" t="n">
        <f aca="false">+SUM(AH102:AH108)</f>
        <v>22101</v>
      </c>
      <c r="AI109" s="3" t="n">
        <f aca="false">+SUM(AI102:AI108)</f>
        <v>42978</v>
      </c>
      <c r="AJ109" s="3" t="n">
        <f aca="false">+SUM(AJ102:AJ108)</f>
        <v>79327</v>
      </c>
      <c r="AK109" s="3" t="n">
        <f aca="false">+SUM(AK102:AK108)</f>
        <v>157293</v>
      </c>
    </row>
    <row r="110" customFormat="false" ht="12.8" hidden="false" customHeight="false" outlineLevel="0" collapsed="false">
      <c r="A110" s="3" t="s">
        <v>119</v>
      </c>
      <c r="B110" s="3" t="n">
        <f aca="false">+B109+B101</f>
        <v>44460</v>
      </c>
      <c r="C110" s="3" t="n">
        <f aca="false">+C109+C101</f>
        <v>49555</v>
      </c>
      <c r="D110" s="3" t="n">
        <f aca="false">+D109+D101</f>
        <v>54148</v>
      </c>
      <c r="E110" s="3" t="n">
        <f aca="false">+E109+E101</f>
        <v>65728</v>
      </c>
      <c r="F110" s="3" t="n">
        <f aca="false">+F109+F101</f>
        <v>77072</v>
      </c>
      <c r="G110" s="3" t="n">
        <f aca="false">+G109+G101</f>
        <v>85227</v>
      </c>
      <c r="H110" s="3" t="n">
        <f aca="false">+H109+H101</f>
        <v>96013</v>
      </c>
      <c r="I110" s="3" t="n">
        <f aca="false">+I109+I101</f>
        <v>111601</v>
      </c>
      <c r="J110" s="3" t="n">
        <f aca="false">+J109+J101</f>
        <v>125254</v>
      </c>
      <c r="K110" s="3" t="n">
        <f aca="false">+K109+K101</f>
        <v>140740</v>
      </c>
      <c r="L110" s="3" t="n">
        <f aca="false">+L109+L101</f>
        <v>161148</v>
      </c>
      <c r="M110" s="3" t="n">
        <f aca="false">+M109+M101</f>
        <v>206806</v>
      </c>
      <c r="N110" s="3" t="n">
        <f aca="false">+N109+N101</f>
        <v>259474</v>
      </c>
      <c r="O110" s="3" t="n">
        <f aca="false">+O109+O101</f>
        <v>320272</v>
      </c>
      <c r="V110" s="3" t="n">
        <f aca="false">+V109+V101</f>
        <v>4495.269</v>
      </c>
      <c r="W110" s="3" t="n">
        <f aca="false">+W109+W101</f>
        <v>5552.905</v>
      </c>
      <c r="X110" s="3" t="n">
        <f aca="false">+X109+X101</f>
        <v>6412.245</v>
      </c>
      <c r="Y110" s="3" t="n">
        <f aca="false">+Y109+Y101</f>
        <v>7250.894</v>
      </c>
      <c r="Z110" s="3" t="n">
        <f aca="false">+Z109+Z101</f>
        <v>7201</v>
      </c>
      <c r="AA110" s="3" t="n">
        <f aca="false">+AA109+AA101</f>
        <v>7370</v>
      </c>
      <c r="AB110" s="3" t="n">
        <f aca="false">+AB109+AB101</f>
        <v>9841</v>
      </c>
      <c r="AC110" s="3" t="n">
        <f aca="false">+AC109+AC101</f>
        <v>11241</v>
      </c>
      <c r="AD110" s="3" t="n">
        <f aca="false">+AD109+AD101</f>
        <v>13292</v>
      </c>
      <c r="AE110" s="3" t="n">
        <f aca="false">+AE109+AE101</f>
        <v>17315</v>
      </c>
      <c r="AF110" s="3" t="n">
        <f aca="false">+AF109+AF101</f>
        <v>28791</v>
      </c>
      <c r="AG110" s="3" t="n">
        <f aca="false">+AG109+AG101</f>
        <v>44187</v>
      </c>
      <c r="AH110" s="3" t="n">
        <f aca="false">+AH109+AH101</f>
        <v>41182</v>
      </c>
      <c r="AI110" s="3" t="n">
        <f aca="false">+AI109+AI101</f>
        <v>65728</v>
      </c>
      <c r="AJ110" s="3" t="n">
        <f aca="false">+AJ109+AJ101</f>
        <v>111601</v>
      </c>
      <c r="AK110" s="3" t="n">
        <f aca="false">+AK109+AK101</f>
        <v>206803</v>
      </c>
    </row>
    <row r="113" customFormat="false" ht="12.8" hidden="false" customHeight="false" outlineLevel="0" collapsed="false">
      <c r="A113" s="3" t="s">
        <v>120</v>
      </c>
      <c r="B113" s="3" t="n">
        <f aca="false">B43</f>
        <v>2043.30923248053</v>
      </c>
      <c r="C113" s="3" t="n">
        <f aca="false">C43</f>
        <v>6188.51247501296</v>
      </c>
      <c r="D113" s="3" t="n">
        <f aca="false">D43</f>
        <v>9243.58432671082</v>
      </c>
      <c r="E113" s="3" t="n">
        <f aca="false">E43</f>
        <v>12285.6264308012</v>
      </c>
      <c r="F113" s="3" t="n">
        <f aca="false">F43</f>
        <v>14881.6605744125</v>
      </c>
      <c r="G113" s="3" t="n">
        <f aca="false">G43</f>
        <v>16599.633322237</v>
      </c>
      <c r="H113" s="3" t="n">
        <f aca="false">H43</f>
        <v>19312.6351147214</v>
      </c>
      <c r="I113" s="3" t="n">
        <f aca="false">I43</f>
        <v>22091.6225115049</v>
      </c>
      <c r="J113" s="3" t="n">
        <f aca="false">J43</f>
        <v>23725.5517016241</v>
      </c>
      <c r="K113" s="3" t="n">
        <f aca="false">K43</f>
        <v>26422.6197719445</v>
      </c>
      <c r="L113" s="3" t="n">
        <f aca="false">L43</f>
        <v>31910.6415640459</v>
      </c>
      <c r="M113" s="3" t="n">
        <f aca="false">M43</f>
        <v>42960.6574926241</v>
      </c>
      <c r="N113" s="3" t="n">
        <f aca="false">N43</f>
        <v>58321.6613245114</v>
      </c>
      <c r="O113" s="3" t="n">
        <f aca="false">O43</f>
        <v>59688.6623710001</v>
      </c>
      <c r="V113" s="3" t="n">
        <f aca="false">V43</f>
        <v>253.146</v>
      </c>
      <c r="W113" s="3" t="n">
        <f aca="false">W43</f>
        <v>581.09</v>
      </c>
      <c r="X113" s="3" t="n">
        <f aca="false">X43</f>
        <v>562.536</v>
      </c>
      <c r="Y113" s="3" t="n">
        <f aca="false">Y43</f>
        <v>440</v>
      </c>
      <c r="Z113" s="3" t="n">
        <f aca="false">Z43</f>
        <v>631</v>
      </c>
      <c r="AA113" s="3" t="n">
        <f aca="false">AA43</f>
        <v>614</v>
      </c>
      <c r="AB113" s="3" t="n">
        <f aca="false">AB43</f>
        <v>1666</v>
      </c>
      <c r="AC113" s="3" t="n">
        <f aca="false">AC43</f>
        <v>3047</v>
      </c>
      <c r="AD113" s="3" t="n">
        <f aca="false">AD43</f>
        <v>4141</v>
      </c>
      <c r="AE113" s="3" t="n">
        <f aca="false">AE43</f>
        <v>2796</v>
      </c>
      <c r="AF113" s="3" t="n">
        <f aca="false">AF43</f>
        <v>4332</v>
      </c>
      <c r="AG113" s="3" t="n">
        <f aca="false">AG43</f>
        <v>9752</v>
      </c>
      <c r="AH113" s="3" t="n">
        <f aca="false">AH43</f>
        <v>4368</v>
      </c>
      <c r="AI113" s="3" t="n">
        <f aca="false">AI43</f>
        <v>29759</v>
      </c>
      <c r="AJ113" s="3" t="n">
        <f aca="false">AJ43</f>
        <v>72880</v>
      </c>
      <c r="AK113" s="3" t="n">
        <f aca="false">AK43</f>
        <v>120067</v>
      </c>
    </row>
    <row r="114" customFormat="false" ht="12.8" hidden="false" customHeight="false" outlineLevel="0" collapsed="false">
      <c r="A114" s="3" t="s">
        <v>65</v>
      </c>
      <c r="B114" s="3" t="n">
        <v>2043</v>
      </c>
      <c r="C114" s="3" t="n">
        <v>6188</v>
      </c>
      <c r="D114" s="3" t="n">
        <v>9243</v>
      </c>
      <c r="E114" s="3" t="n">
        <v>12285</v>
      </c>
      <c r="F114" s="3" t="n">
        <v>14881</v>
      </c>
      <c r="G114" s="3" t="n">
        <v>16599</v>
      </c>
      <c r="H114" s="3" t="n">
        <v>19309</v>
      </c>
      <c r="I114" s="3" t="n">
        <v>22091</v>
      </c>
      <c r="J114" s="3" t="n">
        <v>18775</v>
      </c>
      <c r="K114" s="3" t="n">
        <v>26422</v>
      </c>
      <c r="L114" s="3" t="n">
        <v>31910</v>
      </c>
      <c r="M114" s="3" t="n">
        <v>42960</v>
      </c>
      <c r="N114" s="3" t="n">
        <v>58321</v>
      </c>
      <c r="O114" s="3" t="n">
        <v>59688</v>
      </c>
      <c r="V114" s="3" t="n">
        <v>253.146</v>
      </c>
      <c r="W114" s="3" t="n">
        <v>581.09</v>
      </c>
      <c r="X114" s="3" t="n">
        <v>562.536</v>
      </c>
      <c r="Y114" s="3" t="n">
        <v>440</v>
      </c>
      <c r="Z114" s="3" t="n">
        <v>631</v>
      </c>
      <c r="AA114" s="3" t="n">
        <v>614</v>
      </c>
      <c r="AB114" s="3" t="n">
        <v>1666</v>
      </c>
      <c r="AC114" s="3" t="n">
        <v>3047</v>
      </c>
      <c r="AD114" s="3" t="n">
        <v>4141</v>
      </c>
      <c r="AE114" s="3" t="n">
        <v>2796</v>
      </c>
      <c r="AF114" s="3" t="n">
        <v>4332</v>
      </c>
      <c r="AG114" s="3" t="n">
        <v>9752</v>
      </c>
      <c r="AH114" s="3" t="n">
        <v>4368</v>
      </c>
      <c r="AI114" s="18" t="n">
        <f aca="false">SUM(E114:H114)</f>
        <v>63074</v>
      </c>
      <c r="AJ114" s="18" t="n">
        <f aca="false">SUM(F114:I114)</f>
        <v>72880</v>
      </c>
      <c r="AK114" s="18" t="n">
        <f aca="false">SUM(J114:M114)</f>
        <v>120067</v>
      </c>
    </row>
    <row r="115" s="24" customFormat="true" ht="12.8" hidden="false" customHeight="false" outlineLevel="0" collapsed="false">
      <c r="A115" s="3" t="s">
        <v>121</v>
      </c>
      <c r="B115" s="3" t="n">
        <v>735</v>
      </c>
      <c r="C115" s="3" t="n">
        <v>842</v>
      </c>
      <c r="D115" s="3" t="n">
        <v>979</v>
      </c>
      <c r="E115" s="3" t="n">
        <v>993</v>
      </c>
      <c r="F115" s="3" t="n">
        <v>1011</v>
      </c>
      <c r="G115" s="3" t="n">
        <v>1154</v>
      </c>
      <c r="H115" s="3" t="n">
        <v>1252</v>
      </c>
      <c r="I115" s="3" t="n">
        <v>1321</v>
      </c>
      <c r="J115" s="3" t="n">
        <v>1474</v>
      </c>
      <c r="K115" s="3" t="n">
        <v>1624</v>
      </c>
      <c r="L115" s="3" t="n">
        <v>1655</v>
      </c>
      <c r="M115" s="3" t="n">
        <v>1633</v>
      </c>
      <c r="N115" s="3" t="n">
        <v>1928</v>
      </c>
      <c r="O115" s="3" t="n">
        <v>2027</v>
      </c>
      <c r="P115" s="3"/>
      <c r="Q115" s="3"/>
      <c r="R115" s="3"/>
      <c r="S115" s="3"/>
      <c r="T115" s="3"/>
      <c r="U115" s="3"/>
      <c r="V115" s="3" t="n">
        <v>186.989</v>
      </c>
      <c r="W115" s="3" t="n">
        <v>204.205</v>
      </c>
      <c r="X115" s="3" t="n">
        <v>226.235</v>
      </c>
      <c r="Y115" s="3" t="n">
        <v>239</v>
      </c>
      <c r="Z115" s="3" t="n">
        <v>220</v>
      </c>
      <c r="AA115" s="3" t="n">
        <v>204</v>
      </c>
      <c r="AB115" s="3" t="n">
        <v>247</v>
      </c>
      <c r="AC115" s="3" t="n">
        <v>391</v>
      </c>
      <c r="AD115" s="3" t="n">
        <v>557</v>
      </c>
      <c r="AE115" s="3" t="n">
        <v>844</v>
      </c>
      <c r="AF115" s="3" t="n">
        <v>1397</v>
      </c>
      <c r="AG115" s="3" t="n">
        <v>2004</v>
      </c>
      <c r="AH115" s="3" t="n">
        <v>2709</v>
      </c>
      <c r="AI115" s="18" t="n">
        <f aca="false">SUM(E115:H115)</f>
        <v>4410</v>
      </c>
      <c r="AJ115" s="18" t="n">
        <f aca="false">SUM(F115:I115)</f>
        <v>4738</v>
      </c>
      <c r="AK115" s="18" t="n">
        <f aca="false">SUM(J115:M115)</f>
        <v>6386</v>
      </c>
      <c r="AL115" s="3"/>
      <c r="AM115" s="3"/>
      <c r="AN115" s="3"/>
      <c r="AO115" s="3"/>
      <c r="AP115" s="3"/>
      <c r="AQ115" s="3"/>
      <c r="AR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1"/>
      <c r="DL115" s="1"/>
      <c r="DM115" s="1"/>
      <c r="DN115" s="1"/>
      <c r="DO115" s="1"/>
    </row>
    <row r="116" customFormat="false" ht="12.8" hidden="false" customHeight="false" outlineLevel="0" collapsed="false">
      <c r="A116" s="3" t="s">
        <v>122</v>
      </c>
      <c r="B116" s="3" t="n">
        <v>384</v>
      </c>
      <c r="C116" s="3" t="n">
        <v>365</v>
      </c>
      <c r="D116" s="3" t="n">
        <v>372</v>
      </c>
      <c r="E116" s="3" t="n">
        <v>387</v>
      </c>
      <c r="F116" s="3" t="n">
        <v>410</v>
      </c>
      <c r="G116" s="3" t="n">
        <v>433</v>
      </c>
      <c r="H116" s="3" t="n">
        <v>478</v>
      </c>
      <c r="I116" s="3" t="n">
        <v>543</v>
      </c>
      <c r="J116" s="3" t="n">
        <v>611</v>
      </c>
      <c r="K116" s="3" t="n">
        <v>668</v>
      </c>
      <c r="L116" s="3" t="n">
        <v>752</v>
      </c>
      <c r="M116" s="3" t="n">
        <v>811</v>
      </c>
      <c r="N116" s="3" t="n">
        <v>1584</v>
      </c>
      <c r="O116" s="3" t="n">
        <v>1127</v>
      </c>
      <c r="V116" s="3" t="n">
        <v>100.353</v>
      </c>
      <c r="W116" s="3" t="n">
        <v>136.354</v>
      </c>
      <c r="X116" s="3" t="n">
        <v>136.662</v>
      </c>
      <c r="Y116" s="3" t="n">
        <v>136</v>
      </c>
      <c r="Z116" s="3" t="n">
        <v>158</v>
      </c>
      <c r="AA116" s="3" t="n">
        <v>197</v>
      </c>
      <c r="AB116" s="3" t="n">
        <v>187</v>
      </c>
      <c r="AC116" s="3" t="n">
        <v>199</v>
      </c>
      <c r="AD116" s="3" t="n">
        <v>262</v>
      </c>
      <c r="AE116" s="3" t="n">
        <v>381</v>
      </c>
      <c r="AF116" s="3" t="n">
        <v>1098</v>
      </c>
      <c r="AG116" s="3" t="n">
        <f aca="false">+1174+0</f>
        <v>1174</v>
      </c>
      <c r="AH116" s="3" t="n">
        <f aca="false">+1544+1353</f>
        <v>2897</v>
      </c>
      <c r="AI116" s="18" t="n">
        <f aca="false">SUM(E116:H116)</f>
        <v>1708</v>
      </c>
      <c r="AJ116" s="18" t="n">
        <f aca="false">SUM(F116:I116)</f>
        <v>1864</v>
      </c>
      <c r="AK116" s="18" t="n">
        <f aca="false">SUM(J116:M116)</f>
        <v>2842</v>
      </c>
      <c r="AL116" s="54" t="n">
        <f aca="false">+AL19*0.013</f>
        <v>5333.6686</v>
      </c>
      <c r="AM116" s="54" t="n">
        <f aca="false">+AM19*0.013</f>
        <v>9600.60348</v>
      </c>
      <c r="AN116" s="54" t="n">
        <f aca="false">+AN19*0.013</f>
        <v>13440.844872</v>
      </c>
      <c r="AO116" s="54" t="n">
        <f aca="false">+AO19*0.013</f>
        <v>16129.0138464</v>
      </c>
      <c r="AP116" s="54" t="n">
        <f aca="false">+AP19*0.013</f>
        <v>19354.81661568</v>
      </c>
    </row>
    <row r="117" customFormat="false" ht="10.5" hidden="false" customHeight="true" outlineLevel="0" collapsed="false">
      <c r="A117" s="24"/>
      <c r="B117" s="24" t="n">
        <f aca="false">+B116/B$19</f>
        <v>0.053392658509455</v>
      </c>
      <c r="C117" s="24" t="n">
        <f aca="false">+C116/C$19</f>
        <v>0.0270230250980973</v>
      </c>
      <c r="D117" s="24" t="n">
        <f aca="false">+D116/D$19</f>
        <v>0.0205298013245033</v>
      </c>
      <c r="E117" s="24" t="n">
        <f aca="false">+E116/E$19</f>
        <v>0.0175089354386282</v>
      </c>
      <c r="F117" s="24" t="n">
        <f aca="false">+F116/F$19</f>
        <v>0.015742589463984</v>
      </c>
      <c r="G117" s="24" t="n">
        <f aca="false">+G116/G$19</f>
        <v>0.0144141145139814</v>
      </c>
      <c r="H117" s="24" t="n">
        <f aca="false">+H116/H$19</f>
        <v>0.0136240558643295</v>
      </c>
      <c r="I117" s="24" t="n">
        <f aca="false">+I116/I$19</f>
        <v>0.0138059037400524</v>
      </c>
      <c r="J117" s="24" t="n">
        <f aca="false">+J116/J$19</f>
        <v>0.0124663347751571</v>
      </c>
      <c r="K117" s="24" t="n">
        <f aca="false">+K116/K$19</f>
        <v>0.0142909098688574</v>
      </c>
      <c r="L117" s="24" t="n">
        <f aca="false">+L116/L$19</f>
        <v>0.0131915938673122</v>
      </c>
      <c r="M117" s="24" t="n">
        <f aca="false">+M116/M$19</f>
        <v>0.0119042376737564</v>
      </c>
      <c r="N117" s="24" t="n">
        <f aca="false">+N116/N$19</f>
        <v>0.0194081970226061</v>
      </c>
      <c r="O117" s="24" t="n">
        <f aca="false">+O116/O$19</f>
        <v>0.0117126199062575</v>
      </c>
      <c r="P117" s="24"/>
      <c r="Q117" s="24"/>
      <c r="R117" s="24"/>
      <c r="S117" s="24"/>
      <c r="T117" s="24"/>
      <c r="U117" s="24"/>
      <c r="V117" s="20" t="n">
        <f aca="false">+V116/V$19</f>
        <v>0.0283218313728777</v>
      </c>
      <c r="W117" s="20" t="n">
        <f aca="false">+W116/W$19</f>
        <v>0.0341061499325901</v>
      </c>
      <c r="X117" s="20" t="n">
        <f aca="false">+X116/X$19</f>
        <v>0.0319291876773737</v>
      </c>
      <c r="Y117" s="20" t="n">
        <f aca="false">+Y116/Y$19</f>
        <v>0.0329297820823245</v>
      </c>
      <c r="Z117" s="20" t="n">
        <f aca="false">+Z116/Z$19</f>
        <v>0.0337462622810765</v>
      </c>
      <c r="AA117" s="20" t="n">
        <f aca="false">+AA116/AA$19</f>
        <v>0.0393213572854291</v>
      </c>
      <c r="AB117" s="20" t="n">
        <f aca="false">+AB116/AB$19</f>
        <v>0.0270622286541245</v>
      </c>
      <c r="AC117" s="20" t="n">
        <f aca="false">+AC116/AC$19</f>
        <v>0.0204858966440189</v>
      </c>
      <c r="AD117" s="20" t="n">
        <f aca="false">+AD116/AD$19</f>
        <v>0.0223625810856948</v>
      </c>
      <c r="AE117" s="20" t="n">
        <f aca="false">+AE116/AE$19</f>
        <v>0.0348965011906943</v>
      </c>
      <c r="AF117" s="20" t="n">
        <f aca="false">+AF116/AF$19</f>
        <v>0.0658470764617691</v>
      </c>
      <c r="AG117" s="20" t="n">
        <f aca="false">+AG116/AG$19</f>
        <v>0.0436204205989448</v>
      </c>
      <c r="AH117" s="20" t="n">
        <f aca="false">+AH116/AH$19</f>
        <v>0.107399718247201</v>
      </c>
      <c r="AI117" s="20" t="n">
        <f aca="false">+AI116/AI$19</f>
        <v>0.028035849118545</v>
      </c>
      <c r="AJ117" s="20" t="n">
        <f aca="false">+AJ116/AJ$19</f>
        <v>0.0142838532686575</v>
      </c>
      <c r="AK117" s="20" t="n">
        <f aca="false">+AK116/AK$19</f>
        <v>0.0131611851549982</v>
      </c>
      <c r="AL117" s="20" t="n">
        <f aca="false">+AL116/AL$19</f>
        <v>0.013</v>
      </c>
      <c r="AM117" s="20" t="n">
        <f aca="false">+AM116/AM$19</f>
        <v>0.013</v>
      </c>
      <c r="AN117" s="20" t="n">
        <f aca="false">+AN116/AN$19</f>
        <v>0.013</v>
      </c>
      <c r="AO117" s="20" t="n">
        <f aca="false">+AO116/AO$19</f>
        <v>0.013</v>
      </c>
      <c r="AP117" s="20" t="n">
        <f aca="false">+AP116/AP$19</f>
        <v>0.013</v>
      </c>
      <c r="AQ117" s="24"/>
      <c r="AR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</row>
    <row r="118" customFormat="false" ht="12.8" hidden="false" customHeight="false" outlineLevel="0" collapsed="false">
      <c r="A118" s="3" t="s">
        <v>123</v>
      </c>
      <c r="B118" s="3" t="n">
        <v>14</v>
      </c>
      <c r="C118" s="3" t="n">
        <v>-60</v>
      </c>
      <c r="D118" s="3" t="n">
        <v>69</v>
      </c>
      <c r="E118" s="3" t="n">
        <v>-78</v>
      </c>
      <c r="F118" s="3" t="n">
        <v>-69</v>
      </c>
      <c r="G118" s="3" t="n">
        <v>-1699</v>
      </c>
      <c r="H118" s="3" t="n">
        <v>-602</v>
      </c>
      <c r="I118" s="3" t="n">
        <v>-598</v>
      </c>
      <c r="J118" s="3" t="n">
        <v>175</v>
      </c>
      <c r="K118" s="3" t="n">
        <v>18</v>
      </c>
      <c r="L118" s="3" t="n">
        <v>124</v>
      </c>
      <c r="M118" s="3" t="n">
        <v>-5491</v>
      </c>
      <c r="N118" s="3" t="n">
        <v>997</v>
      </c>
      <c r="O118" s="3" t="n">
        <v>-602</v>
      </c>
      <c r="V118" s="3" t="n">
        <v>0</v>
      </c>
      <c r="W118" s="3" t="n">
        <v>0</v>
      </c>
      <c r="X118" s="3" t="n">
        <v>0</v>
      </c>
      <c r="Y118" s="3" t="n">
        <v>-8</v>
      </c>
      <c r="Z118" s="3" t="n">
        <v>-17</v>
      </c>
      <c r="AA118" s="3" t="n">
        <v>-6</v>
      </c>
      <c r="AB118" s="3" t="n">
        <v>21</v>
      </c>
      <c r="AC118" s="3" t="n">
        <v>19</v>
      </c>
      <c r="AD118" s="3" t="n">
        <v>0</v>
      </c>
      <c r="AE118" s="3" t="n">
        <v>0</v>
      </c>
      <c r="AF118" s="3" t="n">
        <v>0</v>
      </c>
      <c r="AG118" s="3" t="n">
        <v>-100</v>
      </c>
      <c r="AH118" s="3" t="n">
        <v>45</v>
      </c>
      <c r="AI118" s="18" t="n">
        <f aca="false">SUM(E118:H118)</f>
        <v>-2448</v>
      </c>
      <c r="AJ118" s="18" t="n">
        <f aca="false">SUM(F118:I118)</f>
        <v>-2968</v>
      </c>
      <c r="AK118" s="18" t="n">
        <f aca="false">SUM(J118:M118)</f>
        <v>-5174</v>
      </c>
    </row>
    <row r="119" customFormat="false" ht="12.8" hidden="false" customHeight="false" outlineLevel="0" collapsed="false">
      <c r="A119" s="3" t="s">
        <v>105</v>
      </c>
      <c r="B119" s="3" t="n">
        <v>-1135</v>
      </c>
      <c r="C119" s="3" t="n">
        <v>-746</v>
      </c>
      <c r="D119" s="3" t="n">
        <v>-529</v>
      </c>
      <c r="E119" s="3" t="n">
        <v>-260</v>
      </c>
      <c r="F119" s="3" t="n">
        <v>-1577</v>
      </c>
      <c r="G119" s="3" t="n">
        <v>-193</v>
      </c>
      <c r="H119" s="3" t="n">
        <v>-37</v>
      </c>
      <c r="I119" s="3" t="n">
        <v>-727</v>
      </c>
      <c r="J119" s="3" t="n">
        <v>-2177</v>
      </c>
      <c r="K119" s="3" t="n">
        <v>-2247</v>
      </c>
      <c r="L119" s="3" t="n">
        <v>-1354</v>
      </c>
      <c r="M119" s="3" t="n">
        <v>611</v>
      </c>
      <c r="N119" s="3" t="n">
        <v>-15936</v>
      </c>
      <c r="O119" s="3" t="n">
        <v>-7771</v>
      </c>
      <c r="V119" s="3" t="n">
        <v>1.572</v>
      </c>
      <c r="W119" s="3" t="n">
        <v>19.056</v>
      </c>
      <c r="X119" s="3" t="n">
        <v>31.86</v>
      </c>
      <c r="Y119" s="3" t="n">
        <v>15</v>
      </c>
      <c r="Z119" s="3" t="n">
        <v>83</v>
      </c>
      <c r="AA119" s="3" t="n">
        <v>134</v>
      </c>
      <c r="AB119" s="3" t="n">
        <v>197</v>
      </c>
      <c r="AC119" s="3" t="n">
        <v>-359</v>
      </c>
      <c r="AD119" s="3" t="n">
        <v>-315</v>
      </c>
      <c r="AE119" s="3" t="n">
        <v>18</v>
      </c>
      <c r="AF119" s="3" t="n">
        <v>-282</v>
      </c>
      <c r="AG119" s="3" t="n">
        <v>-406</v>
      </c>
      <c r="AH119" s="3" t="n">
        <v>-2164</v>
      </c>
      <c r="AI119" s="18" t="n">
        <f aca="false">SUM(E119:H119)</f>
        <v>-2067</v>
      </c>
      <c r="AJ119" s="18" t="n">
        <f aca="false">SUM(F119:I119)</f>
        <v>-2534</v>
      </c>
      <c r="AK119" s="18" t="n">
        <f aca="false">SUM(J119:M119)</f>
        <v>-5167</v>
      </c>
    </row>
    <row r="120" customFormat="false" ht="12.8" hidden="false" customHeight="false" outlineLevel="0" collapsed="false">
      <c r="A120" s="3" t="s">
        <v>124</v>
      </c>
      <c r="B120" s="3" t="n">
        <v>-34</v>
      </c>
      <c r="C120" s="3" t="n">
        <v>-69</v>
      </c>
      <c r="D120" s="3" t="n">
        <v>-66</v>
      </c>
      <c r="E120" s="3" t="n">
        <v>-109</v>
      </c>
      <c r="F120" s="3" t="n">
        <v>-145</v>
      </c>
      <c r="G120" s="3" t="n">
        <v>-144</v>
      </c>
      <c r="H120" s="3" t="n">
        <v>-79</v>
      </c>
      <c r="I120" s="3" t="n">
        <v>-138</v>
      </c>
      <c r="J120" s="3" t="n">
        <v>-98</v>
      </c>
      <c r="K120" s="3" t="n">
        <v>-100</v>
      </c>
      <c r="L120" s="3" t="n">
        <v>-80</v>
      </c>
      <c r="M120" s="3" t="n">
        <v>-9</v>
      </c>
      <c r="N120" s="3" t="n">
        <v>-94</v>
      </c>
      <c r="O120" s="3" t="n">
        <v>315</v>
      </c>
      <c r="V120" s="3" t="n">
        <f aca="false">-2.646-15.316</f>
        <v>-17.962</v>
      </c>
      <c r="W120" s="3" t="n">
        <f aca="false">-52.793+19.095</f>
        <v>-33.698</v>
      </c>
      <c r="X120" s="3" t="n">
        <f aca="false">-68.71+47.911</f>
        <v>-20.799</v>
      </c>
      <c r="Y120" s="3" t="n">
        <f aca="false">+21-26+5</f>
        <v>0</v>
      </c>
      <c r="Z120" s="3" t="n">
        <f aca="false">+28-18+24</f>
        <v>34</v>
      </c>
      <c r="AA120" s="3" t="n">
        <f aca="false">+29+19+45-10</f>
        <v>83</v>
      </c>
      <c r="AB120" s="3" t="n">
        <f aca="false">+11-3+25</f>
        <v>33</v>
      </c>
      <c r="AC120" s="3" t="n">
        <f aca="false">+18-1+3</f>
        <v>20</v>
      </c>
      <c r="AD120" s="3" t="n">
        <v>-45</v>
      </c>
      <c r="AE120" s="3" t="n">
        <v>5</v>
      </c>
      <c r="AF120" s="3" t="n">
        <v>-20</v>
      </c>
      <c r="AG120" s="3" t="n">
        <v>47</v>
      </c>
      <c r="AH120" s="3" t="n">
        <v>-7</v>
      </c>
      <c r="AI120" s="18" t="n">
        <f aca="false">SUM(E120:H120)</f>
        <v>-477</v>
      </c>
      <c r="AJ120" s="18" t="n">
        <f aca="false">SUM(F120:I120)</f>
        <v>-506</v>
      </c>
      <c r="AK120" s="18" t="n">
        <f aca="false">SUM(J120:M120)</f>
        <v>-287</v>
      </c>
    </row>
    <row r="121" customFormat="false" ht="12.8" hidden="false" customHeight="false" outlineLevel="0" collapsed="false">
      <c r="A121" s="3" t="s">
        <v>98</v>
      </c>
      <c r="B121" s="3" t="n">
        <v>-252</v>
      </c>
      <c r="C121" s="3" t="n">
        <v>-2986</v>
      </c>
      <c r="D121" s="3" t="n">
        <v>-1243</v>
      </c>
      <c r="E121" s="3" t="n">
        <v>-1690</v>
      </c>
      <c r="F121" s="3" t="n">
        <v>-2366</v>
      </c>
      <c r="G121" s="3" t="n">
        <v>-1767</v>
      </c>
      <c r="H121" s="3" t="n">
        <v>-3561</v>
      </c>
      <c r="I121" s="3" t="n">
        <v>-5370</v>
      </c>
      <c r="J121" s="3" t="n">
        <v>933</v>
      </c>
      <c r="K121" s="3" t="n">
        <v>-5675</v>
      </c>
      <c r="L121" s="3" t="n">
        <v>-5583</v>
      </c>
      <c r="M121" s="3" t="n">
        <v>-5073</v>
      </c>
      <c r="N121" s="3" t="n">
        <v>-2243</v>
      </c>
      <c r="O121" s="3" t="n">
        <v>-22346</v>
      </c>
      <c r="V121" s="3" t="n">
        <v>26.341</v>
      </c>
      <c r="W121" s="3" t="n">
        <v>26.236</v>
      </c>
      <c r="X121" s="3" t="n">
        <v>-118.94</v>
      </c>
      <c r="Y121" s="3" t="n">
        <v>29</v>
      </c>
      <c r="Z121" s="3" t="n">
        <v>-49</v>
      </c>
      <c r="AA121" s="3" t="n">
        <v>-32</v>
      </c>
      <c r="AB121" s="3" t="n">
        <v>-321</v>
      </c>
      <c r="AC121" s="3" t="n">
        <v>-440</v>
      </c>
      <c r="AD121" s="3" t="n">
        <v>-149</v>
      </c>
      <c r="AE121" s="3" t="n">
        <v>-233</v>
      </c>
      <c r="AF121" s="3" t="n">
        <v>-550</v>
      </c>
      <c r="AG121" s="3" t="n">
        <v>-2215</v>
      </c>
      <c r="AH121" s="3" t="n">
        <v>822</v>
      </c>
      <c r="AI121" s="18" t="n">
        <f aca="false">SUM(E121:H121)</f>
        <v>-9384</v>
      </c>
      <c r="AJ121" s="18" t="n">
        <f aca="false">SUM(F121:I121)</f>
        <v>-13064</v>
      </c>
      <c r="AK121" s="18" t="n">
        <f aca="false">SUM(J121:M121)</f>
        <v>-15398</v>
      </c>
    </row>
    <row r="122" customFormat="false" ht="12.8" hidden="false" customHeight="false" outlineLevel="0" collapsed="false">
      <c r="A122" s="3" t="s">
        <v>99</v>
      </c>
      <c r="B122" s="3" t="n">
        <v>566</v>
      </c>
      <c r="C122" s="3" t="n">
        <v>296</v>
      </c>
      <c r="D122" s="3" t="n">
        <v>-457</v>
      </c>
      <c r="E122" s="3" t="n">
        <v>-503</v>
      </c>
      <c r="F122" s="3" t="n">
        <v>-577</v>
      </c>
      <c r="G122" s="3" t="n">
        <v>-803</v>
      </c>
      <c r="H122" s="3" t="n">
        <v>-978</v>
      </c>
      <c r="I122" s="3" t="n">
        <v>-2424</v>
      </c>
      <c r="J122" s="3" t="n">
        <v>-1258</v>
      </c>
      <c r="K122" s="3" t="n">
        <v>-3622</v>
      </c>
      <c r="L122" s="3" t="n">
        <v>-4823</v>
      </c>
      <c r="M122" s="3" t="n">
        <v>-1621</v>
      </c>
      <c r="N122" s="3" t="n">
        <v>-4420</v>
      </c>
      <c r="O122" s="3" t="n">
        <v>-5784</v>
      </c>
      <c r="V122" s="3" t="n">
        <v>-14.128</v>
      </c>
      <c r="W122" s="3" t="n">
        <v>18.884</v>
      </c>
      <c r="X122" s="3" t="n">
        <v>-78.949</v>
      </c>
      <c r="Y122" s="3" t="n">
        <v>25</v>
      </c>
      <c r="Z122" s="3" t="n">
        <v>-95</v>
      </c>
      <c r="AA122" s="3" t="n">
        <v>66</v>
      </c>
      <c r="AB122" s="3" t="n">
        <v>-375</v>
      </c>
      <c r="AC122" s="3" t="n">
        <v>0</v>
      </c>
      <c r="AD122" s="3" t="n">
        <v>-776</v>
      </c>
      <c r="AE122" s="3" t="n">
        <v>597</v>
      </c>
      <c r="AF122" s="3" t="n">
        <v>-524</v>
      </c>
      <c r="AG122" s="3" t="n">
        <v>-774</v>
      </c>
      <c r="AH122" s="3" t="n">
        <v>-2554</v>
      </c>
      <c r="AI122" s="18" t="n">
        <f aca="false">SUM(E122:H122)</f>
        <v>-2861</v>
      </c>
      <c r="AJ122" s="18" t="n">
        <f aca="false">SUM(F122:I122)</f>
        <v>-4782</v>
      </c>
      <c r="AK122" s="18" t="n">
        <f aca="false">SUM(J122:M122)</f>
        <v>-11324</v>
      </c>
    </row>
    <row r="123" customFormat="false" ht="12.8" hidden="false" customHeight="false" outlineLevel="0" collapsed="false">
      <c r="A123" s="3" t="s">
        <v>100</v>
      </c>
      <c r="B123" s="3" t="n">
        <v>-215</v>
      </c>
      <c r="C123" s="3" t="n">
        <v>-376</v>
      </c>
      <c r="D123" s="3" t="n">
        <v>254</v>
      </c>
      <c r="E123" s="3" t="n">
        <v>-1184</v>
      </c>
      <c r="F123" s="3" t="n">
        <v>-726</v>
      </c>
      <c r="G123" s="3" t="n">
        <v>714</v>
      </c>
      <c r="H123" s="3" t="n">
        <v>-714</v>
      </c>
      <c r="I123" s="3" t="n">
        <v>331</v>
      </c>
      <c r="J123" s="3" t="n">
        <v>560</v>
      </c>
      <c r="K123" s="3" t="n">
        <v>387</v>
      </c>
      <c r="L123" s="3" t="n">
        <v>-89</v>
      </c>
      <c r="M123" s="3" t="n">
        <v>-281</v>
      </c>
      <c r="N123" s="3" t="n">
        <v>-983</v>
      </c>
      <c r="O123" s="3" t="n">
        <v>-5497</v>
      </c>
      <c r="V123" s="3" t="n">
        <v>8.528</v>
      </c>
      <c r="W123" s="3" t="n">
        <v>-14.803</v>
      </c>
      <c r="X123" s="3" t="n">
        <v>-20.29</v>
      </c>
      <c r="Y123" s="3" t="n">
        <v>12</v>
      </c>
      <c r="Z123" s="3" t="n">
        <v>4</v>
      </c>
      <c r="AA123" s="3" t="n">
        <v>-16</v>
      </c>
      <c r="AB123" s="3" t="n">
        <v>-18</v>
      </c>
      <c r="AC123" s="3" t="n">
        <v>21</v>
      </c>
      <c r="AD123" s="3" t="n">
        <v>-55</v>
      </c>
      <c r="AE123" s="3" t="n">
        <v>77</v>
      </c>
      <c r="AF123" s="3" t="n">
        <v>-394</v>
      </c>
      <c r="AG123" s="3" t="n">
        <v>-1715</v>
      </c>
      <c r="AH123" s="3" t="n">
        <v>-1517</v>
      </c>
      <c r="AI123" s="18" t="n">
        <f aca="false">SUM(E123:H123)</f>
        <v>-1910</v>
      </c>
      <c r="AJ123" s="18" t="n">
        <f aca="false">SUM(F123:I123)</f>
        <v>-395</v>
      </c>
      <c r="AK123" s="18" t="n">
        <f aca="false">SUM(J123:M123)</f>
        <v>577</v>
      </c>
    </row>
    <row r="124" customFormat="false" ht="12.8" hidden="false" customHeight="false" outlineLevel="0" collapsed="false">
      <c r="A124" s="3" t="s">
        <v>108</v>
      </c>
      <c r="B124" s="3" t="n">
        <v>11</v>
      </c>
      <c r="C124" s="3" t="n">
        <v>777</v>
      </c>
      <c r="D124" s="3" t="n">
        <v>461</v>
      </c>
      <c r="E124" s="3" t="n">
        <v>281</v>
      </c>
      <c r="F124" s="3" t="n">
        <v>-22</v>
      </c>
      <c r="G124" s="3" t="n">
        <v>823</v>
      </c>
      <c r="H124" s="3" t="n">
        <v>1689</v>
      </c>
      <c r="I124" s="3" t="n">
        <v>867</v>
      </c>
      <c r="J124" s="3" t="n">
        <v>941</v>
      </c>
      <c r="K124" s="3" t="n">
        <v>1314</v>
      </c>
      <c r="L124" s="3" t="n">
        <v>-223</v>
      </c>
      <c r="M124" s="3" t="n">
        <v>1064</v>
      </c>
      <c r="N124" s="3" t="n">
        <v>2210</v>
      </c>
      <c r="O124" s="3" t="n">
        <v>1915</v>
      </c>
      <c r="V124" s="3" t="n">
        <v>4.331</v>
      </c>
      <c r="W124" s="3" t="n">
        <v>-70.694</v>
      </c>
      <c r="X124" s="3" t="n">
        <v>8.567</v>
      </c>
      <c r="Y124" s="3" t="n">
        <v>-20</v>
      </c>
      <c r="Z124" s="3" t="n">
        <v>-27</v>
      </c>
      <c r="AA124" s="3" t="n">
        <v>-11</v>
      </c>
      <c r="AB124" s="3" t="n">
        <v>184</v>
      </c>
      <c r="AC124" s="3" t="n">
        <v>90</v>
      </c>
      <c r="AD124" s="3" t="n">
        <v>-135</v>
      </c>
      <c r="AE124" s="3" t="n">
        <v>194</v>
      </c>
      <c r="AF124" s="3" t="n">
        <v>312</v>
      </c>
      <c r="AG124" s="3" t="n">
        <v>568</v>
      </c>
      <c r="AH124" s="3" t="n">
        <v>-551</v>
      </c>
      <c r="AI124" s="18" t="n">
        <f aca="false">SUM(E124:H124)</f>
        <v>2771</v>
      </c>
      <c r="AJ124" s="18" t="n">
        <f aca="false">SUM(F124:I124)</f>
        <v>3357</v>
      </c>
      <c r="AK124" s="18" t="n">
        <f aca="false">SUM(J124:M124)</f>
        <v>3096</v>
      </c>
    </row>
    <row r="125" customFormat="false" ht="12.8" hidden="false" customHeight="false" outlineLevel="0" collapsed="false">
      <c r="A125" s="3" t="s">
        <v>125</v>
      </c>
      <c r="B125" s="3" t="n">
        <v>689</v>
      </c>
      <c r="C125" s="3" t="n">
        <v>1986</v>
      </c>
      <c r="D125" s="3" t="n">
        <v>-1722</v>
      </c>
      <c r="E125" s="3" t="n">
        <v>1072</v>
      </c>
      <c r="F125" s="3" t="n">
        <v>4202</v>
      </c>
      <c r="G125" s="3" t="n">
        <v>-888</v>
      </c>
      <c r="H125" s="3" t="n">
        <v>606</v>
      </c>
      <c r="I125" s="3" t="n">
        <v>360</v>
      </c>
      <c r="J125" s="3" t="n">
        <v>7128</v>
      </c>
      <c r="K125" s="3" t="n">
        <v>-4053</v>
      </c>
      <c r="L125" s="3" t="n">
        <v>1129</v>
      </c>
      <c r="M125" s="3" t="n">
        <v>1053</v>
      </c>
      <c r="N125" s="3" t="n">
        <v>7763</v>
      </c>
      <c r="O125" s="3" t="n">
        <v>252</v>
      </c>
      <c r="V125" s="3" t="n">
        <v>-69.786</v>
      </c>
      <c r="W125" s="3" t="n">
        <v>35.708</v>
      </c>
      <c r="X125" s="3" t="n">
        <v>10.885</v>
      </c>
      <c r="Y125" s="3" t="n">
        <v>5</v>
      </c>
      <c r="Z125" s="3" t="n">
        <v>5</v>
      </c>
      <c r="AA125" s="3" t="n">
        <v>39</v>
      </c>
      <c r="AB125" s="3" t="n">
        <v>-135</v>
      </c>
      <c r="AC125" s="3" t="n">
        <v>33</v>
      </c>
      <c r="AD125" s="3" t="n">
        <v>256</v>
      </c>
      <c r="AE125" s="3" t="n">
        <v>54</v>
      </c>
      <c r="AF125" s="3" t="n">
        <v>290</v>
      </c>
      <c r="AG125" s="3" t="n">
        <v>581</v>
      </c>
      <c r="AH125" s="3" t="n">
        <v>1341</v>
      </c>
      <c r="AI125" s="18" t="n">
        <f aca="false">SUM(E125:H125)</f>
        <v>4992</v>
      </c>
      <c r="AJ125" s="18" t="n">
        <f aca="false">SUM(F125:I125)</f>
        <v>4280</v>
      </c>
      <c r="AK125" s="18" t="n">
        <f aca="false">SUM(J125:M125)</f>
        <v>5257</v>
      </c>
    </row>
    <row r="126" customFormat="false" ht="12.8" hidden="false" customHeight="false" outlineLevel="0" collapsed="false">
      <c r="A126" s="3" t="s">
        <v>110</v>
      </c>
      <c r="B126" s="3" t="n">
        <v>105</v>
      </c>
      <c r="C126" s="3" t="n">
        <v>131</v>
      </c>
      <c r="D126" s="3" t="n">
        <v>-28</v>
      </c>
      <c r="E126" s="3" t="n">
        <v>305</v>
      </c>
      <c r="F126" s="3" t="n">
        <v>323</v>
      </c>
      <c r="G126" s="3" t="n">
        <v>260</v>
      </c>
      <c r="H126" s="3" t="n">
        <v>266</v>
      </c>
      <c r="I126" s="3" t="n">
        <v>372</v>
      </c>
      <c r="J126" s="3" t="n">
        <v>350</v>
      </c>
      <c r="K126" s="3" t="n">
        <v>629</v>
      </c>
      <c r="L126" s="3" t="n">
        <v>332</v>
      </c>
      <c r="M126" s="3" t="n">
        <v>533</v>
      </c>
      <c r="N126" s="3" t="n">
        <v>1217</v>
      </c>
      <c r="O126" s="3" t="n">
        <v>753</v>
      </c>
      <c r="V126" s="3" t="n">
        <v>196.413</v>
      </c>
      <c r="W126" s="3" t="n">
        <v>6.818</v>
      </c>
      <c r="X126" s="3" t="n">
        <v>86.405</v>
      </c>
      <c r="Y126" s="3" t="n">
        <v>-38</v>
      </c>
      <c r="Z126" s="3" t="n">
        <v>-41</v>
      </c>
      <c r="AA126" s="3" t="n">
        <v>-97</v>
      </c>
      <c r="AB126" s="3" t="n">
        <v>-14</v>
      </c>
      <c r="AC126" s="3" t="n">
        <v>481</v>
      </c>
      <c r="AD126" s="3" t="n">
        <v>2</v>
      </c>
      <c r="AE126" s="3" t="n">
        <v>28</v>
      </c>
      <c r="AF126" s="3" t="n">
        <v>163</v>
      </c>
      <c r="AG126" s="3" t="n">
        <v>192</v>
      </c>
      <c r="AH126" s="3" t="n">
        <v>252</v>
      </c>
      <c r="AI126" s="18" t="n">
        <f aca="false">SUM(E126:H126)</f>
        <v>1154</v>
      </c>
      <c r="AJ126" s="18" t="n">
        <f aca="false">SUM(F126:I126)</f>
        <v>1221</v>
      </c>
      <c r="AK126" s="18" t="n">
        <f aca="false">SUM(J126:M126)</f>
        <v>1844</v>
      </c>
    </row>
    <row r="127" customFormat="false" ht="12.8" hidden="false" customHeight="false" outlineLevel="0" collapsed="false">
      <c r="A127" s="3" t="s">
        <v>126</v>
      </c>
      <c r="B127" s="3" t="n">
        <f aca="false">SUM(B114:B126)</f>
        <v>2911.05339265851</v>
      </c>
      <c r="C127" s="3" t="n">
        <f aca="false">SUM(C114:C126)</f>
        <v>6348.0270230251</v>
      </c>
      <c r="D127" s="3" t="n">
        <f aca="false">SUM(D114:D126)</f>
        <v>7333.02052980132</v>
      </c>
      <c r="E127" s="3" t="n">
        <f aca="false">SUM(E114:E126)</f>
        <v>11499.0175089354</v>
      </c>
      <c r="F127" s="3" t="n">
        <f aca="false">SUM(F114:F126)</f>
        <v>15345.0157425895</v>
      </c>
      <c r="G127" s="3" t="n">
        <f aca="false">SUM(G114:G126)</f>
        <v>14489.0144141145</v>
      </c>
      <c r="H127" s="3" t="n">
        <f aca="false">SUM(H114:H126)</f>
        <v>17629.0136240559</v>
      </c>
      <c r="I127" s="3" t="n">
        <f aca="false">SUM(I114:I126)</f>
        <v>16628.0138059037</v>
      </c>
      <c r="J127" s="3" t="n">
        <f aca="false">SUM(J114:J126)</f>
        <v>27414.0124663348</v>
      </c>
      <c r="K127" s="3" t="n">
        <f aca="false">SUM(K114:K126)</f>
        <v>15365.0142909099</v>
      </c>
      <c r="L127" s="3" t="n">
        <f aca="false">SUM(L114:L126)</f>
        <v>23750.0131915939</v>
      </c>
      <c r="M127" s="3" t="n">
        <f aca="false">SUM(M114:M126)</f>
        <v>36190.0119042377</v>
      </c>
      <c r="N127" s="3" t="n">
        <f aca="false">SUM(N114:N126)</f>
        <v>50344.019408197</v>
      </c>
      <c r="O127" s="3" t="n">
        <f aca="false">SUM(O114:O126)</f>
        <v>24077.0117126199</v>
      </c>
      <c r="V127" s="3" t="n">
        <f aca="false">SUM(V114:V126)</f>
        <v>675.825321831373</v>
      </c>
      <c r="W127" s="3" t="n">
        <f aca="false">SUM(W114:W126)</f>
        <v>909.190106149933</v>
      </c>
      <c r="X127" s="3" t="n">
        <f aca="false">SUM(X114:X126)</f>
        <v>824.203929187677</v>
      </c>
      <c r="Y127" s="3" t="n">
        <f aca="false">SUM(Y114:Y126)</f>
        <v>835.032929782082</v>
      </c>
      <c r="Z127" s="3" t="n">
        <f aca="false">SUM(Z114:Z126)</f>
        <v>906.033746262281</v>
      </c>
      <c r="AA127" s="3" t="n">
        <f aca="false">SUM(AA114:AA126)</f>
        <v>1175.03932135729</v>
      </c>
      <c r="AB127" s="3" t="n">
        <f aca="false">SUM(AB114:AB126)</f>
        <v>1672.02706222865</v>
      </c>
      <c r="AC127" s="3" t="n">
        <f aca="false">SUM(AC114:AC126)</f>
        <v>3502.02048589664</v>
      </c>
      <c r="AD127" s="3" t="n">
        <f aca="false">SUM(AD114:AD126)</f>
        <v>3743.02236258109</v>
      </c>
      <c r="AE127" s="3" t="n">
        <f aca="false">SUM(AE114:AE126)</f>
        <v>4761.03489650119</v>
      </c>
      <c r="AF127" s="3" t="n">
        <f aca="false">SUM(AF114:AF126)</f>
        <v>5822.06584707646</v>
      </c>
      <c r="AG127" s="3" t="n">
        <f aca="false">SUM(AG114:AG126)</f>
        <v>9108.0436204206</v>
      </c>
      <c r="AH127" s="3" t="n">
        <f aca="false">SUM(AH114:AH126)</f>
        <v>5641.10739971825</v>
      </c>
      <c r="AI127" s="3" t="n">
        <f aca="false">SUM(AI114:AI126)</f>
        <v>58962.0280358491</v>
      </c>
      <c r="AJ127" s="3" t="n">
        <f aca="false">SUM(AJ114:AJ126)</f>
        <v>64091.0142838533</v>
      </c>
      <c r="AK127" s="3" t="n">
        <f aca="false">SUM(AK114:AK126)</f>
        <v>102719.013161185</v>
      </c>
    </row>
    <row r="128" s="24" customFormat="true" ht="12.8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1"/>
      <c r="DL128" s="1"/>
      <c r="DM128" s="1"/>
      <c r="DN128" s="1"/>
      <c r="DO128" s="1"/>
    </row>
    <row r="129" s="22" customFormat="true" ht="12.8" hidden="false" customHeight="false" outlineLevel="0" collapsed="false">
      <c r="A129" s="3" t="s">
        <v>127</v>
      </c>
      <c r="B129" s="3" t="n">
        <v>248</v>
      </c>
      <c r="C129" s="3" t="n">
        <v>289</v>
      </c>
      <c r="D129" s="3" t="n">
        <v>278</v>
      </c>
      <c r="E129" s="3" t="n">
        <v>253</v>
      </c>
      <c r="F129" s="3" t="n">
        <v>369</v>
      </c>
      <c r="G129" s="3" t="n">
        <v>977</v>
      </c>
      <c r="H129" s="3" t="n">
        <v>813</v>
      </c>
      <c r="I129" s="3" t="n">
        <v>1077</v>
      </c>
      <c r="J129" s="3" t="n">
        <v>1227</v>
      </c>
      <c r="K129" s="3" t="n">
        <v>1894</v>
      </c>
      <c r="L129" s="3" t="n">
        <v>1637</v>
      </c>
      <c r="M129" s="3" t="n">
        <v>1284</v>
      </c>
      <c r="N129" s="3" t="n">
        <v>1757</v>
      </c>
      <c r="O129" s="3" t="n">
        <v>2677</v>
      </c>
      <c r="P129" s="3"/>
      <c r="Q129" s="3"/>
      <c r="R129" s="3"/>
      <c r="S129" s="3"/>
      <c r="T129" s="3"/>
      <c r="U129" s="3"/>
      <c r="V129" s="3" t="n">
        <v>97.89</v>
      </c>
      <c r="W129" s="3" t="n">
        <v>138.735</v>
      </c>
      <c r="X129" s="3" t="n">
        <v>183.309</v>
      </c>
      <c r="Y129" s="3" t="n">
        <v>255</v>
      </c>
      <c r="Z129" s="3" t="n">
        <v>122</v>
      </c>
      <c r="AA129" s="3" t="n">
        <v>86</v>
      </c>
      <c r="AB129" s="3" t="n">
        <v>176</v>
      </c>
      <c r="AC129" s="3" t="n">
        <v>593</v>
      </c>
      <c r="AD129" s="3" t="n">
        <v>600</v>
      </c>
      <c r="AE129" s="3" t="n">
        <v>489</v>
      </c>
      <c r="AF129" s="3" t="n">
        <v>1128</v>
      </c>
      <c r="AG129" s="3" t="n">
        <v>976</v>
      </c>
      <c r="AH129" s="3" t="n">
        <v>1833</v>
      </c>
      <c r="AI129" s="18" t="n">
        <f aca="false">SUM(E129:H129)</f>
        <v>2412</v>
      </c>
      <c r="AJ129" s="18" t="n">
        <f aca="false">SUM(F129:I129)</f>
        <v>3236</v>
      </c>
      <c r="AK129" s="18" t="n">
        <f aca="false">SUM(J129:M129)</f>
        <v>6042</v>
      </c>
      <c r="AL129" s="54" t="n">
        <f aca="false">+AL19*0.015</f>
        <v>6154.233</v>
      </c>
      <c r="AM129" s="54" t="n">
        <f aca="false">+AM19*0.015</f>
        <v>11077.6194</v>
      </c>
      <c r="AN129" s="54" t="n">
        <f aca="false">+AN19*0.015</f>
        <v>15508.66716</v>
      </c>
      <c r="AO129" s="54" t="n">
        <f aca="false">+AO19*0.015</f>
        <v>18610.400592</v>
      </c>
      <c r="AP129" s="54" t="n">
        <f aca="false">+AP19*0.015</f>
        <v>22332.4807104</v>
      </c>
      <c r="AQ129" s="3"/>
      <c r="AR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1"/>
      <c r="DL129" s="1"/>
      <c r="DM129" s="1"/>
      <c r="DN129" s="1"/>
      <c r="DO129" s="1"/>
    </row>
    <row r="130" s="23" customFormat="true" ht="10.5" hidden="false" customHeight="true" outlineLevel="0" collapsed="false">
      <c r="A130" s="24"/>
      <c r="B130" s="24" t="n">
        <f aca="false">+B129/B$19</f>
        <v>0.0344827586206897</v>
      </c>
      <c r="C130" s="24" t="n">
        <f aca="false">+C129/C$19</f>
        <v>0.021396313022877</v>
      </c>
      <c r="D130" s="24" t="n">
        <f aca="false">+D129/D$19</f>
        <v>0.0153421633554084</v>
      </c>
      <c r="E130" s="24" t="n">
        <f aca="false">+E129/E$19</f>
        <v>0.0114464099895942</v>
      </c>
      <c r="F130" s="24" t="n">
        <f aca="false">+F129/F$19</f>
        <v>0.0141683305175856</v>
      </c>
      <c r="G130" s="24" t="n">
        <f aca="false">+G129/G$19</f>
        <v>0.0325233022636485</v>
      </c>
      <c r="H130" s="24" t="n">
        <f aca="false">+H129/H$19</f>
        <v>0.0231722958529286</v>
      </c>
      <c r="I130" s="24" t="n">
        <f aca="false">+I129/I$19</f>
        <v>0.0273829803462917</v>
      </c>
      <c r="J130" s="24" t="n">
        <f aca="false">+J129/J$19</f>
        <v>0.0250346853831715</v>
      </c>
      <c r="K130" s="24" t="n">
        <f aca="false">+K129/K$19</f>
        <v>0.0405194360652932</v>
      </c>
      <c r="L130" s="24" t="n">
        <f aca="false">+L129/L$19</f>
        <v>0.0287162754797741</v>
      </c>
      <c r="M130" s="24" t="n">
        <f aca="false">+M129/M$19</f>
        <v>0.0188471531111013</v>
      </c>
      <c r="N130" s="24" t="n">
        <f aca="false">+N129/N$19</f>
        <v>0.0215279054095448</v>
      </c>
      <c r="O130" s="24" t="n">
        <f aca="false">+O129/O$19</f>
        <v>0.0278213695555024</v>
      </c>
      <c r="P130" s="24"/>
      <c r="Q130" s="24"/>
      <c r="R130" s="24"/>
      <c r="S130" s="24"/>
      <c r="T130" s="24"/>
      <c r="U130" s="24"/>
      <c r="V130" s="20" t="n">
        <f aca="false">+V129/V$19</f>
        <v>0.0276267184149054</v>
      </c>
      <c r="W130" s="20" t="n">
        <f aca="false">+W129/W$19</f>
        <v>0.0347017081339593</v>
      </c>
      <c r="X130" s="20" t="n">
        <f aca="false">+X129/X$19</f>
        <v>0.0428276145816078</v>
      </c>
      <c r="Y130" s="20" t="n">
        <f aca="false">+Y129/Y$19</f>
        <v>0.0617433414043584</v>
      </c>
      <c r="Z130" s="20" t="n">
        <f aca="false">+Z129/Z$19</f>
        <v>0.0260572404955147</v>
      </c>
      <c r="AA130" s="20" t="n">
        <f aca="false">+AA129/AA$19</f>
        <v>0.0171656686626747</v>
      </c>
      <c r="AB130" s="20" t="n">
        <f aca="false">+AB129/AB$19</f>
        <v>0.0254703328509407</v>
      </c>
      <c r="AC130" s="20" t="n">
        <f aca="false">+AC129/AC$19</f>
        <v>0.0610459131150916</v>
      </c>
      <c r="AD130" s="20" t="n">
        <f aca="false">+AD129/AD$19</f>
        <v>0.0512120177534995</v>
      </c>
      <c r="AE130" s="20" t="n">
        <f aca="false">+AE129/AE$19</f>
        <v>0.0447884227880564</v>
      </c>
      <c r="AF130" s="20" t="n">
        <f aca="false">+AF129/AF$19</f>
        <v>0.0676461769115442</v>
      </c>
      <c r="AG130" s="20" t="n">
        <f aca="false">+AG129/AG$19</f>
        <v>0.0362636546035521</v>
      </c>
      <c r="AH130" s="20" t="n">
        <f aca="false">+AH129/AH$19</f>
        <v>0.067954326388374</v>
      </c>
      <c r="AI130" s="20" t="n">
        <f aca="false">+AI129/AI$19</f>
        <v>0.0395916089425823</v>
      </c>
      <c r="AJ130" s="20" t="n">
        <f aca="false">+AJ129/AJ$19</f>
        <v>0.0247975049234848</v>
      </c>
      <c r="AK130" s="20" t="n">
        <f aca="false">+AK129/AK$19</f>
        <v>0.0279802535913086</v>
      </c>
      <c r="AL130" s="20" t="n">
        <f aca="false">+AL129/AL$19</f>
        <v>0.015</v>
      </c>
      <c r="AM130" s="20" t="n">
        <f aca="false">+AM129/AM$19</f>
        <v>0.015</v>
      </c>
      <c r="AN130" s="20" t="n">
        <f aca="false">+AN129/AN$19</f>
        <v>0.015</v>
      </c>
      <c r="AO130" s="20" t="n">
        <f aca="false">+AO129/AO$19</f>
        <v>0.015</v>
      </c>
      <c r="AP130" s="20" t="n">
        <f aca="false">+AP129/AP$19</f>
        <v>0.015</v>
      </c>
      <c r="AQ130" s="24"/>
      <c r="AR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  <c r="DJ130" s="24"/>
      <c r="DK130" s="1"/>
      <c r="DL130" s="1"/>
      <c r="DM130" s="1"/>
      <c r="DN130" s="1"/>
      <c r="DO130" s="1"/>
    </row>
    <row r="131" customFormat="false" ht="12.8" hidden="false" customHeight="false" outlineLevel="0" collapsed="false">
      <c r="A131" s="22" t="s">
        <v>128</v>
      </c>
      <c r="B131" s="22" t="n">
        <f aca="false">B127-B129</f>
        <v>2663.05339265851</v>
      </c>
      <c r="C131" s="22" t="n">
        <f aca="false">C127-C129</f>
        <v>6059.0270230251</v>
      </c>
      <c r="D131" s="22" t="n">
        <f aca="false">D127-D129</f>
        <v>7055.02052980132</v>
      </c>
      <c r="E131" s="22" t="n">
        <f aca="false">E127-E129</f>
        <v>11246.0175089354</v>
      </c>
      <c r="F131" s="22" t="n">
        <f aca="false">F127-F129</f>
        <v>14976.0157425895</v>
      </c>
      <c r="G131" s="22" t="n">
        <f aca="false">G127-G129</f>
        <v>13512.0144141145</v>
      </c>
      <c r="H131" s="22" t="n">
        <f aca="false">H127-H129</f>
        <v>16816.0136240559</v>
      </c>
      <c r="I131" s="22" t="n">
        <f aca="false">I127-I129</f>
        <v>15551.0138059037</v>
      </c>
      <c r="J131" s="22" t="n">
        <f aca="false">J127-J129</f>
        <v>26187.0124663348</v>
      </c>
      <c r="K131" s="22" t="n">
        <f aca="false">K127-K129</f>
        <v>13471.0142909099</v>
      </c>
      <c r="L131" s="22" t="n">
        <f aca="false">L127-L129</f>
        <v>22113.0131915939</v>
      </c>
      <c r="M131" s="22" t="n">
        <f aca="false">M127-M129</f>
        <v>34906.0119042377</v>
      </c>
      <c r="N131" s="22" t="n">
        <f aca="false">N127-N129</f>
        <v>48587.019408197</v>
      </c>
      <c r="O131" s="22" t="n">
        <f aca="false">O127-O129</f>
        <v>21400.0117126199</v>
      </c>
      <c r="P131" s="22"/>
      <c r="Q131" s="22"/>
      <c r="R131" s="22"/>
      <c r="S131" s="22"/>
      <c r="T131" s="22"/>
      <c r="U131" s="22"/>
      <c r="V131" s="22" t="n">
        <f aca="false">V127-V129</f>
        <v>577.935321831373</v>
      </c>
      <c r="W131" s="22" t="n">
        <f aca="false">W127-W129</f>
        <v>770.455106149933</v>
      </c>
      <c r="X131" s="22" t="n">
        <f aca="false">X127-X129</f>
        <v>640.894929187677</v>
      </c>
      <c r="Y131" s="22" t="n">
        <f aca="false">Y127-Y129</f>
        <v>580.032929782082</v>
      </c>
      <c r="Z131" s="22" t="n">
        <f aca="false">Z127-Z129</f>
        <v>784.033746262281</v>
      </c>
      <c r="AA131" s="22" t="n">
        <f aca="false">AA127-AA129</f>
        <v>1089.03932135729</v>
      </c>
      <c r="AB131" s="22" t="n">
        <f aca="false">AB127-AB129</f>
        <v>1496.02706222865</v>
      </c>
      <c r="AC131" s="22" t="n">
        <f aca="false">AC127-AC129</f>
        <v>2909.02048589664</v>
      </c>
      <c r="AD131" s="22" t="n">
        <f aca="false">AD127-AD129</f>
        <v>3143.02236258109</v>
      </c>
      <c r="AE131" s="22" t="n">
        <f aca="false">AE127-AE129</f>
        <v>4272.03489650119</v>
      </c>
      <c r="AF131" s="22" t="n">
        <f aca="false">AF127-AF129</f>
        <v>4694.06584707646</v>
      </c>
      <c r="AG131" s="22" t="n">
        <f aca="false">AG127-AG129</f>
        <v>8132.0436204206</v>
      </c>
      <c r="AH131" s="22" t="n">
        <f aca="false">AH127-AH129</f>
        <v>3808.10739971825</v>
      </c>
      <c r="AI131" s="22" t="n">
        <f aca="false">AI127-AI129</f>
        <v>56550.0280358491</v>
      </c>
      <c r="AJ131" s="22" t="n">
        <f aca="false">AJ127-AJ129</f>
        <v>60855.0142838533</v>
      </c>
      <c r="AK131" s="22" t="n">
        <f aca="false">AK127-AK129</f>
        <v>96677.0131611852</v>
      </c>
      <c r="AL131" s="22"/>
      <c r="AM131" s="22"/>
      <c r="AN131" s="22"/>
      <c r="AO131" s="22"/>
      <c r="AP131" s="22"/>
      <c r="AQ131" s="22"/>
      <c r="AR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</row>
    <row r="132" s="28" customFormat="true" ht="10.5" hidden="false" customHeight="true" outlineLevel="0" collapsed="false">
      <c r="A132" s="23"/>
      <c r="B132" s="24" t="n">
        <f aca="false">+B131/B$19</f>
        <v>0.370279948923597</v>
      </c>
      <c r="C132" s="24" t="n">
        <f aca="false">+C131/C$19</f>
        <v>0.448584217296594</v>
      </c>
      <c r="D132" s="24" t="n">
        <f aca="false">+D131/D$19</f>
        <v>0.389349918863208</v>
      </c>
      <c r="E132" s="24" t="n">
        <f aca="false">+E131/E$19</f>
        <v>0.508800502598536</v>
      </c>
      <c r="F132" s="24" t="n">
        <f aca="false">+F131/F$19</f>
        <v>0.575027482053043</v>
      </c>
      <c r="G132" s="24" t="n">
        <f aca="false">+G131/G$19</f>
        <v>0.449800746142294</v>
      </c>
      <c r="H132" s="24" t="n">
        <f aca="false">+H131/H$19</f>
        <v>0.479293533534441</v>
      </c>
      <c r="I132" s="24" t="n">
        <f aca="false">+I131/I$19</f>
        <v>0.395388213010189</v>
      </c>
      <c r="J132" s="24" t="n">
        <f aca="false">+J131/J$19</f>
        <v>0.534297977359316</v>
      </c>
      <c r="K132" s="24" t="n">
        <f aca="false">+K131/K$19</f>
        <v>0.288193190229764</v>
      </c>
      <c r="L132" s="24" t="n">
        <f aca="false">+L131/L$19</f>
        <v>0.387906767561202</v>
      </c>
      <c r="M132" s="24" t="n">
        <f aca="false">+M131/M$19</f>
        <v>0.512366784156615</v>
      </c>
      <c r="N132" s="24" t="n">
        <f aca="false">+N131/N$19</f>
        <v>0.595319725641084</v>
      </c>
      <c r="O132" s="24" t="n">
        <f aca="false">+O131/O$19</f>
        <v>0.222404794302906</v>
      </c>
      <c r="P132" s="23"/>
      <c r="Q132" s="23"/>
      <c r="R132" s="23"/>
      <c r="S132" s="23"/>
      <c r="T132" s="23"/>
      <c r="U132" s="23"/>
      <c r="V132" s="20"/>
      <c r="W132" s="20" t="n">
        <f aca="false">+W131/V131-1</f>
        <v>0.333116487340658</v>
      </c>
      <c r="X132" s="20" t="n">
        <f aca="false">+X131/W131-1</f>
        <v>-0.168160579283697</v>
      </c>
      <c r="Y132" s="20" t="n">
        <f aca="false">+Y131/X131-1</f>
        <v>-0.0949640832433119</v>
      </c>
      <c r="Z132" s="20" t="n">
        <f aca="false">+Z131/Y131-1</f>
        <v>0.351705577400307</v>
      </c>
      <c r="AA132" s="20" t="n">
        <f aca="false">+AA131/Z131-1</f>
        <v>0.389020978432441</v>
      </c>
      <c r="AB132" s="20" t="n">
        <f aca="false">+AB131/AA131-1</f>
        <v>0.373712622574669</v>
      </c>
      <c r="AC132" s="20" t="n">
        <f aca="false">+AC131/AB131-1</f>
        <v>0.944497234938406</v>
      </c>
      <c r="AD132" s="20" t="n">
        <f aca="false">+AD131/AC131-1</f>
        <v>0.0804400924018642</v>
      </c>
      <c r="AE132" s="20" t="n">
        <f aca="false">+AE131/AD131-1</f>
        <v>0.359212377029652</v>
      </c>
      <c r="AF132" s="20" t="n">
        <f aca="false">+AF131/AE131-1</f>
        <v>0.0987892095452956</v>
      </c>
      <c r="AG132" s="20" t="n">
        <f aca="false">+AG131/AF131-1</f>
        <v>0.732409362234525</v>
      </c>
      <c r="AH132" s="20" t="n">
        <f aca="false">+AH131/AG131-1</f>
        <v>-0.531715817392371</v>
      </c>
      <c r="AI132" s="20" t="n">
        <f aca="false">+AI131/AH131-1</f>
        <v>13.849903666066</v>
      </c>
      <c r="AJ132" s="20" t="n">
        <f aca="false">+AJ131/AI131-1</f>
        <v>0.0761270400303791</v>
      </c>
      <c r="AK132" s="20" t="n">
        <f aca="false">+AK131/AJ131-1</f>
        <v>0.588644983472407</v>
      </c>
      <c r="AL132" s="20"/>
      <c r="AM132" s="20"/>
      <c r="AN132" s="20"/>
      <c r="AO132" s="20"/>
      <c r="AP132" s="20"/>
      <c r="AQ132" s="23"/>
      <c r="AR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1"/>
      <c r="DL132" s="1"/>
      <c r="DM132" s="1"/>
      <c r="DN132" s="1"/>
      <c r="DO132" s="1"/>
    </row>
    <row r="133" s="55" customFormat="true" ht="12.8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1"/>
      <c r="DL133" s="1"/>
      <c r="DM133" s="1"/>
      <c r="DN133" s="1"/>
      <c r="DO133" s="1"/>
    </row>
    <row r="134" customFormat="false" ht="12.8" hidden="false" customHeight="false" outlineLevel="0" collapsed="false">
      <c r="A134" s="28" t="s">
        <v>129</v>
      </c>
      <c r="B134" s="28"/>
      <c r="C134" s="28"/>
      <c r="D134" s="28"/>
      <c r="E134" s="28"/>
      <c r="F134" s="28" t="n">
        <f aca="false">F131/B131-1</f>
        <v>4.6236257913098</v>
      </c>
      <c r="G134" s="28" t="n">
        <f aca="false">G131/C131-1</f>
        <v>1.23006340172557</v>
      </c>
      <c r="H134" s="28" t="n">
        <f aca="false">H131/D131-1</f>
        <v>1.38355275551968</v>
      </c>
      <c r="I134" s="28" t="n">
        <f aca="false">I131/E131-1</f>
        <v>0.382801849058816</v>
      </c>
      <c r="J134" s="28" t="n">
        <f aca="false">J131/F131-1</f>
        <v>0.74859675072743</v>
      </c>
      <c r="K134" s="28" t="n">
        <f aca="false">K131/G131-1</f>
        <v>-0.00303434572729711</v>
      </c>
      <c r="L134" s="28" t="n">
        <f aca="false">L131/H131-1</f>
        <v>0.314997340389905</v>
      </c>
      <c r="M134" s="28" t="n">
        <f aca="false">M131/I131-1</f>
        <v>1.24461326701325</v>
      </c>
      <c r="N134" s="28" t="n">
        <f aca="false">N131/J131-1</f>
        <v>0.855386118239298</v>
      </c>
      <c r="O134" s="28" t="n">
        <f aca="false">O131/K131-1</f>
        <v>0.588596912636372</v>
      </c>
      <c r="P134" s="28"/>
      <c r="Q134" s="28"/>
      <c r="R134" s="28"/>
      <c r="S134" s="28"/>
      <c r="T134" s="28"/>
      <c r="U134" s="28"/>
      <c r="V134" s="28"/>
      <c r="W134" s="28" t="n">
        <f aca="false">W131/V131-1</f>
        <v>0.333116487340658</v>
      </c>
      <c r="X134" s="28" t="n">
        <f aca="false">X131/W131-1</f>
        <v>-0.168160579283697</v>
      </c>
      <c r="Y134" s="28" t="n">
        <f aca="false">Y131/X131-1</f>
        <v>-0.0949640832433119</v>
      </c>
      <c r="Z134" s="28" t="n">
        <f aca="false">Z131/Y131-1</f>
        <v>0.351705577400307</v>
      </c>
      <c r="AA134" s="28" t="n">
        <f aca="false">AA131/Z131-1</f>
        <v>0.389020978432441</v>
      </c>
      <c r="AB134" s="28" t="n">
        <f aca="false">AB131/AA131-1</f>
        <v>0.373712622574669</v>
      </c>
      <c r="AC134" s="28" t="n">
        <f aca="false">AC131/AB131-1</f>
        <v>0.944497234938406</v>
      </c>
      <c r="AD134" s="28" t="n">
        <f aca="false">AD131/AC131-1</f>
        <v>0.0804400924018642</v>
      </c>
      <c r="AE134" s="28" t="n">
        <f aca="false">AE131/AD131-1</f>
        <v>0.359212377029652</v>
      </c>
      <c r="AF134" s="28" t="n">
        <f aca="false">AF131/AE131-1</f>
        <v>0.0987892095452956</v>
      </c>
      <c r="AG134" s="28" t="n">
        <f aca="false">AG131/AF131-1</f>
        <v>0.732409362234525</v>
      </c>
      <c r="AH134" s="28" t="n">
        <f aca="false">AH131/AG131-1</f>
        <v>-0.531715817392371</v>
      </c>
      <c r="AI134" s="28" t="n">
        <f aca="false">AI131/AH131-1</f>
        <v>13.849903666066</v>
      </c>
      <c r="AJ134" s="28" t="n">
        <f aca="false">AJ131/AI131-1</f>
        <v>0.0761270400303791</v>
      </c>
      <c r="AK134" s="28" t="n">
        <f aca="false">AK131/AJ131-1</f>
        <v>0.588644983472407</v>
      </c>
      <c r="AL134" s="28"/>
      <c r="AM134" s="28"/>
      <c r="AN134" s="28"/>
      <c r="AO134" s="28"/>
      <c r="AP134" s="28"/>
      <c r="AQ134" s="28"/>
      <c r="AR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</row>
    <row r="135" customFormat="false" ht="12.8" hidden="false" customHeight="false" outlineLevel="0" collapsed="false">
      <c r="A135" s="55" t="s">
        <v>130</v>
      </c>
      <c r="B135" s="55" t="n">
        <f aca="false">B131/B47</f>
        <v>1.06949935448133</v>
      </c>
      <c r="C135" s="55" t="n">
        <f aca="false">C131/C47</f>
        <v>0.242419261543774</v>
      </c>
      <c r="D135" s="55" t="n">
        <f aca="false">D131/D47</f>
        <v>0.282879732550173</v>
      </c>
      <c r="E135" s="55" t="n">
        <f aca="false">E131/E47</f>
        <v>0.451647289515479</v>
      </c>
      <c r="F135" s="55" t="n">
        <f aca="false">F131/F47</f>
        <v>0.601688057155061</v>
      </c>
      <c r="G135" s="55" t="n">
        <f aca="false">G131/G47</f>
        <v>0.543786800310468</v>
      </c>
      <c r="H135" s="55" t="n">
        <f aca="false">H131/H47</f>
        <v>0.678776686205533</v>
      </c>
      <c r="I135" s="55" t="n">
        <f aca="false">I131/I47</f>
        <v>0.629442799558963</v>
      </c>
      <c r="J135" s="55" t="n">
        <f aca="false">J131/J47</f>
        <v>1.06403691301998</v>
      </c>
      <c r="K135" s="55" t="n">
        <f aca="false">K131/K47</f>
        <v>0.549120099906647</v>
      </c>
      <c r="L135" s="55" t="n">
        <f aca="false">L131/L47</f>
        <v>0.90319867628942</v>
      </c>
      <c r="M135" s="55" t="n">
        <f aca="false">M131/M47</f>
        <v>1.42870055272748</v>
      </c>
      <c r="N135" s="55" t="n">
        <f aca="false">N131/N47</f>
        <v>1.99200604354873</v>
      </c>
      <c r="O135" s="55" t="n">
        <f aca="false">O131/O47</f>
        <v>0.881202870604073</v>
      </c>
      <c r="P135" s="55"/>
      <c r="Q135" s="55"/>
      <c r="R135" s="55"/>
      <c r="S135" s="55"/>
      <c r="T135" s="55"/>
      <c r="U135" s="55"/>
      <c r="V135" s="55" t="n">
        <f aca="false">V131/V47</f>
        <v>0.981741174945086</v>
      </c>
      <c r="W135" s="55" t="n">
        <f aca="false">W131/W47</f>
        <v>1.249985976222</v>
      </c>
      <c r="X135" s="55" t="n">
        <f aca="false">X131/X47</f>
        <v>1.02550244126824</v>
      </c>
      <c r="Y135" s="55" t="n">
        <f aca="false">Y131/Y47</f>
        <v>0.974845260137954</v>
      </c>
      <c r="Z135" s="55" t="n">
        <f aca="false">Z131/Z47</f>
        <v>1.39259990455112</v>
      </c>
      <c r="AA135" s="55" t="n">
        <f aca="false">AA131/AA47</f>
        <v>1.91395311310595</v>
      </c>
      <c r="AB135" s="55" t="n">
        <f aca="false">AB131/AB47</f>
        <v>2.30512644411195</v>
      </c>
      <c r="AC135" s="55" t="n">
        <f aca="false">AC131/AC47</f>
        <v>4.60288051565925</v>
      </c>
      <c r="AD135" s="55" t="n">
        <f aca="false">AD131/AD47</f>
        <v>5.02883578012974</v>
      </c>
      <c r="AE135" s="55" t="n">
        <f aca="false">AE131/AE47</f>
        <v>6.91267782605371</v>
      </c>
      <c r="AF135" s="55" t="n">
        <f aca="false">AF131/AF47</f>
        <v>7.47462714502621</v>
      </c>
      <c r="AG135" s="55" t="n">
        <f aca="false">AG131/AG47</f>
        <v>3.20790675361759</v>
      </c>
      <c r="AH135" s="55" t="n">
        <f aca="false">AH131/AH47</f>
        <v>1.51898978847956</v>
      </c>
      <c r="AI135" s="55" t="n">
        <f aca="false">AI131/AI47</f>
        <v>2.267442984597</v>
      </c>
      <c r="AJ135" s="55" t="n">
        <f aca="false">AJ131/AJ47</f>
        <v>2.45338605026722</v>
      </c>
      <c r="AK135" s="55" t="n">
        <f aca="false">AK131/AK47</f>
        <v>3.94366653046912</v>
      </c>
      <c r="AL135" s="55"/>
      <c r="AM135" s="55"/>
      <c r="AN135" s="55"/>
      <c r="AO135" s="55"/>
      <c r="AP135" s="55"/>
      <c r="AQ135" s="55"/>
      <c r="AR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5"/>
      <c r="BU135" s="55"/>
      <c r="BV135" s="55"/>
      <c r="BW135" s="55"/>
      <c r="BX135" s="55"/>
      <c r="BY135" s="55"/>
      <c r="BZ135" s="55"/>
      <c r="CA135" s="55"/>
      <c r="CB135" s="55"/>
      <c r="CC135" s="55"/>
      <c r="CD135" s="55"/>
      <c r="CE135" s="55"/>
      <c r="CF135" s="55"/>
      <c r="CG135" s="55"/>
      <c r="CH135" s="55"/>
      <c r="CI135" s="55"/>
      <c r="CJ135" s="55"/>
      <c r="CK135" s="55"/>
      <c r="CL135" s="55"/>
      <c r="CM135" s="55"/>
      <c r="CN135" s="55"/>
      <c r="CO135" s="55"/>
      <c r="CP135" s="55"/>
      <c r="CQ135" s="55"/>
      <c r="CR135" s="55"/>
      <c r="CS135" s="55"/>
      <c r="CT135" s="55"/>
      <c r="CU135" s="55"/>
      <c r="CV135" s="55"/>
      <c r="CW135" s="55"/>
      <c r="CX135" s="55"/>
      <c r="CY135" s="55"/>
      <c r="CZ135" s="55"/>
      <c r="DA135" s="55"/>
      <c r="DB135" s="55"/>
      <c r="DC135" s="55"/>
      <c r="DD135" s="55"/>
      <c r="DE135" s="55"/>
      <c r="DF135" s="55"/>
      <c r="DG135" s="55"/>
      <c r="DH135" s="55"/>
      <c r="DI135" s="55"/>
      <c r="DJ135" s="55"/>
    </row>
    <row r="137" customFormat="false" ht="12.8" hidden="false" customHeight="false" outlineLevel="0" collapsed="false">
      <c r="A137" s="3" t="s">
        <v>131</v>
      </c>
      <c r="C137" s="3" t="n">
        <f aca="false">+AVERAGE(B83:C83)/C19*90</f>
        <v>37.1340786258977</v>
      </c>
      <c r="D137" s="3" t="n">
        <f aca="false">+AVERAGE(C83:D83)/D19*90</f>
        <v>38.1829470198676</v>
      </c>
      <c r="E137" s="3" t="n">
        <f aca="false">+AVERAGE(D83:E83)/E19*90</f>
        <v>37.2736732570239</v>
      </c>
      <c r="F137" s="3" t="n">
        <f aca="false">+AVERAGE(E83:F83)/F19*90</f>
        <v>38.6415297189372</v>
      </c>
      <c r="G137" s="3" t="n">
        <f aca="false">+AVERAGE(F83:G83)/G19*90</f>
        <v>39.6925765645806</v>
      </c>
      <c r="H137" s="3" t="n">
        <f aca="false">+AVERAGE(G83:H83)/H19*90</f>
        <v>40.8187259512612</v>
      </c>
      <c r="I137" s="3" t="n">
        <f aca="false">+AVERAGE(H83:I83)/I19*90</f>
        <v>46.6326815997559</v>
      </c>
      <c r="J137" s="3" t="n">
        <f aca="false">+AVERAGE(I83:J83)/J19*90</f>
        <v>41.497286378846</v>
      </c>
      <c r="K137" s="3" t="n">
        <f aca="false">+AVERAGE(J83:K83)/K19*90</f>
        <v>48.0777870483281</v>
      </c>
      <c r="L137" s="3" t="n">
        <f aca="false">+AVERAGE(K83:L83)/L19*90</f>
        <v>48.3099147458162</v>
      </c>
      <c r="M137" s="3" t="n">
        <f aca="false">+AVERAGE(L83:M83)/M19*90</f>
        <v>47.4637808798274</v>
      </c>
      <c r="N137" s="3" t="n">
        <f aca="false">+AVERAGE(M83:N83)/N19*90</f>
        <v>43.6552104392575</v>
      </c>
      <c r="O137" s="3" t="n">
        <f aca="false">+AVERAGE(N83:O83)/O19*90</f>
        <v>48.5299986489436</v>
      </c>
      <c r="P137" s="54" t="n">
        <v>49</v>
      </c>
      <c r="Q137" s="54" t="n">
        <v>49</v>
      </c>
      <c r="W137" s="3" t="n">
        <f aca="false">+AVERAGE(V83:W83)/W19*365</f>
        <v>31.2653354360882</v>
      </c>
      <c r="X137" s="3" t="n">
        <f aca="false">+AVERAGE(W83:X83)/X19*365</f>
        <v>33.7013385484044</v>
      </c>
      <c r="Y137" s="3" t="n">
        <f aca="false">+AVERAGE(X83:Y83)/Y19*365</f>
        <v>38.9131095641647</v>
      </c>
      <c r="Z137" s="3" t="n">
        <f aca="false">+AVERAGE(Y83:Z83)/Z19*365</f>
        <v>35.0950774241777</v>
      </c>
      <c r="AA137" s="3" t="n">
        <f aca="false">+AVERAGE(Z83:AA83)/AA19*365</f>
        <v>35.6621756487026</v>
      </c>
      <c r="AB137" s="3" t="n">
        <f aca="false">+AVERAGE(AA83:AB83)/AB19*365</f>
        <v>35.1530390738061</v>
      </c>
      <c r="AC137" s="3" t="n">
        <f aca="false">+AVERAGE(AB83:AC83)/AC19*365</f>
        <v>39.2842804200124</v>
      </c>
      <c r="AD137" s="3" t="n">
        <f aca="false">+AVERAGE(AC83:AD83)/AD19*365</f>
        <v>41.8865227039945</v>
      </c>
      <c r="AE137" s="3" t="n">
        <f aca="false">+AVERAGE(AD83:AE83)/AE19*365</f>
        <v>51.5005037552665</v>
      </c>
      <c r="AF137" s="3" t="n">
        <f aca="false">+AVERAGE(AE83:AF83)/AF19*365</f>
        <v>44.7193403298351</v>
      </c>
      <c r="AG137" s="3" t="n">
        <f aca="false">+AVERAGE(AF83:AG83)/AG19*365</f>
        <v>48.0016905699636</v>
      </c>
      <c r="AH137" s="3" t="n">
        <f aca="false">+AVERAGE(AG83:AH83)/AH19*365</f>
        <v>57.353470008156</v>
      </c>
      <c r="AI137" s="3" t="n">
        <f aca="false">+AVERAGE(AH83:AI83)/AI19*365</f>
        <v>41.4176323823906</v>
      </c>
      <c r="AJ137" s="3" t="n">
        <f aca="false">+AVERAGE(AI83:AJ83)/AJ19*365</f>
        <v>46.2399901913454</v>
      </c>
      <c r="AK137" s="3" t="n">
        <f aca="false">+AVERAGE(AJ83:AK83)/AK19*365</f>
        <v>52.0029244505367</v>
      </c>
      <c r="AL137" s="54" t="n">
        <f aca="false">+AK137-1</f>
        <v>51.0029244505367</v>
      </c>
      <c r="AM137" s="54" t="n">
        <f aca="false">+AL137-1</f>
        <v>50.0029244505367</v>
      </c>
      <c r="AN137" s="54" t="n">
        <f aca="false">+AM137-1</f>
        <v>49.0029244505367</v>
      </c>
      <c r="AO137" s="54" t="n">
        <f aca="false">+AN137-1</f>
        <v>48.0029244505367</v>
      </c>
      <c r="AP137" s="54" t="n">
        <f aca="false">+AO137-1</f>
        <v>47.0029244505367</v>
      </c>
    </row>
    <row r="138" customFormat="false" ht="12.8" hidden="false" customHeight="false" outlineLevel="0" collapsed="false">
      <c r="A138" s="3" t="s">
        <v>132</v>
      </c>
      <c r="C138" s="3" t="n">
        <f aca="false">+AVERAGE(B84:C84)/C21*90</f>
        <v>99.344870210136</v>
      </c>
      <c r="D138" s="3" t="n">
        <f aca="false">+AVERAGE(C84:D84)/D21*90</f>
        <v>86.739406779661</v>
      </c>
      <c r="E138" s="3" t="n">
        <f aca="false">+AVERAGE(D84:E84)/E21*90</f>
        <v>85.230609939759</v>
      </c>
      <c r="F138" s="3" t="n">
        <f aca="false">+AVERAGE(E84:F84)/F21*90</f>
        <v>88.96239801348</v>
      </c>
      <c r="G138" s="3" t="n">
        <f aca="false">+AVERAGE(F84:G84)/G21*90</f>
        <v>75.5766139833914</v>
      </c>
      <c r="H138" s="3" t="n">
        <f aca="false">+AVERAGE(G84:H84)/H21*90</f>
        <v>72.2389648218687</v>
      </c>
      <c r="I138" s="3" t="n">
        <f aca="false">+AVERAGE(H84:I84)/I21*90</f>
        <v>75.22907239819</v>
      </c>
      <c r="J138" s="3" t="n">
        <f aca="false">+AVERAGE(I84:J84)/J21*90</f>
        <v>55.3975508796137</v>
      </c>
      <c r="K138" s="3" t="n">
        <f aca="false">+AVERAGE(J84:K84)/K21*90</f>
        <v>91.7979053529868</v>
      </c>
      <c r="L138" s="3" t="n">
        <f aca="false">+AVERAGE(K84:L84)/L21*90</f>
        <v>103.158276703833</v>
      </c>
      <c r="M138" s="3" t="n">
        <f aca="false">+AVERAGE(L84:M84)/M21*90</f>
        <v>108.806798168369</v>
      </c>
      <c r="N138" s="3" t="n">
        <f aca="false">+AVERAGE(M84:N84)/N21*90</f>
        <v>103.822465539153</v>
      </c>
      <c r="O138" s="3" t="n">
        <f aca="false">+AVERAGE(N84:O84)/O21*90</f>
        <v>107.219568918975</v>
      </c>
      <c r="P138" s="54" t="n">
        <f aca="false">+O138+0.5</f>
        <v>107.719568918975</v>
      </c>
      <c r="Q138" s="54" t="n">
        <f aca="false">+P138+0.5</f>
        <v>108.219568918975</v>
      </c>
      <c r="W138" s="3" t="n">
        <f aca="false">+AVERAGE(V84:W84)/W21*365</f>
        <v>64.4698036945256</v>
      </c>
      <c r="X138" s="3" t="n">
        <f aca="false">+AVERAGE(W84:X84)/X21*365</f>
        <v>66.8898431018163</v>
      </c>
      <c r="Y138" s="3" t="n">
        <f aca="false">+AVERAGE(X84:Y84)/Y21*365</f>
        <v>78.4330504833512</v>
      </c>
      <c r="Z138" s="3" t="n">
        <f aca="false">+AVERAGE(Y84:Z84)/Z21*365</f>
        <v>76.2912205952952</v>
      </c>
      <c r="AA138" s="3" t="n">
        <f aca="false">+AVERAGE(Z84:AA84)/AA21*365</f>
        <v>74.7760345611642</v>
      </c>
      <c r="AB138" s="3" t="n">
        <f aca="false">+AVERAGE(AA84:AB84)/AB21*365</f>
        <v>77.6923076923077</v>
      </c>
      <c r="AC138" s="3" t="n">
        <f aca="false">+AVERAGE(AB84:AC84)/AC21*365</f>
        <v>74.5567831449126</v>
      </c>
      <c r="AD138" s="3" t="n">
        <f aca="false">+AVERAGE(AC84:AD84)/AD21*365</f>
        <v>95.2051705170517</v>
      </c>
      <c r="AE138" s="3" t="n">
        <f aca="false">+AVERAGE(AD84:AE84)/AE21*365</f>
        <v>112.314457831325</v>
      </c>
      <c r="AF138" s="3" t="n">
        <f aca="false">+AVERAGE(AE84:AF84)/AF21*365</f>
        <v>81.5277114190158</v>
      </c>
      <c r="AG138" s="3" t="n">
        <f aca="false">+AVERAGE(AF84:AG84)/AG21*365</f>
        <v>85.6719461807395</v>
      </c>
      <c r="AH138" s="3" t="n">
        <f aca="false">+AVERAGE(AG84:AH84)/AH21*365</f>
        <v>121.959889826132</v>
      </c>
      <c r="AI138" s="3" t="n">
        <f aca="false">+AVERAGE(AH84:AI84)/AI21*365</f>
        <v>114.643072017327</v>
      </c>
      <c r="AJ138" s="3" t="n">
        <f aca="false">+AVERAGE(AI84:AJ84)/AJ21*365</f>
        <v>85.8987989460139</v>
      </c>
      <c r="AK138" s="3" t="n">
        <f aca="false">+AVERAGE(AJ84:AK84)/AK21*365</f>
        <v>91.9671468587435</v>
      </c>
      <c r="AL138" s="54" t="n">
        <f aca="false">+AK138-1</f>
        <v>90.9671468587435</v>
      </c>
      <c r="AM138" s="54" t="n">
        <f aca="false">+AL138-1</f>
        <v>89.9671468587435</v>
      </c>
      <c r="AN138" s="54" t="n">
        <f aca="false">+AM138-1</f>
        <v>88.9671468587435</v>
      </c>
      <c r="AO138" s="54" t="n">
        <f aca="false">+AN138-1</f>
        <v>87.9671468587435</v>
      </c>
      <c r="AP138" s="54" t="n">
        <f aca="false">+AO138-1</f>
        <v>86.9671468587435</v>
      </c>
    </row>
    <row r="139" customFormat="false" ht="12.8" hidden="false" customHeight="false" outlineLevel="0" collapsed="false">
      <c r="A139" s="3" t="s">
        <v>133</v>
      </c>
      <c r="C139" s="3" t="n">
        <f aca="false">+AVERAGE(B95:C95)/C21*90</f>
        <v>34.1532756489493</v>
      </c>
      <c r="D139" s="3" t="n">
        <f aca="false">+AVERAGE(C95:D95)/D21*90</f>
        <v>41.0815677966102</v>
      </c>
      <c r="E139" s="3" t="n">
        <f aca="false">+AVERAGE(D95:E95)/E21*90</f>
        <v>43.0261671686747</v>
      </c>
      <c r="F139" s="3" t="n">
        <f aca="false">+AVERAGE(E95:F95)/F21*90</f>
        <v>43.2121319616885</v>
      </c>
      <c r="G139" s="3" t="n">
        <f aca="false">+AVERAGE(F95:G95)/G21*90</f>
        <v>38.5447361371551</v>
      </c>
      <c r="H139" s="3" t="n">
        <f aca="false">+AVERAGE(G95:H95)/H21*90</f>
        <v>45.5394353573829</v>
      </c>
      <c r="I139" s="3" t="n">
        <f aca="false">+AVERAGE(H95:I95)/I21*90</f>
        <v>49.4753959276018</v>
      </c>
      <c r="J139" s="3" t="n">
        <f aca="false">+AVERAGE(I95:J95)/J21*90</f>
        <v>35.2906174542946</v>
      </c>
      <c r="K139" s="3" t="n">
        <f aca="false">+AVERAGE(J95:K95)/K21*90</f>
        <v>57.2362296353763</v>
      </c>
      <c r="L139" s="3" t="n">
        <f aca="false">+AVERAGE(K95:L95)/L21*90</f>
        <v>52.5143498053705</v>
      </c>
      <c r="M139" s="3" t="n">
        <f aca="false">+AVERAGE(L95:M95)/M21*90</f>
        <v>48.7037689327228</v>
      </c>
      <c r="N139" s="3" t="n">
        <f aca="false">+AVERAGE(M95:N95)/N21*90</f>
        <v>50.3912894711116</v>
      </c>
      <c r="O139" s="3" t="n">
        <f aca="false">+AVERAGE(N95:O95)/O21*90</f>
        <v>52.6192948212135</v>
      </c>
      <c r="P139" s="54" t="n">
        <f aca="false">+O139+0.5</f>
        <v>53.1192948212135</v>
      </c>
      <c r="Q139" s="54" t="n">
        <f aca="false">+P139+0.5</f>
        <v>53.6192948212135</v>
      </c>
      <c r="W139" s="3" t="n">
        <f aca="false">+AVERAGE(V95:W95)/W21*365</f>
        <v>58.3960368041215</v>
      </c>
      <c r="X139" s="3" t="n">
        <f aca="false">+AVERAGE(W95:X95)/X21*365</f>
        <v>61.4459863980026</v>
      </c>
      <c r="Y139" s="3" t="n">
        <f aca="false">+AVERAGE(X95:Y95)/Y21*365</f>
        <v>66.7290373254565</v>
      </c>
      <c r="Z139" s="3" t="n">
        <f aca="false">+AVERAGE(Y95:Z95)/Z21*365</f>
        <v>54.0921063370139</v>
      </c>
      <c r="AA139" s="3" t="n">
        <f aca="false">+AVERAGE(Z95:AA95)/AA21*365</f>
        <v>48.8824465666212</v>
      </c>
      <c r="AB139" s="3" t="n">
        <f aca="false">+AVERAGE(AA95:AB95)/AB21*365</f>
        <v>50.0641025641026</v>
      </c>
      <c r="AC139" s="3" t="n">
        <f aca="false">+AVERAGE(AB95:AC95)/AC21*365</f>
        <v>50.6892343268243</v>
      </c>
      <c r="AD139" s="3" t="n">
        <f aca="false">+AVERAGE(AC95:AD95)/AD21*365</f>
        <v>44.450495049505</v>
      </c>
      <c r="AE139" s="3" t="n">
        <f aca="false">+AVERAGE(AD95:AE95)/AE21*365</f>
        <v>52.6831325301205</v>
      </c>
      <c r="AF139" s="3" t="n">
        <f aca="false">+AVERAGE(AE95:AF95)/AF21*365</f>
        <v>53.3635929288103</v>
      </c>
      <c r="AG139" s="3" t="n">
        <f aca="false">+AVERAGE(AF95:AG95)/AG21*365</f>
        <v>56.6892679309249</v>
      </c>
      <c r="AH139" s="3" t="n">
        <f aca="false">+AVERAGE(AG95:AH95)/AH21*365</f>
        <v>46.7481494233087</v>
      </c>
      <c r="AI139" s="3" t="n">
        <f aca="false">+AVERAGE(AH95:AI95)/AI21*365</f>
        <v>42.734492509476</v>
      </c>
      <c r="AJ139" s="3" t="n">
        <f aca="false">+AVERAGE(AI95:AJ95)/AJ21*365</f>
        <v>50.37509957718</v>
      </c>
      <c r="AK139" s="3" t="n">
        <f aca="false">+AVERAGE(AJ95:AK95)/AK21*365</f>
        <v>47.0950780312125</v>
      </c>
      <c r="AL139" s="54" t="n">
        <f aca="false">+AK139+1</f>
        <v>48.0950780312125</v>
      </c>
      <c r="AM139" s="54" t="n">
        <f aca="false">+AL139+1</f>
        <v>49.0950780312125</v>
      </c>
      <c r="AN139" s="54" t="n">
        <f aca="false">+AM139+1</f>
        <v>50.0950780312125</v>
      </c>
      <c r="AO139" s="54" t="n">
        <f aca="false">+AN139+1</f>
        <v>51.0950780312125</v>
      </c>
      <c r="AP139" s="54" t="n">
        <f aca="false">+AO139+1</f>
        <v>52.0950780312125</v>
      </c>
    </row>
    <row r="140" customFormat="false" ht="12.8" hidden="false" customHeight="false" outlineLevel="0" collapsed="false">
      <c r="A140" s="3" t="s">
        <v>134</v>
      </c>
      <c r="C140" s="3" t="n">
        <f aca="false">+C137+C138-C139</f>
        <v>102.325673187084</v>
      </c>
      <c r="D140" s="3" t="n">
        <f aca="false">+D137+D138-D139</f>
        <v>83.8407860029184</v>
      </c>
      <c r="E140" s="3" t="n">
        <f aca="false">+E137+E138-E139</f>
        <v>79.4781160281083</v>
      </c>
      <c r="F140" s="3" t="n">
        <f aca="false">+F137+F138-F139</f>
        <v>84.3917957707286</v>
      </c>
      <c r="G140" s="3" t="n">
        <f aca="false">+G137+G138-G139</f>
        <v>76.7244544108168</v>
      </c>
      <c r="H140" s="3" t="n">
        <f aca="false">+H137+H138-H139</f>
        <v>67.518255415747</v>
      </c>
      <c r="I140" s="3" t="n">
        <f aca="false">+I137+I138-I139</f>
        <v>72.3863580703441</v>
      </c>
      <c r="J140" s="3" t="n">
        <f aca="false">+J137+J138-J139</f>
        <v>61.6042198041651</v>
      </c>
      <c r="K140" s="3" t="n">
        <f aca="false">+K137+K138-K139</f>
        <v>82.6394627659386</v>
      </c>
      <c r="L140" s="3" t="n">
        <f aca="false">+L137+L138-L139</f>
        <v>98.953841644279</v>
      </c>
      <c r="M140" s="3" t="n">
        <f aca="false">+M137+M138-M139</f>
        <v>107.566810115474</v>
      </c>
      <c r="N140" s="3" t="n">
        <f aca="false">+N137+N138-N139</f>
        <v>97.0863865072989</v>
      </c>
      <c r="O140" s="3" t="n">
        <f aca="false">+O137+O138-O139</f>
        <v>103.130272746705</v>
      </c>
      <c r="P140" s="3" t="n">
        <f aca="false">+P137+P138-P139</f>
        <v>103.600274097762</v>
      </c>
      <c r="Q140" s="3" t="n">
        <f aca="false">+Q137+Q138-Q139</f>
        <v>103.600274097762</v>
      </c>
      <c r="W140" s="3" t="n">
        <f aca="false">+W137+W138-W139</f>
        <v>37.3391023264922</v>
      </c>
      <c r="X140" s="3" t="n">
        <f aca="false">+X137+X138-X139</f>
        <v>39.1451952522182</v>
      </c>
      <c r="Y140" s="3" t="n">
        <f aca="false">+Y137+Y138-Y139</f>
        <v>50.6171227220594</v>
      </c>
      <c r="Z140" s="3" t="n">
        <f aca="false">+Z137+Z138-Z139</f>
        <v>57.294191682459</v>
      </c>
      <c r="AA140" s="3" t="n">
        <f aca="false">+AA137+AA138-AA139</f>
        <v>61.5557636432456</v>
      </c>
      <c r="AB140" s="3" t="n">
        <f aca="false">+AB137+AB138-AB139</f>
        <v>62.7812442020112</v>
      </c>
      <c r="AC140" s="3" t="n">
        <f aca="false">+AC137+AC138-AC139</f>
        <v>63.1518292381007</v>
      </c>
      <c r="AD140" s="3" t="n">
        <f aca="false">+AD137+AD138-AD139</f>
        <v>92.6411981715413</v>
      </c>
      <c r="AE140" s="3" t="n">
        <f aca="false">+AE137+AE138-AE139</f>
        <v>111.131829056471</v>
      </c>
      <c r="AF140" s="3" t="n">
        <f aca="false">+AF137+AF138-AF139</f>
        <v>72.8834588200405</v>
      </c>
      <c r="AG140" s="3" t="n">
        <f aca="false">+AG137+AG138-AG139</f>
        <v>76.9843688197782</v>
      </c>
      <c r="AH140" s="3" t="n">
        <f aca="false">+AH137+AH138-AH139</f>
        <v>132.565210410979</v>
      </c>
      <c r="AI140" s="3" t="n">
        <f aca="false">+AI137+AI138-AI139</f>
        <v>113.326211890242</v>
      </c>
      <c r="AJ140" s="3" t="n">
        <f aca="false">+AJ137+AJ138-AJ139</f>
        <v>81.7636895601793</v>
      </c>
      <c r="AK140" s="3" t="n">
        <f aca="false">+AK137+AK138-AK139</f>
        <v>96.8749932780678</v>
      </c>
      <c r="AL140" s="3" t="n">
        <f aca="false">+AL137+AL138-AL139</f>
        <v>93.8749932780678</v>
      </c>
      <c r="AM140" s="3" t="n">
        <f aca="false">+AM137+AM138-AM139</f>
        <v>90.8749932780678</v>
      </c>
      <c r="AN140" s="3" t="n">
        <f aca="false">+AN137+AN138-AN139</f>
        <v>87.8749932780678</v>
      </c>
      <c r="AO140" s="3" t="n">
        <f aca="false">+AO137+AO138-AO139</f>
        <v>84.8749932780678</v>
      </c>
      <c r="AP140" s="3" t="n">
        <f aca="false">+AP137+AP138-AP139</f>
        <v>81.8749932780678</v>
      </c>
    </row>
    <row r="141" s="24" customFormat="true" ht="12.8" hidden="false" customHeight="false" outlineLevel="0" collapsed="false">
      <c r="X141" s="24" t="n">
        <f aca="false">+X137/W137-1</f>
        <v>0.0779138646152009</v>
      </c>
      <c r="Y141" s="24" t="n">
        <f aca="false">+Y137/X137-1</f>
        <v>0.154645816464373</v>
      </c>
      <c r="Z141" s="24" t="n">
        <f aca="false">+Z137/Y137-1</f>
        <v>-0.0981168604295505</v>
      </c>
      <c r="AA141" s="24" t="n">
        <f aca="false">+AA137/Z137-1</f>
        <v>0.0161589107688991</v>
      </c>
      <c r="AB141" s="24" t="n">
        <f aca="false">+AB137/AA137-1</f>
        <v>-0.0142766549049578</v>
      </c>
      <c r="AC141" s="24" t="n">
        <f aca="false">+AC137/AB137-1</f>
        <v>0.117521598560297</v>
      </c>
      <c r="AD141" s="24" t="n">
        <f aca="false">+AD137/AC137-1</f>
        <v>0.0662413122032532</v>
      </c>
      <c r="AE141" s="24" t="n">
        <f aca="false">+AE137/AD137-1</f>
        <v>0.229524449169784</v>
      </c>
      <c r="AF141" s="24" t="n">
        <f aca="false">+AF137/AE137-1</f>
        <v>-0.131671788253877</v>
      </c>
      <c r="AG141" s="24" t="n">
        <f aca="false">+AG137/AF137-1</f>
        <v>0.0733988966724235</v>
      </c>
      <c r="AH141" s="24" t="n">
        <f aca="false">+AH137/AG137-1</f>
        <v>0.194821876628741</v>
      </c>
      <c r="AI141" s="24" t="n">
        <f aca="false">+AI137/AH137-1</f>
        <v>-0.277853068410669</v>
      </c>
      <c r="AJ141" s="24" t="n">
        <f aca="false">+AJ137/AI137-1</f>
        <v>0.116432483741034</v>
      </c>
      <c r="AK141" s="24" t="n">
        <f aca="false">+AK137/AJ137-1</f>
        <v>0.124630957648212</v>
      </c>
    </row>
    <row r="142" s="24" customFormat="true" ht="12.8" hidden="false" customHeight="false" outlineLevel="0" collapsed="false">
      <c r="X142" s="24" t="n">
        <f aca="false">+X138/W138-1</f>
        <v>0.0375375643884</v>
      </c>
      <c r="Y142" s="24" t="n">
        <f aca="false">+Y138/X138-1</f>
        <v>0.172570406002663</v>
      </c>
      <c r="Z142" s="24" t="n">
        <f aca="false">+Z138/Y138-1</f>
        <v>-0.0273077468599876</v>
      </c>
      <c r="AA142" s="24" t="n">
        <f aca="false">+AA138/Z138-1</f>
        <v>-0.0198605556747969</v>
      </c>
      <c r="AB142" s="24" t="n">
        <f aca="false">+AB138/AA138-1</f>
        <v>0.039000104087602</v>
      </c>
      <c r="AC142" s="24" t="n">
        <f aca="false">+AC138/AB138-1</f>
        <v>-0.0403582367486491</v>
      </c>
      <c r="AD142" s="24" t="n">
        <f aca="false">+AD138/AC138-1</f>
        <v>0.276948474721686</v>
      </c>
      <c r="AE142" s="24" t="n">
        <f aca="false">+AE138/AD138-1</f>
        <v>0.179709644143846</v>
      </c>
      <c r="AF142" s="24" t="n">
        <f aca="false">+AF138/AE138-1</f>
        <v>-0.274112051171055</v>
      </c>
      <c r="AG142" s="24" t="n">
        <f aca="false">+AG138/AF138-1</f>
        <v>0.0508322224381377</v>
      </c>
      <c r="AH142" s="24" t="n">
        <f aca="false">+AH138/AG138-1</f>
        <v>0.423568568978657</v>
      </c>
      <c r="AI142" s="24" t="n">
        <f aca="false">+AI138/AH138-1</f>
        <v>-0.0599936406898642</v>
      </c>
      <c r="AJ142" s="24" t="n">
        <f aca="false">+AJ138/AI138-1</f>
        <v>-0.250728391742408</v>
      </c>
      <c r="AK142" s="24" t="n">
        <f aca="false">+AK138/AJ138-1</f>
        <v>0.070645317364024</v>
      </c>
    </row>
    <row r="143" s="24" customFormat="true" ht="12.8" hidden="false" customHeight="false" outlineLevel="0" collapsed="false">
      <c r="X143" s="24" t="n">
        <f aca="false">+X139/W139-1</f>
        <v>0.0522287086726707</v>
      </c>
      <c r="Y143" s="24" t="n">
        <f aca="false">+Y139/X139-1</f>
        <v>0.0859787796917144</v>
      </c>
      <c r="Z143" s="24" t="n">
        <f aca="false">+Z139/Y139-1</f>
        <v>-0.18937679149796</v>
      </c>
      <c r="AA143" s="24" t="n">
        <f aca="false">+AA139/Z139-1</f>
        <v>-0.0963109060300706</v>
      </c>
      <c r="AB143" s="24" t="n">
        <f aca="false">+AB139/AA139-1</f>
        <v>0.0241734217592999</v>
      </c>
      <c r="AC143" s="24" t="n">
        <f aca="false">+AC139/AB139-1</f>
        <v>0.0124866267585895</v>
      </c>
      <c r="AD143" s="24" t="n">
        <f aca="false">+AD139/AC139-1</f>
        <v>-0.123078191260384</v>
      </c>
      <c r="AE143" s="24" t="n">
        <f aca="false">+AE139/AD139-1</f>
        <v>0.185209129199726</v>
      </c>
      <c r="AF143" s="24" t="n">
        <f aca="false">+AF139/AE139-1</f>
        <v>0.0129160960256265</v>
      </c>
      <c r="AG143" s="24" t="n">
        <f aca="false">+AG139/AF139-1</f>
        <v>0.0623210473580964</v>
      </c>
      <c r="AH143" s="24" t="n">
        <f aca="false">+AH139/AG139-1</f>
        <v>-0.175361560846567</v>
      </c>
      <c r="AI143" s="24" t="n">
        <f aca="false">+AI139/AH139-1</f>
        <v>-0.0858570224350203</v>
      </c>
      <c r="AJ143" s="24" t="n">
        <f aca="false">+AJ139/AI139-1</f>
        <v>0.178792507387558</v>
      </c>
      <c r="AK143" s="24" t="n">
        <f aca="false">+AK139/AJ139-1</f>
        <v>-0.0651119615345307</v>
      </c>
    </row>
  </sheetData>
  <hyperlinks>
    <hyperlink ref="A1" r:id="rId2" location="Main" display="Main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5.97"/>
    <col collapsed="false" customWidth="true" hidden="false" outlineLevel="0" max="3" min="3" style="1" width="18.43"/>
    <col collapsed="false" customWidth="true" hidden="false" outlineLevel="0" max="4" min="4" style="1" width="15.47"/>
    <col collapsed="false" customWidth="true" hidden="false" outlineLevel="0" max="5" min="5" style="1" width="19.76"/>
    <col collapsed="false" customWidth="true" hidden="false" outlineLevel="0" max="6" min="6" style="1" width="14.56"/>
    <col collapsed="false" customWidth="false" hidden="false" outlineLevel="0" max="16384" min="7" style="1" width="11.53"/>
  </cols>
  <sheetData>
    <row r="1" customFormat="false" ht="13.1" hidden="false" customHeight="false" outlineLevel="0" collapsed="false">
      <c r="A1" s="56" t="s">
        <v>27</v>
      </c>
    </row>
    <row r="4" customFormat="false" ht="14.55" hidden="false" customHeight="false" outlineLevel="0" collapsed="false">
      <c r="B4" s="57" t="s">
        <v>135</v>
      </c>
      <c r="C4" s="57" t="s">
        <v>136</v>
      </c>
      <c r="D4" s="58" t="s">
        <v>137</v>
      </c>
      <c r="E4" s="57" t="s">
        <v>138</v>
      </c>
      <c r="F4" s="57" t="s">
        <v>139</v>
      </c>
      <c r="G4" s="57" t="s">
        <v>140</v>
      </c>
      <c r="H4" s="57" t="s">
        <v>141</v>
      </c>
    </row>
    <row r="5" customFormat="false" ht="13.8" hidden="false" customHeight="false" outlineLevel="0" collapsed="false">
      <c r="B5" s="59" t="s">
        <v>142</v>
      </c>
      <c r="C5" s="59" t="s">
        <v>143</v>
      </c>
      <c r="D5" s="60" t="n">
        <v>3200</v>
      </c>
      <c r="E5" s="59" t="s">
        <v>144</v>
      </c>
      <c r="F5" s="59" t="s">
        <v>145</v>
      </c>
      <c r="G5" s="61" t="s">
        <v>146</v>
      </c>
      <c r="H5" s="59" t="s">
        <v>147</v>
      </c>
    </row>
    <row r="6" customFormat="false" ht="13.8" hidden="false" customHeight="false" outlineLevel="0" collapsed="false">
      <c r="B6" s="62" t="s">
        <v>148</v>
      </c>
      <c r="C6" s="62" t="s">
        <v>143</v>
      </c>
      <c r="D6" s="63" t="n">
        <v>1550</v>
      </c>
      <c r="E6" s="62" t="s">
        <v>144</v>
      </c>
      <c r="F6" s="62" t="s">
        <v>149</v>
      </c>
      <c r="G6" s="61" t="s">
        <v>146</v>
      </c>
      <c r="H6" s="62" t="s">
        <v>147</v>
      </c>
    </row>
    <row r="7" customFormat="false" ht="13.8" hidden="false" customHeight="false" outlineLevel="0" collapsed="false">
      <c r="B7" s="59" t="s">
        <v>150</v>
      </c>
      <c r="C7" s="59" t="s">
        <v>143</v>
      </c>
      <c r="D7" s="60" t="n">
        <v>2850</v>
      </c>
      <c r="E7" s="59" t="s">
        <v>144</v>
      </c>
      <c r="F7" s="59" t="s">
        <v>151</v>
      </c>
      <c r="G7" s="61" t="s">
        <v>146</v>
      </c>
      <c r="H7" s="59" t="s">
        <v>147</v>
      </c>
    </row>
    <row r="8" customFormat="false" ht="13.8" hidden="false" customHeight="false" outlineLevel="0" collapsed="false">
      <c r="B8" s="62" t="s">
        <v>152</v>
      </c>
      <c r="C8" s="62" t="s">
        <v>143</v>
      </c>
      <c r="D8" s="63" t="n">
        <v>2000</v>
      </c>
      <c r="E8" s="62" t="s">
        <v>144</v>
      </c>
      <c r="F8" s="62" t="s">
        <v>153</v>
      </c>
      <c r="G8" s="61" t="s">
        <v>146</v>
      </c>
      <c r="H8" s="62" t="s">
        <v>147</v>
      </c>
    </row>
    <row r="9" customFormat="false" ht="13.8" hidden="false" customHeight="false" outlineLevel="0" collapsed="false">
      <c r="B9" s="59" t="s">
        <v>154</v>
      </c>
      <c r="C9" s="59" t="s">
        <v>143</v>
      </c>
      <c r="D9" s="60" t="n">
        <v>3500</v>
      </c>
      <c r="E9" s="59" t="s">
        <v>144</v>
      </c>
      <c r="F9" s="59" t="s">
        <v>155</v>
      </c>
      <c r="G9" s="61" t="s">
        <v>146</v>
      </c>
      <c r="H9" s="59" t="s">
        <v>147</v>
      </c>
    </row>
    <row r="10" customFormat="false" ht="13.8" hidden="false" customHeight="false" outlineLevel="0" collapsed="false">
      <c r="B10" s="62" t="s">
        <v>156</v>
      </c>
      <c r="C10" s="62" t="s">
        <v>143</v>
      </c>
      <c r="D10" s="63" t="n">
        <v>3500</v>
      </c>
      <c r="E10" s="62" t="s">
        <v>144</v>
      </c>
      <c r="F10" s="62" t="s">
        <v>157</v>
      </c>
      <c r="G10" s="61" t="s">
        <v>146</v>
      </c>
      <c r="H10" s="62" t="s">
        <v>147</v>
      </c>
    </row>
    <row r="11" customFormat="false" ht="13.8" hidden="false" customHeight="false" outlineLevel="0" collapsed="false">
      <c r="B11" s="59" t="s">
        <v>158</v>
      </c>
      <c r="C11" s="59" t="s">
        <v>143</v>
      </c>
      <c r="D11" s="60" t="n">
        <v>3700</v>
      </c>
      <c r="E11" s="59" t="s">
        <v>144</v>
      </c>
      <c r="F11" s="59" t="s">
        <v>159</v>
      </c>
      <c r="G11" s="61" t="s">
        <v>146</v>
      </c>
      <c r="H11" s="59" t="s">
        <v>147</v>
      </c>
    </row>
    <row r="12" customFormat="false" ht="12.8" hidden="false" customHeight="false" outlineLevel="0" collapsed="false">
      <c r="D12" s="64" t="n">
        <f aca="false">AVERAGE(D5:D11)</f>
        <v>2900</v>
      </c>
    </row>
  </sheetData>
  <hyperlinks>
    <hyperlink ref="A1" r:id="rId1" location="Main" display="Main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6384" min="1" style="1" width="11.53"/>
  </cols>
  <sheetData>
    <row r="1" customFormat="false" ht="13.1" hidden="false" customHeight="false" outlineLevel="0" collapsed="false">
      <c r="A1" s="56" t="s">
        <v>27</v>
      </c>
    </row>
  </sheetData>
  <hyperlinks>
    <hyperlink ref="A1" r:id="rId1" location="Main" display="Main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3368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2026-02-25T21:24:45Z</dcterms:created>
  <dc:creator/>
  <dc:description/>
  <dc:language>en-US</dc:language>
  <cp:lastModifiedBy/>
  <dcterms:modified xsi:type="dcterms:W3CDTF">2026-08-27T13:20:23Z</dcterms:modified>
  <cp:revision>194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