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xl/externalLinks/externalLink1.xml" ContentType="application/vnd.openxmlformats-officedocument.spreadsheetml.externalLink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ain" sheetId="1" state="visible" r:id="rId3"/>
    <sheet name="Model" sheetId="2" state="visible" r:id="rId4"/>
  </sheets>
  <externalReferences>
    <externalReference r:id="rId5"/>
  </externalReferenc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11" authorId="0">
      <text>
        <r>
          <rPr>
            <sz val="10"/>
            <rFont val="Arial"/>
            <family val="2"/>
          </rPr>
          <t xml:space="preserve">Percentage of each new dollar that turns into profit in the EBIT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3</xdr:colOff>
                <xdr:row>7</xdr:row>
                <xdr:rowOff>1</xdr:rowOff>
              </xdr:from>
              <xdr:to>
                <xdr:col>2</xdr:col>
                <xdr:colOff>2</xdr:colOff>
                <xdr:row>10</xdr:row>
                <xdr:rowOff>1</xdr:rowOff>
              </xdr:to>
            </anchor>
          </commentPr>
        </mc:Choice>
        <mc:Fallback/>
      </mc:AlternateContent>
    </comment>
  </commentList>
</comments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19" authorId="0">
      <text>
        <r>
          <rPr>
            <sz val="10"/>
            <rFont val="Arial"/>
            <family val="2"/>
          </rPr>
          <t xml:space="preserve">Cost per User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3</xdr:colOff>
                <xdr:row>14</xdr:row>
                <xdr:rowOff>1</xdr:rowOff>
              </xdr:from>
              <xdr:to>
                <xdr:col>2</xdr:col>
                <xdr:colOff>5</xdr:colOff>
                <xdr:row>18</xdr:row>
                <xdr:rowOff>1</xdr:rowOff>
              </xdr:to>
            </anchor>
          </commentPr>
        </mc:Choice>
        <mc:Fallback/>
      </mc:AlternateContent>
    </comment>
    <comment ref="A21" authorId="0">
      <text>
        <r>
          <rPr>
            <sz val="10"/>
            <rFont val="Arial"/>
            <family val="2"/>
          </rPr>
          <t xml:space="preserve">Profit per User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3</xdr:colOff>
                <xdr:row>16</xdr:row>
                <xdr:rowOff>1</xdr:rowOff>
              </xdr:from>
              <xdr:to>
                <xdr:col>2</xdr:col>
                <xdr:colOff>5</xdr:colOff>
                <xdr:row>20</xdr:row>
                <xdr:rowOff>1</xdr:rowOff>
              </xdr:to>
            </anchor>
          </commentPr>
        </mc:Choice>
        <mc:Fallback/>
      </mc:AlternateContent>
    </comment>
    <comment ref="A97" authorId="0">
      <text>
        <r>
          <rPr>
            <sz val="10"/>
            <rFont val="Arial"/>
            <family val="2"/>
          </rPr>
          <t xml:space="preserve">Spotify leases offices around the world. 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3</xdr:colOff>
                <xdr:row>92</xdr:row>
                <xdr:rowOff>1</xdr:rowOff>
              </xdr:from>
              <xdr:to>
                <xdr:col>2</xdr:col>
                <xdr:colOff>5</xdr:colOff>
                <xdr:row>96</xdr:row>
                <xdr:rowOff>1</xdr:rowOff>
              </xdr:to>
            </anchor>
          </commentPr>
        </mc:Choice>
        <mc:Fallback/>
      </mc:AlternateContent>
    </comment>
    <comment ref="N24" authorId="0">
      <text>
        <r>
          <rPr>
            <sz val="10"/>
            <rFont val="Arial"/>
            <family val="2"/>
          </rPr>
          <t xml:space="preserve">Was 3771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14</xdr:col>
                <xdr:colOff>3</xdr:colOff>
                <xdr:row>19</xdr:row>
                <xdr:rowOff>1</xdr:rowOff>
              </xdr:from>
              <xdr:to>
                <xdr:col>15</xdr:col>
                <xdr:colOff>5</xdr:colOff>
                <xdr:row>23</xdr:row>
                <xdr:rowOff>1</xdr:rowOff>
              </xdr:to>
            </anchor>
          </commentPr>
        </mc:Choice>
        <mc:Fallback/>
      </mc:AlternateContent>
    </comment>
    <comment ref="N26" authorId="0">
      <text>
        <r>
          <rPr>
            <sz val="10"/>
            <rFont val="Arial"/>
            <family val="2"/>
          </rPr>
          <t xml:space="preserve">Was 419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14</xdr:col>
                <xdr:colOff>3</xdr:colOff>
                <xdr:row>21</xdr:row>
                <xdr:rowOff>1</xdr:rowOff>
              </xdr:from>
              <xdr:to>
                <xdr:col>15</xdr:col>
                <xdr:colOff>5</xdr:colOff>
                <xdr:row>25</xdr:row>
                <xdr:rowOff>1</xdr:rowOff>
              </xdr:to>
            </anchor>
          </commentPr>
        </mc:Choice>
        <mc:Fallback/>
      </mc:AlternateContent>
    </comment>
    <comment ref="O24" authorId="0">
      <text>
        <r>
          <rPr>
            <sz val="10"/>
            <rFont val="Arial"/>
            <family val="2"/>
          </rPr>
          <t xml:space="preserve">Was 3740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15</xdr:col>
                <xdr:colOff>3</xdr:colOff>
                <xdr:row>19</xdr:row>
                <xdr:rowOff>1</xdr:rowOff>
              </xdr:from>
              <xdr:to>
                <xdr:col>16</xdr:col>
                <xdr:colOff>5</xdr:colOff>
                <xdr:row>23</xdr:row>
                <xdr:rowOff>1</xdr:rowOff>
              </xdr:to>
            </anchor>
          </commentPr>
        </mc:Choice>
        <mc:Fallback/>
      </mc:AlternateContent>
    </comment>
    <comment ref="O26" authorId="0">
      <text>
        <r>
          <rPr>
            <sz val="10"/>
            <rFont val="Arial"/>
            <family val="2"/>
          </rPr>
          <t xml:space="preserve">Was 453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15</xdr:col>
                <xdr:colOff>3</xdr:colOff>
                <xdr:row>21</xdr:row>
                <xdr:rowOff>1</xdr:rowOff>
              </xdr:from>
              <xdr:to>
                <xdr:col>16</xdr:col>
                <xdr:colOff>5</xdr:colOff>
                <xdr:row>25</xdr:row>
                <xdr:rowOff>1</xdr:rowOff>
              </xdr:to>
            </anchor>
          </commentPr>
        </mc:Choice>
        <mc:Fallback/>
      </mc:AlternateContent>
    </comment>
    <comment ref="P24" authorId="0">
      <text>
        <r>
          <rPr>
            <sz val="10"/>
            <rFont val="Arial"/>
            <family val="2"/>
          </rPr>
          <t xml:space="preserve">Was 3826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16</xdr:col>
                <xdr:colOff>3</xdr:colOff>
                <xdr:row>19</xdr:row>
                <xdr:rowOff>1</xdr:rowOff>
              </xdr:from>
              <xdr:to>
                <xdr:col>17</xdr:col>
                <xdr:colOff>5</xdr:colOff>
                <xdr:row>23</xdr:row>
                <xdr:rowOff>1</xdr:rowOff>
              </xdr:to>
            </anchor>
          </commentPr>
        </mc:Choice>
        <mc:Fallback/>
      </mc:AlternateContent>
    </comment>
    <comment ref="P26" authorId="0">
      <text>
        <r>
          <rPr>
            <sz val="10"/>
            <rFont val="Arial"/>
            <family val="2"/>
          </rPr>
          <t xml:space="preserve">Was 446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16</xdr:col>
                <xdr:colOff>3</xdr:colOff>
                <xdr:row>21</xdr:row>
                <xdr:rowOff>1</xdr:rowOff>
              </xdr:from>
              <xdr:to>
                <xdr:col>17</xdr:col>
                <xdr:colOff>5</xdr:colOff>
                <xdr:row>25</xdr:row>
                <xdr:rowOff>1</xdr:rowOff>
              </xdr:to>
            </anchor>
          </commentPr>
        </mc:Choice>
        <mc:Fallback/>
      </mc:AlternateContent>
    </comment>
    <comment ref="Q24" authorId="0">
      <text>
        <r>
          <rPr>
            <sz val="10"/>
            <rFont val="Arial"/>
            <family val="2"/>
          </rPr>
          <t xml:space="preserve">Was 4013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17</xdr:col>
                <xdr:colOff>3</xdr:colOff>
                <xdr:row>19</xdr:row>
                <xdr:rowOff>1</xdr:rowOff>
              </xdr:from>
              <xdr:to>
                <xdr:col>18</xdr:col>
                <xdr:colOff>5</xdr:colOff>
                <xdr:row>23</xdr:row>
                <xdr:rowOff>1</xdr:rowOff>
              </xdr:to>
            </anchor>
          </commentPr>
        </mc:Choice>
        <mc:Fallback/>
      </mc:AlternateContent>
    </comment>
    <comment ref="Q26" authorId="0">
      <text>
        <r>
          <rPr>
            <sz val="10"/>
            <rFont val="Arial"/>
            <family val="2"/>
          </rPr>
          <t xml:space="preserve">Was 518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17</xdr:col>
                <xdr:colOff>3</xdr:colOff>
                <xdr:row>21</xdr:row>
                <xdr:rowOff>1</xdr:rowOff>
              </xdr:from>
              <xdr:to>
                <xdr:col>18</xdr:col>
                <xdr:colOff>5</xdr:colOff>
                <xdr:row>25</xdr:row>
                <xdr:rowOff>1</xdr:rowOff>
              </xdr:to>
            </anchor>
          </commentPr>
        </mc:Choice>
        <mc:Fallback/>
      </mc:AlternateContent>
    </comment>
    <comment ref="S6" authorId="0">
      <text>
        <r>
          <rPr>
            <sz val="10"/>
            <rFont val="Arial"/>
            <family val="2"/>
          </rPr>
          <t xml:space="preserve">Guidance 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19</xdr:col>
                <xdr:colOff>3</xdr:colOff>
                <xdr:row>1</xdr:row>
                <xdr:rowOff>1</xdr:rowOff>
              </xdr:from>
              <xdr:to>
                <xdr:col>20</xdr:col>
                <xdr:colOff>5</xdr:colOff>
                <xdr:row>5</xdr:row>
                <xdr:rowOff>1</xdr:rowOff>
              </xdr:to>
            </anchor>
          </commentPr>
        </mc:Choice>
        <mc:Fallback/>
      </mc:AlternateContent>
    </comment>
    <comment ref="T6" authorId="0">
      <text>
        <r>
          <rPr>
            <sz val="10"/>
            <rFont val="Arial"/>
            <family val="2"/>
          </rPr>
          <t xml:space="preserve">Guidance: 788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20</xdr:col>
                <xdr:colOff>6</xdr:colOff>
                <xdr:row>1</xdr:row>
                <xdr:rowOff>3</xdr:rowOff>
              </xdr:from>
              <xdr:to>
                <xdr:col>21</xdr:col>
                <xdr:colOff>12</xdr:colOff>
                <xdr:row>5</xdr:row>
                <xdr:rowOff>3</xdr:rowOff>
              </xdr:to>
            </anchor>
          </commentPr>
        </mc:Choice>
        <mc:Fallback/>
      </mc:AlternateContent>
    </comment>
    <comment ref="AH2" authorId="0">
      <text>
        <r>
          <rPr>
            <sz val="10"/>
            <rFont val="Arial"/>
            <family val="2"/>
          </rPr>
          <t xml:space="preserve">03/03 exp 23.007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34</xdr:col>
                <xdr:colOff>3</xdr:colOff>
                <xdr:row>0</xdr:row>
                <xdr:rowOff>0</xdr:rowOff>
              </xdr:from>
              <xdr:to>
                <xdr:col>35</xdr:col>
                <xdr:colOff>5</xdr:colOff>
                <xdr:row>4</xdr:row>
                <xdr:rowOff>1</xdr:rowOff>
              </xdr:to>
            </anchor>
          </commentPr>
        </mc:Choice>
        <mc:Fallback/>
      </mc:AlternateContent>
    </comment>
    <comment ref="AI2" authorId="0">
      <text>
        <r>
          <rPr>
            <sz val="10"/>
            <rFont val="Arial"/>
            <family val="2"/>
          </rPr>
          <t xml:space="preserve">03/03 exp. 26.225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35</xdr:col>
                <xdr:colOff>3</xdr:colOff>
                <xdr:row>0</xdr:row>
                <xdr:rowOff>0</xdr:rowOff>
              </xdr:from>
              <xdr:to>
                <xdr:col>36</xdr:col>
                <xdr:colOff>5</xdr:colOff>
                <xdr:row>4</xdr:row>
                <xdr:rowOff>1</xdr:rowOff>
              </xdr:to>
            </anchor>
          </commentPr>
        </mc:Choice>
        <mc:Fallback/>
      </mc:AlternateContent>
    </comment>
    <comment ref="AJ2" authorId="0">
      <text>
        <r>
          <rPr>
            <sz val="10"/>
            <rFont val="Arial"/>
            <family val="2"/>
          </rPr>
          <t xml:space="preserve">03/03 exp. 29.646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36</xdr:col>
                <xdr:colOff>3</xdr:colOff>
                <xdr:row>0</xdr:row>
                <xdr:rowOff>0</xdr:rowOff>
              </xdr:from>
              <xdr:to>
                <xdr:col>37</xdr:col>
                <xdr:colOff>5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<sst xmlns="http://schemas.openxmlformats.org/spreadsheetml/2006/main" count="225" uniqueCount="192">
  <si>
    <t xml:space="preserve">Spotify Technologies S.A.</t>
  </si>
  <si>
    <t xml:space="preserve">Price</t>
  </si>
  <si>
    <t xml:space="preserve">Share</t>
  </si>
  <si>
    <t xml:space="preserve">Q425</t>
  </si>
  <si>
    <t xml:space="preserve">MC</t>
  </si>
  <si>
    <t xml:space="preserve">Beta</t>
  </si>
  <si>
    <t xml:space="preserve">Cash</t>
  </si>
  <si>
    <t xml:space="preserve">Q126</t>
  </si>
  <si>
    <t xml:space="preserve">Debt</t>
  </si>
  <si>
    <t xml:space="preserve">EV</t>
  </si>
  <si>
    <t xml:space="preserve">CAPM</t>
  </si>
  <si>
    <t xml:space="preserve">WACC</t>
  </si>
  <si>
    <t xml:space="preserve">Cost of Debt</t>
  </si>
  <si>
    <t xml:space="preserve">Incremental Margin TTM</t>
  </si>
  <si>
    <t xml:space="preserve">Leverage</t>
  </si>
  <si>
    <t xml:space="preserve">EV/FCF (TTM)</t>
  </si>
  <si>
    <t xml:space="preserve">EV/FCF (FFCF)</t>
  </si>
  <si>
    <t xml:space="preserve">P/FCF</t>
  </si>
  <si>
    <t xml:space="preserve">EV/EBITDA</t>
  </si>
  <si>
    <t xml:space="preserve">Cr. Spread</t>
  </si>
  <si>
    <t xml:space="preserve">Rating</t>
  </si>
  <si>
    <t xml:space="preserve">N.A.</t>
  </si>
  <si>
    <t xml:space="preserve">S&amp;P</t>
  </si>
  <si>
    <t xml:space="preserve">Moody’s</t>
  </si>
  <si>
    <t xml:space="preserve">ir@spotify.com</t>
  </si>
  <si>
    <t xml:space="preserve">Founder and CEO</t>
  </si>
  <si>
    <t xml:space="preserve">Daniel Ek</t>
  </si>
  <si>
    <t xml:space="preserve">Holds 13 %</t>
  </si>
  <si>
    <t xml:space="preserve">Management</t>
  </si>
  <si>
    <t xml:space="preserve">Tencent holds 8 %</t>
  </si>
  <si>
    <t xml:space="preserve">-&gt;</t>
  </si>
  <si>
    <t xml:space="preserve">Approached AI in 2021</t>
  </si>
  <si>
    <t xml:space="preserve">ChatGPT integration</t>
  </si>
  <si>
    <t xml:space="preserve">Use of AI for algorithm and playlist → increase engagement?</t>
  </si>
  <si>
    <t xml:space="preserve">Prompted end of year wrapped (boosted Q4 2025 subs and earnings)</t>
  </si>
  <si>
    <t xml:space="preserve">Sector</t>
  </si>
  <si>
    <t xml:space="preserve">“Audio Streaming”</t>
  </si>
  <si>
    <t xml:space="preserve">Plans</t>
  </si>
  <si>
    <t xml:space="preserve">Ad-Supported</t>
  </si>
  <si>
    <t xml:space="preserve">Music and Audiobook with Ad break</t>
  </si>
  <si>
    <t xml:space="preserve">Basic</t>
  </si>
  <si>
    <t xml:space="preserve">Ad Supported account with certain Premium features ???</t>
  </si>
  <si>
    <t xml:space="preserve">Audiobook Access</t>
  </si>
  <si>
    <t xml:space="preserve">Only with Audiobooks without ads, music with ads</t>
  </si>
  <si>
    <t xml:space="preserve">Premium</t>
  </si>
  <si>
    <t xml:space="preserve">Audiobook and Music without ad break</t>
  </si>
  <si>
    <t xml:space="preserve">Mainly sold to end users and businesses that sell the service in bundle with their own service</t>
  </si>
  <si>
    <t xml:space="preserve"> Standard</t>
  </si>
  <si>
    <t xml:space="preserve"> Family</t>
  </si>
  <si>
    <t xml:space="preserve"> Duo</t>
  </si>
  <si>
    <t xml:space="preserve"> Student</t>
  </si>
  <si>
    <t xml:space="preserve">Seasonality</t>
  </si>
  <si>
    <t xml:space="preserve">There is no clear seasonality for the Premium revenues</t>
  </si>
  <si>
    <r>
      <rPr>
        <sz val="10"/>
        <rFont val="Arial"/>
        <family val="2"/>
        <charset val="1"/>
      </rPr>
      <t xml:space="preserve">There is seasonality in the Ad-Supported accounts since in the 4</t>
    </r>
    <r>
      <rPr>
        <vertAlign val="superscript"/>
        <sz val="10"/>
        <rFont val="Arial"/>
        <family val="2"/>
        <charset val="1"/>
      </rPr>
      <t xml:space="preserve">th</t>
    </r>
    <r>
      <rPr>
        <sz val="10"/>
        <rFont val="Arial"/>
        <family val="2"/>
        <charset val="1"/>
      </rPr>
      <t xml:space="preserve"> quarter there is a higher demand for advertisement due to the holiday season.</t>
    </r>
  </si>
  <si>
    <r>
      <rPr>
        <sz val="10"/>
        <rFont val="Arial"/>
        <family val="2"/>
        <charset val="1"/>
      </rPr>
      <t xml:space="preserve">During the 1</t>
    </r>
    <r>
      <rPr>
        <vertAlign val="superscript"/>
        <sz val="10"/>
        <rFont val="Arial"/>
        <family val="2"/>
        <charset val="1"/>
      </rPr>
      <t xml:space="preserve">st</t>
    </r>
    <r>
      <rPr>
        <sz val="10"/>
        <rFont val="Arial"/>
        <family val="2"/>
        <charset val="1"/>
      </rPr>
      <t xml:space="preserve"> quarter there is a lower demand for ADV</t>
    </r>
  </si>
  <si>
    <r>
      <rPr>
        <sz val="10"/>
        <rFont val="Arial"/>
        <family val="2"/>
        <charset val="1"/>
      </rPr>
      <t xml:space="preserve">In 4</t>
    </r>
    <r>
      <rPr>
        <vertAlign val="superscript"/>
        <sz val="10"/>
        <rFont val="Arial"/>
        <family val="2"/>
        <charset val="1"/>
      </rPr>
      <t xml:space="preserve">th</t>
    </r>
    <r>
      <rPr>
        <sz val="10"/>
        <rFont val="Arial"/>
        <family val="2"/>
        <charset val="1"/>
      </rPr>
      <t xml:space="preserve"> quarter there is also the Spotify Wrapper (which has a big social appeal). On top of that, there are also Christmas Gifts</t>
    </r>
  </si>
  <si>
    <t xml:space="preserve">Revenues</t>
  </si>
  <si>
    <t xml:space="preserve">88% of revenues is dependant on Premium subscriptions</t>
  </si>
  <si>
    <t xml:space="preserve">which is a fixed income for the firm</t>
  </si>
  <si>
    <t xml:space="preserve">every month has 281 people paying on avg $4.53</t>
  </si>
  <si>
    <t xml:space="preserve">Price increasing in 2026</t>
  </si>
  <si>
    <t xml:space="preserve">Want to enter the physical book market integrated in the audiobook ecosystem</t>
  </si>
  <si>
    <t xml:space="preserve">Main</t>
  </si>
  <si>
    <t xml:space="preserve">in Millions</t>
  </si>
  <si>
    <t xml:space="preserve">Q122</t>
  </si>
  <si>
    <t xml:space="preserve">Q222</t>
  </si>
  <si>
    <t xml:space="preserve">Q322</t>
  </si>
  <si>
    <t xml:space="preserve">Q422</t>
  </si>
  <si>
    <t xml:space="preserve">Q123</t>
  </si>
  <si>
    <t xml:space="preserve">Q223</t>
  </si>
  <si>
    <t xml:space="preserve">Q323</t>
  </si>
  <si>
    <t xml:space="preserve">Q423</t>
  </si>
  <si>
    <t xml:space="preserve">Q124</t>
  </si>
  <si>
    <t xml:space="preserve">Q224</t>
  </si>
  <si>
    <t xml:space="preserve">Q324</t>
  </si>
  <si>
    <t xml:space="preserve">Q424</t>
  </si>
  <si>
    <t xml:space="preserve">Q125</t>
  </si>
  <si>
    <t xml:space="preserve">Q225</t>
  </si>
  <si>
    <t xml:space="preserve">Q325</t>
  </si>
  <si>
    <t xml:space="preserve">Q226</t>
  </si>
  <si>
    <t xml:space="preserve">Q326</t>
  </si>
  <si>
    <t xml:space="preserve">Q426</t>
  </si>
  <si>
    <t xml:space="preserve">Streamed Hours</t>
  </si>
  <si>
    <t xml:space="preserve">MAU</t>
  </si>
  <si>
    <t xml:space="preserve">Premium Subs </t>
  </si>
  <si>
    <t xml:space="preserve">Premium ARPU</t>
  </si>
  <si>
    <t xml:space="preserve">Ad-Sup MAU</t>
  </si>
  <si>
    <t xml:space="preserve">Premium %</t>
  </si>
  <si>
    <t xml:space="preserve">ARPU</t>
  </si>
  <si>
    <t xml:space="preserve">CPU</t>
  </si>
  <si>
    <t xml:space="preserve">PPU</t>
  </si>
  <si>
    <t xml:space="preserve">Ad-Sup</t>
  </si>
  <si>
    <t xml:space="preserve">Revenue</t>
  </si>
  <si>
    <t xml:space="preserve">Premium COGS</t>
  </si>
  <si>
    <t xml:space="preserve">Ad-Sup COGS</t>
  </si>
  <si>
    <t xml:space="preserve">COGS</t>
  </si>
  <si>
    <t xml:space="preserve">Gross Profit</t>
  </si>
  <si>
    <t xml:space="preserve">R&amp;D</t>
  </si>
  <si>
    <t xml:space="preserve">S&amp;M</t>
  </si>
  <si>
    <t xml:space="preserve">G&amp;A</t>
  </si>
  <si>
    <t xml:space="preserve">OpEx</t>
  </si>
  <si>
    <t xml:space="preserve">OpInc / EBIT</t>
  </si>
  <si>
    <t xml:space="preserve">Finance Inc</t>
  </si>
  <si>
    <t xml:space="preserve">Finance exp</t>
  </si>
  <si>
    <t xml:space="preserve">EBT</t>
  </si>
  <si>
    <t xml:space="preserve">Taxes</t>
  </si>
  <si>
    <t xml:space="preserve">Net Inc</t>
  </si>
  <si>
    <t xml:space="preserve">EPS</t>
  </si>
  <si>
    <t xml:space="preserve">Shares</t>
  </si>
  <si>
    <t xml:space="preserve">Gordon Growth Model</t>
  </si>
  <si>
    <t xml:space="preserve">Gross Margin</t>
  </si>
  <si>
    <t xml:space="preserve">Terminal</t>
  </si>
  <si>
    <t xml:space="preserve">Payout Ratio</t>
  </si>
  <si>
    <t xml:space="preserve">Equity Value</t>
  </si>
  <si>
    <t xml:space="preserve">Op Margin</t>
  </si>
  <si>
    <t xml:space="preserve">Discount</t>
  </si>
  <si>
    <t xml:space="preserve">2026 E</t>
  </si>
  <si>
    <t xml:space="preserve">Sustainable Growth</t>
  </si>
  <si>
    <t xml:space="preserve">NI Margin</t>
  </si>
  <si>
    <t xml:space="preserve">ROIC</t>
  </si>
  <si>
    <t xml:space="preserve">EV/E</t>
  </si>
  <si>
    <t xml:space="preserve">Rule of 40</t>
  </si>
  <si>
    <t xml:space="preserve">NPV</t>
  </si>
  <si>
    <t xml:space="preserve">Just P/E</t>
  </si>
  <si>
    <t xml:space="preserve">Tax Rate</t>
  </si>
  <si>
    <t xml:space="preserve">Diff</t>
  </si>
  <si>
    <t xml:space="preserve">yield</t>
  </si>
  <si>
    <t xml:space="preserve">Useless for this Company at this stage</t>
  </si>
  <si>
    <t xml:space="preserve">EBITDA</t>
  </si>
  <si>
    <t xml:space="preserve">Inc. Margin</t>
  </si>
  <si>
    <t xml:space="preserve">Premium Reve</t>
  </si>
  <si>
    <t xml:space="preserve">Book Value</t>
  </si>
  <si>
    <t xml:space="preserve">ROA</t>
  </si>
  <si>
    <t xml:space="preserve">ROE</t>
  </si>
  <si>
    <t xml:space="preserve">A Turnover</t>
  </si>
  <si>
    <t xml:space="preserve">Financial Leverage</t>
  </si>
  <si>
    <t xml:space="preserve">Financial Leverage %</t>
  </si>
  <si>
    <t xml:space="preserve">Debt (-)</t>
  </si>
  <si>
    <t xml:space="preserve">NWC</t>
  </si>
  <si>
    <t xml:space="preserve">Cash (+)</t>
  </si>
  <si>
    <t xml:space="preserve">NOPAT</t>
  </si>
  <si>
    <t xml:space="preserve">UFCF</t>
  </si>
  <si>
    <t xml:space="preserve">TV</t>
  </si>
  <si>
    <t xml:space="preserve">A/L</t>
  </si>
  <si>
    <t xml:space="preserve">Investments</t>
  </si>
  <si>
    <t xml:space="preserve">Income tax receivables</t>
  </si>
  <si>
    <t xml:space="preserve">A/R</t>
  </si>
  <si>
    <t xml:space="preserve">Other</t>
  </si>
  <si>
    <t xml:space="preserve">Lease ROU</t>
  </si>
  <si>
    <t xml:space="preserve">PP&amp;E</t>
  </si>
  <si>
    <t xml:space="preserve">Goodwill</t>
  </si>
  <si>
    <t xml:space="preserve">Intangible</t>
  </si>
  <si>
    <t xml:space="preserve">Finance recevables</t>
  </si>
  <si>
    <t xml:space="preserve">D/T</t>
  </si>
  <si>
    <t xml:space="preserve">A</t>
  </si>
  <si>
    <t xml:space="preserve">A/P</t>
  </si>
  <si>
    <t xml:space="preserve">Income tax payables</t>
  </si>
  <si>
    <t xml:space="preserve">D/R</t>
  </si>
  <si>
    <t xml:space="preserve">Accr exp</t>
  </si>
  <si>
    <t xml:space="preserve">Notes</t>
  </si>
  <si>
    <t xml:space="preserve">Provisions</t>
  </si>
  <si>
    <t xml:space="preserve">Derivative liab</t>
  </si>
  <si>
    <t xml:space="preserve">Lease</t>
  </si>
  <si>
    <t xml:space="preserve">L</t>
  </si>
  <si>
    <t xml:space="preserve">Treasury Shares</t>
  </si>
  <si>
    <t xml:space="preserve">Other reserves</t>
  </si>
  <si>
    <t xml:space="preserve">Deficit</t>
  </si>
  <si>
    <t xml:space="preserve">SE</t>
  </si>
  <si>
    <t xml:space="preserve">L+SE</t>
  </si>
  <si>
    <t xml:space="preserve">Model NI</t>
  </si>
  <si>
    <t xml:space="preserve">D&amp;A</t>
  </si>
  <si>
    <t xml:space="preserve">Impairment charges</t>
  </si>
  <si>
    <t xml:space="preserve">SBC</t>
  </si>
  <si>
    <t xml:space="preserve">Finance costs</t>
  </si>
  <si>
    <t xml:space="preserve">Income tax </t>
  </si>
  <si>
    <t xml:space="preserve">Change in Work. Cap</t>
  </si>
  <si>
    <t xml:space="preserve">Interest Paid</t>
  </si>
  <si>
    <t xml:space="preserve">Interest Received</t>
  </si>
  <si>
    <t xml:space="preserve">CFFO</t>
  </si>
  <si>
    <t xml:space="preserve">CapEx</t>
  </si>
  <si>
    <t xml:space="preserve">FCF</t>
  </si>
  <si>
    <t xml:space="preserve">FCF/share</t>
  </si>
  <si>
    <t xml:space="preserve">Accruals</t>
  </si>
  <si>
    <t xml:space="preserve">Accruals Ratio</t>
  </si>
  <si>
    <t xml:space="preserve">Employees</t>
  </si>
  <si>
    <t xml:space="preserve">Rev / Employees</t>
  </si>
  <si>
    <t xml:space="preserve">DSO</t>
  </si>
  <si>
    <t xml:space="preserve">DPO</t>
  </si>
  <si>
    <t xml:space="preserve">CCC</t>
  </si>
  <si>
    <t xml:space="preserve">Share Issuance</t>
  </si>
  <si>
    <t xml:space="preserve">Share Repurchase</t>
  </si>
  <si>
    <t xml:space="preserve">Total SH return</t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</si>
</sst>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#,##0"/>
    <numFmt numFmtId="166" formatCode="#,##0.00\x"/>
    <numFmt numFmtId="167" formatCode="0.0%"/>
    <numFmt numFmtId="168" formatCode="0.00%"/>
    <numFmt numFmtId="169" formatCode="#%"/>
    <numFmt numFmtId="170" formatCode="#.##\x"/>
    <numFmt numFmtId="171" formatCode="#\x"/>
    <numFmt numFmtId="172" formatCode="#,##0.00&quot;bp&quot;"/>
    <numFmt numFmtId="173" formatCode="#,##0.00"/>
    <numFmt numFmtId="174" formatCode="0.00"/>
    <numFmt numFmtId="175" formatCode="#,##0;\(#,##0\);\-"/>
    <numFmt numFmtId="176" formatCode="0.00%;\(0.00%\);\-"/>
    <numFmt numFmtId="177" formatCode="0%"/>
    <numFmt numFmtId="178" formatCode="#,##0\x"/>
    <numFmt numFmtId="179" formatCode="#,###.00"/>
    <numFmt numFmtId="180" formatCode="#,##0;\-#,##0"/>
    <numFmt numFmtId="181" formatCode="0"/>
  </numFmts>
  <fonts count="1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0"/>
      <name val="Arial"/>
      <family val="2"/>
      <charset val="1"/>
    </font>
    <font>
      <b val="true"/>
      <sz val="13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3"/>
      <color rgb="FFDDDDDD"/>
      <name val="Arial"/>
      <family val="2"/>
      <charset val="1"/>
    </font>
    <font>
      <b val="true"/>
      <i val="true"/>
      <sz val="13"/>
      <name val="Arial"/>
      <family val="2"/>
      <charset val="1"/>
    </font>
    <font>
      <sz val="10"/>
      <color rgb="FF0000FF"/>
      <name val="Arial"/>
      <family val="2"/>
      <charset val="1"/>
    </font>
    <font>
      <i val="true"/>
      <sz val="10"/>
      <name val="Arial"/>
      <family val="2"/>
      <charset val="1"/>
    </font>
    <font>
      <vertAlign val="superscript"/>
      <sz val="10"/>
      <name val="Arial"/>
      <family val="2"/>
      <charset val="1"/>
    </font>
    <font>
      <sz val="10"/>
      <name val="Arial"/>
      <family val="2"/>
    </font>
    <font>
      <u val="single"/>
      <sz val="10"/>
      <name val="Arial"/>
      <family val="2"/>
      <charset val="1"/>
    </font>
    <font>
      <i val="true"/>
      <sz val="8"/>
      <color rgb="FF808080"/>
      <name val="Arial"/>
      <family val="2"/>
      <charset val="1"/>
    </font>
    <font>
      <b val="true"/>
      <i val="true"/>
      <sz val="8"/>
      <color rgb="FF808080"/>
      <name val="Arial"/>
      <family val="2"/>
      <charset val="1"/>
    </font>
    <font>
      <i val="true"/>
      <sz val="8"/>
      <name val="Arial"/>
      <family val="2"/>
      <charset val="1"/>
    </font>
    <font>
      <b val="true"/>
      <i val="true"/>
      <sz val="8"/>
      <name val="Arial"/>
      <family val="2"/>
      <charset val="1"/>
    </font>
    <font>
      <i val="true"/>
      <sz val="8"/>
      <color rgb="FF666666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92E285"/>
        <bgColor rgb="FFCCCCCC"/>
      </patternFill>
    </fill>
    <fill>
      <patternFill patternType="solid">
        <fgColor rgb="FFB2B2B2"/>
        <bgColor rgb="FFCCCCCC"/>
      </patternFill>
    </fill>
    <fill>
      <patternFill patternType="solid">
        <fgColor rgb="FFDDDDDD"/>
        <bgColor rgb="FFCCCCCC"/>
      </patternFill>
    </fill>
    <fill>
      <patternFill patternType="solid">
        <fgColor rgb="FFCCCCCC"/>
        <bgColor rgb="FFDDDDDD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5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5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5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5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0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0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0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4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4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6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9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0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81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81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1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2E28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externalLink" Target="externalLinks/externalLink1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33</xdr:col>
      <xdr:colOff>119880</xdr:colOff>
      <xdr:row>1</xdr:row>
      <xdr:rowOff>18360</xdr:rowOff>
    </xdr:from>
    <xdr:to>
      <xdr:col>33</xdr:col>
      <xdr:colOff>121680</xdr:colOff>
      <xdr:row>147</xdr:row>
      <xdr:rowOff>83160</xdr:rowOff>
    </xdr:to>
    <xdr:sp>
      <xdr:nvSpPr>
        <xdr:cNvPr id="1" name="Line 2"/>
        <xdr:cNvSpPr/>
      </xdr:nvSpPr>
      <xdr:spPr>
        <a:xfrm flipH="1">
          <a:off x="27836280" y="181080"/>
          <a:ext cx="1800" cy="2274696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19</xdr:col>
      <xdr:colOff>77760</xdr:colOff>
      <xdr:row>1</xdr:row>
      <xdr:rowOff>29520</xdr:rowOff>
    </xdr:from>
    <xdr:to>
      <xdr:col>19</xdr:col>
      <xdr:colOff>77760</xdr:colOff>
      <xdr:row>150</xdr:row>
      <xdr:rowOff>109800</xdr:rowOff>
    </xdr:to>
    <xdr:sp>
      <xdr:nvSpPr>
        <xdr:cNvPr id="2" name="Vertical line 1"/>
        <xdr:cNvSpPr/>
      </xdr:nvSpPr>
      <xdr:spPr>
        <a:xfrm>
          <a:off x="16414920" y="192240"/>
          <a:ext cx="0" cy="2324988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Bond%20Analysi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Zero-rate curve US"/>
      <sheetName val="Credit Spread US"/>
      <sheetName val="Zero-rate curve ECB"/>
    </sheetNames>
    <sheetDataSet>
      <sheetData sheetId="0"/>
      <sheetData sheetId="1"/>
      <sheetData sheetId="2">
        <row r="6">
          <cell r="J6">
            <v>0.784782608695652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ir@spotify.com" TargetMode="Externa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SPOT.ods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9" activeCellId="0" sqref="D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8.82"/>
    <col collapsed="false" customWidth="true" hidden="false" outlineLevel="0" max="2" min="2" style="1" width="15.7"/>
    <col collapsed="false" customWidth="false" hidden="false" outlineLevel="0" max="16384" min="3" style="1" width="11.53"/>
  </cols>
  <sheetData>
    <row r="1" customFormat="false" ht="12.8" hidden="false" customHeight="false" outlineLevel="0" collapsed="false">
      <c r="A1" s="2" t="s">
        <v>0</v>
      </c>
      <c r="E1" s="1" t="s">
        <v>1</v>
      </c>
      <c r="F1" s="3" t="n">
        <v>485</v>
      </c>
    </row>
    <row r="2" customFormat="false" ht="12.8" hidden="false" customHeight="false" outlineLevel="0" collapsed="false">
      <c r="E2" s="1" t="s">
        <v>2</v>
      </c>
      <c r="F2" s="3" t="n">
        <v>209.280449</v>
      </c>
      <c r="G2" s="4" t="s">
        <v>3</v>
      </c>
    </row>
    <row r="3" customFormat="false" ht="12.8" hidden="false" customHeight="false" outlineLevel="0" collapsed="false">
      <c r="E3" s="1" t="s">
        <v>4</v>
      </c>
      <c r="F3" s="3" t="n">
        <f aca="false">F1*F2</f>
        <v>101501.017765</v>
      </c>
      <c r="G3" s="4"/>
    </row>
    <row r="4" customFormat="false" ht="12.8" hidden="false" customHeight="false" outlineLevel="0" collapsed="false">
      <c r="B4" s="1" t="s">
        <v>5</v>
      </c>
      <c r="C4" s="1" t="n">
        <v>1.02</v>
      </c>
      <c r="E4" s="1" t="s">
        <v>6</v>
      </c>
      <c r="F4" s="3" t="n">
        <f aca="false">+5314+3491</f>
        <v>8805</v>
      </c>
      <c r="G4" s="4" t="s">
        <v>7</v>
      </c>
    </row>
    <row r="5" customFormat="false" ht="12.8" hidden="false" customHeight="false" outlineLevel="0" collapsed="false">
      <c r="E5" s="1" t="s">
        <v>8</v>
      </c>
      <c r="F5" s="3" t="n">
        <v>414</v>
      </c>
      <c r="G5" s="4" t="s">
        <v>7</v>
      </c>
    </row>
    <row r="6" customFormat="false" ht="12.8" hidden="false" customHeight="false" outlineLevel="0" collapsed="false">
      <c r="E6" s="1" t="s">
        <v>9</v>
      </c>
      <c r="F6" s="5" t="n">
        <f aca="false">F3-F4+F5</f>
        <v>93110.017765</v>
      </c>
      <c r="G6" s="4"/>
    </row>
    <row r="7" customFormat="false" ht="12.8" hidden="false" customHeight="false" outlineLevel="0" collapsed="false">
      <c r="F7" s="6" t="n">
        <f aca="false">F6/17186</f>
        <v>5.41778294920284</v>
      </c>
    </row>
    <row r="9" s="10" customFormat="true" ht="16.15" hidden="false" customHeight="false" outlineLevel="0" collapsed="false">
      <c r="A9" s="7" t="s">
        <v>10</v>
      </c>
      <c r="B9" s="8" t="n">
        <f aca="false">0.04+(C4*(0.1-0.04))</f>
        <v>0.1012</v>
      </c>
      <c r="C9" s="1"/>
      <c r="D9" s="8" t="s">
        <v>11</v>
      </c>
      <c r="E9" s="9" t="n">
        <f aca="false">+(F3/(F3+F5))*B9+(F5/(F5+F3))*B10*(1-Model!R68)</f>
        <v>0.10095410010437</v>
      </c>
      <c r="F9" s="1"/>
      <c r="G9" s="1"/>
      <c r="H9" s="1"/>
    </row>
    <row r="10" s="10" customFormat="true" ht="16.15" hidden="false" customHeight="false" outlineLevel="0" collapsed="false">
      <c r="A10" s="7" t="s">
        <v>12</v>
      </c>
      <c r="B10" s="8" t="n">
        <f aca="false">+0.045 + (B17/100)</f>
        <v>0.0528478260869565</v>
      </c>
      <c r="C10" s="1"/>
      <c r="D10" s="1"/>
      <c r="E10" s="1"/>
      <c r="F10" s="1"/>
      <c r="G10" s="1"/>
      <c r="H10" s="1"/>
    </row>
    <row r="11" s="13" customFormat="true" ht="19.4" hidden="false" customHeight="true" outlineLevel="0" collapsed="false">
      <c r="A11" s="11" t="s">
        <v>13</v>
      </c>
      <c r="B11" s="11" t="n">
        <f aca="false">((Model!S46+Model!R46+Model!Q46+Model!P46)-(Model!O46+Model!N46+Model!M46+Model!L46))/((Model!S28+Model!R28+Model!Q28+Model!P28)-(Model!O28+Model!N28+Model!M28+Model!L28))</f>
        <v>0.537879902945081</v>
      </c>
      <c r="C11" s="12"/>
      <c r="D11" s="10"/>
      <c r="E11" s="10"/>
      <c r="F11" s="10"/>
      <c r="G11" s="10"/>
      <c r="H11" s="10"/>
    </row>
    <row r="12" customFormat="false" ht="19.4" hidden="false" customHeight="true" outlineLevel="0" collapsed="false">
      <c r="A12" s="9" t="s">
        <v>14</v>
      </c>
      <c r="B12" s="14" t="n">
        <f aca="false">(F5-F4)/Model!S70</f>
        <v>-12.2675438596491</v>
      </c>
      <c r="C12" s="13"/>
      <c r="D12" s="13"/>
      <c r="E12" s="13"/>
      <c r="F12" s="13"/>
      <c r="G12" s="13"/>
      <c r="H12" s="13"/>
    </row>
    <row r="13" s="16" customFormat="true" ht="19.4" hidden="false" customHeight="true" outlineLevel="0" collapsed="false">
      <c r="A13" s="7" t="s">
        <v>15</v>
      </c>
      <c r="B13" s="15" t="n">
        <f aca="false">+F6/SUM(Model!P144:S144)</f>
        <v>28.5525966773996</v>
      </c>
      <c r="C13" s="1"/>
      <c r="D13" s="1"/>
      <c r="E13" s="1"/>
      <c r="F13" s="1"/>
      <c r="G13" s="1"/>
      <c r="H13" s="1"/>
    </row>
    <row r="14" customFormat="false" ht="19.4" hidden="false" customHeight="true" outlineLevel="0" collapsed="false">
      <c r="A14" s="15" t="s">
        <v>16</v>
      </c>
      <c r="B14" s="15" t="n">
        <f aca="false">$F$6/(SUM(Model!Q144:T144))</f>
        <v>27.207649396587</v>
      </c>
      <c r="D14" s="16"/>
      <c r="E14" s="16"/>
      <c r="F14" s="16"/>
      <c r="G14" s="16"/>
      <c r="H14" s="16"/>
    </row>
    <row r="15" customFormat="false" ht="19.4" hidden="false" customHeight="true" outlineLevel="0" collapsed="false">
      <c r="A15" s="15" t="s">
        <v>17</v>
      </c>
      <c r="B15" s="15" t="n">
        <f aca="false">+F3/SUM(Model!Q144:T144)</f>
        <v>29.6595809026357</v>
      </c>
    </row>
    <row r="16" customFormat="false" ht="19.4" hidden="false" customHeight="true" outlineLevel="0" collapsed="false">
      <c r="A16" s="15" t="s">
        <v>18</v>
      </c>
      <c r="B16" s="15" t="n">
        <f aca="false">+F6/SUM(Model!P70:S70)</f>
        <v>33.7688882017653</v>
      </c>
    </row>
    <row r="17" customFormat="false" ht="19.4" hidden="false" customHeight="true" outlineLevel="0" collapsed="false">
      <c r="A17" s="15" t="s">
        <v>19</v>
      </c>
      <c r="B17" s="17" t="n">
        <f aca="false">+'[1]Credit Spread US'!J6</f>
        <v>0.784782608695652</v>
      </c>
    </row>
    <row r="18" customFormat="false" ht="19.4" hidden="false" customHeight="true" outlineLevel="0" collapsed="false">
      <c r="A18" s="15" t="s">
        <v>20</v>
      </c>
      <c r="B18" s="18" t="s">
        <v>21</v>
      </c>
      <c r="C18" s="18" t="s">
        <v>21</v>
      </c>
    </row>
    <row r="19" customFormat="false" ht="19.4" hidden="false" customHeight="true" outlineLevel="0" collapsed="false">
      <c r="A19" s="15"/>
      <c r="B19" s="19" t="s">
        <v>22</v>
      </c>
      <c r="C19" s="20" t="s">
        <v>23</v>
      </c>
    </row>
    <row r="20" customFormat="false" ht="19.4" hidden="false" customHeight="true" outlineLevel="0" collapsed="false"/>
    <row r="21" customFormat="false" ht="19.4" hidden="false" customHeight="true" outlineLevel="0" collapsed="false">
      <c r="A21" s="21" t="s">
        <v>24</v>
      </c>
    </row>
    <row r="22" customFormat="false" ht="12.95" hidden="false" customHeight="true" outlineLevel="0" collapsed="false">
      <c r="A22" s="1" t="s">
        <v>25</v>
      </c>
      <c r="B22" s="1" t="s">
        <v>26</v>
      </c>
      <c r="C22" s="1" t="s">
        <v>27</v>
      </c>
      <c r="J22" s="1" t="s">
        <v>28</v>
      </c>
    </row>
    <row r="23" customFormat="false" ht="12.95" hidden="false" customHeight="true" outlineLevel="0" collapsed="false">
      <c r="A23" s="1" t="s">
        <v>29</v>
      </c>
      <c r="K23" s="4" t="s">
        <v>30</v>
      </c>
      <c r="L23" s="1" t="s">
        <v>31</v>
      </c>
    </row>
    <row r="24" customFormat="false" ht="12.95" hidden="false" customHeight="true" outlineLevel="0" collapsed="false"/>
    <row r="25" customFormat="false" ht="12.95" hidden="false" customHeight="true" outlineLevel="0" collapsed="false">
      <c r="B25" s="4" t="s">
        <v>30</v>
      </c>
      <c r="C25" s="1" t="s">
        <v>32</v>
      </c>
    </row>
    <row r="26" customFormat="false" ht="12.95" hidden="false" customHeight="true" outlineLevel="0" collapsed="false">
      <c r="C26" s="1" t="s">
        <v>33</v>
      </c>
    </row>
    <row r="27" customFormat="false" ht="12.95" hidden="false" customHeight="true" outlineLevel="0" collapsed="false">
      <c r="C27" s="4" t="s">
        <v>30</v>
      </c>
      <c r="D27" s="1" t="s">
        <v>34</v>
      </c>
    </row>
    <row r="28" customFormat="false" ht="12.95" hidden="false" customHeight="true" outlineLevel="0" collapsed="false"/>
    <row r="29" customFormat="false" ht="12.95" hidden="false" customHeight="true" outlineLevel="0" collapsed="false"/>
    <row r="30" customFormat="false" ht="12.95" hidden="false" customHeight="true" outlineLevel="0" collapsed="false">
      <c r="A30" s="22" t="s">
        <v>35</v>
      </c>
      <c r="B30" s="1" t="s">
        <v>36</v>
      </c>
    </row>
    <row r="37" customFormat="false" ht="12.8" hidden="false" customHeight="false" outlineLevel="0" collapsed="false">
      <c r="A37" s="22" t="s">
        <v>37</v>
      </c>
      <c r="B37" s="1" t="s">
        <v>38</v>
      </c>
      <c r="C37" s="1" t="s">
        <v>39</v>
      </c>
    </row>
    <row r="38" customFormat="false" ht="12.8" hidden="false" customHeight="false" outlineLevel="0" collapsed="false">
      <c r="B38" s="1" t="s">
        <v>40</v>
      </c>
      <c r="C38" s="1" t="s">
        <v>41</v>
      </c>
    </row>
    <row r="39" customFormat="false" ht="12.8" hidden="false" customHeight="false" outlineLevel="0" collapsed="false">
      <c r="B39" s="1" t="s">
        <v>42</v>
      </c>
      <c r="C39" s="1" t="s">
        <v>43</v>
      </c>
    </row>
    <row r="40" customFormat="false" ht="12.8" hidden="false" customHeight="false" outlineLevel="0" collapsed="false">
      <c r="B40" s="1" t="s">
        <v>44</v>
      </c>
      <c r="C40" s="1" t="s">
        <v>45</v>
      </c>
      <c r="G40" s="1" t="s">
        <v>30</v>
      </c>
      <c r="H40" s="1" t="s">
        <v>46</v>
      </c>
    </row>
    <row r="41" customFormat="false" ht="12.8" hidden="false" customHeight="false" outlineLevel="0" collapsed="false">
      <c r="B41" s="1" t="s">
        <v>47</v>
      </c>
    </row>
    <row r="42" customFormat="false" ht="12.8" hidden="false" customHeight="false" outlineLevel="0" collapsed="false">
      <c r="B42" s="1" t="s">
        <v>48</v>
      </c>
    </row>
    <row r="43" customFormat="false" ht="12.8" hidden="false" customHeight="false" outlineLevel="0" collapsed="false">
      <c r="B43" s="1" t="s">
        <v>49</v>
      </c>
    </row>
    <row r="44" customFormat="false" ht="12.8" hidden="false" customHeight="false" outlineLevel="0" collapsed="false">
      <c r="B44" s="1" t="s">
        <v>50</v>
      </c>
    </row>
    <row r="46" customFormat="false" ht="12.8" hidden="false" customHeight="false" outlineLevel="0" collapsed="false">
      <c r="A46" s="22" t="s">
        <v>51</v>
      </c>
      <c r="B46" s="1" t="s">
        <v>52</v>
      </c>
    </row>
    <row r="47" customFormat="false" ht="12.8" hidden="false" customHeight="false" outlineLevel="0" collapsed="false">
      <c r="B47" s="1" t="s">
        <v>53</v>
      </c>
    </row>
    <row r="48" customFormat="false" ht="12.8" hidden="false" customHeight="false" outlineLevel="0" collapsed="false">
      <c r="B48" s="1" t="s">
        <v>54</v>
      </c>
    </row>
    <row r="49" customFormat="false" ht="12.8" hidden="false" customHeight="false" outlineLevel="0" collapsed="false">
      <c r="B49" s="1" t="s">
        <v>55</v>
      </c>
    </row>
    <row r="54" customFormat="false" ht="12.8" hidden="false" customHeight="false" outlineLevel="0" collapsed="false">
      <c r="A54" s="22" t="s">
        <v>56</v>
      </c>
      <c r="B54" s="1" t="s">
        <v>57</v>
      </c>
    </row>
    <row r="55" customFormat="false" ht="12.8" hidden="false" customHeight="false" outlineLevel="0" collapsed="false">
      <c r="B55" s="4" t="s">
        <v>30</v>
      </c>
      <c r="C55" s="1" t="s">
        <v>58</v>
      </c>
    </row>
    <row r="56" customFormat="false" ht="12.8" hidden="false" customHeight="false" outlineLevel="0" collapsed="false">
      <c r="B56" s="4" t="s">
        <v>30</v>
      </c>
      <c r="C56" s="1" t="s">
        <v>59</v>
      </c>
    </row>
    <row r="60" customFormat="false" ht="12.8" hidden="false" customHeight="false" outlineLevel="0" collapsed="false">
      <c r="B60" s="4" t="s">
        <v>30</v>
      </c>
      <c r="C60" s="1" t="s">
        <v>60</v>
      </c>
    </row>
    <row r="61" customFormat="false" ht="12.8" hidden="false" customHeight="false" outlineLevel="0" collapsed="false">
      <c r="B61" s="4" t="s">
        <v>30</v>
      </c>
      <c r="C61" s="1" t="s">
        <v>61</v>
      </c>
    </row>
    <row r="62" customFormat="false" ht="12.8" hidden="false" customHeight="false" outlineLevel="0" collapsed="false">
      <c r="B62" s="4"/>
    </row>
    <row r="63" customFormat="false" ht="12.8" hidden="false" customHeight="false" outlineLevel="0" collapsed="false">
      <c r="B63" s="4"/>
    </row>
    <row r="64" customFormat="false" ht="12.8" hidden="false" customHeight="false" outlineLevel="0" collapsed="false">
      <c r="B64" s="4"/>
    </row>
  </sheetData>
  <hyperlinks>
    <hyperlink ref="A21" r:id="rId2" display="ir@spotify.com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G169"/>
  <sheetViews>
    <sheetView showFormulas="false" showGridLines="false" showRowColHeaders="true" showZeros="true" rightToLeft="false" tabSelected="true" showOutlineSymbols="true" defaultGridColor="true" view="normal" topLeftCell="A1" colorId="64" zoomScale="50" zoomScaleNormal="50" zoomScalePageLayoutView="100" workbookViewId="0">
      <pane xSplit="1" ySplit="2" topLeftCell="AO6" activePane="bottomRight" state="frozen"/>
      <selection pane="topLeft" activeCell="A1" activeCellId="0" sqref="A1"/>
      <selection pane="topRight" activeCell="AO1" activeCellId="0" sqref="AO1"/>
      <selection pane="bottomLeft" activeCell="A6" activeCellId="0" sqref="A6"/>
      <selection pane="bottomRight" activeCell="BA69" activeCellId="0" sqref="BA6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23" width="26.54"/>
    <col collapsed="false" customWidth="false" hidden="false" outlineLevel="0" max="18" min="2" style="1" width="11.53"/>
    <col collapsed="false" customWidth="true" hidden="false" outlineLevel="0" max="19" min="19" style="1" width="9.21"/>
    <col collapsed="false" customWidth="false" hidden="false" outlineLevel="0" max="38" min="20" style="1" width="11.53"/>
    <col collapsed="false" customWidth="true" hidden="false" outlineLevel="0" max="39" min="39" style="1" width="11.61"/>
    <col collapsed="false" customWidth="false" hidden="false" outlineLevel="0" max="40" min="40" style="1" width="11.53"/>
    <col collapsed="false" customWidth="true" hidden="false" outlineLevel="0" max="42" min="41" style="1" width="11.61"/>
    <col collapsed="false" customWidth="false" hidden="false" outlineLevel="0" max="52" min="43" style="1" width="11.53"/>
    <col collapsed="false" customWidth="true" hidden="false" outlineLevel="0" max="53" min="53" style="1" width="16.24"/>
    <col collapsed="false" customWidth="false" hidden="false" outlineLevel="0" max="16384" min="54" style="1" width="11.53"/>
  </cols>
  <sheetData>
    <row r="1" s="4" customFormat="true" ht="12.8" hidden="false" customHeight="true" outlineLevel="0" collapsed="false">
      <c r="A1" s="24" t="s">
        <v>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2" s="27" customFormat="true" ht="12.8" hidden="false" customHeight="true" outlineLevel="0" collapsed="false">
      <c r="A2" s="25" t="s">
        <v>63</v>
      </c>
      <c r="B2" s="4" t="s">
        <v>64</v>
      </c>
      <c r="C2" s="4" t="s">
        <v>65</v>
      </c>
      <c r="D2" s="4" t="s">
        <v>66</v>
      </c>
      <c r="E2" s="4" t="s">
        <v>67</v>
      </c>
      <c r="F2" s="4" t="s">
        <v>68</v>
      </c>
      <c r="G2" s="4" t="s">
        <v>69</v>
      </c>
      <c r="H2" s="4" t="s">
        <v>70</v>
      </c>
      <c r="I2" s="4" t="s">
        <v>71</v>
      </c>
      <c r="J2" s="4" t="s">
        <v>72</v>
      </c>
      <c r="K2" s="4" t="s">
        <v>73</v>
      </c>
      <c r="L2" s="4" t="s">
        <v>74</v>
      </c>
      <c r="M2" s="4" t="s">
        <v>75</v>
      </c>
      <c r="N2" s="26" t="s">
        <v>76</v>
      </c>
      <c r="O2" s="26" t="s">
        <v>77</v>
      </c>
      <c r="P2" s="26" t="s">
        <v>78</v>
      </c>
      <c r="Q2" s="26" t="s">
        <v>3</v>
      </c>
      <c r="R2" s="4" t="s">
        <v>7</v>
      </c>
      <c r="S2" s="4" t="s">
        <v>79</v>
      </c>
      <c r="T2" s="4" t="s">
        <v>80</v>
      </c>
      <c r="U2" s="4" t="s">
        <v>81</v>
      </c>
      <c r="V2" s="4"/>
      <c r="W2" s="4"/>
      <c r="X2" s="4"/>
      <c r="Y2" s="4"/>
      <c r="Z2" s="4"/>
      <c r="AA2" s="4" t="n">
        <v>2019</v>
      </c>
      <c r="AB2" s="4" t="n">
        <v>2020</v>
      </c>
      <c r="AC2" s="4" t="n">
        <f aca="false">AB2+1</f>
        <v>2021</v>
      </c>
      <c r="AD2" s="4" t="n">
        <f aca="false">AC2+1</f>
        <v>2022</v>
      </c>
      <c r="AE2" s="4" t="n">
        <f aca="false">AD2+1</f>
        <v>2023</v>
      </c>
      <c r="AF2" s="4" t="n">
        <f aca="false">AE2+1</f>
        <v>2024</v>
      </c>
      <c r="AG2" s="4" t="n">
        <f aca="false">AF2+1</f>
        <v>2025</v>
      </c>
      <c r="AH2" s="4" t="n">
        <f aca="false">AG2+1</f>
        <v>2026</v>
      </c>
      <c r="AI2" s="4" t="n">
        <f aca="false">AH2+1</f>
        <v>2027</v>
      </c>
      <c r="AJ2" s="4" t="n">
        <f aca="false">AI2+1</f>
        <v>2028</v>
      </c>
      <c r="AK2" s="4" t="n">
        <f aca="false">AJ2+1</f>
        <v>2029</v>
      </c>
      <c r="AL2" s="4" t="n">
        <f aca="false">AK2+1</f>
        <v>2030</v>
      </c>
      <c r="AM2" s="4" t="n">
        <f aca="false">AL2+1</f>
        <v>2031</v>
      </c>
      <c r="AN2" s="4" t="n">
        <f aca="false">AM2+1</f>
        <v>2032</v>
      </c>
      <c r="AO2" s="4" t="n">
        <f aca="false">AN2+1</f>
        <v>2033</v>
      </c>
      <c r="AP2" s="4" t="n">
        <f aca="false">AO2+1</f>
        <v>2034</v>
      </c>
      <c r="AQ2" s="4" t="n">
        <f aca="false">AP2+1</f>
        <v>2035</v>
      </c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</row>
    <row r="3" s="4" customFormat="true" ht="12.8" hidden="false" customHeight="true" outlineLevel="0" collapsed="false">
      <c r="A3" s="28" t="s">
        <v>82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 t="n">
        <f aca="false">AF3*0.85</f>
        <v>161500</v>
      </c>
      <c r="AF3" s="27" t="n">
        <v>190000</v>
      </c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</row>
    <row r="4" s="30" customFormat="true" ht="10.5" hidden="false" customHeight="true" outlineLevel="0" collapsed="false">
      <c r="A4" s="29"/>
      <c r="AB4" s="31"/>
      <c r="AC4" s="31"/>
      <c r="AD4" s="31"/>
      <c r="AE4" s="31"/>
      <c r="AF4" s="31" t="n">
        <f aca="false">+AF3/AE3-1</f>
        <v>0.176470588235294</v>
      </c>
      <c r="AG4" s="31"/>
    </row>
    <row r="5" customFormat="false" ht="12.8" hidden="false" customHeight="true" outlineLevel="0" collapsed="false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</row>
    <row r="6" customFormat="false" ht="12.8" hidden="false" customHeight="true" outlineLevel="0" collapsed="false">
      <c r="A6" s="23" t="s">
        <v>83</v>
      </c>
      <c r="B6" s="1" t="n">
        <v>422</v>
      </c>
      <c r="C6" s="1" t="n">
        <v>433</v>
      </c>
      <c r="D6" s="1" t="n">
        <v>456</v>
      </c>
      <c r="E6" s="1" t="n">
        <v>489</v>
      </c>
      <c r="F6" s="1" t="n">
        <v>515</v>
      </c>
      <c r="G6" s="1" t="n">
        <v>551</v>
      </c>
      <c r="H6" s="1" t="n">
        <v>574</v>
      </c>
      <c r="I6" s="1" t="n">
        <v>602</v>
      </c>
      <c r="J6" s="1" t="n">
        <v>615</v>
      </c>
      <c r="K6" s="1" t="n">
        <v>626</v>
      </c>
      <c r="L6" s="1" t="n">
        <v>640</v>
      </c>
      <c r="M6" s="1" t="n">
        <v>675</v>
      </c>
      <c r="N6" s="1" t="n">
        <v>678</v>
      </c>
      <c r="O6" s="1" t="n">
        <v>696</v>
      </c>
      <c r="P6" s="1" t="n">
        <v>713</v>
      </c>
      <c r="Q6" s="1" t="n">
        <v>751</v>
      </c>
      <c r="R6" s="1" t="n">
        <v>761</v>
      </c>
      <c r="S6" s="1" t="n">
        <v>777</v>
      </c>
      <c r="AA6" s="1" t="n">
        <v>271</v>
      </c>
      <c r="AB6" s="1" t="n">
        <v>345</v>
      </c>
      <c r="AC6" s="1" t="n">
        <v>406</v>
      </c>
      <c r="AD6" s="1" t="n">
        <v>489</v>
      </c>
      <c r="AE6" s="1" t="n">
        <v>602</v>
      </c>
      <c r="AF6" s="1" t="n">
        <v>675</v>
      </c>
      <c r="AG6" s="1" t="n">
        <v>751</v>
      </c>
      <c r="AH6" s="1" t="n">
        <v>759</v>
      </c>
    </row>
    <row r="7" s="31" customFormat="true" ht="10.5" hidden="false" customHeight="true" outlineLevel="0" collapsed="false">
      <c r="A7" s="29"/>
      <c r="F7" s="31" t="n">
        <f aca="false">+F6/B6-1</f>
        <v>0.220379146919431</v>
      </c>
      <c r="G7" s="31" t="n">
        <f aca="false">+G6/C6-1</f>
        <v>0.272517321016166</v>
      </c>
      <c r="H7" s="31" t="n">
        <f aca="false">+H6/D6-1</f>
        <v>0.258771929824561</v>
      </c>
      <c r="I7" s="31" t="n">
        <f aca="false">+I6/E6-1</f>
        <v>0.231083844580777</v>
      </c>
      <c r="J7" s="31" t="n">
        <f aca="false">+J6/F6-1</f>
        <v>0.194174757281553</v>
      </c>
      <c r="K7" s="31" t="n">
        <f aca="false">+K6/G6-1</f>
        <v>0.136116152450091</v>
      </c>
      <c r="L7" s="31" t="n">
        <f aca="false">+L6/H6-1</f>
        <v>0.114982578397212</v>
      </c>
      <c r="M7" s="31" t="n">
        <f aca="false">+M6/I6-1</f>
        <v>0.121262458471761</v>
      </c>
      <c r="N7" s="31" t="n">
        <f aca="false">+N6/J6-1</f>
        <v>0.102439024390244</v>
      </c>
      <c r="O7" s="31" t="n">
        <f aca="false">+O6/K6-1</f>
        <v>0.111821086261981</v>
      </c>
      <c r="P7" s="31" t="n">
        <f aca="false">+P6/L6-1</f>
        <v>0.1140625</v>
      </c>
      <c r="Q7" s="31" t="n">
        <f aca="false">+Q6/M6-1</f>
        <v>0.112592592592593</v>
      </c>
      <c r="R7" s="31" t="n">
        <f aca="false">+R6/N6-1</f>
        <v>0.122418879056047</v>
      </c>
      <c r="S7" s="31" t="n">
        <f aca="false">+S6/O6-1</f>
        <v>0.116379310344828</v>
      </c>
      <c r="AB7" s="31" t="n">
        <f aca="false">+AB6/AA6-1</f>
        <v>0.273062730627306</v>
      </c>
      <c r="AC7" s="31" t="n">
        <f aca="false">+AC6/AB6-1</f>
        <v>0.176811594202899</v>
      </c>
      <c r="AD7" s="31" t="n">
        <f aca="false">+AD6/AC6-1</f>
        <v>0.204433497536946</v>
      </c>
      <c r="AE7" s="31" t="n">
        <f aca="false">+AE6/AD6-1</f>
        <v>0.231083844580777</v>
      </c>
      <c r="AF7" s="31" t="n">
        <f aca="false">+AF6/AE6-1</f>
        <v>0.121262458471761</v>
      </c>
      <c r="AG7" s="31" t="n">
        <f aca="false">+AG6/AF6-1</f>
        <v>0.112592592592593</v>
      </c>
      <c r="AH7" s="31" t="n">
        <f aca="false">+AH6/AG6-1</f>
        <v>0.0106524633821572</v>
      </c>
    </row>
    <row r="8" s="32" customFormat="true" ht="12.8" hidden="false" customHeight="true" outlineLevel="0" collapsed="false">
      <c r="A8" s="23" t="s">
        <v>84</v>
      </c>
      <c r="B8" s="1" t="n">
        <v>182</v>
      </c>
      <c r="C8" s="1" t="n">
        <v>188</v>
      </c>
      <c r="D8" s="1" t="n">
        <v>195</v>
      </c>
      <c r="E8" s="1" t="n">
        <v>205</v>
      </c>
      <c r="F8" s="1" t="n">
        <v>210</v>
      </c>
      <c r="G8" s="1" t="n">
        <v>220</v>
      </c>
      <c r="H8" s="1" t="n">
        <v>226</v>
      </c>
      <c r="I8" s="1" t="n">
        <v>236</v>
      </c>
      <c r="J8" s="1" t="n">
        <v>239</v>
      </c>
      <c r="K8" s="1" t="n">
        <v>246</v>
      </c>
      <c r="L8" s="1" t="n">
        <v>252</v>
      </c>
      <c r="M8" s="1" t="n">
        <v>263</v>
      </c>
      <c r="N8" s="1" t="n">
        <v>268</v>
      </c>
      <c r="O8" s="1" t="n">
        <v>276</v>
      </c>
      <c r="P8" s="1" t="n">
        <v>281</v>
      </c>
      <c r="Q8" s="1" t="n">
        <v>290</v>
      </c>
      <c r="R8" s="1" t="n">
        <v>293</v>
      </c>
      <c r="S8" s="1" t="n">
        <v>300</v>
      </c>
      <c r="T8" s="1"/>
      <c r="U8" s="1"/>
      <c r="V8" s="1"/>
      <c r="W8" s="1"/>
      <c r="X8" s="1"/>
      <c r="Y8" s="1"/>
      <c r="Z8" s="1"/>
      <c r="AA8" s="1" t="n">
        <v>124</v>
      </c>
      <c r="AB8" s="1" t="n">
        <v>155</v>
      </c>
      <c r="AC8" s="1" t="n">
        <v>180</v>
      </c>
      <c r="AD8" s="1" t="n">
        <v>205</v>
      </c>
      <c r="AE8" s="1" t="n">
        <v>236</v>
      </c>
      <c r="AF8" s="1" t="n">
        <v>263</v>
      </c>
      <c r="AG8" s="1" t="n">
        <f aca="false">Q8</f>
        <v>290</v>
      </c>
      <c r="AH8" s="1" t="n">
        <f aca="false">+AG8+3</f>
        <v>293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</row>
    <row r="9" s="31" customFormat="true" ht="10.5" hidden="false" customHeight="true" outlineLevel="0" collapsed="false">
      <c r="A9" s="29"/>
      <c r="F9" s="31" t="n">
        <f aca="false">+F8/B8-1</f>
        <v>0.153846153846154</v>
      </c>
      <c r="G9" s="31" t="n">
        <f aca="false">+G8/C8-1</f>
        <v>0.170212765957447</v>
      </c>
      <c r="H9" s="31" t="n">
        <f aca="false">+H8/D8-1</f>
        <v>0.158974358974359</v>
      </c>
      <c r="I9" s="31" t="n">
        <f aca="false">+I8/E8-1</f>
        <v>0.151219512195122</v>
      </c>
      <c r="J9" s="31" t="n">
        <f aca="false">+J8/F8-1</f>
        <v>0.138095238095238</v>
      </c>
      <c r="K9" s="31" t="n">
        <f aca="false">+K8/G8-1</f>
        <v>0.118181818181818</v>
      </c>
      <c r="L9" s="31" t="n">
        <f aca="false">+L8/H8-1</f>
        <v>0.115044247787611</v>
      </c>
      <c r="M9" s="31" t="n">
        <f aca="false">+M8/I8-1</f>
        <v>0.114406779661017</v>
      </c>
      <c r="N9" s="31" t="n">
        <f aca="false">+N8/J8-1</f>
        <v>0.121338912133891</v>
      </c>
      <c r="O9" s="31" t="n">
        <f aca="false">+O8/K8-1</f>
        <v>0.121951219512195</v>
      </c>
      <c r="P9" s="31" t="n">
        <f aca="false">+P8/L8-1</f>
        <v>0.115079365079365</v>
      </c>
      <c r="Q9" s="31" t="n">
        <f aca="false">+Q8/M8-1</f>
        <v>0.102661596958175</v>
      </c>
      <c r="R9" s="31" t="n">
        <f aca="false">+R8/N8-1</f>
        <v>0.0932835820895523</v>
      </c>
      <c r="S9" s="31" t="n">
        <f aca="false">+S8/O8-1</f>
        <v>0.0869565217391304</v>
      </c>
      <c r="AB9" s="31" t="n">
        <f aca="false">+AB8/AA8-1</f>
        <v>0.25</v>
      </c>
      <c r="AC9" s="31" t="n">
        <f aca="false">+AC8/AB8-1</f>
        <v>0.161290322580645</v>
      </c>
      <c r="AD9" s="31" t="n">
        <f aca="false">+AD8/AC8-1</f>
        <v>0.138888888888889</v>
      </c>
      <c r="AE9" s="31" t="n">
        <f aca="false">+AE8/AD8-1</f>
        <v>0.151219512195122</v>
      </c>
      <c r="AF9" s="31" t="n">
        <f aca="false">+AF8/AE8-1</f>
        <v>0.114406779661017</v>
      </c>
      <c r="AG9" s="31" t="n">
        <f aca="false">+AG8/AF8-1</f>
        <v>0.102661596958175</v>
      </c>
      <c r="AH9" s="31" t="n">
        <f aca="false">+AH8/AG8-1</f>
        <v>0.0103448275862068</v>
      </c>
    </row>
    <row r="10" customFormat="false" ht="12.8" hidden="false" customHeight="true" outlineLevel="0" collapsed="false">
      <c r="A10" s="33" t="s">
        <v>85</v>
      </c>
      <c r="B10" s="32" t="n">
        <v>4.38</v>
      </c>
      <c r="C10" s="32" t="n">
        <v>4.54</v>
      </c>
      <c r="D10" s="32" t="n">
        <v>4.63</v>
      </c>
      <c r="E10" s="32" t="n">
        <v>4.55</v>
      </c>
      <c r="F10" s="32" t="n">
        <v>4.32</v>
      </c>
      <c r="G10" s="32" t="n">
        <v>4.27</v>
      </c>
      <c r="H10" s="32" t="n">
        <v>4.34</v>
      </c>
      <c r="I10" s="32" t="n">
        <v>4.6</v>
      </c>
      <c r="J10" s="32" t="n">
        <v>4.55</v>
      </c>
      <c r="K10" s="32" t="n">
        <v>4.62</v>
      </c>
      <c r="L10" s="32" t="n">
        <v>4.71</v>
      </c>
      <c r="M10" s="32" t="n">
        <v>4.85</v>
      </c>
      <c r="N10" s="32" t="n">
        <v>4.73</v>
      </c>
      <c r="O10" s="32" t="n">
        <v>4.57</v>
      </c>
      <c r="P10" s="32" t="n">
        <v>4.53</v>
      </c>
      <c r="Q10" s="32" t="n">
        <v>4.7</v>
      </c>
      <c r="R10" s="32" t="n">
        <v>4.76</v>
      </c>
      <c r="S10" s="32" t="n">
        <v>4.89</v>
      </c>
      <c r="T10" s="32"/>
      <c r="U10" s="32"/>
      <c r="V10" s="32"/>
      <c r="W10" s="32"/>
      <c r="X10" s="32"/>
      <c r="Y10" s="32"/>
      <c r="Z10" s="32"/>
      <c r="AA10" s="32" t="n">
        <v>4.72</v>
      </c>
      <c r="AB10" s="32" t="n">
        <v>4.31</v>
      </c>
      <c r="AC10" s="32" t="n">
        <v>4.29</v>
      </c>
      <c r="AD10" s="32" t="n">
        <v>4.52</v>
      </c>
      <c r="AE10" s="32" t="n">
        <v>4.39</v>
      </c>
      <c r="AF10" s="32" t="n">
        <v>4.69</v>
      </c>
      <c r="AG10" s="32" t="n">
        <f aca="false">Q10</f>
        <v>4.7</v>
      </c>
      <c r="AH10" s="32" t="n">
        <f aca="false">+AG10*1.06</f>
        <v>4.982</v>
      </c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</row>
    <row r="11" s="31" customFormat="true" ht="10.5" hidden="false" customHeight="true" outlineLevel="0" collapsed="false">
      <c r="A11" s="29"/>
      <c r="F11" s="31" t="n">
        <f aca="false">+F10/B10-1</f>
        <v>-0.0136986301369862</v>
      </c>
      <c r="G11" s="31" t="n">
        <f aca="false">+G10/C10-1</f>
        <v>-0.0594713656387667</v>
      </c>
      <c r="H11" s="31" t="n">
        <f aca="false">+H10/D10-1</f>
        <v>-0.062634989200864</v>
      </c>
      <c r="I11" s="31" t="n">
        <f aca="false">+I10/E10-1</f>
        <v>0.010989010989011</v>
      </c>
      <c r="J11" s="31" t="n">
        <f aca="false">+J10/F10-1</f>
        <v>0.0532407407407407</v>
      </c>
      <c r="K11" s="31" t="n">
        <f aca="false">+K10/G10-1</f>
        <v>0.0819672131147542</v>
      </c>
      <c r="L11" s="31" t="n">
        <f aca="false">+L10/H10-1</f>
        <v>0.0852534562211982</v>
      </c>
      <c r="M11" s="31" t="n">
        <f aca="false">+M10/I10-1</f>
        <v>0.0543478260869565</v>
      </c>
      <c r="N11" s="31" t="n">
        <f aca="false">+N10/J10-1</f>
        <v>0.0395604395604396</v>
      </c>
      <c r="O11" s="31" t="n">
        <f aca="false">+O10/K10-1</f>
        <v>-0.0108225108225107</v>
      </c>
      <c r="P11" s="31" t="n">
        <f aca="false">+P10/L10-1</f>
        <v>-0.0382165605095541</v>
      </c>
      <c r="Q11" s="31" t="n">
        <f aca="false">+Q10/M10-1</f>
        <v>-0.0309278350515463</v>
      </c>
      <c r="R11" s="31" t="n">
        <f aca="false">+R10/N10-1</f>
        <v>0.00634249471458759</v>
      </c>
      <c r="S11" s="31" t="n">
        <f aca="false">+S10/O10-1</f>
        <v>0.0700218818380742</v>
      </c>
      <c r="AB11" s="31" t="n">
        <f aca="false">+AB10/AA10-1</f>
        <v>-0.086864406779661</v>
      </c>
      <c r="AC11" s="31" t="n">
        <f aca="false">+AC10/AB10-1</f>
        <v>-0.00464037122969829</v>
      </c>
      <c r="AD11" s="31" t="n">
        <f aca="false">+AD10/AC10-1</f>
        <v>0.0536130536130535</v>
      </c>
      <c r="AE11" s="31" t="n">
        <f aca="false">+AE10/AD10-1</f>
        <v>-0.0287610619469026</v>
      </c>
      <c r="AF11" s="31" t="n">
        <f aca="false">+AF10/AE10-1</f>
        <v>0.0683371298405469</v>
      </c>
      <c r="AG11" s="31" t="n">
        <f aca="false">+AG10/AF10-1</f>
        <v>0.00213219616204685</v>
      </c>
      <c r="AH11" s="31" t="n">
        <f aca="false">+AH10/AG10-1</f>
        <v>0.0600000000000001</v>
      </c>
    </row>
    <row r="12" customFormat="false" ht="12.8" hidden="false" customHeight="true" outlineLevel="0" collapsed="false">
      <c r="A12" s="23" t="s">
        <v>86</v>
      </c>
      <c r="B12" s="1" t="n">
        <v>252</v>
      </c>
      <c r="C12" s="1" t="n">
        <v>256</v>
      </c>
      <c r="D12" s="1" t="n">
        <v>273</v>
      </c>
      <c r="E12" s="1" t="n">
        <v>295</v>
      </c>
      <c r="F12" s="1" t="n">
        <v>317</v>
      </c>
      <c r="G12" s="1" t="n">
        <v>343</v>
      </c>
      <c r="H12" s="1" t="n">
        <v>361</v>
      </c>
      <c r="I12" s="1" t="n">
        <v>379</v>
      </c>
      <c r="J12" s="1" t="n">
        <v>388</v>
      </c>
      <c r="K12" s="1" t="n">
        <v>393</v>
      </c>
      <c r="L12" s="1" t="n">
        <v>402</v>
      </c>
      <c r="M12" s="1" t="n">
        <v>425</v>
      </c>
      <c r="N12" s="1" t="n">
        <v>423</v>
      </c>
      <c r="O12" s="1" t="n">
        <v>433</v>
      </c>
      <c r="P12" s="1" t="n">
        <v>446</v>
      </c>
      <c r="Q12" s="1" t="n">
        <v>476</v>
      </c>
      <c r="R12" s="1" t="n">
        <v>483</v>
      </c>
      <c r="S12" s="1" t="n">
        <v>494</v>
      </c>
      <c r="AA12" s="1" t="n">
        <v>153</v>
      </c>
      <c r="AB12" s="1" t="n">
        <v>199</v>
      </c>
      <c r="AC12" s="1" t="n">
        <v>236</v>
      </c>
      <c r="AD12" s="1" t="n">
        <v>295</v>
      </c>
      <c r="AE12" s="1" t="n">
        <v>379</v>
      </c>
      <c r="AF12" s="1" t="n">
        <v>425</v>
      </c>
      <c r="AG12" s="1" t="n">
        <f aca="false">Q12</f>
        <v>476</v>
      </c>
    </row>
    <row r="13" s="31" customFormat="true" ht="10.5" hidden="false" customHeight="true" outlineLevel="0" collapsed="false">
      <c r="A13" s="29"/>
      <c r="F13" s="31" t="n">
        <f aca="false">+F12/B12-1</f>
        <v>0.257936507936508</v>
      </c>
      <c r="G13" s="31" t="n">
        <f aca="false">+G12/C12-1</f>
        <v>0.33984375</v>
      </c>
      <c r="H13" s="31" t="n">
        <f aca="false">+H12/D12-1</f>
        <v>0.322344322344322</v>
      </c>
      <c r="I13" s="31" t="n">
        <f aca="false">+I12/E12-1</f>
        <v>0.284745762711864</v>
      </c>
      <c r="J13" s="31" t="n">
        <f aca="false">+J12/F12-1</f>
        <v>0.22397476340694</v>
      </c>
      <c r="K13" s="31" t="n">
        <f aca="false">+K12/G12-1</f>
        <v>0.145772594752187</v>
      </c>
      <c r="L13" s="31" t="n">
        <f aca="false">+L12/H12-1</f>
        <v>0.113573407202216</v>
      </c>
      <c r="M13" s="31" t="n">
        <f aca="false">+M12/I12-1</f>
        <v>0.121372031662269</v>
      </c>
      <c r="N13" s="31" t="n">
        <f aca="false">+N12/J12-1</f>
        <v>0.0902061855670102</v>
      </c>
      <c r="O13" s="31" t="n">
        <f aca="false">+O12/K12-1</f>
        <v>0.101781170483461</v>
      </c>
      <c r="P13" s="31" t="n">
        <f aca="false">+P12/L12-1</f>
        <v>0.109452736318408</v>
      </c>
      <c r="Q13" s="31" t="n">
        <f aca="false">+Q12/M12-1</f>
        <v>0.12</v>
      </c>
      <c r="R13" s="31" t="n">
        <f aca="false">+R12/N12-1</f>
        <v>0.141843971631206</v>
      </c>
      <c r="S13" s="31" t="n">
        <f aca="false">+S12/O12-1</f>
        <v>0.140877598152425</v>
      </c>
      <c r="AB13" s="31" t="n">
        <f aca="false">+AB12/AA12-1</f>
        <v>0.300653594771242</v>
      </c>
      <c r="AC13" s="31" t="n">
        <f aca="false">+AC12/AB12-1</f>
        <v>0.185929648241206</v>
      </c>
      <c r="AD13" s="31" t="n">
        <f aca="false">+AD12/AC12-1</f>
        <v>0.25</v>
      </c>
      <c r="AE13" s="31" t="n">
        <f aca="false">+AE12/AD12-1</f>
        <v>0.284745762711864</v>
      </c>
      <c r="AF13" s="31" t="n">
        <f aca="false">+AF12/AE12-1</f>
        <v>0.121372031662269</v>
      </c>
      <c r="AG13" s="31" t="n">
        <f aca="false">+AG12/AF12-1</f>
        <v>0.12</v>
      </c>
    </row>
    <row r="14" s="35" customFormat="true" ht="12.8" hidden="false" customHeight="true" outlineLevel="0" collapsed="false">
      <c r="A14" s="2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</row>
    <row r="15" s="37" customFormat="true" ht="12.8" hidden="false" customHeight="true" outlineLevel="0" collapsed="false">
      <c r="A15" s="36" t="s">
        <v>87</v>
      </c>
      <c r="B15" s="35" t="n">
        <f aca="false">B8/B6</f>
        <v>0.431279620853081</v>
      </c>
      <c r="C15" s="35" t="n">
        <f aca="false">C8/C6</f>
        <v>0.434180138568129</v>
      </c>
      <c r="D15" s="35" t="n">
        <f aca="false">D8/D6</f>
        <v>0.427631578947368</v>
      </c>
      <c r="E15" s="35" t="n">
        <f aca="false">E8/E6</f>
        <v>0.419222903885481</v>
      </c>
      <c r="F15" s="35" t="n">
        <f aca="false">F8/F6</f>
        <v>0.407766990291262</v>
      </c>
      <c r="G15" s="35" t="n">
        <f aca="false">G8/G6</f>
        <v>0.399274047186933</v>
      </c>
      <c r="H15" s="35" t="n">
        <f aca="false">H8/H6</f>
        <v>0.393728222996516</v>
      </c>
      <c r="I15" s="35" t="n">
        <f aca="false">I8/I6</f>
        <v>0.39202657807309</v>
      </c>
      <c r="J15" s="35" t="n">
        <f aca="false">J8/J6</f>
        <v>0.388617886178862</v>
      </c>
      <c r="K15" s="35" t="n">
        <f aca="false">K8/K6</f>
        <v>0.39297124600639</v>
      </c>
      <c r="L15" s="35" t="n">
        <f aca="false">L8/L6</f>
        <v>0.39375</v>
      </c>
      <c r="M15" s="35" t="n">
        <f aca="false">M8/M6</f>
        <v>0.38962962962963</v>
      </c>
      <c r="N15" s="35" t="n">
        <f aca="false">N8/N6</f>
        <v>0.395280235988201</v>
      </c>
      <c r="O15" s="35" t="n">
        <f aca="false">O8/O6</f>
        <v>0.396551724137931</v>
      </c>
      <c r="P15" s="35" t="n">
        <f aca="false">P8/P6</f>
        <v>0.394109396914446</v>
      </c>
      <c r="Q15" s="35" t="n">
        <f aca="false">Q8/Q6</f>
        <v>0.386151797603196</v>
      </c>
      <c r="R15" s="35" t="n">
        <f aca="false">R8/R6</f>
        <v>0.385019710906702</v>
      </c>
      <c r="S15" s="35" t="n">
        <f aca="false">S8/S6</f>
        <v>0.386100386100386</v>
      </c>
      <c r="T15" s="35"/>
      <c r="U15" s="35"/>
      <c r="V15" s="35"/>
      <c r="W15" s="35"/>
      <c r="X15" s="35"/>
      <c r="Y15" s="35"/>
      <c r="Z15" s="35"/>
      <c r="AA15" s="35" t="n">
        <f aca="false">AA8/AA6</f>
        <v>0.457564575645757</v>
      </c>
      <c r="AB15" s="35" t="n">
        <f aca="false">AB8/AB6</f>
        <v>0.449275362318841</v>
      </c>
      <c r="AC15" s="35" t="n">
        <f aca="false">AC8/AC6</f>
        <v>0.443349753694581</v>
      </c>
      <c r="AD15" s="35" t="n">
        <f aca="false">AD8/AD6</f>
        <v>0.419222903885481</v>
      </c>
      <c r="AE15" s="35" t="n">
        <f aca="false">AE8/AE6</f>
        <v>0.39202657807309</v>
      </c>
      <c r="AF15" s="35" t="n">
        <f aca="false">AF8/AF6</f>
        <v>0.38962962962963</v>
      </c>
      <c r="AG15" s="35" t="n">
        <f aca="false">AG8/AG6</f>
        <v>0.386151797603196</v>
      </c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</row>
    <row r="16" s="31" customFormat="true" ht="10.5" hidden="false" customHeight="true" outlineLevel="0" collapsed="false">
      <c r="A16" s="29"/>
      <c r="F16" s="31" t="n">
        <f aca="false">+F15/B15-1</f>
        <v>-0.0545182972367452</v>
      </c>
      <c r="G16" s="31" t="n">
        <f aca="false">+G15/C15-1</f>
        <v>-0.0803954125960525</v>
      </c>
      <c r="H16" s="31" t="n">
        <f aca="false">+H15/D15-1</f>
        <v>-0.0792816939158385</v>
      </c>
      <c r="I16" s="31" t="n">
        <f aca="false">+I15/E15-1</f>
        <v>-0.0648731869378497</v>
      </c>
      <c r="J16" s="31" t="n">
        <f aca="false">+J15/F15-1</f>
        <v>-0.0469608981804096</v>
      </c>
      <c r="K16" s="31" t="n">
        <f aca="false">+K15/G15-1</f>
        <v>-0.0157856520476327</v>
      </c>
      <c r="L16" s="31" t="n">
        <f aca="false">+L15/H15-1</f>
        <v>5.53097345123987E-005</v>
      </c>
      <c r="M16" s="31" t="n">
        <f aca="false">+M15/I15-1</f>
        <v>-0.00611424984306319</v>
      </c>
      <c r="N16" s="31" t="n">
        <f aca="false">+N15/J15-1</f>
        <v>0.0171437034842823</v>
      </c>
      <c r="O16" s="31" t="n">
        <f aca="false">+O15/K15-1</f>
        <v>0.00911129800953114</v>
      </c>
      <c r="P16" s="31" t="n">
        <f aca="false">+P15/L15-1</f>
        <v>0.000912754068434385</v>
      </c>
      <c r="Q16" s="31" t="n">
        <f aca="false">+Q15/M15-1</f>
        <v>-0.00892599474464995</v>
      </c>
      <c r="R16" s="31" t="n">
        <f aca="false">+R15/N15-1</f>
        <v>-0.0259575970345385</v>
      </c>
      <c r="S16" s="31" t="n">
        <f aca="false">+S15/O15-1</f>
        <v>-0.0263555480946784</v>
      </c>
      <c r="AB16" s="31" t="n">
        <f aca="false">+AB15/AA15-1</f>
        <v>-0.0181159420289857</v>
      </c>
      <c r="AC16" s="31" t="n">
        <f aca="false">+AC15/AB15-1</f>
        <v>-0.013189257905611</v>
      </c>
      <c r="AD16" s="31" t="n">
        <f aca="false">+AD15/AC15-1</f>
        <v>-0.0544194501249701</v>
      </c>
      <c r="AE16" s="31" t="n">
        <f aca="false">+AE15/AD15-1</f>
        <v>-0.0648731869378497</v>
      </c>
      <c r="AF16" s="31" t="n">
        <f aca="false">+AF15/AE15-1</f>
        <v>-0.00611424984306319</v>
      </c>
      <c r="AG16" s="31" t="n">
        <f aca="false">+AG15/AF15-1</f>
        <v>-0.00892599474464995</v>
      </c>
    </row>
    <row r="17" s="37" customFormat="true" ht="12.8" hidden="false" customHeight="true" outlineLevel="0" collapsed="false">
      <c r="A17" s="38" t="s">
        <v>88</v>
      </c>
      <c r="B17" s="37" t="n">
        <f aca="false">B28/B6</f>
        <v>6.30568720379147</v>
      </c>
      <c r="C17" s="37" t="n">
        <f aca="false">C28/C6</f>
        <v>6.61431870669746</v>
      </c>
      <c r="D17" s="37" t="n">
        <f aca="false">D28/D6</f>
        <v>6.65789473684211</v>
      </c>
      <c r="E17" s="37" t="n">
        <f aca="false">E28/E6</f>
        <v>6.47443762781186</v>
      </c>
      <c r="F17" s="37" t="n">
        <f aca="false">F28/F6</f>
        <v>5.90706872839612</v>
      </c>
      <c r="G17" s="37" t="n">
        <f aca="false">G28/G6</f>
        <v>5.76607518714159</v>
      </c>
      <c r="H17" s="37" t="n">
        <f aca="false">H28/H6</f>
        <v>5.848602263034</v>
      </c>
      <c r="I17" s="37" t="n">
        <f aca="false">I28/I6</f>
        <v>6.09828360134358</v>
      </c>
      <c r="J17" s="37" t="n">
        <f aca="false">J28/J6</f>
        <v>5.91251517085757</v>
      </c>
      <c r="K17" s="37" t="n">
        <f aca="false">K28/K6</f>
        <v>6.0818026174349</v>
      </c>
      <c r="L17" s="37" t="n">
        <f aca="false">L28/L6</f>
        <v>6.23157538659794</v>
      </c>
      <c r="M17" s="37" t="n">
        <f aca="false">M28/M6</f>
        <v>6.28469447365347</v>
      </c>
      <c r="N17" s="37" t="n">
        <f aca="false">N28/N6</f>
        <v>6.18018447707119</v>
      </c>
      <c r="O17" s="37" t="n">
        <f aca="false">O28/O6</f>
        <v>6.02459764969798</v>
      </c>
      <c r="P17" s="37" t="n">
        <f aca="false">P28/P6</f>
        <v>5.99171210112218</v>
      </c>
      <c r="Q17" s="37" t="n">
        <f aca="false">Q28/Q6</f>
        <v>6.03340215744729</v>
      </c>
      <c r="R17" s="37" t="n">
        <f aca="false">R28/R6</f>
        <v>5.95676279142147</v>
      </c>
      <c r="S17" s="37" t="n">
        <f aca="false">S28/S6</f>
        <v>6.14800514800515</v>
      </c>
      <c r="AA17" s="37" t="n">
        <f aca="false">AA28/AA6</f>
        <v>24.9594095940959</v>
      </c>
      <c r="AB17" s="37" t="n">
        <f aca="false">AB28/AB6</f>
        <v>22.8410793124634</v>
      </c>
      <c r="AC17" s="37" t="n">
        <f aca="false">AC28/AC6</f>
        <v>23.8132652814648</v>
      </c>
      <c r="AD17" s="37" t="n">
        <f aca="false">AD28/AD6</f>
        <v>23.982028020711</v>
      </c>
      <c r="AE17" s="37" t="n">
        <f aca="false">AE28/AE6</f>
        <v>22.005196478684</v>
      </c>
      <c r="AF17" s="37" t="n">
        <f aca="false">AF28/AF6</f>
        <v>23.2195478445764</v>
      </c>
      <c r="AG17" s="37" t="n">
        <f aca="false">AG28/AG6</f>
        <v>22.8843059339844</v>
      </c>
    </row>
    <row r="18" s="31" customFormat="true" ht="10.5" hidden="false" customHeight="true" outlineLevel="0" collapsed="false">
      <c r="A18" s="29"/>
      <c r="F18" s="31" t="n">
        <f aca="false">+F17/B17-1</f>
        <v>-0.0632157071089204</v>
      </c>
      <c r="G18" s="31" t="n">
        <f aca="false">+G17/C17-1</f>
        <v>-0.12824352093844</v>
      </c>
      <c r="H18" s="31" t="n">
        <f aca="false">+H17/D17-1</f>
        <v>-0.121553810295288</v>
      </c>
      <c r="I18" s="31" t="n">
        <f aca="false">+I17/E17-1</f>
        <v>-0.0580983319466174</v>
      </c>
      <c r="J18" s="31" t="n">
        <f aca="false">+J17/F17-1</f>
        <v>0.000922021176978483</v>
      </c>
      <c r="K18" s="31" t="n">
        <f aca="false">+K17/G17-1</f>
        <v>0.0547560376939553</v>
      </c>
      <c r="L18" s="31" t="n">
        <f aca="false">+L17/H17-1</f>
        <v>0.0654811365759154</v>
      </c>
      <c r="M18" s="31" t="n">
        <f aca="false">+M17/I17-1</f>
        <v>0.0305677604545676</v>
      </c>
      <c r="N18" s="31" t="n">
        <f aca="false">+N17/J17-1</f>
        <v>0.0452716481021385</v>
      </c>
      <c r="O18" s="31" t="n">
        <f aca="false">+O17/K17-1</f>
        <v>-0.00940592310130617</v>
      </c>
      <c r="P18" s="31" t="n">
        <f aca="false">+P17/L17-1</f>
        <v>-0.0384915965217441</v>
      </c>
      <c r="Q18" s="31" t="n">
        <f aca="false">+Q17/M17-1</f>
        <v>-0.039984810281492</v>
      </c>
      <c r="R18" s="31" t="n">
        <f aca="false">+R17/N17-1</f>
        <v>-0.0361512971786877</v>
      </c>
      <c r="S18" s="31" t="n">
        <f aca="false">+S17/O17-1</f>
        <v>0.0204839402533967</v>
      </c>
      <c r="AB18" s="31" t="n">
        <f aca="false">+AB17/AA17-1</f>
        <v>-0.0848710092138413</v>
      </c>
      <c r="AC18" s="31" t="n">
        <f aca="false">+AC17/AB17-1</f>
        <v>0.0425630486065043</v>
      </c>
      <c r="AD18" s="31" t="n">
        <f aca="false">+AD17/AC17-1</f>
        <v>0.00708692139660228</v>
      </c>
      <c r="AE18" s="31" t="n">
        <f aca="false">+AE17/AD17-1</f>
        <v>-0.082429706958883</v>
      </c>
      <c r="AF18" s="31" t="n">
        <f aca="false">+AF17/AE17-1</f>
        <v>0.0551847545223538</v>
      </c>
      <c r="AG18" s="31" t="n">
        <f aca="false">+AG17/AF17-1</f>
        <v>-0.0144379172598849</v>
      </c>
    </row>
    <row r="19" s="37" customFormat="true" ht="12.8" hidden="false" customHeight="true" outlineLevel="0" collapsed="false">
      <c r="A19" s="38" t="s">
        <v>89</v>
      </c>
      <c r="B19" s="37" t="n">
        <f aca="false">B34/B6</f>
        <v>4.71563981042654</v>
      </c>
      <c r="C19" s="37" t="n">
        <f aca="false">C34/C6</f>
        <v>4.98845265588915</v>
      </c>
      <c r="D19" s="37" t="n">
        <f aca="false">D34/D6</f>
        <v>5.01315789473684</v>
      </c>
      <c r="E19" s="37" t="n">
        <f aca="false">E34/E6</f>
        <v>4.83640081799591</v>
      </c>
      <c r="F19" s="37" t="n">
        <f aca="false">F34/F6</f>
        <v>4.41941747572816</v>
      </c>
      <c r="G19" s="37" t="n">
        <f aca="false">G34/G6</f>
        <v>4.37568058076225</v>
      </c>
      <c r="H19" s="37" t="n">
        <f aca="false">H34/H6</f>
        <v>4.30662020905923</v>
      </c>
      <c r="I19" s="37" t="n">
        <f aca="false">I34/I6</f>
        <v>4.47009966777409</v>
      </c>
      <c r="J19" s="37" t="n">
        <f aca="false">J34/J6</f>
        <v>4.27967479674797</v>
      </c>
      <c r="K19" s="37" t="n">
        <f aca="false">K34/K6</f>
        <v>4.30511182108626</v>
      </c>
      <c r="L19" s="37" t="n">
        <f aca="false">L34/L6</f>
        <v>4.29375</v>
      </c>
      <c r="M19" s="37" t="n">
        <f aca="false">M34/M6</f>
        <v>4.25777777777778</v>
      </c>
      <c r="N19" s="37" t="n">
        <f aca="false">N34/N6</f>
        <v>4.22418879056047</v>
      </c>
      <c r="O19" s="37" t="n">
        <f aca="false">O34/O6</f>
        <v>4.12787356321839</v>
      </c>
      <c r="P19" s="37" t="n">
        <f aca="false">P34/P6</f>
        <v>4.09677419354839</v>
      </c>
      <c r="Q19" s="37" t="n">
        <f aca="false">Q34/Q6</f>
        <v>4.03728362183755</v>
      </c>
      <c r="R19" s="37" t="n">
        <f aca="false">R34/R6</f>
        <v>3.99211563731932</v>
      </c>
      <c r="S19" s="37" t="n">
        <f aca="false">S34/S6</f>
        <v>4.09395109395109</v>
      </c>
      <c r="AA19" s="37" t="n">
        <f aca="false">AA34/AA6</f>
        <v>18.6051660516605</v>
      </c>
      <c r="AB19" s="37" t="n">
        <f aca="false">AB34/AB6</f>
        <v>17</v>
      </c>
      <c r="AC19" s="37" t="n">
        <f aca="false">AC34/AC6</f>
        <v>17.4310344827586</v>
      </c>
      <c r="AD19" s="37" t="n">
        <f aca="false">AD34/AD6</f>
        <v>17.997955010225</v>
      </c>
      <c r="AE19" s="37" t="n">
        <f aca="false">AE34/AE6</f>
        <v>16.3621262458472</v>
      </c>
      <c r="AF19" s="37" t="n">
        <f aca="false">AF34/AF6</f>
        <v>16.2207407407407</v>
      </c>
      <c r="AG19" s="37" t="n">
        <f aca="false">AG34/AG6</f>
        <v>15.5659121171771</v>
      </c>
    </row>
    <row r="20" s="31" customFormat="true" ht="10.5" hidden="false" customHeight="true" outlineLevel="0" collapsed="false">
      <c r="A20" s="29"/>
      <c r="F20" s="31" t="n">
        <f aca="false">+F19/B19-1</f>
        <v>-0.0628169976094062</v>
      </c>
      <c r="G20" s="31" t="n">
        <f aca="false">+G19/C19-1</f>
        <v>-0.122838105800901</v>
      </c>
      <c r="H20" s="31" t="n">
        <f aca="false">+H19/D19-1</f>
        <v>-0.140936651211282</v>
      </c>
      <c r="I20" s="31" t="n">
        <f aca="false">+I19/E19-1</f>
        <v>-0.0757383773608762</v>
      </c>
      <c r="J20" s="31" t="n">
        <f aca="false">+J19/F19-1</f>
        <v>-0.0316201580293485</v>
      </c>
      <c r="K20" s="31" t="n">
        <f aca="false">+K19/G19-1</f>
        <v>-0.0161274933975403</v>
      </c>
      <c r="L20" s="31" t="n">
        <f aca="false">+L19/H19-1</f>
        <v>-0.0029884708737864</v>
      </c>
      <c r="M20" s="31" t="n">
        <f aca="false">+M19/I19-1</f>
        <v>-0.0474982451794045</v>
      </c>
      <c r="N20" s="31" t="n">
        <f aca="false">+N19/J19-1</f>
        <v>-0.0129650052451784</v>
      </c>
      <c r="O20" s="31" t="n">
        <f aca="false">+O19/K19-1</f>
        <v>-0.0411692576717208</v>
      </c>
      <c r="P20" s="31" t="n">
        <f aca="false">+P19/L19-1</f>
        <v>-0.0458750058693713</v>
      </c>
      <c r="Q20" s="31" t="n">
        <f aca="false">+Q19/M19-1</f>
        <v>-0.0517862057270891</v>
      </c>
      <c r="R20" s="31" t="n">
        <f aca="false">+R19/N19-1</f>
        <v>-0.0549391054111394</v>
      </c>
      <c r="S20" s="31" t="n">
        <f aca="false">+S19/O19-1</f>
        <v>-0.00821790414550694</v>
      </c>
      <c r="AB20" s="31" t="n">
        <f aca="false">+AB19/AA19-1</f>
        <v>-0.086275287584292</v>
      </c>
      <c r="AC20" s="31" t="n">
        <f aca="false">+AC19/AB19-1</f>
        <v>0.0253549695740365</v>
      </c>
      <c r="AD20" s="31" t="n">
        <f aca="false">+AD19/AC19-1</f>
        <v>0.032523630655833</v>
      </c>
      <c r="AE20" s="31" t="n">
        <f aca="false">+AE19/AD19-1</f>
        <v>-0.0908897018271482</v>
      </c>
      <c r="AF20" s="31" t="n">
        <f aca="false">+AF19/AE19-1</f>
        <v>-0.00864102274863687</v>
      </c>
      <c r="AG20" s="31" t="n">
        <f aca="false">+AG19/AF19-1</f>
        <v>-0.0403698347707973</v>
      </c>
    </row>
    <row r="21" customFormat="false" ht="12.8" hidden="false" customHeight="true" outlineLevel="0" collapsed="false">
      <c r="A21" s="38" t="s">
        <v>90</v>
      </c>
      <c r="B21" s="37" t="n">
        <f aca="false">B17-B19</f>
        <v>1.59004739336493</v>
      </c>
      <c r="C21" s="37" t="n">
        <f aca="false">C17-C19</f>
        <v>1.62586605080831</v>
      </c>
      <c r="D21" s="37" t="n">
        <f aca="false">D17-D19</f>
        <v>1.64473684210527</v>
      </c>
      <c r="E21" s="37" t="n">
        <f aca="false">E17-E19</f>
        <v>1.63803680981595</v>
      </c>
      <c r="F21" s="37" t="n">
        <f aca="false">F17-F19</f>
        <v>1.48765125266796</v>
      </c>
      <c r="G21" s="37" t="n">
        <f aca="false">G17-G19</f>
        <v>1.39039460637934</v>
      </c>
      <c r="H21" s="37" t="n">
        <f aca="false">H17-H19</f>
        <v>1.54198205397477</v>
      </c>
      <c r="I21" s="37" t="n">
        <f aca="false">I17-I19</f>
        <v>1.62818393356949</v>
      </c>
      <c r="J21" s="37" t="n">
        <f aca="false">J17-J19</f>
        <v>1.6328403741096</v>
      </c>
      <c r="K21" s="37" t="n">
        <f aca="false">K17-K19</f>
        <v>1.77669079634864</v>
      </c>
      <c r="L21" s="37" t="n">
        <f aca="false">L17-L19</f>
        <v>1.93782538659794</v>
      </c>
      <c r="M21" s="37" t="n">
        <f aca="false">M17-M19</f>
        <v>2.02691669587569</v>
      </c>
      <c r="N21" s="37" t="n">
        <f aca="false">N17-N19</f>
        <v>1.95599568651072</v>
      </c>
      <c r="O21" s="37" t="n">
        <f aca="false">O17-O19</f>
        <v>1.89672408647959</v>
      </c>
      <c r="P21" s="37" t="n">
        <f aca="false">P17-P19</f>
        <v>1.89493790757379</v>
      </c>
      <c r="Q21" s="37" t="n">
        <f aca="false">Q17-Q19</f>
        <v>1.99611853560974</v>
      </c>
      <c r="R21" s="37" t="n">
        <f aca="false">R17-R19</f>
        <v>1.96464715410215</v>
      </c>
      <c r="S21" s="37" t="n">
        <f aca="false">S17-S19</f>
        <v>2.05405405405405</v>
      </c>
      <c r="T21" s="37"/>
      <c r="U21" s="37"/>
      <c r="V21" s="37"/>
      <c r="W21" s="37"/>
      <c r="X21" s="37"/>
      <c r="Y21" s="37"/>
      <c r="Z21" s="37"/>
      <c r="AA21" s="37" t="n">
        <f aca="false">AA17-AA19</f>
        <v>6.35424354243538</v>
      </c>
      <c r="AB21" s="37" t="n">
        <f aca="false">AB17-AB19</f>
        <v>5.8410793124634</v>
      </c>
      <c r="AC21" s="37" t="n">
        <f aca="false">AC17-AC19</f>
        <v>6.38223079870618</v>
      </c>
      <c r="AD21" s="37" t="n">
        <f aca="false">AD17-AD19</f>
        <v>5.98407301048605</v>
      </c>
      <c r="AE21" s="37" t="n">
        <f aca="false">AE17-AE19</f>
        <v>5.64307023283682</v>
      </c>
      <c r="AF21" s="37" t="n">
        <f aca="false">AF17-AF19</f>
        <v>6.99880710383566</v>
      </c>
      <c r="AG21" s="37" t="n">
        <f aca="false">AG17-AG19</f>
        <v>7.3183938168073</v>
      </c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</row>
    <row r="22" s="31" customFormat="true" ht="10.5" hidden="false" customHeight="true" outlineLevel="0" collapsed="false">
      <c r="A22" s="29"/>
      <c r="F22" s="31" t="n">
        <f aca="false">+F21/B21-1</f>
        <v>-0.0643981689629198</v>
      </c>
      <c r="G22" s="31" t="n">
        <f aca="false">+G21/C21-1</f>
        <v>-0.144828317383162</v>
      </c>
      <c r="H22" s="31" t="n">
        <f aca="false">+H21/D21-1</f>
        <v>-0.0624749111833441</v>
      </c>
      <c r="I22" s="31" t="n">
        <f aca="false">+I21/E21-1</f>
        <v>-0.00601505179090778</v>
      </c>
      <c r="J22" s="31" t="n">
        <f aca="false">+J21/F21-1</f>
        <v>0.0975962082384936</v>
      </c>
      <c r="K22" s="31" t="n">
        <f aca="false">+K21/G21-1</f>
        <v>0.277832054437577</v>
      </c>
      <c r="L22" s="31" t="n">
        <f aca="false">+L21/H21-1</f>
        <v>0.256710726044319</v>
      </c>
      <c r="M22" s="31" t="n">
        <f aca="false">+M21/I21-1</f>
        <v>0.244894175704123</v>
      </c>
      <c r="N22" s="31" t="n">
        <f aca="false">+N21/J21-1</f>
        <v>0.19790992281002</v>
      </c>
      <c r="O22" s="31" t="n">
        <f aca="false">+O21/K21-1</f>
        <v>0.0675600337310447</v>
      </c>
      <c r="P22" s="31" t="n">
        <f aca="false">+P21/L21-1</f>
        <v>-0.0221317562050524</v>
      </c>
      <c r="Q22" s="31" t="n">
        <f aca="false">+Q21/M21-1</f>
        <v>-0.0151945861063849</v>
      </c>
      <c r="R22" s="31" t="n">
        <f aca="false">+R21/N21-1</f>
        <v>0.00442305044489566</v>
      </c>
      <c r="S22" s="31" t="n">
        <f aca="false">+S21/O21-1</f>
        <v>0.0829482625838707</v>
      </c>
      <c r="AB22" s="31" t="n">
        <f aca="false">+AB21/AA21-1</f>
        <v>-0.0807592951930358</v>
      </c>
      <c r="AC22" s="31" t="n">
        <f aca="false">+AC21/AB21-1</f>
        <v>0.092645803505544</v>
      </c>
      <c r="AD22" s="31" t="n">
        <f aca="false">+AD21/AC21-1</f>
        <v>-0.0623853634846373</v>
      </c>
      <c r="AE22" s="31" t="n">
        <f aca="false">+AE21/AD21-1</f>
        <v>-0.0569850630250798</v>
      </c>
      <c r="AF22" s="31" t="n">
        <f aca="false">+AF21/AE21-1</f>
        <v>0.24024809457622</v>
      </c>
      <c r="AG22" s="31" t="n">
        <f aca="false">+AG21/AF21-1</f>
        <v>0.0456630263172271</v>
      </c>
    </row>
    <row r="23" s="3" customFormat="true" ht="12.8" hidden="false" customHeight="true" outlineLevel="0" collapsed="false">
      <c r="A23" s="23"/>
      <c r="B23" s="1"/>
      <c r="C23" s="1"/>
      <c r="D23" s="1"/>
      <c r="E23" s="1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</row>
    <row r="24" s="40" customFormat="true" ht="12.8" hidden="false" customHeight="true" outlineLevel="0" collapsed="false">
      <c r="A24" s="39" t="s">
        <v>44</v>
      </c>
      <c r="B24" s="40" t="n">
        <v>2379</v>
      </c>
      <c r="C24" s="40" t="n">
        <v>2504</v>
      </c>
      <c r="D24" s="40" t="n">
        <v>2651</v>
      </c>
      <c r="E24" s="40" t="n">
        <f aca="false">AD24-D24-C24-B24</f>
        <v>2717</v>
      </c>
      <c r="F24" s="40" t="n">
        <v>2713</v>
      </c>
      <c r="G24" s="40" t="n">
        <v>2773</v>
      </c>
      <c r="H24" s="40" t="n">
        <v>2910</v>
      </c>
      <c r="I24" s="40" t="n">
        <v>3170</v>
      </c>
      <c r="J24" s="40" t="n">
        <v>3247</v>
      </c>
      <c r="K24" s="40" t="n">
        <v>3351</v>
      </c>
      <c r="L24" s="40" t="n">
        <v>3516</v>
      </c>
      <c r="M24" s="40" t="n">
        <v>3705</v>
      </c>
      <c r="N24" s="40" t="n">
        <v>3783</v>
      </c>
      <c r="O24" s="40" t="n">
        <v>3753</v>
      </c>
      <c r="P24" s="40" t="n">
        <v>3835</v>
      </c>
      <c r="Q24" s="40" t="n">
        <v>4020</v>
      </c>
      <c r="R24" s="40" t="n">
        <v>4148</v>
      </c>
      <c r="AA24" s="40" t="n">
        <v>6086</v>
      </c>
      <c r="AB24" s="40" t="n">
        <v>7135</v>
      </c>
      <c r="AC24" s="40" t="n">
        <v>8460</v>
      </c>
      <c r="AD24" s="40" t="n">
        <v>10251</v>
      </c>
      <c r="AE24" s="40" t="n">
        <v>11566</v>
      </c>
      <c r="AF24" s="40" t="n">
        <v>13819</v>
      </c>
      <c r="AG24" s="40" t="n">
        <f aca="false">SUM(N24:Q24)</f>
        <v>15391</v>
      </c>
    </row>
    <row r="25" s="31" customFormat="true" ht="10.5" hidden="false" customHeight="true" outlineLevel="0" collapsed="false">
      <c r="A25" s="29"/>
      <c r="F25" s="31" t="n">
        <f aca="false">+F24/B24-1</f>
        <v>0.140395124001681</v>
      </c>
      <c r="G25" s="31" t="n">
        <f aca="false">+G24/C24-1</f>
        <v>0.107428115015974</v>
      </c>
      <c r="H25" s="31" t="n">
        <f aca="false">+H24/D24-1</f>
        <v>0.0976989815164089</v>
      </c>
      <c r="I25" s="31" t="n">
        <f aca="false">+I24/E24-1</f>
        <v>0.166728008833272</v>
      </c>
      <c r="J25" s="31" t="n">
        <f aca="false">+J24/F24-1</f>
        <v>0.196830077405087</v>
      </c>
      <c r="K25" s="31" t="n">
        <f aca="false">+K24/G24-1</f>
        <v>0.2084385142445</v>
      </c>
      <c r="L25" s="31" t="n">
        <f aca="false">+L24/H24-1</f>
        <v>0.208247422680412</v>
      </c>
      <c r="M25" s="31" t="n">
        <f aca="false">+M24/I24-1</f>
        <v>0.168769716088328</v>
      </c>
      <c r="N25" s="31" t="n">
        <f aca="false">+N24/J24-1</f>
        <v>0.165075454265476</v>
      </c>
      <c r="O25" s="31" t="n">
        <f aca="false">+O24/K24-1</f>
        <v>0.119964189794091</v>
      </c>
      <c r="P25" s="31" t="n">
        <f aca="false">+P24/L24-1</f>
        <v>0.0907281001137656</v>
      </c>
      <c r="Q25" s="31" t="n">
        <f aca="false">+Q24/M24-1</f>
        <v>0.0850202429149798</v>
      </c>
      <c r="R25" s="31" t="n">
        <f aca="false">+R24/N24-1</f>
        <v>0.0964842717420038</v>
      </c>
      <c r="S25" s="31" t="n">
        <f aca="false">+S24/O24-1</f>
        <v>-1</v>
      </c>
      <c r="AB25" s="31" t="n">
        <f aca="false">+AB24/AA24-1</f>
        <v>0.172362799868551</v>
      </c>
      <c r="AC25" s="31" t="n">
        <f aca="false">+AC24/AB24-1</f>
        <v>0.185704274702172</v>
      </c>
      <c r="AD25" s="31" t="n">
        <f aca="false">+AD24/AC24-1</f>
        <v>0.211702127659575</v>
      </c>
      <c r="AE25" s="31" t="n">
        <f aca="false">+AE24/AD24-1</f>
        <v>0.128280167788508</v>
      </c>
      <c r="AF25" s="31" t="n">
        <f aca="false">+AF24/AE24-1</f>
        <v>0.194795089054124</v>
      </c>
      <c r="AG25" s="31" t="n">
        <f aca="false">+AG24/AF24-1</f>
        <v>0.1137564223171</v>
      </c>
    </row>
    <row r="26" s="41" customFormat="true" ht="12.8" hidden="false" customHeight="true" outlineLevel="0" collapsed="false">
      <c r="A26" s="39" t="s">
        <v>91</v>
      </c>
      <c r="B26" s="40" t="n">
        <v>282</v>
      </c>
      <c r="C26" s="40" t="n">
        <v>360</v>
      </c>
      <c r="D26" s="40" t="n">
        <v>385</v>
      </c>
      <c r="E26" s="40" t="n">
        <f aca="false">AD26-D26-C26-B26</f>
        <v>449</v>
      </c>
      <c r="F26" s="40" t="n">
        <v>329</v>
      </c>
      <c r="G26" s="40" t="n">
        <v>404</v>
      </c>
      <c r="H26" s="40" t="n">
        <v>447</v>
      </c>
      <c r="I26" s="40" t="n">
        <v>501</v>
      </c>
      <c r="J26" s="40" t="n">
        <v>389</v>
      </c>
      <c r="K26" s="40" t="n">
        <v>456</v>
      </c>
      <c r="L26" s="40" t="n">
        <v>472</v>
      </c>
      <c r="M26" s="40" t="n">
        <v>537</v>
      </c>
      <c r="N26" s="40" t="n">
        <v>407</v>
      </c>
      <c r="O26" s="40" t="n">
        <v>440</v>
      </c>
      <c r="P26" s="40" t="n">
        <v>437</v>
      </c>
      <c r="Q26" s="40" t="n">
        <v>511</v>
      </c>
      <c r="R26" s="40" t="n">
        <v>385</v>
      </c>
      <c r="S26" s="40"/>
      <c r="T26" s="40"/>
      <c r="U26" s="40"/>
      <c r="V26" s="40"/>
      <c r="W26" s="40"/>
      <c r="X26" s="40"/>
      <c r="Y26" s="40"/>
      <c r="Z26" s="40"/>
      <c r="AA26" s="40" t="n">
        <v>678</v>
      </c>
      <c r="AB26" s="40" t="n">
        <v>745</v>
      </c>
      <c r="AC26" s="40" t="n">
        <v>1208</v>
      </c>
      <c r="AD26" s="40" t="n">
        <v>1476</v>
      </c>
      <c r="AE26" s="40" t="n">
        <v>1681</v>
      </c>
      <c r="AF26" s="40" t="n">
        <v>1854</v>
      </c>
      <c r="AG26" s="40" t="n">
        <f aca="false">SUM(N26:Q26)</f>
        <v>1795</v>
      </c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</row>
    <row r="27" s="42" customFormat="true" ht="10.5" hidden="false" customHeight="true" outlineLevel="0" collapsed="false">
      <c r="A27" s="29"/>
      <c r="B27" s="31"/>
      <c r="C27" s="31"/>
      <c r="D27" s="31"/>
      <c r="E27" s="31"/>
      <c r="F27" s="31" t="n">
        <f aca="false">+F26/B26-1</f>
        <v>0.166666666666667</v>
      </c>
      <c r="G27" s="31" t="n">
        <f aca="false">+G26/C26-1</f>
        <v>0.122222222222222</v>
      </c>
      <c r="H27" s="31" t="n">
        <f aca="false">+H26/D26-1</f>
        <v>0.161038961038961</v>
      </c>
      <c r="I27" s="31" t="n">
        <f aca="false">+I26/E26-1</f>
        <v>0.115812917594655</v>
      </c>
      <c r="J27" s="31" t="n">
        <f aca="false">+J26/F26-1</f>
        <v>0.182370820668693</v>
      </c>
      <c r="K27" s="31" t="n">
        <f aca="false">+K26/G26-1</f>
        <v>0.128712871287129</v>
      </c>
      <c r="L27" s="31" t="n">
        <f aca="false">+L26/H26-1</f>
        <v>0.0559284116331096</v>
      </c>
      <c r="M27" s="31" t="n">
        <f aca="false">+M26/I26-1</f>
        <v>0.0718562874251496</v>
      </c>
      <c r="N27" s="31" t="n">
        <f aca="false">+N26/J26-1</f>
        <v>0.0462724935732648</v>
      </c>
      <c r="O27" s="31" t="n">
        <f aca="false">+O26/K26-1</f>
        <v>-0.0350877192982456</v>
      </c>
      <c r="P27" s="31" t="n">
        <f aca="false">+P26/L26-1</f>
        <v>-0.0741525423728814</v>
      </c>
      <c r="Q27" s="31" t="n">
        <f aca="false">+Q26/M26-1</f>
        <v>-0.0484171322160148</v>
      </c>
      <c r="R27" s="31" t="n">
        <f aca="false">+R26/N26-1</f>
        <v>-0.0540540540540541</v>
      </c>
      <c r="S27" s="31" t="n">
        <f aca="false">+S26/O26-1</f>
        <v>-1</v>
      </c>
      <c r="T27" s="31"/>
      <c r="U27" s="31"/>
      <c r="V27" s="31"/>
      <c r="W27" s="31"/>
      <c r="X27" s="31"/>
      <c r="Y27" s="31"/>
      <c r="Z27" s="31"/>
      <c r="AA27" s="31"/>
      <c r="AB27" s="31" t="n">
        <f aca="false">+AB26/AA26-1</f>
        <v>0.09882005899705</v>
      </c>
      <c r="AC27" s="31" t="n">
        <f aca="false">+AC26/AB26-1</f>
        <v>0.621476510067114</v>
      </c>
      <c r="AD27" s="31" t="n">
        <f aca="false">+AD26/AC26-1</f>
        <v>0.221854304635762</v>
      </c>
      <c r="AE27" s="31" t="n">
        <f aca="false">+AE26/AD26-1</f>
        <v>0.138888888888889</v>
      </c>
      <c r="AF27" s="31" t="n">
        <f aca="false">+AF26/AE26-1</f>
        <v>0.10291493158834</v>
      </c>
      <c r="AG27" s="31" t="n">
        <f aca="false">+AG26/AF26-1</f>
        <v>-0.0318230852211435</v>
      </c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</row>
    <row r="28" s="40" customFormat="true" ht="12.8" hidden="false" customHeight="true" outlineLevel="0" collapsed="false">
      <c r="A28" s="43" t="s">
        <v>92</v>
      </c>
      <c r="B28" s="41" t="n">
        <f aca="false">SUM(B24:B26)</f>
        <v>2661</v>
      </c>
      <c r="C28" s="41" t="n">
        <f aca="false">SUM(C24:C26)</f>
        <v>2864</v>
      </c>
      <c r="D28" s="41" t="n">
        <f aca="false">SUM(D24:D26)</f>
        <v>3036</v>
      </c>
      <c r="E28" s="41" t="n">
        <v>3166</v>
      </c>
      <c r="F28" s="41" t="n">
        <f aca="false">SUM(F24:F26)</f>
        <v>3042.140395124</v>
      </c>
      <c r="G28" s="41" t="n">
        <f aca="false">SUM(G24:G26)</f>
        <v>3177.10742811502</v>
      </c>
      <c r="H28" s="41" t="n">
        <f aca="false">SUM(H24:H26)</f>
        <v>3357.09769898152</v>
      </c>
      <c r="I28" s="41" t="n">
        <f aca="false">SUM(I24:I26)</f>
        <v>3671.16672800883</v>
      </c>
      <c r="J28" s="41" t="n">
        <f aca="false">SUM(J24:J26)</f>
        <v>3636.19683007741</v>
      </c>
      <c r="K28" s="41" t="n">
        <f aca="false">SUM(K24:K26)</f>
        <v>3807.20843851424</v>
      </c>
      <c r="L28" s="41" t="n">
        <f aca="false">SUM(L24:L26)</f>
        <v>3988.20824742268</v>
      </c>
      <c r="M28" s="41" t="n">
        <f aca="false">SUM(M24:M26)</f>
        <v>4242.16876971609</v>
      </c>
      <c r="N28" s="41" t="n">
        <f aca="false">SUM(N24:N26)</f>
        <v>4190.16507545427</v>
      </c>
      <c r="O28" s="41" t="n">
        <f aca="false">SUM(O24:O26)</f>
        <v>4193.11996418979</v>
      </c>
      <c r="P28" s="41" t="n">
        <f aca="false">SUM(P24:P26)</f>
        <v>4272.09072810011</v>
      </c>
      <c r="Q28" s="41" t="n">
        <f aca="false">SUM(Q24:Q26)</f>
        <v>4531.08502024292</v>
      </c>
      <c r="R28" s="41" t="n">
        <f aca="false">SUM(R24:R26)</f>
        <v>4533.09648427174</v>
      </c>
      <c r="S28" s="41" t="n">
        <v>4777</v>
      </c>
      <c r="T28" s="41" t="n">
        <f aca="false">+P28*1.145</f>
        <v>4891.54388367463</v>
      </c>
      <c r="U28" s="41" t="n">
        <f aca="false">+Q28*1.145</f>
        <v>5188.09234817814</v>
      </c>
      <c r="V28" s="41"/>
      <c r="W28" s="41"/>
      <c r="X28" s="41"/>
      <c r="Y28" s="41"/>
      <c r="Z28" s="41"/>
      <c r="AA28" s="41" t="n">
        <f aca="false">SUM(AA24:AA26)</f>
        <v>6764</v>
      </c>
      <c r="AB28" s="41" t="n">
        <f aca="false">SUM(AB24:AB26)</f>
        <v>7880.17236279987</v>
      </c>
      <c r="AC28" s="41" t="n">
        <f aca="false">SUM(AC24:AC26)</f>
        <v>9668.1857042747</v>
      </c>
      <c r="AD28" s="41" t="n">
        <f aca="false">SUM(AD24:AD26)</f>
        <v>11727.2117021277</v>
      </c>
      <c r="AE28" s="41" t="n">
        <f aca="false">SUM(AE24:AE26)</f>
        <v>13247.1282801678</v>
      </c>
      <c r="AF28" s="41" t="n">
        <f aca="false">SUM(AF24:AF26)</f>
        <v>15673.1947950891</v>
      </c>
      <c r="AG28" s="41" t="n">
        <f aca="false">SUM(AG24:AG26)</f>
        <v>17186.1137564223</v>
      </c>
      <c r="AH28" s="41" t="n">
        <f aca="false">AG28*1.15</f>
        <v>19764.0308198856</v>
      </c>
      <c r="AI28" s="41" t="n">
        <f aca="false">AH28*1.15</f>
        <v>22728.6354428685</v>
      </c>
      <c r="AJ28" s="41" t="n">
        <f aca="false">AI28*1.15</f>
        <v>26137.9307592988</v>
      </c>
      <c r="AK28" s="41" t="n">
        <f aca="false">AJ28*1.15</f>
        <v>30058.6203731936</v>
      </c>
      <c r="AL28" s="41" t="n">
        <f aca="false">AK28*1.15</f>
        <v>34567.4134291726</v>
      </c>
      <c r="AM28" s="41" t="n">
        <f aca="false">AL28*1.15</f>
        <v>39752.5254435485</v>
      </c>
      <c r="AN28" s="41" t="n">
        <f aca="false">AM28*1.15</f>
        <v>45715.4042600808</v>
      </c>
      <c r="AO28" s="41" t="n">
        <f aca="false">AN28*1.15</f>
        <v>52572.7148990929</v>
      </c>
      <c r="AP28" s="41" t="n">
        <f aca="false">AO28*1.15</f>
        <v>60458.6221339568</v>
      </c>
      <c r="AQ28" s="41" t="n">
        <f aca="false">AP28*1.15</f>
        <v>69527.4154540503</v>
      </c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</row>
    <row r="29" s="31" customFormat="true" ht="10.5" hidden="false" customHeight="true" outlineLevel="0" collapsed="false">
      <c r="A29" s="29"/>
      <c r="F29" s="31" t="n">
        <f aca="false">+F28/B28-1</f>
        <v>0.143232016205938</v>
      </c>
      <c r="G29" s="31" t="n">
        <f aca="false">+G28/C28-1</f>
        <v>0.109325219313902</v>
      </c>
      <c r="H29" s="31" t="n">
        <f aca="false">+H28/D28-1</f>
        <v>0.105763405461633</v>
      </c>
      <c r="I29" s="31" t="n">
        <f aca="false">+I28/E28-1</f>
        <v>0.159559926724205</v>
      </c>
      <c r="J29" s="31" t="n">
        <f aca="false">+J28/F28-1</f>
        <v>0.19527581169678</v>
      </c>
      <c r="K29" s="31" t="n">
        <f aca="false">+K28/G28-1</f>
        <v>0.198325371318359</v>
      </c>
      <c r="L29" s="31" t="n">
        <f aca="false">+L28/H28-1</f>
        <v>0.187992904893007</v>
      </c>
      <c r="M29" s="31" t="n">
        <f aca="false">+M28/I28-1</f>
        <v>0.155536940709025</v>
      </c>
      <c r="N29" s="31" t="n">
        <f aca="false">+N28/J28-1</f>
        <v>0.152348255956504</v>
      </c>
      <c r="O29" s="31" t="n">
        <f aca="false">+O28/K28-1</f>
        <v>0.10136338262219</v>
      </c>
      <c r="P29" s="31" t="n">
        <f aca="false">+P28/L28-1</f>
        <v>0.0711804557499944</v>
      </c>
      <c r="Q29" s="31" t="n">
        <f aca="false">+Q28/M28-1</f>
        <v>0.0681057888571846</v>
      </c>
      <c r="R29" s="31" t="n">
        <f aca="false">+R28/N28-1</f>
        <v>0.0818419806003226</v>
      </c>
      <c r="S29" s="31" t="n">
        <f aca="false">+S28/O28-1</f>
        <v>0.139247157438061</v>
      </c>
      <c r="T29" s="31" t="n">
        <f aca="false">+T28/P28-1</f>
        <v>0.145</v>
      </c>
      <c r="U29" s="31" t="n">
        <f aca="false">+U28/Q28-1</f>
        <v>0.145</v>
      </c>
      <c r="AB29" s="31" t="n">
        <f aca="false">+AB28/AA28-1</f>
        <v>0.165016611886438</v>
      </c>
      <c r="AC29" s="31" t="n">
        <f aca="false">+AC28/AB28-1</f>
        <v>0.226900283287654</v>
      </c>
      <c r="AD29" s="31" t="n">
        <f aca="false">+AD28/AC28-1</f>
        <v>0.212969223061425</v>
      </c>
      <c r="AE29" s="31" t="n">
        <f aca="false">+AE28/AD28-1</f>
        <v>0.129605964030169</v>
      </c>
      <c r="AF29" s="31" t="n">
        <f aca="false">+AF28/AE28-1</f>
        <v>0.183139051997656</v>
      </c>
      <c r="AG29" s="31" t="n">
        <f aca="false">+AG28/AF28-1</f>
        <v>0.09652907279678</v>
      </c>
      <c r="AH29" s="31" t="n">
        <f aca="false">+AH28/AG28-1</f>
        <v>0.15</v>
      </c>
      <c r="AI29" s="31" t="n">
        <f aca="false">+AI28/AH28-1</f>
        <v>0.15</v>
      </c>
      <c r="AJ29" s="31" t="n">
        <f aca="false">+AJ28/AI28-1</f>
        <v>0.15</v>
      </c>
      <c r="AK29" s="31" t="n">
        <f aca="false">+AK28/AJ28-1</f>
        <v>0.15</v>
      </c>
      <c r="AL29" s="31" t="n">
        <f aca="false">+AL28/AK28-1</f>
        <v>0.15</v>
      </c>
      <c r="AM29" s="31" t="n">
        <f aca="false">+AM28/AL28-1</f>
        <v>0.15</v>
      </c>
      <c r="AN29" s="31" t="n">
        <f aca="false">+AN28/AM28-1</f>
        <v>0.15</v>
      </c>
      <c r="AO29" s="31" t="n">
        <f aca="false">+AO28/AN28-1</f>
        <v>0.15</v>
      </c>
      <c r="AP29" s="31" t="n">
        <f aca="false">+AP28/AO28-1</f>
        <v>0.15</v>
      </c>
      <c r="AQ29" s="31" t="n">
        <f aca="false">+AQ28/AP28-1</f>
        <v>0.15</v>
      </c>
    </row>
    <row r="30" s="40" customFormat="true" ht="12.8" hidden="false" customHeight="true" outlineLevel="0" collapsed="false">
      <c r="A30" s="39" t="s">
        <v>93</v>
      </c>
      <c r="B30" s="40" t="n">
        <v>1704</v>
      </c>
      <c r="C30" s="40" t="n">
        <v>1804</v>
      </c>
      <c r="D30" s="40" t="n">
        <v>1908</v>
      </c>
      <c r="E30" s="40" t="n">
        <f aca="false">AD30-D30-C30-B30</f>
        <v>1939</v>
      </c>
      <c r="F30" s="40" t="n">
        <v>1937</v>
      </c>
      <c r="G30" s="40" t="n">
        <v>1984</v>
      </c>
      <c r="H30" s="40" t="n">
        <v>2062</v>
      </c>
      <c r="I30" s="40" t="n">
        <f aca="false">AE30-H30-G30-F30</f>
        <v>2248</v>
      </c>
      <c r="J30" s="40" t="n">
        <v>2268</v>
      </c>
      <c r="K30" s="40" t="n">
        <v>2300</v>
      </c>
      <c r="L30" s="40" t="n">
        <v>2338</v>
      </c>
      <c r="M30" s="44" t="n">
        <v>2425</v>
      </c>
      <c r="N30" s="40" t="n">
        <v>2514</v>
      </c>
      <c r="O30" s="40" t="n">
        <v>2509</v>
      </c>
      <c r="P30" s="40" t="n">
        <v>2561</v>
      </c>
      <c r="Q30" s="40" t="n">
        <v>2623</v>
      </c>
      <c r="R30" s="40" t="n">
        <v>2703</v>
      </c>
      <c r="AA30" s="40" t="n">
        <v>4443</v>
      </c>
      <c r="AB30" s="40" t="n">
        <v>5126</v>
      </c>
      <c r="AC30" s="40" t="n">
        <v>5986</v>
      </c>
      <c r="AD30" s="40" t="n">
        <v>7355</v>
      </c>
      <c r="AE30" s="40" t="n">
        <v>8231</v>
      </c>
      <c r="AF30" s="40" t="n">
        <v>9324</v>
      </c>
      <c r="AG30" s="40" t="n">
        <f aca="false">SUM(N30:Q30)</f>
        <v>10207</v>
      </c>
    </row>
    <row r="31" s="31" customFormat="true" ht="10.5" hidden="false" customHeight="true" outlineLevel="0" collapsed="false">
      <c r="A31" s="29"/>
      <c r="B31" s="31" t="n">
        <f aca="false">+B30/B$28</f>
        <v>0.640360766629087</v>
      </c>
      <c r="C31" s="31" t="n">
        <f aca="false">+C30/C$28</f>
        <v>0.629888268156425</v>
      </c>
      <c r="D31" s="31" t="n">
        <f aca="false">+D30/D$28</f>
        <v>0.628458498023716</v>
      </c>
      <c r="E31" s="31" t="n">
        <f aca="false">+E30/E$28</f>
        <v>0.612444725205306</v>
      </c>
      <c r="F31" s="31" t="n">
        <f aca="false">+F30/F$28</f>
        <v>0.636722750568863</v>
      </c>
      <c r="G31" s="31" t="n">
        <f aca="false">+G30/G$28</f>
        <v>0.624467395229726</v>
      </c>
      <c r="H31" s="31" t="n">
        <f aca="false">+H30/H$28</f>
        <v>0.614221028070042</v>
      </c>
      <c r="I31" s="31" t="n">
        <f aca="false">+I30/I$28</f>
        <v>0.612339391411752</v>
      </c>
      <c r="J31" s="31" t="n">
        <f aca="false">+J30/J$28</f>
        <v>0.623728611509657</v>
      </c>
      <c r="K31" s="31" t="n">
        <f aca="false">+K30/K$28</f>
        <v>0.604117173289722</v>
      </c>
      <c r="L31" s="31" t="n">
        <f aca="false">+L30/L$28</f>
        <v>0.586228164367018</v>
      </c>
      <c r="M31" s="31" t="n">
        <f aca="false">+M30/M$28</f>
        <v>0.571641566293058</v>
      </c>
      <c r="N31" s="31" t="n">
        <f aca="false">+N30/N$28</f>
        <v>0.599976362441389</v>
      </c>
      <c r="O31" s="31" t="n">
        <f aca="false">+O30/O$28</f>
        <v>0.598361130000438</v>
      </c>
      <c r="P31" s="31" t="n">
        <f aca="false">+P30/P$28</f>
        <v>0.599472287223388</v>
      </c>
      <c r="Q31" s="31" t="n">
        <f aca="false">+Q30/Q$28</f>
        <v>0.578890042513344</v>
      </c>
      <c r="R31" s="31" t="n">
        <f aca="false">+R30/R$28</f>
        <v>0.596281153374623</v>
      </c>
      <c r="S31" s="31" t="n">
        <f aca="false">+S30/S$28</f>
        <v>0</v>
      </c>
      <c r="T31" s="31" t="n">
        <f aca="false">+T30/T$28</f>
        <v>0</v>
      </c>
      <c r="U31" s="31" t="n">
        <f aca="false">+U30/U$28</f>
        <v>0</v>
      </c>
      <c r="AB31" s="31" t="n">
        <f aca="false">+AB30/AA30-1</f>
        <v>0.153724960612199</v>
      </c>
      <c r="AC31" s="31" t="n">
        <f aca="false">+AC30/AB30-1</f>
        <v>0.167772142021069</v>
      </c>
      <c r="AD31" s="31" t="n">
        <f aca="false">+AD30/AC30-1</f>
        <v>0.228700300701637</v>
      </c>
      <c r="AE31" s="31" t="n">
        <f aca="false">+AE30/AD30-1</f>
        <v>0.119102651257648</v>
      </c>
      <c r="AF31" s="31" t="n">
        <f aca="false">+AF30/AE30-1</f>
        <v>0.132790669420483</v>
      </c>
      <c r="AG31" s="31" t="n">
        <f aca="false">+AG30/AF30-1</f>
        <v>0.0947018447018446</v>
      </c>
    </row>
    <row r="32" s="40" customFormat="true" ht="12.8" hidden="false" customHeight="true" outlineLevel="0" collapsed="false">
      <c r="A32" s="39" t="s">
        <v>94</v>
      </c>
      <c r="B32" s="40" t="n">
        <v>286</v>
      </c>
      <c r="C32" s="40" t="n">
        <v>356</v>
      </c>
      <c r="D32" s="40" t="n">
        <v>378</v>
      </c>
      <c r="E32" s="40" t="n">
        <f aca="false">AD32-D32-C32-B32</f>
        <v>426</v>
      </c>
      <c r="F32" s="40" t="n">
        <v>339</v>
      </c>
      <c r="G32" s="40" t="n">
        <v>427</v>
      </c>
      <c r="H32" s="40" t="n">
        <v>410</v>
      </c>
      <c r="I32" s="40" t="n">
        <f aca="false">AE32-H32-G32-F32</f>
        <v>443</v>
      </c>
      <c r="J32" s="40" t="n">
        <v>364</v>
      </c>
      <c r="K32" s="40" t="n">
        <v>395</v>
      </c>
      <c r="L32" s="40" t="n">
        <v>410</v>
      </c>
      <c r="M32" s="44" t="n">
        <v>449</v>
      </c>
      <c r="N32" s="40" t="n">
        <v>350</v>
      </c>
      <c r="O32" s="40" t="n">
        <v>364</v>
      </c>
      <c r="P32" s="40" t="n">
        <v>360</v>
      </c>
      <c r="Q32" s="40" t="n">
        <v>409</v>
      </c>
      <c r="R32" s="40" t="n">
        <v>335</v>
      </c>
      <c r="AA32" s="40" t="n">
        <v>599</v>
      </c>
      <c r="AB32" s="40" t="n">
        <v>739</v>
      </c>
      <c r="AC32" s="40" t="n">
        <v>1091</v>
      </c>
      <c r="AD32" s="40" t="n">
        <v>1446</v>
      </c>
      <c r="AE32" s="40" t="n">
        <v>1619</v>
      </c>
      <c r="AF32" s="40" t="n">
        <v>1625</v>
      </c>
      <c r="AG32" s="40" t="n">
        <f aca="false">SUM(N32:Q32)</f>
        <v>1483</v>
      </c>
    </row>
    <row r="33" s="31" customFormat="true" ht="10.5" hidden="false" customHeight="true" outlineLevel="0" collapsed="false">
      <c r="A33" s="29"/>
      <c r="B33" s="31" t="n">
        <f aca="false">+B32/B$28</f>
        <v>0.107478391582112</v>
      </c>
      <c r="C33" s="31" t="n">
        <f aca="false">+C32/C$28</f>
        <v>0.124301675977654</v>
      </c>
      <c r="D33" s="31" t="n">
        <f aca="false">+D32/D$28</f>
        <v>0.124505928853755</v>
      </c>
      <c r="E33" s="31" t="n">
        <f aca="false">+E32/E$28</f>
        <v>0.134554643082754</v>
      </c>
      <c r="F33" s="31" t="n">
        <f aca="false">+F32/F$28</f>
        <v>0.111434699247726</v>
      </c>
      <c r="G33" s="31" t="n">
        <f aca="false">+G32/G$28</f>
        <v>0.134398980727365</v>
      </c>
      <c r="H33" s="31" t="n">
        <f aca="false">+H32/H$28</f>
        <v>0.122129302380561</v>
      </c>
      <c r="I33" s="31" t="n">
        <f aca="false">+I32/I$28</f>
        <v>0.120670084695465</v>
      </c>
      <c r="J33" s="31" t="n">
        <f aca="false">+J32/J$28</f>
        <v>0.100104591970686</v>
      </c>
      <c r="K33" s="31" t="n">
        <f aca="false">+K32/K$28</f>
        <v>0.103750558021496</v>
      </c>
      <c r="L33" s="31" t="n">
        <f aca="false">+L32/L$28</f>
        <v>0.102803057053241</v>
      </c>
      <c r="M33" s="31" t="n">
        <f aca="false">+M32/M$28</f>
        <v>0.10584208794457</v>
      </c>
      <c r="N33" s="31" t="n">
        <f aca="false">+N32/N$28</f>
        <v>0.0835289287408457</v>
      </c>
      <c r="O33" s="31" t="n">
        <f aca="false">+O32/O$28</f>
        <v>0.0868088686010999</v>
      </c>
      <c r="P33" s="31" t="n">
        <f aca="false">+P32/P$28</f>
        <v>0.0842678732527995</v>
      </c>
      <c r="Q33" s="31" t="n">
        <f aca="false">+Q32/Q$28</f>
        <v>0.0902653554662439</v>
      </c>
      <c r="R33" s="31" t="n">
        <f aca="false">+R32/R$28</f>
        <v>0.0739009198595999</v>
      </c>
      <c r="S33" s="31" t="n">
        <f aca="false">+S32/S$28</f>
        <v>0</v>
      </c>
      <c r="T33" s="31" t="n">
        <f aca="false">+T32/T$28</f>
        <v>0</v>
      </c>
      <c r="U33" s="31" t="n">
        <f aca="false">+U32/U$28</f>
        <v>0</v>
      </c>
      <c r="AB33" s="31" t="n">
        <f aca="false">+AB32/AA32-1</f>
        <v>0.233722871452421</v>
      </c>
      <c r="AC33" s="31" t="n">
        <f aca="false">+AC32/AB32-1</f>
        <v>0.476319350473613</v>
      </c>
      <c r="AD33" s="31" t="n">
        <f aca="false">+AD32/AC32-1</f>
        <v>0.325389550870761</v>
      </c>
      <c r="AE33" s="31" t="n">
        <f aca="false">+AE32/AD32-1</f>
        <v>0.119640387275242</v>
      </c>
      <c r="AF33" s="31" t="n">
        <f aca="false">+AF32/AE32-1</f>
        <v>0.0037059913526869</v>
      </c>
      <c r="AG33" s="31" t="n">
        <f aca="false">+AG32/AF32-1</f>
        <v>-0.0873846153846154</v>
      </c>
    </row>
    <row r="34" s="40" customFormat="true" ht="12.8" hidden="false" customHeight="true" outlineLevel="0" collapsed="false">
      <c r="A34" s="39" t="s">
        <v>95</v>
      </c>
      <c r="B34" s="40" t="n">
        <f aca="false">SUM(B30:B32)-B31</f>
        <v>1990</v>
      </c>
      <c r="C34" s="40" t="n">
        <f aca="false">SUM(C30:C32)-C31</f>
        <v>2160</v>
      </c>
      <c r="D34" s="40" t="n">
        <f aca="false">SUM(D30:D32)-D31</f>
        <v>2286</v>
      </c>
      <c r="E34" s="40" t="n">
        <f aca="false">SUM(E30:E32)-E31</f>
        <v>2365</v>
      </c>
      <c r="F34" s="40" t="n">
        <f aca="false">SUM(F30:F32)-F31</f>
        <v>2276</v>
      </c>
      <c r="G34" s="40" t="n">
        <f aca="false">SUM(G30:G32)-G31</f>
        <v>2411</v>
      </c>
      <c r="H34" s="40" t="n">
        <f aca="false">SUM(H30:H32)-H31</f>
        <v>2472</v>
      </c>
      <c r="I34" s="40" t="n">
        <f aca="false">SUM(I30:I32)-I31</f>
        <v>2691</v>
      </c>
      <c r="J34" s="40" t="n">
        <f aca="false">SUM(J30:J32)-J31</f>
        <v>2632</v>
      </c>
      <c r="K34" s="40" t="n">
        <f aca="false">SUM(K30:K32)-K31</f>
        <v>2695</v>
      </c>
      <c r="L34" s="40" t="n">
        <f aca="false">SUM(L30:L32)-L31</f>
        <v>2748</v>
      </c>
      <c r="M34" s="40" t="n">
        <f aca="false">SUM(M30:M32)-M31</f>
        <v>2874</v>
      </c>
      <c r="N34" s="40" t="n">
        <f aca="false">SUM(N30:N32)-N31</f>
        <v>2864</v>
      </c>
      <c r="O34" s="40" t="n">
        <f aca="false">SUM(O30:O32)-O31</f>
        <v>2873</v>
      </c>
      <c r="P34" s="40" t="n">
        <f aca="false">SUM(P30:P32)-P31</f>
        <v>2921</v>
      </c>
      <c r="Q34" s="40" t="n">
        <f aca="false">SUM(Q30:Q32)-Q31</f>
        <v>3032</v>
      </c>
      <c r="R34" s="40" t="n">
        <f aca="false">SUM(R30:R32)-R31</f>
        <v>3038</v>
      </c>
      <c r="S34" s="40" t="n">
        <v>3181</v>
      </c>
      <c r="T34" s="40" t="n">
        <f aca="false">+T28-T36</f>
        <v>3277.334402062</v>
      </c>
      <c r="U34" s="40" t="n">
        <f aca="false">+U28-U36</f>
        <v>3476.02187327936</v>
      </c>
      <c r="AA34" s="40" t="n">
        <f aca="false">SUM(AA30:AA32)-AA31</f>
        <v>5042</v>
      </c>
      <c r="AB34" s="40" t="n">
        <f aca="false">SUM(AB30:AB32)-AB31</f>
        <v>5865</v>
      </c>
      <c r="AC34" s="40" t="n">
        <f aca="false">SUM(AC30:AC32)-AC31</f>
        <v>7077</v>
      </c>
      <c r="AD34" s="40" t="n">
        <f aca="false">SUM(AD30:AD32)-AD31</f>
        <v>8801</v>
      </c>
      <c r="AE34" s="40" t="n">
        <f aca="false">SUM(AE30:AE32)-AE31</f>
        <v>9850</v>
      </c>
      <c r="AF34" s="40" t="n">
        <f aca="false">SUM(AF30:AF32)-AF31</f>
        <v>10949</v>
      </c>
      <c r="AG34" s="40" t="n">
        <f aca="false">SUM(AG30:AG32)-AG31</f>
        <v>11690</v>
      </c>
      <c r="AH34" s="40" t="n">
        <f aca="false">AH28-AH36</f>
        <v>13439.5409575222</v>
      </c>
      <c r="AI34" s="40" t="n">
        <f aca="false">AI28-AI36</f>
        <v>15341.8289239362</v>
      </c>
      <c r="AJ34" s="40" t="n">
        <f aca="false">AJ28-AJ36</f>
        <v>17512.4136087302</v>
      </c>
      <c r="AK34" s="40" t="n">
        <f aca="false">AK28-AK36</f>
        <v>19988.9825481737</v>
      </c>
      <c r="AL34" s="40" t="n">
        <f aca="false">AL28-AL36</f>
        <v>22814.4928632539</v>
      </c>
      <c r="AM34" s="40" t="n">
        <f aca="false">AM28-AM36</f>
        <v>26037.9041655243</v>
      </c>
      <c r="AN34" s="40" t="n">
        <f aca="false">AN28-AN36</f>
        <v>29715.0127690525</v>
      </c>
      <c r="AO34" s="40" t="n">
        <f aca="false">AO28-AO36</f>
        <v>33909.4011099149</v>
      </c>
      <c r="AP34" s="40" t="n">
        <f aca="false">AP28-AP36</f>
        <v>38693.5181657324</v>
      </c>
      <c r="AQ34" s="40" t="n">
        <f aca="false">AQ28-AQ36</f>
        <v>44149.908813322</v>
      </c>
    </row>
    <row r="35" s="31" customFormat="true" ht="10.5" hidden="false" customHeight="true" outlineLevel="0" collapsed="false">
      <c r="A35" s="29"/>
      <c r="B35" s="31" t="n">
        <f aca="false">+B34/B$28</f>
        <v>0.747839158211199</v>
      </c>
      <c r="C35" s="31" t="n">
        <f aca="false">+C34/C$28</f>
        <v>0.754189944134078</v>
      </c>
      <c r="D35" s="31" t="n">
        <f aca="false">+D34/D$28</f>
        <v>0.75296442687747</v>
      </c>
      <c r="E35" s="31" t="n">
        <f aca="false">+E34/E$28</f>
        <v>0.746999368288061</v>
      </c>
      <c r="F35" s="31" t="n">
        <f aca="false">+F34/F$28</f>
        <v>0.748157449816588</v>
      </c>
      <c r="G35" s="31" t="n">
        <f aca="false">+G34/G$28</f>
        <v>0.758866375957091</v>
      </c>
      <c r="H35" s="31" t="n">
        <f aca="false">+H34/H$28</f>
        <v>0.736350330450603</v>
      </c>
      <c r="I35" s="31" t="n">
        <f aca="false">+I34/I$28</f>
        <v>0.733009476107218</v>
      </c>
      <c r="J35" s="31" t="n">
        <f aca="false">+J34/J$28</f>
        <v>0.723833203480343</v>
      </c>
      <c r="K35" s="31" t="n">
        <f aca="false">+K34/K$28</f>
        <v>0.707867731311218</v>
      </c>
      <c r="L35" s="31" t="n">
        <f aca="false">+L34/L$28</f>
        <v>0.689031221420259</v>
      </c>
      <c r="M35" s="31" t="n">
        <f aca="false">+M34/M$28</f>
        <v>0.677483654237628</v>
      </c>
      <c r="N35" s="31" t="n">
        <f aca="false">+N34/N$28</f>
        <v>0.683505291182235</v>
      </c>
      <c r="O35" s="31" t="n">
        <f aca="false">+O34/O$28</f>
        <v>0.685169998601538</v>
      </c>
      <c r="P35" s="31" t="n">
        <f aca="false">+P34/P$28</f>
        <v>0.683740160476187</v>
      </c>
      <c r="Q35" s="31" t="n">
        <f aca="false">+Q34/Q$28</f>
        <v>0.669155397979588</v>
      </c>
      <c r="R35" s="31" t="n">
        <f aca="false">+R34/R$28</f>
        <v>0.670182073234223</v>
      </c>
      <c r="S35" s="31" t="n">
        <f aca="false">+S34/S$28</f>
        <v>0.665899099853465</v>
      </c>
      <c r="T35" s="31" t="n">
        <f aca="false">+T34/T$28</f>
        <v>0.67</v>
      </c>
      <c r="U35" s="31" t="n">
        <f aca="false">+U34/U$28</f>
        <v>0.670000000000001</v>
      </c>
      <c r="AA35" s="31" t="n">
        <f aca="false">+AA34/AA$28</f>
        <v>0.74541691306919</v>
      </c>
      <c r="AB35" s="31" t="n">
        <f aca="false">+AB34/AB$28</f>
        <v>0.744273060280642</v>
      </c>
      <c r="AC35" s="31" t="n">
        <f aca="false">+AC34/AC$28</f>
        <v>0.731988422281853</v>
      </c>
      <c r="AD35" s="31" t="n">
        <f aca="false">+AD34/AD$28</f>
        <v>0.750476773468941</v>
      </c>
      <c r="AE35" s="31" t="n">
        <f aca="false">+AE34/AE$28</f>
        <v>0.743557380262285</v>
      </c>
      <c r="AF35" s="31" t="n">
        <f aca="false">+AF34/AF$28</f>
        <v>0.698581249269655</v>
      </c>
      <c r="AG35" s="31" t="n">
        <f aca="false">+AG34/AG$28</f>
        <v>0.680200315538558</v>
      </c>
      <c r="AH35" s="31" t="n">
        <f aca="false">+AH34/AH$28</f>
        <v>0.68</v>
      </c>
      <c r="AI35" s="31" t="n">
        <f aca="false">+AI34/AI$28</f>
        <v>0.674999999999998</v>
      </c>
      <c r="AJ35" s="31" t="n">
        <f aca="false">+AJ34/AJ$28</f>
        <v>0.67</v>
      </c>
      <c r="AK35" s="31" t="n">
        <f aca="false">+AK34/AK$28</f>
        <v>0.664999999999999</v>
      </c>
      <c r="AL35" s="31" t="n">
        <f aca="false">+AL34/AL$28</f>
        <v>0.66</v>
      </c>
      <c r="AM35" s="31" t="n">
        <f aca="false">+AM34/AM$28</f>
        <v>0.655000000000001</v>
      </c>
      <c r="AN35" s="31" t="n">
        <f aca="false">+AN34/AN$28</f>
        <v>0.65</v>
      </c>
      <c r="AO35" s="31" t="n">
        <f aca="false">+AO34/AO$28</f>
        <v>0.645</v>
      </c>
      <c r="AP35" s="31" t="n">
        <f aca="false">+AP34/AP$28</f>
        <v>0.640000000000001</v>
      </c>
      <c r="AQ35" s="31" t="n">
        <f aca="false">+AQ34/AQ$28</f>
        <v>0.635000000000001</v>
      </c>
    </row>
    <row r="36" s="46" customFormat="true" ht="12.8" hidden="false" customHeight="true" outlineLevel="0" collapsed="false">
      <c r="A36" s="45" t="s">
        <v>96</v>
      </c>
      <c r="B36" s="46" t="n">
        <f aca="false">B28-B34</f>
        <v>671</v>
      </c>
      <c r="C36" s="46" t="n">
        <f aca="false">C28-C34</f>
        <v>704</v>
      </c>
      <c r="D36" s="46" t="n">
        <f aca="false">D28-D34</f>
        <v>750</v>
      </c>
      <c r="E36" s="46" t="n">
        <f aca="false">E28-E34</f>
        <v>801</v>
      </c>
      <c r="F36" s="46" t="n">
        <f aca="false">F28-F34</f>
        <v>766.140395124</v>
      </c>
      <c r="G36" s="46" t="n">
        <f aca="false">G28-G34</f>
        <v>766.10742811502</v>
      </c>
      <c r="H36" s="46" t="n">
        <f aca="false">H28-H34</f>
        <v>885.09769898152</v>
      </c>
      <c r="I36" s="46" t="n">
        <f aca="false">I28-I34</f>
        <v>980.16672800883</v>
      </c>
      <c r="J36" s="46" t="n">
        <f aca="false">J28-J34</f>
        <v>1004.19683007741</v>
      </c>
      <c r="K36" s="46" t="n">
        <f aca="false">K28-K34</f>
        <v>1112.20843851424</v>
      </c>
      <c r="L36" s="46" t="n">
        <f aca="false">L28-L34</f>
        <v>1240.20824742268</v>
      </c>
      <c r="M36" s="46" t="n">
        <f aca="false">M28-M34</f>
        <v>1368.16876971609</v>
      </c>
      <c r="N36" s="46" t="n">
        <f aca="false">N28-N34</f>
        <v>1326.16507545427</v>
      </c>
      <c r="O36" s="46" t="n">
        <f aca="false">O28-O34</f>
        <v>1320.11996418979</v>
      </c>
      <c r="P36" s="46" t="n">
        <f aca="false">P28-P34</f>
        <v>1351.09072810011</v>
      </c>
      <c r="Q36" s="46" t="n">
        <f aca="false">Q28-Q34</f>
        <v>1499.08502024292</v>
      </c>
      <c r="R36" s="46" t="n">
        <f aca="false">R28-R34</f>
        <v>1495.09648427174</v>
      </c>
      <c r="S36" s="46" t="n">
        <f aca="false">S28-S34</f>
        <v>1596</v>
      </c>
      <c r="T36" s="46" t="n">
        <f aca="false">+T28*0.33</f>
        <v>1614.20948161263</v>
      </c>
      <c r="U36" s="46" t="n">
        <f aca="false">+U28*0.33</f>
        <v>1712.07047489879</v>
      </c>
      <c r="AA36" s="46" t="n">
        <f aca="false">AA28-AA34</f>
        <v>1722</v>
      </c>
      <c r="AB36" s="46" t="n">
        <f aca="false">AB28-AB34</f>
        <v>2015.17236279987</v>
      </c>
      <c r="AC36" s="46" t="n">
        <f aca="false">AC28-AC34</f>
        <v>2591.1857042747</v>
      </c>
      <c r="AD36" s="46" t="n">
        <f aca="false">AD28-AD34</f>
        <v>2926.2117021277</v>
      </c>
      <c r="AE36" s="46" t="n">
        <f aca="false">AE28-AE34</f>
        <v>3397.1282801678</v>
      </c>
      <c r="AF36" s="46" t="n">
        <f aca="false">AF28-AF34</f>
        <v>4724.1947950891</v>
      </c>
      <c r="AG36" s="46" t="n">
        <f aca="false">AG28-AG34</f>
        <v>5496.1137564223</v>
      </c>
      <c r="AH36" s="46" t="n">
        <f aca="false">AH28*0.32</f>
        <v>6324.48986236341</v>
      </c>
      <c r="AI36" s="46" t="n">
        <f aca="false">AI28*0.325</f>
        <v>7386.80651893226</v>
      </c>
      <c r="AJ36" s="46" t="n">
        <f aca="false">AJ28*0.33</f>
        <v>8625.51715056859</v>
      </c>
      <c r="AK36" s="46" t="n">
        <f aca="false">AK28*0.335</f>
        <v>10069.6378250198</v>
      </c>
      <c r="AL36" s="46" t="n">
        <f aca="false">AL28*0.34</f>
        <v>11752.9205659187</v>
      </c>
      <c r="AM36" s="46" t="n">
        <f aca="false">AM28*0.345</f>
        <v>13714.6212780242</v>
      </c>
      <c r="AN36" s="46" t="n">
        <f aca="false">AN28*0.35</f>
        <v>16000.3914910283</v>
      </c>
      <c r="AO36" s="46" t="n">
        <f aca="false">AO28*0.355</f>
        <v>18663.313789178</v>
      </c>
      <c r="AP36" s="46" t="n">
        <f aca="false">AP28*0.36</f>
        <v>21765.1039682244</v>
      </c>
      <c r="AQ36" s="46" t="n">
        <f aca="false">AQ28*0.365</f>
        <v>25377.5066407284</v>
      </c>
    </row>
    <row r="37" s="31" customFormat="true" ht="10.5" hidden="false" customHeight="true" outlineLevel="0" collapsed="false">
      <c r="A37" s="29"/>
      <c r="B37" s="31" t="n">
        <f aca="false">+B36/B$28</f>
        <v>0.252160841788801</v>
      </c>
      <c r="C37" s="31" t="n">
        <f aca="false">+C36/C$28</f>
        <v>0.245810055865922</v>
      </c>
      <c r="D37" s="31" t="n">
        <f aca="false">+D36/D$28</f>
        <v>0.24703557312253</v>
      </c>
      <c r="E37" s="31" t="n">
        <f aca="false">+E36/E$28</f>
        <v>0.253000631711939</v>
      </c>
      <c r="F37" s="31" t="n">
        <f aca="false">+F36/F$28</f>
        <v>0.251842550183412</v>
      </c>
      <c r="G37" s="31" t="n">
        <f aca="false">+G36/G$28</f>
        <v>0.241133624042909</v>
      </c>
      <c r="H37" s="31" t="n">
        <f aca="false">+H36/H$28</f>
        <v>0.263649669549397</v>
      </c>
      <c r="I37" s="31" t="n">
        <f aca="false">+I36/I$28</f>
        <v>0.266990523892783</v>
      </c>
      <c r="J37" s="31" t="n">
        <f aca="false">+J36/J$28</f>
        <v>0.276166796519657</v>
      </c>
      <c r="K37" s="31" t="n">
        <f aca="false">+K36/K$28</f>
        <v>0.292132268688782</v>
      </c>
      <c r="L37" s="31" t="n">
        <f aca="false">+L36/L$28</f>
        <v>0.310968778579741</v>
      </c>
      <c r="M37" s="31" t="n">
        <f aca="false">+M36/M$28</f>
        <v>0.322516345762372</v>
      </c>
      <c r="N37" s="31" t="n">
        <f aca="false">+N36/N$28</f>
        <v>0.316494708817766</v>
      </c>
      <c r="O37" s="31" t="n">
        <f aca="false">+O36/O$28</f>
        <v>0.314830001398462</v>
      </c>
      <c r="P37" s="31" t="n">
        <f aca="false">+P36/P$28</f>
        <v>0.316259839523813</v>
      </c>
      <c r="Q37" s="31" t="n">
        <f aca="false">+Q36/Q$28</f>
        <v>0.330844602020412</v>
      </c>
      <c r="R37" s="31" t="n">
        <f aca="false">+R36/R$28</f>
        <v>0.329817926765778</v>
      </c>
      <c r="S37" s="31" t="n">
        <f aca="false">+S36/S$28</f>
        <v>0.334100900146536</v>
      </c>
      <c r="T37" s="31" t="n">
        <f aca="false">+T36/T$28</f>
        <v>0.33</v>
      </c>
      <c r="U37" s="31" t="n">
        <f aca="false">+U36/U$28</f>
        <v>0.330000000000001</v>
      </c>
      <c r="AA37" s="31" t="n">
        <f aca="false">+AA36/AA$28</f>
        <v>0.25458308693081</v>
      </c>
      <c r="AB37" s="31" t="n">
        <f aca="false">+AB36/AB$28</f>
        <v>0.255726939719358</v>
      </c>
      <c r="AC37" s="31" t="n">
        <f aca="false">+AC36/AC$28</f>
        <v>0.268011577718147</v>
      </c>
      <c r="AD37" s="31" t="n">
        <f aca="false">+AD36/AD$28</f>
        <v>0.249523226531059</v>
      </c>
      <c r="AE37" s="31" t="n">
        <f aca="false">+AE36/AE$28</f>
        <v>0.256442619737715</v>
      </c>
      <c r="AF37" s="31" t="n">
        <f aca="false">+AF36/AF$28</f>
        <v>0.301418750730345</v>
      </c>
      <c r="AG37" s="31" t="n">
        <f aca="false">+AG36/AG$28</f>
        <v>0.319799684461442</v>
      </c>
      <c r="AH37" s="31" t="n">
        <f aca="false">+AH36/AH$28</f>
        <v>0.320000000000001</v>
      </c>
      <c r="AI37" s="31" t="n">
        <f aca="false">+AI36/AI$28</f>
        <v>0.325</v>
      </c>
      <c r="AJ37" s="31" t="n">
        <f aca="false">+AJ36/AJ$28</f>
        <v>0.329999999999999</v>
      </c>
      <c r="AK37" s="31" t="n">
        <f aca="false">+AK36/AK$28</f>
        <v>0.334999999999998</v>
      </c>
      <c r="AL37" s="31" t="n">
        <f aca="false">+AL36/AL$28</f>
        <v>0.34</v>
      </c>
      <c r="AM37" s="31" t="n">
        <f aca="false">+AM36/AM$28</f>
        <v>0.344999999999999</v>
      </c>
      <c r="AN37" s="31" t="n">
        <f aca="false">+AN36/AN$28</f>
        <v>0.35</v>
      </c>
      <c r="AO37" s="31" t="n">
        <f aca="false">+AO36/AO$28</f>
        <v>0.355</v>
      </c>
      <c r="AP37" s="31" t="n">
        <f aca="false">+AP36/AP$28</f>
        <v>0.359999999999999</v>
      </c>
      <c r="AQ37" s="31" t="n">
        <f aca="false">+AQ36/AQ$28</f>
        <v>0.365000000000001</v>
      </c>
    </row>
    <row r="38" s="40" customFormat="true" ht="12.8" hidden="false" customHeight="true" outlineLevel="0" collapsed="false">
      <c r="A38" s="39" t="s">
        <v>97</v>
      </c>
      <c r="B38" s="40" t="n">
        <v>250</v>
      </c>
      <c r="C38" s="40" t="n">
        <v>336</v>
      </c>
      <c r="D38" s="40" t="n">
        <v>386</v>
      </c>
      <c r="E38" s="40" t="n">
        <v>415</v>
      </c>
      <c r="F38" s="40" t="n">
        <v>435</v>
      </c>
      <c r="G38" s="40" t="n">
        <v>453</v>
      </c>
      <c r="H38" s="40" t="n">
        <v>369</v>
      </c>
      <c r="I38" s="40" t="n">
        <v>468</v>
      </c>
      <c r="J38" s="40" t="n">
        <v>389</v>
      </c>
      <c r="K38" s="40" t="n">
        <v>379</v>
      </c>
      <c r="L38" s="40" t="n">
        <v>342</v>
      </c>
      <c r="M38" s="40" t="n">
        <v>376</v>
      </c>
      <c r="N38" s="40" t="n">
        <v>379</v>
      </c>
      <c r="O38" s="40" t="n">
        <v>415</v>
      </c>
      <c r="P38" s="40" t="n">
        <v>309</v>
      </c>
      <c r="Q38" s="40" t="n">
        <v>290</v>
      </c>
      <c r="R38" s="40" t="n">
        <v>331</v>
      </c>
      <c r="S38" s="40" t="n">
        <v>403</v>
      </c>
      <c r="T38" s="40" t="n">
        <f aca="false">+P38*0.9</f>
        <v>278.1</v>
      </c>
      <c r="U38" s="40" t="n">
        <f aca="false">+Q38*0.9</f>
        <v>261</v>
      </c>
      <c r="AA38" s="40" t="n">
        <v>615</v>
      </c>
      <c r="AB38" s="40" t="n">
        <v>837</v>
      </c>
      <c r="AC38" s="40" t="n">
        <v>912</v>
      </c>
      <c r="AD38" s="40" t="n">
        <v>1387</v>
      </c>
      <c r="AE38" s="40" t="n">
        <v>1725</v>
      </c>
      <c r="AF38" s="40" t="n">
        <v>1486</v>
      </c>
      <c r="AG38" s="40" t="n">
        <f aca="false">SUM(N38:Q38)</f>
        <v>1393</v>
      </c>
      <c r="AH38" s="40" t="n">
        <f aca="false">AG38*1.1</f>
        <v>1532.3</v>
      </c>
      <c r="AI38" s="40" t="n">
        <f aca="false">AH38*1.1</f>
        <v>1685.53</v>
      </c>
      <c r="AJ38" s="40" t="n">
        <f aca="false">AI38*1.1</f>
        <v>1854.083</v>
      </c>
      <c r="AK38" s="40" t="n">
        <f aca="false">AJ38*1.1</f>
        <v>2039.4913</v>
      </c>
      <c r="AL38" s="40" t="n">
        <f aca="false">AK38*1.1</f>
        <v>2243.44043</v>
      </c>
      <c r="AM38" s="40" t="n">
        <f aca="false">AL38*1.1</f>
        <v>2467.784473</v>
      </c>
      <c r="AN38" s="40" t="n">
        <f aca="false">AM38*1.1</f>
        <v>2714.5629203</v>
      </c>
      <c r="AO38" s="40" t="n">
        <f aca="false">AN38*1.1</f>
        <v>2986.01921233</v>
      </c>
      <c r="AP38" s="40" t="n">
        <f aca="false">AO38*1.1</f>
        <v>3284.621133563</v>
      </c>
      <c r="AQ38" s="40" t="n">
        <f aca="false">AP38*1.1</f>
        <v>3613.0832469193</v>
      </c>
    </row>
    <row r="39" s="31" customFormat="true" ht="10.5" hidden="false" customHeight="true" outlineLevel="0" collapsed="false">
      <c r="A39" s="29"/>
      <c r="B39" s="31" t="n">
        <f aca="false">+B38/B$28</f>
        <v>0.0939496429913566</v>
      </c>
      <c r="C39" s="31" t="n">
        <f aca="false">+C38/C$28</f>
        <v>0.11731843575419</v>
      </c>
      <c r="D39" s="31" t="n">
        <f aca="false">+D38/D$28</f>
        <v>0.127140974967062</v>
      </c>
      <c r="E39" s="31" t="n">
        <f aca="false">+E38/E$28</f>
        <v>0.131080227416298</v>
      </c>
      <c r="F39" s="31" t="n">
        <f aca="false">+F38/F$28</f>
        <v>0.142991428238232</v>
      </c>
      <c r="G39" s="31" t="n">
        <f aca="false">+G38/G$28</f>
        <v>0.142582525221303</v>
      </c>
      <c r="H39" s="31" t="n">
        <f aca="false">+H38/H$28</f>
        <v>0.109916372142505</v>
      </c>
      <c r="I39" s="31" t="n">
        <f aca="false">+I38/I$28</f>
        <v>0.127479908888212</v>
      </c>
      <c r="J39" s="31" t="n">
        <f aca="false">+J38/J$28</f>
        <v>0.106979907353288</v>
      </c>
      <c r="K39" s="31" t="n">
        <f aca="false">+K38/K$28</f>
        <v>0.0995480037725238</v>
      </c>
      <c r="L39" s="31" t="n">
        <f aca="false">+L38/L$28</f>
        <v>0.0857527939322157</v>
      </c>
      <c r="M39" s="31" t="n">
        <f aca="false">+M38/M$28</f>
        <v>0.0886339088355422</v>
      </c>
      <c r="N39" s="31" t="n">
        <f aca="false">+N38/N$28</f>
        <v>0.0904498971222301</v>
      </c>
      <c r="O39" s="31" t="n">
        <f aca="false">+O38/O$28</f>
        <v>0.0989716496413639</v>
      </c>
      <c r="P39" s="31" t="n">
        <f aca="false">+P38/P$28</f>
        <v>0.0723299245419862</v>
      </c>
      <c r="Q39" s="31" t="n">
        <f aca="false">+Q38/Q$28</f>
        <v>0.0640023302816888</v>
      </c>
      <c r="R39" s="31" t="n">
        <f aca="false">+R38/R$28</f>
        <v>0.0730185208165002</v>
      </c>
      <c r="S39" s="31" t="n">
        <f aca="false">+S38/S$28</f>
        <v>0.0843625706510362</v>
      </c>
      <c r="T39" s="31" t="n">
        <f aca="false">+T38/T$28</f>
        <v>0.0568532157971944</v>
      </c>
      <c r="U39" s="31" t="n">
        <f aca="false">+U38/U$28</f>
        <v>0.0503075085183581</v>
      </c>
      <c r="AA39" s="31" t="n">
        <f aca="false">+AA38/AA$28</f>
        <v>0.0909225310467179</v>
      </c>
      <c r="AB39" s="31" t="n">
        <f aca="false">+AB38/AB$28</f>
        <v>0.106215950802199</v>
      </c>
      <c r="AC39" s="31" t="n">
        <f aca="false">+AC38/AC$28</f>
        <v>0.0943300043974918</v>
      </c>
      <c r="AD39" s="31" t="n">
        <f aca="false">+AD38/AD$28</f>
        <v>0.11827193328047</v>
      </c>
      <c r="AE39" s="31" t="n">
        <f aca="false">+AE38/AE$28</f>
        <v>0.130216901619537</v>
      </c>
      <c r="AF39" s="31" t="n">
        <f aca="false">+AF38/AF$28</f>
        <v>0.0948115568923836</v>
      </c>
      <c r="AG39" s="31" t="n">
        <f aca="false">+AG38/AG$28</f>
        <v>0.0810538100551934</v>
      </c>
      <c r="AH39" s="31" t="n">
        <f aca="false">+AH38/AH$28</f>
        <v>0.0775297313571417</v>
      </c>
      <c r="AI39" s="31" t="n">
        <f aca="false">+AI38/AI$28</f>
        <v>0.0741588734720484</v>
      </c>
      <c r="AJ39" s="31" t="n">
        <f aca="false">+AJ38/AJ$28</f>
        <v>0.0709345746254375</v>
      </c>
      <c r="AK39" s="31" t="n">
        <f aca="false">+AK38/AK$28</f>
        <v>0.0678504626852012</v>
      </c>
      <c r="AL39" s="31" t="n">
        <f aca="false">+AL38/AL$28</f>
        <v>0.0649004425684534</v>
      </c>
      <c r="AM39" s="31" t="n">
        <f aca="false">+AM38/AM$28</f>
        <v>0.0620786841959119</v>
      </c>
      <c r="AN39" s="31" t="n">
        <f aca="false">+AN38/AN$28</f>
        <v>0.0593796109700027</v>
      </c>
      <c r="AO39" s="31" t="n">
        <f aca="false">+AO38/AO$28</f>
        <v>0.0567978887539156</v>
      </c>
      <c r="AP39" s="31" t="n">
        <f aca="false">+AP38/AP$28</f>
        <v>0.0543284153298324</v>
      </c>
      <c r="AQ39" s="31" t="n">
        <f aca="false">+AQ38/AQ$28</f>
        <v>0.0519663103154918</v>
      </c>
    </row>
    <row r="40" s="40" customFormat="true" ht="12.8" hidden="false" customHeight="true" outlineLevel="0" collapsed="false">
      <c r="A40" s="39" t="s">
        <v>98</v>
      </c>
      <c r="B40" s="40" t="n">
        <v>296</v>
      </c>
      <c r="C40" s="40" t="n">
        <v>391</v>
      </c>
      <c r="D40" s="40" t="n">
        <v>432</v>
      </c>
      <c r="E40" s="40" t="n">
        <v>453</v>
      </c>
      <c r="F40" s="40" t="n">
        <v>347</v>
      </c>
      <c r="G40" s="40" t="n">
        <v>399</v>
      </c>
      <c r="H40" s="40" t="n">
        <v>355</v>
      </c>
      <c r="I40" s="40" t="n">
        <v>432</v>
      </c>
      <c r="J40" s="40" t="n">
        <v>324</v>
      </c>
      <c r="K40" s="40" t="n">
        <v>343</v>
      </c>
      <c r="L40" s="40" t="n">
        <v>332</v>
      </c>
      <c r="M40" s="40" t="n">
        <v>393</v>
      </c>
      <c r="N40" s="40" t="n">
        <v>314</v>
      </c>
      <c r="O40" s="40" t="n">
        <v>364</v>
      </c>
      <c r="P40" s="40" t="n">
        <v>349</v>
      </c>
      <c r="Q40" s="40" t="n">
        <v>399</v>
      </c>
      <c r="R40" s="40" t="n">
        <v>342</v>
      </c>
      <c r="S40" s="40" t="n">
        <v>390</v>
      </c>
      <c r="T40" s="40" t="n">
        <f aca="false">+P40*1.01</f>
        <v>352.49</v>
      </c>
      <c r="U40" s="40" t="n">
        <f aca="false">+Q40*1.01</f>
        <v>402.99</v>
      </c>
      <c r="AA40" s="40" t="n">
        <v>826</v>
      </c>
      <c r="AB40" s="40" t="n">
        <v>1029</v>
      </c>
      <c r="AC40" s="40" t="n">
        <v>1135</v>
      </c>
      <c r="AD40" s="40" t="n">
        <v>1572</v>
      </c>
      <c r="AE40" s="40" t="n">
        <v>1533</v>
      </c>
      <c r="AF40" s="40" t="n">
        <v>1392</v>
      </c>
      <c r="AG40" s="40" t="n">
        <f aca="false">SUM(N40:Q40)</f>
        <v>1426</v>
      </c>
      <c r="AH40" s="40" t="n">
        <f aca="false">AG40*1.08</f>
        <v>1540.08</v>
      </c>
      <c r="AI40" s="40" t="n">
        <f aca="false">AH40*1.08</f>
        <v>1663.2864</v>
      </c>
      <c r="AJ40" s="40" t="n">
        <f aca="false">AI40*1.08</f>
        <v>1796.349312</v>
      </c>
      <c r="AK40" s="40" t="n">
        <f aca="false">AJ40*1.08</f>
        <v>1940.05725696</v>
      </c>
      <c r="AL40" s="40" t="n">
        <f aca="false">AK40*1.08</f>
        <v>2095.2618375168</v>
      </c>
      <c r="AM40" s="40" t="n">
        <f aca="false">AL40*1.08</f>
        <v>2262.88278451814</v>
      </c>
      <c r="AN40" s="40" t="n">
        <f aca="false">AM40*1.08</f>
        <v>2443.9134072796</v>
      </c>
      <c r="AO40" s="40" t="n">
        <f aca="false">AN40*1.08</f>
        <v>2639.42647986196</v>
      </c>
      <c r="AP40" s="40" t="n">
        <f aca="false">AO40*1.08</f>
        <v>2850.58059825092</v>
      </c>
      <c r="AQ40" s="40" t="n">
        <f aca="false">AP40*1.08</f>
        <v>3078.627046111</v>
      </c>
    </row>
    <row r="41" s="31" customFormat="true" ht="10.5" hidden="false" customHeight="true" outlineLevel="0" collapsed="false">
      <c r="A41" s="29"/>
      <c r="B41" s="31" t="n">
        <f aca="false">+B40/B$28</f>
        <v>0.111236377301766</v>
      </c>
      <c r="C41" s="31" t="n">
        <f aca="false">+C40/C$28</f>
        <v>0.136522346368715</v>
      </c>
      <c r="D41" s="31" t="n">
        <f aca="false">+D40/D$28</f>
        <v>0.142292490118577</v>
      </c>
      <c r="E41" s="31" t="n">
        <f aca="false">+E40/E$28</f>
        <v>0.143082754264056</v>
      </c>
      <c r="F41" s="31" t="n">
        <f aca="false">+F40/F$28</f>
        <v>0.114064426663601</v>
      </c>
      <c r="G41" s="31" t="n">
        <f aca="false">+G40/G$28</f>
        <v>0.125585932810817</v>
      </c>
      <c r="H41" s="31" t="n">
        <f aca="false">+H40/H$28</f>
        <v>0.10574610328073</v>
      </c>
      <c r="I41" s="31" t="n">
        <f aca="false">+I40/I$28</f>
        <v>0.117673762050657</v>
      </c>
      <c r="J41" s="31" t="n">
        <f aca="false">+J40/J$28</f>
        <v>0.0891040873585225</v>
      </c>
      <c r="K41" s="31" t="n">
        <f aca="false">+K40/K$28</f>
        <v>0.0900922567123369</v>
      </c>
      <c r="L41" s="31" t="n">
        <f aca="false">+L40/L$28</f>
        <v>0.0832454022967707</v>
      </c>
      <c r="M41" s="31" t="n">
        <f aca="false">+M40/M$28</f>
        <v>0.0926412930116172</v>
      </c>
      <c r="N41" s="31" t="n">
        <f aca="false">+N40/N$28</f>
        <v>0.0749373817846444</v>
      </c>
      <c r="O41" s="31" t="n">
        <f aca="false">+O40/O$28</f>
        <v>0.0868088686010999</v>
      </c>
      <c r="P41" s="31" t="n">
        <f aca="false">+P40/P$28</f>
        <v>0.0816930215700751</v>
      </c>
      <c r="Q41" s="31" t="n">
        <f aca="false">+Q40/Q$28</f>
        <v>0.0880583785599787</v>
      </c>
      <c r="R41" s="31" t="n">
        <f aca="false">+R40/R$28</f>
        <v>0.0754451181850244</v>
      </c>
      <c r="S41" s="31" t="n">
        <f aca="false">+S40/S$28</f>
        <v>0.0816411974042286</v>
      </c>
      <c r="T41" s="31" t="n">
        <f aca="false">+T40/T$28</f>
        <v>0.0720610932626863</v>
      </c>
      <c r="U41" s="31" t="n">
        <f aca="false">+U40/U$28</f>
        <v>0.0776759496467935</v>
      </c>
      <c r="AA41" s="31" t="n">
        <f aca="false">+AA40/AA$28</f>
        <v>0.122117090479007</v>
      </c>
      <c r="AB41" s="31" t="n">
        <f aca="false">+AB40/AB$28</f>
        <v>0.130580900090159</v>
      </c>
      <c r="AC41" s="31" t="n">
        <f aca="false">+AC40/AC$28</f>
        <v>0.117395345385036</v>
      </c>
      <c r="AD41" s="31" t="n">
        <f aca="false">+AD40/AD$28</f>
        <v>0.134047209168637</v>
      </c>
      <c r="AE41" s="31" t="n">
        <f aca="false">+AE40/AE$28</f>
        <v>0.115723194308841</v>
      </c>
      <c r="AF41" s="31" t="n">
        <f aca="false">+AF40/AF$28</f>
        <v>0.0888140559853283</v>
      </c>
      <c r="AG41" s="31" t="n">
        <f aca="false">+AG40/AG$28</f>
        <v>0.0829739649236941</v>
      </c>
      <c r="AH41" s="31" t="n">
        <f aca="false">+AH40/AH$28</f>
        <v>0.0779233757544259</v>
      </c>
      <c r="AI41" s="31" t="n">
        <f aca="false">+AI40/AI$28</f>
        <v>0.0731802137519824</v>
      </c>
      <c r="AJ41" s="31" t="n">
        <f aca="false">+AJ40/AJ$28</f>
        <v>0.0687257659583834</v>
      </c>
      <c r="AK41" s="31" t="n">
        <f aca="false">+AK40/AK$28</f>
        <v>0.0645424584652645</v>
      </c>
      <c r="AL41" s="31" t="n">
        <f aca="false">+AL40/AL$28</f>
        <v>0.0606137870804223</v>
      </c>
      <c r="AM41" s="31" t="n">
        <f aca="false">+AM40/AM$28</f>
        <v>0.0569242522146574</v>
      </c>
      <c r="AN41" s="31" t="n">
        <f aca="false">+AN40/AN$28</f>
        <v>0.0534592977320262</v>
      </c>
      <c r="AO41" s="31" t="n">
        <f aca="false">+AO40/AO$28</f>
        <v>0.0502052535222506</v>
      </c>
      <c r="AP41" s="31" t="n">
        <f aca="false">+AP40/AP$28</f>
        <v>0.0471492815687224</v>
      </c>
      <c r="AQ41" s="31" t="n">
        <f aca="false">+AQ40/AQ$28</f>
        <v>0.044279325299322</v>
      </c>
    </row>
    <row r="42" s="41" customFormat="true" ht="12.8" hidden="false" customHeight="true" outlineLevel="0" collapsed="false">
      <c r="A42" s="39" t="s">
        <v>99</v>
      </c>
      <c r="B42" s="40" t="n">
        <v>131</v>
      </c>
      <c r="C42" s="40" t="n">
        <v>171</v>
      </c>
      <c r="D42" s="40" t="n">
        <v>160</v>
      </c>
      <c r="E42" s="40" t="n">
        <v>164</v>
      </c>
      <c r="F42" s="40" t="n">
        <v>140</v>
      </c>
      <c r="G42" s="40" t="n">
        <v>161</v>
      </c>
      <c r="H42" s="40" t="n">
        <v>129</v>
      </c>
      <c r="I42" s="40" t="n">
        <v>155</v>
      </c>
      <c r="J42" s="40" t="n">
        <v>123</v>
      </c>
      <c r="K42" s="40" t="n">
        <v>124</v>
      </c>
      <c r="L42" s="40" t="n">
        <v>112</v>
      </c>
      <c r="M42" s="40" t="n">
        <v>122</v>
      </c>
      <c r="N42" s="40" t="n">
        <v>124</v>
      </c>
      <c r="O42" s="40" t="n">
        <v>135</v>
      </c>
      <c r="P42" s="40" t="n">
        <v>111</v>
      </c>
      <c r="Q42" s="40" t="n">
        <v>109</v>
      </c>
      <c r="R42" s="40" t="n">
        <v>107</v>
      </c>
      <c r="S42" s="40" t="n">
        <v>148</v>
      </c>
      <c r="T42" s="40" t="n">
        <f aca="false">+P42*0.9</f>
        <v>99.9</v>
      </c>
      <c r="U42" s="40" t="n">
        <f aca="false">+Q42*0.9</f>
        <v>98.1</v>
      </c>
      <c r="V42" s="40"/>
      <c r="W42" s="40"/>
      <c r="X42" s="40"/>
      <c r="Y42" s="40"/>
      <c r="Z42" s="40"/>
      <c r="AA42" s="40" t="n">
        <v>354</v>
      </c>
      <c r="AB42" s="40" t="n">
        <v>442</v>
      </c>
      <c r="AC42" s="40" t="n">
        <v>450</v>
      </c>
      <c r="AD42" s="40" t="n">
        <v>626</v>
      </c>
      <c r="AE42" s="40" t="n">
        <v>585</v>
      </c>
      <c r="AF42" s="40" t="n">
        <v>481</v>
      </c>
      <c r="AG42" s="40" t="n">
        <f aca="false">SUM(N42:Q42)</f>
        <v>479</v>
      </c>
      <c r="AH42" s="40" t="n">
        <f aca="false">AG42*1.05</f>
        <v>502.95</v>
      </c>
      <c r="AI42" s="40" t="n">
        <f aca="false">AH42*1.05</f>
        <v>528.0975</v>
      </c>
      <c r="AJ42" s="40" t="n">
        <f aca="false">AI42*1.05</f>
        <v>554.502375</v>
      </c>
      <c r="AK42" s="40" t="n">
        <f aca="false">AJ42*1.05</f>
        <v>582.22749375</v>
      </c>
      <c r="AL42" s="40" t="n">
        <f aca="false">AK42*1.05</f>
        <v>611.3388684375</v>
      </c>
      <c r="AM42" s="40" t="n">
        <f aca="false">AL42*1.05</f>
        <v>641.905811859375</v>
      </c>
      <c r="AN42" s="40" t="n">
        <f aca="false">AM42*1.05</f>
        <v>674.001102452344</v>
      </c>
      <c r="AO42" s="40" t="n">
        <f aca="false">AN42*1.05</f>
        <v>707.701157574961</v>
      </c>
      <c r="AP42" s="40" t="n">
        <f aca="false">AO42*1.05</f>
        <v>743.086215453709</v>
      </c>
      <c r="AQ42" s="40" t="n">
        <f aca="false">AP42*1.05</f>
        <v>780.240526226395</v>
      </c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</row>
    <row r="43" s="42" customFormat="true" ht="10.5" hidden="false" customHeight="true" outlineLevel="0" collapsed="false">
      <c r="A43" s="29"/>
      <c r="B43" s="31" t="n">
        <f aca="false">+B42/B$28</f>
        <v>0.0492296129274709</v>
      </c>
      <c r="C43" s="31" t="n">
        <f aca="false">+C42/C$28</f>
        <v>0.0597067039106145</v>
      </c>
      <c r="D43" s="31" t="n">
        <f aca="false">+D42/D$28</f>
        <v>0.0527009222661397</v>
      </c>
      <c r="E43" s="31" t="n">
        <f aca="false">+E42/E$28</f>
        <v>0.0518003790271636</v>
      </c>
      <c r="F43" s="31" t="n">
        <f aca="false">+F42/F$28</f>
        <v>0.0460202297778218</v>
      </c>
      <c r="G43" s="31" t="n">
        <f aca="false">+G42/G$28</f>
        <v>0.0506750255201542</v>
      </c>
      <c r="H43" s="31" t="n">
        <f aca="false">+H42/H$28</f>
        <v>0.0384260487977863</v>
      </c>
      <c r="I43" s="31" t="n">
        <f aca="false">+I42/I$28</f>
        <v>0.0422209099950274</v>
      </c>
      <c r="J43" s="31" t="n">
        <f aca="false">+J42/J$28</f>
        <v>0.0338265516824021</v>
      </c>
      <c r="K43" s="31" t="n">
        <f aca="false">+K42/K$28</f>
        <v>0.0325697954295329</v>
      </c>
      <c r="L43" s="31" t="n">
        <f aca="false">+L42/L$28</f>
        <v>0.0280827863169829</v>
      </c>
      <c r="M43" s="31" t="n">
        <f aca="false">+M42/M$28</f>
        <v>0.0287588746753621</v>
      </c>
      <c r="N43" s="31" t="n">
        <f aca="false">+N42/N$28</f>
        <v>0.029593106182471</v>
      </c>
      <c r="O43" s="31" t="n">
        <f aca="false">+O42/O$28</f>
        <v>0.032195596871287</v>
      </c>
      <c r="P43" s="31" t="n">
        <f aca="false">+P42/P$28</f>
        <v>0.0259825942529465</v>
      </c>
      <c r="Q43" s="31" t="n">
        <f aca="false">+Q42/Q$28</f>
        <v>0.0240560482782899</v>
      </c>
      <c r="R43" s="31" t="n">
        <f aca="false">+R42/R$28</f>
        <v>0.023604174402917</v>
      </c>
      <c r="S43" s="31" t="n">
        <f aca="false">+S42/S$28</f>
        <v>0.0309817877328867</v>
      </c>
      <c r="T43" s="31" t="n">
        <f aca="false">+T42/T$28</f>
        <v>0.0204229998494776</v>
      </c>
      <c r="U43" s="31" t="n">
        <f aca="false">+U42/U$28</f>
        <v>0.0189086842362104</v>
      </c>
      <c r="V43" s="31"/>
      <c r="W43" s="31"/>
      <c r="X43" s="31"/>
      <c r="Y43" s="31"/>
      <c r="Z43" s="31"/>
      <c r="AA43" s="31" t="n">
        <f aca="false">+AA42/AA$28</f>
        <v>0.0523358959195742</v>
      </c>
      <c r="AB43" s="31" t="n">
        <f aca="false">+AB42/AB$28</f>
        <v>0.0560901436733238</v>
      </c>
      <c r="AC43" s="31" t="n">
        <f aca="false">+AC42/AC$28</f>
        <v>0.0465444100645519</v>
      </c>
      <c r="AD43" s="31" t="n">
        <f aca="false">+AD42/AD$28</f>
        <v>0.0533801227350934</v>
      </c>
      <c r="AE43" s="31" t="n">
        <f aca="false">+AE42/AE$28</f>
        <v>0.0441605144622778</v>
      </c>
      <c r="AF43" s="31" t="n">
        <f aca="false">+AF42/AF$28</f>
        <v>0.0306893397478038</v>
      </c>
      <c r="AG43" s="31" t="n">
        <f aca="false">+AG42/AG$28</f>
        <v>0.0278713388488425</v>
      </c>
      <c r="AH43" s="31" t="n">
        <f aca="false">+AH42/AH$28</f>
        <v>0.0254477441663345</v>
      </c>
      <c r="AI43" s="31" t="n">
        <f aca="false">+AI42/AI$28</f>
        <v>0.0232348968475228</v>
      </c>
      <c r="AJ43" s="31" t="n">
        <f aca="false">+AJ42/AJ$28</f>
        <v>0.0212144710346947</v>
      </c>
      <c r="AK43" s="31" t="n">
        <f aca="false">+AK42/AK$28</f>
        <v>0.0193697344229821</v>
      </c>
      <c r="AL43" s="31" t="n">
        <f aca="false">+AL42/AL$28</f>
        <v>0.0176854096905489</v>
      </c>
      <c r="AM43" s="31" t="n">
        <f aca="false">+AM42/AM$28</f>
        <v>0.0161475479783273</v>
      </c>
      <c r="AN43" s="31" t="n">
        <f aca="false">+AN42/AN$28</f>
        <v>0.0147434133715162</v>
      </c>
      <c r="AO43" s="31" t="n">
        <f aca="false">+AO42/AO$28</f>
        <v>0.013461377426167</v>
      </c>
      <c r="AP43" s="31" t="n">
        <f aca="false">+AP42/AP$28</f>
        <v>0.0122908228673698</v>
      </c>
      <c r="AQ43" s="31" t="n">
        <f aca="false">+AQ42/AQ$28</f>
        <v>0.0112220556615116</v>
      </c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</row>
    <row r="44" s="40" customFormat="true" ht="12.8" hidden="false" customHeight="true" outlineLevel="0" collapsed="false">
      <c r="A44" s="39" t="s">
        <v>100</v>
      </c>
      <c r="B44" s="40" t="n">
        <f aca="false">SUM(B38:B42)-B41-B39</f>
        <v>677</v>
      </c>
      <c r="C44" s="40" t="n">
        <f aca="false">SUM(C38:C42)-C41-C39</f>
        <v>898</v>
      </c>
      <c r="D44" s="40" t="n">
        <f aca="false">SUM(D38:D42)-D41-D39</f>
        <v>978</v>
      </c>
      <c r="E44" s="40" t="n">
        <f aca="false">SUM(E38:E42)-E41-E39</f>
        <v>1032</v>
      </c>
      <c r="F44" s="40" t="n">
        <f aca="false">SUM(F38:F42)-F41-F39</f>
        <v>922</v>
      </c>
      <c r="G44" s="40" t="n">
        <f aca="false">SUM(G38:G42)-G41-G39</f>
        <v>1013</v>
      </c>
      <c r="H44" s="40" t="n">
        <f aca="false">SUM(H38:H42)-H41-H39</f>
        <v>853</v>
      </c>
      <c r="I44" s="40" t="n">
        <f aca="false">SUM(I38:I42)-I41-I39</f>
        <v>1055</v>
      </c>
      <c r="J44" s="40" t="n">
        <f aca="false">SUM(J38:J42)-J41-J39</f>
        <v>836</v>
      </c>
      <c r="K44" s="40" t="n">
        <f aca="false">SUM(K38:K42)-K41-K39</f>
        <v>846</v>
      </c>
      <c r="L44" s="40" t="n">
        <f aca="false">SUM(L38:L42)-L41-L39</f>
        <v>786</v>
      </c>
      <c r="M44" s="40" t="n">
        <f aca="false">SUM(M38:M42)-M41-M39</f>
        <v>891</v>
      </c>
      <c r="N44" s="40" t="n">
        <f aca="false">SUM(N38:N42)-N41-N39</f>
        <v>817</v>
      </c>
      <c r="O44" s="40" t="n">
        <f aca="false">SUM(O38:O42)-O41-O39</f>
        <v>914</v>
      </c>
      <c r="P44" s="40" t="n">
        <f aca="false">SUM(P38:P42)-P41-P39</f>
        <v>769</v>
      </c>
      <c r="Q44" s="40" t="n">
        <f aca="false">SUM(Q38:Q42)-Q41-Q39</f>
        <v>798</v>
      </c>
      <c r="R44" s="40" t="n">
        <f aca="false">SUM(R38:R42)-R41-R39</f>
        <v>780</v>
      </c>
      <c r="S44" s="40" t="n">
        <f aca="false">SUM(S38:S42)-S41-S39</f>
        <v>941</v>
      </c>
      <c r="T44" s="40" t="n">
        <f aca="false">SUM(T38:T42)</f>
        <v>730.61891430906</v>
      </c>
      <c r="U44" s="40" t="n">
        <f aca="false">SUM(U38:U42)</f>
        <v>762.217983458165</v>
      </c>
      <c r="AA44" s="40" t="n">
        <f aca="false">SUM(AA38:AA42)-AA41-AA39</f>
        <v>1795</v>
      </c>
      <c r="AB44" s="40" t="n">
        <f aca="false">SUM(AB38:AB42)-AB41-AB39</f>
        <v>2308</v>
      </c>
      <c r="AC44" s="40" t="n">
        <f aca="false">SUM(AC38:AC42)-AC41-AC39</f>
        <v>2497</v>
      </c>
      <c r="AD44" s="40" t="n">
        <f aca="false">SUM(AD38:AD42)-AD41-AD39</f>
        <v>3585</v>
      </c>
      <c r="AE44" s="40" t="n">
        <f aca="false">SUM(AE38:AE42)-AE41-AE39</f>
        <v>3843</v>
      </c>
      <c r="AF44" s="40" t="n">
        <f aca="false">SUM(AF38:AF42)-AF41-AF39</f>
        <v>3359</v>
      </c>
      <c r="AG44" s="40" t="n">
        <f aca="false">SUM(AG38:AG42)-AG41-AG39</f>
        <v>3298</v>
      </c>
      <c r="AH44" s="40" t="n">
        <f aca="false">SUM(AH38:AH42)-AH41-AH39</f>
        <v>3575.33</v>
      </c>
      <c r="AI44" s="40" t="n">
        <f aca="false">SUM(AI38:AI42)-AI41-AI39</f>
        <v>3876.9139</v>
      </c>
      <c r="AJ44" s="40" t="n">
        <f aca="false">SUM(AJ38:AJ42)-AJ41-AJ39</f>
        <v>4204.934687</v>
      </c>
      <c r="AK44" s="40" t="n">
        <f aca="false">SUM(AK38:AK42)-AK41-AK39</f>
        <v>4561.77605071</v>
      </c>
      <c r="AL44" s="40" t="n">
        <f aca="false">SUM(AL38:AL42)-AL41-AL39</f>
        <v>4950.0411359543</v>
      </c>
      <c r="AM44" s="40" t="n">
        <f aca="false">SUM(AM38:AM42)-AM41-AM39</f>
        <v>5372.57306937752</v>
      </c>
      <c r="AN44" s="40" t="n">
        <f aca="false">SUM(AN38:AN42)-AN41-AN39</f>
        <v>5832.47743003194</v>
      </c>
      <c r="AO44" s="40" t="n">
        <f aca="false">SUM(AO38:AO42)-AO41-AO39</f>
        <v>6333.14684976692</v>
      </c>
      <c r="AP44" s="40" t="n">
        <f aca="false">SUM(AP38:AP42)-AP41-AP39</f>
        <v>6878.28794726763</v>
      </c>
      <c r="AQ44" s="40" t="n">
        <f aca="false">SUM(AQ38:AQ42)-AQ41-AQ39</f>
        <v>7471.9508192567</v>
      </c>
    </row>
    <row r="45" s="31" customFormat="true" ht="10.5" hidden="false" customHeight="true" outlineLevel="0" collapsed="false">
      <c r="A45" s="29"/>
      <c r="B45" s="31" t="n">
        <f aca="false">+B44/B$28</f>
        <v>0.254415633220594</v>
      </c>
      <c r="C45" s="31" t="n">
        <f aca="false">+C44/C$28</f>
        <v>0.31354748603352</v>
      </c>
      <c r="D45" s="31" t="n">
        <f aca="false">+D44/D$28</f>
        <v>0.322134387351779</v>
      </c>
      <c r="E45" s="31" t="n">
        <f aca="false">+E44/E$28</f>
        <v>0.325963360707517</v>
      </c>
      <c r="F45" s="31" t="n">
        <f aca="false">+F44/F$28</f>
        <v>0.303076084679655</v>
      </c>
      <c r="G45" s="31" t="n">
        <f aca="false">+G44/G$28</f>
        <v>0.318843483552274</v>
      </c>
      <c r="H45" s="31" t="n">
        <f aca="false">+H44/H$28</f>
        <v>0.254088524221021</v>
      </c>
      <c r="I45" s="31" t="n">
        <f aca="false">+I44/I$28</f>
        <v>0.287374580933896</v>
      </c>
      <c r="J45" s="31" t="n">
        <f aca="false">+J44/J$28</f>
        <v>0.229910546394212</v>
      </c>
      <c r="K45" s="31" t="n">
        <f aca="false">+K44/K$28</f>
        <v>0.222210055914394</v>
      </c>
      <c r="L45" s="31" t="n">
        <f aca="false">+L44/L$28</f>
        <v>0.197080982545969</v>
      </c>
      <c r="M45" s="31" t="n">
        <f aca="false">+M44/M$28</f>
        <v>0.210034076522521</v>
      </c>
      <c r="N45" s="31" t="n">
        <f aca="false">+N44/N$28</f>
        <v>0.194980385089346</v>
      </c>
      <c r="O45" s="31" t="n">
        <f aca="false">+O44/O$28</f>
        <v>0.217976115113751</v>
      </c>
      <c r="P45" s="31" t="n">
        <f aca="false">+P44/P$28</f>
        <v>0.180005540365008</v>
      </c>
      <c r="Q45" s="31" t="n">
        <f aca="false">+Q44/Q$28</f>
        <v>0.176116757119957</v>
      </c>
      <c r="R45" s="31" t="n">
        <f aca="false">+R44/R$28</f>
        <v>0.172067813404442</v>
      </c>
      <c r="S45" s="31" t="n">
        <f aca="false">+S44/S$28</f>
        <v>0.196985555788152</v>
      </c>
      <c r="T45" s="31" t="n">
        <f aca="false">+T44/T$28</f>
        <v>0.149363663433027</v>
      </c>
      <c r="U45" s="31" t="n">
        <f aca="false">+U44/U$28</f>
        <v>0.146916811094511</v>
      </c>
      <c r="AA45" s="31" t="n">
        <f aca="false">+AA44/AA$28</f>
        <v>0.265375517445299</v>
      </c>
      <c r="AB45" s="31" t="n">
        <f aca="false">+AB44/AB$28</f>
        <v>0.292886994565682</v>
      </c>
      <c r="AC45" s="31" t="n">
        <f aca="false">+AC44/AC$28</f>
        <v>0.25826975984708</v>
      </c>
      <c r="AD45" s="31" t="n">
        <f aca="false">+AD44/AD$28</f>
        <v>0.305699265184201</v>
      </c>
      <c r="AE45" s="31" t="n">
        <f aca="false">+AE44/AE$28</f>
        <v>0.290100610390656</v>
      </c>
      <c r="AF45" s="31" t="n">
        <f aca="false">+AF44/AF$28</f>
        <v>0.214314952625516</v>
      </c>
      <c r="AG45" s="31" t="n">
        <f aca="false">+AG44/AG$28</f>
        <v>0.19189911382773</v>
      </c>
      <c r="AH45" s="31" t="n">
        <f aca="false">+AH44/AH$28</f>
        <v>0.180900851277902</v>
      </c>
      <c r="AI45" s="31" t="n">
        <f aca="false">+AI44/AI$28</f>
        <v>0.170573984071554</v>
      </c>
      <c r="AJ45" s="31" t="n">
        <f aca="false">+AJ44/AJ$28</f>
        <v>0.160874811618516</v>
      </c>
      <c r="AK45" s="31" t="n">
        <f aca="false">+AK44/AK$28</f>
        <v>0.151762655573448</v>
      </c>
      <c r="AL45" s="31" t="n">
        <f aca="false">+AL44/AL$28</f>
        <v>0.143199639339425</v>
      </c>
      <c r="AM45" s="31" t="n">
        <f aca="false">+AM44/AM$28</f>
        <v>0.135150484388897</v>
      </c>
      <c r="AN45" s="31" t="n">
        <f aca="false">+AN44/AN$28</f>
        <v>0.127582322073545</v>
      </c>
      <c r="AO45" s="31" t="n">
        <f aca="false">+AO44/AO$28</f>
        <v>0.120464519702333</v>
      </c>
      <c r="AP45" s="31" t="n">
        <f aca="false">+AP44/AP$28</f>
        <v>0.113768519765925</v>
      </c>
      <c r="AQ45" s="31" t="n">
        <f aca="false">+AQ44/AQ$28</f>
        <v>0.107467691276325</v>
      </c>
    </row>
    <row r="46" s="40" customFormat="true" ht="12.8" hidden="false" customHeight="true" outlineLevel="0" collapsed="false">
      <c r="A46" s="39" t="s">
        <v>101</v>
      </c>
      <c r="B46" s="40" t="n">
        <f aca="false">B36-B44</f>
        <v>-6</v>
      </c>
      <c r="C46" s="40" t="n">
        <f aca="false">C36-C44</f>
        <v>-194</v>
      </c>
      <c r="D46" s="40" t="n">
        <f aca="false">D36-D44</f>
        <v>-228</v>
      </c>
      <c r="E46" s="40" t="n">
        <f aca="false">E36-E44</f>
        <v>-231</v>
      </c>
      <c r="F46" s="40" t="n">
        <f aca="false">F36-F44</f>
        <v>-155.859604876</v>
      </c>
      <c r="G46" s="40" t="n">
        <f aca="false">G36-G44</f>
        <v>-246.89257188498</v>
      </c>
      <c r="H46" s="40" t="n">
        <f aca="false">H36-H44</f>
        <v>32.0976989815199</v>
      </c>
      <c r="I46" s="40" t="n">
        <f aca="false">I36-I44</f>
        <v>-74.83327199117</v>
      </c>
      <c r="J46" s="40" t="n">
        <f aca="false">J36-J44</f>
        <v>168.19683007741</v>
      </c>
      <c r="K46" s="40" t="n">
        <f aca="false">K36-K44</f>
        <v>266.20843851424</v>
      </c>
      <c r="L46" s="40" t="n">
        <f aca="false">L36-L44</f>
        <v>454.20824742268</v>
      </c>
      <c r="M46" s="40" t="n">
        <f aca="false">M36-M44</f>
        <v>477.16876971609</v>
      </c>
      <c r="N46" s="40" t="n">
        <f aca="false">N36-N44</f>
        <v>509.16507545427</v>
      </c>
      <c r="O46" s="40" t="n">
        <f aca="false">O36-O44</f>
        <v>406.11996418979</v>
      </c>
      <c r="P46" s="40" t="n">
        <f aca="false">P36-P44</f>
        <v>582.09072810011</v>
      </c>
      <c r="Q46" s="40" t="n">
        <f aca="false">Q36-Q44</f>
        <v>701.08502024292</v>
      </c>
      <c r="R46" s="40" t="n">
        <f aca="false">R36-R44</f>
        <v>715.09648427174</v>
      </c>
      <c r="S46" s="40" t="n">
        <f aca="false">S36-S44</f>
        <v>655</v>
      </c>
      <c r="T46" s="40" t="n">
        <f aca="false">T36-T44</f>
        <v>883.59056730357</v>
      </c>
      <c r="U46" s="40" t="n">
        <f aca="false">U36-U44</f>
        <v>949.852491440625</v>
      </c>
      <c r="AA46" s="40" t="n">
        <f aca="false">AA36-AA44</f>
        <v>-73</v>
      </c>
      <c r="AB46" s="40" t="n">
        <f aca="false">AB36-AB44</f>
        <v>-292.82763720013</v>
      </c>
      <c r="AC46" s="40" t="n">
        <f aca="false">AC36-AC44</f>
        <v>94.1857042746997</v>
      </c>
      <c r="AD46" s="40" t="n">
        <f aca="false">AD36-AD44</f>
        <v>-658.7882978723</v>
      </c>
      <c r="AE46" s="40" t="n">
        <f aca="false">AE36-AE44</f>
        <v>-445.8717198322</v>
      </c>
      <c r="AF46" s="40" t="n">
        <f aca="false">AF36-AF44</f>
        <v>1365.1947950891</v>
      </c>
      <c r="AG46" s="40" t="n">
        <f aca="false">AG36-AG44</f>
        <v>2198.1137564223</v>
      </c>
      <c r="AH46" s="40" t="n">
        <f aca="false">AG46+((AG28-AF28)*0.1)</f>
        <v>2349.40565255562</v>
      </c>
      <c r="AI46" s="40" t="n">
        <f aca="false">AH46+((AH28-AG28)*0.1)</f>
        <v>2607.19735890195</v>
      </c>
      <c r="AJ46" s="40" t="n">
        <f aca="false">AI46+((AI28-AH28)*0.1)</f>
        <v>2903.65782120024</v>
      </c>
      <c r="AK46" s="40" t="n">
        <f aca="false">AJ46+((AJ28-AI28)*0.1)</f>
        <v>3244.58735284327</v>
      </c>
      <c r="AL46" s="40" t="n">
        <f aca="false">AK46+((AK28-AJ28)*0.1)</f>
        <v>3636.65631423275</v>
      </c>
      <c r="AM46" s="40" t="n">
        <f aca="false">AL46+((AL28-AK28)*0.1)</f>
        <v>4087.53561983065</v>
      </c>
      <c r="AN46" s="40" t="n">
        <f aca="false">AM46+((AM28-AL28)*0.1)</f>
        <v>4606.04682126824</v>
      </c>
      <c r="AO46" s="40" t="n">
        <f aca="false">AN46+((AN28-AM28)*0.1)</f>
        <v>5202.33470292147</v>
      </c>
      <c r="AP46" s="40" t="n">
        <f aca="false">AO46+((AO28-AN28)*0.1)</f>
        <v>5888.06576682268</v>
      </c>
      <c r="AQ46" s="40" t="n">
        <f aca="false">AP46+((AP28-AO28)*0.1)</f>
        <v>6676.65649030907</v>
      </c>
    </row>
    <row r="47" s="31" customFormat="true" ht="10.5" hidden="false" customHeight="true" outlineLevel="0" collapsed="false">
      <c r="A47" s="29"/>
      <c r="B47" s="31" t="n">
        <f aca="false">+B46/B$28</f>
        <v>-0.00225479143179256</v>
      </c>
      <c r="C47" s="31" t="n">
        <f aca="false">+C46/C$28</f>
        <v>-0.0677374301675978</v>
      </c>
      <c r="D47" s="31" t="n">
        <f aca="false">+D46/D$28</f>
        <v>-0.075098814229249</v>
      </c>
      <c r="E47" s="31" t="n">
        <f aca="false">+E46/E$28</f>
        <v>-0.072962728995578</v>
      </c>
      <c r="F47" s="31" t="n">
        <f aca="false">+F46/F$28</f>
        <v>-0.0512335344962431</v>
      </c>
      <c r="G47" s="31" t="n">
        <f aca="false">+G46/G$28</f>
        <v>-0.0777098595093656</v>
      </c>
      <c r="H47" s="31" t="n">
        <f aca="false">+H46/H$28</f>
        <v>0.00956114532837627</v>
      </c>
      <c r="I47" s="31" t="n">
        <f aca="false">+I46/I$28</f>
        <v>-0.0203840570411135</v>
      </c>
      <c r="J47" s="31" t="n">
        <f aca="false">+J46/J$28</f>
        <v>0.0462562501254448</v>
      </c>
      <c r="K47" s="31" t="n">
        <f aca="false">+K46/K$28</f>
        <v>0.0699222127743884</v>
      </c>
      <c r="L47" s="31" t="n">
        <f aca="false">+L46/L$28</f>
        <v>0.113887796033772</v>
      </c>
      <c r="M47" s="31" t="n">
        <f aca="false">+M46/M$28</f>
        <v>0.11248226923985</v>
      </c>
      <c r="N47" s="31" t="n">
        <f aca="false">+N46/N$28</f>
        <v>0.12151432372842</v>
      </c>
      <c r="O47" s="31" t="n">
        <f aca="false">+O46/O$28</f>
        <v>0.0968538862847112</v>
      </c>
      <c r="P47" s="31" t="n">
        <f aca="false">+P46/P$28</f>
        <v>0.136254299158805</v>
      </c>
      <c r="Q47" s="31" t="n">
        <f aca="false">+Q46/Q$28</f>
        <v>0.154727844900455</v>
      </c>
      <c r="R47" s="31" t="n">
        <f aca="false">+R46/R$28</f>
        <v>0.157750113361336</v>
      </c>
      <c r="S47" s="31" t="n">
        <f aca="false">+S46/S$28</f>
        <v>0.137115344358384</v>
      </c>
      <c r="T47" s="31" t="n">
        <f aca="false">+T46/T$28</f>
        <v>0.180636336566973</v>
      </c>
      <c r="U47" s="31" t="n">
        <f aca="false">+U46/U$28</f>
        <v>0.18308318890549</v>
      </c>
      <c r="AA47" s="31" t="n">
        <f aca="false">+AA46/AA$28</f>
        <v>-0.0107924305144885</v>
      </c>
      <c r="AB47" s="31" t="n">
        <f aca="false">+AB46/AB$28</f>
        <v>-0.037160054846324</v>
      </c>
      <c r="AC47" s="31" t="n">
        <f aca="false">+AC46/AC$28</f>
        <v>0.0097418178710672</v>
      </c>
      <c r="AD47" s="31" t="n">
        <f aca="false">+AD46/AD$28</f>
        <v>-0.0561760386531416</v>
      </c>
      <c r="AE47" s="31" t="n">
        <f aca="false">+AE46/AE$28</f>
        <v>-0.0336579906529411</v>
      </c>
      <c r="AF47" s="31" t="n">
        <f aca="false">+AF46/AF$28</f>
        <v>0.0871037981048291</v>
      </c>
      <c r="AG47" s="31" t="n">
        <f aca="false">+AG46/AG$28</f>
        <v>0.127900570633712</v>
      </c>
      <c r="AH47" s="31" t="n">
        <f aca="false">+AH46/AH$28</f>
        <v>0.118872798467394</v>
      </c>
      <c r="AI47" s="31" t="n">
        <f aca="false">+AI46/AI$28</f>
        <v>0.114709805850663</v>
      </c>
      <c r="AJ47" s="31" t="n">
        <f aca="false">+AJ46/AJ$28</f>
        <v>0.111089812270898</v>
      </c>
      <c r="AK47" s="31" t="n">
        <f aca="false">+AK46/AK$28</f>
        <v>0.107941991766755</v>
      </c>
      <c r="AL47" s="31" t="n">
        <f aca="false">+AL46/AL$28</f>
        <v>0.10520475654576</v>
      </c>
      <c r="AM47" s="31" t="n">
        <f aca="false">+AM46/AM$28</f>
        <v>0.102824552005765</v>
      </c>
      <c r="AN47" s="31" t="n">
        <f aca="false">+AN46/AN$28</f>
        <v>0.100754808927508</v>
      </c>
      <c r="AO47" s="31" t="n">
        <f aca="false">+AO46/AO$28</f>
        <v>0.09895503233772</v>
      </c>
      <c r="AP47" s="31" t="n">
        <f aca="false">+AP46/AP$28</f>
        <v>0.0973900092161648</v>
      </c>
      <c r="AQ47" s="31" t="n">
        <f aca="false">+AQ46/AQ$28</f>
        <v>0.0960291195452473</v>
      </c>
    </row>
    <row r="48" s="40" customFormat="true" ht="12.8" hidden="false" customHeight="true" outlineLevel="0" collapsed="false">
      <c r="A48" s="39" t="s">
        <v>102</v>
      </c>
      <c r="B48" s="40" t="n">
        <v>175</v>
      </c>
      <c r="C48" s="40" t="n">
        <v>118</v>
      </c>
      <c r="D48" s="40" t="n">
        <v>102</v>
      </c>
      <c r="E48" s="40" t="n">
        <v>26</v>
      </c>
      <c r="F48" s="40" t="n">
        <v>27</v>
      </c>
      <c r="G48" s="40" t="n">
        <v>33</v>
      </c>
      <c r="H48" s="40" t="n">
        <v>55</v>
      </c>
      <c r="I48" s="40" t="n">
        <v>46</v>
      </c>
      <c r="J48" s="40" t="n">
        <v>59</v>
      </c>
      <c r="K48" s="40" t="n">
        <v>76</v>
      </c>
      <c r="L48" s="40" t="n">
        <f aca="false">-M48-K48-J48+AF48</f>
        <v>66</v>
      </c>
      <c r="M48" s="40" t="n">
        <v>127</v>
      </c>
      <c r="N48" s="40" t="n">
        <v>71</v>
      </c>
      <c r="O48" s="40" t="n">
        <v>89</v>
      </c>
      <c r="P48" s="40" t="n">
        <v>262</v>
      </c>
      <c r="Q48" s="40" t="n">
        <v>349</v>
      </c>
      <c r="R48" s="40" t="n">
        <v>248</v>
      </c>
      <c r="S48" s="40" t="n">
        <v>86</v>
      </c>
      <c r="T48" s="40" t="n">
        <f aca="false">+P48*1.5</f>
        <v>393</v>
      </c>
      <c r="U48" s="40" t="n">
        <f aca="false">+Q48*1.5</f>
        <v>523.5</v>
      </c>
      <c r="AA48" s="40" t="n">
        <v>275</v>
      </c>
      <c r="AB48" s="40" t="n">
        <v>94</v>
      </c>
      <c r="AC48" s="40" t="n">
        <v>246</v>
      </c>
      <c r="AD48" s="40" t="n">
        <v>421</v>
      </c>
      <c r="AE48" s="40" t="n">
        <v>161</v>
      </c>
      <c r="AF48" s="40" t="n">
        <v>328</v>
      </c>
      <c r="AG48" s="40" t="n">
        <v>292</v>
      </c>
      <c r="AH48" s="40" t="n">
        <f aca="false">AG48*(1+$AV$66)</f>
        <v>297.84</v>
      </c>
      <c r="AI48" s="40" t="n">
        <f aca="false">AH48*(1+$AV$66)</f>
        <v>303.7968</v>
      </c>
      <c r="AJ48" s="40" t="n">
        <f aca="false">AI48*(1+$AV$66)</f>
        <v>309.872736</v>
      </c>
      <c r="AK48" s="40" t="n">
        <f aca="false">AJ48*(1+$AV$66)</f>
        <v>316.07019072</v>
      </c>
      <c r="AL48" s="40" t="n">
        <f aca="false">AK48*(1+$AV$66)</f>
        <v>322.3915945344</v>
      </c>
      <c r="AM48" s="40" t="n">
        <f aca="false">AL48*(1+$AV$66)</f>
        <v>328.839426425088</v>
      </c>
      <c r="AN48" s="40" t="n">
        <f aca="false">AM48*(1+$AV$66)</f>
        <v>335.41621495359</v>
      </c>
      <c r="AO48" s="40" t="n">
        <f aca="false">AN48*(1+$AV$66)</f>
        <v>342.124539252662</v>
      </c>
      <c r="AP48" s="40" t="n">
        <f aca="false">AO48*(1+$AV$66)</f>
        <v>348.967030037715</v>
      </c>
      <c r="AQ48" s="40" t="n">
        <f aca="false">AP48*(1+$AV$66)</f>
        <v>355.946370638469</v>
      </c>
    </row>
    <row r="49" s="31" customFormat="true" ht="10.5" hidden="false" customHeight="true" outlineLevel="0" collapsed="false">
      <c r="A49" s="29"/>
      <c r="B49" s="31" t="n">
        <f aca="false">+B48/B$28</f>
        <v>0.0657647500939496</v>
      </c>
      <c r="C49" s="31" t="n">
        <f aca="false">+C48/C$28</f>
        <v>0.0412011173184358</v>
      </c>
      <c r="D49" s="31" t="n">
        <f aca="false">+D48/D$28</f>
        <v>0.033596837944664</v>
      </c>
      <c r="E49" s="31" t="n">
        <f aca="false">+E48/E$28</f>
        <v>0.0082122552116235</v>
      </c>
      <c r="F49" s="31" t="n">
        <f aca="false">+F48/F$28</f>
        <v>0.00887533002857991</v>
      </c>
      <c r="G49" s="31" t="n">
        <f aca="false">+G48/G$28</f>
        <v>0.0103868064730751</v>
      </c>
      <c r="H49" s="31" t="n">
        <f aca="false">+H48/H$28</f>
        <v>0.0163831990998314</v>
      </c>
      <c r="I49" s="31" t="n">
        <f aca="false">+I48/I$28</f>
        <v>0.0125300765146533</v>
      </c>
      <c r="J49" s="31" t="n">
        <f aca="false">+J48/J$28</f>
        <v>0.0162257443029408</v>
      </c>
      <c r="K49" s="31" t="n">
        <f aca="false">+K48/K$28</f>
        <v>0.0199621326826169</v>
      </c>
      <c r="L49" s="31" t="n">
        <f aca="false">+L48/L$28</f>
        <v>0.0165487847939364</v>
      </c>
      <c r="M49" s="31" t="n">
        <f aca="false">+M48/M$28</f>
        <v>0.02993751708009</v>
      </c>
      <c r="N49" s="31" t="n">
        <f aca="false">+N48/N$28</f>
        <v>0.0169444398302858</v>
      </c>
      <c r="O49" s="31" t="n">
        <f aca="false">+O48/O$28</f>
        <v>0.0212252453447744</v>
      </c>
      <c r="P49" s="31" t="n">
        <f aca="false">+P48/P$28</f>
        <v>0.0613282855339819</v>
      </c>
      <c r="Q49" s="31" t="n">
        <f aca="false">+Q48/Q$28</f>
        <v>0.0770234940286531</v>
      </c>
      <c r="R49" s="31" t="n">
        <f aca="false">+R48/R$28</f>
        <v>0.0547087406721814</v>
      </c>
      <c r="S49" s="31" t="n">
        <f aca="false">+S48/S$28</f>
        <v>0.0180029307096504</v>
      </c>
      <c r="T49" s="31" t="n">
        <f aca="false">+T48/T$28</f>
        <v>0.0803427321405875</v>
      </c>
      <c r="U49" s="31" t="n">
        <f aca="false">+U48/U$28</f>
        <v>0.100904140648891</v>
      </c>
      <c r="AA49" s="31" t="n">
        <f aca="false">+AA48/AA$28</f>
        <v>0.0406564163217031</v>
      </c>
      <c r="AB49" s="31" t="n">
        <f aca="false">+AB48/AB$28</f>
        <v>0.0119286730888969</v>
      </c>
      <c r="AC49" s="31" t="n">
        <f aca="false">+AC48/AC$28</f>
        <v>0.025444277501955</v>
      </c>
      <c r="AD49" s="31" t="n">
        <f aca="false">+AD48/AD$28</f>
        <v>0.0358994116157737</v>
      </c>
      <c r="AE49" s="31" t="n">
        <f aca="false">+AE48/AE$28</f>
        <v>0.0121535774844901</v>
      </c>
      <c r="AF49" s="31" t="n">
        <f aca="false">+AF48/AF$28</f>
        <v>0.0209274499735544</v>
      </c>
      <c r="AG49" s="31" t="n">
        <f aca="false">+AG48/AG$28</f>
        <v>0.0169904612606723</v>
      </c>
      <c r="AH49" s="31" t="n">
        <f aca="false">+AH48/AH$28</f>
        <v>0.0150698004225094</v>
      </c>
      <c r="AI49" s="31" t="n">
        <f aca="false">+AI48/AI$28</f>
        <v>0.0133662577660517</v>
      </c>
      <c r="AJ49" s="31" t="n">
        <f aca="false">+AJ48/AJ$28</f>
        <v>0.0118552894968459</v>
      </c>
      <c r="AK49" s="31" t="n">
        <f aca="false">+AK48/AK$28</f>
        <v>0.0105151263363329</v>
      </c>
      <c r="AL49" s="31" t="n">
        <f aca="false">+AL48/AL$28</f>
        <v>0.00932645988092135</v>
      </c>
      <c r="AM49" s="31" t="n">
        <f aca="false">+AM48/AM$28</f>
        <v>0.00827216441612154</v>
      </c>
      <c r="AN49" s="31" t="n">
        <f aca="false">+AN48/AN$28</f>
        <v>0.00733705017777737</v>
      </c>
      <c r="AO49" s="31" t="n">
        <f aca="false">+AO48/AO$28</f>
        <v>0.00650764450550689</v>
      </c>
      <c r="AP49" s="31" t="n">
        <f aca="false">+AP48/AP$28</f>
        <v>0.00577199773531915</v>
      </c>
      <c r="AQ49" s="31" t="n">
        <f aca="false">+AQ48/AQ$28</f>
        <v>0.00511951103480481</v>
      </c>
    </row>
    <row r="50" s="40" customFormat="true" ht="12.8" hidden="false" customHeight="true" outlineLevel="0" collapsed="false">
      <c r="A50" s="39" t="s">
        <v>103</v>
      </c>
      <c r="B50" s="40" t="n">
        <v>-14</v>
      </c>
      <c r="C50" s="40" t="n">
        <v>-14</v>
      </c>
      <c r="D50" s="40" t="n">
        <v>-18</v>
      </c>
      <c r="E50" s="40" t="n">
        <v>-86</v>
      </c>
      <c r="F50" s="40" t="n">
        <v>-77</v>
      </c>
      <c r="G50" s="40" t="n">
        <v>-27</v>
      </c>
      <c r="H50" s="40" t="n">
        <v>-14</v>
      </c>
      <c r="I50" s="40" t="n">
        <v>-102</v>
      </c>
      <c r="J50" s="40" t="n">
        <v>-53</v>
      </c>
      <c r="K50" s="40" t="n">
        <v>-72</v>
      </c>
      <c r="L50" s="40" t="n">
        <f aca="false">-M50-K50-J50+AF50</f>
        <v>-122</v>
      </c>
      <c r="M50" s="40" t="n">
        <v>-105</v>
      </c>
      <c r="N50" s="40" t="n">
        <v>-252</v>
      </c>
      <c r="O50" s="40" t="n">
        <v>-447</v>
      </c>
      <c r="P50" s="40" t="n">
        <v>-17</v>
      </c>
      <c r="Q50" s="40" t="n">
        <v>-29</v>
      </c>
      <c r="R50" s="40" t="n">
        <v>-26</v>
      </c>
      <c r="S50" s="40" t="n">
        <v>-21</v>
      </c>
      <c r="T50" s="40" t="n">
        <v>20</v>
      </c>
      <c r="U50" s="40" t="n">
        <v>20</v>
      </c>
      <c r="AA50" s="40" t="n">
        <v>-333</v>
      </c>
      <c r="AB50" s="40" t="n">
        <v>-510</v>
      </c>
      <c r="AC50" s="40" t="n">
        <v>-91</v>
      </c>
      <c r="AD50" s="40" t="n">
        <v>-132</v>
      </c>
      <c r="AE50" s="40" t="n">
        <v>-220</v>
      </c>
      <c r="AF50" s="40" t="n">
        <v>-352</v>
      </c>
      <c r="AG50" s="40" t="n">
        <v>-266</v>
      </c>
      <c r="AH50" s="40" t="n">
        <f aca="false">AG50*(1+$AV$66)</f>
        <v>-271.32</v>
      </c>
      <c r="AI50" s="40" t="n">
        <f aca="false">AH50*(1+$AV$66)</f>
        <v>-276.7464</v>
      </c>
      <c r="AJ50" s="40" t="n">
        <f aca="false">AI50*(1+$AV$66)</f>
        <v>-282.281328</v>
      </c>
      <c r="AK50" s="40" t="n">
        <f aca="false">AJ50*(1+$AV$66)</f>
        <v>-287.92695456</v>
      </c>
      <c r="AL50" s="40" t="n">
        <f aca="false">AK50*(1+$AV$66)</f>
        <v>-293.6854936512</v>
      </c>
      <c r="AM50" s="40" t="n">
        <f aca="false">AL50*(1+$AV$66)</f>
        <v>-299.559203524224</v>
      </c>
      <c r="AN50" s="40" t="n">
        <f aca="false">AM50*(1+$AV$66)</f>
        <v>-305.550387594708</v>
      </c>
      <c r="AO50" s="40" t="n">
        <f aca="false">AN50*(1+$AV$66)</f>
        <v>-311.661395346603</v>
      </c>
      <c r="AP50" s="40" t="n">
        <f aca="false">AO50*(1+$AV$66)</f>
        <v>-317.894623253535</v>
      </c>
      <c r="AQ50" s="40" t="n">
        <f aca="false">AP50*(1+$AV$66)</f>
        <v>-324.252515718605</v>
      </c>
    </row>
    <row r="51" s="31" customFormat="true" ht="10.5" hidden="false" customHeight="true" outlineLevel="0" collapsed="false">
      <c r="A51" s="29"/>
      <c r="B51" s="31" t="n">
        <f aca="false">+B50/B$28</f>
        <v>-0.00526118000751597</v>
      </c>
      <c r="C51" s="31" t="n">
        <f aca="false">+C50/C$28</f>
        <v>-0.00488826815642458</v>
      </c>
      <c r="D51" s="31" t="n">
        <f aca="false">+D50/D$28</f>
        <v>-0.00592885375494071</v>
      </c>
      <c r="E51" s="31" t="n">
        <f aca="false">+E50/E$28</f>
        <v>-0.0271636133922931</v>
      </c>
      <c r="F51" s="31" t="n">
        <f aca="false">+F50/F$28</f>
        <v>-0.025311126377802</v>
      </c>
      <c r="G51" s="31" t="n">
        <f aca="false">+G50/G$28</f>
        <v>-0.00849829620524325</v>
      </c>
      <c r="H51" s="31" t="n">
        <f aca="false">+H50/H$28</f>
        <v>-0.00417026886177526</v>
      </c>
      <c r="I51" s="31" t="n">
        <f aca="false">+I50/I$28</f>
        <v>-0.0277840827064051</v>
      </c>
      <c r="J51" s="31" t="n">
        <f aca="false">+J50/J$28</f>
        <v>-0.0145756686111163</v>
      </c>
      <c r="K51" s="31" t="n">
        <f aca="false">+K50/K$28</f>
        <v>-0.0189114941203739</v>
      </c>
      <c r="L51" s="31" t="n">
        <f aca="false">+L50/L$28</f>
        <v>-0.0305901779524278</v>
      </c>
      <c r="M51" s="31" t="n">
        <f aca="false">+M50/M$28</f>
        <v>-0.024751490499287</v>
      </c>
      <c r="N51" s="31" t="n">
        <f aca="false">+N50/N$28</f>
        <v>-0.0601408286934089</v>
      </c>
      <c r="O51" s="31" t="n">
        <f aca="false">+O50/O$28</f>
        <v>-0.106603198529373</v>
      </c>
      <c r="P51" s="31" t="n">
        <f aca="false">+P50/P$28</f>
        <v>-0.00397931623693775</v>
      </c>
      <c r="Q51" s="31" t="n">
        <f aca="false">+Q50/Q$28</f>
        <v>-0.00640023302816888</v>
      </c>
      <c r="R51" s="31" t="n">
        <f aca="false">+R50/R$28</f>
        <v>-0.00573559378014805</v>
      </c>
      <c r="S51" s="31" t="n">
        <f aca="false">+S50/S$28</f>
        <v>-0.00439606447561231</v>
      </c>
      <c r="T51" s="31" t="n">
        <f aca="false">+T50/T$28</f>
        <v>0.00408868865855407</v>
      </c>
      <c r="U51" s="31" t="n">
        <f aca="false">+U50/U$28</f>
        <v>0.00385498149565962</v>
      </c>
      <c r="AA51" s="31" t="n">
        <f aca="false">+AA50/AA$28</f>
        <v>-0.0492312241277351</v>
      </c>
      <c r="AB51" s="31" t="n">
        <f aca="false">+AB50/AB$28</f>
        <v>-0.0647193965461428</v>
      </c>
      <c r="AC51" s="31" t="n">
        <f aca="false">+AC50/AC$28</f>
        <v>-0.00941231403527605</v>
      </c>
      <c r="AD51" s="31" t="n">
        <f aca="false">+AD50/AD$28</f>
        <v>-0.0112558725256107</v>
      </c>
      <c r="AE51" s="31" t="n">
        <f aca="false">+AE50/AE$28</f>
        <v>-0.0166073729601729</v>
      </c>
      <c r="AF51" s="31" t="n">
        <f aca="false">+AF50/AF$28</f>
        <v>-0.0224587268008876</v>
      </c>
      <c r="AG51" s="31" t="n">
        <f aca="false">+AG50/AG$28</f>
        <v>-0.0154776119703384</v>
      </c>
      <c r="AH51" s="31" t="n">
        <f aca="false">+AH50/AH$28</f>
        <v>-0.0137279688780393</v>
      </c>
      <c r="AI51" s="31" t="n">
        <f aca="false">+AI50/AI$28</f>
        <v>-0.0121761115266088</v>
      </c>
      <c r="AJ51" s="31" t="n">
        <f aca="false">+AJ50/AJ$28</f>
        <v>-0.0107996815279486</v>
      </c>
      <c r="AK51" s="31" t="n">
        <f aca="false">+AK50/AK$28</f>
        <v>-0.00957884796391968</v>
      </c>
      <c r="AL51" s="31" t="n">
        <f aca="false">+AL50/AL$28</f>
        <v>-0.00849602167234616</v>
      </c>
      <c r="AM51" s="31" t="n">
        <f aca="false">+AM50/AM$28</f>
        <v>-0.00753560183112442</v>
      </c>
      <c r="AN51" s="31" t="n">
        <f aca="false">+AN50/AN$28</f>
        <v>-0.00668375118934512</v>
      </c>
      <c r="AO51" s="31" t="n">
        <f aca="false">+AO50/AO$28</f>
        <v>-0.00592819670707134</v>
      </c>
      <c r="AP51" s="31" t="n">
        <f aca="false">+AP50/AP$28</f>
        <v>-0.00525805273148937</v>
      </c>
      <c r="AQ51" s="31" t="n">
        <f aca="false">+AQ50/AQ$28</f>
        <v>-0.00466366416184273</v>
      </c>
    </row>
    <row r="52" s="41" customFormat="true" ht="12.8" hidden="false" customHeight="true" outlineLevel="0" collapsed="false">
      <c r="A52" s="39" t="s">
        <v>104</v>
      </c>
      <c r="B52" s="40" t="n">
        <f aca="false">SUM(B46:B50)-B49-B47</f>
        <v>155</v>
      </c>
      <c r="C52" s="40" t="n">
        <f aca="false">SUM(C46:C50)-C49-C47</f>
        <v>-90</v>
      </c>
      <c r="D52" s="40" t="n">
        <f aca="false">SUM(D46:D50)-D49-D47</f>
        <v>-144</v>
      </c>
      <c r="E52" s="40" t="n">
        <f aca="false">SUM(E46:E50)-E49-E47</f>
        <v>-291</v>
      </c>
      <c r="F52" s="40" t="n">
        <f aca="false">SUM(F46:F50)-F49-F47</f>
        <v>-205.859604876</v>
      </c>
      <c r="G52" s="40" t="n">
        <f aca="false">SUM(G46:G50)-G49-G47</f>
        <v>-240.89257188498</v>
      </c>
      <c r="H52" s="40" t="n">
        <f aca="false">SUM(H46:H50)-H49-H47</f>
        <v>73.0976989815199</v>
      </c>
      <c r="I52" s="40" t="n">
        <f aca="false">SUM(I46:I50)-I49-I47</f>
        <v>-130.83327199117</v>
      </c>
      <c r="J52" s="40" t="n">
        <f aca="false">SUM(J46:J50)-J49-J47</f>
        <v>174.19683007741</v>
      </c>
      <c r="K52" s="40" t="n">
        <f aca="false">SUM(K46:K50)-K49-K47</f>
        <v>270.20843851424</v>
      </c>
      <c r="L52" s="40" t="n">
        <f aca="false">SUM(L46:L50)-L49-L47</f>
        <v>398.20824742268</v>
      </c>
      <c r="M52" s="40" t="n">
        <f aca="false">SUM(M46:M50)-M49-M47</f>
        <v>499.16876971609</v>
      </c>
      <c r="N52" s="40" t="n">
        <f aca="false">SUM(N46:N50)-N49-N47</f>
        <v>328.16507545427</v>
      </c>
      <c r="O52" s="40" t="n">
        <f aca="false">SUM(O46:O50)-O49-O47</f>
        <v>48.1199641897902</v>
      </c>
      <c r="P52" s="40" t="n">
        <f aca="false">SUM(P46:P50)-P49-P47</f>
        <v>827.09072810011</v>
      </c>
      <c r="Q52" s="40" t="n">
        <f aca="false">SUM(Q46:Q50)-Q49-Q47</f>
        <v>1021.08502024292</v>
      </c>
      <c r="R52" s="40" t="n">
        <f aca="false">SUM(R46:R50)-R49-R47</f>
        <v>937.096484271741</v>
      </c>
      <c r="S52" s="40" t="n">
        <f aca="false">SUM(S46:S50)-S49-S47</f>
        <v>720</v>
      </c>
      <c r="T52" s="40" t="n">
        <f aca="false">SUM(T46:T50)-T49-T47</f>
        <v>1296.59056730357</v>
      </c>
      <c r="U52" s="40" t="n">
        <f aca="false">SUM(U46:U50)-U49-U47</f>
        <v>1493.35249144062</v>
      </c>
      <c r="V52" s="40"/>
      <c r="W52" s="40"/>
      <c r="X52" s="40"/>
      <c r="Y52" s="40"/>
      <c r="Z52" s="40"/>
      <c r="AA52" s="40" t="n">
        <f aca="false">SUM(AA46:AA50)-AA49-AA47</f>
        <v>-131</v>
      </c>
      <c r="AB52" s="40" t="n">
        <f aca="false">SUM(AB46:AB50)-AB49-AB47</f>
        <v>-708.82763720013</v>
      </c>
      <c r="AC52" s="40" t="n">
        <f aca="false">SUM(AC46:AC50)-AC49</f>
        <v>249.195446092571</v>
      </c>
      <c r="AD52" s="40" t="n">
        <f aca="false">SUM(AD46:AD50)-AD49-AD47</f>
        <v>-369.7882978723</v>
      </c>
      <c r="AE52" s="40" t="n">
        <f aca="false">SUM(AE46:AE50)-AE49-AE47</f>
        <v>-504.8717198322</v>
      </c>
      <c r="AF52" s="40" t="n">
        <f aca="false">SUM(AF46:AF50)-AF49</f>
        <v>1341.2818988872</v>
      </c>
      <c r="AG52" s="40" t="n">
        <f aca="false">SUM(AG46:AG50)-AG49-AG47</f>
        <v>2224.1137564223</v>
      </c>
      <c r="AH52" s="40" t="n">
        <f aca="false">SUM(AH46:AH50)-AH49-AH47</f>
        <v>2375.92565255562</v>
      </c>
      <c r="AI52" s="40" t="n">
        <f aca="false">SUM(AI46:AI50)-AI49-AI47</f>
        <v>2634.24775890195</v>
      </c>
      <c r="AJ52" s="40" t="n">
        <f aca="false">SUM(AJ46:AJ50)-AJ49-AJ47</f>
        <v>2931.24922920024</v>
      </c>
      <c r="AK52" s="40" t="n">
        <f aca="false">SUM(AK46:AK50)-AK49-AK47</f>
        <v>3272.73058900327</v>
      </c>
      <c r="AL52" s="40" t="n">
        <f aca="false">SUM(AL46:AL50)-AL49-AL47</f>
        <v>3665.36241511595</v>
      </c>
      <c r="AM52" s="40" t="n">
        <f aca="false">SUM(AM46:AM50)-AM49-AM47</f>
        <v>4116.81584273152</v>
      </c>
      <c r="AN52" s="40" t="n">
        <f aca="false">SUM(AN46:AN50)-AN49-AN47</f>
        <v>4635.91264862712</v>
      </c>
      <c r="AO52" s="40" t="n">
        <f aca="false">SUM(AO46:AO50)-AO49-AO47</f>
        <v>5232.79784682753</v>
      </c>
      <c r="AP52" s="40" t="n">
        <f aca="false">SUM(AP46:AP50)-AP49-AP47</f>
        <v>5919.13817360686</v>
      </c>
      <c r="AQ52" s="40" t="n">
        <f aca="false">SUM(AQ46:AQ50)-AQ49-AQ47</f>
        <v>6708.35034522893</v>
      </c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</row>
    <row r="53" s="42" customFormat="true" ht="10.5" hidden="false" customHeight="true" outlineLevel="0" collapsed="false">
      <c r="A53" s="29"/>
      <c r="B53" s="31" t="n">
        <f aca="false">+B52/B$28</f>
        <v>0.0582487786546411</v>
      </c>
      <c r="C53" s="31" t="n">
        <f aca="false">+C52/C$28</f>
        <v>-0.0314245810055866</v>
      </c>
      <c r="D53" s="31" t="n">
        <f aca="false">+D52/D$28</f>
        <v>-0.0474308300395257</v>
      </c>
      <c r="E53" s="31" t="n">
        <f aca="false">+E52/E$28</f>
        <v>-0.0919140871762476</v>
      </c>
      <c r="F53" s="31" t="n">
        <f aca="false">+F52/F$28</f>
        <v>-0.0676693308454652</v>
      </c>
      <c r="G53" s="31" t="n">
        <f aca="false">+G52/G$28</f>
        <v>-0.0758213492415338</v>
      </c>
      <c r="H53" s="31" t="n">
        <f aca="false">+H52/H$28</f>
        <v>0.0217740755664324</v>
      </c>
      <c r="I53" s="31" t="n">
        <f aca="false">+I52/I$28</f>
        <v>-0.0356380632328653</v>
      </c>
      <c r="J53" s="31" t="n">
        <f aca="false">+J52/J$28</f>
        <v>0.0479063258172693</v>
      </c>
      <c r="K53" s="31" t="n">
        <f aca="false">+K52/K$28</f>
        <v>0.0709728513366314</v>
      </c>
      <c r="L53" s="31" t="n">
        <f aca="false">+L52/L$28</f>
        <v>0.0998464028752802</v>
      </c>
      <c r="M53" s="31" t="n">
        <f aca="false">+M52/M$28</f>
        <v>0.117668295820653</v>
      </c>
      <c r="N53" s="31" t="n">
        <f aca="false">+N52/N$28</f>
        <v>0.078317934865297</v>
      </c>
      <c r="O53" s="31" t="n">
        <f aca="false">+O52/O$28</f>
        <v>0.011475933100113</v>
      </c>
      <c r="P53" s="31" t="n">
        <f aca="false">+P52/P$28</f>
        <v>0.193603268455849</v>
      </c>
      <c r="Q53" s="31" t="n">
        <f aca="false">+Q52/Q$28</f>
        <v>0.225351105900939</v>
      </c>
      <c r="R53" s="31" t="n">
        <f aca="false">+R52/R$28</f>
        <v>0.206723260253369</v>
      </c>
      <c r="S53" s="31" t="n">
        <f aca="false">+S52/S$28</f>
        <v>0.150722210592422</v>
      </c>
      <c r="T53" s="31" t="n">
        <f aca="false">+T52/T$28</f>
        <v>0.265067757366115</v>
      </c>
      <c r="U53" s="31" t="n">
        <f aca="false">+U52/U$28</f>
        <v>0.28784231105004</v>
      </c>
      <c r="V53" s="31"/>
      <c r="W53" s="31"/>
      <c r="X53" s="31"/>
      <c r="Y53" s="31"/>
      <c r="Z53" s="31"/>
      <c r="AA53" s="31" t="n">
        <f aca="false">+AA52/AA$28</f>
        <v>-0.0193672383205204</v>
      </c>
      <c r="AB53" s="31" t="n">
        <f aca="false">+AB52/AB$28</f>
        <v>-0.0899507783035699</v>
      </c>
      <c r="AC53" s="31" t="n">
        <f aca="false">+AC52/AC$28</f>
        <v>0.0257747889536701</v>
      </c>
      <c r="AD53" s="31" t="n">
        <f aca="false">+AD52/AD$28</f>
        <v>-0.0315324995629787</v>
      </c>
      <c r="AE53" s="31" t="n">
        <f aca="false">+AE52/AE$28</f>
        <v>-0.0381117861286239</v>
      </c>
      <c r="AF53" s="31" t="n">
        <f aca="false">+AF52/AF$28</f>
        <v>0.0855780787786463</v>
      </c>
      <c r="AG53" s="31" t="n">
        <f aca="false">+AG52/AG$28</f>
        <v>0.129413419924046</v>
      </c>
      <c r="AH53" s="31" t="n">
        <f aca="false">+AH52/AH$28</f>
        <v>0.120214630011864</v>
      </c>
      <c r="AI53" s="31" t="n">
        <f aca="false">+AI52/AI$28</f>
        <v>0.115899952090106</v>
      </c>
      <c r="AJ53" s="31" t="n">
        <f aca="false">+AJ52/AJ$28</f>
        <v>0.112145420239795</v>
      </c>
      <c r="AK53" s="31" t="n">
        <f aca="false">+AK52/AK$28</f>
        <v>0.108878270139168</v>
      </c>
      <c r="AL53" s="31" t="n">
        <f aca="false">+AL52/AL$28</f>
        <v>0.106035194754336</v>
      </c>
      <c r="AM53" s="31" t="n">
        <f aca="false">+AM52/AM$28</f>
        <v>0.103561114590762</v>
      </c>
      <c r="AN53" s="31" t="n">
        <f aca="false">+AN52/AN$28</f>
        <v>0.101408107915941</v>
      </c>
      <c r="AO53" s="31" t="n">
        <f aca="false">+AO52/AO$28</f>
        <v>0.0995344801361555</v>
      </c>
      <c r="AP53" s="31" t="n">
        <f aca="false">+AP52/AP$28</f>
        <v>0.0979039542199946</v>
      </c>
      <c r="AQ53" s="31" t="n">
        <f aca="false">+AQ52/AQ$28</f>
        <v>0.0964849664182094</v>
      </c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</row>
    <row r="54" s="41" customFormat="true" ht="12.8" hidden="false" customHeight="true" outlineLevel="0" collapsed="false">
      <c r="A54" s="39" t="s">
        <v>105</v>
      </c>
      <c r="B54" s="40" t="n">
        <v>24</v>
      </c>
      <c r="C54" s="40" t="n">
        <v>35</v>
      </c>
      <c r="D54" s="40" t="n">
        <v>22</v>
      </c>
      <c r="E54" s="40" t="n">
        <v>-21</v>
      </c>
      <c r="F54" s="40" t="n">
        <v>19</v>
      </c>
      <c r="G54" s="40" t="n">
        <v>61</v>
      </c>
      <c r="H54" s="40" t="n">
        <v>8</v>
      </c>
      <c r="I54" s="40" t="n">
        <v>-61</v>
      </c>
      <c r="J54" s="40" t="n">
        <v>-23</v>
      </c>
      <c r="K54" s="40" t="n">
        <v>-4</v>
      </c>
      <c r="L54" s="40" t="n">
        <v>98</v>
      </c>
      <c r="M54" s="40" t="n">
        <v>132</v>
      </c>
      <c r="N54" s="40" t="n">
        <v>103</v>
      </c>
      <c r="O54" s="40" t="n">
        <v>134</v>
      </c>
      <c r="P54" s="40" t="n">
        <v>-72</v>
      </c>
      <c r="Q54" s="40" t="n">
        <v>-153</v>
      </c>
      <c r="R54" s="40" t="n">
        <v>216</v>
      </c>
      <c r="S54" s="40" t="n">
        <v>175</v>
      </c>
      <c r="T54" s="40" t="n">
        <f aca="false">+T52*0.05</f>
        <v>64.8295283651785</v>
      </c>
      <c r="U54" s="40" t="n">
        <f aca="false">+U52*0.05</f>
        <v>74.6676245720312</v>
      </c>
      <c r="V54" s="40"/>
      <c r="W54" s="40"/>
      <c r="X54" s="40"/>
      <c r="Y54" s="40"/>
      <c r="Z54" s="40"/>
      <c r="AA54" s="40" t="n">
        <v>55</v>
      </c>
      <c r="AB54" s="40" t="n">
        <v>-128</v>
      </c>
      <c r="AC54" s="40" t="n">
        <v>283</v>
      </c>
      <c r="AD54" s="40" t="n">
        <v>60</v>
      </c>
      <c r="AE54" s="40" t="n">
        <v>27</v>
      </c>
      <c r="AF54" s="40" t="n">
        <v>203</v>
      </c>
      <c r="AG54" s="40" t="n">
        <f aca="false">SUM(N54:Q54)</f>
        <v>12</v>
      </c>
      <c r="AH54" s="40" t="n">
        <f aca="false">AH52*0.05</f>
        <v>118.796282627781</v>
      </c>
      <c r="AI54" s="40" t="n">
        <f aca="false">AI52*0.05</f>
        <v>131.712387945098</v>
      </c>
      <c r="AJ54" s="40" t="n">
        <f aca="false">AJ52*0.05</f>
        <v>146.562461460012</v>
      </c>
      <c r="AK54" s="40" t="n">
        <f aca="false">AK52*0.05</f>
        <v>163.636529450164</v>
      </c>
      <c r="AL54" s="40" t="n">
        <f aca="false">AL52*0.12</f>
        <v>439.843489813914</v>
      </c>
      <c r="AM54" s="40" t="n">
        <f aca="false">AM52*0.12</f>
        <v>494.017901127782</v>
      </c>
      <c r="AN54" s="40" t="n">
        <f aca="false">AN52*0.12</f>
        <v>556.309517835255</v>
      </c>
      <c r="AO54" s="40" t="n">
        <f aca="false">AO52*0.22</f>
        <v>1151.21552630206</v>
      </c>
      <c r="AP54" s="40" t="n">
        <f aca="false">AP52*0.22</f>
        <v>1302.21039819351</v>
      </c>
      <c r="AQ54" s="40" t="n">
        <f aca="false">AQ52*0.22</f>
        <v>1475.83707595037</v>
      </c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40"/>
    </row>
    <row r="55" s="42" customFormat="true" ht="10.5" hidden="false" customHeight="true" outlineLevel="0" collapsed="false">
      <c r="A55" s="29"/>
      <c r="B55" s="31" t="n">
        <f aca="false">+B54/B$28</f>
        <v>0.00901916572717024</v>
      </c>
      <c r="C55" s="31" t="n">
        <f aca="false">+C54/C$28</f>
        <v>0.0122206703910615</v>
      </c>
      <c r="D55" s="31" t="n">
        <f aca="false">+D54/D$28</f>
        <v>0.0072463768115942</v>
      </c>
      <c r="E55" s="31" t="n">
        <f aca="false">+E54/E$28</f>
        <v>-0.00663297536323437</v>
      </c>
      <c r="F55" s="31" t="n">
        <f aca="false">+F54/F$28</f>
        <v>0.00624560261270438</v>
      </c>
      <c r="G55" s="31" t="n">
        <f aca="false">+G54/G$28</f>
        <v>0.0191998543896236</v>
      </c>
      <c r="H55" s="31" t="n">
        <f aca="false">+H54/H$28</f>
        <v>0.00238301077815729</v>
      </c>
      <c r="I55" s="31" t="n">
        <f aca="false">+I54/I$28</f>
        <v>-0.0166159710303011</v>
      </c>
      <c r="J55" s="31" t="n">
        <f aca="false">+J54/J$28</f>
        <v>-0.00632529015199388</v>
      </c>
      <c r="K55" s="31" t="n">
        <f aca="false">+K54/K$28</f>
        <v>-0.001050638562243</v>
      </c>
      <c r="L55" s="31" t="n">
        <f aca="false">+L54/L$28</f>
        <v>0.02457243802736</v>
      </c>
      <c r="M55" s="31" t="n">
        <f aca="false">+M54/M$28</f>
        <v>0.031116159484818</v>
      </c>
      <c r="N55" s="31" t="n">
        <f aca="false">+N54/N$28</f>
        <v>0.0245813704580203</v>
      </c>
      <c r="O55" s="31" t="n">
        <f aca="false">+O54/O$28</f>
        <v>0.0319571109685368</v>
      </c>
      <c r="P55" s="31" t="n">
        <f aca="false">+P54/P$28</f>
        <v>-0.0168535746505599</v>
      </c>
      <c r="Q55" s="31" t="n">
        <f aca="false">+Q54/Q$28</f>
        <v>-0.0337667466658565</v>
      </c>
      <c r="R55" s="31" t="n">
        <f aca="false">+R54/R$28</f>
        <v>0.0476495483273838</v>
      </c>
      <c r="S55" s="31" t="n">
        <f aca="false">+S54/S$28</f>
        <v>0.0366338706301026</v>
      </c>
      <c r="T55" s="31" t="n">
        <f aca="false">+T54/T$28</f>
        <v>0.0132533878683057</v>
      </c>
      <c r="U55" s="31" t="n">
        <f aca="false">+U54/U$28</f>
        <v>0.014392115552502</v>
      </c>
      <c r="V55" s="31"/>
      <c r="W55" s="31"/>
      <c r="X55" s="31"/>
      <c r="Y55" s="31"/>
      <c r="Z55" s="31"/>
      <c r="AA55" s="31" t="n">
        <f aca="false">+AA54/AA$28</f>
        <v>0.00813128326434063</v>
      </c>
      <c r="AB55" s="31" t="n">
        <f aca="false">+AB54/AB$28</f>
        <v>-0.0162432995253064</v>
      </c>
      <c r="AC55" s="31" t="n">
        <f aca="false">+AC54/AC$28</f>
        <v>0.0292712623294849</v>
      </c>
      <c r="AD55" s="31" t="n">
        <f aca="false">+AD54/AD$28</f>
        <v>0.00511630569345943</v>
      </c>
      <c r="AE55" s="31" t="n">
        <f aca="false">+AE54/AE$28</f>
        <v>0.00203817759056667</v>
      </c>
      <c r="AF55" s="31" t="n">
        <f aca="false">+AF54/AF$28</f>
        <v>0.0129520498311937</v>
      </c>
      <c r="AG55" s="31" t="n">
        <f aca="false">+AG54/AG$28</f>
        <v>0.000698238134000231</v>
      </c>
      <c r="AH55" s="31" t="n">
        <f aca="false">+AH54/AH$28</f>
        <v>0.00601073150059319</v>
      </c>
      <c r="AI55" s="31" t="n">
        <f aca="false">+AI54/AI$28</f>
        <v>0.00579499760450531</v>
      </c>
      <c r="AJ55" s="31" t="n">
        <f aca="false">+AJ54/AJ$28</f>
        <v>0.00560727101198977</v>
      </c>
      <c r="AK55" s="31" t="n">
        <f aca="false">+AK54/AK$28</f>
        <v>0.0054439135069584</v>
      </c>
      <c r="AL55" s="31" t="n">
        <f aca="false">+AL54/AL$28</f>
        <v>0.0127242233705203</v>
      </c>
      <c r="AM55" s="31" t="n">
        <f aca="false">+AM54/AM$28</f>
        <v>0.0124273337508915</v>
      </c>
      <c r="AN55" s="31" t="n">
        <f aca="false">+AN54/AN$28</f>
        <v>0.0121689729499129</v>
      </c>
      <c r="AO55" s="31" t="n">
        <f aca="false">+AO54/AO$28</f>
        <v>0.0218975856299542</v>
      </c>
      <c r="AP55" s="31" t="n">
        <f aca="false">+AP54/AP$28</f>
        <v>0.0215388699283988</v>
      </c>
      <c r="AQ55" s="31" t="n">
        <f aca="false">+AQ54/AQ$28</f>
        <v>0.0212266926120061</v>
      </c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</row>
    <row r="56" s="40" customFormat="true" ht="12.8" hidden="false" customHeight="true" outlineLevel="0" collapsed="false">
      <c r="A56" s="43" t="s">
        <v>106</v>
      </c>
      <c r="B56" s="41" t="n">
        <f aca="false">B52-B54</f>
        <v>131</v>
      </c>
      <c r="C56" s="41" t="n">
        <f aca="false">C52-C54</f>
        <v>-125</v>
      </c>
      <c r="D56" s="41" t="n">
        <f aca="false">D52-D54</f>
        <v>-166</v>
      </c>
      <c r="E56" s="41" t="n">
        <f aca="false">E52-E54</f>
        <v>-270</v>
      </c>
      <c r="F56" s="41" t="n">
        <f aca="false">F52-F54</f>
        <v>-224.859604876</v>
      </c>
      <c r="G56" s="41" t="n">
        <f aca="false">G52-G54</f>
        <v>-301.89257188498</v>
      </c>
      <c r="H56" s="41" t="n">
        <f aca="false">H52-H54</f>
        <v>65.0976989815199</v>
      </c>
      <c r="I56" s="41" t="n">
        <f aca="false">I52-I54</f>
        <v>-69.83327199117</v>
      </c>
      <c r="J56" s="41" t="n">
        <f aca="false">J52-J54</f>
        <v>197.19683007741</v>
      </c>
      <c r="K56" s="41" t="n">
        <f aca="false">K52-K54</f>
        <v>274.20843851424</v>
      </c>
      <c r="L56" s="41" t="n">
        <f aca="false">L52-L54</f>
        <v>300.20824742268</v>
      </c>
      <c r="M56" s="41" t="n">
        <f aca="false">M52-M54</f>
        <v>367.16876971609</v>
      </c>
      <c r="N56" s="41" t="n">
        <f aca="false">N52-N54</f>
        <v>225.16507545427</v>
      </c>
      <c r="O56" s="41" t="n">
        <f aca="false">O52-O54</f>
        <v>-85.8800358102099</v>
      </c>
      <c r="P56" s="41" t="n">
        <f aca="false">P52-P54</f>
        <v>899.09072810011</v>
      </c>
      <c r="Q56" s="41" t="n">
        <f aca="false">Q52-Q54</f>
        <v>1174.08502024292</v>
      </c>
      <c r="R56" s="41" t="n">
        <f aca="false">R52-R54</f>
        <v>721.096484271741</v>
      </c>
      <c r="S56" s="41" t="n">
        <f aca="false">S52-S54</f>
        <v>545</v>
      </c>
      <c r="T56" s="41" t="n">
        <f aca="false">T52-T54</f>
        <v>1231.76103893839</v>
      </c>
      <c r="U56" s="41" t="n">
        <f aca="false">U52-U54</f>
        <v>1418.68486686859</v>
      </c>
      <c r="V56" s="41"/>
      <c r="W56" s="41"/>
      <c r="X56" s="41"/>
      <c r="Y56" s="41"/>
      <c r="Z56" s="41"/>
      <c r="AA56" s="41" t="n">
        <f aca="false">AA52-AA54</f>
        <v>-186</v>
      </c>
      <c r="AB56" s="41" t="n">
        <f aca="false">AB52-AB54</f>
        <v>-580.82763720013</v>
      </c>
      <c r="AC56" s="41" t="n">
        <f aca="false">AC52-AC54</f>
        <v>-33.8045539074292</v>
      </c>
      <c r="AD56" s="41" t="n">
        <f aca="false">AD52-AD54</f>
        <v>-429.7882978723</v>
      </c>
      <c r="AE56" s="41" t="n">
        <f aca="false">AE52-AE54</f>
        <v>-531.8717198322</v>
      </c>
      <c r="AF56" s="41" t="n">
        <f aca="false">AF52-AF54</f>
        <v>1138.2818988872</v>
      </c>
      <c r="AG56" s="41" t="n">
        <f aca="false">AG52-AG54</f>
        <v>2212.1137564223</v>
      </c>
      <c r="AH56" s="41" t="n">
        <f aca="false">AH52-AH54</f>
        <v>2257.12936992784</v>
      </c>
      <c r="AI56" s="41" t="n">
        <f aca="false">AI52-AI54</f>
        <v>2502.53537095685</v>
      </c>
      <c r="AJ56" s="41" t="n">
        <f aca="false">AJ52-AJ54</f>
        <v>2784.68676774023</v>
      </c>
      <c r="AK56" s="41" t="n">
        <f aca="false">AK52-AK54</f>
        <v>3109.09405955311</v>
      </c>
      <c r="AL56" s="41" t="n">
        <f aca="false">AL52-AL54</f>
        <v>3225.51892530204</v>
      </c>
      <c r="AM56" s="41" t="n">
        <f aca="false">AM52-AM54</f>
        <v>3622.79794160373</v>
      </c>
      <c r="AN56" s="41" t="n">
        <f aca="false">AN52-AN54</f>
        <v>4079.60313079187</v>
      </c>
      <c r="AO56" s="41" t="n">
        <f aca="false">AO52-AO54</f>
        <v>4081.58232052547</v>
      </c>
      <c r="AP56" s="41" t="n">
        <f aca="false">AP52-AP54</f>
        <v>4616.92777541335</v>
      </c>
      <c r="AQ56" s="41" t="n">
        <f aca="false">AQ52-AQ54</f>
        <v>5232.51326927857</v>
      </c>
      <c r="AR56" s="41" t="n">
        <f aca="false">AQ56*(1+$AV$64)</f>
        <v>5337.16353466414</v>
      </c>
      <c r="AS56" s="41" t="n">
        <f aca="false">AR56*(1+$AV$64)</f>
        <v>5443.90680535742</v>
      </c>
      <c r="AT56" s="41" t="n">
        <f aca="false">AS56*(1+$AV$64)</f>
        <v>5552.78494146457</v>
      </c>
      <c r="AU56" s="41" t="n">
        <f aca="false">AT56*(1+$AV$64)</f>
        <v>5663.84064029386</v>
      </c>
      <c r="AV56" s="41" t="n">
        <f aca="false">AU56*(1+$AV$64)</f>
        <v>5777.11745309974</v>
      </c>
      <c r="AW56" s="41" t="n">
        <f aca="false">AV56*(1+$AV$64)</f>
        <v>5892.65980216174</v>
      </c>
      <c r="AX56" s="41" t="n">
        <f aca="false">AW56*(1+$AV$64)</f>
        <v>6010.51299820497</v>
      </c>
      <c r="AY56" s="41" t="n">
        <f aca="false">AX56*(1+$AV$64)</f>
        <v>6130.72325816907</v>
      </c>
      <c r="AZ56" s="41" t="n">
        <f aca="false">AY56*(1+$AV$64)</f>
        <v>6253.33772333245</v>
      </c>
      <c r="BA56" s="41" t="n">
        <f aca="false">AZ56*(1+$AV$64)</f>
        <v>6378.4044777991</v>
      </c>
      <c r="BB56" s="41" t="n">
        <f aca="false">BA56*(1+$AV$64)</f>
        <v>6505.97256735508</v>
      </c>
      <c r="BC56" s="41" t="n">
        <f aca="false">BB56*(1+$AV$64)</f>
        <v>6636.09201870218</v>
      </c>
      <c r="BD56" s="41" t="n">
        <f aca="false">BC56*(1+$AV$64)</f>
        <v>6768.81385907623</v>
      </c>
      <c r="BE56" s="41" t="n">
        <f aca="false">BD56*(1+$AV$64)</f>
        <v>6904.19013625775</v>
      </c>
      <c r="BF56" s="41" t="n">
        <f aca="false">BE56*(1+$AV$64)</f>
        <v>7042.27393898291</v>
      </c>
      <c r="BG56" s="41" t="n">
        <f aca="false">BF56*(1+$AV$64)</f>
        <v>7183.11941776257</v>
      </c>
      <c r="BH56" s="41" t="n">
        <f aca="false">BG56*(1+$AV$64)</f>
        <v>7326.78180611782</v>
      </c>
      <c r="BI56" s="41" t="n">
        <f aca="false">BH56*(1+$AV$64)</f>
        <v>7473.31744224017</v>
      </c>
      <c r="BJ56" s="41" t="n">
        <f aca="false">BI56*(1+$AV$64)</f>
        <v>7622.78379108498</v>
      </c>
      <c r="BK56" s="41" t="n">
        <f aca="false">BJ56*(1+$AV$64)</f>
        <v>7775.23946690668</v>
      </c>
      <c r="BL56" s="41" t="n">
        <f aca="false">BK56*(1+$AV$64)</f>
        <v>7930.74425624481</v>
      </c>
      <c r="BM56" s="41" t="n">
        <f aca="false">BL56*(1+$AV$64)</f>
        <v>8089.35914136971</v>
      </c>
      <c r="BN56" s="41" t="n">
        <f aca="false">BM56*(1+$AV$64)</f>
        <v>8251.1463241971</v>
      </c>
      <c r="BO56" s="41" t="n">
        <f aca="false">BN56*(1+$AV$64)</f>
        <v>8416.16925068104</v>
      </c>
      <c r="BP56" s="41" t="n">
        <f aca="false">BO56*(1+$AV$64)</f>
        <v>8584.49263569466</v>
      </c>
      <c r="BQ56" s="41" t="n">
        <f aca="false">BP56*(1+$AV$64)</f>
        <v>8756.18248840855</v>
      </c>
      <c r="BR56" s="41" t="n">
        <f aca="false">BQ56*(1+$AV$64)</f>
        <v>8931.30613817673</v>
      </c>
      <c r="BS56" s="41" t="n">
        <f aca="false">BR56*(1+$AV$64)</f>
        <v>9109.93226094026</v>
      </c>
      <c r="BT56" s="41" t="n">
        <f aca="false">BS56*(1+$AV$64)</f>
        <v>9292.13090615907</v>
      </c>
      <c r="BU56" s="41" t="n">
        <f aca="false">BT56*(1+$AV$64)</f>
        <v>9477.97352428225</v>
      </c>
      <c r="BV56" s="41" t="n">
        <f aca="false">BU56*(1+$AV$64)</f>
        <v>9667.53299476789</v>
      </c>
      <c r="BW56" s="41" t="n">
        <f aca="false">BV56*(1+$AV$64)</f>
        <v>9860.88365466325</v>
      </c>
      <c r="BX56" s="41" t="n">
        <f aca="false">BW56*(1+$AV$64)</f>
        <v>10058.1013277565</v>
      </c>
      <c r="BY56" s="41" t="n">
        <f aca="false">BX56*(1+$AV$64)</f>
        <v>10259.2633543116</v>
      </c>
      <c r="BZ56" s="41" t="n">
        <f aca="false">BY56*(1+$AV$64)</f>
        <v>10464.4486213979</v>
      </c>
      <c r="CA56" s="41" t="n">
        <f aca="false">BZ56*(1+$AV$64)</f>
        <v>10673.7375938258</v>
      </c>
      <c r="CB56" s="41" t="n">
        <f aca="false">CA56*(1+$AV$64)</f>
        <v>10887.2123457024</v>
      </c>
      <c r="CC56" s="41" t="n">
        <f aca="false">CB56*(1+$AV$64)</f>
        <v>11104.9565926164</v>
      </c>
      <c r="CD56" s="41" t="n">
        <f aca="false">CC56*(1+$AV$64)</f>
        <v>11327.0557244687</v>
      </c>
      <c r="CE56" s="41" t="n">
        <f aca="false">CD56*(1+$AV$64)</f>
        <v>11553.5968389581</v>
      </c>
      <c r="CF56" s="41" t="n">
        <f aca="false">CE56*(1+$AV$64)</f>
        <v>11784.6687757373</v>
      </c>
      <c r="CG56" s="41" t="n">
        <f aca="false">CF56*(1+$AV$64)</f>
        <v>12020.362151252</v>
      </c>
      <c r="CH56" s="41" t="n">
        <f aca="false">CG56*(1+$AV$64)</f>
        <v>12260.7693942771</v>
      </c>
      <c r="CI56" s="41" t="n">
        <f aca="false">CH56*(1+$AV$64)</f>
        <v>12505.9847821626</v>
      </c>
      <c r="CJ56" s="41" t="n">
        <f aca="false">CI56*(1+$AV$64)</f>
        <v>12756.1044778058</v>
      </c>
      <c r="CK56" s="41" t="n">
        <f aca="false">CJ56*(1+$AV$64)</f>
        <v>13011.226567362</v>
      </c>
      <c r="CL56" s="41" t="n">
        <f aca="false">CK56*(1+$AV$64)</f>
        <v>13271.4510987092</v>
      </c>
      <c r="CM56" s="41" t="n">
        <f aca="false">CL56*(1+$AV$64)</f>
        <v>13536.8801206834</v>
      </c>
      <c r="CN56" s="41" t="n">
        <f aca="false">CM56*(1+$AV$64)</f>
        <v>13807.6177230971</v>
      </c>
      <c r="CO56" s="41" t="n">
        <f aca="false">CN56*(1+$AV$64)</f>
        <v>14083.770077559</v>
      </c>
      <c r="CP56" s="41" t="n">
        <f aca="false">CO56*(1+$AV$64)</f>
        <v>14365.4454791102</v>
      </c>
      <c r="CQ56" s="41" t="n">
        <f aca="false">CP56*(1+$AV$64)</f>
        <v>14652.7543886924</v>
      </c>
      <c r="CR56" s="41" t="n">
        <f aca="false">CQ56*(1+$AV$64)</f>
        <v>14945.8094764662</v>
      </c>
      <c r="CS56" s="41" t="n">
        <f aca="false">CR56*(1+$AV$64)</f>
        <v>15244.7256659955</v>
      </c>
      <c r="CT56" s="41" t="n">
        <f aca="false">CS56*(1+$AV$64)</f>
        <v>15549.6201793155</v>
      </c>
      <c r="CU56" s="41" t="n">
        <f aca="false">CT56*(1+$AV$64)</f>
        <v>15860.6125829018</v>
      </c>
      <c r="CV56" s="41" t="n">
        <f aca="false">CU56*(1+$AV$64)</f>
        <v>16177.8248345598</v>
      </c>
      <c r="CW56" s="41" t="n">
        <f aca="false">CV56*(1+$AV$64)</f>
        <v>16501.381331251</v>
      </c>
      <c r="CX56" s="41" t="n">
        <f aca="false">CW56*(1+$AV$64)</f>
        <v>16831.408957876</v>
      </c>
      <c r="CY56" s="41" t="n">
        <f aca="false">CX56*(1+$AV$64)</f>
        <v>17168.0371370335</v>
      </c>
      <c r="CZ56" s="41" t="n">
        <f aca="false">CY56*(1+$AV$64)</f>
        <v>17511.3978797742</v>
      </c>
      <c r="DA56" s="41" t="n">
        <f aca="false">CZ56*(1+$AV$64)</f>
        <v>17861.6258373697</v>
      </c>
      <c r="DB56" s="41" t="n">
        <f aca="false">DA56*(1+$AV$64)</f>
        <v>18218.8583541171</v>
      </c>
      <c r="DC56" s="41" t="n">
        <f aca="false">DB56*(1+$AV$64)</f>
        <v>18583.2355211994</v>
      </c>
      <c r="DD56" s="41" t="n">
        <f aca="false">DC56*(1+$AV$64)</f>
        <v>18954.9002316234</v>
      </c>
      <c r="DE56" s="41" t="n">
        <f aca="false">DD56*(1+$AV$64)</f>
        <v>19333.9982362559</v>
      </c>
      <c r="DF56" s="41" t="n">
        <f aca="false">DE56*(1+$AV$64)</f>
        <v>19720.678200981</v>
      </c>
      <c r="DG56" s="41" t="n">
        <f aca="false">DF56*(1+$AV$64)</f>
        <v>20115.0917650006</v>
      </c>
    </row>
    <row r="57" s="31" customFormat="true" ht="10.5" hidden="false" customHeight="true" outlineLevel="0" collapsed="false">
      <c r="A57" s="47"/>
      <c r="B57" s="31" t="n">
        <f aca="false">+B56/B$28</f>
        <v>0.0492296129274709</v>
      </c>
      <c r="C57" s="31" t="n">
        <f aca="false">+C56/C$28</f>
        <v>-0.043645251396648</v>
      </c>
      <c r="D57" s="31" t="n">
        <f aca="false">+D56/D$28</f>
        <v>-0.0546772068511199</v>
      </c>
      <c r="E57" s="31" t="n">
        <f aca="false">+E56/E$28</f>
        <v>-0.0852811118130133</v>
      </c>
      <c r="F57" s="31" t="n">
        <f aca="false">+F56/F$28</f>
        <v>-0.0739149334581696</v>
      </c>
      <c r="G57" s="31" t="n">
        <f aca="false">+G56/G$28</f>
        <v>-0.0950212036311574</v>
      </c>
      <c r="H57" s="31" t="n">
        <f aca="false">+H56/H$28</f>
        <v>0.0193910647882751</v>
      </c>
      <c r="I57" s="31" t="n">
        <f aca="false">+I56/I$28</f>
        <v>-0.0190220922025642</v>
      </c>
      <c r="J57" s="31" t="n">
        <f aca="false">+J56/J$28</f>
        <v>0.0542316159692632</v>
      </c>
      <c r="K57" s="31" t="n">
        <f aca="false">+K56/K$28</f>
        <v>0.0720234898988744</v>
      </c>
      <c r="L57" s="31" t="n">
        <f aca="false">+L56/L$28</f>
        <v>0.0752739648479201</v>
      </c>
      <c r="M57" s="31" t="n">
        <f aca="false">+M56/M$28</f>
        <v>0.0865521363358353</v>
      </c>
      <c r="N57" s="31" t="n">
        <f aca="false">+N56/N$28</f>
        <v>0.0537365644072767</v>
      </c>
      <c r="O57" s="31" t="n">
        <f aca="false">+O56/O$28</f>
        <v>-0.0204811778684238</v>
      </c>
      <c r="P57" s="31" t="n">
        <f aca="false">+P56/P$28</f>
        <v>0.210456843106409</v>
      </c>
      <c r="Q57" s="31" t="n">
        <f aca="false">+Q56/Q$28</f>
        <v>0.259117852566795</v>
      </c>
      <c r="R57" s="31" t="n">
        <f aca="false">+R56/R$28</f>
        <v>0.159073711925986</v>
      </c>
      <c r="S57" s="31" t="n">
        <f aca="false">+S56/S$28</f>
        <v>0.114088339962319</v>
      </c>
      <c r="T57" s="31" t="n">
        <f aca="false">+T56/T$28</f>
        <v>0.251814369497809</v>
      </c>
      <c r="U57" s="31" t="n">
        <f aca="false">+U56/U$28</f>
        <v>0.273450195497538</v>
      </c>
      <c r="V57" s="42"/>
      <c r="W57" s="42"/>
      <c r="X57" s="42"/>
      <c r="Y57" s="42"/>
      <c r="Z57" s="42"/>
      <c r="AA57" s="31" t="n">
        <f aca="false">+AA56/AA$28</f>
        <v>-0.027498521584861</v>
      </c>
      <c r="AB57" s="31" t="n">
        <f aca="false">+AB56/AB$28</f>
        <v>-0.0737074787782635</v>
      </c>
      <c r="AC57" s="31" t="n">
        <f aca="false">+AC56/AC$28</f>
        <v>-0.00349647337581475</v>
      </c>
      <c r="AD57" s="31" t="n">
        <f aca="false">+AD56/AD$28</f>
        <v>-0.0366488052564381</v>
      </c>
      <c r="AE57" s="31" t="n">
        <f aca="false">+AE56/AE$28</f>
        <v>-0.0401499637191905</v>
      </c>
      <c r="AF57" s="31" t="n">
        <f aca="false">+AF56/AF$28</f>
        <v>0.0726260289474526</v>
      </c>
      <c r="AG57" s="31" t="n">
        <f aca="false">+AG56/AG$28</f>
        <v>0.128715181790046</v>
      </c>
      <c r="AH57" s="31" t="n">
        <f aca="false">+AH56/AH$28</f>
        <v>0.114203898511271</v>
      </c>
      <c r="AI57" s="31" t="n">
        <f aca="false">+AI56/AI$28</f>
        <v>0.110104954485601</v>
      </c>
      <c r="AJ57" s="31" t="n">
        <f aca="false">+AJ56/AJ$28</f>
        <v>0.106538149227806</v>
      </c>
      <c r="AK57" s="31" t="n">
        <f aca="false">+AK56/AK$28</f>
        <v>0.10343435663221</v>
      </c>
      <c r="AL57" s="31" t="n">
        <f aca="false">+AL56/AL$28</f>
        <v>0.0933109713838153</v>
      </c>
      <c r="AM57" s="31" t="n">
        <f aca="false">+AM56/AM$28</f>
        <v>0.0911337808398707</v>
      </c>
      <c r="AN57" s="31" t="n">
        <f aca="false">+AN56/AN$28</f>
        <v>0.0892391349660277</v>
      </c>
      <c r="AO57" s="31" t="n">
        <f aca="false">+AO56/AO$28</f>
        <v>0.0776368945062013</v>
      </c>
      <c r="AP57" s="31" t="n">
        <f aca="false">+AP56/AP$28</f>
        <v>0.0763650842915958</v>
      </c>
      <c r="AQ57" s="31" t="n">
        <f aca="false">+AQ56/AQ$28</f>
        <v>0.0752582738062033</v>
      </c>
      <c r="AR57" s="42"/>
      <c r="AS57" s="42"/>
      <c r="AT57" s="42"/>
      <c r="AU57" s="42"/>
      <c r="AV57" s="42"/>
      <c r="AW57" s="42"/>
      <c r="AX57" s="42"/>
      <c r="AY57" s="42"/>
      <c r="AZ57" s="42"/>
      <c r="BA57" s="42"/>
      <c r="BB57" s="42"/>
      <c r="BC57" s="42"/>
      <c r="BD57" s="42"/>
      <c r="BE57" s="42"/>
      <c r="BF57" s="42"/>
      <c r="BG57" s="42"/>
      <c r="BH57" s="42"/>
      <c r="BI57" s="42"/>
      <c r="BJ57" s="42"/>
      <c r="BK57" s="42"/>
      <c r="BL57" s="42"/>
      <c r="BM57" s="42"/>
      <c r="BN57" s="42"/>
      <c r="BO57" s="42"/>
      <c r="BP57" s="42"/>
      <c r="BQ57" s="42"/>
      <c r="BR57" s="42"/>
      <c r="BS57" s="42"/>
      <c r="BT57" s="42"/>
      <c r="BU57" s="42"/>
      <c r="BV57" s="42"/>
      <c r="BW57" s="42"/>
      <c r="BX57" s="42"/>
      <c r="BY57" s="42"/>
      <c r="BZ57" s="42"/>
      <c r="CA57" s="42"/>
      <c r="CB57" s="42"/>
      <c r="CC57" s="42"/>
      <c r="CD57" s="42"/>
      <c r="CE57" s="42"/>
      <c r="CF57" s="42"/>
      <c r="CG57" s="42"/>
      <c r="CH57" s="42"/>
      <c r="CI57" s="42"/>
      <c r="CJ57" s="42"/>
      <c r="CK57" s="42"/>
      <c r="CL57" s="42"/>
      <c r="CM57" s="42"/>
      <c r="CN57" s="42"/>
      <c r="CO57" s="42"/>
      <c r="CP57" s="42"/>
      <c r="CQ57" s="42"/>
      <c r="CR57" s="42"/>
      <c r="CS57" s="42"/>
      <c r="CT57" s="42"/>
      <c r="CU57" s="42"/>
      <c r="CV57" s="42"/>
      <c r="CW57" s="42"/>
      <c r="CX57" s="42"/>
      <c r="CY57" s="42"/>
      <c r="CZ57" s="42"/>
      <c r="DA57" s="42"/>
      <c r="DB57" s="42"/>
      <c r="DC57" s="42"/>
      <c r="DD57" s="42"/>
      <c r="DE57" s="42"/>
      <c r="DF57" s="42"/>
      <c r="DG57" s="42"/>
    </row>
    <row r="58" customFormat="false" ht="12.8" hidden="false" customHeight="true" outlineLevel="0" collapsed="false">
      <c r="A58" s="48" t="s">
        <v>107</v>
      </c>
      <c r="B58" s="49" t="n">
        <f aca="false">B56/B60</f>
        <v>0.664714806902886</v>
      </c>
      <c r="C58" s="49" t="n">
        <v>-0.85</v>
      </c>
      <c r="D58" s="49" t="n">
        <v>-0.99</v>
      </c>
      <c r="E58" s="49" t="n">
        <f aca="false">E56/E60</f>
        <v>-1.39731301881715</v>
      </c>
      <c r="F58" s="49" t="n">
        <f aca="false">F56/F60</f>
        <v>-1.16169291945733</v>
      </c>
      <c r="G58" s="49" t="n">
        <f aca="false">G56/G60</f>
        <v>-1.55278557702387</v>
      </c>
      <c r="H58" s="49" t="n">
        <f aca="false">H56/H60</f>
        <v>0.32875633285619</v>
      </c>
      <c r="I58" s="49" t="n">
        <f aca="false">I56/I60</f>
        <v>-0.356226774628997</v>
      </c>
      <c r="J58" s="49" t="n">
        <f aca="false">J56/J60</f>
        <v>0.967727962376813</v>
      </c>
      <c r="K58" s="49" t="n">
        <f aca="false">K56/K60</f>
        <v>1.33034042720098</v>
      </c>
      <c r="L58" s="49" t="n">
        <v>1.45</v>
      </c>
      <c r="M58" s="49" t="n">
        <f aca="false">M56/M60</f>
        <v>1.75668750940659</v>
      </c>
      <c r="N58" s="49" t="n">
        <f aca="false">N56/N60</f>
        <v>1.07097537351669</v>
      </c>
      <c r="O58" s="49" t="n">
        <f aca="false">O56/O60</f>
        <v>-0.418056225463382</v>
      </c>
      <c r="P58" s="49" t="n">
        <v>3.28</v>
      </c>
      <c r="Q58" s="49" t="n">
        <v>4.43</v>
      </c>
      <c r="R58" s="49" t="n">
        <f aca="false">+R56/R60</f>
        <v>3.44559889716091</v>
      </c>
      <c r="S58" s="49" t="n">
        <f aca="false">+S56/S60</f>
        <v>2.60942256839689</v>
      </c>
      <c r="T58" s="49" t="n">
        <f aca="false">+T56/T60</f>
        <v>5.95715884325427</v>
      </c>
      <c r="U58" s="49" t="n">
        <f aca="false">+U56/U60</f>
        <v>6.93048230249871</v>
      </c>
      <c r="V58" s="49"/>
      <c r="W58" s="49"/>
      <c r="X58" s="49"/>
      <c r="Y58" s="49"/>
      <c r="Z58" s="49"/>
      <c r="AA58" s="49" t="n">
        <v>-1.03</v>
      </c>
      <c r="AB58" s="49" t="n">
        <f aca="false">AB56/AB60</f>
        <v>-3.09637673563239</v>
      </c>
      <c r="AC58" s="49" t="n">
        <v>-1.03</v>
      </c>
      <c r="AD58" s="49" t="n">
        <v>-2.93</v>
      </c>
      <c r="AE58" s="49" t="n">
        <f aca="false">AE56/AE60</f>
        <v>-2.73130106932708</v>
      </c>
      <c r="AF58" s="49" t="n">
        <f aca="false">AF56/AF60</f>
        <v>5.49921203385287</v>
      </c>
      <c r="AG58" s="49" t="n">
        <v>10.51</v>
      </c>
      <c r="AH58" s="49" t="n">
        <f aca="false">AH56/AH60</f>
        <v>10.4140050416575</v>
      </c>
      <c r="AI58" s="49" t="n">
        <f aca="false">AI56/AI60</f>
        <v>11.3198685703212</v>
      </c>
      <c r="AJ58" s="49" t="n">
        <f aca="false">AJ56/AJ60</f>
        <v>12.3491577766447</v>
      </c>
      <c r="AK58" s="49" t="n">
        <f aca="false">AK56/AK60</f>
        <v>13.5174470610586</v>
      </c>
      <c r="AL58" s="49" t="n">
        <f aca="false">AL56/AL60</f>
        <v>14.1652817206953</v>
      </c>
      <c r="AM58" s="49" t="n">
        <f aca="false">AM56/AM60</f>
        <v>16.0706905855096</v>
      </c>
      <c r="AN58" s="49" t="n">
        <f aca="false">AN56/AN60</f>
        <v>18.2798719439008</v>
      </c>
      <c r="AO58" s="49" t="n">
        <f aca="false">AO56/AO60</f>
        <v>18.4734750409913</v>
      </c>
      <c r="AP58" s="49" t="n">
        <f aca="false">AP56/AP60</f>
        <v>21.1075547378749</v>
      </c>
      <c r="AQ58" s="49" t="n">
        <f aca="false">AQ56/AQ60</f>
        <v>24.1635081583322</v>
      </c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49"/>
      <c r="BC58" s="49"/>
      <c r="BD58" s="49"/>
      <c r="BE58" s="49"/>
      <c r="BF58" s="49"/>
      <c r="BG58" s="49"/>
      <c r="BH58" s="49"/>
      <c r="BI58" s="49"/>
      <c r="BJ58" s="49"/>
      <c r="BK58" s="49"/>
      <c r="BL58" s="49"/>
      <c r="BM58" s="49"/>
      <c r="BN58" s="49"/>
    </row>
    <row r="59" s="31" customFormat="true" ht="10.5" hidden="false" customHeight="true" outlineLevel="0" collapsed="false">
      <c r="A59" s="47"/>
      <c r="B59" s="42"/>
      <c r="C59" s="42"/>
      <c r="D59" s="42"/>
      <c r="E59" s="42"/>
      <c r="F59" s="31" t="n">
        <f aca="false">+F58/B58-1</f>
        <v>-2.74765614876254</v>
      </c>
      <c r="G59" s="31" t="n">
        <f aca="false">+G58/C58-1</f>
        <v>0.826806561204548</v>
      </c>
      <c r="H59" s="31" t="n">
        <f aca="false">+H58/D58-1</f>
        <v>-1.33207710389514</v>
      </c>
      <c r="I59" s="31" t="n">
        <f aca="false">+I58/E58-1</f>
        <v>-0.745063010340697</v>
      </c>
      <c r="J59" s="31" t="n">
        <f aca="false">+J58/F58-1</f>
        <v>-1.83303250469055</v>
      </c>
      <c r="K59" s="31" t="n">
        <f aca="false">+K58/G58-1</f>
        <v>-1.85674445131746</v>
      </c>
      <c r="L59" s="31" t="n">
        <f aca="false">+L58/H58-1</f>
        <v>3.41056142524343</v>
      </c>
      <c r="M59" s="31" t="n">
        <f aca="false">+M58/I58-1</f>
        <v>-5.93137415410771</v>
      </c>
      <c r="N59" s="31" t="n">
        <f aca="false">+N58/J58-1</f>
        <v>0.106690532002707</v>
      </c>
      <c r="O59" s="31" t="n">
        <f aca="false">+O58/K58-1</f>
        <v>-1.3142475541715</v>
      </c>
      <c r="P59" s="31" t="n">
        <f aca="false">+P58/L58-1</f>
        <v>1.26206896551724</v>
      </c>
      <c r="Q59" s="31" t="n">
        <f aca="false">+Q58/M58-1</f>
        <v>1.52179171097793</v>
      </c>
      <c r="R59" s="31" t="n">
        <f aca="false">+R58/N58-1</f>
        <v>2.21725315293369</v>
      </c>
      <c r="S59" s="31" t="n">
        <f aca="false">+S58/O58-1</f>
        <v>-7.24179813493881</v>
      </c>
      <c r="T59" s="31" t="n">
        <f aca="false">+T58/P58-1</f>
        <v>0.81620696440679</v>
      </c>
      <c r="U59" s="31" t="n">
        <f aca="false">+U58/Q58-1</f>
        <v>0.564442957674653</v>
      </c>
      <c r="V59" s="42"/>
      <c r="W59" s="42"/>
      <c r="X59" s="42"/>
      <c r="Y59" s="42"/>
      <c r="Z59" s="42"/>
      <c r="AA59" s="42"/>
      <c r="AB59" s="31" t="n">
        <f aca="false">+AB58/AA58-1</f>
        <v>2.00619100546834</v>
      </c>
      <c r="AC59" s="31" t="n">
        <f aca="false">+AC58/AB58-1</f>
        <v>-0.667353139510771</v>
      </c>
      <c r="AD59" s="31" t="n">
        <f aca="false">+AD58/AC58-1</f>
        <v>1.84466019417476</v>
      </c>
      <c r="AE59" s="31" t="n">
        <f aca="false">+AE58/AD58-1</f>
        <v>-0.0678153347006568</v>
      </c>
      <c r="AF59" s="31" t="n">
        <f aca="false">+AF58/AE58-1</f>
        <v>-3.01340382999511</v>
      </c>
      <c r="AG59" s="31" t="n">
        <f aca="false">+AG58/AF58-1</f>
        <v>0.911182899531966</v>
      </c>
      <c r="AH59" s="31" t="n">
        <f aca="false">+AH58/AG58-1</f>
        <v>-0.00913367824381506</v>
      </c>
      <c r="AI59" s="31" t="n">
        <f aca="false">+AI58/AH58-1</f>
        <v>0.086985124842949</v>
      </c>
      <c r="AJ59" s="31" t="n">
        <f aca="false">+AJ58/AI58-1</f>
        <v>0.090927664038623</v>
      </c>
      <c r="AK59" s="31" t="n">
        <f aca="false">+AK58/AJ58-1</f>
        <v>0.0946047743129026</v>
      </c>
      <c r="AL59" s="31" t="n">
        <f aca="false">+AL58/AK58-1</f>
        <v>0.0479258144463546</v>
      </c>
      <c r="AM59" s="31" t="n">
        <f aca="false">+AM58/AL58-1</f>
        <v>0.134512599352715</v>
      </c>
      <c r="AN59" s="31" t="n">
        <f aca="false">+AN58/AM58-1</f>
        <v>0.137466485751594</v>
      </c>
      <c r="AO59" s="31" t="n">
        <f aca="false">+AO58/AN58-1</f>
        <v>0.0105910532461431</v>
      </c>
      <c r="AP59" s="31" t="n">
        <f aca="false">+AP58/AO58-1</f>
        <v>0.142587125109856</v>
      </c>
      <c r="AQ59" s="31" t="n">
        <f aca="false">+AQ58/AP58-1</f>
        <v>0.144780077958234</v>
      </c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42"/>
      <c r="BC59" s="42"/>
      <c r="BD59" s="42"/>
      <c r="BE59" s="42"/>
      <c r="BF59" s="42"/>
      <c r="BG59" s="42"/>
      <c r="BH59" s="42"/>
      <c r="BI59" s="42"/>
      <c r="BJ59" s="42"/>
      <c r="BK59" s="42"/>
      <c r="BL59" s="42"/>
      <c r="BM59" s="42"/>
      <c r="BN59" s="42"/>
    </row>
    <row r="60" s="40" customFormat="true" ht="12.8" hidden="false" customHeight="true" outlineLevel="0" collapsed="false">
      <c r="A60" s="39" t="s">
        <v>108</v>
      </c>
      <c r="B60" s="40" t="n">
        <v>197.077</v>
      </c>
      <c r="C60" s="40" t="n">
        <v>195.859</v>
      </c>
      <c r="D60" s="40" t="n">
        <v>195.988</v>
      </c>
      <c r="E60" s="40" t="n">
        <v>193.228</v>
      </c>
      <c r="F60" s="40" t="n">
        <v>193.562</v>
      </c>
      <c r="G60" s="40" t="n">
        <v>194.42</v>
      </c>
      <c r="H60" s="40" t="n">
        <v>198.012</v>
      </c>
      <c r="I60" s="40" t="n">
        <v>196.036</v>
      </c>
      <c r="J60" s="40" t="n">
        <v>203.773</v>
      </c>
      <c r="K60" s="40" t="n">
        <v>206.119</v>
      </c>
      <c r="L60" s="40" t="n">
        <v>207.399501</v>
      </c>
      <c r="M60" s="40" t="n">
        <v>209.012</v>
      </c>
      <c r="N60" s="40" t="n">
        <v>210.243</v>
      </c>
      <c r="O60" s="40" t="n">
        <v>205.426999</v>
      </c>
      <c r="P60" s="40" t="n">
        <v>213.789</v>
      </c>
      <c r="Q60" s="40" t="n">
        <v>212.49</v>
      </c>
      <c r="R60" s="40" t="n">
        <v>209.280449</v>
      </c>
      <c r="S60" s="40" t="n">
        <v>208.858468</v>
      </c>
      <c r="T60" s="40" t="n">
        <f aca="false">+S60*0.99</f>
        <v>206.76988332</v>
      </c>
      <c r="U60" s="40" t="n">
        <f aca="false">+T60*0.99</f>
        <v>204.7021844868</v>
      </c>
      <c r="AA60" s="40" t="n">
        <v>187.583</v>
      </c>
      <c r="AB60" s="40" t="n">
        <v>187.583</v>
      </c>
      <c r="AC60" s="40" t="n">
        <v>193.943</v>
      </c>
      <c r="AD60" s="40" t="n">
        <v>195.846</v>
      </c>
      <c r="AE60" s="40" t="n">
        <v>194.732</v>
      </c>
      <c r="AF60" s="40" t="n">
        <v>206.99</v>
      </c>
      <c r="AG60" s="40" t="n">
        <f aca="false">Q60</f>
        <v>212.49</v>
      </c>
      <c r="AH60" s="40" t="n">
        <f aca="false">+AG60*1.02</f>
        <v>216.7398</v>
      </c>
      <c r="AI60" s="40" t="n">
        <f aca="false">+AH60*1.02</f>
        <v>221.074596</v>
      </c>
      <c r="AJ60" s="40" t="n">
        <f aca="false">+AI60*1.02</f>
        <v>225.49608792</v>
      </c>
      <c r="AK60" s="40" t="n">
        <f aca="false">+AJ60*1.02</f>
        <v>230.0060096784</v>
      </c>
      <c r="AL60" s="40" t="n">
        <f aca="false">+AK60*0.99</f>
        <v>227.705949581616</v>
      </c>
      <c r="AM60" s="40" t="n">
        <f aca="false">+AL60*0.99</f>
        <v>225.4288900858</v>
      </c>
      <c r="AN60" s="40" t="n">
        <f aca="false">+AM60*0.99</f>
        <v>223.174601184942</v>
      </c>
      <c r="AO60" s="40" t="n">
        <f aca="false">+AN60*0.99</f>
        <v>220.942855173092</v>
      </c>
      <c r="AP60" s="40" t="n">
        <f aca="false">+AO60*0.99</f>
        <v>218.733426621362</v>
      </c>
      <c r="AQ60" s="40" t="n">
        <f aca="false">+AP60*0.99</f>
        <v>216.546092355148</v>
      </c>
    </row>
    <row r="61" s="31" customFormat="true" ht="10.5" hidden="false" customHeight="true" outlineLevel="0" collapsed="false">
      <c r="A61" s="29"/>
      <c r="C61" s="31" t="n">
        <f aca="false">+C60/B60-1</f>
        <v>-0.00618032545654734</v>
      </c>
      <c r="D61" s="31" t="n">
        <f aca="false">+D60/C60-1</f>
        <v>0.000658637080757085</v>
      </c>
      <c r="E61" s="31" t="n">
        <f aca="false">+E60/D60-1</f>
        <v>-0.0140824948466232</v>
      </c>
      <c r="F61" s="31" t="n">
        <f aca="false">+F60/E60-1</f>
        <v>0.00172852795661083</v>
      </c>
      <c r="G61" s="31" t="n">
        <f aca="false">+G60/F60-1</f>
        <v>0.00443268823426068</v>
      </c>
      <c r="H61" s="31" t="n">
        <f aca="false">+H60/G60-1</f>
        <v>0.0184754654870898</v>
      </c>
      <c r="I61" s="31" t="n">
        <f aca="false">+I60/H60-1</f>
        <v>-0.00997919318021134</v>
      </c>
      <c r="J61" s="31" t="n">
        <f aca="false">+J60/I60-1</f>
        <v>0.0394672407108898</v>
      </c>
      <c r="K61" s="31" t="n">
        <f aca="false">+K60/J60-1</f>
        <v>0.011512810823809</v>
      </c>
      <c r="L61" s="31" t="n">
        <f aca="false">+L60/K60-1</f>
        <v>0.00621243553481232</v>
      </c>
      <c r="M61" s="31" t="n">
        <f aca="false">+M60/L60-1</f>
        <v>0.0077748451284847</v>
      </c>
      <c r="N61" s="31" t="n">
        <f aca="false">+N60/M60-1</f>
        <v>0.005889613993455</v>
      </c>
      <c r="O61" s="31" t="n">
        <f aca="false">+O60/N60-1</f>
        <v>-0.0229068316186508</v>
      </c>
      <c r="P61" s="31" t="n">
        <f aca="false">+P60/O60-1</f>
        <v>0.0407054624791554</v>
      </c>
      <c r="Q61" s="31" t="n">
        <f aca="false">+Q60/P60-1</f>
        <v>-0.00607608436355467</v>
      </c>
      <c r="R61" s="31" t="n">
        <f aca="false">+R60/Q60-1</f>
        <v>-0.0151044802108334</v>
      </c>
      <c r="S61" s="31" t="n">
        <f aca="false">+S60/R60-1</f>
        <v>-0.00201634219544333</v>
      </c>
      <c r="T61" s="31" t="n">
        <f aca="false">+T60/S60-1</f>
        <v>-0.01</v>
      </c>
      <c r="U61" s="31" t="n">
        <f aca="false">+U60/T60-1</f>
        <v>-0.01</v>
      </c>
      <c r="AB61" s="31" t="n">
        <f aca="false">+AB60/AA60-1</f>
        <v>0</v>
      </c>
      <c r="AC61" s="31" t="n">
        <f aca="false">+AC60/AB60-1</f>
        <v>0.0339049913904779</v>
      </c>
      <c r="AD61" s="31" t="n">
        <f aca="false">+AD60/AC60-1</f>
        <v>0.00981216130512563</v>
      </c>
      <c r="AE61" s="31" t="n">
        <f aca="false">+AE60/AD60-1</f>
        <v>-0.00568814272438556</v>
      </c>
      <c r="AF61" s="31" t="n">
        <f aca="false">+AF60/AE60-1</f>
        <v>0.062948051681285</v>
      </c>
      <c r="AG61" s="31" t="n">
        <f aca="false">+AG60/AF60-1</f>
        <v>0.0265713319484033</v>
      </c>
      <c r="AH61" s="31" t="n">
        <f aca="false">+AH60/AG60-1</f>
        <v>0.02</v>
      </c>
      <c r="AI61" s="31" t="n">
        <f aca="false">+AI60/AH60-1</f>
        <v>0.02</v>
      </c>
      <c r="AJ61" s="31" t="n">
        <f aca="false">+AJ60/AI60-1</f>
        <v>0.02</v>
      </c>
      <c r="AK61" s="31" t="n">
        <f aca="false">+AK60/AJ60-1</f>
        <v>0.02</v>
      </c>
      <c r="AL61" s="31" t="n">
        <f aca="false">+AL60/AK60-1</f>
        <v>-0.01</v>
      </c>
      <c r="AM61" s="31" t="n">
        <f aca="false">+AM60/AL60-1</f>
        <v>-0.01</v>
      </c>
      <c r="AN61" s="31" t="n">
        <f aca="false">+AN60/AM60-1</f>
        <v>-0.01</v>
      </c>
      <c r="AO61" s="31" t="n">
        <f aca="false">+AO60/AN60-1</f>
        <v>-0.01</v>
      </c>
      <c r="AP61" s="31" t="n">
        <f aca="false">+AP60/AO60-1</f>
        <v>-0.01</v>
      </c>
      <c r="AQ61" s="31" t="n">
        <f aca="false">+AQ60/AP60-1</f>
        <v>-0.01</v>
      </c>
    </row>
    <row r="62" s="13" customFormat="true" ht="12.8" hidden="false" customHeight="true" outlineLevel="0" collapsed="false">
      <c r="A62" s="2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</row>
    <row r="63" s="51" customFormat="true" ht="12.8" hidden="false" customHeight="true" outlineLevel="0" collapsed="false">
      <c r="A63" s="2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50" t="s">
        <v>109</v>
      </c>
      <c r="BB63" s="50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</row>
    <row r="64" s="13" customFormat="true" ht="12.8" hidden="false" customHeight="true" outlineLevel="0" collapsed="false">
      <c r="A64" s="52" t="s">
        <v>110</v>
      </c>
      <c r="B64" s="53" t="n">
        <f aca="false">B36/B28</f>
        <v>0.252160841788801</v>
      </c>
      <c r="C64" s="53" t="n">
        <f aca="false">C36/C28</f>
        <v>0.245810055865922</v>
      </c>
      <c r="D64" s="53" t="n">
        <f aca="false">D36/D28</f>
        <v>0.24703557312253</v>
      </c>
      <c r="E64" s="53" t="n">
        <f aca="false">E36/E28</f>
        <v>0.253000631711939</v>
      </c>
      <c r="F64" s="53" t="n">
        <f aca="false">F36/F28</f>
        <v>0.251842550183412</v>
      </c>
      <c r="G64" s="53" t="n">
        <f aca="false">G36/G28</f>
        <v>0.241133624042909</v>
      </c>
      <c r="H64" s="53" t="n">
        <f aca="false">H36/H28</f>
        <v>0.263649669549397</v>
      </c>
      <c r="I64" s="53" t="n">
        <f aca="false">I36/I28</f>
        <v>0.266990523892783</v>
      </c>
      <c r="J64" s="53" t="n">
        <f aca="false">J36/J28</f>
        <v>0.276166796519657</v>
      </c>
      <c r="K64" s="53" t="n">
        <f aca="false">K36/K28</f>
        <v>0.292132268688782</v>
      </c>
      <c r="L64" s="53" t="n">
        <f aca="false">L36/L28</f>
        <v>0.310968778579741</v>
      </c>
      <c r="M64" s="53" t="n">
        <f aca="false">M36/M28</f>
        <v>0.322516345762372</v>
      </c>
      <c r="N64" s="53" t="n">
        <f aca="false">N36/N28</f>
        <v>0.316494708817766</v>
      </c>
      <c r="O64" s="53" t="n">
        <f aca="false">O36/O28</f>
        <v>0.314830001398462</v>
      </c>
      <c r="P64" s="53" t="n">
        <f aca="false">P36/P28</f>
        <v>0.316259839523813</v>
      </c>
      <c r="Q64" s="53" t="n">
        <f aca="false">Q36/Q28</f>
        <v>0.330844602020412</v>
      </c>
      <c r="R64" s="53" t="n">
        <f aca="false">R36/R28</f>
        <v>0.329817926765778</v>
      </c>
      <c r="S64" s="53" t="n">
        <f aca="false">S36/S28</f>
        <v>0.334100900146536</v>
      </c>
      <c r="T64" s="53" t="n">
        <f aca="false">T36/T28</f>
        <v>0.33</v>
      </c>
      <c r="U64" s="53" t="n">
        <f aca="false">U36/U28</f>
        <v>0.33</v>
      </c>
      <c r="V64" s="53"/>
      <c r="W64" s="53"/>
      <c r="X64" s="53"/>
      <c r="Y64" s="53"/>
      <c r="Z64" s="53"/>
      <c r="AA64" s="53" t="n">
        <f aca="false">AA36/AA28</f>
        <v>0.25458308693081</v>
      </c>
      <c r="AB64" s="53" t="n">
        <f aca="false">AB36/AB28</f>
        <v>0.255726939719358</v>
      </c>
      <c r="AC64" s="53" t="n">
        <f aca="false">AC36/AC28</f>
        <v>0.268011577718147</v>
      </c>
      <c r="AD64" s="53" t="n">
        <f aca="false">AD36/AD28</f>
        <v>0.249523226531059</v>
      </c>
      <c r="AE64" s="53" t="n">
        <f aca="false">AE36/AE28</f>
        <v>0.256442619737715</v>
      </c>
      <c r="AF64" s="53" t="n">
        <f aca="false">AF36/AF28</f>
        <v>0.301418750730345</v>
      </c>
      <c r="AG64" s="53" t="n">
        <f aca="false">AG36/AG28</f>
        <v>0.319799684461442</v>
      </c>
      <c r="AH64" s="53" t="n">
        <f aca="false">AH36/AH28</f>
        <v>0.32</v>
      </c>
      <c r="AI64" s="53" t="n">
        <f aca="false">AI36/AI28</f>
        <v>0.325</v>
      </c>
      <c r="AJ64" s="53" t="n">
        <f aca="false">AJ36/AJ28</f>
        <v>0.33</v>
      </c>
      <c r="AK64" s="53" t="n">
        <f aca="false">AK36/AK28</f>
        <v>0.335</v>
      </c>
      <c r="AL64" s="53" t="n">
        <f aca="false">AL36/AL28</f>
        <v>0.34</v>
      </c>
      <c r="AM64" s="53" t="n">
        <f aca="false">AM36/AM28</f>
        <v>0.345</v>
      </c>
      <c r="AN64" s="53" t="n">
        <f aca="false">AN36/AN28</f>
        <v>0.35</v>
      </c>
      <c r="AO64" s="53" t="n">
        <f aca="false">AO36/AO28</f>
        <v>0.355</v>
      </c>
      <c r="AP64" s="53" t="n">
        <f aca="false">AP36/AP28</f>
        <v>0.36</v>
      </c>
      <c r="AQ64" s="53" t="n">
        <f aca="false">AQ36/AQ28</f>
        <v>0.365</v>
      </c>
      <c r="AR64" s="54"/>
      <c r="AS64" s="54"/>
      <c r="AT64" s="54"/>
      <c r="AU64" s="55" t="s">
        <v>111</v>
      </c>
      <c r="AV64" s="56" t="n">
        <v>0.02</v>
      </c>
      <c r="AW64" s="57"/>
      <c r="AX64" s="57" t="s">
        <v>9</v>
      </c>
      <c r="AY64" s="58" t="n">
        <f aca="false">Main!F6</f>
        <v>93110.017765</v>
      </c>
      <c r="AZ64" s="51"/>
      <c r="BA64" s="1" t="s">
        <v>112</v>
      </c>
      <c r="BB64" s="13" t="n">
        <f aca="false">+SUM(P167:S167)/SUM(P56:S56)</f>
        <v>0.231487565598901</v>
      </c>
      <c r="BC64" s="1"/>
      <c r="BD64" s="1" t="s">
        <v>113</v>
      </c>
      <c r="BE64" s="32" t="n">
        <f aca="false">+BB66</f>
        <v>29193.7362233657</v>
      </c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  <c r="BQ64" s="51"/>
      <c r="BR64" s="51"/>
      <c r="BS64" s="51"/>
      <c r="BT64" s="51"/>
      <c r="BU64" s="51"/>
      <c r="BV64" s="51"/>
      <c r="BW64" s="51"/>
      <c r="BX64" s="51"/>
      <c r="BY64" s="51"/>
      <c r="BZ64" s="51"/>
      <c r="CA64" s="51"/>
      <c r="CB64" s="51"/>
      <c r="CC64" s="51"/>
      <c r="CD64" s="51"/>
      <c r="CE64" s="51"/>
      <c r="CF64" s="51"/>
      <c r="CG64" s="51"/>
      <c r="CH64" s="51"/>
      <c r="CI64" s="51"/>
      <c r="CJ64" s="51"/>
      <c r="CK64" s="51"/>
      <c r="CL64" s="51"/>
      <c r="CM64" s="51"/>
      <c r="CN64" s="51"/>
      <c r="CO64" s="51"/>
      <c r="CP64" s="51"/>
      <c r="CQ64" s="51"/>
      <c r="CR64" s="51"/>
      <c r="CS64" s="51"/>
      <c r="CT64" s="51"/>
      <c r="CU64" s="51"/>
      <c r="CV64" s="51"/>
      <c r="CW64" s="51"/>
      <c r="CX64" s="51"/>
      <c r="CY64" s="51"/>
      <c r="CZ64" s="51"/>
      <c r="DA64" s="51"/>
      <c r="DB64" s="51"/>
      <c r="DC64" s="51"/>
      <c r="DD64" s="51"/>
      <c r="DE64" s="51"/>
      <c r="DF64" s="51"/>
      <c r="DG64" s="51"/>
    </row>
    <row r="65" s="13" customFormat="true" ht="12.8" hidden="false" customHeight="true" outlineLevel="0" collapsed="false">
      <c r="A65" s="52" t="s">
        <v>114</v>
      </c>
      <c r="B65" s="53" t="n">
        <f aca="false">B46/B28</f>
        <v>-0.00225479143179256</v>
      </c>
      <c r="C65" s="53" t="n">
        <f aca="false">C46/C28</f>
        <v>-0.0677374301675978</v>
      </c>
      <c r="D65" s="53" t="n">
        <f aca="false">D46/D28</f>
        <v>-0.075098814229249</v>
      </c>
      <c r="E65" s="53" t="n">
        <f aca="false">E46/E28</f>
        <v>-0.072962728995578</v>
      </c>
      <c r="F65" s="53" t="n">
        <f aca="false">F46/F28</f>
        <v>-0.0512335344962431</v>
      </c>
      <c r="G65" s="53" t="n">
        <f aca="false">G46/G28</f>
        <v>-0.0777098595093656</v>
      </c>
      <c r="H65" s="53" t="n">
        <f aca="false">H46/H28</f>
        <v>0.00956114532837627</v>
      </c>
      <c r="I65" s="53" t="n">
        <f aca="false">I46/I28</f>
        <v>-0.0203840570411135</v>
      </c>
      <c r="J65" s="53" t="n">
        <f aca="false">J46/J28</f>
        <v>0.0462562501254448</v>
      </c>
      <c r="K65" s="53" t="n">
        <f aca="false">K46/K28</f>
        <v>0.0699222127743884</v>
      </c>
      <c r="L65" s="53" t="n">
        <f aca="false">L46/L28</f>
        <v>0.113887796033772</v>
      </c>
      <c r="M65" s="53" t="n">
        <f aca="false">M46/M28</f>
        <v>0.11248226923985</v>
      </c>
      <c r="N65" s="53" t="n">
        <f aca="false">N46/N28</f>
        <v>0.12151432372842</v>
      </c>
      <c r="O65" s="53" t="n">
        <f aca="false">O46/O28</f>
        <v>0.0968538862847112</v>
      </c>
      <c r="P65" s="53" t="n">
        <f aca="false">P46/P28</f>
        <v>0.136254299158805</v>
      </c>
      <c r="Q65" s="53" t="n">
        <f aca="false">Q46/Q28</f>
        <v>0.154727844900455</v>
      </c>
      <c r="R65" s="53" t="n">
        <f aca="false">R46/R28</f>
        <v>0.157750113361336</v>
      </c>
      <c r="S65" s="53" t="n">
        <f aca="false">S46/S28</f>
        <v>0.137115344358384</v>
      </c>
      <c r="T65" s="53" t="n">
        <f aca="false">T46/T28</f>
        <v>0.180636336566973</v>
      </c>
      <c r="U65" s="53" t="n">
        <f aca="false">U46/U28</f>
        <v>0.18308318890549</v>
      </c>
      <c r="V65" s="53"/>
      <c r="W65" s="53"/>
      <c r="X65" s="53"/>
      <c r="Y65" s="53"/>
      <c r="Z65" s="53"/>
      <c r="AA65" s="53" t="n">
        <f aca="false">AA46/AA28</f>
        <v>-0.0107924305144885</v>
      </c>
      <c r="AB65" s="53" t="n">
        <f aca="false">AB46/AB28</f>
        <v>-0.037160054846324</v>
      </c>
      <c r="AC65" s="53" t="n">
        <f aca="false">AC46/AC28</f>
        <v>0.0097418178710672</v>
      </c>
      <c r="AD65" s="53" t="n">
        <f aca="false">AD46/AD28</f>
        <v>-0.0561760386531416</v>
      </c>
      <c r="AE65" s="53" t="n">
        <f aca="false">AE46/AE28</f>
        <v>-0.0336579906529411</v>
      </c>
      <c r="AF65" s="53" t="n">
        <f aca="false">AF46/AF28</f>
        <v>0.0871037981048291</v>
      </c>
      <c r="AG65" s="53" t="n">
        <f aca="false">AG46/AG28</f>
        <v>0.127900570633712</v>
      </c>
      <c r="AH65" s="53" t="n">
        <f aca="false">AH46/AH28</f>
        <v>0.118872798467394</v>
      </c>
      <c r="AI65" s="53" t="n">
        <f aca="false">AI46/AI28</f>
        <v>0.114709805850663</v>
      </c>
      <c r="AJ65" s="53" t="n">
        <f aca="false">AJ46/AJ28</f>
        <v>0.111089812270898</v>
      </c>
      <c r="AK65" s="53" t="n">
        <f aca="false">AK46/AK28</f>
        <v>0.107941991766755</v>
      </c>
      <c r="AL65" s="53" t="n">
        <f aca="false">AL46/AL28</f>
        <v>0.10520475654576</v>
      </c>
      <c r="AM65" s="53" t="n">
        <f aca="false">AM46/AM28</f>
        <v>0.102824552005765</v>
      </c>
      <c r="AN65" s="53" t="n">
        <f aca="false">AN46/AN28</f>
        <v>0.100754808927508</v>
      </c>
      <c r="AO65" s="53" t="n">
        <f aca="false">AO46/AO28</f>
        <v>0.09895503233772</v>
      </c>
      <c r="AP65" s="53" t="n">
        <f aca="false">AP46/AP28</f>
        <v>0.0973900092161648</v>
      </c>
      <c r="AQ65" s="53" t="n">
        <f aca="false">AQ46/AQ28</f>
        <v>0.0960291195452473</v>
      </c>
      <c r="AR65" s="53"/>
      <c r="AS65" s="53"/>
      <c r="AT65" s="53"/>
      <c r="AU65" s="59" t="s">
        <v>115</v>
      </c>
      <c r="AV65" s="60" t="n">
        <f aca="false">+Main!E9</f>
        <v>0.10095410010437</v>
      </c>
      <c r="AX65" s="13" t="s">
        <v>116</v>
      </c>
      <c r="AY65" s="3" t="n">
        <f aca="false">AH28</f>
        <v>19764.0308198856</v>
      </c>
      <c r="BA65" s="1" t="s">
        <v>117</v>
      </c>
      <c r="BB65" s="13" t="n">
        <f aca="false">+(1-BB64)*AG78</f>
        <v>0.072794250583209</v>
      </c>
      <c r="BC65" s="1"/>
      <c r="BD65" s="61" t="s">
        <v>108</v>
      </c>
      <c r="BE65" s="62" t="n">
        <f aca="false">+Main!F2</f>
        <v>209.280449</v>
      </c>
    </row>
    <row r="66" s="66" customFormat="true" ht="12.8" hidden="false" customHeight="true" outlineLevel="0" collapsed="false">
      <c r="A66" s="52" t="s">
        <v>118</v>
      </c>
      <c r="B66" s="53" t="n">
        <f aca="false">B56/B28</f>
        <v>0.0492296129274709</v>
      </c>
      <c r="C66" s="53" t="n">
        <f aca="false">C56/C28</f>
        <v>-0.043645251396648</v>
      </c>
      <c r="D66" s="53" t="n">
        <f aca="false">D56/D28</f>
        <v>-0.0546772068511199</v>
      </c>
      <c r="E66" s="53" t="n">
        <f aca="false">E56/E28</f>
        <v>-0.0852811118130133</v>
      </c>
      <c r="F66" s="53" t="n">
        <f aca="false">F56/F28</f>
        <v>-0.0739149334581696</v>
      </c>
      <c r="G66" s="53" t="n">
        <f aca="false">G56/G28</f>
        <v>-0.0950212036311574</v>
      </c>
      <c r="H66" s="53" t="n">
        <f aca="false">H56/H28</f>
        <v>0.0193910647882751</v>
      </c>
      <c r="I66" s="53" t="n">
        <f aca="false">I56/I28</f>
        <v>-0.0190220922025642</v>
      </c>
      <c r="J66" s="53" t="n">
        <f aca="false">J56/J28</f>
        <v>0.0542316159692632</v>
      </c>
      <c r="K66" s="53" t="n">
        <f aca="false">K56/K28</f>
        <v>0.0720234898988744</v>
      </c>
      <c r="L66" s="53" t="n">
        <f aca="false">L56/L28</f>
        <v>0.0752739648479201</v>
      </c>
      <c r="M66" s="53" t="n">
        <f aca="false">M56/M28</f>
        <v>0.0865521363358353</v>
      </c>
      <c r="N66" s="53" t="n">
        <f aca="false">N56/N28</f>
        <v>0.0537365644072767</v>
      </c>
      <c r="O66" s="53" t="n">
        <f aca="false">O56/O28</f>
        <v>-0.0204811778684238</v>
      </c>
      <c r="P66" s="53" t="n">
        <f aca="false">P56/P28</f>
        <v>0.210456843106409</v>
      </c>
      <c r="Q66" s="53" t="n">
        <f aca="false">Q56/Q28</f>
        <v>0.259117852566795</v>
      </c>
      <c r="R66" s="53" t="n">
        <f aca="false">R56/R28</f>
        <v>0.159073711925986</v>
      </c>
      <c r="S66" s="53" t="n">
        <f aca="false">S56/S28</f>
        <v>0.114088339962319</v>
      </c>
      <c r="T66" s="53" t="n">
        <f aca="false">T56/T28</f>
        <v>0.251814369497809</v>
      </c>
      <c r="U66" s="53" t="n">
        <f aca="false">U56/U28</f>
        <v>0.273450195497538</v>
      </c>
      <c r="V66" s="53"/>
      <c r="W66" s="53"/>
      <c r="X66" s="53"/>
      <c r="Y66" s="53"/>
      <c r="Z66" s="53"/>
      <c r="AA66" s="53" t="n">
        <f aca="false">AA56/AA28</f>
        <v>-0.027498521584861</v>
      </c>
      <c r="AB66" s="53" t="n">
        <f aca="false">AB56/AB28</f>
        <v>-0.0737074787782635</v>
      </c>
      <c r="AC66" s="53" t="n">
        <f aca="false">AC56/AC28</f>
        <v>-0.00349647337581475</v>
      </c>
      <c r="AD66" s="53" t="n">
        <f aca="false">AD56/AD28</f>
        <v>-0.0366488052564381</v>
      </c>
      <c r="AE66" s="53" t="n">
        <f aca="false">AE56/AE28</f>
        <v>-0.0401499637191905</v>
      </c>
      <c r="AF66" s="53" t="n">
        <f aca="false">AF56/AF28</f>
        <v>0.0726260289474526</v>
      </c>
      <c r="AG66" s="53" t="n">
        <f aca="false">AG56/AG28</f>
        <v>0.128715181790046</v>
      </c>
      <c r="AH66" s="53" t="n">
        <f aca="false">AH56/AH28</f>
        <v>0.114203898511271</v>
      </c>
      <c r="AI66" s="53" t="n">
        <f aca="false">AI56/AI28</f>
        <v>0.110104954485601</v>
      </c>
      <c r="AJ66" s="53" t="n">
        <f aca="false">AJ56/AJ28</f>
        <v>0.106538149227806</v>
      </c>
      <c r="AK66" s="53" t="n">
        <f aca="false">AK56/AK28</f>
        <v>0.10343435663221</v>
      </c>
      <c r="AL66" s="53" t="n">
        <f aca="false">AL56/AL28</f>
        <v>0.0933109713838153</v>
      </c>
      <c r="AM66" s="53" t="n">
        <f aca="false">AM56/AM28</f>
        <v>0.0911337808398707</v>
      </c>
      <c r="AN66" s="53" t="n">
        <f aca="false">AN56/AN28</f>
        <v>0.0892391349660277</v>
      </c>
      <c r="AO66" s="53" t="n">
        <f aca="false">AO56/AO28</f>
        <v>0.0776368945062013</v>
      </c>
      <c r="AP66" s="53" t="n">
        <f aca="false">AP56/AP28</f>
        <v>0.0763650842915958</v>
      </c>
      <c r="AQ66" s="53" t="n">
        <f aca="false">AQ56/AQ28</f>
        <v>0.0752582738062033</v>
      </c>
      <c r="AR66" s="53"/>
      <c r="AS66" s="53"/>
      <c r="AT66" s="53"/>
      <c r="AU66" s="63" t="s">
        <v>119</v>
      </c>
      <c r="AV66" s="64" t="n">
        <v>0.02</v>
      </c>
      <c r="AW66" s="51"/>
      <c r="AX66" s="13" t="s">
        <v>120</v>
      </c>
      <c r="AY66" s="65" t="n">
        <f aca="false">AY64/AY65</f>
        <v>4.71108442470739</v>
      </c>
      <c r="AZ66" s="13"/>
      <c r="BA66" s="1" t="s">
        <v>113</v>
      </c>
      <c r="BB66" s="32" t="n">
        <f aca="false">+(SUM(P167:S167)*(1+BB65))/(Main!B9-BB65)</f>
        <v>29193.7362233657</v>
      </c>
      <c r="BC66" s="1"/>
      <c r="BD66" s="1" t="s">
        <v>1</v>
      </c>
      <c r="BE66" s="32" t="n">
        <f aca="false">+BE64/BE65</f>
        <v>139.4957644771</v>
      </c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</row>
    <row r="67" customFormat="false" ht="12.8" hidden="false" customHeight="true" outlineLevel="0" collapsed="false">
      <c r="A67" s="67" t="s">
        <v>121</v>
      </c>
      <c r="B67" s="51"/>
      <c r="C67" s="51"/>
      <c r="D67" s="51"/>
      <c r="E67" s="51"/>
      <c r="F67" s="51" t="n">
        <f aca="false">+F65+F29</f>
        <v>0.0919984817096949</v>
      </c>
      <c r="G67" s="51" t="n">
        <f aca="false">+G65+G29</f>
        <v>0.0316153598045364</v>
      </c>
      <c r="H67" s="51" t="n">
        <f aca="false">+H65+H29</f>
        <v>0.115324550790009</v>
      </c>
      <c r="I67" s="51" t="n">
        <f aca="false">+I65+I29</f>
        <v>0.139175869683091</v>
      </c>
      <c r="J67" s="51" t="n">
        <f aca="false">+J65+J29</f>
        <v>0.241532061822225</v>
      </c>
      <c r="K67" s="51" t="n">
        <f aca="false">+K65+K29</f>
        <v>0.268247584092747</v>
      </c>
      <c r="L67" s="51" t="n">
        <f aca="false">+L65+L29</f>
        <v>0.301880700926779</v>
      </c>
      <c r="M67" s="51" t="n">
        <f aca="false">+M65+M29</f>
        <v>0.268019209948875</v>
      </c>
      <c r="N67" s="51" t="n">
        <f aca="false">+N65+N29</f>
        <v>0.273862579684924</v>
      </c>
      <c r="O67" s="51" t="n">
        <f aca="false">+O65+O29</f>
        <v>0.198217268906901</v>
      </c>
      <c r="P67" s="51" t="n">
        <f aca="false">+P65+P29</f>
        <v>0.2074347549088</v>
      </c>
      <c r="Q67" s="51" t="n">
        <f aca="false">+Q65+Q29</f>
        <v>0.222833633757639</v>
      </c>
      <c r="R67" s="51" t="n">
        <f aca="false">+R65+R29</f>
        <v>0.239592093961659</v>
      </c>
      <c r="S67" s="51" t="n">
        <f aca="false">+S65+S29</f>
        <v>0.276362501796445</v>
      </c>
      <c r="T67" s="51" t="n">
        <f aca="false">+T65+T29</f>
        <v>0.325636336566973</v>
      </c>
      <c r="U67" s="51" t="n">
        <f aca="false">+U65+U29</f>
        <v>0.32808318890549</v>
      </c>
      <c r="V67" s="51"/>
      <c r="W67" s="51"/>
      <c r="X67" s="51"/>
      <c r="Y67" s="51"/>
      <c r="Z67" s="51"/>
      <c r="AA67" s="51"/>
      <c r="AB67" s="51" t="n">
        <f aca="false">+AB65+AB29</f>
        <v>0.127856557040114</v>
      </c>
      <c r="AC67" s="51" t="n">
        <f aca="false">+AC65+AC29</f>
        <v>0.236642101158721</v>
      </c>
      <c r="AD67" s="51" t="n">
        <f aca="false">+AD65+AD29</f>
        <v>0.156793184408283</v>
      </c>
      <c r="AE67" s="51" t="n">
        <f aca="false">+AE65+AE29</f>
        <v>0.0959479733772279</v>
      </c>
      <c r="AF67" s="51" t="n">
        <f aca="false">+AF65+AF29</f>
        <v>0.270242850102485</v>
      </c>
      <c r="AG67" s="51" t="n">
        <f aca="false">+AG65+AG29</f>
        <v>0.224429643430492</v>
      </c>
      <c r="AH67" s="51" t="n">
        <f aca="false">+AH65+AH29</f>
        <v>0.268872798467394</v>
      </c>
      <c r="AI67" s="51" t="n">
        <f aca="false">+AI65+AI29</f>
        <v>0.264709805850663</v>
      </c>
      <c r="AJ67" s="51" t="n">
        <f aca="false">+AJ65+AJ29</f>
        <v>0.261089812270898</v>
      </c>
      <c r="AK67" s="51" t="n">
        <f aca="false">+AK65+AK29</f>
        <v>0.257941991766755</v>
      </c>
      <c r="AL67" s="51" t="n">
        <f aca="false">+AL65+AL29</f>
        <v>0.25520475654576</v>
      </c>
      <c r="AM67" s="51" t="n">
        <f aca="false">+AM65+AM29</f>
        <v>0.252824552005765</v>
      </c>
      <c r="AN67" s="51" t="n">
        <f aca="false">+AN65+AN29</f>
        <v>0.250754808927508</v>
      </c>
      <c r="AO67" s="51" t="n">
        <f aca="false">+AO65+AO29</f>
        <v>0.24895503233772</v>
      </c>
      <c r="AP67" s="51" t="n">
        <f aca="false">+AP65+AP29</f>
        <v>0.247390009216165</v>
      </c>
      <c r="AQ67" s="51" t="n">
        <f aca="false">+AQ65+AQ29</f>
        <v>0.246029119545247</v>
      </c>
      <c r="AR67" s="53"/>
      <c r="AS67" s="53"/>
      <c r="AT67" s="53"/>
      <c r="AU67" s="59" t="s">
        <v>122</v>
      </c>
      <c r="AV67" s="68" t="n">
        <f aca="false">NPV(AV65,AH56:DG56)</f>
        <v>45319.5801763089</v>
      </c>
      <c r="AW67" s="13"/>
      <c r="AX67" s="13"/>
      <c r="AY67" s="13"/>
      <c r="AZ67" s="13"/>
      <c r="BA67" s="1" t="s">
        <v>123</v>
      </c>
      <c r="BE67" s="13" t="n">
        <f aca="false">+BE66/Main!F1-1</f>
        <v>-0.712379867057527</v>
      </c>
      <c r="BF67" s="13"/>
      <c r="BG67" s="13"/>
      <c r="BH67" s="13"/>
      <c r="BI67" s="13"/>
      <c r="BJ67" s="13"/>
      <c r="BK67" s="13"/>
      <c r="BL67" s="13"/>
      <c r="BM67" s="13"/>
      <c r="BN67" s="13"/>
      <c r="BO67" s="66"/>
      <c r="BP67" s="66"/>
      <c r="BQ67" s="66"/>
      <c r="BR67" s="66"/>
      <c r="BS67" s="66"/>
      <c r="BT67" s="66"/>
      <c r="BU67" s="66"/>
      <c r="BV67" s="66"/>
      <c r="BW67" s="66"/>
      <c r="BX67" s="66"/>
      <c r="BY67" s="66"/>
      <c r="BZ67" s="66"/>
      <c r="CA67" s="66"/>
      <c r="CB67" s="66"/>
      <c r="CC67" s="66"/>
      <c r="CD67" s="66"/>
      <c r="CE67" s="66"/>
      <c r="CF67" s="66"/>
      <c r="CG67" s="66"/>
      <c r="CH67" s="66"/>
      <c r="CI67" s="66"/>
      <c r="CJ67" s="66"/>
      <c r="CK67" s="66"/>
      <c r="CL67" s="66"/>
      <c r="CM67" s="66"/>
      <c r="CN67" s="66"/>
      <c r="CO67" s="66"/>
      <c r="CP67" s="66"/>
      <c r="CQ67" s="66"/>
      <c r="CR67" s="66"/>
      <c r="CS67" s="66"/>
      <c r="CT67" s="66"/>
      <c r="CU67" s="66"/>
      <c r="CV67" s="66"/>
      <c r="CW67" s="66"/>
      <c r="CX67" s="66"/>
      <c r="CY67" s="66"/>
      <c r="CZ67" s="66"/>
      <c r="DA67" s="66"/>
      <c r="DB67" s="66"/>
      <c r="DC67" s="66"/>
      <c r="DD67" s="66"/>
      <c r="DE67" s="66"/>
      <c r="DF67" s="66"/>
      <c r="DG67" s="66"/>
    </row>
    <row r="68" customFormat="false" ht="12.8" hidden="false" customHeight="true" outlineLevel="0" collapsed="false">
      <c r="A68" s="52" t="s">
        <v>124</v>
      </c>
      <c r="B68" s="13" t="n">
        <f aca="false">+B54/B52</f>
        <v>0.154838709677419</v>
      </c>
      <c r="C68" s="13" t="n">
        <f aca="false">+C54/C52</f>
        <v>-0.388888888888889</v>
      </c>
      <c r="D68" s="13" t="n">
        <f aca="false">+D54/D52</f>
        <v>-0.152777777777778</v>
      </c>
      <c r="E68" s="13" t="n">
        <f aca="false">+E54/E52</f>
        <v>0.0721649484536083</v>
      </c>
      <c r="F68" s="13" t="n">
        <f aca="false">+F54/F52</f>
        <v>-0.0922959121166325</v>
      </c>
      <c r="G68" s="13" t="n">
        <f aca="false">+G54/G52</f>
        <v>-0.253224910683946</v>
      </c>
      <c r="H68" s="13" t="n">
        <f aca="false">+H54/H52</f>
        <v>0.109442569485293</v>
      </c>
      <c r="I68" s="13" t="n">
        <f aca="false">+I54/I52</f>
        <v>0.466242256817646</v>
      </c>
      <c r="J68" s="13" t="n">
        <f aca="false">+J54/J52</f>
        <v>-0.132034549594153</v>
      </c>
      <c r="K68" s="13" t="n">
        <f aca="false">+K54/K52</f>
        <v>-0.0148033866817568</v>
      </c>
      <c r="L68" s="13" t="n">
        <f aca="false">+L54/L52</f>
        <v>0.246102386463075</v>
      </c>
      <c r="M68" s="13" t="n">
        <f aca="false">+M54/M52</f>
        <v>0.264439620441554</v>
      </c>
      <c r="N68" s="13" t="n">
        <f aca="false">+N54/N52</f>
        <v>0.313866427917169</v>
      </c>
      <c r="O68" s="13" t="n">
        <f aca="false">+O54/O52</f>
        <v>2.78470697674441</v>
      </c>
      <c r="P68" s="13" t="n">
        <f aca="false">+P54/P52</f>
        <v>-0.087052118411954</v>
      </c>
      <c r="Q68" s="13" t="n">
        <f aca="false">+Q54/Q52</f>
        <v>-0.149840607752331</v>
      </c>
      <c r="R68" s="13" t="n">
        <f aca="false">+R54/R52</f>
        <v>0.230499210727339</v>
      </c>
      <c r="S68" s="13" t="n">
        <f aca="false">+S54/S52</f>
        <v>0.243055555555556</v>
      </c>
      <c r="T68" s="13" t="n">
        <f aca="false">+T54/T52</f>
        <v>0.05</v>
      </c>
      <c r="U68" s="13" t="n">
        <f aca="false">+U54/U52</f>
        <v>0.05</v>
      </c>
      <c r="V68" s="13"/>
      <c r="W68" s="13"/>
      <c r="X68" s="13"/>
      <c r="Y68" s="13"/>
      <c r="Z68" s="13"/>
      <c r="AA68" s="13" t="n">
        <f aca="false">+AA54/AA52</f>
        <v>-0.419847328244275</v>
      </c>
      <c r="AB68" s="13" t="n">
        <f aca="false">+AB54/AB52</f>
        <v>0.180579866362999</v>
      </c>
      <c r="AC68" s="13" t="n">
        <f aca="false">+AC54/AC52</f>
        <v>1.1356547819693</v>
      </c>
      <c r="AD68" s="13" t="n">
        <f aca="false">+AD54/AD52</f>
        <v>-0.162254999266418</v>
      </c>
      <c r="AE68" s="13" t="n">
        <f aca="false">+AE54/AE52</f>
        <v>-0.0534789312599521</v>
      </c>
      <c r="AF68" s="13" t="n">
        <f aca="false">+AF54/AF52</f>
        <v>0.151347751854714</v>
      </c>
      <c r="AG68" s="13" t="n">
        <f aca="false">+AG54/AG52</f>
        <v>0.00539540748100185</v>
      </c>
      <c r="AH68" s="13" t="n">
        <f aca="false">+AH54/AH52</f>
        <v>0.05</v>
      </c>
      <c r="AI68" s="13" t="n">
        <f aca="false">+AI54/AI52</f>
        <v>0.05</v>
      </c>
      <c r="AJ68" s="13" t="n">
        <f aca="false">+AJ54/AJ52</f>
        <v>0.05</v>
      </c>
      <c r="AK68" s="13" t="n">
        <f aca="false">+AK54/AK52</f>
        <v>0.05</v>
      </c>
      <c r="AL68" s="13" t="n">
        <f aca="false">+AL54/AL52</f>
        <v>0.12</v>
      </c>
      <c r="AM68" s="13" t="n">
        <f aca="false">+AM54/AM52</f>
        <v>0.12</v>
      </c>
      <c r="AN68" s="13" t="n">
        <f aca="false">+AN54/AN52</f>
        <v>0.12</v>
      </c>
      <c r="AO68" s="13" t="n">
        <f aca="false">+AO54/AO52</f>
        <v>0.22</v>
      </c>
      <c r="AP68" s="13" t="n">
        <f aca="false">+AP54/AP52</f>
        <v>0.22</v>
      </c>
      <c r="AQ68" s="13" t="n">
        <f aca="false">+AQ54/AQ52</f>
        <v>0.22</v>
      </c>
      <c r="AR68" s="13"/>
      <c r="AS68" s="13"/>
      <c r="AT68" s="13"/>
      <c r="AU68" s="69" t="s">
        <v>2</v>
      </c>
      <c r="AV68" s="70" t="n">
        <f aca="false">AV67/(Main!F2)</f>
        <v>216.549517132912</v>
      </c>
      <c r="AW68" s="51"/>
      <c r="AX68" s="51"/>
      <c r="AY68" s="51"/>
      <c r="AZ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</row>
    <row r="69" s="53" customFormat="true" ht="12.8" hidden="false" customHeight="true" outlineLevel="0" collapsed="false">
      <c r="A69" s="67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51"/>
      <c r="AQ69" s="51"/>
      <c r="AR69" s="51"/>
      <c r="AS69" s="51"/>
      <c r="AT69" s="51"/>
      <c r="AU69" s="71" t="s">
        <v>125</v>
      </c>
      <c r="AV69" s="72" t="n">
        <f aca="false">AV68/Main!F1-1</f>
        <v>-0.55350615024142</v>
      </c>
      <c r="AW69" s="51"/>
      <c r="AX69" s="13" t="s">
        <v>126</v>
      </c>
      <c r="AY69" s="13" t="n">
        <f aca="false">AY65/AY64</f>
        <v>0.212265353334676</v>
      </c>
      <c r="AZ69" s="51"/>
      <c r="BA69" s="73" t="s">
        <v>127</v>
      </c>
      <c r="BB69" s="73"/>
      <c r="BC69" s="73"/>
      <c r="BD69" s="73"/>
      <c r="BE69" s="73"/>
      <c r="BF69" s="51"/>
      <c r="BG69" s="51"/>
      <c r="BH69" s="51"/>
      <c r="BI69" s="51"/>
      <c r="BJ69" s="51"/>
      <c r="BK69" s="51"/>
      <c r="BL69" s="51"/>
      <c r="BM69" s="51"/>
      <c r="BN69" s="5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</row>
    <row r="70" customFormat="false" ht="12.8" hidden="false" customHeight="true" outlineLevel="0" collapsed="false">
      <c r="A70" s="74" t="s">
        <v>128</v>
      </c>
      <c r="B70" s="66" t="n">
        <f aca="false">B46+B128</f>
        <v>31</v>
      </c>
      <c r="C70" s="66" t="n">
        <f aca="false">C46+C128</f>
        <v>-154</v>
      </c>
      <c r="D70" s="66" t="n">
        <f aca="false">D46+D128</f>
        <v>-184</v>
      </c>
      <c r="E70" s="66" t="n">
        <f aca="false">E46+E128</f>
        <v>-181</v>
      </c>
      <c r="F70" s="66" t="n">
        <f aca="false">F46+F128</f>
        <v>-111.859604876</v>
      </c>
      <c r="G70" s="66" t="n">
        <f aca="false">G46+G128</f>
        <v>-202.89257188498</v>
      </c>
      <c r="H70" s="66" t="n">
        <f aca="false">H46+H128</f>
        <v>68.0976989815199</v>
      </c>
      <c r="I70" s="66" t="n">
        <f aca="false">I46+I128</f>
        <v>-40.83327199117</v>
      </c>
      <c r="J70" s="66" t="n">
        <f aca="false">J46+J128</f>
        <v>199.19683007741</v>
      </c>
      <c r="K70" s="66" t="n">
        <f aca="false">K46+K128</f>
        <v>296.20843851424</v>
      </c>
      <c r="L70" s="66" t="n">
        <f aca="false">L46+L128</f>
        <v>484.20824742268</v>
      </c>
      <c r="M70" s="66" t="n">
        <f aca="false">M46+M128</f>
        <v>507.16876971609</v>
      </c>
      <c r="N70" s="66" t="n">
        <f aca="false">N46+N128</f>
        <v>536.16507545427</v>
      </c>
      <c r="O70" s="66" t="n">
        <f aca="false">O46+O128</f>
        <v>432.11996418979</v>
      </c>
      <c r="P70" s="66" t="n">
        <f aca="false">P46+P128</f>
        <v>606.09072810011</v>
      </c>
      <c r="Q70" s="66" t="n">
        <f aca="false">Q46+Q128</f>
        <v>726.08502024292</v>
      </c>
      <c r="R70" s="66" t="n">
        <f aca="false">R46+R128</f>
        <v>741.09648427174</v>
      </c>
      <c r="S70" s="66" t="n">
        <f aca="false">S46+S128</f>
        <v>684</v>
      </c>
      <c r="T70" s="66"/>
      <c r="U70" s="66"/>
      <c r="V70" s="66"/>
      <c r="W70" s="66"/>
      <c r="X70" s="66"/>
      <c r="Y70" s="66"/>
      <c r="Z70" s="66"/>
      <c r="AA70" s="66" t="n">
        <f aca="false">AA46+AA128</f>
        <v>14</v>
      </c>
      <c r="AB70" s="66" t="n">
        <f aca="false">AB46+AB128</f>
        <v>-181.82763720013</v>
      </c>
      <c r="AC70" s="66" t="n">
        <f aca="false">AC46+AC128</f>
        <v>221.1857042747</v>
      </c>
      <c r="AD70" s="66" t="n">
        <f aca="false">AD46+AD128</f>
        <v>-487.7882978723</v>
      </c>
      <c r="AE70" s="66" t="n">
        <f aca="false">AE46+AE128</f>
        <v>-287.8717198322</v>
      </c>
      <c r="AF70" s="66" t="n">
        <f aca="false">AF46+AF128</f>
        <v>1486.1947950891</v>
      </c>
      <c r="AG70" s="66" t="n">
        <f aca="false">AG46+AG128</f>
        <v>2300.1137564223</v>
      </c>
      <c r="AH70" s="66" t="n">
        <f aca="false">AH46+AH128</f>
        <v>2487.75386829482</v>
      </c>
      <c r="AI70" s="66" t="n">
        <f aca="false">AI46+AI128</f>
        <v>2766.29780700203</v>
      </c>
      <c r="AJ70" s="66" t="n">
        <f aca="false">AJ46+AJ128</f>
        <v>3086.62333651533</v>
      </c>
      <c r="AK70" s="66" t="n">
        <f aca="false">AK46+AK128</f>
        <v>3454.99769545563</v>
      </c>
      <c r="AL70" s="66" t="n">
        <f aca="false">AL46+AL128</f>
        <v>3878.62820823696</v>
      </c>
      <c r="AM70" s="66" t="n">
        <f aca="false">AM46+AM128</f>
        <v>4365.80329793549</v>
      </c>
      <c r="AN70" s="66" t="n">
        <f aca="false">AN46+AN128</f>
        <v>4926.05465108881</v>
      </c>
      <c r="AO70" s="66" t="n">
        <f aca="false">AO46+AO128</f>
        <v>5570.34370721512</v>
      </c>
      <c r="AP70" s="66" t="n">
        <f aca="false">AP46+AP128</f>
        <v>6311.27612176038</v>
      </c>
      <c r="AQ70" s="66" t="n">
        <f aca="false">AQ46+AQ128</f>
        <v>7163.34839848742</v>
      </c>
      <c r="AR70" s="53"/>
      <c r="AS70" s="53"/>
      <c r="AT70" s="53"/>
      <c r="AU70" s="13"/>
      <c r="AV70" s="13"/>
      <c r="AW70" s="13"/>
      <c r="AX70" s="13"/>
      <c r="AY70" s="13"/>
      <c r="AZ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34"/>
      <c r="BP70" s="34"/>
      <c r="BQ70" s="34"/>
      <c r="BR70" s="34"/>
      <c r="BS70" s="34"/>
      <c r="BT70" s="34"/>
      <c r="BU70" s="34"/>
      <c r="BV70" s="34"/>
      <c r="BW70" s="34"/>
      <c r="BX70" s="34"/>
      <c r="BY70" s="34"/>
      <c r="BZ70" s="34"/>
      <c r="CA70" s="34"/>
      <c r="CB70" s="34"/>
      <c r="CC70" s="34"/>
      <c r="CD70" s="34"/>
      <c r="CE70" s="34"/>
      <c r="CF70" s="34"/>
      <c r="CG70" s="34"/>
      <c r="CH70" s="34"/>
      <c r="CI70" s="34"/>
      <c r="CJ70" s="34"/>
      <c r="CK70" s="34"/>
      <c r="CL70" s="34"/>
      <c r="CM70" s="34"/>
      <c r="CN70" s="34"/>
      <c r="CO70" s="34"/>
      <c r="CP70" s="34"/>
      <c r="CQ70" s="34"/>
      <c r="CR70" s="34"/>
      <c r="CS70" s="34"/>
      <c r="CT70" s="34"/>
      <c r="CU70" s="34"/>
      <c r="CV70" s="34"/>
      <c r="CW70" s="34"/>
      <c r="CX70" s="34"/>
      <c r="CY70" s="34"/>
      <c r="CZ70" s="34"/>
      <c r="DA70" s="34"/>
      <c r="DB70" s="34"/>
      <c r="DC70" s="34"/>
      <c r="DD70" s="34"/>
      <c r="DE70" s="34"/>
      <c r="DF70" s="34"/>
      <c r="DG70" s="34"/>
    </row>
    <row r="71" s="34" customFormat="true" ht="12.8" hidden="false" customHeight="true" outlineLevel="0" collapsed="false">
      <c r="A71" s="52" t="s">
        <v>129</v>
      </c>
      <c r="B71" s="13"/>
      <c r="C71" s="13"/>
      <c r="D71" s="13"/>
      <c r="E71" s="13"/>
      <c r="F71" s="13" t="n">
        <f aca="false">+(F46-B46)/(F28-B28)</f>
        <v>-0.393187410185805</v>
      </c>
      <c r="G71" s="13" t="n">
        <f aca="false">+(G46-C46)/(G28-C28)</f>
        <v>-0.168927873105425</v>
      </c>
      <c r="H71" s="13" t="n">
        <f aca="false">+(H46-D46)/(H28-D28)</f>
        <v>0.810026667293213</v>
      </c>
      <c r="I71" s="13" t="n">
        <f aca="false">+(I46-E46)/(I28-E28)</f>
        <v>0.309138981944393</v>
      </c>
      <c r="J71" s="13" t="n">
        <f aca="false">+(J46-F46)/(J28-F28)</f>
        <v>0.545497726960613</v>
      </c>
      <c r="K71" s="13" t="n">
        <f aca="false">+(K46-G46)/(K28-G28)</f>
        <v>0.814315485820486</v>
      </c>
      <c r="L71" s="13" t="n">
        <f aca="false">+(L46-H46)/(L28-H28)</f>
        <v>0.668837732919805</v>
      </c>
      <c r="M71" s="13" t="n">
        <f aca="false">+(M46-I46)/(M28-I28)</f>
        <v>0.966725162762656</v>
      </c>
      <c r="N71" s="13" t="n">
        <f aca="false">+(N46-J46)/(N28-J28)</f>
        <v>0.615501426701637</v>
      </c>
      <c r="O71" s="13" t="n">
        <f aca="false">+(O46-K46)/(O28-K28)</f>
        <v>0.362548191403796</v>
      </c>
      <c r="P71" s="13" t="n">
        <f aca="false">+(P46-L46)/(P28-L28)</f>
        <v>0.450476832428206</v>
      </c>
      <c r="Q71" s="13" t="n">
        <f aca="false">+(Q46-M46)/(Q28-M28)</f>
        <v>0.775021308488275</v>
      </c>
      <c r="R71" s="13" t="n">
        <f aca="false">+(R46-N46)/(R28-N28)</f>
        <v>0.600503201289096</v>
      </c>
      <c r="S71" s="13" t="n">
        <f aca="false">+(S46-O46)/(S28-O28)</f>
        <v>0.42625200477159</v>
      </c>
      <c r="T71" s="13"/>
      <c r="U71" s="13"/>
      <c r="V71" s="13"/>
      <c r="W71" s="13"/>
      <c r="X71" s="13"/>
      <c r="Y71" s="13"/>
      <c r="Z71" s="13"/>
      <c r="AA71" s="13"/>
      <c r="AB71" s="13" t="n">
        <f aca="false">+(AB46-AA46)/(AB28-AA28)</f>
        <v>-0.196947751553982</v>
      </c>
      <c r="AC71" s="13" t="n">
        <f aca="false">+(AC46-AB46)/(AC28-AB28)</f>
        <v>0.216448799624507</v>
      </c>
      <c r="AD71" s="13" t="n">
        <f aca="false">+(AD46-AC46)/(AD28-AC28)</f>
        <v>-0.365694266576597</v>
      </c>
      <c r="AE71" s="13" t="n">
        <f aca="false">+(AE46-AD46)/(AE28-AD28)</f>
        <v>0.140084384311836</v>
      </c>
      <c r="AF71" s="13" t="n">
        <f aca="false">+(AF46-AE46)/(AF28-AE28)</f>
        <v>0.746503240443945</v>
      </c>
      <c r="AG71" s="13" t="n">
        <f aca="false">+(AG46-AF46)/(AG28-AF28)</f>
        <v>0.550537723844259</v>
      </c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75"/>
      <c r="AS71" s="75"/>
      <c r="AT71" s="75"/>
      <c r="AU71" s="1"/>
      <c r="AV71" s="1"/>
      <c r="AW71" s="75"/>
      <c r="AX71" s="75"/>
      <c r="AY71" s="75"/>
      <c r="AZ71" s="75"/>
      <c r="BA71" s="1"/>
      <c r="BB71" s="1"/>
      <c r="BC71" s="1"/>
      <c r="BD71" s="1"/>
      <c r="BE71" s="75"/>
      <c r="BF71" s="75"/>
      <c r="BG71" s="75"/>
      <c r="BH71" s="75"/>
      <c r="BI71" s="75"/>
      <c r="BJ71" s="75"/>
      <c r="BK71" s="75"/>
      <c r="BL71" s="75"/>
      <c r="BM71" s="75"/>
      <c r="BN71" s="75"/>
      <c r="BO71" s="53"/>
      <c r="BP71" s="53"/>
      <c r="BQ71" s="53"/>
      <c r="BR71" s="53"/>
      <c r="BS71" s="53"/>
      <c r="BT71" s="53"/>
      <c r="BU71" s="53"/>
      <c r="BV71" s="53"/>
      <c r="BW71" s="53"/>
      <c r="BX71" s="53"/>
      <c r="BY71" s="53"/>
      <c r="BZ71" s="53"/>
      <c r="CA71" s="53"/>
      <c r="CB71" s="53"/>
      <c r="CC71" s="53"/>
      <c r="CD71" s="53"/>
      <c r="CE71" s="53"/>
      <c r="CF71" s="53"/>
      <c r="CG71" s="53"/>
      <c r="CH71" s="53"/>
      <c r="CI71" s="53"/>
      <c r="CJ71" s="53"/>
      <c r="CK71" s="53"/>
      <c r="CL71" s="53"/>
      <c r="CM71" s="53"/>
      <c r="CN71" s="53"/>
      <c r="CO71" s="53"/>
      <c r="CP71" s="53"/>
      <c r="CQ71" s="53"/>
      <c r="CR71" s="53"/>
      <c r="CS71" s="53"/>
      <c r="CT71" s="53"/>
      <c r="CU71" s="53"/>
      <c r="CV71" s="53"/>
      <c r="CW71" s="53"/>
      <c r="CX71" s="53"/>
      <c r="CY71" s="53"/>
      <c r="CZ71" s="53"/>
      <c r="DA71" s="53"/>
      <c r="DB71" s="53"/>
      <c r="DC71" s="53"/>
      <c r="DD71" s="53"/>
      <c r="DE71" s="53"/>
      <c r="DF71" s="53"/>
      <c r="DG71" s="53"/>
    </row>
    <row r="72" s="34" customFormat="true" ht="12.8" hidden="false" customHeight="true" outlineLevel="0" collapsed="false">
      <c r="A72" s="76"/>
      <c r="AR72" s="13"/>
      <c r="AS72" s="13"/>
      <c r="AT72" s="13"/>
      <c r="AW72" s="13"/>
      <c r="AX72" s="13"/>
      <c r="AY72" s="13"/>
      <c r="AZ72" s="13"/>
      <c r="BA72" s="1"/>
      <c r="BB72" s="1"/>
      <c r="BC72" s="1"/>
      <c r="BD72" s="1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</row>
    <row r="73" customFormat="false" ht="12.8" hidden="false" customHeight="true" outlineLevel="0" collapsed="false"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  <c r="BZ73" s="34"/>
      <c r="CA73" s="34"/>
      <c r="CB73" s="34"/>
      <c r="CC73" s="34"/>
      <c r="CD73" s="34"/>
      <c r="CE73" s="34"/>
      <c r="CF73" s="34"/>
      <c r="CG73" s="34"/>
      <c r="CH73" s="34"/>
      <c r="CI73" s="34"/>
      <c r="CJ73" s="34"/>
      <c r="CK73" s="34"/>
      <c r="CL73" s="34"/>
      <c r="CM73" s="34"/>
      <c r="CN73" s="34"/>
      <c r="CO73" s="34"/>
      <c r="CP73" s="34"/>
      <c r="CQ73" s="34"/>
      <c r="CR73" s="34"/>
      <c r="CS73" s="34"/>
      <c r="CT73" s="34"/>
      <c r="CU73" s="34"/>
      <c r="CV73" s="34"/>
      <c r="CW73" s="34"/>
      <c r="CX73" s="34"/>
      <c r="CY73" s="34"/>
      <c r="CZ73" s="34"/>
      <c r="DA73" s="34"/>
      <c r="DB73" s="34"/>
      <c r="DC73" s="34"/>
      <c r="DD73" s="34"/>
      <c r="DE73" s="34"/>
      <c r="DF73" s="34"/>
      <c r="DG73" s="34"/>
    </row>
    <row r="74" customFormat="false" ht="12.8" hidden="false" customHeight="true" outlineLevel="0" collapsed="false">
      <c r="A74" s="76" t="s">
        <v>130</v>
      </c>
      <c r="B74" s="34" t="n">
        <f aca="false">B24/B28</f>
        <v>0.89402480270575</v>
      </c>
      <c r="C74" s="34" t="n">
        <f aca="false">C24/C28</f>
        <v>0.874301675977654</v>
      </c>
      <c r="D74" s="34" t="n">
        <f aca="false">D24/D28</f>
        <v>0.873188405797101</v>
      </c>
      <c r="E74" s="34" t="n">
        <f aca="false">E24/E28</f>
        <v>0.858180669614656</v>
      </c>
      <c r="F74" s="34" t="n">
        <f aca="false">F24/F28</f>
        <v>0.891806309908789</v>
      </c>
      <c r="G74" s="34" t="n">
        <f aca="false">G24/G28</f>
        <v>0.872806495449613</v>
      </c>
      <c r="H74" s="34" t="n">
        <f aca="false">H24/H28</f>
        <v>0.866820170554715</v>
      </c>
      <c r="I74" s="34" t="n">
        <f aca="false">I24/I28</f>
        <v>0.863485707640237</v>
      </c>
      <c r="J74" s="34" t="n">
        <f aca="false">J24/J28</f>
        <v>0.892965961892354</v>
      </c>
      <c r="K74" s="34" t="n">
        <f aca="false">K24/K28</f>
        <v>0.880172455519068</v>
      </c>
      <c r="L74" s="34" t="n">
        <f aca="false">L24/L28</f>
        <v>0.881598899022428</v>
      </c>
      <c r="M74" s="34" t="n">
        <f aca="false">M24/M28</f>
        <v>0.873374021903414</v>
      </c>
      <c r="N74" s="34" t="n">
        <f aca="false">N24/N28</f>
        <v>0.902828392647485</v>
      </c>
      <c r="O74" s="34" t="n">
        <f aca="false">O24/O28</f>
        <v>0.895037593021779</v>
      </c>
      <c r="P74" s="34" t="n">
        <f aca="false">P24/P28</f>
        <v>0.897686927568016</v>
      </c>
      <c r="Q74" s="34" t="n">
        <f aca="false">Q24/Q28</f>
        <v>0.887204716318584</v>
      </c>
      <c r="R74" s="34" t="n">
        <f aca="false">R24/R28</f>
        <v>0.915047807694389</v>
      </c>
      <c r="S74" s="34" t="n">
        <f aca="false">S24/S28</f>
        <v>0</v>
      </c>
      <c r="T74" s="34"/>
      <c r="U74" s="34"/>
      <c r="V74" s="34"/>
      <c r="W74" s="34"/>
      <c r="X74" s="34"/>
      <c r="Y74" s="34"/>
      <c r="Z74" s="34"/>
      <c r="AA74" s="34" t="n">
        <f aca="false">AA24/AA28</f>
        <v>0.899763453577765</v>
      </c>
      <c r="AB74" s="34" t="n">
        <f aca="false">AB24/AB28</f>
        <v>0.905437047758292</v>
      </c>
      <c r="AC74" s="34" t="n">
        <f aca="false">AC24/AC28</f>
        <v>0.875034909213575</v>
      </c>
      <c r="AD74" s="34" t="n">
        <f aca="false">AD24/AD28</f>
        <v>0.874120827727547</v>
      </c>
      <c r="AE74" s="34" t="n">
        <f aca="false">AE24/AE28</f>
        <v>0.873094889351634</v>
      </c>
      <c r="AF74" s="34" t="n">
        <f aca="false">AF24/AF28</f>
        <v>0.881696436538259</v>
      </c>
      <c r="AG74" s="34" t="n">
        <f aca="false">AG24/AG28</f>
        <v>0.895548593366462</v>
      </c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</row>
    <row r="75" s="13" customFormat="true" ht="12.8" hidden="false" customHeight="true" outlineLevel="0" collapsed="false">
      <c r="A75" s="23" t="s">
        <v>131</v>
      </c>
      <c r="B75" s="1" t="n">
        <f aca="false">B103-B116</f>
        <v>2147</v>
      </c>
      <c r="C75" s="1" t="n">
        <f aca="false">C103-C116</f>
        <v>2301</v>
      </c>
      <c r="D75" s="1" t="n">
        <f aca="false">D103-D116</f>
        <v>2233</v>
      </c>
      <c r="E75" s="1" t="n">
        <f aca="false">E103-E116</f>
        <v>2401</v>
      </c>
      <c r="F75" s="1" t="n">
        <f aca="false">F103-F116</f>
        <v>2342</v>
      </c>
      <c r="G75" s="1" t="n">
        <f aca="false">G103-G116</f>
        <v>2054</v>
      </c>
      <c r="H75" s="1" t="n">
        <f aca="false">H103-H116</f>
        <v>2139</v>
      </c>
      <c r="I75" s="1" t="n">
        <f aca="false">I103-I116</f>
        <v>2523</v>
      </c>
      <c r="J75" s="1" t="n">
        <f aca="false">J103-J116</f>
        <v>3309</v>
      </c>
      <c r="K75" s="1" t="n">
        <f aca="false">K103-K116</f>
        <v>4259</v>
      </c>
      <c r="L75" s="1" t="n">
        <f aca="false">L103-L116</f>
        <v>4633</v>
      </c>
      <c r="M75" s="1" t="n">
        <f aca="false">M103-M116</f>
        <v>5525</v>
      </c>
      <c r="N75" s="1" t="n">
        <f aca="false">N103-N116</f>
        <v>6247</v>
      </c>
      <c r="O75" s="1" t="n">
        <f aca="false">O103-O116</f>
        <v>6630</v>
      </c>
      <c r="P75" s="1" t="n">
        <f aca="false">P103-P116</f>
        <v>7779</v>
      </c>
      <c r="Q75" s="1" t="n">
        <f aca="false">Q103-Q116</f>
        <v>8329</v>
      </c>
      <c r="R75" s="1" t="n">
        <f aca="false">R103-R116</f>
        <v>8010</v>
      </c>
      <c r="S75" s="1" t="n">
        <f aca="false">S103-S116</f>
        <v>8385</v>
      </c>
      <c r="T75" s="1"/>
      <c r="U75" s="1"/>
      <c r="V75" s="1"/>
      <c r="W75" s="1"/>
      <c r="X75" s="1"/>
      <c r="Y75" s="1"/>
      <c r="Z75" s="1"/>
      <c r="AA75" s="1" t="n">
        <f aca="false">AA103-AA116</f>
        <v>0</v>
      </c>
      <c r="AB75" s="1" t="n">
        <f aca="false">AB103-AB116</f>
        <v>2805</v>
      </c>
      <c r="AC75" s="1" t="n">
        <f aca="false">AC103-AC116</f>
        <v>2119</v>
      </c>
      <c r="AD75" s="1" t="n">
        <f aca="false">AD103-AD116</f>
        <v>9082</v>
      </c>
      <c r="AE75" s="1" t="n">
        <f aca="false">AE103-AE116</f>
        <v>9058</v>
      </c>
      <c r="AF75" s="1" t="n">
        <f aca="false">AF103-AF116</f>
        <v>17726</v>
      </c>
      <c r="AG75" s="1" t="n">
        <f aca="false">AG103-AG116</f>
        <v>28985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</row>
    <row r="76" s="13" customFormat="true" ht="12.8" hidden="false" customHeight="true" outlineLevel="0" collapsed="false">
      <c r="A76" s="2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77"/>
      <c r="AZ76" s="77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</row>
    <row r="77" s="13" customFormat="true" ht="12.8" hidden="false" customHeight="true" outlineLevel="0" collapsed="false">
      <c r="A77" s="52" t="s">
        <v>132</v>
      </c>
      <c r="F77" s="13" t="n">
        <f aca="false">+SUM(C56:F56)/AVERAGE(C103:F103)</f>
        <v>-0.104139089597615</v>
      </c>
      <c r="G77" s="13" t="n">
        <f aca="false">+SUM(D56:G56)/AVERAGE(D103:G103)</f>
        <v>-0.127902245409808</v>
      </c>
      <c r="H77" s="13" t="n">
        <f aca="false">+SUM(E56:H56)/AVERAGE(E103:H103)</f>
        <v>-0.097330071206819</v>
      </c>
      <c r="I77" s="13" t="n">
        <f aca="false">+SUM(F56:I56)/AVERAGE(F103:I103)</f>
        <v>-0.0690714772761468</v>
      </c>
      <c r="J77" s="13" t="n">
        <f aca="false">+SUM(G56:J56)/AVERAGE(G103:J103)</f>
        <v>-0.0135413846641571</v>
      </c>
      <c r="K77" s="13" t="n">
        <f aca="false">+SUM(H56:K56)/AVERAGE(H103:K103)</f>
        <v>0.0530924879071646</v>
      </c>
      <c r="L77" s="13" t="n">
        <f aca="false">+SUM(I56:L56)/AVERAGE(I103:L103)</f>
        <v>0.0736390602332802</v>
      </c>
      <c r="M77" s="13" t="n">
        <f aca="false">+SUM(J56:M56)/AVERAGE(J103:M103)</f>
        <v>0.109029156823325</v>
      </c>
      <c r="N77" s="13" t="n">
        <f aca="false">+SUM(K56:N56)/AVERAGE(K103:N103)</f>
        <v>0.102817786002272</v>
      </c>
      <c r="O77" s="13" t="n">
        <f aca="false">+SUM(L56:O56)/AVERAGE(L103:O103)</f>
        <v>0.0662420083582697</v>
      </c>
      <c r="P77" s="13" t="n">
        <f aca="false">+SUM(M56:P56)/AVERAGE(M103:P103)</f>
        <v>0.106387960296731</v>
      </c>
      <c r="Q77" s="13" t="n">
        <f aca="false">+SUM(N56:Q56)/AVERAGE(N103:Q103)</f>
        <v>0.158440331422736</v>
      </c>
      <c r="R77" s="13" t="n">
        <f aca="false">+SUM(O56:R56)/AVERAGE(O103:R103)</f>
        <v>0.192435987481007</v>
      </c>
      <c r="S77" s="13" t="n">
        <f aca="false">+SUM(P56:S56)/AVERAGE(P103:S103)</f>
        <v>0.23607438901483</v>
      </c>
      <c r="AB77" s="13" t="n">
        <f aca="false">+SUM(AB56)/AVERAGE(AA103:AB103)</f>
        <v>-0.183631880240319</v>
      </c>
      <c r="AC77" s="13" t="n">
        <f aca="false">+SUM(AC56)/AVERAGE(AB103:AC103)</f>
        <v>-0.00500956637632324</v>
      </c>
      <c r="AD77" s="13" t="n">
        <f aca="false">+SUM(AD56)/AVERAGE(AC103:AD103)</f>
        <v>-0.0233168749693368</v>
      </c>
      <c r="AE77" s="13" t="n">
        <f aca="false">+SUM(AE56)/AVERAGE(AD103:AE103)</f>
        <v>-0.0175900955727156</v>
      </c>
      <c r="AF77" s="13" t="n">
        <f aca="false">+SUM(AF56)/AVERAGE(AE103:AF103)</f>
        <v>0.0313757793458255</v>
      </c>
      <c r="AG77" s="13" t="n">
        <f aca="false">+SUM(AG56)/AVERAGE(AF103:AG103)</f>
        <v>0.0453139500470589</v>
      </c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</row>
    <row r="78" s="32" customFormat="true" ht="12.8" hidden="false" customHeight="true" outlineLevel="0" collapsed="false">
      <c r="A78" s="52" t="s">
        <v>133</v>
      </c>
      <c r="B78" s="13"/>
      <c r="C78" s="13"/>
      <c r="D78" s="13"/>
      <c r="E78" s="13"/>
      <c r="F78" s="13" t="n">
        <f aca="false">+F79*F80*F66</f>
        <v>-0.385888710405419</v>
      </c>
      <c r="G78" s="13" t="n">
        <f aca="false">+G79*G80*G66</f>
        <v>-0.522826985056509</v>
      </c>
      <c r="H78" s="13" t="n">
        <f aca="false">+H79*H80*H66</f>
        <v>0.110603244214846</v>
      </c>
      <c r="I78" s="13" t="n">
        <f aca="false">+I79*I80*I66</f>
        <v>-0.11128081231109</v>
      </c>
      <c r="J78" s="13" t="n">
        <f aca="false">+J79*J80*J66</f>
        <v>0.299511476248184</v>
      </c>
      <c r="K78" s="13" t="n">
        <f aca="false">+K79*K80*K66</f>
        <v>0.340899478704693</v>
      </c>
      <c r="L78" s="13" t="n">
        <f aca="false">+L79*L80*L66</f>
        <v>0.308841659656197</v>
      </c>
      <c r="M78" s="13" t="n">
        <f aca="false">+M79*M80*M66</f>
        <v>0.30612644506211</v>
      </c>
      <c r="N78" s="13" t="n">
        <f aca="false">+N79*N80*N66</f>
        <v>0.168800534572216</v>
      </c>
      <c r="O78" s="13" t="n">
        <f aca="false">+O79*O80*O66</f>
        <v>-0.0590947147674285</v>
      </c>
      <c r="P78" s="13" t="n">
        <f aca="false">+P79*P80*P66</f>
        <v>0.543388170158733</v>
      </c>
      <c r="Q78" s="13" t="n">
        <f aca="false">+Q79*Q80*Q66</f>
        <v>0.614632366656085</v>
      </c>
      <c r="R78" s="13" t="n">
        <f aca="false">+R79*R80*R66</f>
        <v>0.362786207129889</v>
      </c>
      <c r="S78" s="13" t="n">
        <f aca="false">+S79*S80*S66</f>
        <v>0.254316605889252</v>
      </c>
      <c r="T78" s="13"/>
      <c r="U78" s="13"/>
      <c r="V78" s="13"/>
      <c r="W78" s="13"/>
      <c r="X78" s="13"/>
      <c r="Y78" s="13"/>
      <c r="Z78" s="13"/>
      <c r="AA78" s="13"/>
      <c r="AB78" s="13" t="n">
        <f aca="false">+AB79*AB80*AB66</f>
        <v>-0.414137352727365</v>
      </c>
      <c r="AC78" s="13" t="n">
        <f aca="false">+AC79*AC80*AC66</f>
        <v>-0.0137305255513522</v>
      </c>
      <c r="AD78" s="13" t="n">
        <f aca="false">+AD79*AD80*AD66</f>
        <v>-0.0767410584541202</v>
      </c>
      <c r="AE78" s="13" t="n">
        <f aca="false">+AE79*AE80*AE66</f>
        <v>-0.0586407629362955</v>
      </c>
      <c r="AF78" s="13" t="n">
        <f aca="false">+AF79*AF80*AF66</f>
        <v>0.0849971549348271</v>
      </c>
      <c r="AG78" s="13" t="n">
        <f aca="false">+AG79*AG80*AG66</f>
        <v>0.0947209795504967</v>
      </c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</row>
    <row r="79" s="13" customFormat="true" ht="12.8" hidden="false" customHeight="true" outlineLevel="0" collapsed="false">
      <c r="A79" s="52" t="s">
        <v>134</v>
      </c>
      <c r="F79" s="13" t="n">
        <f aca="false">+SUM(C28:F28)/AVERAGE(C103:F103)</f>
        <v>1.60452415373517</v>
      </c>
      <c r="G79" s="13" t="n">
        <f aca="false">+SUM(D28:G28)/AVERAGE(D103:G103)</f>
        <v>1.65017075601834</v>
      </c>
      <c r="H79" s="13" t="n">
        <f aca="false">+SUM(E28:H28)/AVERAGE(E103:H103)</f>
        <v>1.69508071731292</v>
      </c>
      <c r="I79" s="13" t="n">
        <f aca="false">+SUM(F28:I28)/AVERAGE(F103:I103)</f>
        <v>1.72162997501275</v>
      </c>
      <c r="J79" s="13" t="n">
        <f aca="false">+SUM(G28:J28)/AVERAGE(G103:J103)</f>
        <v>1.71280045601643</v>
      </c>
      <c r="K79" s="13" t="n">
        <f aca="false">+SUM(H28:K28)/AVERAGE(H103:K103)</f>
        <v>1.6464256316257</v>
      </c>
      <c r="L79" s="13" t="n">
        <f aca="false">+SUM(I28:L28)/AVERAGE(I103:L103)</f>
        <v>1.58476183043265</v>
      </c>
      <c r="M79" s="13" t="n">
        <f aca="false">+SUM(J28:M28)/AVERAGE(J103:M103)</f>
        <v>1.50063738105081</v>
      </c>
      <c r="N79" s="13" t="n">
        <f aca="false">+SUM(K28:N28)/AVERAGE(K103:N103)</f>
        <v>1.43004124439711</v>
      </c>
      <c r="O79" s="13" t="n">
        <f aca="false">+SUM(L28:O28)/AVERAGE(L103:O103)</f>
        <v>1.36429169014846</v>
      </c>
      <c r="P79" s="13" t="n">
        <f aca="false">+SUM(M28:P28)/AVERAGE(M103:P103)</f>
        <v>1.27900272773419</v>
      </c>
      <c r="Q79" s="13" t="n">
        <f aca="false">+SUM(N28:Q28)/AVERAGE(N103:Q103)</f>
        <v>1.23076917702572</v>
      </c>
      <c r="R79" s="13" t="n">
        <f aca="false">+SUM(O28:R28)/AVERAGE(O103:R103)</f>
        <v>1.24549387688897</v>
      </c>
      <c r="S79" s="13" t="n">
        <f aca="false">+SUM(P28:S28)/AVERAGE(P103:S103)</f>
        <v>1.28054239891232</v>
      </c>
      <c r="AB79" s="13" t="n">
        <f aca="false">+SUM(AB28)/AVERAGE(AA103:AB103)</f>
        <v>2.49136021587097</v>
      </c>
      <c r="AC79" s="13" t="n">
        <f aca="false">+SUM(AC28)/AVERAGE(AB103:AC103)</f>
        <v>1.43274832606323</v>
      </c>
      <c r="AD79" s="13" t="n">
        <f aca="false">+SUM(AD28)/AVERAGE(AC103:AD103)</f>
        <v>0.636224695626079</v>
      </c>
      <c r="AE79" s="13" t="n">
        <f aca="false">+SUM(AE28)/AVERAGE(AD103:AE103)</f>
        <v>0.438109874662427</v>
      </c>
      <c r="AF79" s="13" t="n">
        <f aca="false">+SUM(AF28)/AVERAGE(AE103:AF103)</f>
        <v>0.432018379643571</v>
      </c>
      <c r="AG79" s="13" t="n">
        <f aca="false">+SUM(AG28)/AVERAGE(AF103:AG103)</f>
        <v>0.352048215423205</v>
      </c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  <c r="BQ79" s="32"/>
      <c r="BR79" s="32"/>
      <c r="BS79" s="32"/>
      <c r="BT79" s="32"/>
      <c r="BU79" s="32"/>
      <c r="BV79" s="32"/>
      <c r="BW79" s="32"/>
      <c r="BX79" s="32"/>
      <c r="BY79" s="32"/>
      <c r="BZ79" s="32"/>
      <c r="CA79" s="32"/>
      <c r="CB79" s="32"/>
      <c r="CC79" s="32"/>
      <c r="CD79" s="32"/>
      <c r="CE79" s="32"/>
      <c r="CF79" s="32"/>
      <c r="CG79" s="32"/>
      <c r="CH79" s="32"/>
      <c r="CI79" s="32"/>
      <c r="CJ79" s="32"/>
      <c r="CK79" s="32"/>
      <c r="CL79" s="32"/>
      <c r="CM79" s="32"/>
      <c r="CN79" s="32"/>
      <c r="CO79" s="32"/>
      <c r="CP79" s="32"/>
      <c r="CQ79" s="32"/>
      <c r="CR79" s="32"/>
      <c r="CS79" s="32"/>
      <c r="CT79" s="32"/>
      <c r="CU79" s="32"/>
      <c r="CV79" s="32"/>
      <c r="CW79" s="32"/>
      <c r="CX79" s="32"/>
      <c r="CY79" s="32"/>
      <c r="CZ79" s="32"/>
      <c r="DA79" s="32"/>
      <c r="DB79" s="32"/>
      <c r="DC79" s="32"/>
      <c r="DD79" s="32"/>
      <c r="DE79" s="32"/>
      <c r="DF79" s="32"/>
      <c r="DG79" s="32"/>
    </row>
    <row r="80" customFormat="false" ht="12.8" hidden="false" customHeight="true" outlineLevel="0" collapsed="false">
      <c r="A80" s="33" t="s">
        <v>135</v>
      </c>
      <c r="B80" s="32"/>
      <c r="C80" s="32"/>
      <c r="D80" s="32"/>
      <c r="E80" s="32"/>
      <c r="F80" s="32" t="n">
        <f aca="false">+AVERAGE(C103:F103)/AVERAGE(C122:F122)</f>
        <v>3.25374582300313</v>
      </c>
      <c r="G80" s="32" t="n">
        <f aca="false">+AVERAGE(D103:G103)/AVERAGE(D122:G122)</f>
        <v>3.3343300110742</v>
      </c>
      <c r="H80" s="32" t="n">
        <f aca="false">+AVERAGE(E103:H103)/AVERAGE(E122:H122)</f>
        <v>3.36492837958818</v>
      </c>
      <c r="I80" s="32" t="n">
        <f aca="false">+AVERAGE(F103:I103)/AVERAGE(F122:I122)</f>
        <v>3.39799072642968</v>
      </c>
      <c r="J80" s="32" t="n">
        <f aca="false">+AVERAGE(G103:J103)/AVERAGE(G122:J122)</f>
        <v>3.22443890274314</v>
      </c>
      <c r="K80" s="32" t="n">
        <f aca="false">+AVERAGE(H103:K103)/AVERAGE(H122:K122)</f>
        <v>2.87481602616517</v>
      </c>
      <c r="L80" s="32" t="n">
        <f aca="false">+AVERAGE(I103:L103)/AVERAGE(I122:L122)</f>
        <v>2.58897038848139</v>
      </c>
      <c r="M80" s="32" t="n">
        <f aca="false">+AVERAGE(J103:M103)/AVERAGE(J122:M122)</f>
        <v>2.35693331828952</v>
      </c>
      <c r="N80" s="32" t="n">
        <f aca="false">+AVERAGE(K103:N103)/AVERAGE(K122:N122)</f>
        <v>2.19662214479288</v>
      </c>
      <c r="O80" s="32" t="n">
        <f aca="false">+AVERAGE(L103:O103)/AVERAGE(L122:O122)</f>
        <v>2.11488364015283</v>
      </c>
      <c r="P80" s="32" t="n">
        <f aca="false">+AVERAGE(M103:P103)/AVERAGE(M122:P122)</f>
        <v>2.0187180074872</v>
      </c>
      <c r="Q80" s="32" t="n">
        <f aca="false">+AVERAGE(N103:Q103)/AVERAGE(N122:Q122)</f>
        <v>1.92726519908909</v>
      </c>
      <c r="R80" s="32" t="n">
        <f aca="false">+AVERAGE(O103:R103)/AVERAGE(O122:R122)</f>
        <v>1.83109448690844</v>
      </c>
      <c r="S80" s="32" t="n">
        <f aca="false">+AVERAGE(P103:S103)/AVERAGE(P122:S122)</f>
        <v>1.74076239116389</v>
      </c>
      <c r="T80" s="32"/>
      <c r="U80" s="32"/>
      <c r="V80" s="32"/>
      <c r="W80" s="32"/>
      <c r="X80" s="32"/>
      <c r="Y80" s="32"/>
      <c r="Z80" s="32"/>
      <c r="AA80" s="32"/>
      <c r="AB80" s="32" t="n">
        <f aca="false">+AVERAGE(AA103:AB103)/AVERAGE(AA122:AB122)</f>
        <v>2.25525846702317</v>
      </c>
      <c r="AC80" s="32" t="n">
        <f aca="false">+AVERAGE(AB103:AC103)/AVERAGE(AB122:AC122)</f>
        <v>2.7408610885459</v>
      </c>
      <c r="AD80" s="32" t="n">
        <f aca="false">+AVERAGE(AC103:AD103)/AVERAGE(AC122:AD122)</f>
        <v>3.29122399785733</v>
      </c>
      <c r="AE80" s="32" t="n">
        <f aca="false">+AVERAGE(AD103:AE103)/AVERAGE(AD122:AE122)</f>
        <v>3.33373759647189</v>
      </c>
      <c r="AF80" s="32" t="n">
        <f aca="false">+AVERAGE(AE103:AF103)/AVERAGE(AE122:AF122)</f>
        <v>2.70900537634409</v>
      </c>
      <c r="AG80" s="32" t="n">
        <f aca="false">+AVERAGE(AF103:AG103)/AVERAGE(AF122:AG122)</f>
        <v>2.0903271388199</v>
      </c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</row>
    <row r="81" customFormat="false" ht="12.8" hidden="false" customHeight="true" outlineLevel="0" collapsed="false">
      <c r="A81" s="52" t="s">
        <v>136</v>
      </c>
      <c r="B81" s="13"/>
      <c r="C81" s="13"/>
      <c r="D81" s="13"/>
      <c r="E81" s="13"/>
      <c r="F81" s="13" t="n">
        <f aca="false">+F78-F77</f>
        <v>-0.281749620807804</v>
      </c>
      <c r="G81" s="13" t="n">
        <f aca="false">+G78-G77</f>
        <v>-0.394924739646701</v>
      </c>
      <c r="H81" s="13" t="n">
        <f aca="false">+H78-H77</f>
        <v>0.207933315421665</v>
      </c>
      <c r="I81" s="13" t="n">
        <f aca="false">+I78-I77</f>
        <v>-0.0422093350349428</v>
      </c>
      <c r="J81" s="13" t="n">
        <f aca="false">+J78-J77</f>
        <v>0.313052860912341</v>
      </c>
      <c r="K81" s="13" t="n">
        <f aca="false">+K78-K77</f>
        <v>0.287806990797528</v>
      </c>
      <c r="L81" s="13" t="n">
        <f aca="false">+L78-L77</f>
        <v>0.235202599422917</v>
      </c>
      <c r="M81" s="13" t="n">
        <f aca="false">+M78-M77</f>
        <v>0.197097288238786</v>
      </c>
      <c r="N81" s="13" t="n">
        <f aca="false">+N78-N77</f>
        <v>0.0659827485699441</v>
      </c>
      <c r="O81" s="13" t="n">
        <f aca="false">+O78-O77</f>
        <v>-0.125336723125698</v>
      </c>
      <c r="P81" s="13" t="n">
        <f aca="false">+P78-P77</f>
        <v>0.437000209862002</v>
      </c>
      <c r="Q81" s="13" t="n">
        <f aca="false">+Q78-Q77</f>
        <v>0.456192035233349</v>
      </c>
      <c r="R81" s="13" t="n">
        <f aca="false">+R78-R77</f>
        <v>0.170350219648882</v>
      </c>
      <c r="S81" s="13" t="n">
        <f aca="false">+S78-S77</f>
        <v>0.0182422168744223</v>
      </c>
      <c r="T81" s="13"/>
      <c r="U81" s="13"/>
      <c r="V81" s="13"/>
      <c r="W81" s="13"/>
      <c r="X81" s="13"/>
      <c r="Y81" s="13"/>
      <c r="Z81" s="13"/>
      <c r="AA81" s="13"/>
      <c r="AB81" s="13" t="n">
        <f aca="false">+AB78-AB77</f>
        <v>-0.230505472487046</v>
      </c>
      <c r="AC81" s="13" t="n">
        <f aca="false">+AC78-AC77</f>
        <v>-0.00872095917502901</v>
      </c>
      <c r="AD81" s="13" t="n">
        <f aca="false">+AD78-AD77</f>
        <v>-0.0534241834847834</v>
      </c>
      <c r="AE81" s="13" t="n">
        <f aca="false">+AE78-AE77</f>
        <v>-0.0410506673635799</v>
      </c>
      <c r="AF81" s="13" t="n">
        <f aca="false">+AF78-AF77</f>
        <v>0.0536213755890016</v>
      </c>
      <c r="AG81" s="13" t="n">
        <f aca="false">+AG78-AG77</f>
        <v>0.0494070295034378</v>
      </c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78"/>
      <c r="AS81" s="78"/>
      <c r="AT81" s="78"/>
      <c r="AU81" s="78"/>
      <c r="AV81" s="78"/>
      <c r="AW81" s="78"/>
      <c r="AX81" s="78" t="s">
        <v>9</v>
      </c>
      <c r="AY81" s="40" t="n">
        <f aca="false">+AV84</f>
        <v>100724.806498157</v>
      </c>
      <c r="AZ81" s="78"/>
      <c r="BA81" s="78"/>
      <c r="BB81" s="78"/>
      <c r="BC81" s="78"/>
      <c r="BD81" s="78"/>
      <c r="BE81" s="78"/>
      <c r="BF81" s="78"/>
      <c r="BG81" s="78"/>
      <c r="BH81" s="78"/>
      <c r="BI81" s="78"/>
      <c r="BJ81" s="78"/>
      <c r="BK81" s="78"/>
      <c r="BL81" s="78"/>
      <c r="BM81" s="78"/>
      <c r="BN81" s="78"/>
      <c r="BO81" s="78"/>
      <c r="BP81" s="78"/>
      <c r="BQ81" s="78"/>
      <c r="BR81" s="78"/>
      <c r="BS81" s="78"/>
      <c r="BT81" s="78"/>
      <c r="BU81" s="78"/>
      <c r="BV81" s="78"/>
      <c r="BW81" s="78"/>
      <c r="BX81" s="78"/>
      <c r="BY81" s="78"/>
      <c r="BZ81" s="78"/>
      <c r="CA81" s="78"/>
      <c r="CB81" s="78"/>
      <c r="CC81" s="78"/>
      <c r="CD81" s="78"/>
      <c r="CE81" s="78"/>
      <c r="CF81" s="78"/>
      <c r="CG81" s="78"/>
      <c r="CH81" s="78"/>
      <c r="CI81" s="78"/>
      <c r="CJ81" s="78"/>
      <c r="CK81" s="78"/>
      <c r="CL81" s="78"/>
      <c r="CM81" s="78"/>
      <c r="CN81" s="78"/>
      <c r="CO81" s="78"/>
      <c r="CP81" s="78"/>
      <c r="CQ81" s="78"/>
      <c r="CR81" s="78"/>
      <c r="CS81" s="78"/>
      <c r="CT81" s="78"/>
      <c r="CU81" s="78"/>
      <c r="CV81" s="78"/>
      <c r="CW81" s="78"/>
      <c r="CX81" s="78"/>
      <c r="CY81" s="78"/>
      <c r="CZ81" s="78"/>
      <c r="DA81" s="78"/>
      <c r="DB81" s="78"/>
      <c r="DC81" s="78"/>
      <c r="DD81" s="78"/>
      <c r="DE81" s="78"/>
      <c r="DF81" s="78"/>
      <c r="DG81" s="78"/>
    </row>
    <row r="82" customFormat="false" ht="12.8" hidden="false" customHeight="true" outlineLevel="0" collapsed="false">
      <c r="AR82" s="13"/>
      <c r="AS82" s="13"/>
      <c r="AT82" s="13"/>
      <c r="AU82" s="79" t="s">
        <v>111</v>
      </c>
      <c r="AV82" s="80" t="n">
        <v>0.02</v>
      </c>
      <c r="AW82" s="13"/>
      <c r="AX82" s="13" t="s">
        <v>137</v>
      </c>
      <c r="AY82" s="40" t="n">
        <f aca="false">+Main!F5</f>
        <v>414</v>
      </c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</row>
    <row r="83" s="40" customFormat="true" ht="12.8" hidden="false" customHeight="true" outlineLevel="0" collapsed="false">
      <c r="A83" s="39" t="s">
        <v>138</v>
      </c>
      <c r="B83" s="40" t="n">
        <f aca="false">+B94+B92+B95-(B105+B107+B109)</f>
        <v>-2245</v>
      </c>
      <c r="C83" s="40" t="n">
        <f aca="false">+C94+C92+C95-(C105+C107+C109)</f>
        <v>-2340</v>
      </c>
      <c r="D83" s="40" t="n">
        <f aca="false">+D94+D92+D95-(D105+D107+D109)</f>
        <v>-2527</v>
      </c>
      <c r="E83" s="40" t="n">
        <f aca="false">+E94+E92+E95-(E105+E107+E109)</f>
        <v>-2484</v>
      </c>
      <c r="F83" s="40" t="n">
        <f aca="false">+F94+F92+F95-(F105+F107+F109)</f>
        <v>-2561</v>
      </c>
      <c r="G83" s="40" t="n">
        <f aca="false">+G94+G92+G95-(G105+G107+G109)</f>
        <v>-2583</v>
      </c>
      <c r="H83" s="40" t="n">
        <f aca="false">+H94+H92+H95-(H105+H107+H109)</f>
        <v>-2686</v>
      </c>
      <c r="I83" s="40" t="n">
        <f aca="false">+I94+I92+I95-(I105+I107+I109)</f>
        <v>-3020</v>
      </c>
      <c r="J83" s="40" t="n">
        <f aca="false">+J94+J92+J95-(J105+J107+J109)</f>
        <v>-2954</v>
      </c>
      <c r="K83" s="40" t="n">
        <f aca="false">+K94+K92+K95-(K105+K107+K109)</f>
        <v>-3036</v>
      </c>
      <c r="L83" s="40" t="n">
        <f aca="false">+L94+L92+L95-(L105+L107+L109)</f>
        <v>-3121</v>
      </c>
      <c r="M83" s="40" t="n">
        <f aca="false">+M94+M92+M95-(M105+M107+M109)</f>
        <v>-3446</v>
      </c>
      <c r="N83" s="40" t="n">
        <f aca="false">+N94+N92+N95-(N105+N107+N109)</f>
        <v>-3273</v>
      </c>
      <c r="O83" s="40" t="n">
        <f aca="false">+O94+O92+O95-(O105+O107+O109)</f>
        <v>-3327</v>
      </c>
      <c r="P83" s="40" t="n">
        <f aca="false">+P94+P92+P95-(P105+P107+P109)</f>
        <v>-3410</v>
      </c>
      <c r="Q83" s="40" t="n">
        <f aca="false">+Q94+Q92+Q95-(Q105+Q107+Q109)</f>
        <v>-3467</v>
      </c>
      <c r="R83" s="40" t="n">
        <f aca="false">+R94+R92+R95-(R105+R107+R109)</f>
        <v>-3560</v>
      </c>
      <c r="S83" s="40" t="n">
        <f aca="false">+S94+S92+S95-(S105+S107+S109)</f>
        <v>-3688</v>
      </c>
      <c r="AB83" s="40" t="n">
        <f aca="false">+AB94+AB92+AB95-(AB105+AB107+AB109)</f>
        <v>-2189</v>
      </c>
      <c r="AC83" s="40" t="n">
        <f aca="false">+AC94+AC92+AC95-(AC105+AC107+AC109)</f>
        <v>-2257</v>
      </c>
      <c r="AD83" s="40" t="n">
        <f aca="false">+AD94+AD92+AD95-(AD105+AD107+AD109)</f>
        <v>-9596</v>
      </c>
      <c r="AE83" s="40" t="n">
        <f aca="false">+AE94+AE92+AE95-(AE105+AE107+AE109)</f>
        <v>-10850</v>
      </c>
      <c r="AF83" s="40" t="n">
        <f aca="false">+AF94+AF92+AF95-(AF105+AF107+AF109)</f>
        <v>-12557</v>
      </c>
      <c r="AG83" s="40" t="n">
        <f aca="false">+AG94+AG92+AG95-(AG105+AG107+AG109)</f>
        <v>-13477</v>
      </c>
      <c r="AH83" s="40" t="n">
        <f aca="false">+AH94+AH92+AH95-(AH105+AH107+AH109)</f>
        <v>-13578.1368569058</v>
      </c>
      <c r="AI83" s="40" t="n">
        <f aca="false">+AI94+AI92+AI95-(AI105+AI107+AI109)</f>
        <v>-15715.9144779058</v>
      </c>
      <c r="AJ83" s="40" t="n">
        <f aca="false">+AJ94+AJ92+AJ95-(AJ105+AJ107+AJ109)</f>
        <v>-18188.0850905414</v>
      </c>
      <c r="AK83" s="40" t="n">
        <f aca="false">+AK94+AK92+AK95-(AK105+AK107+AK109)</f>
        <v>-21046.651763523</v>
      </c>
      <c r="AL83" s="40" t="n">
        <f aca="false">+AL94+AL92+AL95-(AL105+AL107+AL109)</f>
        <v>-24351.6624190165</v>
      </c>
      <c r="AM83" s="40" t="n">
        <f aca="false">+AM94+AM92+AM95-(AM105+AM107+AM109)</f>
        <v>-28172.4483859066</v>
      </c>
      <c r="AN83" s="40" t="n">
        <f aca="false">+AN94+AN92+AN95-(AN105+AN107+AN109)</f>
        <v>-32589.0527847778</v>
      </c>
      <c r="AO83" s="40" t="n">
        <f aca="false">+AO94+AO92+AO95-(AO105+AO107+AO109)</f>
        <v>-37693.8777179205</v>
      </c>
      <c r="AP83" s="40" t="n">
        <f aca="false">+AP94+AP92+AP95-(AP105+AP107+AP109)</f>
        <v>-43593.5836421357</v>
      </c>
      <c r="AQ83" s="40" t="n">
        <f aca="false">+AQ94+AQ92+AQ95-(AQ105+AQ107+AQ109)</f>
        <v>-50411.2793735676</v>
      </c>
      <c r="AU83" s="81" t="s">
        <v>115</v>
      </c>
      <c r="AV83" s="64" t="n">
        <f aca="false">+Main!E9</f>
        <v>0.10095410010437</v>
      </c>
      <c r="AX83" s="82" t="s">
        <v>139</v>
      </c>
      <c r="AY83" s="82" t="n">
        <f aca="false">+Main!F4</f>
        <v>8805</v>
      </c>
    </row>
    <row r="84" s="40" customFormat="true" ht="12.8" hidden="false" customHeight="true" outlineLevel="0" collapsed="false">
      <c r="A84" s="39" t="s">
        <v>140</v>
      </c>
      <c r="B84" s="40" t="n">
        <f aca="false">+B46*(1-B68)</f>
        <v>-5.07096774193548</v>
      </c>
      <c r="C84" s="40" t="n">
        <f aca="false">+C46*(1-C68)</f>
        <v>-269.444444444444</v>
      </c>
      <c r="D84" s="40" t="n">
        <f aca="false">+D46*(1-D68)</f>
        <v>-262.833333333333</v>
      </c>
      <c r="E84" s="40" t="n">
        <f aca="false">+E46*(1-E68)</f>
        <v>-214.329896907217</v>
      </c>
      <c r="F84" s="40" t="n">
        <f aca="false">+F46*(1-F68)</f>
        <v>-170.244809270168</v>
      </c>
      <c r="G84" s="40" t="n">
        <f aca="false">+G46*(1-G68)</f>
        <v>-309.411921349084</v>
      </c>
      <c r="H84" s="40" t="n">
        <f aca="false">+H46*(1-H68)</f>
        <v>28.5848443304169</v>
      </c>
      <c r="I84" s="40" t="n">
        <f aca="false">+I46*(1-I68)</f>
        <v>-39.9428383729582</v>
      </c>
      <c r="J84" s="40" t="n">
        <f aca="false">+J46*(1-J68)</f>
        <v>190.404622779845</v>
      </c>
      <c r="K84" s="40" t="n">
        <f aca="false">+K46*(1-K68)</f>
        <v>270.149224967513</v>
      </c>
      <c r="L84" s="40" t="n">
        <f aca="false">+L46*(1-L68)</f>
        <v>342.426513780748</v>
      </c>
      <c r="M84" s="40" t="n">
        <f aca="false">+M46*(1-M68)</f>
        <v>350.986441365804</v>
      </c>
      <c r="N84" s="40" t="n">
        <f aca="false">+N46*(1-N68)</f>
        <v>349.355252001262</v>
      </c>
      <c r="O84" s="40" t="n">
        <f aca="false">+O46*(1-O68)</f>
        <v>-724.80513348471</v>
      </c>
      <c r="P84" s="40" t="n">
        <f aca="false">+P46*(1-P68)</f>
        <v>632.762959089181</v>
      </c>
      <c r="Q84" s="40" t="n">
        <f aca="false">+Q46*(1-Q68)</f>
        <v>806.136025762174</v>
      </c>
      <c r="R84" s="40" t="n">
        <f aca="false">+R46*(1-R68)</f>
        <v>550.26730905321</v>
      </c>
      <c r="S84" s="40" t="n">
        <f aca="false">+S46*(1-S68)</f>
        <v>495.798611111111</v>
      </c>
      <c r="AB84" s="40" t="n">
        <f aca="false">+AB46*(1-AB68)</f>
        <v>-239.948861607138</v>
      </c>
      <c r="AC84" s="40" t="n">
        <f aca="false">+AC46*(1-AC68)</f>
        <v>-12.776741178009</v>
      </c>
      <c r="AD84" s="40" t="n">
        <f aca="false">+AD46*(1-AD68)</f>
        <v>-765.679992660295</v>
      </c>
      <c r="AE84" s="40" t="n">
        <f aca="false">+AE46*(1-AE68)</f>
        <v>-469.716462887863</v>
      </c>
      <c r="AF84" s="40" t="n">
        <f aca="false">+AF46*(1-AF68)</f>
        <v>1158.57563200861</v>
      </c>
      <c r="AG84" s="40" t="n">
        <f aca="false">+AG46*(1-AG68)</f>
        <v>2186.25403701681</v>
      </c>
      <c r="AH84" s="40" t="n">
        <f aca="false">+AH46*(1-AH68)</f>
        <v>2231.93536992784</v>
      </c>
      <c r="AI84" s="40" t="n">
        <f aca="false">+AI46*(1-AI68)</f>
        <v>2476.83749095685</v>
      </c>
      <c r="AJ84" s="40" t="n">
        <f aca="false">+AJ46*(1-AJ68)</f>
        <v>2758.47493014023</v>
      </c>
      <c r="AK84" s="40" t="n">
        <f aca="false">+AK46*(1-AK68)</f>
        <v>3082.35798520111</v>
      </c>
      <c r="AL84" s="40" t="n">
        <f aca="false">+AL46*(1-AL68)</f>
        <v>3200.25755652482</v>
      </c>
      <c r="AM84" s="40" t="n">
        <f aca="false">+AM46*(1-AM68)</f>
        <v>3597.03134545097</v>
      </c>
      <c r="AN84" s="40" t="n">
        <f aca="false">+AN46*(1-AN68)</f>
        <v>4053.32120271605</v>
      </c>
      <c r="AO84" s="40" t="n">
        <f aca="false">+AO46*(1-AO68)</f>
        <v>4057.82106827875</v>
      </c>
      <c r="AP84" s="40" t="n">
        <f aca="false">+AP46*(1-AP68)</f>
        <v>4592.69129812169</v>
      </c>
      <c r="AQ84" s="40" t="n">
        <f aca="false">+AQ46*(1-AQ68)</f>
        <v>5207.79206244107</v>
      </c>
      <c r="AU84" s="83" t="s">
        <v>9</v>
      </c>
      <c r="AV84" s="84" t="n">
        <f aca="false">+NPV(AV83,AH85:AP85,AQ85+AV85)</f>
        <v>100724.806498157</v>
      </c>
      <c r="AX84" s="40" t="s">
        <v>113</v>
      </c>
      <c r="AY84" s="40" t="n">
        <f aca="false">+AY81-AY82+AY83</f>
        <v>109115.806498157</v>
      </c>
    </row>
    <row r="85" s="40" customFormat="true" ht="12.8" hidden="false" customHeight="true" outlineLevel="0" collapsed="false">
      <c r="A85" s="39" t="s">
        <v>141</v>
      </c>
      <c r="AC85" s="40" t="n">
        <f aca="false">+AC84+AC128-AC142-(AC83-AB83)</f>
        <v>97.223258821991</v>
      </c>
      <c r="AD85" s="40" t="n">
        <f aca="false">+AD84+AD128-AD142-(AD83-AC83)</f>
        <v>6719.32000733971</v>
      </c>
      <c r="AE85" s="40" t="n">
        <f aca="false">+AE84+AE128-AE142-(AE83-AD83)</f>
        <v>936.283537112137</v>
      </c>
      <c r="AF85" s="40" t="n">
        <f aca="false">+AF84+AF128-AF142-(AF83-AE83)</f>
        <v>2969.57563200861</v>
      </c>
      <c r="AG85" s="40" t="n">
        <f aca="false">+AG84+AG128-AG142-(AG83-AF83)</f>
        <v>3149.25403701681</v>
      </c>
      <c r="AH85" s="40" t="n">
        <f aca="false">+AH84+AH128-AH142-(AH83-AG83)</f>
        <v>2418.32044257281</v>
      </c>
      <c r="AI85" s="40" t="n">
        <f aca="false">+AI84+AI128-AI142-(AI83-AH83)</f>
        <v>4725.92556005698</v>
      </c>
      <c r="AJ85" s="40" t="n">
        <f aca="false">+AJ84+AJ128-AJ142-(AJ83-AI83)</f>
        <v>5370.6000580909</v>
      </c>
      <c r="AK85" s="40" t="n">
        <f aca="false">+AK84+AK128-AK142-(AK83-AJ83)</f>
        <v>6112.62510079508</v>
      </c>
      <c r="AL85" s="40" t="n">
        <f aca="false">+AL84+AL128-AL142-(AL83-AK83)</f>
        <v>6712.40119602253</v>
      </c>
      <c r="AM85" s="40" t="n">
        <f aca="false">+AM84+AM128-AM142-(AM83-AL83)</f>
        <v>7654.27829844588</v>
      </c>
      <c r="AN85" s="40" t="n">
        <f aca="false">+AN84+AN128-AN142-(AN83-AM83)</f>
        <v>8739.7654010078</v>
      </c>
      <c r="AO85" s="40" t="n">
        <f aca="false">+AO84+AO128-AO142-(AO83-AN83)</f>
        <v>9470.4533692351</v>
      </c>
      <c r="AP85" s="40" t="n">
        <f aca="false">+AP84+AP128-AP142-(AP83-AO83)</f>
        <v>10843.3656134987</v>
      </c>
      <c r="AQ85" s="40" t="n">
        <f aca="false">+AQ84+AQ128-AQ142-(AQ83-AP83)</f>
        <v>12425.4893455201</v>
      </c>
      <c r="AU85" s="81" t="s">
        <v>142</v>
      </c>
      <c r="AV85" s="85" t="n">
        <f aca="false">+AQ85*(1+AV82)/(AV83-AV82)</f>
        <v>156557.840999906</v>
      </c>
      <c r="AX85" s="82" t="s">
        <v>108</v>
      </c>
      <c r="AY85" s="82" t="n">
        <f aca="false">+Main!F2</f>
        <v>209.280449</v>
      </c>
    </row>
    <row r="86" s="3" customFormat="true" ht="12.8" hidden="false" customHeight="true" outlineLevel="0" collapsed="false">
      <c r="A86" s="2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71" t="s">
        <v>125</v>
      </c>
      <c r="AV86" s="72" t="n">
        <f aca="false">+AV84/Main!F6-1</f>
        <v>0.0817827008945009</v>
      </c>
      <c r="AW86" s="1"/>
      <c r="AX86" s="1" t="s">
        <v>1</v>
      </c>
      <c r="AY86" s="40" t="n">
        <f aca="false">+AY84/AY85</f>
        <v>521.385571464235</v>
      </c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</row>
    <row r="87" s="40" customFormat="true" ht="12.8" hidden="false" customHeight="true" outlineLevel="0" collapsed="false">
      <c r="A87" s="86" t="s">
        <v>143</v>
      </c>
      <c r="B87" s="77" t="n">
        <f aca="false">B103/B116</f>
        <v>1.43887980376124</v>
      </c>
      <c r="C87" s="77" t="n">
        <f aca="false">C103/C116</f>
        <v>1.45232946726951</v>
      </c>
      <c r="D87" s="77" t="n">
        <f aca="false">D103/D116</f>
        <v>1.41359511020559</v>
      </c>
      <c r="E87" s="77" t="n">
        <f aca="false">E103/E116</f>
        <v>1.45864374403056</v>
      </c>
      <c r="F87" s="77" t="n">
        <f aca="false">F103/F116</f>
        <v>1.45151339888182</v>
      </c>
      <c r="G87" s="77" t="n">
        <f aca="false">G103/G116</f>
        <v>1.39064282997337</v>
      </c>
      <c r="H87" s="77" t="n">
        <f aca="false">H103/H116</f>
        <v>1.39226114065652</v>
      </c>
      <c r="I87" s="77" t="n">
        <f aca="false">I103/I116</f>
        <v>1.4332818134982</v>
      </c>
      <c r="J87" s="77" t="n">
        <f aca="false">J103/J116</f>
        <v>1.5738813735692</v>
      </c>
      <c r="K87" s="77" t="n">
        <f aca="false">K103/K116</f>
        <v>1.72345846781043</v>
      </c>
      <c r="L87" s="77" t="n">
        <f aca="false">L103/L116</f>
        <v>1.78260135135135</v>
      </c>
      <c r="M87" s="77" t="n">
        <f aca="false">M103/M116</f>
        <v>1.85262345679012</v>
      </c>
      <c r="N87" s="77" t="n">
        <f aca="false">N103/N116</f>
        <v>1.97003105590062</v>
      </c>
      <c r="O87" s="77" t="n">
        <f aca="false">O103/O116</f>
        <v>1.97000731528895</v>
      </c>
      <c r="P87" s="77" t="n">
        <f aca="false">P103/P116</f>
        <v>2.12575976845152</v>
      </c>
      <c r="Q87" s="77" t="n">
        <f aca="false">Q103/Q116</f>
        <v>2.24573736165121</v>
      </c>
      <c r="R87" s="77" t="n">
        <f aca="false">R103/R116</f>
        <v>2.56506447831184</v>
      </c>
      <c r="S87" s="77" t="n">
        <f aca="false">S103/S116</f>
        <v>2.56349058362857</v>
      </c>
      <c r="T87" s="77"/>
      <c r="U87" s="77"/>
      <c r="V87" s="77"/>
      <c r="W87" s="77"/>
      <c r="X87" s="77"/>
      <c r="Y87" s="77"/>
      <c r="Z87" s="77"/>
      <c r="AA87" s="77" t="e">
        <f aca="false">AA103/AA116</f>
        <v>#DIV/0!</v>
      </c>
      <c r="AB87" s="77" t="n">
        <f aca="false">AB103/AB116</f>
        <v>1.79664867935246</v>
      </c>
      <c r="AC87" s="77" t="n">
        <f aca="false">AC103/AC116</f>
        <v>1.41952088695308</v>
      </c>
      <c r="AD87" s="77" t="n">
        <f aca="false">AD103/AD116</f>
        <v>1.44059574055208</v>
      </c>
      <c r="AE87" s="77" t="n">
        <f aca="false">AE103/AE116</f>
        <v>1.41701579116984</v>
      </c>
      <c r="AF87" s="77" t="n">
        <f aca="false">AF103/AF116</f>
        <v>1.73695588907829</v>
      </c>
      <c r="AG87" s="77" t="n">
        <f aca="false">AG103/AG116</f>
        <v>2.07867217446318</v>
      </c>
      <c r="AH87" s="77"/>
      <c r="AI87" s="77"/>
      <c r="AJ87" s="77"/>
      <c r="AK87" s="77"/>
      <c r="AL87" s="77"/>
      <c r="AM87" s="77"/>
      <c r="AN87" s="77"/>
      <c r="AO87" s="77"/>
      <c r="AP87" s="77"/>
      <c r="AQ87" s="77"/>
      <c r="AR87" s="1"/>
      <c r="AS87" s="1"/>
      <c r="AT87" s="1"/>
      <c r="AU87" s="77"/>
      <c r="AV87" s="77"/>
      <c r="AW87" s="1"/>
      <c r="AX87" s="1"/>
      <c r="AY87" s="13" t="n">
        <f aca="false">+AY86/Main!F1-1</f>
        <v>0.0750217968334741</v>
      </c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</row>
    <row r="88" s="40" customFormat="true" ht="12.8" hidden="false" customHeight="true" outlineLevel="0" collapsed="false">
      <c r="A88" s="2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77"/>
      <c r="AS88" s="77"/>
      <c r="AT88" s="77"/>
      <c r="AU88" s="1"/>
      <c r="AV88" s="1"/>
      <c r="AW88" s="77"/>
      <c r="AX88" s="77"/>
      <c r="AY88" s="3"/>
      <c r="AZ88" s="3"/>
      <c r="BA88" s="77"/>
      <c r="BB88" s="77"/>
      <c r="BC88" s="77"/>
      <c r="BD88" s="77"/>
      <c r="BE88" s="77"/>
      <c r="BF88" s="77"/>
      <c r="BG88" s="77"/>
      <c r="BH88" s="77"/>
      <c r="BI88" s="77"/>
      <c r="BJ88" s="77"/>
      <c r="BK88" s="77"/>
      <c r="BL88" s="77"/>
      <c r="BM88" s="77"/>
      <c r="BN88" s="77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</row>
    <row r="89" s="40" customFormat="true" ht="12.8" hidden="false" customHeight="true" outlineLevel="0" collapsed="false">
      <c r="A89" s="2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3"/>
      <c r="AZ89" s="3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</row>
    <row r="90" s="40" customFormat="true" ht="12.8" hidden="false" customHeight="true" outlineLevel="0" collapsed="false">
      <c r="A90" s="39" t="s">
        <v>6</v>
      </c>
      <c r="B90" s="40" t="n">
        <f aca="false">+2721+82</f>
        <v>2803</v>
      </c>
      <c r="C90" s="40" t="n">
        <f aca="false">+2786+84</f>
        <v>2870</v>
      </c>
      <c r="D90" s="40" t="n">
        <f aca="false">+2851+86</f>
        <v>2937</v>
      </c>
      <c r="E90" s="40" t="n">
        <f aca="false">+78+2483</f>
        <v>2561</v>
      </c>
      <c r="F90" s="40" t="n">
        <f aca="false">+2443+77</f>
        <v>2520</v>
      </c>
      <c r="G90" s="40" t="n">
        <f aca="false">+2550+76</f>
        <v>2626</v>
      </c>
      <c r="H90" s="40" t="n">
        <f aca="false">+2618+75</f>
        <v>2693</v>
      </c>
      <c r="I90" s="40" t="n">
        <f aca="false">+3114+75</f>
        <v>3189</v>
      </c>
      <c r="J90" s="40" t="n">
        <f aca="false">+3451+72</f>
        <v>3523</v>
      </c>
      <c r="K90" s="40" t="n">
        <f aca="false">+70+4054</f>
        <v>4124</v>
      </c>
      <c r="L90" s="40" t="n">
        <f aca="false">+72+4688</f>
        <v>4760</v>
      </c>
      <c r="M90" s="40" t="n">
        <f aca="false">+4781+68</f>
        <v>4849</v>
      </c>
      <c r="N90" s="40" t="n">
        <f aca="false">+65+5019</f>
        <v>5084</v>
      </c>
      <c r="O90" s="40" t="n">
        <f aca="false">+59+5161</f>
        <v>5220</v>
      </c>
      <c r="P90" s="40" t="n">
        <f aca="false">+5456+61</f>
        <v>5517</v>
      </c>
      <c r="Q90" s="40" t="n">
        <f aca="false">+5258+61</f>
        <v>5319</v>
      </c>
      <c r="R90" s="40" t="n">
        <f aca="false">+59+5255</f>
        <v>5314</v>
      </c>
      <c r="S90" s="40" t="n">
        <f aca="false">+5938+56</f>
        <v>5994</v>
      </c>
      <c r="AB90" s="40" t="n">
        <f aca="false">+1151+78</f>
        <v>1229</v>
      </c>
      <c r="AC90" s="40" t="n">
        <f aca="false">+2744+77</f>
        <v>2821</v>
      </c>
      <c r="AD90" s="40" t="n">
        <f aca="false">SUM(B90:E90)</f>
        <v>11171</v>
      </c>
      <c r="AE90" s="40" t="n">
        <f aca="false">SUM(F90:I90)</f>
        <v>11028</v>
      </c>
      <c r="AF90" s="40" t="n">
        <f aca="false">SUM(J90:M90)</f>
        <v>17256</v>
      </c>
      <c r="AG90" s="40" t="n">
        <f aca="false">SUM(N90:Q90)</f>
        <v>21140</v>
      </c>
      <c r="AR90" s="1"/>
      <c r="AS90" s="1"/>
      <c r="AT90" s="1"/>
      <c r="AW90" s="1"/>
      <c r="AX90" s="1"/>
      <c r="AY90" s="3"/>
      <c r="AZ90" s="3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</row>
    <row r="91" s="40" customFormat="true" ht="12.8" hidden="false" customHeight="true" outlineLevel="0" collapsed="false">
      <c r="A91" s="39" t="s">
        <v>144</v>
      </c>
      <c r="B91" s="40" t="n">
        <f aca="false">+816+682</f>
        <v>1498</v>
      </c>
      <c r="C91" s="40" t="n">
        <f aca="false">+782+720</f>
        <v>1502</v>
      </c>
      <c r="D91" s="40" t="n">
        <f aca="false">+630+815</f>
        <v>1445</v>
      </c>
      <c r="E91" s="40" t="n">
        <f aca="false">+867+1138</f>
        <v>2005</v>
      </c>
      <c r="F91" s="40" t="n">
        <f aca="false">+1134+995</f>
        <v>2129</v>
      </c>
      <c r="G91" s="40" t="n">
        <f aca="false">+1015+866</f>
        <v>1881</v>
      </c>
      <c r="H91" s="40" t="n">
        <f aca="false">+903+1097</f>
        <v>2000</v>
      </c>
      <c r="I91" s="40" t="n">
        <f aca="false">+1215+1100</f>
        <v>2315</v>
      </c>
      <c r="J91" s="40" t="n">
        <f aca="false">+1220+1534</f>
        <v>2754</v>
      </c>
      <c r="K91" s="40" t="n">
        <f aca="false">+1344+1931</f>
        <v>3275</v>
      </c>
      <c r="L91" s="40" t="n">
        <f aca="false">+1392+1604</f>
        <v>2996</v>
      </c>
      <c r="M91" s="40" t="n">
        <f aca="false">+1635+2667</f>
        <v>4302</v>
      </c>
      <c r="N91" s="40" t="n">
        <f aca="false">+1958+2894</f>
        <v>4852</v>
      </c>
      <c r="O91" s="40" t="n">
        <f aca="false">+2417+3183</f>
        <v>5600</v>
      </c>
      <c r="P91" s="40" t="n">
        <f aca="false">+3606+2888</f>
        <v>6494</v>
      </c>
      <c r="Q91" s="40" t="n">
        <f aca="false">+2181+4209</f>
        <v>6390</v>
      </c>
      <c r="R91" s="40" t="n">
        <f aca="false">+3491+1194</f>
        <v>4685</v>
      </c>
      <c r="S91" s="40" t="n">
        <f aca="false">+3450+1118</f>
        <v>4568</v>
      </c>
      <c r="AB91" s="40" t="n">
        <f aca="false">+596+2277</f>
        <v>2873</v>
      </c>
      <c r="AC91" s="40" t="n">
        <f aca="false">+756+916</f>
        <v>1672</v>
      </c>
      <c r="AD91" s="40" t="n">
        <f aca="false">SUM(B91:E91)</f>
        <v>6450</v>
      </c>
      <c r="AE91" s="40" t="n">
        <f aca="false">SUM(F91:I91)</f>
        <v>8325</v>
      </c>
      <c r="AF91" s="40" t="n">
        <f aca="false">SUM(J91:M91)</f>
        <v>13327</v>
      </c>
      <c r="AG91" s="40" t="n">
        <f aca="false">SUM(N91:Q91)</f>
        <v>23336</v>
      </c>
    </row>
    <row r="92" s="40" customFormat="true" ht="12.8" hidden="false" customHeight="true" outlineLevel="0" collapsed="false">
      <c r="A92" s="39" t="s">
        <v>145</v>
      </c>
      <c r="B92" s="40" t="n">
        <v>5</v>
      </c>
      <c r="C92" s="40" t="n">
        <v>4</v>
      </c>
      <c r="D92" s="40" t="n">
        <v>2</v>
      </c>
      <c r="E92" s="40" t="n">
        <v>5</v>
      </c>
      <c r="F92" s="40" t="n">
        <v>5</v>
      </c>
      <c r="G92" s="40" t="n">
        <v>8</v>
      </c>
      <c r="H92" s="40" t="n">
        <v>8</v>
      </c>
      <c r="I92" s="40" t="n">
        <v>20</v>
      </c>
      <c r="J92" s="40" t="n">
        <v>21</v>
      </c>
      <c r="K92" s="40" t="n">
        <v>35</v>
      </c>
      <c r="L92" s="40" t="n">
        <v>27</v>
      </c>
      <c r="M92" s="40" t="n">
        <v>28</v>
      </c>
      <c r="N92" s="40" t="n">
        <v>46</v>
      </c>
      <c r="O92" s="40" t="n">
        <v>83</v>
      </c>
      <c r="P92" s="40" t="n">
        <v>117</v>
      </c>
      <c r="Q92" s="40" t="n">
        <v>116</v>
      </c>
      <c r="R92" s="40" t="n">
        <v>94</v>
      </c>
      <c r="S92" s="40" t="n">
        <v>92</v>
      </c>
      <c r="AB92" s="40" t="n">
        <v>4</v>
      </c>
      <c r="AC92" s="40" t="n">
        <v>5</v>
      </c>
      <c r="AD92" s="40" t="n">
        <f aca="false">SUM(B92:E92)</f>
        <v>16</v>
      </c>
      <c r="AE92" s="40" t="n">
        <f aca="false">SUM(F92:I92)</f>
        <v>41</v>
      </c>
      <c r="AF92" s="40" t="n">
        <f aca="false">SUM(J92:M92)</f>
        <v>111</v>
      </c>
      <c r="AG92" s="40" t="n">
        <f aca="false">SUM(N92:Q92)</f>
        <v>362</v>
      </c>
      <c r="AH92" s="40" t="n">
        <f aca="false">+AH28*0.02</f>
        <v>395.280616397712</v>
      </c>
      <c r="AI92" s="40" t="n">
        <f aca="false">+AI28*0.02</f>
        <v>454.57270885737</v>
      </c>
      <c r="AJ92" s="40" t="n">
        <f aca="false">+AJ28*0.02</f>
        <v>522.758615185976</v>
      </c>
      <c r="AK92" s="40" t="n">
        <f aca="false">+AK28*0.02</f>
        <v>601.172407463872</v>
      </c>
      <c r="AL92" s="40" t="n">
        <f aca="false">+AL28*0.02</f>
        <v>691.348268583452</v>
      </c>
      <c r="AM92" s="40" t="n">
        <f aca="false">+AM28*0.02</f>
        <v>795.05050887097</v>
      </c>
      <c r="AN92" s="40" t="n">
        <f aca="false">+AN28*0.02</f>
        <v>914.308085201616</v>
      </c>
      <c r="AO92" s="40" t="n">
        <f aca="false">+AO28*0.02</f>
        <v>1051.45429798186</v>
      </c>
      <c r="AP92" s="40" t="n">
        <f aca="false">+AP28*0.02</f>
        <v>1209.17244267914</v>
      </c>
      <c r="AQ92" s="40" t="n">
        <f aca="false">+AQ28*0.02</f>
        <v>1390.54830908101</v>
      </c>
    </row>
    <row r="93" s="31" customFormat="true" ht="10.5" hidden="false" customHeight="true" outlineLevel="0" collapsed="false">
      <c r="A93" s="29"/>
      <c r="F93" s="31" t="n">
        <f aca="false">+F92/B92-1</f>
        <v>0</v>
      </c>
      <c r="G93" s="31" t="n">
        <f aca="false">+G92/C92-1</f>
        <v>1</v>
      </c>
      <c r="H93" s="31" t="n">
        <f aca="false">+H92/D92-1</f>
        <v>3</v>
      </c>
      <c r="I93" s="31" t="n">
        <f aca="false">+I92/E92-1</f>
        <v>3</v>
      </c>
      <c r="J93" s="31" t="n">
        <f aca="false">+J92/F92-1</f>
        <v>3.2</v>
      </c>
      <c r="K93" s="31" t="n">
        <f aca="false">+K92/G92-1</f>
        <v>3.375</v>
      </c>
      <c r="L93" s="31" t="n">
        <f aca="false">+L92/H92-1</f>
        <v>2.375</v>
      </c>
      <c r="M93" s="31" t="n">
        <f aca="false">+M92/I92-1</f>
        <v>0.4</v>
      </c>
      <c r="N93" s="31" t="n">
        <f aca="false">+N92/J92-1</f>
        <v>1.19047619047619</v>
      </c>
      <c r="O93" s="31" t="n">
        <f aca="false">+O92/K92-1</f>
        <v>1.37142857142857</v>
      </c>
      <c r="P93" s="31" t="n">
        <f aca="false">+P92/L92-1</f>
        <v>3.33333333333333</v>
      </c>
      <c r="Q93" s="31" t="n">
        <f aca="false">+Q92/M92-1</f>
        <v>3.14285714285714</v>
      </c>
      <c r="R93" s="31" t="n">
        <f aca="false">+R92/N92-1</f>
        <v>1.04347826086957</v>
      </c>
      <c r="S93" s="31" t="n">
        <f aca="false">+S92/O92-1</f>
        <v>0.108433734939759</v>
      </c>
      <c r="AB93" s="31" t="n">
        <f aca="false">+AB92/AB$28</f>
        <v>0.000507603110165826</v>
      </c>
      <c r="AC93" s="31" t="n">
        <f aca="false">+AC92/AC$28</f>
        <v>0.000517160111828354</v>
      </c>
      <c r="AD93" s="31" t="n">
        <f aca="false">+AD92/AD$28</f>
        <v>0.00136434818492251</v>
      </c>
      <c r="AE93" s="31" t="n">
        <f aca="false">+AE92/AE$28</f>
        <v>0.00309501041530494</v>
      </c>
      <c r="AF93" s="31" t="n">
        <f aca="false">+AF92/AF$28</f>
        <v>0.00708215532641627</v>
      </c>
      <c r="AG93" s="31" t="n">
        <f aca="false">+AG92/AG$28</f>
        <v>0.0210635170423403</v>
      </c>
      <c r="AH93" s="31" t="n">
        <f aca="false">+AH92/AH$28</f>
        <v>0.02</v>
      </c>
      <c r="AI93" s="31" t="n">
        <f aca="false">+AI92/AI$28</f>
        <v>0.02</v>
      </c>
      <c r="AJ93" s="31" t="n">
        <f aca="false">+AJ92/AJ$28</f>
        <v>0.02</v>
      </c>
      <c r="AK93" s="31" t="n">
        <f aca="false">+AK92/AK$28</f>
        <v>0.02</v>
      </c>
      <c r="AL93" s="31" t="n">
        <f aca="false">+AL92/AL$28</f>
        <v>0.02</v>
      </c>
      <c r="AM93" s="31" t="n">
        <f aca="false">+AM92/AM$28</f>
        <v>0.02</v>
      </c>
      <c r="AN93" s="31" t="n">
        <f aca="false">+AN92/AN$28</f>
        <v>0.02</v>
      </c>
      <c r="AO93" s="31" t="n">
        <f aca="false">+AO92/AO$28</f>
        <v>0.02</v>
      </c>
      <c r="AP93" s="31" t="n">
        <f aca="false">+AP92/AP$28</f>
        <v>0.02</v>
      </c>
      <c r="AQ93" s="31" t="n">
        <f aca="false">+AQ92/AQ$28</f>
        <v>0.02</v>
      </c>
    </row>
    <row r="94" s="40" customFormat="true" ht="12.8" hidden="false" customHeight="true" outlineLevel="0" collapsed="false">
      <c r="A94" s="39" t="s">
        <v>146</v>
      </c>
      <c r="B94" s="40" t="n">
        <v>556</v>
      </c>
      <c r="C94" s="40" t="n">
        <v>613</v>
      </c>
      <c r="D94" s="40" t="n">
        <v>648</v>
      </c>
      <c r="E94" s="40" t="n">
        <v>690</v>
      </c>
      <c r="F94" s="40" t="n">
        <v>555</v>
      </c>
      <c r="G94" s="40" t="n">
        <v>632</v>
      </c>
      <c r="H94" s="40" t="n">
        <v>747</v>
      </c>
      <c r="I94" s="40" t="n">
        <v>858</v>
      </c>
      <c r="J94" s="40" t="n">
        <v>777</v>
      </c>
      <c r="K94" s="40" t="n">
        <v>753</v>
      </c>
      <c r="L94" s="40" t="n">
        <v>749</v>
      </c>
      <c r="M94" s="40" t="n">
        <v>771</v>
      </c>
      <c r="N94" s="40" t="n">
        <v>749</v>
      </c>
      <c r="O94" s="40" t="n">
        <v>736</v>
      </c>
      <c r="P94" s="40" t="n">
        <v>735</v>
      </c>
      <c r="Q94" s="40" t="n">
        <v>802</v>
      </c>
      <c r="R94" s="40" t="n">
        <v>683</v>
      </c>
      <c r="S94" s="40" t="n">
        <v>780</v>
      </c>
      <c r="AB94" s="40" t="n">
        <v>464</v>
      </c>
      <c r="AC94" s="40" t="n">
        <v>621</v>
      </c>
      <c r="AD94" s="40" t="n">
        <f aca="false">SUM(B94:E94)</f>
        <v>2507</v>
      </c>
      <c r="AE94" s="40" t="n">
        <f aca="false">SUM(F94:I94)</f>
        <v>2792</v>
      </c>
      <c r="AF94" s="40" t="n">
        <f aca="false">SUM(J94:M94)</f>
        <v>3050</v>
      </c>
      <c r="AG94" s="40" t="n">
        <f aca="false">SUM(N94:Q94)</f>
        <v>3022</v>
      </c>
      <c r="AH94" s="40" t="n">
        <f aca="false">+AH156*AH28/365</f>
        <v>3437.25197035648</v>
      </c>
      <c r="AI94" s="40" t="n">
        <f aca="false">+AI156*AI28/365</f>
        <v>3890.5695318199</v>
      </c>
      <c r="AJ94" s="40" t="n">
        <f aca="false">+AJ156*AJ28/365</f>
        <v>4402.54419238933</v>
      </c>
      <c r="AK94" s="40" t="n">
        <f aca="false">+AK156*AK28/365</f>
        <v>4980.57343666363</v>
      </c>
      <c r="AL94" s="40" t="n">
        <f aca="false">+AL156*AL28/365</f>
        <v>5632.95420989147</v>
      </c>
      <c r="AM94" s="40" t="n">
        <f aca="false">+AM156*AM28/365</f>
        <v>6368.98631276273</v>
      </c>
      <c r="AN94" s="40" t="n">
        <f aca="false">+AN156*AN28/365</f>
        <v>7199.08657677281</v>
      </c>
      <c r="AO94" s="40" t="n">
        <f aca="false">+AO156*AO28/365</f>
        <v>8134.91472794875</v>
      </c>
      <c r="AP94" s="40" t="n">
        <f aca="false">+AP156*AP28/365</f>
        <v>9189.51187650008</v>
      </c>
      <c r="AQ94" s="40" t="n">
        <f aca="false">+AQ156*AQ28/365</f>
        <v>10377.452588238</v>
      </c>
    </row>
    <row r="95" s="40" customFormat="true" ht="12.8" hidden="false" customHeight="true" outlineLevel="0" collapsed="false">
      <c r="A95" s="39" t="s">
        <v>147</v>
      </c>
      <c r="B95" s="40" t="n">
        <v>270</v>
      </c>
      <c r="C95" s="40" t="n">
        <v>337</v>
      </c>
      <c r="D95" s="40" t="n">
        <v>343</v>
      </c>
      <c r="E95" s="40" t="n">
        <v>307</v>
      </c>
      <c r="F95" s="40" t="n">
        <v>295</v>
      </c>
      <c r="G95" s="40" t="n">
        <v>273</v>
      </c>
      <c r="H95" s="40" t="n">
        <v>225</v>
      </c>
      <c r="I95" s="40" t="n">
        <v>168</v>
      </c>
      <c r="J95" s="40" t="n">
        <v>175</v>
      </c>
      <c r="K95" s="40" t="n">
        <v>158</v>
      </c>
      <c r="L95" s="40" t="n">
        <v>147</v>
      </c>
      <c r="M95" s="40" t="n">
        <v>132</v>
      </c>
      <c r="N95" s="40" t="n">
        <v>146</v>
      </c>
      <c r="O95" s="40" t="n">
        <v>136</v>
      </c>
      <c r="P95" s="40" t="n">
        <v>143</v>
      </c>
      <c r="Q95" s="40" t="n">
        <v>111</v>
      </c>
      <c r="R95" s="40" t="n">
        <v>136</v>
      </c>
      <c r="S95" s="40" t="n">
        <v>116</v>
      </c>
      <c r="AB95" s="40" t="n">
        <v>151</v>
      </c>
      <c r="AC95" s="40" t="n">
        <v>246</v>
      </c>
      <c r="AD95" s="40" t="n">
        <f aca="false">SUM(B95:E95)</f>
        <v>1257</v>
      </c>
      <c r="AE95" s="40" t="n">
        <f aca="false">SUM(F95:I95)</f>
        <v>961</v>
      </c>
      <c r="AF95" s="40" t="n">
        <f aca="false">SUM(J95:M95)</f>
        <v>612</v>
      </c>
      <c r="AG95" s="40" t="n">
        <f aca="false">SUM(N95:Q95)</f>
        <v>536</v>
      </c>
      <c r="AH95" s="40" t="n">
        <f aca="false">+AH28*0.03</f>
        <v>592.920924596568</v>
      </c>
      <c r="AI95" s="40" t="n">
        <f aca="false">+AI28*0.03</f>
        <v>681.859063286055</v>
      </c>
      <c r="AJ95" s="40" t="n">
        <f aca="false">+AJ28*0.03</f>
        <v>784.137922778964</v>
      </c>
      <c r="AK95" s="40" t="n">
        <f aca="false">+AK28*0.03</f>
        <v>901.758611195808</v>
      </c>
      <c r="AL95" s="40" t="n">
        <f aca="false">+AL28*0.03</f>
        <v>1037.02240287518</v>
      </c>
      <c r="AM95" s="40" t="n">
        <f aca="false">+AM28*0.03</f>
        <v>1192.57576330645</v>
      </c>
      <c r="AN95" s="40" t="n">
        <f aca="false">+AN28*0.03</f>
        <v>1371.46212780242</v>
      </c>
      <c r="AO95" s="40" t="n">
        <f aca="false">+AO28*0.03</f>
        <v>1577.18144697279</v>
      </c>
      <c r="AP95" s="40" t="n">
        <f aca="false">+AP28*0.03</f>
        <v>1813.7586640187</v>
      </c>
      <c r="AQ95" s="40" t="n">
        <f aca="false">+AQ28*0.03</f>
        <v>2085.82246362151</v>
      </c>
    </row>
    <row r="96" s="31" customFormat="true" ht="10.5" hidden="false" customHeight="true" outlineLevel="0" collapsed="false">
      <c r="A96" s="29"/>
      <c r="F96" s="31" t="n">
        <f aca="false">+F95/B95-1</f>
        <v>0.0925925925925926</v>
      </c>
      <c r="G96" s="31" t="n">
        <f aca="false">+G95/C95-1</f>
        <v>-0.189910979228487</v>
      </c>
      <c r="H96" s="31" t="n">
        <f aca="false">+H95/D95-1</f>
        <v>-0.34402332361516</v>
      </c>
      <c r="I96" s="31" t="n">
        <f aca="false">+I95/E95-1</f>
        <v>-0.452768729641694</v>
      </c>
      <c r="J96" s="31" t="n">
        <f aca="false">+J95/F95-1</f>
        <v>-0.406779661016949</v>
      </c>
      <c r="K96" s="31" t="n">
        <f aca="false">+K95/G95-1</f>
        <v>-0.421245421245421</v>
      </c>
      <c r="L96" s="31" t="n">
        <f aca="false">+L95/H95-1</f>
        <v>-0.346666666666667</v>
      </c>
      <c r="M96" s="31" t="n">
        <f aca="false">+M95/I95-1</f>
        <v>-0.214285714285714</v>
      </c>
      <c r="N96" s="31" t="n">
        <f aca="false">+N95/J95-1</f>
        <v>-0.165714285714286</v>
      </c>
      <c r="O96" s="31" t="n">
        <f aca="false">+O95/K95-1</f>
        <v>-0.139240506329114</v>
      </c>
      <c r="P96" s="31" t="n">
        <f aca="false">+P95/L95-1</f>
        <v>-0.0272108843537415</v>
      </c>
      <c r="Q96" s="31" t="n">
        <f aca="false">+Q95/M95-1</f>
        <v>-0.159090909090909</v>
      </c>
      <c r="R96" s="31" t="n">
        <f aca="false">+R95/N95-1</f>
        <v>-0.0684931506849316</v>
      </c>
      <c r="S96" s="31" t="n">
        <f aca="false">+S95/O95-1</f>
        <v>-0.147058823529412</v>
      </c>
      <c r="AB96" s="31" t="n">
        <f aca="false">+AB95/AB$28</f>
        <v>0.0191620174087599</v>
      </c>
      <c r="AC96" s="31" t="n">
        <f aca="false">+AC95/AC$28</f>
        <v>0.025444277501955</v>
      </c>
      <c r="AD96" s="31" t="n">
        <f aca="false">+AD95/AD$28</f>
        <v>0.107186604277975</v>
      </c>
      <c r="AE96" s="31" t="n">
        <f aca="false">+AE95/AE$28</f>
        <v>0.0725440246123915</v>
      </c>
      <c r="AF96" s="31" t="n">
        <f aca="false">+AF95/AF$28</f>
        <v>0.0390475590969978</v>
      </c>
      <c r="AG96" s="31" t="n">
        <f aca="false">+AG95/AG$28</f>
        <v>0.0311879699853436</v>
      </c>
      <c r="AH96" s="31" t="n">
        <f aca="false">+AH95/AH$28</f>
        <v>0.03</v>
      </c>
      <c r="AI96" s="31" t="n">
        <f aca="false">+AI95/AI$28</f>
        <v>0.03</v>
      </c>
      <c r="AJ96" s="31" t="n">
        <f aca="false">+AJ95/AJ$28</f>
        <v>0.03</v>
      </c>
      <c r="AK96" s="31" t="n">
        <f aca="false">+AK95/AK$28</f>
        <v>0.03</v>
      </c>
      <c r="AL96" s="31" t="n">
        <f aca="false">+AL95/AL$28</f>
        <v>0.03</v>
      </c>
      <c r="AM96" s="31" t="n">
        <f aca="false">+AM95/AM$28</f>
        <v>0.03</v>
      </c>
      <c r="AN96" s="31" t="n">
        <f aca="false">+AN95/AN$28</f>
        <v>0.03</v>
      </c>
      <c r="AO96" s="31" t="n">
        <f aca="false">+AO95/AO$28</f>
        <v>0.03</v>
      </c>
      <c r="AP96" s="31" t="n">
        <f aca="false">+AP95/AP$28</f>
        <v>0.03</v>
      </c>
      <c r="AQ96" s="31" t="n">
        <f aca="false">+AQ95/AQ$28</f>
        <v>0.03</v>
      </c>
    </row>
    <row r="97" s="40" customFormat="true" ht="12.8" hidden="false" customHeight="true" outlineLevel="0" collapsed="false">
      <c r="A97" s="39" t="s">
        <v>148</v>
      </c>
      <c r="B97" s="40" t="n">
        <v>443</v>
      </c>
      <c r="C97" s="40" t="n">
        <v>445</v>
      </c>
      <c r="D97" s="40" t="n">
        <v>453</v>
      </c>
      <c r="E97" s="40" t="n">
        <v>417</v>
      </c>
      <c r="F97" s="40" t="n">
        <v>413</v>
      </c>
      <c r="G97" s="40" t="n">
        <v>344</v>
      </c>
      <c r="H97" s="40" t="n">
        <v>343</v>
      </c>
      <c r="I97" s="40" t="n">
        <v>300</v>
      </c>
      <c r="J97" s="40" t="n">
        <v>274</v>
      </c>
      <c r="K97" s="40" t="n">
        <v>254</v>
      </c>
      <c r="L97" s="40" t="n">
        <v>235</v>
      </c>
      <c r="M97" s="40" t="n">
        <v>226</v>
      </c>
      <c r="N97" s="40" t="n">
        <v>223</v>
      </c>
      <c r="O97" s="40" t="n">
        <v>256</v>
      </c>
      <c r="P97" s="40" t="n">
        <v>242</v>
      </c>
      <c r="Q97" s="40" t="n">
        <v>234</v>
      </c>
      <c r="R97" s="40" t="n">
        <v>227</v>
      </c>
      <c r="S97" s="40" t="n">
        <v>225</v>
      </c>
      <c r="AB97" s="40" t="n">
        <v>444</v>
      </c>
      <c r="AC97" s="40" t="n">
        <v>437</v>
      </c>
      <c r="AD97" s="40" t="n">
        <f aca="false">SUM(B97:E97)</f>
        <v>1758</v>
      </c>
      <c r="AE97" s="40" t="n">
        <f aca="false">SUM(F97:I97)</f>
        <v>1400</v>
      </c>
      <c r="AF97" s="40" t="n">
        <f aca="false">SUM(J97:M97)</f>
        <v>989</v>
      </c>
      <c r="AG97" s="40" t="n">
        <f aca="false">SUM(N97:Q97)</f>
        <v>955</v>
      </c>
    </row>
    <row r="98" s="40" customFormat="true" ht="12.8" hidden="false" customHeight="true" outlineLevel="0" collapsed="false">
      <c r="A98" s="39" t="s">
        <v>149</v>
      </c>
      <c r="B98" s="40" t="n">
        <v>369</v>
      </c>
      <c r="C98" s="40" t="n">
        <v>373</v>
      </c>
      <c r="D98" s="40" t="n">
        <v>382</v>
      </c>
      <c r="E98" s="40" t="n">
        <v>348</v>
      </c>
      <c r="F98" s="40" t="n">
        <v>331</v>
      </c>
      <c r="G98" s="40" t="n">
        <v>280</v>
      </c>
      <c r="H98" s="40" t="n">
        <v>275</v>
      </c>
      <c r="I98" s="40" t="n">
        <v>247</v>
      </c>
      <c r="J98" s="40" t="n">
        <v>224</v>
      </c>
      <c r="K98" s="40" t="n">
        <v>211</v>
      </c>
      <c r="L98" s="40" t="n">
        <v>195</v>
      </c>
      <c r="M98" s="40" t="n">
        <v>188</v>
      </c>
      <c r="N98" s="40" t="n">
        <v>178</v>
      </c>
      <c r="O98" s="40" t="n">
        <v>161</v>
      </c>
      <c r="P98" s="40" t="n">
        <v>174</v>
      </c>
      <c r="Q98" s="40" t="n">
        <v>188</v>
      </c>
      <c r="R98" s="40" t="n">
        <v>182</v>
      </c>
      <c r="S98" s="40" t="n">
        <v>193</v>
      </c>
      <c r="AB98" s="40" t="n">
        <v>313</v>
      </c>
      <c r="AC98" s="40" t="n">
        <v>372</v>
      </c>
      <c r="AD98" s="40" t="n">
        <f aca="false">SUM(B98:E98)</f>
        <v>1472</v>
      </c>
      <c r="AE98" s="40" t="n">
        <f aca="false">SUM(F98:I98)</f>
        <v>1133</v>
      </c>
      <c r="AF98" s="40" t="n">
        <f aca="false">SUM(J98:M98)</f>
        <v>818</v>
      </c>
      <c r="AG98" s="40" t="n">
        <f aca="false">SUM(N98:Q98)</f>
        <v>701</v>
      </c>
    </row>
    <row r="99" s="40" customFormat="true" ht="12.8" hidden="false" customHeight="true" outlineLevel="0" collapsed="false">
      <c r="A99" s="39" t="s">
        <v>150</v>
      </c>
      <c r="B99" s="40" t="n">
        <v>978</v>
      </c>
      <c r="C99" s="40" t="n">
        <v>1111</v>
      </c>
      <c r="D99" s="40" t="n">
        <v>1261</v>
      </c>
      <c r="E99" s="40" t="n">
        <v>1168</v>
      </c>
      <c r="F99" s="40" t="n">
        <v>1155</v>
      </c>
      <c r="G99" s="40" t="n">
        <v>1148</v>
      </c>
      <c r="H99" s="40" t="n">
        <v>1180</v>
      </c>
      <c r="I99" s="40" t="n">
        <v>1137</v>
      </c>
      <c r="J99" s="40" t="n">
        <v>1159</v>
      </c>
      <c r="K99" s="40" t="n">
        <v>1167</v>
      </c>
      <c r="L99" s="40" t="n">
        <v>1128</v>
      </c>
      <c r="M99" s="40" t="n">
        <v>1201</v>
      </c>
      <c r="N99" s="40" t="n">
        <v>1156</v>
      </c>
      <c r="O99" s="40" t="n">
        <v>1074</v>
      </c>
      <c r="P99" s="40" t="n">
        <v>1078</v>
      </c>
      <c r="Q99" s="40" t="n">
        <v>1083</v>
      </c>
      <c r="R99" s="40" t="n">
        <v>1099</v>
      </c>
      <c r="S99" s="40" t="n">
        <v>1110</v>
      </c>
      <c r="AB99" s="40" t="n">
        <v>736</v>
      </c>
      <c r="AC99" s="40" t="n">
        <v>894</v>
      </c>
      <c r="AD99" s="40" t="n">
        <f aca="false">SUM(B99:E99)</f>
        <v>4518</v>
      </c>
      <c r="AE99" s="40" t="n">
        <f aca="false">SUM(F99:I99)</f>
        <v>4620</v>
      </c>
      <c r="AF99" s="40" t="n">
        <f aca="false">SUM(J99:M99)</f>
        <v>4655</v>
      </c>
      <c r="AG99" s="40" t="n">
        <f aca="false">SUM(N99:Q99)</f>
        <v>4391</v>
      </c>
    </row>
    <row r="100" s="40" customFormat="true" ht="12.8" hidden="false" customHeight="true" outlineLevel="0" collapsed="false">
      <c r="A100" s="39" t="s">
        <v>151</v>
      </c>
      <c r="B100" s="40" t="n">
        <v>109</v>
      </c>
      <c r="C100" s="40" t="n">
        <v>126</v>
      </c>
      <c r="D100" s="40" t="n">
        <v>153</v>
      </c>
      <c r="E100" s="40" t="n">
        <v>127</v>
      </c>
      <c r="F100" s="40" t="n">
        <v>115</v>
      </c>
      <c r="G100" s="40" t="n">
        <v>105</v>
      </c>
      <c r="H100" s="40" t="n">
        <v>98</v>
      </c>
      <c r="I100" s="40" t="n">
        <v>84</v>
      </c>
      <c r="J100" s="40" t="n">
        <v>76</v>
      </c>
      <c r="K100" s="40" t="n">
        <v>68</v>
      </c>
      <c r="L100" s="40" t="n">
        <v>58</v>
      </c>
      <c r="M100" s="40" t="n">
        <v>48</v>
      </c>
      <c r="N100" s="40" t="n">
        <v>43</v>
      </c>
      <c r="O100" s="40" t="n">
        <v>37</v>
      </c>
      <c r="P100" s="40" t="n">
        <v>33</v>
      </c>
      <c r="Q100" s="40" t="n">
        <v>41</v>
      </c>
      <c r="R100" s="40" t="n">
        <v>41</v>
      </c>
      <c r="S100" s="40" t="n">
        <v>36</v>
      </c>
      <c r="AB100" s="40" t="n">
        <v>97</v>
      </c>
      <c r="AC100" s="40" t="n">
        <v>89</v>
      </c>
      <c r="AD100" s="40" t="n">
        <f aca="false">SUM(B100:E100)</f>
        <v>515</v>
      </c>
      <c r="AE100" s="40" t="n">
        <f aca="false">SUM(F100:I100)</f>
        <v>402</v>
      </c>
      <c r="AF100" s="40" t="n">
        <f aca="false">SUM(J100:M100)</f>
        <v>250</v>
      </c>
      <c r="AG100" s="40" t="n">
        <f aca="false">SUM(N100:Q100)</f>
        <v>154</v>
      </c>
    </row>
    <row r="101" s="40" customFormat="true" ht="12.8" hidden="false" customHeight="true" outlineLevel="0" collapsed="false">
      <c r="A101" s="39" t="s">
        <v>152</v>
      </c>
      <c r="B101" s="40" t="n">
        <v>0</v>
      </c>
      <c r="C101" s="40" t="n">
        <v>0</v>
      </c>
      <c r="D101" s="40" t="n">
        <v>0</v>
      </c>
      <c r="E101" s="40" t="n">
        <v>0</v>
      </c>
      <c r="F101" s="40" t="n">
        <v>0</v>
      </c>
      <c r="G101" s="40" t="n">
        <v>0</v>
      </c>
      <c r="H101" s="40" t="n">
        <v>0</v>
      </c>
      <c r="I101" s="40" t="n">
        <v>0</v>
      </c>
      <c r="J101" s="40" t="n">
        <v>51</v>
      </c>
      <c r="K101" s="40" t="n">
        <v>52</v>
      </c>
      <c r="L101" s="40" t="n">
        <v>64</v>
      </c>
      <c r="M101" s="40" t="n">
        <v>74</v>
      </c>
      <c r="N101" s="40" t="n">
        <v>74</v>
      </c>
      <c r="O101" s="40" t="n">
        <v>68</v>
      </c>
      <c r="P101" s="40" t="n">
        <v>69</v>
      </c>
      <c r="Q101" s="40" t="n">
        <v>69</v>
      </c>
      <c r="R101" s="40" t="n">
        <v>71</v>
      </c>
      <c r="S101" s="40" t="n">
        <v>71</v>
      </c>
      <c r="AB101" s="40" t="n">
        <v>0</v>
      </c>
      <c r="AC101" s="40" t="n">
        <v>0</v>
      </c>
      <c r="AD101" s="40" t="n">
        <f aca="false">SUM(B101:E101)</f>
        <v>0</v>
      </c>
      <c r="AE101" s="40" t="n">
        <f aca="false">SUM(F101:I101)</f>
        <v>0</v>
      </c>
      <c r="AF101" s="40" t="n">
        <f aca="false">SUM(J101:M101)</f>
        <v>241</v>
      </c>
      <c r="AG101" s="40" t="n">
        <f aca="false">SUM(N101:Q101)</f>
        <v>280</v>
      </c>
    </row>
    <row r="102" s="40" customFormat="true" ht="12.8" hidden="false" customHeight="true" outlineLevel="0" collapsed="false">
      <c r="A102" s="39" t="s">
        <v>153</v>
      </c>
      <c r="B102" s="40" t="n">
        <v>8</v>
      </c>
      <c r="C102" s="40" t="n">
        <v>7</v>
      </c>
      <c r="D102" s="40" t="n">
        <v>8</v>
      </c>
      <c r="E102" s="40" t="n">
        <v>8</v>
      </c>
      <c r="F102" s="40" t="n">
        <v>11</v>
      </c>
      <c r="G102" s="40" t="n">
        <v>15</v>
      </c>
      <c r="H102" s="40" t="n">
        <v>23</v>
      </c>
      <c r="I102" s="40" t="n">
        <v>28</v>
      </c>
      <c r="J102" s="40" t="n">
        <v>41</v>
      </c>
      <c r="K102" s="40" t="n">
        <v>49</v>
      </c>
      <c r="L102" s="40" t="n">
        <v>194</v>
      </c>
      <c r="M102" s="40" t="n">
        <v>186</v>
      </c>
      <c r="N102" s="40" t="n">
        <v>136</v>
      </c>
      <c r="O102" s="40" t="n">
        <v>94</v>
      </c>
      <c r="P102" s="40" t="n">
        <v>87</v>
      </c>
      <c r="Q102" s="40" t="n">
        <v>662</v>
      </c>
      <c r="R102" s="40" t="n">
        <v>596</v>
      </c>
      <c r="S102" s="40" t="n">
        <v>563</v>
      </c>
      <c r="AB102" s="40" t="n">
        <v>15</v>
      </c>
      <c r="AC102" s="40" t="n">
        <v>13</v>
      </c>
      <c r="AD102" s="40" t="n">
        <f aca="false">SUM(B102:E102)</f>
        <v>31</v>
      </c>
      <c r="AE102" s="40" t="n">
        <f aca="false">SUM(F102:I102)</f>
        <v>77</v>
      </c>
      <c r="AF102" s="40" t="n">
        <f aca="false">SUM(J102:M102)</f>
        <v>470</v>
      </c>
      <c r="AG102" s="40" t="n">
        <f aca="false">SUM(N102:Q102)</f>
        <v>979</v>
      </c>
    </row>
    <row r="103" s="40" customFormat="true" ht="12.8" hidden="false" customHeight="true" outlineLevel="0" collapsed="false">
      <c r="A103" s="39" t="s">
        <v>154</v>
      </c>
      <c r="B103" s="40" t="n">
        <f aca="false">SUM(B90:B102)-B96-B93</f>
        <v>7039</v>
      </c>
      <c r="C103" s="40" t="n">
        <f aca="false">SUM(C90:C102)-C96-C93</f>
        <v>7388</v>
      </c>
      <c r="D103" s="40" t="n">
        <f aca="false">SUM(D90:D102)-D96-D93</f>
        <v>7632</v>
      </c>
      <c r="E103" s="40" t="n">
        <f aca="false">SUM(E90:E102)-E96-E93</f>
        <v>7636</v>
      </c>
      <c r="F103" s="40" t="n">
        <f aca="false">SUM(F90:F102)-F96-F93</f>
        <v>7529</v>
      </c>
      <c r="G103" s="40" t="n">
        <f aca="false">SUM(G90:G102)-G96-G93</f>
        <v>7312</v>
      </c>
      <c r="H103" s="40" t="n">
        <f aca="false">SUM(H90:H102)-H96-H93</f>
        <v>7592</v>
      </c>
      <c r="I103" s="40" t="n">
        <f aca="false">SUM(I90:I102)-I96-I93</f>
        <v>8346</v>
      </c>
      <c r="J103" s="40" t="n">
        <f aca="false">SUM(J90:J102)-J96-J93</f>
        <v>9075</v>
      </c>
      <c r="K103" s="40" t="n">
        <f aca="false">SUM(K90:K102)-K96-K93</f>
        <v>10146</v>
      </c>
      <c r="L103" s="40" t="n">
        <f aca="false">SUM(L90:L102)-L96-L93</f>
        <v>10553</v>
      </c>
      <c r="M103" s="40" t="n">
        <f aca="false">SUM(M90:M102)-M96-M93</f>
        <v>12005</v>
      </c>
      <c r="N103" s="40" t="n">
        <f aca="false">SUM(N90:N102)-N96-N93</f>
        <v>12687</v>
      </c>
      <c r="O103" s="40" t="n">
        <f aca="false">SUM(O90:O102)-O96-O93</f>
        <v>13465</v>
      </c>
      <c r="P103" s="40" t="n">
        <f aca="false">SUM(P90:P102)-P96-P93</f>
        <v>14689</v>
      </c>
      <c r="Q103" s="40" t="n">
        <f aca="false">SUM(Q90:Q102)-Q96-Q93</f>
        <v>15015</v>
      </c>
      <c r="R103" s="40" t="n">
        <f aca="false">SUM(R90:R102)-R96-R93</f>
        <v>13128</v>
      </c>
      <c r="S103" s="40" t="n">
        <f aca="false">SUM(S90:S102)-S96-S93</f>
        <v>13748</v>
      </c>
      <c r="AA103" s="40" t="n">
        <f aca="false">SUM(AA90:AA102)-AA96-AA93</f>
        <v>0</v>
      </c>
      <c r="AB103" s="40" t="n">
        <f aca="false">SUM(AB90:AB102)-AB96-AB93</f>
        <v>6326</v>
      </c>
      <c r="AC103" s="40" t="n">
        <f aca="false">SUM(AC90:AC102)-AC96-AC93</f>
        <v>7170</v>
      </c>
      <c r="AD103" s="40" t="n">
        <f aca="false">SUM(AD90:AD102)-AD96-AD93</f>
        <v>29695</v>
      </c>
      <c r="AE103" s="40" t="n">
        <f aca="false">SUM(AE90:AE102)-AE96-AE93</f>
        <v>30779</v>
      </c>
      <c r="AF103" s="40" t="n">
        <f aca="false">SUM(AF90:AF102)-AF96-AF93</f>
        <v>41779</v>
      </c>
      <c r="AG103" s="40" t="n">
        <f aca="false">SUM(AG90:AG102)-AG96-AG93</f>
        <v>55856</v>
      </c>
    </row>
    <row r="104" s="40" customFormat="true" ht="12.8" hidden="false" customHeight="true" outlineLevel="0" collapsed="false">
      <c r="A104" s="39"/>
    </row>
    <row r="105" s="40" customFormat="true" ht="12.8" hidden="false" customHeight="true" outlineLevel="0" collapsed="false">
      <c r="A105" s="39" t="s">
        <v>155</v>
      </c>
      <c r="B105" s="40" t="n">
        <v>695</v>
      </c>
      <c r="C105" s="40" t="n">
        <v>825</v>
      </c>
      <c r="D105" s="40" t="n">
        <v>947</v>
      </c>
      <c r="E105" s="40" t="n">
        <v>845</v>
      </c>
      <c r="F105" s="40" t="n">
        <v>850</v>
      </c>
      <c r="G105" s="40" t="n">
        <v>893</v>
      </c>
      <c r="H105" s="40" t="n">
        <v>945</v>
      </c>
      <c r="I105" s="40" t="n">
        <v>978</v>
      </c>
      <c r="J105" s="40" t="n">
        <v>1048</v>
      </c>
      <c r="K105" s="40" t="n">
        <v>1091</v>
      </c>
      <c r="L105" s="40" t="n">
        <v>1084</v>
      </c>
      <c r="M105" s="40" t="n">
        <v>1342</v>
      </c>
      <c r="N105" s="40" t="n">
        <v>1064</v>
      </c>
      <c r="O105" s="40" t="n">
        <v>1171</v>
      </c>
      <c r="P105" s="40" t="n">
        <v>1193</v>
      </c>
      <c r="Q105" s="40" t="n">
        <v>1194</v>
      </c>
      <c r="R105" s="40" t="n">
        <v>1250</v>
      </c>
      <c r="S105" s="40" t="n">
        <v>1325</v>
      </c>
      <c r="AB105" s="40" t="n">
        <v>638</v>
      </c>
      <c r="AC105" s="40" t="n">
        <v>793</v>
      </c>
      <c r="AD105" s="40" t="n">
        <f aca="false">SUM(B105:E105)</f>
        <v>3312</v>
      </c>
      <c r="AE105" s="40" t="n">
        <f aca="false">SUM(F105:I105)</f>
        <v>3666</v>
      </c>
      <c r="AF105" s="40" t="n">
        <f aca="false">SUM(J105:M105)</f>
        <v>4565</v>
      </c>
      <c r="AG105" s="40" t="n">
        <f aca="false">SUM(N105:Q105)</f>
        <v>4622</v>
      </c>
      <c r="AH105" s="40" t="n">
        <f aca="false">+AH157*AH34/365</f>
        <v>5354.61064352975</v>
      </c>
      <c r="AI105" s="40" t="n">
        <f aca="false">+AI157*AI34/365</f>
        <v>6196.5890984333</v>
      </c>
      <c r="AJ105" s="40" t="n">
        <f aca="false">+AJ157*AJ34/365</f>
        <v>7169.25013494443</v>
      </c>
      <c r="AK105" s="40" t="n">
        <f aca="false">+AK157*AK34/365</f>
        <v>8292.63918000242</v>
      </c>
      <c r="AL105" s="40" t="n">
        <f aca="false">+AL157*AL34/365</f>
        <v>9589.84270569615</v>
      </c>
      <c r="AM105" s="40" t="n">
        <f aca="false">+AM157*AM34/365</f>
        <v>11087.4446869757</v>
      </c>
      <c r="AN105" s="40" t="n">
        <f aca="false">+AN157*AN34/365</f>
        <v>12816.0508481029</v>
      </c>
      <c r="AO105" s="40" t="n">
        <f aca="false">+AO157*AO34/365</f>
        <v>14810.8906554044</v>
      </c>
      <c r="AP105" s="40" t="n">
        <f aca="false">+AP157*AP34/365</f>
        <v>17112.5084596013</v>
      </c>
      <c r="AQ105" s="40" t="n">
        <f aca="false">+AQ157*AQ34/365</f>
        <v>19767.5568439159</v>
      </c>
    </row>
    <row r="106" s="40" customFormat="true" ht="12.8" hidden="false" customHeight="true" outlineLevel="0" collapsed="false">
      <c r="A106" s="39" t="s">
        <v>156</v>
      </c>
      <c r="B106" s="40" t="n">
        <v>13</v>
      </c>
      <c r="C106" s="40" t="n">
        <v>7</v>
      </c>
      <c r="D106" s="40" t="n">
        <v>16</v>
      </c>
      <c r="E106" s="40" t="n">
        <v>11</v>
      </c>
      <c r="F106" s="40" t="n">
        <v>9</v>
      </c>
      <c r="G106" s="40" t="n">
        <v>11</v>
      </c>
      <c r="H106" s="40" t="n">
        <v>8</v>
      </c>
      <c r="I106" s="40" t="n">
        <v>12</v>
      </c>
      <c r="J106" s="40" t="n">
        <v>14</v>
      </c>
      <c r="K106" s="40" t="n">
        <v>17</v>
      </c>
      <c r="L106" s="40" t="n">
        <v>21</v>
      </c>
      <c r="M106" s="40" t="n">
        <v>33</v>
      </c>
      <c r="N106" s="40" t="n">
        <v>40</v>
      </c>
      <c r="O106" s="40" t="n">
        <v>42</v>
      </c>
      <c r="P106" s="40" t="n">
        <v>31</v>
      </c>
      <c r="Q106" s="40" t="n">
        <v>72</v>
      </c>
      <c r="R106" s="40" t="n">
        <v>150</v>
      </c>
      <c r="S106" s="40" t="n">
        <v>171</v>
      </c>
      <c r="AB106" s="40" t="n">
        <v>9</v>
      </c>
      <c r="AC106" s="40" t="n">
        <v>23</v>
      </c>
      <c r="AD106" s="40" t="n">
        <f aca="false">SUM(B106:E106)</f>
        <v>47</v>
      </c>
      <c r="AE106" s="40" t="n">
        <f aca="false">SUM(F106:I106)</f>
        <v>40</v>
      </c>
      <c r="AF106" s="40" t="n">
        <f aca="false">SUM(J106:M106)</f>
        <v>85</v>
      </c>
      <c r="AG106" s="40" t="n">
        <f aca="false">SUM(N106:Q106)</f>
        <v>185</v>
      </c>
    </row>
    <row r="107" s="40" customFormat="true" ht="12.8" hidden="false" customHeight="true" outlineLevel="0" collapsed="false">
      <c r="A107" s="39" t="s">
        <v>157</v>
      </c>
      <c r="B107" s="40" t="n">
        <v>469</v>
      </c>
      <c r="C107" s="40" t="n">
        <v>489</v>
      </c>
      <c r="D107" s="40" t="n">
        <v>522</v>
      </c>
      <c r="E107" s="40" t="n">
        <v>520</v>
      </c>
      <c r="F107" s="40" t="n">
        <v>524</v>
      </c>
      <c r="G107" s="40" t="n">
        <v>536</v>
      </c>
      <c r="H107" s="40" t="n">
        <v>599</v>
      </c>
      <c r="I107" s="40" t="n">
        <v>622</v>
      </c>
      <c r="J107" s="40" t="n">
        <v>634</v>
      </c>
      <c r="K107" s="40" t="n">
        <v>657</v>
      </c>
      <c r="L107" s="40" t="n">
        <v>680</v>
      </c>
      <c r="M107" s="40" t="n">
        <v>683</v>
      </c>
      <c r="N107" s="40" t="n">
        <v>675</v>
      </c>
      <c r="O107" s="40" t="n">
        <v>665</v>
      </c>
      <c r="P107" s="40" t="n">
        <v>692</v>
      </c>
      <c r="Q107" s="40" t="n">
        <v>711</v>
      </c>
      <c r="R107" s="40" t="n">
        <v>750</v>
      </c>
      <c r="S107" s="40" t="n">
        <v>778</v>
      </c>
      <c r="AB107" s="40" t="n">
        <v>380</v>
      </c>
      <c r="AC107" s="40" t="n">
        <v>458</v>
      </c>
      <c r="AD107" s="40" t="n">
        <f aca="false">SUM(B107:E107)</f>
        <v>2000</v>
      </c>
      <c r="AE107" s="40" t="n">
        <f aca="false">SUM(F107:I107)</f>
        <v>2281</v>
      </c>
      <c r="AF107" s="40" t="n">
        <f aca="false">SUM(J107:M107)</f>
        <v>2654</v>
      </c>
      <c r="AG107" s="40" t="n">
        <f aca="false">SUM(N107:Q107)</f>
        <v>2743</v>
      </c>
      <c r="AH107" s="40" t="n">
        <f aca="false">+AH28*0.14</f>
        <v>2766.96431478398</v>
      </c>
      <c r="AI107" s="40" t="n">
        <f aca="false">+AI28*0.14</f>
        <v>3182.00896200159</v>
      </c>
      <c r="AJ107" s="40" t="n">
        <f aca="false">+AJ28*0.14</f>
        <v>3659.31030630183</v>
      </c>
      <c r="AK107" s="40" t="n">
        <f aca="false">+AK28*0.14</f>
        <v>4208.2068522471</v>
      </c>
      <c r="AL107" s="40" t="n">
        <f aca="false">+AL28*0.14</f>
        <v>4839.43788008416</v>
      </c>
      <c r="AM107" s="40" t="n">
        <f aca="false">+AM28*0.14</f>
        <v>5565.35356209679</v>
      </c>
      <c r="AN107" s="40" t="n">
        <f aca="false">+AN28*0.14</f>
        <v>6400.15659641131</v>
      </c>
      <c r="AO107" s="40" t="n">
        <f aca="false">+AO28*0.14</f>
        <v>7360.18008587301</v>
      </c>
      <c r="AP107" s="40" t="n">
        <f aca="false">+AP28*0.14</f>
        <v>8464.20709875395</v>
      </c>
      <c r="AQ107" s="40" t="n">
        <f aca="false">+AQ28*0.14</f>
        <v>9733.83816356704</v>
      </c>
    </row>
    <row r="108" s="31" customFormat="true" ht="10.5" hidden="false" customHeight="true" outlineLevel="0" collapsed="false">
      <c r="A108" s="29"/>
      <c r="F108" s="31" t="n">
        <f aca="false">+F107/B107-1</f>
        <v>0.11727078891258</v>
      </c>
      <c r="G108" s="31" t="n">
        <f aca="false">+G107/C107-1</f>
        <v>0.0961145194274029</v>
      </c>
      <c r="H108" s="31" t="n">
        <f aca="false">+H107/D107-1</f>
        <v>0.147509578544061</v>
      </c>
      <c r="I108" s="31" t="n">
        <f aca="false">+I107/E107-1</f>
        <v>0.196153846153846</v>
      </c>
      <c r="J108" s="31" t="n">
        <f aca="false">+J107/F107-1</f>
        <v>0.209923664122137</v>
      </c>
      <c r="K108" s="31" t="n">
        <f aca="false">+K107/G107-1</f>
        <v>0.225746268656716</v>
      </c>
      <c r="L108" s="31" t="n">
        <f aca="false">+L107/H107-1</f>
        <v>0.135225375626043</v>
      </c>
      <c r="M108" s="31" t="n">
        <f aca="false">+M107/I107-1</f>
        <v>0.0980707395498393</v>
      </c>
      <c r="N108" s="31" t="n">
        <f aca="false">+N107/J107-1</f>
        <v>0.0646687697160884</v>
      </c>
      <c r="O108" s="31" t="n">
        <f aca="false">+O107/K107-1</f>
        <v>0.0121765601217656</v>
      </c>
      <c r="P108" s="31" t="n">
        <f aca="false">+P107/L107-1</f>
        <v>0.0176470588235294</v>
      </c>
      <c r="Q108" s="31" t="n">
        <f aca="false">+Q107/M107-1</f>
        <v>0.0409956076134699</v>
      </c>
      <c r="R108" s="31" t="n">
        <f aca="false">+R107/N107-1</f>
        <v>0.111111111111111</v>
      </c>
      <c r="S108" s="31" t="n">
        <f aca="false">+S107/O107-1</f>
        <v>0.169924812030075</v>
      </c>
      <c r="AB108" s="31" t="n">
        <f aca="false">+AB107/AB$28</f>
        <v>0.0482222954657535</v>
      </c>
      <c r="AC108" s="31" t="n">
        <f aca="false">+AC107/AC$28</f>
        <v>0.0473718662434773</v>
      </c>
      <c r="AD108" s="31" t="n">
        <f aca="false">+AD107/AD$28</f>
        <v>0.170543523115314</v>
      </c>
      <c r="AE108" s="31" t="n">
        <f aca="false">+AE107/AE$28</f>
        <v>0.172188262373429</v>
      </c>
      <c r="AF108" s="31" t="n">
        <f aca="false">+AF107/AF$28</f>
        <v>0.169333695822602</v>
      </c>
      <c r="AG108" s="31" t="n">
        <f aca="false">+AG107/AG$28</f>
        <v>0.159605600130219</v>
      </c>
      <c r="AH108" s="31" t="n">
        <f aca="false">+AH107/AH$28</f>
        <v>0.14</v>
      </c>
      <c r="AI108" s="31" t="n">
        <f aca="false">+AI107/AI$28</f>
        <v>0.14</v>
      </c>
      <c r="AJ108" s="31" t="n">
        <f aca="false">+AJ107/AJ$28</f>
        <v>0.14</v>
      </c>
      <c r="AK108" s="31" t="n">
        <f aca="false">+AK107/AK$28</f>
        <v>0.14</v>
      </c>
      <c r="AL108" s="31" t="n">
        <f aca="false">+AL107/AL$28</f>
        <v>0.14</v>
      </c>
      <c r="AM108" s="31" t="n">
        <f aca="false">+AM107/AM$28</f>
        <v>0.14</v>
      </c>
      <c r="AN108" s="31" t="n">
        <f aca="false">+AN107/AN$28</f>
        <v>0.14</v>
      </c>
      <c r="AO108" s="31" t="n">
        <f aca="false">+AO107/AO$28</f>
        <v>0.14</v>
      </c>
      <c r="AP108" s="31" t="n">
        <f aca="false">+AP107/AP$28</f>
        <v>0.14</v>
      </c>
      <c r="AQ108" s="31" t="n">
        <f aca="false">+AQ107/AQ$28</f>
        <v>0.14</v>
      </c>
    </row>
    <row r="109" s="40" customFormat="true" ht="12.8" hidden="false" customHeight="true" outlineLevel="0" collapsed="false">
      <c r="A109" s="39" t="s">
        <v>158</v>
      </c>
      <c r="B109" s="40" t="n">
        <f aca="false">+1882+30</f>
        <v>1912</v>
      </c>
      <c r="C109" s="40" t="n">
        <f aca="false">+1951+29</f>
        <v>1980</v>
      </c>
      <c r="D109" s="40" t="n">
        <f aca="false">+2020+31</f>
        <v>2051</v>
      </c>
      <c r="E109" s="40" t="n">
        <f aca="false">+2093+28</f>
        <v>2121</v>
      </c>
      <c r="F109" s="40" t="n">
        <f aca="false">+2025+17</f>
        <v>2042</v>
      </c>
      <c r="G109" s="40" t="n">
        <f aca="false">+2053+14</f>
        <v>2067</v>
      </c>
      <c r="H109" s="40" t="n">
        <f aca="false">+2108+14</f>
        <v>2122</v>
      </c>
      <c r="I109" s="40" t="n">
        <f aca="false">+2440+26</f>
        <v>2466</v>
      </c>
      <c r="J109" s="40" t="n">
        <f aca="false">+2228+17</f>
        <v>2245</v>
      </c>
      <c r="K109" s="40" t="n">
        <f aca="false">+2223+11</f>
        <v>2234</v>
      </c>
      <c r="L109" s="40" t="n">
        <f aca="false">+2275+5</f>
        <v>2280</v>
      </c>
      <c r="M109" s="40" t="n">
        <f aca="false">+2347+5</f>
        <v>2352</v>
      </c>
      <c r="N109" s="40" t="n">
        <f aca="false">+4+2471</f>
        <v>2475</v>
      </c>
      <c r="O109" s="40" t="n">
        <f aca="false">+2442+4</f>
        <v>2446</v>
      </c>
      <c r="P109" s="40" t="n">
        <f aca="false">+2519+1</f>
        <v>2520</v>
      </c>
      <c r="Q109" s="40" t="n">
        <f aca="false">+2589+2</f>
        <v>2591</v>
      </c>
      <c r="R109" s="40" t="n">
        <f aca="false">+2+2471</f>
        <v>2473</v>
      </c>
      <c r="S109" s="40" t="n">
        <v>2573</v>
      </c>
      <c r="AB109" s="40" t="n">
        <f aca="false">+42+1748</f>
        <v>1790</v>
      </c>
      <c r="AC109" s="40" t="n">
        <f aca="false">+1841+37</f>
        <v>1878</v>
      </c>
      <c r="AD109" s="40" t="n">
        <f aca="false">SUM(B109:E109)</f>
        <v>8064</v>
      </c>
      <c r="AE109" s="40" t="n">
        <f aca="false">SUM(F109:I109)</f>
        <v>8697</v>
      </c>
      <c r="AF109" s="40" t="n">
        <f aca="false">SUM(J109:M109)</f>
        <v>9111</v>
      </c>
      <c r="AG109" s="40" t="n">
        <f aca="false">SUM(N109:Q109)</f>
        <v>10032</v>
      </c>
      <c r="AH109" s="40" t="n">
        <f aca="false">+AH28*0.5</f>
        <v>9882.0154099428</v>
      </c>
      <c r="AI109" s="40" t="n">
        <f aca="false">+AI28*0.5</f>
        <v>11364.3177214343</v>
      </c>
      <c r="AJ109" s="40" t="n">
        <f aca="false">+AJ28*0.5</f>
        <v>13068.9653796494</v>
      </c>
      <c r="AK109" s="40" t="n">
        <f aca="false">+AK28*0.5</f>
        <v>15029.3101865968</v>
      </c>
      <c r="AL109" s="40" t="n">
        <f aca="false">+AL28*0.5</f>
        <v>17283.7067145863</v>
      </c>
      <c r="AM109" s="40" t="n">
        <f aca="false">+AM28*0.5</f>
        <v>19876.2627217743</v>
      </c>
      <c r="AN109" s="40" t="n">
        <f aca="false">+AN28*0.5</f>
        <v>22857.7021300404</v>
      </c>
      <c r="AO109" s="40" t="n">
        <f aca="false">+AO28*0.5</f>
        <v>26286.3574495465</v>
      </c>
      <c r="AP109" s="40" t="n">
        <f aca="false">+AP28*0.5</f>
        <v>30229.3110669784</v>
      </c>
      <c r="AQ109" s="40" t="n">
        <f aca="false">+AQ28*0.5</f>
        <v>34763.7077270252</v>
      </c>
    </row>
    <row r="110" s="31" customFormat="true" ht="10.5" hidden="false" customHeight="true" outlineLevel="0" collapsed="false">
      <c r="A110" s="29"/>
      <c r="F110" s="31" t="n">
        <f aca="false">+F109/B109-1</f>
        <v>0.0679916317991631</v>
      </c>
      <c r="G110" s="31" t="n">
        <f aca="false">+G109/C109-1</f>
        <v>0.0439393939393939</v>
      </c>
      <c r="H110" s="31" t="n">
        <f aca="false">+H109/D109-1</f>
        <v>0.0346172598732326</v>
      </c>
      <c r="I110" s="31" t="n">
        <f aca="false">+I109/E109-1</f>
        <v>0.162659123055163</v>
      </c>
      <c r="J110" s="31" t="n">
        <f aca="false">+J109/F109-1</f>
        <v>0.0994123408423115</v>
      </c>
      <c r="K110" s="31" t="n">
        <f aca="false">+K109/G109-1</f>
        <v>0.0807934204160619</v>
      </c>
      <c r="L110" s="31" t="n">
        <f aca="false">+L109/H109-1</f>
        <v>0.0744580584354382</v>
      </c>
      <c r="M110" s="31" t="n">
        <f aca="false">+M109/I109-1</f>
        <v>-0.0462287104622872</v>
      </c>
      <c r="N110" s="31" t="n">
        <f aca="false">+N109/J109-1</f>
        <v>0.102449888641425</v>
      </c>
      <c r="O110" s="31" t="n">
        <f aca="false">+O109/K109-1</f>
        <v>0.0948970456580125</v>
      </c>
      <c r="P110" s="31" t="n">
        <f aca="false">+P109/L109-1</f>
        <v>0.105263157894737</v>
      </c>
      <c r="Q110" s="31" t="n">
        <f aca="false">+Q109/M109-1</f>
        <v>0.101615646258503</v>
      </c>
      <c r="R110" s="31" t="n">
        <f aca="false">+R109/N109-1</f>
        <v>-0.000808080808080813</v>
      </c>
      <c r="S110" s="31" t="n">
        <f aca="false">+S109/O109-1</f>
        <v>0.0519215044971382</v>
      </c>
      <c r="AB110" s="31" t="n">
        <f aca="false">+AB109/AB$28</f>
        <v>0.227152391799207</v>
      </c>
      <c r="AC110" s="31" t="n">
        <f aca="false">+AC109/AC$28</f>
        <v>0.19424533800273</v>
      </c>
      <c r="AD110" s="31" t="n">
        <f aca="false">+AD109/AD$28</f>
        <v>0.687631485200947</v>
      </c>
      <c r="AE110" s="31" t="n">
        <f aca="false">+AE109/AE$28</f>
        <v>0.656519648339197</v>
      </c>
      <c r="AF110" s="31" t="n">
        <f aca="false">+AF109/AF$28</f>
        <v>0.581310965576384</v>
      </c>
      <c r="AG110" s="31" t="n">
        <f aca="false">+AG109/AG$28</f>
        <v>0.583727080024193</v>
      </c>
      <c r="AH110" s="31" t="n">
        <f aca="false">+AH109/AH$28</f>
        <v>0.5</v>
      </c>
      <c r="AI110" s="31" t="n">
        <f aca="false">+AI109/AI$28</f>
        <v>0.5</v>
      </c>
      <c r="AJ110" s="31" t="n">
        <f aca="false">+AJ109/AJ$28</f>
        <v>0.5</v>
      </c>
      <c r="AK110" s="31" t="n">
        <f aca="false">+AK109/AK$28</f>
        <v>0.5</v>
      </c>
      <c r="AL110" s="31" t="n">
        <f aca="false">+AL109/AL$28</f>
        <v>0.5</v>
      </c>
      <c r="AM110" s="31" t="n">
        <f aca="false">+AM109/AM$28</f>
        <v>0.5</v>
      </c>
      <c r="AN110" s="31" t="n">
        <f aca="false">+AN109/AN$28</f>
        <v>0.5</v>
      </c>
      <c r="AO110" s="31" t="n">
        <f aca="false">+AO109/AO$28</f>
        <v>0.5</v>
      </c>
      <c r="AP110" s="31" t="n">
        <f aca="false">+AP109/AP$28</f>
        <v>0.5</v>
      </c>
      <c r="AQ110" s="31" t="n">
        <f aca="false">+AQ109/AQ$28</f>
        <v>0.5</v>
      </c>
    </row>
    <row r="111" s="40" customFormat="true" ht="12.8" hidden="false" customHeight="true" outlineLevel="0" collapsed="false">
      <c r="A111" s="39" t="s">
        <v>159</v>
      </c>
      <c r="B111" s="40" t="n">
        <v>1146</v>
      </c>
      <c r="C111" s="40" t="n">
        <v>1127</v>
      </c>
      <c r="D111" s="40" t="n">
        <v>1197</v>
      </c>
      <c r="E111" s="40" t="n">
        <v>1128</v>
      </c>
      <c r="F111" s="40" t="n">
        <v>1156</v>
      </c>
      <c r="G111" s="40" t="n">
        <v>1167</v>
      </c>
      <c r="H111" s="40" t="n">
        <v>1209</v>
      </c>
      <c r="I111" s="40" t="n">
        <v>1203</v>
      </c>
      <c r="J111" s="40" t="n">
        <v>1270</v>
      </c>
      <c r="K111" s="40" t="n">
        <v>1323</v>
      </c>
      <c r="L111" s="40" t="n">
        <f aca="false">1340</f>
        <v>1340</v>
      </c>
      <c r="M111" s="40" t="n">
        <f aca="false">+0+1539</f>
        <v>1539</v>
      </c>
      <c r="N111" s="40" t="n">
        <f aca="false">+0+1654</f>
        <v>1654</v>
      </c>
      <c r="O111" s="40" t="n">
        <f aca="false">+1929+0</f>
        <v>1929</v>
      </c>
      <c r="P111" s="40" t="n">
        <v>1741</v>
      </c>
      <c r="Q111" s="40" t="n">
        <f aca="false">+0+1458</f>
        <v>1458</v>
      </c>
      <c r="R111" s="40" t="n">
        <v>0</v>
      </c>
      <c r="S111" s="40" t="n">
        <v>0</v>
      </c>
      <c r="AB111" s="40" t="n">
        <v>0</v>
      </c>
      <c r="AC111" s="40" t="n">
        <v>1202</v>
      </c>
      <c r="AD111" s="40" t="n">
        <f aca="false">SUM(B111:E111)</f>
        <v>4598</v>
      </c>
      <c r="AE111" s="40" t="n">
        <f aca="false">SUM(F111:I111)</f>
        <v>4735</v>
      </c>
      <c r="AF111" s="40" t="n">
        <f aca="false">SUM(J111:M111)</f>
        <v>5472</v>
      </c>
      <c r="AG111" s="40" t="n">
        <f aca="false">SUM(N111:Q111)</f>
        <v>6782</v>
      </c>
    </row>
    <row r="112" s="40" customFormat="true" ht="12.8" hidden="false" customHeight="true" outlineLevel="0" collapsed="false">
      <c r="A112" s="39" t="s">
        <v>160</v>
      </c>
      <c r="B112" s="40" t="n">
        <f aca="false">+22+6</f>
        <v>28</v>
      </c>
      <c r="C112" s="40" t="n">
        <f aca="false">+4+39</f>
        <v>43</v>
      </c>
      <c r="D112" s="40" t="n">
        <f aca="false">+3+29</f>
        <v>32</v>
      </c>
      <c r="E112" s="40" t="n">
        <f aca="false">+3+26</f>
        <v>29</v>
      </c>
      <c r="F112" s="40" t="n">
        <f aca="false">+3+27</f>
        <v>30</v>
      </c>
      <c r="G112" s="40" t="n">
        <f aca="false">+3+25</f>
        <v>28</v>
      </c>
      <c r="H112" s="40" t="n">
        <f aca="false">+3+24</f>
        <v>27</v>
      </c>
      <c r="I112" s="40" t="n">
        <f aca="false">+3+21</f>
        <v>24</v>
      </c>
      <c r="J112" s="40" t="n">
        <f aca="false">+20+3</f>
        <v>23</v>
      </c>
      <c r="K112" s="40" t="n">
        <f aca="false">+24+3</f>
        <v>27</v>
      </c>
      <c r="L112" s="40" t="n">
        <f aca="false">+24+3</f>
        <v>27</v>
      </c>
      <c r="M112" s="40" t="n">
        <f aca="false">+25+3</f>
        <v>28</v>
      </c>
      <c r="N112" s="40" t="n">
        <f aca="false">+2+39</f>
        <v>41</v>
      </c>
      <c r="O112" s="40" t="n">
        <v>47</v>
      </c>
      <c r="P112" s="40" t="n">
        <f aca="false">+50+3</f>
        <v>53</v>
      </c>
      <c r="Q112" s="40" t="n">
        <f aca="false">+3+51</f>
        <v>54</v>
      </c>
      <c r="R112" s="40" t="n">
        <f aca="false">+49+3</f>
        <v>52</v>
      </c>
      <c r="S112" s="40" t="n">
        <f aca="false">+13+45</f>
        <v>58</v>
      </c>
      <c r="AB112" s="40" t="n">
        <f aca="false">+2+20</f>
        <v>22</v>
      </c>
      <c r="AC112" s="40" t="n">
        <f aca="false">+22+7</f>
        <v>29</v>
      </c>
      <c r="AD112" s="40" t="n">
        <f aca="false">SUM(B112:E112)</f>
        <v>132</v>
      </c>
      <c r="AE112" s="40" t="n">
        <f aca="false">SUM(F112:I112)</f>
        <v>109</v>
      </c>
      <c r="AF112" s="40" t="n">
        <f aca="false">SUM(J112:M112)</f>
        <v>105</v>
      </c>
      <c r="AG112" s="40" t="n">
        <f aca="false">SUM(N112:Q112)</f>
        <v>195</v>
      </c>
    </row>
    <row r="113" s="40" customFormat="true" ht="12.8" hidden="false" customHeight="true" outlineLevel="0" collapsed="false">
      <c r="A113" s="39" t="s">
        <v>161</v>
      </c>
      <c r="B113" s="40" t="n">
        <v>42</v>
      </c>
      <c r="C113" s="40" t="n">
        <v>23</v>
      </c>
      <c r="D113" s="40" t="n">
        <v>24</v>
      </c>
      <c r="E113" s="40" t="n">
        <v>21</v>
      </c>
      <c r="F113" s="40" t="n">
        <v>24</v>
      </c>
      <c r="G113" s="40" t="n">
        <v>28</v>
      </c>
      <c r="H113" s="40" t="n">
        <v>17</v>
      </c>
      <c r="I113" s="40" t="n">
        <v>17</v>
      </c>
      <c r="J113" s="40" t="n">
        <v>22</v>
      </c>
      <c r="K113" s="40" t="n">
        <v>47</v>
      </c>
      <c r="L113" s="40" t="n">
        <v>22</v>
      </c>
      <c r="M113" s="40" t="n">
        <v>20</v>
      </c>
      <c r="N113" s="40" t="n">
        <v>22</v>
      </c>
      <c r="O113" s="40" t="n">
        <v>16</v>
      </c>
      <c r="P113" s="40" t="n">
        <v>13</v>
      </c>
      <c r="Q113" s="40" t="n">
        <v>10</v>
      </c>
      <c r="R113" s="40" t="n">
        <v>18</v>
      </c>
      <c r="S113" s="40" t="n">
        <f aca="false">+2+22</f>
        <v>24</v>
      </c>
      <c r="AB113" s="40" t="n">
        <v>105</v>
      </c>
      <c r="AC113" s="40" t="n">
        <v>89</v>
      </c>
      <c r="AD113" s="40" t="n">
        <f aca="false">SUM(B113:E113)</f>
        <v>110</v>
      </c>
      <c r="AE113" s="40" t="n">
        <f aca="false">SUM(F113:I113)</f>
        <v>86</v>
      </c>
      <c r="AF113" s="40" t="n">
        <f aca="false">SUM(J113:M113)</f>
        <v>111</v>
      </c>
      <c r="AG113" s="40" t="n">
        <f aca="false">SUM(N113:Q113)</f>
        <v>61</v>
      </c>
    </row>
    <row r="114" s="40" customFormat="true" ht="12.8" hidden="false" customHeight="true" outlineLevel="0" collapsed="false">
      <c r="A114" s="39" t="s">
        <v>162</v>
      </c>
      <c r="B114" s="40" t="n">
        <v>587</v>
      </c>
      <c r="C114" s="40" t="n">
        <v>592</v>
      </c>
      <c r="D114" s="40" t="n">
        <v>608</v>
      </c>
      <c r="E114" s="40" t="n">
        <v>555</v>
      </c>
      <c r="F114" s="40" t="n">
        <v>546</v>
      </c>
      <c r="G114" s="40" t="n">
        <v>522</v>
      </c>
      <c r="H114" s="40" t="n">
        <v>520</v>
      </c>
      <c r="I114" s="40" t="n">
        <v>493</v>
      </c>
      <c r="J114" s="40" t="n">
        <v>493</v>
      </c>
      <c r="K114" s="40" t="n">
        <v>472</v>
      </c>
      <c r="L114" s="40" t="n">
        <v>446</v>
      </c>
      <c r="M114" s="40" t="n">
        <v>462</v>
      </c>
      <c r="N114" s="40" t="n">
        <v>448</v>
      </c>
      <c r="O114" s="40" t="n">
        <v>453</v>
      </c>
      <c r="P114" s="40" t="n">
        <v>444</v>
      </c>
      <c r="Q114" s="40" t="n">
        <v>433</v>
      </c>
      <c r="R114" s="40" t="n">
        <v>414</v>
      </c>
      <c r="S114" s="40" t="n">
        <v>404</v>
      </c>
      <c r="AB114" s="40" t="n">
        <v>577</v>
      </c>
      <c r="AC114" s="40" t="n">
        <v>579</v>
      </c>
      <c r="AD114" s="40" t="n">
        <f aca="false">SUM(B114:E114)</f>
        <v>2342</v>
      </c>
      <c r="AE114" s="40" t="n">
        <f aca="false">SUM(F114:I114)</f>
        <v>2081</v>
      </c>
      <c r="AF114" s="40" t="n">
        <f aca="false">SUM(J114:M114)</f>
        <v>1873</v>
      </c>
      <c r="AG114" s="40" t="n">
        <f aca="false">SUM(N114:Q114)</f>
        <v>1778</v>
      </c>
    </row>
    <row r="115" s="40" customFormat="true" ht="12.8" hidden="false" customHeight="true" outlineLevel="0" collapsed="false">
      <c r="A115" s="39" t="s">
        <v>153</v>
      </c>
      <c r="B115" s="40" t="n">
        <v>0</v>
      </c>
      <c r="C115" s="40" t="n">
        <v>1</v>
      </c>
      <c r="D115" s="40" t="n">
        <v>2</v>
      </c>
      <c r="E115" s="40" t="n">
        <v>5</v>
      </c>
      <c r="F115" s="40" t="n">
        <v>6</v>
      </c>
      <c r="G115" s="40" t="n">
        <v>6</v>
      </c>
      <c r="H115" s="40" t="n">
        <v>6</v>
      </c>
      <c r="I115" s="40" t="n">
        <v>8</v>
      </c>
      <c r="J115" s="40" t="n">
        <v>17</v>
      </c>
      <c r="K115" s="40" t="n">
        <v>19</v>
      </c>
      <c r="L115" s="40" t="n">
        <v>20</v>
      </c>
      <c r="M115" s="40" t="n">
        <v>21</v>
      </c>
      <c r="N115" s="40" t="n">
        <v>21</v>
      </c>
      <c r="O115" s="40" t="n">
        <v>66</v>
      </c>
      <c r="P115" s="40" t="n">
        <v>223</v>
      </c>
      <c r="Q115" s="40" t="n">
        <v>163</v>
      </c>
      <c r="R115" s="40" t="n">
        <v>11</v>
      </c>
      <c r="S115" s="40" t="n">
        <v>30</v>
      </c>
      <c r="AB115" s="40" t="n">
        <v>0</v>
      </c>
      <c r="AC115" s="40" t="n">
        <v>0</v>
      </c>
      <c r="AD115" s="40" t="n">
        <f aca="false">SUM(B115:E115)</f>
        <v>8</v>
      </c>
      <c r="AE115" s="40" t="n">
        <f aca="false">SUM(F115:I115)</f>
        <v>26</v>
      </c>
      <c r="AF115" s="40" t="n">
        <f aca="false">SUM(J115:M115)</f>
        <v>77</v>
      </c>
      <c r="AG115" s="40" t="n">
        <f aca="false">SUM(N115:Q115)</f>
        <v>473</v>
      </c>
    </row>
    <row r="116" s="40" customFormat="true" ht="12.8" hidden="false" customHeight="true" outlineLevel="0" collapsed="false">
      <c r="A116" s="39" t="s">
        <v>163</v>
      </c>
      <c r="B116" s="40" t="n">
        <f aca="false">SUM(B105:B115)-B110-B108</f>
        <v>4892</v>
      </c>
      <c r="C116" s="40" t="n">
        <f aca="false">SUM(C105:C115)-C110-C108</f>
        <v>5087</v>
      </c>
      <c r="D116" s="40" t="n">
        <f aca="false">SUM(D105:D115)-D110-D108</f>
        <v>5399</v>
      </c>
      <c r="E116" s="40" t="n">
        <f aca="false">SUM(E105:E115)-E110-E108</f>
        <v>5235</v>
      </c>
      <c r="F116" s="40" t="n">
        <f aca="false">SUM(F105:F115)-F110-F108</f>
        <v>5187</v>
      </c>
      <c r="G116" s="40" t="n">
        <f aca="false">SUM(G105:G115)-G110-G108</f>
        <v>5258</v>
      </c>
      <c r="H116" s="40" t="n">
        <f aca="false">SUM(H105:H115)-H110-H108</f>
        <v>5453</v>
      </c>
      <c r="I116" s="40" t="n">
        <f aca="false">SUM(I105:I115)-I110-I108</f>
        <v>5823</v>
      </c>
      <c r="J116" s="40" t="n">
        <f aca="false">SUM(J105:J115)-J110-J108</f>
        <v>5766</v>
      </c>
      <c r="K116" s="40" t="n">
        <f aca="false">SUM(K105:K115)-K110-K108</f>
        <v>5887</v>
      </c>
      <c r="L116" s="40" t="n">
        <f aca="false">SUM(L105:L115)-L110-L108</f>
        <v>5920</v>
      </c>
      <c r="M116" s="40" t="n">
        <f aca="false">SUM(M105:M115)-M110-M108</f>
        <v>6480</v>
      </c>
      <c r="N116" s="40" t="n">
        <f aca="false">SUM(N105:N115)-N110-N108</f>
        <v>6440</v>
      </c>
      <c r="O116" s="40" t="n">
        <f aca="false">SUM(O105:O115)-O110-O108</f>
        <v>6835</v>
      </c>
      <c r="P116" s="40" t="n">
        <f aca="false">SUM(P105:P115)-P110-P108</f>
        <v>6910</v>
      </c>
      <c r="Q116" s="40" t="n">
        <f aca="false">SUM(Q105:Q115)-Q110-Q108</f>
        <v>6686</v>
      </c>
      <c r="R116" s="40" t="n">
        <f aca="false">SUM(R105:R115)-R110-R108</f>
        <v>5118</v>
      </c>
      <c r="S116" s="40" t="n">
        <f aca="false">SUM(S105:S115)-S110-S108</f>
        <v>5363</v>
      </c>
      <c r="AA116" s="40" t="n">
        <f aca="false">SUM(AA105:AA115)-AA110-AA108</f>
        <v>0</v>
      </c>
      <c r="AB116" s="40" t="n">
        <f aca="false">SUM(AB105:AB115)-AB110-AB108</f>
        <v>3521</v>
      </c>
      <c r="AC116" s="40" t="n">
        <f aca="false">SUM(AC105:AC115)-AC110-AC108</f>
        <v>5051</v>
      </c>
      <c r="AD116" s="40" t="n">
        <f aca="false">SUM(AD105:AD115)-AD110-AD108</f>
        <v>20613</v>
      </c>
      <c r="AE116" s="40" t="n">
        <f aca="false">SUM(AE105:AE115)-AE110-AE108</f>
        <v>21721</v>
      </c>
      <c r="AF116" s="40" t="n">
        <f aca="false">SUM(AF105:AF115)-AF110-AF108</f>
        <v>24053</v>
      </c>
      <c r="AG116" s="40" t="n">
        <f aca="false">SUM(AG105:AG115)-AG110-AG108</f>
        <v>26871</v>
      </c>
    </row>
    <row r="117" s="40" customFormat="true" ht="12.8" hidden="false" customHeight="true" outlineLevel="0" collapsed="false">
      <c r="A117" s="39" t="s">
        <v>108</v>
      </c>
      <c r="B117" s="40" t="n">
        <v>0</v>
      </c>
      <c r="C117" s="40" t="n">
        <v>0</v>
      </c>
      <c r="D117" s="40" t="n">
        <v>0</v>
      </c>
      <c r="E117" s="40" t="n">
        <v>0</v>
      </c>
      <c r="F117" s="40" t="n">
        <v>0</v>
      </c>
      <c r="G117" s="40" t="n">
        <v>0</v>
      </c>
      <c r="H117" s="40" t="n">
        <v>0</v>
      </c>
      <c r="I117" s="40" t="n">
        <v>0</v>
      </c>
      <c r="J117" s="40" t="n">
        <v>0</v>
      </c>
      <c r="K117" s="40" t="n">
        <v>0</v>
      </c>
      <c r="L117" s="40" t="n">
        <v>0</v>
      </c>
      <c r="M117" s="40" t="n">
        <v>0</v>
      </c>
      <c r="N117" s="40" t="n">
        <v>0</v>
      </c>
      <c r="O117" s="40" t="n">
        <v>0</v>
      </c>
      <c r="P117" s="40" t="n">
        <v>0</v>
      </c>
      <c r="Q117" s="40" t="n">
        <v>0</v>
      </c>
      <c r="R117" s="40" t="n">
        <v>0</v>
      </c>
      <c r="S117" s="40" t="n">
        <v>0</v>
      </c>
      <c r="AB117" s="40" t="n">
        <v>0</v>
      </c>
      <c r="AC117" s="40" t="n">
        <v>0</v>
      </c>
      <c r="AD117" s="40" t="n">
        <f aca="false">SUM(B117:E117)</f>
        <v>0</v>
      </c>
      <c r="AE117" s="40" t="n">
        <f aca="false">SUM(F117:I117)</f>
        <v>0</v>
      </c>
      <c r="AF117" s="40" t="n">
        <f aca="false">SUM(J117:M117)</f>
        <v>0</v>
      </c>
      <c r="AG117" s="40" t="n">
        <f aca="false">SUM(N117:Q117)</f>
        <v>0</v>
      </c>
    </row>
    <row r="118" s="40" customFormat="true" ht="12.8" hidden="false" customHeight="true" outlineLevel="0" collapsed="false">
      <c r="A118" s="39" t="s">
        <v>147</v>
      </c>
      <c r="B118" s="40" t="n">
        <v>4789</v>
      </c>
      <c r="C118" s="40" t="n">
        <v>4789</v>
      </c>
      <c r="D118" s="40" t="n">
        <v>4789</v>
      </c>
      <c r="E118" s="40" t="n">
        <v>4789</v>
      </c>
      <c r="F118" s="40" t="n">
        <v>4864</v>
      </c>
      <c r="G118" s="40" t="n">
        <v>4899</v>
      </c>
      <c r="H118" s="40" t="n">
        <v>4931</v>
      </c>
      <c r="I118" s="40" t="n">
        <v>5155</v>
      </c>
      <c r="J118" s="40" t="n">
        <v>5397</v>
      </c>
      <c r="K118" s="40" t="n">
        <v>5637</v>
      </c>
      <c r="L118" s="40" t="n">
        <v>5825</v>
      </c>
      <c r="M118" s="40" t="n">
        <v>6124</v>
      </c>
      <c r="N118" s="40" t="n">
        <v>-262</v>
      </c>
      <c r="O118" s="40" t="n">
        <v>6420</v>
      </c>
      <c r="P118" s="40" t="n">
        <v>6459</v>
      </c>
      <c r="Q118" s="40" t="n">
        <v>6496</v>
      </c>
      <c r="R118" s="40" t="n">
        <v>6560</v>
      </c>
      <c r="S118" s="40" t="n">
        <v>6624</v>
      </c>
      <c r="AB118" s="40" t="n">
        <v>4583</v>
      </c>
      <c r="AC118" s="40" t="n">
        <v>4746</v>
      </c>
      <c r="AD118" s="40" t="n">
        <f aca="false">SUM(B118:E118)</f>
        <v>19156</v>
      </c>
      <c r="AE118" s="40" t="n">
        <f aca="false">SUM(F118:I118)</f>
        <v>19849</v>
      </c>
      <c r="AF118" s="40" t="n">
        <f aca="false">SUM(J118:M118)</f>
        <v>22983</v>
      </c>
      <c r="AG118" s="40" t="n">
        <f aca="false">SUM(N118:Q118)</f>
        <v>19113</v>
      </c>
    </row>
    <row r="119" s="40" customFormat="true" ht="12.8" hidden="false" customHeight="true" outlineLevel="0" collapsed="false">
      <c r="A119" s="39" t="s">
        <v>164</v>
      </c>
      <c r="B119" s="40" t="n">
        <v>-262</v>
      </c>
      <c r="C119" s="40" t="n">
        <v>-262</v>
      </c>
      <c r="D119" s="40" t="n">
        <v>-262</v>
      </c>
      <c r="E119" s="40" t="n">
        <v>-262</v>
      </c>
      <c r="F119" s="40" t="n">
        <v>-262</v>
      </c>
      <c r="G119" s="40" t="n">
        <v>-262</v>
      </c>
      <c r="H119" s="40" t="n">
        <v>-262</v>
      </c>
      <c r="I119" s="40" t="n">
        <v>-262</v>
      </c>
      <c r="J119" s="40" t="n">
        <v>-262</v>
      </c>
      <c r="K119" s="40" t="n">
        <v>-262</v>
      </c>
      <c r="L119" s="40" t="n">
        <v>-262</v>
      </c>
      <c r="M119" s="40" t="n">
        <v>-262</v>
      </c>
      <c r="N119" s="40" t="n">
        <v>6328</v>
      </c>
      <c r="O119" s="40" t="n">
        <v>-262</v>
      </c>
      <c r="P119" s="40" t="n">
        <v>-328</v>
      </c>
      <c r="Q119" s="40" t="n">
        <v>-701</v>
      </c>
      <c r="R119" s="40" t="n">
        <v>-1007</v>
      </c>
      <c r="S119" s="40" t="n">
        <v>-1248</v>
      </c>
      <c r="AB119" s="40" t="n">
        <v>-175</v>
      </c>
      <c r="AC119" s="40" t="n">
        <v>-260</v>
      </c>
      <c r="AD119" s="40" t="n">
        <f aca="false">SUM(B119:E119)</f>
        <v>-1048</v>
      </c>
      <c r="AE119" s="40" t="n">
        <f aca="false">SUM(F119:I119)</f>
        <v>-1048</v>
      </c>
      <c r="AF119" s="40" t="n">
        <f aca="false">SUM(J119:M119)</f>
        <v>-1048</v>
      </c>
      <c r="AG119" s="40" t="n">
        <f aca="false">SUM(N119:Q119)</f>
        <v>5037</v>
      </c>
    </row>
    <row r="120" s="40" customFormat="true" ht="12.8" hidden="false" customHeight="true" outlineLevel="0" collapsed="false">
      <c r="A120" s="39" t="s">
        <v>165</v>
      </c>
      <c r="B120" s="40" t="n">
        <v>709</v>
      </c>
      <c r="C120" s="40" t="n">
        <v>988</v>
      </c>
      <c r="D120" s="40" t="n">
        <v>1085</v>
      </c>
      <c r="E120" s="40" t="n">
        <v>1521</v>
      </c>
      <c r="F120" s="40" t="n">
        <v>1615</v>
      </c>
      <c r="G120" s="40" t="n">
        <v>1594</v>
      </c>
      <c r="H120" s="40" t="n">
        <v>1582</v>
      </c>
      <c r="I120" s="40" t="n">
        <v>1812</v>
      </c>
      <c r="J120" s="40" t="n">
        <v>2159</v>
      </c>
      <c r="K120" s="40" t="n">
        <v>2595</v>
      </c>
      <c r="L120" s="40" t="n">
        <v>2481</v>
      </c>
      <c r="M120" s="40" t="n">
        <v>2707</v>
      </c>
      <c r="N120" s="40" t="n">
        <v>3000</v>
      </c>
      <c r="O120" s="40" t="n">
        <v>3374</v>
      </c>
      <c r="P120" s="40" t="n">
        <v>3654</v>
      </c>
      <c r="Q120" s="40" t="n">
        <v>3366</v>
      </c>
      <c r="R120" s="40" t="n">
        <v>2581</v>
      </c>
      <c r="S120" s="40" t="n">
        <v>2588</v>
      </c>
      <c r="AB120" s="40" t="n">
        <v>1687</v>
      </c>
      <c r="AC120" s="40" t="n">
        <v>853</v>
      </c>
      <c r="AD120" s="40" t="n">
        <f aca="false">SUM(B120:E120)</f>
        <v>4303</v>
      </c>
      <c r="AE120" s="40" t="n">
        <f aca="false">SUM(F120:I120)</f>
        <v>6603</v>
      </c>
      <c r="AF120" s="40" t="n">
        <f aca="false">SUM(J120:M120)</f>
        <v>9942</v>
      </c>
      <c r="AG120" s="40" t="n">
        <f aca="false">SUM(N120:Q120)</f>
        <v>13394</v>
      </c>
    </row>
    <row r="121" s="40" customFormat="true" ht="12.8" hidden="false" customHeight="true" outlineLevel="0" collapsed="false">
      <c r="A121" s="39" t="s">
        <v>166</v>
      </c>
      <c r="B121" s="40" t="n">
        <v>-3089</v>
      </c>
      <c r="C121" s="40" t="n">
        <v>-3214</v>
      </c>
      <c r="D121" s="40" t="n">
        <v>-3379</v>
      </c>
      <c r="E121" s="40" t="n">
        <v>-3647</v>
      </c>
      <c r="F121" s="40" t="n">
        <v>-3875</v>
      </c>
      <c r="G121" s="40" t="n">
        <v>-4177</v>
      </c>
      <c r="H121" s="40" t="n">
        <v>-4112</v>
      </c>
      <c r="I121" s="40" t="n">
        <v>-4182</v>
      </c>
      <c r="J121" s="40" t="n">
        <v>-3985</v>
      </c>
      <c r="K121" s="40" t="n">
        <v>-3711</v>
      </c>
      <c r="L121" s="40" t="n">
        <v>-3411</v>
      </c>
      <c r="M121" s="40" t="n">
        <v>-3044</v>
      </c>
      <c r="N121" s="40" t="n">
        <v>-2819</v>
      </c>
      <c r="O121" s="40" t="n">
        <v>-2905</v>
      </c>
      <c r="P121" s="40" t="n">
        <v>-2006</v>
      </c>
      <c r="Q121" s="40" t="n">
        <v>-832</v>
      </c>
      <c r="R121" s="40" t="n">
        <v>-124</v>
      </c>
      <c r="S121" s="40" t="n">
        <v>421</v>
      </c>
      <c r="AB121" s="40" t="n">
        <v>-3290</v>
      </c>
      <c r="AC121" s="40" t="n">
        <v>-3220</v>
      </c>
      <c r="AD121" s="40" t="n">
        <f aca="false">SUM(B121:E121)</f>
        <v>-13329</v>
      </c>
      <c r="AE121" s="40" t="n">
        <f aca="false">SUM(F121:I121)</f>
        <v>-16346</v>
      </c>
      <c r="AF121" s="40" t="n">
        <f aca="false">SUM(J121:M121)</f>
        <v>-14151</v>
      </c>
      <c r="AG121" s="40" t="n">
        <f aca="false">SUM(N121:Q121)</f>
        <v>-8562</v>
      </c>
    </row>
    <row r="122" s="40" customFormat="true" ht="12.8" hidden="false" customHeight="true" outlineLevel="0" collapsed="false">
      <c r="A122" s="39" t="s">
        <v>167</v>
      </c>
      <c r="B122" s="40" t="n">
        <f aca="false">SUM(B117:B121)</f>
        <v>2147</v>
      </c>
      <c r="C122" s="40" t="n">
        <f aca="false">SUM(C117:C121)</f>
        <v>2301</v>
      </c>
      <c r="D122" s="40" t="n">
        <f aca="false">SUM(D117:D121)</f>
        <v>2233</v>
      </c>
      <c r="E122" s="40" t="n">
        <f aca="false">SUM(E117:E121)</f>
        <v>2401</v>
      </c>
      <c r="F122" s="40" t="n">
        <f aca="false">SUM(F117:F121)</f>
        <v>2342</v>
      </c>
      <c r="G122" s="40" t="n">
        <f aca="false">SUM(G117:G121)</f>
        <v>2054</v>
      </c>
      <c r="H122" s="40" t="n">
        <f aca="false">SUM(H117:H121)</f>
        <v>2139</v>
      </c>
      <c r="I122" s="40" t="n">
        <f aca="false">SUM(I117:I121)</f>
        <v>2523</v>
      </c>
      <c r="J122" s="40" t="n">
        <f aca="false">SUM(J117:J121)</f>
        <v>3309</v>
      </c>
      <c r="K122" s="40" t="n">
        <f aca="false">SUM(K117:K121)</f>
        <v>4259</v>
      </c>
      <c r="L122" s="40" t="n">
        <f aca="false">SUM(L117:L121)</f>
        <v>4633</v>
      </c>
      <c r="M122" s="40" t="n">
        <f aca="false">SUM(M117:M121)</f>
        <v>5525</v>
      </c>
      <c r="N122" s="40" t="n">
        <f aca="false">SUM(N117:N121)</f>
        <v>6247</v>
      </c>
      <c r="O122" s="40" t="n">
        <f aca="false">SUM(O117:O121)</f>
        <v>6627</v>
      </c>
      <c r="P122" s="40" t="n">
        <f aca="false">SUM(P117:P121)</f>
        <v>7779</v>
      </c>
      <c r="Q122" s="40" t="n">
        <f aca="false">SUM(Q117:Q121)</f>
        <v>8329</v>
      </c>
      <c r="R122" s="40" t="n">
        <f aca="false">SUM(R117:R121)</f>
        <v>8010</v>
      </c>
      <c r="S122" s="40" t="n">
        <f aca="false">SUM(S117:S121)</f>
        <v>8385</v>
      </c>
      <c r="AA122" s="40" t="n">
        <f aca="false">SUM(AA117:AA121)</f>
        <v>0</v>
      </c>
      <c r="AB122" s="40" t="n">
        <f aca="false">SUM(AB117:AB121)</f>
        <v>2805</v>
      </c>
      <c r="AC122" s="40" t="n">
        <f aca="false">SUM(AC117:AC121)</f>
        <v>2119</v>
      </c>
      <c r="AD122" s="40" t="n">
        <f aca="false">SUM(AD117:AD121)</f>
        <v>9082</v>
      </c>
      <c r="AE122" s="40" t="n">
        <f aca="false">SUM(AE117:AE121)</f>
        <v>9058</v>
      </c>
      <c r="AF122" s="40" t="n">
        <f aca="false">SUM(AF117:AF121)</f>
        <v>17726</v>
      </c>
      <c r="AG122" s="40" t="n">
        <f aca="false">SUM(AG117:AG121)</f>
        <v>28982</v>
      </c>
    </row>
    <row r="123" s="40" customFormat="true" ht="12.8" hidden="false" customHeight="true" outlineLevel="0" collapsed="false">
      <c r="A123" s="39" t="s">
        <v>168</v>
      </c>
      <c r="B123" s="40" t="n">
        <f aca="false">B122+B116</f>
        <v>7039</v>
      </c>
      <c r="C123" s="40" t="n">
        <f aca="false">C122+C116</f>
        <v>7388</v>
      </c>
      <c r="D123" s="40" t="n">
        <f aca="false">D122+D116</f>
        <v>7632</v>
      </c>
      <c r="E123" s="40" t="n">
        <f aca="false">E122+E116</f>
        <v>7636</v>
      </c>
      <c r="F123" s="40" t="n">
        <f aca="false">F122+F116</f>
        <v>7529</v>
      </c>
      <c r="G123" s="40" t="n">
        <f aca="false">G122+G116</f>
        <v>7312</v>
      </c>
      <c r="H123" s="40" t="n">
        <f aca="false">H122+H116</f>
        <v>7592</v>
      </c>
      <c r="I123" s="40" t="n">
        <f aca="false">I122+I116</f>
        <v>8346</v>
      </c>
      <c r="J123" s="40" t="n">
        <f aca="false">J122+J116</f>
        <v>9075</v>
      </c>
      <c r="K123" s="40" t="n">
        <f aca="false">K122+K116</f>
        <v>10146</v>
      </c>
      <c r="L123" s="40" t="n">
        <f aca="false">L122+L116</f>
        <v>10553</v>
      </c>
      <c r="M123" s="40" t="n">
        <f aca="false">M122+M116</f>
        <v>12005</v>
      </c>
      <c r="N123" s="40" t="n">
        <f aca="false">N122+N116</f>
        <v>12687</v>
      </c>
      <c r="O123" s="40" t="n">
        <f aca="false">O122+O116</f>
        <v>13462</v>
      </c>
      <c r="P123" s="40" t="n">
        <f aca="false">P122+P116</f>
        <v>14689</v>
      </c>
      <c r="Q123" s="40" t="n">
        <f aca="false">Q122+Q116</f>
        <v>15015</v>
      </c>
      <c r="R123" s="40" t="n">
        <f aca="false">R122+R116</f>
        <v>13128</v>
      </c>
      <c r="S123" s="40" t="n">
        <f aca="false">S122+S116</f>
        <v>13748</v>
      </c>
      <c r="AA123" s="40" t="n">
        <f aca="false">AA122+AA116</f>
        <v>0</v>
      </c>
      <c r="AB123" s="40" t="n">
        <f aca="false">AB122+AB116</f>
        <v>6326</v>
      </c>
      <c r="AC123" s="40" t="n">
        <f aca="false">AC122+AC116</f>
        <v>7170</v>
      </c>
      <c r="AD123" s="40" t="n">
        <f aca="false">AD122+AD116</f>
        <v>29695</v>
      </c>
      <c r="AE123" s="40" t="n">
        <f aca="false">AE122+AE116</f>
        <v>30779</v>
      </c>
      <c r="AF123" s="40" t="n">
        <f aca="false">AF122+AF116</f>
        <v>41779</v>
      </c>
      <c r="AG123" s="40" t="n">
        <f aca="false">AG122+AG116</f>
        <v>55853</v>
      </c>
    </row>
    <row r="124" s="40" customFormat="true" ht="12.8" hidden="false" customHeight="true" outlineLevel="0" collapsed="false">
      <c r="A124" s="39"/>
    </row>
    <row r="125" s="40" customFormat="true" ht="12.8" hidden="false" customHeight="true" outlineLevel="0" collapsed="false">
      <c r="A125" s="39"/>
    </row>
    <row r="126" s="40" customFormat="true" ht="12.8" hidden="false" customHeight="true" outlineLevel="0" collapsed="false">
      <c r="A126" s="39" t="s">
        <v>169</v>
      </c>
      <c r="B126" s="40" t="n">
        <f aca="false">B56</f>
        <v>131</v>
      </c>
      <c r="C126" s="40" t="n">
        <f aca="false">C56</f>
        <v>-125</v>
      </c>
      <c r="D126" s="40" t="n">
        <f aca="false">D56</f>
        <v>-166</v>
      </c>
      <c r="E126" s="40" t="n">
        <f aca="false">E56</f>
        <v>-270</v>
      </c>
      <c r="F126" s="40" t="n">
        <f aca="false">F56</f>
        <v>-224.859604876</v>
      </c>
      <c r="G126" s="40" t="n">
        <f aca="false">G56</f>
        <v>-301.89257188498</v>
      </c>
      <c r="H126" s="40" t="n">
        <f aca="false">H56</f>
        <v>65.0976989815199</v>
      </c>
      <c r="I126" s="40" t="n">
        <f aca="false">I56</f>
        <v>-69.83327199117</v>
      </c>
      <c r="J126" s="40" t="n">
        <f aca="false">J56</f>
        <v>197.19683007741</v>
      </c>
      <c r="K126" s="40" t="n">
        <f aca="false">K56</f>
        <v>274.20843851424</v>
      </c>
      <c r="L126" s="40" t="n">
        <f aca="false">L56</f>
        <v>300.20824742268</v>
      </c>
      <c r="M126" s="40" t="n">
        <f aca="false">M56</f>
        <v>367.16876971609</v>
      </c>
      <c r="N126" s="40" t="n">
        <f aca="false">N56</f>
        <v>225.16507545427</v>
      </c>
      <c r="O126" s="40" t="n">
        <f aca="false">O56</f>
        <v>-85.8800358102099</v>
      </c>
      <c r="P126" s="40" t="n">
        <f aca="false">P56</f>
        <v>899.09072810011</v>
      </c>
      <c r="Q126" s="40" t="n">
        <f aca="false">Q56</f>
        <v>1174.08502024292</v>
      </c>
      <c r="R126" s="40" t="n">
        <f aca="false">R56</f>
        <v>721.096484271741</v>
      </c>
      <c r="S126" s="40" t="n">
        <f aca="false">S56</f>
        <v>545</v>
      </c>
      <c r="AA126" s="40" t="n">
        <f aca="false">AA56</f>
        <v>-186</v>
      </c>
      <c r="AB126" s="40" t="n">
        <f aca="false">AB56</f>
        <v>-580.82763720013</v>
      </c>
      <c r="AC126" s="40" t="n">
        <f aca="false">AC56</f>
        <v>-33.8045539074292</v>
      </c>
      <c r="AD126" s="40" t="n">
        <f aca="false">AD56</f>
        <v>-429.7882978723</v>
      </c>
      <c r="AE126" s="40" t="n">
        <f aca="false">AE56</f>
        <v>-531.8717198322</v>
      </c>
      <c r="AF126" s="40" t="n">
        <f aca="false">AF56</f>
        <v>1138.2818988872</v>
      </c>
      <c r="AG126" s="40" t="n">
        <f aca="false">AG56</f>
        <v>2212.1137564223</v>
      </c>
    </row>
    <row r="127" s="40" customFormat="true" ht="12.8" hidden="false" customHeight="true" outlineLevel="0" collapsed="false">
      <c r="A127" s="39" t="s">
        <v>106</v>
      </c>
      <c r="B127" s="40" t="n">
        <v>131</v>
      </c>
      <c r="C127" s="40" t="n">
        <v>-125</v>
      </c>
      <c r="D127" s="40" t="n">
        <v>-166</v>
      </c>
      <c r="E127" s="40" t="n">
        <v>-270</v>
      </c>
      <c r="F127" s="40" t="n">
        <v>-225</v>
      </c>
      <c r="G127" s="40" t="n">
        <v>-302</v>
      </c>
      <c r="H127" s="40" t="n">
        <v>65</v>
      </c>
      <c r="I127" s="40" t="n">
        <v>-70</v>
      </c>
      <c r="J127" s="40" t="n">
        <v>197</v>
      </c>
      <c r="K127" s="40" t="n">
        <v>274</v>
      </c>
      <c r="L127" s="40" t="n">
        <v>300</v>
      </c>
      <c r="M127" s="40" t="n">
        <v>367</v>
      </c>
      <c r="N127" s="40" t="n">
        <v>225</v>
      </c>
      <c r="O127" s="40" t="n">
        <v>-86</v>
      </c>
      <c r="P127" s="40" t="n">
        <v>899</v>
      </c>
      <c r="Q127" s="40" t="n">
        <v>1174</v>
      </c>
      <c r="R127" s="40" t="n">
        <v>721</v>
      </c>
      <c r="S127" s="40" t="n">
        <v>545</v>
      </c>
      <c r="AA127" s="40" t="n">
        <v>-186</v>
      </c>
      <c r="AB127" s="40" t="n">
        <v>-581</v>
      </c>
      <c r="AC127" s="40" t="n">
        <v>-34</v>
      </c>
      <c r="AD127" s="40" t="n">
        <v>-430</v>
      </c>
      <c r="AE127" s="40" t="n">
        <v>-532</v>
      </c>
      <c r="AF127" s="40" t="n">
        <f aca="false">SUM(J127:M127)</f>
        <v>1138</v>
      </c>
      <c r="AG127" s="40" t="n">
        <f aca="false">SUM(N127:Q127)</f>
        <v>2212</v>
      </c>
    </row>
    <row r="128" s="40" customFormat="true" ht="12.8" hidden="false" customHeight="true" outlineLevel="0" collapsed="false">
      <c r="A128" s="39" t="s">
        <v>170</v>
      </c>
      <c r="B128" s="40" t="n">
        <f aca="false">+27+10</f>
        <v>37</v>
      </c>
      <c r="C128" s="40" t="n">
        <f aca="false">+29+11</f>
        <v>40</v>
      </c>
      <c r="D128" s="40" t="n">
        <f aca="false">+30+14</f>
        <v>44</v>
      </c>
      <c r="E128" s="40" t="n">
        <f aca="false">+32+18</f>
        <v>50</v>
      </c>
      <c r="F128" s="40" t="n">
        <f aca="false">+31+13</f>
        <v>44</v>
      </c>
      <c r="G128" s="40" t="n">
        <f aca="false">+30+14</f>
        <v>44</v>
      </c>
      <c r="H128" s="40" t="n">
        <f aca="false">+26+10</f>
        <v>36</v>
      </c>
      <c r="I128" s="40" t="n">
        <f aca="false">+23+11</f>
        <v>34</v>
      </c>
      <c r="J128" s="40" t="n">
        <f aca="false">+22+9</f>
        <v>31</v>
      </c>
      <c r="K128" s="40" t="n">
        <f aca="false">+21+9</f>
        <v>30</v>
      </c>
      <c r="L128" s="40" t="n">
        <f aca="false">+21+9</f>
        <v>30</v>
      </c>
      <c r="M128" s="40" t="n">
        <f aca="false">+21+9</f>
        <v>30</v>
      </c>
      <c r="N128" s="40" t="n">
        <f aca="false">+20+7</f>
        <v>27</v>
      </c>
      <c r="O128" s="40" t="n">
        <f aca="false">+20+6</f>
        <v>26</v>
      </c>
      <c r="P128" s="40" t="n">
        <f aca="false">+19+5</f>
        <v>24</v>
      </c>
      <c r="Q128" s="40" t="n">
        <f aca="false">+5+20</f>
        <v>25</v>
      </c>
      <c r="R128" s="40" t="n">
        <f aca="false">+20+6</f>
        <v>26</v>
      </c>
      <c r="S128" s="40" t="n">
        <f aca="false">+24+5</f>
        <v>29</v>
      </c>
      <c r="AA128" s="40" t="n">
        <f aca="false">+71+16</f>
        <v>87</v>
      </c>
      <c r="AB128" s="40" t="n">
        <f aca="false">+86+25</f>
        <v>111</v>
      </c>
      <c r="AC128" s="40" t="n">
        <f aca="false">+94+33</f>
        <v>127</v>
      </c>
      <c r="AD128" s="40" t="n">
        <f aca="false">+118+53</f>
        <v>171</v>
      </c>
      <c r="AE128" s="40" t="n">
        <f aca="false">+110+48</f>
        <v>158</v>
      </c>
      <c r="AF128" s="40" t="n">
        <f aca="false">SUM(J128:M128)</f>
        <v>121</v>
      </c>
      <c r="AG128" s="40" t="n">
        <f aca="false">SUM(N128:Q128)</f>
        <v>102</v>
      </c>
      <c r="AH128" s="40" t="n">
        <f aca="false">+AH28*0.007</f>
        <v>138.348215739199</v>
      </c>
      <c r="AI128" s="40" t="n">
        <f aca="false">+AI28*0.007</f>
        <v>159.10044810008</v>
      </c>
      <c r="AJ128" s="40" t="n">
        <f aca="false">+AJ28*0.007</f>
        <v>182.965515315092</v>
      </c>
      <c r="AK128" s="40" t="n">
        <f aca="false">+AK28*0.007</f>
        <v>210.410342612355</v>
      </c>
      <c r="AL128" s="40" t="n">
        <f aca="false">+AL28*0.007</f>
        <v>241.971894004208</v>
      </c>
      <c r="AM128" s="40" t="n">
        <f aca="false">+AM28*0.007</f>
        <v>278.26767810484</v>
      </c>
      <c r="AN128" s="40" t="n">
        <f aca="false">+AN28*0.007</f>
        <v>320.007829820566</v>
      </c>
      <c r="AO128" s="40" t="n">
        <f aca="false">+AO28*0.007</f>
        <v>368.00900429365</v>
      </c>
      <c r="AP128" s="40" t="n">
        <f aca="false">+AP28*0.007</f>
        <v>423.210354937698</v>
      </c>
      <c r="AQ128" s="40" t="n">
        <f aca="false">+AQ28*0.007</f>
        <v>486.691908178352</v>
      </c>
    </row>
    <row r="129" s="31" customFormat="true" ht="10.5" hidden="false" customHeight="true" outlineLevel="0" collapsed="false">
      <c r="A129" s="29"/>
      <c r="AA129" s="31" t="n">
        <f aca="false">+AA128/AA$28</f>
        <v>0.0128622117090479</v>
      </c>
      <c r="AB129" s="31" t="n">
        <f aca="false">+AB128/AB$28</f>
        <v>0.0140859863071017</v>
      </c>
      <c r="AC129" s="31" t="n">
        <f aca="false">+AC128/AC$28</f>
        <v>0.0131358668404402</v>
      </c>
      <c r="AD129" s="31" t="n">
        <f aca="false">+AD128/AD$28</f>
        <v>0.0145814712263594</v>
      </c>
      <c r="AE129" s="31" t="n">
        <f aca="false">+AE128/AE$28</f>
        <v>0.0119271133077605</v>
      </c>
      <c r="AF129" s="31" t="n">
        <f aca="false">+AF128/AF$28</f>
        <v>0.00772018733780512</v>
      </c>
      <c r="AG129" s="31" t="n">
        <f aca="false">+AG128/AG$28</f>
        <v>0.00593502413900196</v>
      </c>
      <c r="AH129" s="31" t="n">
        <f aca="false">+AH128/AH$28</f>
        <v>0.007</v>
      </c>
      <c r="AI129" s="31" t="n">
        <f aca="false">+AI128/AI$28</f>
        <v>0.007</v>
      </c>
      <c r="AJ129" s="31" t="n">
        <f aca="false">+AJ128/AJ$28</f>
        <v>0.007</v>
      </c>
      <c r="AK129" s="31" t="n">
        <f aca="false">+AK128/AK$28</f>
        <v>0.007</v>
      </c>
      <c r="AL129" s="31" t="n">
        <f aca="false">+AL128/AL$28</f>
        <v>0.007</v>
      </c>
      <c r="AM129" s="31" t="n">
        <f aca="false">+AM128/AM$28</f>
        <v>0.007</v>
      </c>
      <c r="AN129" s="31" t="n">
        <f aca="false">+AN128/AN$28</f>
        <v>0.007</v>
      </c>
      <c r="AO129" s="31" t="n">
        <f aca="false">+AO128/AO$28</f>
        <v>0.007</v>
      </c>
      <c r="AP129" s="31" t="n">
        <f aca="false">+AP128/AP$28</f>
        <v>0.007</v>
      </c>
      <c r="AQ129" s="31" t="n">
        <f aca="false">+AQ128/AQ$28</f>
        <v>0.007</v>
      </c>
    </row>
    <row r="130" s="40" customFormat="true" ht="12.8" hidden="false" customHeight="true" outlineLevel="0" collapsed="false">
      <c r="A130" s="39" t="s">
        <v>171</v>
      </c>
      <c r="B130" s="40" t="n">
        <v>0</v>
      </c>
      <c r="C130" s="40" t="n">
        <v>16</v>
      </c>
      <c r="D130" s="40" t="n">
        <v>-2</v>
      </c>
      <c r="E130" s="40" t="n">
        <v>0</v>
      </c>
      <c r="F130" s="40" t="n">
        <v>0</v>
      </c>
      <c r="G130" s="40" t="n">
        <f aca="false">+90+30</f>
        <v>120</v>
      </c>
      <c r="H130" s="40" t="n">
        <v>0</v>
      </c>
      <c r="I130" s="40" t="n">
        <f aca="false">+33-1</f>
        <v>32</v>
      </c>
      <c r="J130" s="40" t="n">
        <v>4</v>
      </c>
      <c r="K130" s="40" t="n">
        <v>14</v>
      </c>
      <c r="L130" s="40" t="n">
        <v>0</v>
      </c>
      <c r="M130" s="40" t="n">
        <v>25</v>
      </c>
      <c r="N130" s="40" t="n">
        <v>2</v>
      </c>
      <c r="O130" s="40" t="n">
        <v>1</v>
      </c>
      <c r="P130" s="40" t="n">
        <v>5</v>
      </c>
      <c r="Q130" s="40" t="n">
        <v>0</v>
      </c>
      <c r="R130" s="40" t="n">
        <v>4</v>
      </c>
      <c r="S130" s="40" t="n">
        <v>0</v>
      </c>
      <c r="AA130" s="40" t="n">
        <v>0</v>
      </c>
      <c r="AB130" s="40" t="n">
        <v>0</v>
      </c>
      <c r="AC130" s="40" t="n">
        <v>0</v>
      </c>
      <c r="AD130" s="40" t="n">
        <f aca="false">+14+0</f>
        <v>14</v>
      </c>
      <c r="AE130" s="40" t="n">
        <f aca="false">+123+29</f>
        <v>152</v>
      </c>
      <c r="AF130" s="40" t="n">
        <f aca="false">SUM(J130:M130)</f>
        <v>43</v>
      </c>
      <c r="AG130" s="40" t="n">
        <f aca="false">SUM(N130:Q130)</f>
        <v>8</v>
      </c>
    </row>
    <row r="131" s="40" customFormat="true" ht="12.8" hidden="false" customHeight="true" outlineLevel="0" collapsed="false">
      <c r="A131" s="39" t="s">
        <v>172</v>
      </c>
      <c r="B131" s="40" t="n">
        <v>68</v>
      </c>
      <c r="C131" s="40" t="n">
        <v>105</v>
      </c>
      <c r="D131" s="40" t="n">
        <v>108</v>
      </c>
      <c r="E131" s="40" t="n">
        <v>100</v>
      </c>
      <c r="F131" s="40" t="n">
        <v>105</v>
      </c>
      <c r="G131" s="40" t="n">
        <v>97</v>
      </c>
      <c r="H131" s="40" t="n">
        <v>85</v>
      </c>
      <c r="I131" s="40" t="n">
        <v>34</v>
      </c>
      <c r="J131" s="40" t="n">
        <v>69</v>
      </c>
      <c r="K131" s="40" t="n">
        <v>81</v>
      </c>
      <c r="L131" s="40" t="n">
        <v>63</v>
      </c>
      <c r="M131" s="40" t="n">
        <v>54</v>
      </c>
      <c r="N131" s="40" t="n">
        <v>42</v>
      </c>
      <c r="O131" s="40" t="n">
        <v>73</v>
      </c>
      <c r="P131" s="40" t="n">
        <v>75</v>
      </c>
      <c r="Q131" s="40" t="n">
        <v>57</v>
      </c>
      <c r="R131" s="40" t="n">
        <v>56</v>
      </c>
      <c r="S131" s="40" t="n">
        <v>86</v>
      </c>
      <c r="AA131" s="40" t="n">
        <v>122</v>
      </c>
      <c r="AB131" s="40" t="n">
        <v>176</v>
      </c>
      <c r="AC131" s="40" t="n">
        <v>223</v>
      </c>
      <c r="AD131" s="40" t="n">
        <v>381</v>
      </c>
      <c r="AE131" s="40" t="n">
        <v>321</v>
      </c>
      <c r="AF131" s="40" t="n">
        <f aca="false">SUM(J131:M131)</f>
        <v>267</v>
      </c>
      <c r="AG131" s="40" t="n">
        <f aca="false">SUM(N131:Q131)</f>
        <v>247</v>
      </c>
    </row>
    <row r="132" s="40" customFormat="true" ht="12.8" hidden="false" customHeight="true" outlineLevel="0" collapsed="false">
      <c r="A132" s="39" t="s">
        <v>102</v>
      </c>
      <c r="B132" s="40" t="n">
        <v>-175</v>
      </c>
      <c r="C132" s="40" t="n">
        <v>-118</v>
      </c>
      <c r="D132" s="40" t="n">
        <v>-102</v>
      </c>
      <c r="E132" s="40" t="n">
        <v>-26</v>
      </c>
      <c r="F132" s="40" t="n">
        <v>-27</v>
      </c>
      <c r="G132" s="40" t="n">
        <v>-33</v>
      </c>
      <c r="H132" s="40" t="n">
        <v>-55</v>
      </c>
      <c r="I132" s="40" t="n">
        <v>-46</v>
      </c>
      <c r="J132" s="40" t="n">
        <v>-59</v>
      </c>
      <c r="K132" s="40" t="n">
        <v>-76</v>
      </c>
      <c r="L132" s="40" t="n">
        <v>-66</v>
      </c>
      <c r="M132" s="40" t="n">
        <v>-127</v>
      </c>
      <c r="N132" s="40" t="n">
        <v>-71</v>
      </c>
      <c r="O132" s="40" t="n">
        <v>-89</v>
      </c>
      <c r="P132" s="40" t="n">
        <v>-262</v>
      </c>
      <c r="Q132" s="40" t="n">
        <v>-349</v>
      </c>
      <c r="R132" s="40" t="n">
        <v>-248</v>
      </c>
      <c r="S132" s="40" t="n">
        <v>-86</v>
      </c>
      <c r="AA132" s="40" t="n">
        <v>-275</v>
      </c>
      <c r="AB132" s="40" t="n">
        <v>-94</v>
      </c>
      <c r="AC132" s="40" t="n">
        <v>-246</v>
      </c>
      <c r="AD132" s="40" t="n">
        <v>-421</v>
      </c>
      <c r="AE132" s="40" t="n">
        <v>-161</v>
      </c>
      <c r="AF132" s="40" t="n">
        <f aca="false">SUM(J132:M132)</f>
        <v>-328</v>
      </c>
      <c r="AG132" s="40" t="n">
        <f aca="false">SUM(N132:Q132)</f>
        <v>-771</v>
      </c>
    </row>
    <row r="133" s="40" customFormat="true" ht="12.8" hidden="false" customHeight="true" outlineLevel="0" collapsed="false">
      <c r="A133" s="39" t="s">
        <v>173</v>
      </c>
      <c r="B133" s="40" t="n">
        <v>14</v>
      </c>
      <c r="C133" s="40" t="n">
        <v>14</v>
      </c>
      <c r="D133" s="40" t="n">
        <v>18</v>
      </c>
      <c r="E133" s="40" t="n">
        <v>86</v>
      </c>
      <c r="F133" s="40" t="n">
        <v>77</v>
      </c>
      <c r="G133" s="40" t="n">
        <v>27</v>
      </c>
      <c r="H133" s="40" t="n">
        <v>14</v>
      </c>
      <c r="I133" s="40" t="n">
        <v>102</v>
      </c>
      <c r="J133" s="40" t="n">
        <v>53</v>
      </c>
      <c r="K133" s="40" t="n">
        <v>72</v>
      </c>
      <c r="L133" s="40" t="n">
        <v>122</v>
      </c>
      <c r="M133" s="40" t="n">
        <v>105</v>
      </c>
      <c r="N133" s="40" t="n">
        <v>252</v>
      </c>
      <c r="O133" s="40" t="n">
        <v>447</v>
      </c>
      <c r="P133" s="40" t="n">
        <v>17</v>
      </c>
      <c r="Q133" s="40" t="n">
        <v>29</v>
      </c>
      <c r="R133" s="40" t="n">
        <v>26</v>
      </c>
      <c r="S133" s="40" t="n">
        <v>21</v>
      </c>
      <c r="AA133" s="40" t="n">
        <v>333</v>
      </c>
      <c r="AB133" s="40" t="n">
        <v>510</v>
      </c>
      <c r="AC133" s="40" t="n">
        <v>91</v>
      </c>
      <c r="AD133" s="40" t="n">
        <v>132</v>
      </c>
      <c r="AE133" s="40" t="n">
        <v>220</v>
      </c>
      <c r="AF133" s="40" t="n">
        <f aca="false">SUM(J133:M133)</f>
        <v>352</v>
      </c>
      <c r="AG133" s="40" t="n">
        <f aca="false">SUM(N133:Q133)</f>
        <v>745</v>
      </c>
    </row>
    <row r="134" s="40" customFormat="true" ht="12.8" hidden="false" customHeight="true" outlineLevel="0" collapsed="false">
      <c r="A134" s="39" t="s">
        <v>174</v>
      </c>
      <c r="B134" s="40" t="n">
        <v>24</v>
      </c>
      <c r="C134" s="40" t="n">
        <v>35</v>
      </c>
      <c r="D134" s="40" t="n">
        <v>22</v>
      </c>
      <c r="E134" s="40" t="n">
        <v>-21</v>
      </c>
      <c r="F134" s="40" t="n">
        <v>19</v>
      </c>
      <c r="G134" s="40" t="n">
        <v>61</v>
      </c>
      <c r="H134" s="40" t="n">
        <v>8</v>
      </c>
      <c r="I134" s="40" t="n">
        <v>-61</v>
      </c>
      <c r="J134" s="40" t="n">
        <v>-23</v>
      </c>
      <c r="K134" s="40" t="n">
        <v>-4</v>
      </c>
      <c r="L134" s="40" t="n">
        <v>98</v>
      </c>
      <c r="M134" s="40" t="n">
        <v>132</v>
      </c>
      <c r="N134" s="40" t="n">
        <v>103</v>
      </c>
      <c r="O134" s="40" t="n">
        <v>134</v>
      </c>
      <c r="P134" s="40" t="n">
        <v>-72</v>
      </c>
      <c r="Q134" s="40" t="n">
        <v>-153</v>
      </c>
      <c r="R134" s="40" t="n">
        <v>216</v>
      </c>
      <c r="S134" s="40" t="n">
        <v>175</v>
      </c>
      <c r="AA134" s="40" t="n">
        <v>55</v>
      </c>
      <c r="AB134" s="40" t="n">
        <v>-128</v>
      </c>
      <c r="AC134" s="40" t="n">
        <v>283</v>
      </c>
      <c r="AD134" s="40" t="n">
        <v>60</v>
      </c>
      <c r="AE134" s="40" t="n">
        <v>27</v>
      </c>
      <c r="AF134" s="40" t="n">
        <f aca="false">SUM(J134:M134)</f>
        <v>203</v>
      </c>
      <c r="AG134" s="40" t="n">
        <f aca="false">SUM(N134:Q134)</f>
        <v>12</v>
      </c>
    </row>
    <row r="135" s="40" customFormat="true" ht="12.8" hidden="false" customHeight="true" outlineLevel="0" collapsed="false">
      <c r="A135" s="39" t="s">
        <v>147</v>
      </c>
      <c r="B135" s="40" t="n">
        <v>4</v>
      </c>
      <c r="C135" s="40" t="n">
        <v>-5</v>
      </c>
      <c r="D135" s="40" t="n">
        <v>5</v>
      </c>
      <c r="E135" s="40" t="n">
        <v>3</v>
      </c>
      <c r="F135" s="40" t="n">
        <v>-5</v>
      </c>
      <c r="G135" s="40" t="n">
        <v>2</v>
      </c>
      <c r="H135" s="40" t="n">
        <v>-1</v>
      </c>
      <c r="I135" s="40" t="n">
        <v>5</v>
      </c>
      <c r="J135" s="40" t="n">
        <v>0</v>
      </c>
      <c r="K135" s="40" t="n">
        <v>-1</v>
      </c>
      <c r="L135" s="40" t="n">
        <v>0</v>
      </c>
      <c r="M135" s="40" t="n">
        <v>3</v>
      </c>
      <c r="N135" s="40" t="n">
        <v>0</v>
      </c>
      <c r="O135" s="40" t="n">
        <v>8</v>
      </c>
      <c r="P135" s="40" t="n">
        <v>1</v>
      </c>
      <c r="Q135" s="40" t="n">
        <v>1</v>
      </c>
      <c r="R135" s="40" t="n">
        <v>-2</v>
      </c>
      <c r="S135" s="40" t="n">
        <v>1</v>
      </c>
      <c r="AA135" s="40" t="n">
        <v>13</v>
      </c>
      <c r="AB135" s="40" t="n">
        <v>7</v>
      </c>
      <c r="AC135" s="40" t="n">
        <v>6</v>
      </c>
      <c r="AD135" s="40" t="n">
        <v>7</v>
      </c>
      <c r="AE135" s="40" t="n">
        <v>1</v>
      </c>
      <c r="AF135" s="40" t="n">
        <f aca="false">SUM(J135:M135)</f>
        <v>2</v>
      </c>
      <c r="AG135" s="40" t="n">
        <f aca="false">SUM(N135:Q135)</f>
        <v>10</v>
      </c>
    </row>
    <row r="136" s="40" customFormat="true" ht="12.8" hidden="false" customHeight="true" outlineLevel="0" collapsed="false">
      <c r="A136" s="39" t="s">
        <v>175</v>
      </c>
      <c r="B136" s="40" t="n">
        <f aca="false">+59-103+6-3</f>
        <v>-41</v>
      </c>
      <c r="C136" s="40" t="n">
        <f aca="false">+-68+138+10+14</f>
        <v>94</v>
      </c>
      <c r="D136" s="40" t="n">
        <f aca="false">+-6+117+20-12</f>
        <v>119</v>
      </c>
      <c r="E136" s="40" t="n">
        <f aca="false">+-69+74+16-2</f>
        <v>19</v>
      </c>
      <c r="F136" s="40" t="n">
        <f aca="false">+118-57+6+1</f>
        <v>68</v>
      </c>
      <c r="G136" s="40" t="n">
        <f aca="false">+-97+77+18-2</f>
        <v>-4</v>
      </c>
      <c r="H136" s="40" t="n">
        <f aca="false">-69+62+56-2</f>
        <v>47</v>
      </c>
      <c r="I136" s="40" t="n">
        <f aca="false">+-97+419+33-2</f>
        <v>353</v>
      </c>
      <c r="J136" s="40" t="n">
        <f aca="false">+80-171+7</f>
        <v>-84</v>
      </c>
      <c r="K136" s="40" t="n">
        <f aca="false">+40+28+21+4</f>
        <v>93</v>
      </c>
      <c r="L136" s="40" t="n">
        <f aca="false">-4+86+33+0</f>
        <v>115</v>
      </c>
      <c r="M136" s="40" t="n">
        <f aca="false">+29+240-16-1</f>
        <v>252</v>
      </c>
      <c r="N136" s="40" t="n">
        <f aca="false">-4-90+3+12</f>
        <v>-79</v>
      </c>
      <c r="O136" s="40" t="n">
        <f aca="false">-19+201+12+8</f>
        <v>202</v>
      </c>
      <c r="P136" s="40" t="n">
        <f aca="false">+-26+100+25+2</f>
        <v>101</v>
      </c>
      <c r="Q136" s="40" t="n">
        <f aca="false">-66+70+20+0</f>
        <v>24</v>
      </c>
      <c r="R136" s="40" t="n">
        <f aca="false">+91-94+35-3</f>
        <v>29</v>
      </c>
      <c r="S136" s="40" t="n">
        <f aca="false">-80+150+25-6</f>
        <v>89</v>
      </c>
      <c r="AA136" s="40" t="n">
        <f aca="false">+-27+454+59-35</f>
        <v>451</v>
      </c>
      <c r="AB136" s="40" t="n">
        <f aca="false">+-187+425+73+6</f>
        <v>317</v>
      </c>
      <c r="AC136" s="40" t="n">
        <f aca="false">+-245+137+67+5</f>
        <v>-36</v>
      </c>
      <c r="AD136" s="40" t="n">
        <f aca="false">+-84+226+52-3</f>
        <v>191</v>
      </c>
      <c r="AE136" s="40" t="n">
        <f aca="false">-145+501+113-5</f>
        <v>464</v>
      </c>
      <c r="AF136" s="40" t="n">
        <f aca="false">SUM(J136:M136)</f>
        <v>376</v>
      </c>
      <c r="AG136" s="40" t="n">
        <f aca="false">SUM(N136:Q136)</f>
        <v>248</v>
      </c>
    </row>
    <row r="137" s="41" customFormat="true" ht="12.8" hidden="false" customHeight="true" outlineLevel="0" collapsed="false">
      <c r="A137" s="39" t="s">
        <v>176</v>
      </c>
      <c r="B137" s="40" t="n">
        <v>-13</v>
      </c>
      <c r="C137" s="40" t="n">
        <v>-13</v>
      </c>
      <c r="D137" s="40" t="n">
        <v>-14</v>
      </c>
      <c r="E137" s="40" t="n">
        <v>-13</v>
      </c>
      <c r="F137" s="40" t="n">
        <v>-10</v>
      </c>
      <c r="G137" s="40" t="n">
        <v>-10</v>
      </c>
      <c r="H137" s="40" t="n">
        <v>-9</v>
      </c>
      <c r="I137" s="40" t="n">
        <v>-9</v>
      </c>
      <c r="J137" s="40" t="n">
        <v>-9</v>
      </c>
      <c r="K137" s="40" t="n">
        <v>-9</v>
      </c>
      <c r="L137" s="40" t="n">
        <v>-9</v>
      </c>
      <c r="M137" s="40" t="n">
        <v>-9</v>
      </c>
      <c r="N137" s="40" t="n">
        <v>-13</v>
      </c>
      <c r="O137" s="40" t="n">
        <v>-6</v>
      </c>
      <c r="P137" s="40" t="n">
        <v>-11</v>
      </c>
      <c r="Q137" s="40" t="n">
        <v>-6</v>
      </c>
      <c r="R137" s="40" t="n">
        <v>-8</v>
      </c>
      <c r="S137" s="40" t="n">
        <v>-7</v>
      </c>
      <c r="T137" s="40"/>
      <c r="U137" s="40"/>
      <c r="V137" s="40"/>
      <c r="W137" s="40"/>
      <c r="X137" s="40"/>
      <c r="Y137" s="40"/>
      <c r="Z137" s="40"/>
      <c r="AA137" s="40" t="n">
        <v>-37</v>
      </c>
      <c r="AB137" s="40" t="n">
        <v>-55</v>
      </c>
      <c r="AC137" s="40" t="n">
        <v>-50</v>
      </c>
      <c r="AD137" s="40" t="n">
        <v>-53</v>
      </c>
      <c r="AE137" s="40" t="n">
        <v>-38</v>
      </c>
      <c r="AF137" s="40" t="n">
        <f aca="false">SUM(J137:M137)</f>
        <v>-36</v>
      </c>
      <c r="AG137" s="40" t="n">
        <f aca="false">SUM(N137:Q137)</f>
        <v>-36</v>
      </c>
      <c r="AH137" s="40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40"/>
      <c r="BA137" s="40"/>
      <c r="BB137" s="40"/>
      <c r="BC137" s="40"/>
      <c r="BD137" s="40"/>
      <c r="BE137" s="40"/>
      <c r="BF137" s="40"/>
      <c r="BG137" s="40"/>
      <c r="BH137" s="40"/>
      <c r="BI137" s="40"/>
      <c r="BJ137" s="40"/>
      <c r="BK137" s="40"/>
      <c r="BL137" s="40"/>
      <c r="BM137" s="40"/>
      <c r="BN137" s="40"/>
      <c r="BO137" s="40"/>
      <c r="BP137" s="40"/>
      <c r="BQ137" s="40"/>
      <c r="BR137" s="40"/>
      <c r="BS137" s="40"/>
      <c r="BT137" s="40"/>
      <c r="BU137" s="40"/>
      <c r="BV137" s="40"/>
      <c r="BW137" s="40"/>
      <c r="BX137" s="40"/>
      <c r="BY137" s="40"/>
      <c r="BZ137" s="40"/>
      <c r="CA137" s="40"/>
      <c r="CB137" s="40"/>
      <c r="CC137" s="40"/>
      <c r="CD137" s="40"/>
      <c r="CE137" s="40"/>
      <c r="CF137" s="40"/>
      <c r="CG137" s="40"/>
      <c r="CH137" s="40"/>
      <c r="CI137" s="40"/>
      <c r="CJ137" s="40"/>
      <c r="CK137" s="40"/>
      <c r="CL137" s="40"/>
      <c r="CM137" s="40"/>
      <c r="CN137" s="40"/>
      <c r="CO137" s="40"/>
      <c r="CP137" s="40"/>
      <c r="CQ137" s="40"/>
      <c r="CR137" s="40"/>
      <c r="CS137" s="40"/>
      <c r="CT137" s="40"/>
      <c r="CU137" s="40"/>
      <c r="CV137" s="40"/>
      <c r="CW137" s="40"/>
      <c r="CX137" s="40"/>
      <c r="CY137" s="40"/>
      <c r="CZ137" s="40"/>
      <c r="DA137" s="40"/>
      <c r="DB137" s="40"/>
      <c r="DC137" s="40"/>
      <c r="DD137" s="40"/>
      <c r="DE137" s="40"/>
      <c r="DF137" s="40"/>
      <c r="DG137" s="40"/>
    </row>
    <row r="138" s="40" customFormat="true" ht="12.8" hidden="false" customHeight="true" outlineLevel="0" collapsed="false">
      <c r="A138" s="39" t="s">
        <v>177</v>
      </c>
      <c r="B138" s="40" t="n">
        <v>1</v>
      </c>
      <c r="C138" s="40" t="n">
        <v>4</v>
      </c>
      <c r="D138" s="40" t="n">
        <v>12</v>
      </c>
      <c r="E138" s="40" t="n">
        <v>20</v>
      </c>
      <c r="F138" s="40" t="n">
        <v>23</v>
      </c>
      <c r="G138" s="40" t="n">
        <v>26</v>
      </c>
      <c r="H138" s="40" t="n">
        <v>28</v>
      </c>
      <c r="I138" s="40" t="n">
        <v>34</v>
      </c>
      <c r="J138" s="40" t="n">
        <v>37</v>
      </c>
      <c r="K138" s="40" t="n">
        <v>41</v>
      </c>
      <c r="L138" s="40" t="n">
        <v>77</v>
      </c>
      <c r="M138" s="40" t="n">
        <v>61</v>
      </c>
      <c r="N138" s="40" t="n">
        <v>70</v>
      </c>
      <c r="O138" s="40" t="n">
        <v>57</v>
      </c>
      <c r="P138" s="40" t="n">
        <v>57</v>
      </c>
      <c r="Q138" s="40" t="n">
        <v>58</v>
      </c>
      <c r="R138" s="40" t="n">
        <v>52</v>
      </c>
      <c r="S138" s="40" t="n">
        <v>48</v>
      </c>
      <c r="AA138" s="40" t="n">
        <v>14</v>
      </c>
      <c r="AB138" s="40" t="n">
        <v>4</v>
      </c>
      <c r="AC138" s="40" t="n">
        <v>3</v>
      </c>
      <c r="AD138" s="40" t="n">
        <v>37</v>
      </c>
      <c r="AE138" s="40" t="n">
        <v>111</v>
      </c>
      <c r="AF138" s="40" t="n">
        <f aca="false">SUM(J138:M138)</f>
        <v>216</v>
      </c>
      <c r="AG138" s="40" t="n">
        <f aca="false">SUM(N138:Q138)</f>
        <v>242</v>
      </c>
    </row>
    <row r="139" s="40" customFormat="true" ht="12.8" hidden="false" customHeight="true" outlineLevel="0" collapsed="false">
      <c r="A139" s="39" t="s">
        <v>174</v>
      </c>
      <c r="B139" s="40" t="n">
        <v>-13</v>
      </c>
      <c r="C139" s="40" t="n">
        <v>-8</v>
      </c>
      <c r="D139" s="40" t="n">
        <v>-4</v>
      </c>
      <c r="E139" s="40" t="n">
        <v>-18</v>
      </c>
      <c r="F139" s="40" t="n">
        <v>-10</v>
      </c>
      <c r="G139" s="40" t="n">
        <v>-15</v>
      </c>
      <c r="H139" s="40" t="n">
        <v>-7</v>
      </c>
      <c r="I139" s="40" t="n">
        <v>-11</v>
      </c>
      <c r="J139" s="40" t="n">
        <v>-5</v>
      </c>
      <c r="K139" s="40" t="n">
        <v>-23</v>
      </c>
      <c r="L139" s="40" t="n">
        <v>-15</v>
      </c>
      <c r="M139" s="40" t="n">
        <v>-10</v>
      </c>
      <c r="N139" s="40" t="n">
        <v>-19</v>
      </c>
      <c r="O139" s="40" t="n">
        <v>-58</v>
      </c>
      <c r="P139" s="40" t="n">
        <v>-5</v>
      </c>
      <c r="Q139" s="40" t="n">
        <v>-4</v>
      </c>
      <c r="R139" s="40" t="n">
        <v>-36</v>
      </c>
      <c r="S139" s="40" t="n">
        <v>-85</v>
      </c>
      <c r="AA139" s="40" t="n">
        <v>-4</v>
      </c>
      <c r="AB139" s="40" t="n">
        <v>-8</v>
      </c>
      <c r="AC139" s="40" t="n">
        <v>-6</v>
      </c>
      <c r="AD139" s="40" t="n">
        <v>-43</v>
      </c>
      <c r="AE139" s="40" t="n">
        <v>-43</v>
      </c>
      <c r="AF139" s="40" t="n">
        <f aca="false">SUM(J139:M139)</f>
        <v>-53</v>
      </c>
      <c r="AG139" s="40" t="n">
        <f aca="false">SUM(N139:Q139)</f>
        <v>-86</v>
      </c>
    </row>
    <row r="140" s="87" customFormat="true" ht="12.8" hidden="false" customHeight="true" outlineLevel="0" collapsed="false">
      <c r="A140" s="39" t="s">
        <v>178</v>
      </c>
      <c r="B140" s="40" t="n">
        <f aca="false">SUM(B127:B139)-B129</f>
        <v>37</v>
      </c>
      <c r="C140" s="40" t="n">
        <f aca="false">SUM(C127:C139)-C129</f>
        <v>39</v>
      </c>
      <c r="D140" s="40" t="n">
        <f aca="false">SUM(D127:D139)-D129</f>
        <v>40</v>
      </c>
      <c r="E140" s="40" t="n">
        <f aca="false">SUM(E127:E139)-E129</f>
        <v>-70</v>
      </c>
      <c r="F140" s="40" t="n">
        <f aca="false">SUM(F127:F139)-F129</f>
        <v>59</v>
      </c>
      <c r="G140" s="40" t="n">
        <f aca="false">SUM(G127:G139)-G129</f>
        <v>13</v>
      </c>
      <c r="H140" s="40" t="n">
        <f aca="false">SUM(H127:H139)-H129</f>
        <v>211</v>
      </c>
      <c r="I140" s="40" t="n">
        <f aca="false">SUM(I127:I139)-I129</f>
        <v>397</v>
      </c>
      <c r="J140" s="40" t="n">
        <f aca="false">SUM(J127:J139)-J129</f>
        <v>211</v>
      </c>
      <c r="K140" s="40" t="n">
        <f aca="false">SUM(K127:K139)-K129</f>
        <v>492</v>
      </c>
      <c r="L140" s="40" t="n">
        <f aca="false">SUM(L127:L139)-L129</f>
        <v>715</v>
      </c>
      <c r="M140" s="40" t="n">
        <f aca="false">SUM(M127:M139)-M129</f>
        <v>883</v>
      </c>
      <c r="N140" s="40" t="n">
        <f aca="false">SUM(N127:N139)-N129</f>
        <v>539</v>
      </c>
      <c r="O140" s="40" t="n">
        <f aca="false">SUM(O127:O139)-O129</f>
        <v>709</v>
      </c>
      <c r="P140" s="40" t="n">
        <f aca="false">SUM(P127:P139)-P129</f>
        <v>829</v>
      </c>
      <c r="Q140" s="40" t="n">
        <f aca="false">SUM(Q127:Q139)-Q129</f>
        <v>856</v>
      </c>
      <c r="R140" s="40" t="n">
        <f aca="false">SUM(R127:R139)-R129</f>
        <v>836</v>
      </c>
      <c r="S140" s="40" t="n">
        <f aca="false">SUM(S127:S139)-S129</f>
        <v>816</v>
      </c>
      <c r="T140" s="40"/>
      <c r="U140" s="40"/>
      <c r="V140" s="40"/>
      <c r="W140" s="40"/>
      <c r="X140" s="40"/>
      <c r="Y140" s="40"/>
      <c r="Z140" s="40"/>
      <c r="AA140" s="40" t="n">
        <f aca="false">SUM(AA127:AA139)-AA129</f>
        <v>573</v>
      </c>
      <c r="AB140" s="40" t="n">
        <f aca="false">SUM(AB127:AB139)-AB129</f>
        <v>259</v>
      </c>
      <c r="AC140" s="40" t="n">
        <f aca="false">SUM(AC127:AC139)-AC129</f>
        <v>361</v>
      </c>
      <c r="AD140" s="40" t="n">
        <f aca="false">SUM(AD127:AD139)-AD129</f>
        <v>46</v>
      </c>
      <c r="AE140" s="40" t="n">
        <f aca="false">SUM(AE127:AE139)-AE129</f>
        <v>680</v>
      </c>
      <c r="AF140" s="40" t="n">
        <f aca="false">SUM(AF127:AF139)-AF129</f>
        <v>2301</v>
      </c>
      <c r="AG140" s="40" t="n">
        <f aca="false">SUM(AG127:AG139)-AG129</f>
        <v>2933</v>
      </c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1"/>
      <c r="AZ140" s="41"/>
      <c r="BA140" s="40"/>
      <c r="BB140" s="40"/>
      <c r="BC140" s="40"/>
      <c r="BD140" s="40"/>
      <c r="BE140" s="40"/>
      <c r="BF140" s="40"/>
      <c r="BG140" s="40"/>
      <c r="BH140" s="40"/>
      <c r="BI140" s="40"/>
      <c r="BJ140" s="40"/>
      <c r="BK140" s="40"/>
      <c r="BL140" s="40"/>
      <c r="BM140" s="40"/>
      <c r="BN140" s="40"/>
      <c r="BO140" s="40"/>
      <c r="BP140" s="40"/>
      <c r="BQ140" s="40"/>
      <c r="BR140" s="40"/>
      <c r="BS140" s="40"/>
      <c r="BT140" s="40"/>
      <c r="BU140" s="40"/>
      <c r="BV140" s="40"/>
      <c r="BW140" s="40"/>
      <c r="BX140" s="40"/>
      <c r="BY140" s="40"/>
      <c r="BZ140" s="40"/>
      <c r="CA140" s="40"/>
      <c r="CB140" s="40"/>
      <c r="CC140" s="40"/>
      <c r="CD140" s="40"/>
      <c r="CE140" s="40"/>
      <c r="CF140" s="40"/>
      <c r="CG140" s="40"/>
      <c r="CH140" s="40"/>
      <c r="CI140" s="40"/>
      <c r="CJ140" s="40"/>
      <c r="CK140" s="40"/>
      <c r="CL140" s="40"/>
      <c r="CM140" s="40"/>
      <c r="CN140" s="40"/>
      <c r="CO140" s="40"/>
      <c r="CP140" s="40"/>
      <c r="CQ140" s="40"/>
      <c r="CR140" s="40"/>
      <c r="CS140" s="40"/>
      <c r="CT140" s="40"/>
      <c r="CU140" s="40"/>
      <c r="CV140" s="40"/>
      <c r="CW140" s="40"/>
      <c r="CX140" s="40"/>
      <c r="CY140" s="40"/>
      <c r="CZ140" s="40"/>
      <c r="DA140" s="40"/>
      <c r="DB140" s="40"/>
      <c r="DC140" s="40"/>
      <c r="DD140" s="40"/>
      <c r="DE140" s="40"/>
      <c r="DF140" s="40"/>
      <c r="DG140" s="40"/>
    </row>
    <row r="141" s="40" customFormat="true" ht="12.8" hidden="false" customHeight="true" outlineLevel="0" collapsed="false">
      <c r="A141" s="39"/>
      <c r="AU141" s="87"/>
      <c r="AV141" s="87"/>
      <c r="BO141" s="41"/>
      <c r="BP141" s="41"/>
      <c r="BQ141" s="41"/>
      <c r="BR141" s="41"/>
      <c r="BS141" s="41"/>
      <c r="BT141" s="41"/>
      <c r="BU141" s="41"/>
      <c r="BV141" s="41"/>
      <c r="BW141" s="41"/>
      <c r="BX141" s="41"/>
      <c r="BY141" s="41"/>
      <c r="BZ141" s="41"/>
      <c r="CA141" s="41"/>
      <c r="CB141" s="41"/>
      <c r="CC141" s="41"/>
      <c r="CD141" s="41"/>
      <c r="CE141" s="41"/>
      <c r="CF141" s="41"/>
      <c r="CG141" s="41"/>
      <c r="CH141" s="41"/>
      <c r="CI141" s="41"/>
      <c r="CJ141" s="41"/>
      <c r="CK141" s="41"/>
      <c r="CL141" s="41"/>
      <c r="CM141" s="41"/>
      <c r="CN141" s="41"/>
      <c r="CO141" s="41"/>
      <c r="CP141" s="41"/>
      <c r="CQ141" s="41"/>
      <c r="CR141" s="41"/>
      <c r="CS141" s="41"/>
      <c r="CT141" s="41"/>
      <c r="CU141" s="41"/>
      <c r="CV141" s="41"/>
      <c r="CW141" s="41"/>
      <c r="CX141" s="41"/>
      <c r="CY141" s="41"/>
      <c r="CZ141" s="41"/>
      <c r="DA141" s="41"/>
      <c r="DB141" s="41"/>
      <c r="DC141" s="41"/>
      <c r="DD141" s="41"/>
      <c r="DE141" s="41"/>
      <c r="DF141" s="41"/>
      <c r="DG141" s="41"/>
    </row>
    <row r="142" s="31" customFormat="true" ht="10.5" hidden="false" customHeight="true" outlineLevel="0" collapsed="false">
      <c r="A142" s="39" t="s">
        <v>179</v>
      </c>
      <c r="B142" s="40" t="n">
        <v>6</v>
      </c>
      <c r="C142" s="40" t="n">
        <v>5</v>
      </c>
      <c r="D142" s="40" t="n">
        <v>5</v>
      </c>
      <c r="E142" s="40" t="n">
        <f aca="false">+5-2</f>
        <v>3</v>
      </c>
      <c r="F142" s="40" t="n">
        <v>2</v>
      </c>
      <c r="G142" s="40" t="n">
        <v>4</v>
      </c>
      <c r="H142" s="40" t="n">
        <f aca="false">+1-6</f>
        <v>-5</v>
      </c>
      <c r="I142" s="40" t="n">
        <v>1</v>
      </c>
      <c r="J142" s="40" t="n">
        <f aca="false">+5-1</f>
        <v>4</v>
      </c>
      <c r="K142" s="40" t="n">
        <v>2</v>
      </c>
      <c r="L142" s="40" t="n">
        <v>4</v>
      </c>
      <c r="M142" s="40" t="n">
        <v>6</v>
      </c>
      <c r="N142" s="40" t="n">
        <f aca="false">+6-1</f>
        <v>5</v>
      </c>
      <c r="O142" s="40" t="n">
        <f aca="false">+10-1</f>
        <v>9</v>
      </c>
      <c r="P142" s="40" t="n">
        <v>23</v>
      </c>
      <c r="Q142" s="40" t="n">
        <v>22</v>
      </c>
      <c r="R142" s="40" t="n">
        <f aca="false">+13-1</f>
        <v>12</v>
      </c>
      <c r="S142" s="40" t="n">
        <f aca="false">+21-2</f>
        <v>19</v>
      </c>
      <c r="T142" s="40"/>
      <c r="U142" s="40"/>
      <c r="V142" s="40"/>
      <c r="W142" s="40"/>
      <c r="X142" s="40"/>
      <c r="Y142" s="40"/>
      <c r="Z142" s="40"/>
      <c r="AA142" s="40" t="n">
        <v>135</v>
      </c>
      <c r="AB142" s="40" t="n">
        <v>78</v>
      </c>
      <c r="AC142" s="40" t="n">
        <v>85</v>
      </c>
      <c r="AD142" s="40" t="n">
        <v>25</v>
      </c>
      <c r="AE142" s="40" t="n">
        <v>6</v>
      </c>
      <c r="AF142" s="40" t="n">
        <v>17</v>
      </c>
      <c r="AG142" s="40" t="n">
        <f aca="false">SUM(N142:Q142)</f>
        <v>59</v>
      </c>
      <c r="AH142" s="40" t="n">
        <f aca="false">+AG142*0.9</f>
        <v>53.1</v>
      </c>
      <c r="AI142" s="40" t="n">
        <f aca="false">+AH142*0.9</f>
        <v>47.79</v>
      </c>
      <c r="AJ142" s="40" t="n">
        <f aca="false">+AI142*0.9</f>
        <v>43.011</v>
      </c>
      <c r="AK142" s="40" t="n">
        <f aca="false">+AJ142*0.9</f>
        <v>38.7099</v>
      </c>
      <c r="AL142" s="40" t="n">
        <f aca="false">+AK142*0.9</f>
        <v>34.83891</v>
      </c>
      <c r="AM142" s="40" t="n">
        <f aca="false">+AL142*1.2</f>
        <v>41.806692</v>
      </c>
      <c r="AN142" s="40" t="n">
        <f aca="false">+AM142*1.2</f>
        <v>50.1680304</v>
      </c>
      <c r="AO142" s="40" t="n">
        <f aca="false">+AN142*1.2</f>
        <v>60.20163648</v>
      </c>
      <c r="AP142" s="40" t="n">
        <f aca="false">+AO142*1.2</f>
        <v>72.241963776</v>
      </c>
      <c r="AQ142" s="40" t="n">
        <f aca="false">+AP142*1.2</f>
        <v>86.6903565312</v>
      </c>
      <c r="AR142" s="87"/>
      <c r="AS142" s="87"/>
      <c r="AT142" s="87"/>
      <c r="AW142" s="87"/>
      <c r="AX142" s="87"/>
      <c r="AY142" s="87"/>
      <c r="AZ142" s="87"/>
      <c r="BA142" s="87"/>
      <c r="BB142" s="87"/>
      <c r="BC142" s="87"/>
      <c r="BD142" s="87"/>
      <c r="BE142" s="87"/>
      <c r="BF142" s="87"/>
      <c r="BG142" s="87"/>
      <c r="BH142" s="87"/>
      <c r="BI142" s="87"/>
      <c r="BJ142" s="87"/>
      <c r="BK142" s="87"/>
      <c r="BL142" s="87"/>
      <c r="BM142" s="87"/>
      <c r="BN142" s="87"/>
      <c r="BO142" s="88"/>
      <c r="BP142" s="88"/>
      <c r="BQ142" s="88"/>
      <c r="BR142" s="88"/>
      <c r="BS142" s="88"/>
      <c r="BT142" s="88"/>
      <c r="BU142" s="88"/>
      <c r="BV142" s="88"/>
      <c r="BW142" s="88"/>
      <c r="BX142" s="88"/>
      <c r="BY142" s="88"/>
      <c r="BZ142" s="88"/>
      <c r="CA142" s="88"/>
      <c r="CB142" s="88"/>
      <c r="CC142" s="88"/>
      <c r="CD142" s="88"/>
      <c r="CE142" s="88"/>
      <c r="CF142" s="88"/>
      <c r="CG142" s="88"/>
      <c r="CH142" s="88"/>
      <c r="CI142" s="88"/>
      <c r="CJ142" s="88"/>
      <c r="CK142" s="88"/>
      <c r="CL142" s="88"/>
      <c r="CM142" s="88"/>
      <c r="CN142" s="88"/>
      <c r="CO142" s="88"/>
      <c r="CP142" s="88"/>
      <c r="CQ142" s="88"/>
      <c r="CR142" s="88"/>
      <c r="CS142" s="88"/>
      <c r="CT142" s="88"/>
      <c r="CU142" s="88"/>
      <c r="CV142" s="88"/>
      <c r="CW142" s="88"/>
      <c r="CX142" s="88"/>
      <c r="CY142" s="88"/>
      <c r="CZ142" s="88"/>
      <c r="DA142" s="88"/>
      <c r="DB142" s="88"/>
      <c r="DC142" s="88"/>
      <c r="DD142" s="88"/>
      <c r="DE142" s="88"/>
      <c r="DF142" s="88"/>
      <c r="DG142" s="88"/>
    </row>
    <row r="143" s="32" customFormat="true" ht="10.5" hidden="false" customHeight="true" outlineLevel="0" collapsed="false">
      <c r="A143" s="29"/>
      <c r="B143" s="31"/>
      <c r="C143" s="31"/>
      <c r="D143" s="31"/>
      <c r="E143" s="31"/>
      <c r="F143" s="31" t="n">
        <f aca="false">+F142/B142-1</f>
        <v>-0.666666666666667</v>
      </c>
      <c r="G143" s="31" t="n">
        <f aca="false">+G142/C142-1</f>
        <v>-0.2</v>
      </c>
      <c r="H143" s="31" t="n">
        <f aca="false">+H142/D142-1</f>
        <v>-2</v>
      </c>
      <c r="I143" s="31" t="n">
        <f aca="false">+I142/E142-1</f>
        <v>-0.666666666666667</v>
      </c>
      <c r="J143" s="31" t="n">
        <f aca="false">+J142/F142-1</f>
        <v>1</v>
      </c>
      <c r="K143" s="31" t="n">
        <f aca="false">+K142/G142-1</f>
        <v>-0.5</v>
      </c>
      <c r="L143" s="31" t="n">
        <f aca="false">+L142/H142-1</f>
        <v>-1.8</v>
      </c>
      <c r="M143" s="31" t="n">
        <f aca="false">+M142/I142-1</f>
        <v>5</v>
      </c>
      <c r="N143" s="31" t="n">
        <f aca="false">+N142/J142-1</f>
        <v>0.25</v>
      </c>
      <c r="O143" s="31" t="n">
        <f aca="false">+O142/K142-1</f>
        <v>3.5</v>
      </c>
      <c r="P143" s="31" t="n">
        <f aca="false">+P142/L142-1</f>
        <v>4.75</v>
      </c>
      <c r="Q143" s="31" t="n">
        <f aca="false">+Q142/M142-1</f>
        <v>2.66666666666667</v>
      </c>
      <c r="R143" s="31" t="n">
        <f aca="false">+R142/N142-1</f>
        <v>1.4</v>
      </c>
      <c r="S143" s="31" t="n">
        <f aca="false">+S142/O142-1</f>
        <v>1.11111111111111</v>
      </c>
      <c r="T143" s="31"/>
      <c r="U143" s="31"/>
      <c r="V143" s="31"/>
      <c r="W143" s="31"/>
      <c r="X143" s="31"/>
      <c r="Y143" s="31"/>
      <c r="Z143" s="31"/>
      <c r="AA143" s="31" t="n">
        <f aca="false">+AA142/AA$28</f>
        <v>0.0199586043761088</v>
      </c>
      <c r="AB143" s="31" t="n">
        <f aca="false">+AB142/AB$28</f>
        <v>0.00989826064823361</v>
      </c>
      <c r="AC143" s="31" t="n">
        <f aca="false">+AC142/AC$28</f>
        <v>0.00879172190108202</v>
      </c>
      <c r="AD143" s="31" t="n">
        <f aca="false">+AD142/AD$28</f>
        <v>0.00213179403894143</v>
      </c>
      <c r="AE143" s="31" t="n">
        <f aca="false">+AE142/AE$28</f>
        <v>0.00045292835345926</v>
      </c>
      <c r="AF143" s="31" t="n">
        <f aca="false">+AF142/AF$28</f>
        <v>0.00108465441936105</v>
      </c>
      <c r="AG143" s="31" t="n">
        <f aca="false">+AG142/AG$28</f>
        <v>0.00343300415883447</v>
      </c>
      <c r="AH143" s="31" t="n">
        <f aca="false">+AH142/AH$28</f>
        <v>0.00268669890691394</v>
      </c>
      <c r="AI143" s="31" t="n">
        <f aca="false">+AI142/AI$28</f>
        <v>0.00210263392715003</v>
      </c>
      <c r="AJ143" s="31" t="n">
        <f aca="false">+AJ142/AJ$28</f>
        <v>0.00164553959516089</v>
      </c>
      <c r="AK143" s="31" t="n">
        <f aca="false">+AK142/AK$28</f>
        <v>0.00128781359621287</v>
      </c>
      <c r="AL143" s="31" t="n">
        <f aca="false">+AL142/AL$28</f>
        <v>0.00100785411877529</v>
      </c>
      <c r="AM143" s="31" t="n">
        <f aca="false">+AM142/AM$28</f>
        <v>0.00105167386306987</v>
      </c>
      <c r="AN143" s="31" t="n">
        <f aca="false">+AN142/AN$28</f>
        <v>0.00109739881363813</v>
      </c>
      <c r="AO143" s="31" t="n">
        <f aca="false">+AO142/AO$28</f>
        <v>0.00114511180553544</v>
      </c>
      <c r="AP143" s="31" t="n">
        <f aca="false">+AP142/AP$28</f>
        <v>0.00119489927534133</v>
      </c>
      <c r="AQ143" s="31" t="n">
        <f aca="false">+AQ142/AQ$28</f>
        <v>0.00124685141774747</v>
      </c>
      <c r="AR143" s="31"/>
      <c r="AS143" s="31"/>
      <c r="AT143" s="31"/>
      <c r="AU143" s="87"/>
      <c r="AV143" s="87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  <c r="BS143" s="31"/>
      <c r="BT143" s="31"/>
      <c r="BU143" s="31"/>
      <c r="BV143" s="31"/>
      <c r="BW143" s="31"/>
      <c r="BX143" s="31"/>
      <c r="BY143" s="31"/>
      <c r="BZ143" s="31"/>
      <c r="CA143" s="31"/>
      <c r="CB143" s="31"/>
      <c r="CC143" s="31"/>
      <c r="CD143" s="31"/>
      <c r="CE143" s="31"/>
      <c r="CF143" s="31"/>
      <c r="CG143" s="31"/>
      <c r="CH143" s="31"/>
      <c r="CI143" s="31"/>
      <c r="CJ143" s="31"/>
      <c r="CK143" s="31"/>
      <c r="CL143" s="31"/>
      <c r="CM143" s="31"/>
      <c r="CN143" s="31"/>
      <c r="CO143" s="31"/>
      <c r="CP143" s="31"/>
      <c r="CQ143" s="31"/>
      <c r="CR143" s="31"/>
      <c r="CS143" s="31"/>
      <c r="CT143" s="31"/>
      <c r="CU143" s="31"/>
      <c r="CV143" s="31"/>
      <c r="CW143" s="31"/>
      <c r="CX143" s="31"/>
      <c r="CY143" s="31"/>
      <c r="CZ143" s="31"/>
      <c r="DA143" s="31"/>
      <c r="DB143" s="31"/>
      <c r="DC143" s="31"/>
      <c r="DD143" s="31"/>
      <c r="DE143" s="31"/>
      <c r="DF143" s="31"/>
      <c r="DG143" s="31"/>
    </row>
    <row r="144" s="31" customFormat="true" ht="12.8" hidden="false" customHeight="true" outlineLevel="0" collapsed="false">
      <c r="A144" s="43" t="s">
        <v>180</v>
      </c>
      <c r="B144" s="41" t="n">
        <f aca="false">B140-B142</f>
        <v>31</v>
      </c>
      <c r="C144" s="41" t="n">
        <f aca="false">C140-C142</f>
        <v>34</v>
      </c>
      <c r="D144" s="41" t="n">
        <f aca="false">D140-D142</f>
        <v>35</v>
      </c>
      <c r="E144" s="41" t="n">
        <f aca="false">E140-E142</f>
        <v>-73</v>
      </c>
      <c r="F144" s="41" t="n">
        <f aca="false">F140-F142</f>
        <v>57</v>
      </c>
      <c r="G144" s="41" t="n">
        <f aca="false">G140-G142</f>
        <v>9</v>
      </c>
      <c r="H144" s="41" t="n">
        <f aca="false">H140-H142</f>
        <v>216</v>
      </c>
      <c r="I144" s="41" t="n">
        <f aca="false">I140-I142</f>
        <v>396</v>
      </c>
      <c r="J144" s="41" t="n">
        <f aca="false">J140-J142</f>
        <v>207</v>
      </c>
      <c r="K144" s="41" t="n">
        <f aca="false">K140-K142</f>
        <v>490</v>
      </c>
      <c r="L144" s="41" t="n">
        <f aca="false">L140-L142</f>
        <v>711</v>
      </c>
      <c r="M144" s="41" t="n">
        <f aca="false">M140-M142</f>
        <v>877</v>
      </c>
      <c r="N144" s="41" t="n">
        <f aca="false">N140-N142</f>
        <v>534</v>
      </c>
      <c r="O144" s="41" t="n">
        <f aca="false">O140-O142</f>
        <v>700</v>
      </c>
      <c r="P144" s="41" t="n">
        <f aca="false">P140-P142</f>
        <v>806</v>
      </c>
      <c r="Q144" s="41" t="n">
        <f aca="false">Q140-Q142</f>
        <v>834</v>
      </c>
      <c r="R144" s="41" t="n">
        <f aca="false">R140-R142</f>
        <v>824</v>
      </c>
      <c r="S144" s="41" t="n">
        <f aca="false">S140-S142</f>
        <v>797</v>
      </c>
      <c r="T144" s="41" t="n">
        <f aca="false">P144*1.2</f>
        <v>967.2</v>
      </c>
      <c r="U144" s="41" t="n">
        <f aca="false">Q144*1.2</f>
        <v>1000.8</v>
      </c>
      <c r="V144" s="41"/>
      <c r="W144" s="41"/>
      <c r="X144" s="41"/>
      <c r="Y144" s="41"/>
      <c r="Z144" s="41"/>
      <c r="AA144" s="41" t="n">
        <f aca="false">AA140-AA142</f>
        <v>438</v>
      </c>
      <c r="AB144" s="41" t="n">
        <f aca="false">AB140-AB142</f>
        <v>181</v>
      </c>
      <c r="AC144" s="41" t="n">
        <f aca="false">AC140-AC142</f>
        <v>276</v>
      </c>
      <c r="AD144" s="41" t="n">
        <f aca="false">AD140-AD142</f>
        <v>21</v>
      </c>
      <c r="AE144" s="41" t="n">
        <f aca="false">AE140-AE142</f>
        <v>674</v>
      </c>
      <c r="AF144" s="41" t="n">
        <f aca="false">AF140-AF142</f>
        <v>2284</v>
      </c>
      <c r="AG144" s="41" t="n">
        <f aca="false">AG140-AG142</f>
        <v>2874</v>
      </c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87"/>
      <c r="AS144" s="87"/>
      <c r="AT144" s="87"/>
      <c r="AU144" s="42"/>
      <c r="AV144" s="42"/>
      <c r="AW144" s="87"/>
      <c r="AX144" s="87"/>
      <c r="AY144" s="87"/>
      <c r="AZ144" s="87"/>
      <c r="BA144" s="87"/>
      <c r="BB144" s="87"/>
      <c r="BC144" s="87"/>
      <c r="BD144" s="87"/>
      <c r="BE144" s="87"/>
      <c r="BF144" s="87"/>
      <c r="BG144" s="87"/>
      <c r="BH144" s="87"/>
      <c r="BI144" s="87"/>
      <c r="BJ144" s="87"/>
      <c r="BK144" s="87"/>
      <c r="BL144" s="87"/>
      <c r="BM144" s="87"/>
      <c r="BN144" s="87"/>
      <c r="BO144" s="87"/>
      <c r="BP144" s="87"/>
      <c r="BQ144" s="87"/>
      <c r="BR144" s="87"/>
      <c r="BS144" s="87"/>
      <c r="BT144" s="87"/>
      <c r="BU144" s="87"/>
      <c r="BV144" s="87"/>
      <c r="BW144" s="87"/>
      <c r="BX144" s="87"/>
      <c r="BY144" s="87"/>
      <c r="BZ144" s="87"/>
      <c r="CA144" s="87"/>
      <c r="CB144" s="87"/>
      <c r="CC144" s="87"/>
      <c r="CD144" s="87"/>
      <c r="CE144" s="87"/>
      <c r="CF144" s="87"/>
      <c r="CG144" s="87"/>
      <c r="CH144" s="87"/>
      <c r="CI144" s="87"/>
      <c r="CJ144" s="87"/>
      <c r="CK144" s="87"/>
      <c r="CL144" s="87"/>
      <c r="CM144" s="87"/>
      <c r="CN144" s="87"/>
      <c r="CO144" s="87"/>
      <c r="CP144" s="87"/>
      <c r="CQ144" s="87"/>
      <c r="CR144" s="87"/>
      <c r="CS144" s="87"/>
      <c r="CT144" s="87"/>
      <c r="CU144" s="87"/>
      <c r="CV144" s="87"/>
      <c r="CW144" s="87"/>
      <c r="CX144" s="87"/>
      <c r="CY144" s="87"/>
      <c r="CZ144" s="87"/>
      <c r="DA144" s="87"/>
      <c r="DB144" s="87"/>
      <c r="DC144" s="87"/>
      <c r="DD144" s="87"/>
      <c r="DE144" s="87"/>
      <c r="DF144" s="87"/>
      <c r="DG144" s="87"/>
    </row>
    <row r="145" customFormat="false" ht="10.5" hidden="false" customHeight="true" outlineLevel="0" collapsed="false">
      <c r="A145" s="47"/>
      <c r="B145" s="42"/>
      <c r="C145" s="31"/>
      <c r="D145" s="31"/>
      <c r="E145" s="31"/>
      <c r="F145" s="31" t="n">
        <f aca="false">+F144/B144-1</f>
        <v>0.838709677419355</v>
      </c>
      <c r="G145" s="31" t="n">
        <f aca="false">+G144/C144-1</f>
        <v>-0.735294117647059</v>
      </c>
      <c r="H145" s="31" t="n">
        <f aca="false">+H144/D144-1</f>
        <v>5.17142857142857</v>
      </c>
      <c r="I145" s="31" t="n">
        <f aca="false">+I144/E144-1</f>
        <v>-6.42465753424658</v>
      </c>
      <c r="J145" s="31" t="n">
        <f aca="false">+J144/F144-1</f>
        <v>2.63157894736842</v>
      </c>
      <c r="K145" s="31" t="n">
        <f aca="false">+K144/G144-1</f>
        <v>53.4444444444444</v>
      </c>
      <c r="L145" s="31" t="n">
        <f aca="false">+L144/H144-1</f>
        <v>2.29166666666667</v>
      </c>
      <c r="M145" s="31" t="n">
        <f aca="false">+M144/I144-1</f>
        <v>1.21464646464646</v>
      </c>
      <c r="N145" s="31" t="n">
        <f aca="false">+N144/J144-1</f>
        <v>1.57971014492754</v>
      </c>
      <c r="O145" s="31" t="n">
        <f aca="false">+O144/K144-1</f>
        <v>0.428571428571429</v>
      </c>
      <c r="P145" s="31" t="n">
        <f aca="false">+P144/L144-1</f>
        <v>0.133614627285513</v>
      </c>
      <c r="Q145" s="31" t="n">
        <f aca="false">+Q144/M144-1</f>
        <v>-0.04903078677309</v>
      </c>
      <c r="R145" s="31" t="n">
        <f aca="false">+R144/N144-1</f>
        <v>0.543071161048689</v>
      </c>
      <c r="S145" s="31" t="n">
        <f aca="false">+S144/O144-1</f>
        <v>0.138571428571429</v>
      </c>
      <c r="T145" s="31" t="n">
        <f aca="false">+T144/P144-1</f>
        <v>0.2</v>
      </c>
      <c r="U145" s="31" t="n">
        <f aca="false">+U144/Q144-1</f>
        <v>0.2</v>
      </c>
      <c r="V145" s="42"/>
      <c r="W145" s="42"/>
      <c r="X145" s="42"/>
      <c r="Y145" s="42"/>
      <c r="Z145" s="42"/>
      <c r="AA145" s="42"/>
      <c r="AB145" s="31" t="n">
        <f aca="false">+AB144/AA144-1</f>
        <v>-0.58675799086758</v>
      </c>
      <c r="AC145" s="31" t="n">
        <f aca="false">+AC144/AB144-1</f>
        <v>0.524861878453039</v>
      </c>
      <c r="AD145" s="31" t="n">
        <f aca="false">+AD144/AC144-1</f>
        <v>-0.923913043478261</v>
      </c>
      <c r="AE145" s="31" t="n">
        <f aca="false">+AE144/AD144-1</f>
        <v>31.0952380952381</v>
      </c>
      <c r="AF145" s="31" t="n">
        <f aca="false">+AF144/AE144-1</f>
        <v>2.38872403560831</v>
      </c>
      <c r="AG145" s="31" t="n">
        <f aca="false">+AG144/AF144-1</f>
        <v>0.258318739054291</v>
      </c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42"/>
      <c r="AS145" s="42"/>
      <c r="AT145" s="42"/>
      <c r="AW145" s="42"/>
      <c r="AX145" s="42"/>
      <c r="AY145" s="31"/>
      <c r="AZ145" s="31"/>
      <c r="BA145" s="42"/>
      <c r="BB145" s="42"/>
      <c r="BC145" s="42"/>
      <c r="BD145" s="42"/>
      <c r="BE145" s="42"/>
      <c r="BF145" s="42"/>
      <c r="BG145" s="42"/>
      <c r="BH145" s="42"/>
      <c r="BI145" s="42"/>
      <c r="BJ145" s="42"/>
      <c r="BK145" s="42"/>
      <c r="BL145" s="42"/>
      <c r="BM145" s="42"/>
      <c r="BN145" s="42"/>
      <c r="BO145" s="31"/>
      <c r="BP145" s="31"/>
      <c r="BQ145" s="31"/>
      <c r="BR145" s="31"/>
      <c r="BS145" s="31"/>
      <c r="BT145" s="31"/>
      <c r="BU145" s="31"/>
      <c r="BV145" s="31"/>
      <c r="BW145" s="31"/>
      <c r="BX145" s="31"/>
      <c r="BY145" s="31"/>
      <c r="BZ145" s="31"/>
      <c r="CA145" s="31"/>
      <c r="CB145" s="31"/>
      <c r="CC145" s="31"/>
      <c r="CD145" s="31"/>
      <c r="CE145" s="31"/>
      <c r="CF145" s="31"/>
      <c r="CG145" s="31"/>
      <c r="CH145" s="31"/>
      <c r="CI145" s="31"/>
      <c r="CJ145" s="31"/>
      <c r="CK145" s="31"/>
      <c r="CL145" s="31"/>
      <c r="CM145" s="31"/>
      <c r="CN145" s="31"/>
      <c r="CO145" s="31"/>
      <c r="CP145" s="31"/>
      <c r="CQ145" s="31"/>
      <c r="CR145" s="31"/>
      <c r="CS145" s="31"/>
      <c r="CT145" s="31"/>
      <c r="CU145" s="31"/>
      <c r="CV145" s="31"/>
      <c r="CW145" s="31"/>
      <c r="CX145" s="31"/>
      <c r="CY145" s="31"/>
      <c r="CZ145" s="31"/>
      <c r="DA145" s="31"/>
      <c r="DB145" s="31"/>
      <c r="DC145" s="31"/>
      <c r="DD145" s="31"/>
      <c r="DE145" s="31"/>
      <c r="DF145" s="31"/>
      <c r="DG145" s="31"/>
    </row>
    <row r="146" s="40" customFormat="true" ht="12.8" hidden="false" customHeight="true" outlineLevel="0" collapsed="false">
      <c r="A146" s="2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3"/>
      <c r="AV146" s="13"/>
      <c r="AW146" s="1"/>
      <c r="AX146" s="1"/>
      <c r="AY146" s="13"/>
      <c r="AZ146" s="13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32"/>
      <c r="BP146" s="32"/>
      <c r="BQ146" s="32"/>
      <c r="BR146" s="32"/>
      <c r="BS146" s="32"/>
      <c r="BT146" s="32"/>
      <c r="BU146" s="32"/>
      <c r="BV146" s="32"/>
      <c r="BW146" s="32"/>
      <c r="BX146" s="32"/>
      <c r="BY146" s="32"/>
      <c r="BZ146" s="32"/>
      <c r="CA146" s="32"/>
      <c r="CB146" s="32"/>
      <c r="CC146" s="32"/>
      <c r="CD146" s="32"/>
      <c r="CE146" s="32"/>
      <c r="CF146" s="32"/>
      <c r="CG146" s="32"/>
      <c r="CH146" s="32"/>
      <c r="CI146" s="32"/>
      <c r="CJ146" s="32"/>
      <c r="CK146" s="32"/>
      <c r="CL146" s="32"/>
      <c r="CM146" s="32"/>
      <c r="CN146" s="32"/>
      <c r="CO146" s="32"/>
      <c r="CP146" s="32"/>
      <c r="CQ146" s="32"/>
      <c r="CR146" s="32"/>
      <c r="CS146" s="32"/>
      <c r="CT146" s="32"/>
      <c r="CU146" s="32"/>
      <c r="CV146" s="32"/>
      <c r="CW146" s="32"/>
      <c r="CX146" s="32"/>
      <c r="CY146" s="32"/>
      <c r="CZ146" s="32"/>
      <c r="DA146" s="32"/>
      <c r="DB146" s="32"/>
      <c r="DC146" s="32"/>
      <c r="DD146" s="32"/>
      <c r="DE146" s="32"/>
      <c r="DF146" s="32"/>
      <c r="DG146" s="32"/>
    </row>
    <row r="147" s="53" customFormat="true" ht="12.8" hidden="false" customHeight="true" outlineLevel="0" collapsed="false">
      <c r="A147" s="33" t="s">
        <v>181</v>
      </c>
      <c r="B147" s="32" t="n">
        <f aca="false">B144/B60</f>
        <v>0.157298923770912</v>
      </c>
      <c r="C147" s="32" t="n">
        <f aca="false">C144/C60</f>
        <v>0.173594269346826</v>
      </c>
      <c r="D147" s="32" t="n">
        <f aca="false">D144/D60</f>
        <v>0.17858236218544</v>
      </c>
      <c r="E147" s="32" t="n">
        <f aca="false">E144/E60</f>
        <v>-0.377792038420933</v>
      </c>
      <c r="F147" s="32" t="n">
        <f aca="false">F144/F60</f>
        <v>0.294479288290057</v>
      </c>
      <c r="G147" s="32" t="n">
        <f aca="false">G144/G60</f>
        <v>0.0462915337928197</v>
      </c>
      <c r="H147" s="32" t="n">
        <f aca="false">H144/H60</f>
        <v>1.09084297921338</v>
      </c>
      <c r="I147" s="32" t="n">
        <f aca="false">I144/I60</f>
        <v>2.02003713603624</v>
      </c>
      <c r="J147" s="32" t="n">
        <f aca="false">J144/J60</f>
        <v>1.0158362491596</v>
      </c>
      <c r="K147" s="32" t="n">
        <f aca="false">K144/K60</f>
        <v>2.37726750081264</v>
      </c>
      <c r="L147" s="32" t="n">
        <f aca="false">L144/L60</f>
        <v>3.42816639660093</v>
      </c>
      <c r="M147" s="32" t="n">
        <f aca="false">M144/M60</f>
        <v>4.19593133408608</v>
      </c>
      <c r="N147" s="32" t="n">
        <f aca="false">N144/N60</f>
        <v>2.53991809477605</v>
      </c>
      <c r="O147" s="32" t="n">
        <f aca="false">O144/O60</f>
        <v>3.40753651373742</v>
      </c>
      <c r="P147" s="32" t="n">
        <f aca="false">P144/P60</f>
        <v>3.77007236106629</v>
      </c>
      <c r="Q147" s="32" t="n">
        <f aca="false">Q144/Q60</f>
        <v>3.92489058308626</v>
      </c>
      <c r="R147" s="32" t="n">
        <f aca="false">R144/R60</f>
        <v>3.93730042121613</v>
      </c>
      <c r="S147" s="32" t="n">
        <f aca="false">S144/S60</f>
        <v>3.81598126057307</v>
      </c>
      <c r="T147" s="32"/>
      <c r="U147" s="32"/>
      <c r="V147" s="32"/>
      <c r="W147" s="32"/>
      <c r="X147" s="32"/>
      <c r="Y147" s="32"/>
      <c r="Z147" s="32"/>
      <c r="AA147" s="32" t="n">
        <f aca="false">AA144/AA60</f>
        <v>2.33496638821215</v>
      </c>
      <c r="AB147" s="32" t="n">
        <f aca="false">AB144/AB60</f>
        <v>0.96490620152146</v>
      </c>
      <c r="AC147" s="32" t="n">
        <f aca="false">AC144/AC60</f>
        <v>1.42309853926154</v>
      </c>
      <c r="AD147" s="32" t="n">
        <f aca="false">AD144/AD60</f>
        <v>0.107227107012653</v>
      </c>
      <c r="AE147" s="32" t="n">
        <f aca="false">AE144/AE60</f>
        <v>3.46116714253436</v>
      </c>
      <c r="AF147" s="32" t="n">
        <f aca="false">AF144/AF60</f>
        <v>11.0343494854824</v>
      </c>
      <c r="AG147" s="32" t="n">
        <f aca="false">AG144/AG60</f>
        <v>13.5253423690527</v>
      </c>
      <c r="AH147" s="32"/>
      <c r="AI147" s="32"/>
      <c r="AJ147" s="32"/>
      <c r="AK147" s="32"/>
      <c r="AL147" s="32"/>
      <c r="AM147" s="1"/>
      <c r="AN147" s="32"/>
      <c r="AO147" s="32"/>
      <c r="AP147" s="32"/>
      <c r="AQ147" s="32"/>
      <c r="AR147" s="13"/>
      <c r="AS147" s="13"/>
      <c r="AT147" s="13"/>
      <c r="AU147" s="32"/>
      <c r="AV147" s="32"/>
      <c r="AW147" s="13"/>
      <c r="AX147" s="13"/>
      <c r="AY147" s="1"/>
      <c r="AZ147" s="1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</row>
    <row r="148" customFormat="false" ht="12.8" hidden="false" customHeight="true" outlineLevel="0" collapsed="false">
      <c r="AR148" s="32"/>
      <c r="AS148" s="32"/>
      <c r="AT148" s="32"/>
      <c r="AW148" s="32"/>
      <c r="AX148" s="32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</row>
    <row r="149" s="40" customFormat="true" ht="12.8" hidden="false" customHeight="true" outlineLevel="0" collapsed="false">
      <c r="A149" s="39" t="s">
        <v>182</v>
      </c>
      <c r="B149" s="40" t="n">
        <f aca="false">+B127-B140</f>
        <v>94</v>
      </c>
      <c r="C149" s="40" t="n">
        <f aca="false">+C127-C140</f>
        <v>-164</v>
      </c>
      <c r="D149" s="40" t="n">
        <f aca="false">+D127-D140</f>
        <v>-206</v>
      </c>
      <c r="E149" s="40" t="n">
        <f aca="false">+E127-E140</f>
        <v>-200</v>
      </c>
      <c r="F149" s="40" t="n">
        <f aca="false">+F127-F140</f>
        <v>-284</v>
      </c>
      <c r="G149" s="40" t="n">
        <f aca="false">+G127-G140</f>
        <v>-315</v>
      </c>
      <c r="H149" s="40" t="n">
        <f aca="false">+H127-H140</f>
        <v>-146</v>
      </c>
      <c r="I149" s="40" t="n">
        <f aca="false">+I127-I140</f>
        <v>-467</v>
      </c>
      <c r="J149" s="40" t="n">
        <f aca="false">+J127-J140</f>
        <v>-14</v>
      </c>
      <c r="K149" s="40" t="n">
        <f aca="false">+K127-K140</f>
        <v>-218</v>
      </c>
      <c r="L149" s="40" t="n">
        <f aca="false">+L127-L140</f>
        <v>-415</v>
      </c>
      <c r="M149" s="40" t="n">
        <f aca="false">+M127-M140</f>
        <v>-516</v>
      </c>
      <c r="N149" s="40" t="n">
        <f aca="false">+N127-N140</f>
        <v>-314</v>
      </c>
      <c r="O149" s="40" t="n">
        <f aca="false">+O127-O140</f>
        <v>-795</v>
      </c>
      <c r="P149" s="40" t="n">
        <f aca="false">+P127-P140</f>
        <v>70</v>
      </c>
      <c r="Q149" s="40" t="n">
        <f aca="false">+Q127-Q140</f>
        <v>318</v>
      </c>
      <c r="R149" s="40" t="n">
        <f aca="false">+R127-R140</f>
        <v>-115</v>
      </c>
      <c r="S149" s="40" t="n">
        <f aca="false">+S127-S140</f>
        <v>-271</v>
      </c>
      <c r="AA149" s="40" t="n">
        <f aca="false">+AA127-AA140</f>
        <v>-759</v>
      </c>
      <c r="AB149" s="40" t="n">
        <f aca="false">+AB127-AB140</f>
        <v>-840</v>
      </c>
      <c r="AC149" s="40" t="n">
        <f aca="false">+AC127-AC140</f>
        <v>-395</v>
      </c>
      <c r="AD149" s="40" t="n">
        <f aca="false">+AD127-AD140</f>
        <v>-476</v>
      </c>
      <c r="AE149" s="40" t="n">
        <f aca="false">+AE127-AE140</f>
        <v>-1212</v>
      </c>
      <c r="AF149" s="40" t="n">
        <f aca="false">+AF127-AF140</f>
        <v>-1163</v>
      </c>
      <c r="AG149" s="40" t="n">
        <f aca="false">+AG127-AG140</f>
        <v>-721</v>
      </c>
      <c r="AR149" s="1"/>
      <c r="AS149" s="1"/>
      <c r="AT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</row>
    <row r="150" s="87" customFormat="true" ht="12.8" hidden="false" customHeight="true" outlineLevel="0" collapsed="false">
      <c r="A150" s="89" t="s">
        <v>183</v>
      </c>
      <c r="B150" s="53"/>
      <c r="C150" s="53" t="n">
        <f aca="false">+C149/((C103+B103)/2)</f>
        <v>-0.022735149372704</v>
      </c>
      <c r="D150" s="53" t="n">
        <f aca="false">+D149/((D103+C103)/2)</f>
        <v>-0.0274300932090546</v>
      </c>
      <c r="E150" s="53" t="n">
        <f aca="false">+E149/((E103+D103)/2)</f>
        <v>-0.0261985852763951</v>
      </c>
      <c r="F150" s="53" t="n">
        <f aca="false">+F149/((F103+E103)/2)</f>
        <v>-0.0374546653478404</v>
      </c>
      <c r="G150" s="53" t="n">
        <f aca="false">+G149/((G103+F103)/2)</f>
        <v>-0.0424499696785931</v>
      </c>
      <c r="H150" s="53" t="n">
        <f aca="false">+H149/((H103+G103)/2)</f>
        <v>-0.0195920558239399</v>
      </c>
      <c r="I150" s="53" t="n">
        <f aca="false">+I149/((I103+H103)/2)</f>
        <v>-0.0586020830719036</v>
      </c>
      <c r="J150" s="53" t="n">
        <f aca="false">+J149/((J103+I103)/2)</f>
        <v>-0.00160725561104414</v>
      </c>
      <c r="K150" s="53" t="n">
        <f aca="false">+K149/((K103+J103)/2)</f>
        <v>-0.0226835232298007</v>
      </c>
      <c r="L150" s="53" t="n">
        <f aca="false">+L149/((L103+K103)/2)</f>
        <v>-0.0400985554857723</v>
      </c>
      <c r="M150" s="53" t="n">
        <f aca="false">+M149/((M103+L103)/2)</f>
        <v>-0.0457487365901232</v>
      </c>
      <c r="N150" s="53" t="n">
        <f aca="false">+N149/((N103+M103)/2)</f>
        <v>-0.0254333387331929</v>
      </c>
      <c r="O150" s="53" t="n">
        <f aca="false">+O149/((O103+N103)/2)</f>
        <v>-0.06079840929948</v>
      </c>
      <c r="P150" s="53" t="n">
        <f aca="false">+P149/((P103+O103)/2)</f>
        <v>0.00497265042267529</v>
      </c>
      <c r="Q150" s="53" t="n">
        <f aca="false">+Q149/((Q103+P103)/2)</f>
        <v>0.0214112577430649</v>
      </c>
      <c r="R150" s="53" t="n">
        <f aca="false">+R149/((R103+Q103)/2)</f>
        <v>-0.00817254734747539</v>
      </c>
      <c r="S150" s="53" t="n">
        <f aca="false">+S149/((S103+R103)/2)</f>
        <v>-0.0201666914719452</v>
      </c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 t="n">
        <f aca="false">+AE149/((AE103+AD103)/2)</f>
        <v>-0.0400833416013493</v>
      </c>
      <c r="AF150" s="53" t="n">
        <f aca="false">+AF149/((AF103+AE103)/2)</f>
        <v>-0.0320571129303454</v>
      </c>
      <c r="AG150" s="53" t="n">
        <f aca="false">+AG149/((AG103+AF103)/2)</f>
        <v>-0.0147692937983305</v>
      </c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40"/>
      <c r="AS150" s="40"/>
      <c r="AT150" s="40"/>
      <c r="AU150" s="53"/>
      <c r="AV150" s="53"/>
      <c r="AW150" s="40"/>
      <c r="AX150" s="40"/>
      <c r="AY150" s="40"/>
      <c r="AZ150" s="40"/>
      <c r="BA150" s="40"/>
      <c r="BB150" s="40"/>
      <c r="BC150" s="40"/>
      <c r="BD150" s="40"/>
      <c r="BE150" s="40"/>
      <c r="BF150" s="40"/>
      <c r="BG150" s="40"/>
      <c r="BH150" s="40"/>
      <c r="BI150" s="40"/>
      <c r="BJ150" s="40"/>
      <c r="BK150" s="40"/>
      <c r="BL150" s="40"/>
      <c r="BM150" s="40"/>
      <c r="BN150" s="40"/>
      <c r="BO150" s="40"/>
      <c r="BP150" s="40"/>
      <c r="BQ150" s="40"/>
      <c r="BR150" s="40"/>
      <c r="BS150" s="40"/>
      <c r="BT150" s="40"/>
      <c r="BU150" s="40"/>
      <c r="BV150" s="40"/>
      <c r="BW150" s="40"/>
      <c r="BX150" s="40"/>
      <c r="BY150" s="40"/>
      <c r="BZ150" s="40"/>
      <c r="CA150" s="40"/>
      <c r="CB150" s="40"/>
      <c r="CC150" s="40"/>
      <c r="CD150" s="40"/>
      <c r="CE150" s="40"/>
      <c r="CF150" s="40"/>
      <c r="CG150" s="40"/>
      <c r="CH150" s="40"/>
      <c r="CI150" s="40"/>
      <c r="CJ150" s="40"/>
      <c r="CK150" s="40"/>
      <c r="CL150" s="40"/>
      <c r="CM150" s="40"/>
      <c r="CN150" s="40"/>
      <c r="CO150" s="40"/>
      <c r="CP150" s="40"/>
      <c r="CQ150" s="40"/>
      <c r="CR150" s="40"/>
      <c r="CS150" s="40"/>
      <c r="CT150" s="40"/>
      <c r="CU150" s="40"/>
      <c r="CV150" s="40"/>
      <c r="CW150" s="40"/>
      <c r="CX150" s="40"/>
      <c r="CY150" s="40"/>
      <c r="CZ150" s="40"/>
      <c r="DA150" s="40"/>
      <c r="DB150" s="40"/>
      <c r="DC150" s="40"/>
      <c r="DD150" s="40"/>
      <c r="DE150" s="40"/>
      <c r="DF150" s="40"/>
      <c r="DG150" s="40"/>
    </row>
    <row r="151" s="40" customFormat="true" ht="12.8" hidden="false" customHeight="true" outlineLevel="0" collapsed="false">
      <c r="A151" s="2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53"/>
      <c r="AS151" s="53"/>
      <c r="AT151" s="53"/>
      <c r="AU151" s="87"/>
      <c r="AV151" s="87"/>
      <c r="AW151" s="53"/>
      <c r="AX151" s="53"/>
      <c r="AY151" s="53"/>
      <c r="AZ151" s="53"/>
      <c r="BA151" s="53"/>
      <c r="BB151" s="53"/>
      <c r="BC151" s="53"/>
      <c r="BD151" s="53"/>
      <c r="BE151" s="53"/>
      <c r="BF151" s="53"/>
      <c r="BG151" s="53"/>
      <c r="BH151" s="53"/>
      <c r="BI151" s="53"/>
      <c r="BJ151" s="53"/>
      <c r="BK151" s="53"/>
      <c r="BL151" s="53"/>
      <c r="BM151" s="53"/>
      <c r="BN151" s="53"/>
      <c r="BO151" s="53"/>
      <c r="BP151" s="53"/>
      <c r="BQ151" s="53"/>
      <c r="BR151" s="53"/>
      <c r="BS151" s="53"/>
      <c r="BT151" s="53"/>
      <c r="BU151" s="53"/>
      <c r="BV151" s="53"/>
      <c r="BW151" s="53"/>
      <c r="BX151" s="53"/>
      <c r="BY151" s="53"/>
      <c r="BZ151" s="53"/>
      <c r="CA151" s="53"/>
      <c r="CB151" s="53"/>
      <c r="CC151" s="53"/>
      <c r="CD151" s="53"/>
      <c r="CE151" s="53"/>
      <c r="CF151" s="53"/>
      <c r="CG151" s="53"/>
      <c r="CH151" s="53"/>
      <c r="CI151" s="53"/>
      <c r="CJ151" s="53"/>
      <c r="CK151" s="53"/>
      <c r="CL151" s="53"/>
      <c r="CM151" s="53"/>
      <c r="CN151" s="53"/>
      <c r="CO151" s="53"/>
      <c r="CP151" s="53"/>
      <c r="CQ151" s="53"/>
      <c r="CR151" s="53"/>
      <c r="CS151" s="53"/>
      <c r="CT151" s="53"/>
      <c r="CU151" s="53"/>
      <c r="CV151" s="53"/>
      <c r="CW151" s="53"/>
      <c r="CX151" s="53"/>
      <c r="CY151" s="53"/>
      <c r="CZ151" s="53"/>
      <c r="DA151" s="53"/>
      <c r="DB151" s="53"/>
      <c r="DC151" s="53"/>
      <c r="DD151" s="53"/>
      <c r="DE151" s="53"/>
      <c r="DF151" s="53"/>
      <c r="DG151" s="53"/>
    </row>
    <row r="152" s="31" customFormat="true" ht="12.8" hidden="false" customHeight="true" outlineLevel="0" collapsed="false">
      <c r="A152" s="39" t="s">
        <v>184</v>
      </c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 t="n">
        <v>4405</v>
      </c>
      <c r="AB152" s="40" t="n">
        <v>5584</v>
      </c>
      <c r="AC152" s="40" t="n">
        <v>6617</v>
      </c>
      <c r="AD152" s="40" t="n">
        <v>8359</v>
      </c>
      <c r="AE152" s="40" t="n">
        <v>9123</v>
      </c>
      <c r="AF152" s="40" t="n">
        <v>7691</v>
      </c>
      <c r="AG152" s="40" t="n">
        <v>7287</v>
      </c>
      <c r="AH152" s="40"/>
      <c r="AI152" s="40"/>
      <c r="AJ152" s="40"/>
      <c r="AK152" s="40"/>
      <c r="AL152" s="40"/>
      <c r="AM152" s="40"/>
      <c r="AN152" s="40"/>
      <c r="AO152" s="40"/>
      <c r="AP152" s="40"/>
      <c r="AQ152" s="40"/>
      <c r="AR152" s="87"/>
      <c r="AS152" s="87"/>
      <c r="AT152" s="87"/>
      <c r="AW152" s="87"/>
      <c r="AX152" s="87"/>
      <c r="AY152" s="87"/>
      <c r="AZ152" s="87"/>
      <c r="BA152" s="87"/>
      <c r="BB152" s="87"/>
      <c r="BC152" s="87"/>
      <c r="BD152" s="87"/>
      <c r="BE152" s="87"/>
      <c r="BF152" s="87"/>
      <c r="BG152" s="87"/>
      <c r="BH152" s="87"/>
      <c r="BI152" s="87"/>
      <c r="BJ152" s="87"/>
      <c r="BK152" s="87"/>
      <c r="BL152" s="87"/>
      <c r="BM152" s="87"/>
      <c r="BN152" s="87"/>
      <c r="BO152" s="87"/>
      <c r="BP152" s="87"/>
      <c r="BQ152" s="87"/>
      <c r="BR152" s="87"/>
      <c r="BS152" s="87"/>
      <c r="BT152" s="87"/>
      <c r="BU152" s="87"/>
      <c r="BV152" s="87"/>
      <c r="BW152" s="87"/>
      <c r="BX152" s="87"/>
      <c r="BY152" s="87"/>
      <c r="BZ152" s="87"/>
      <c r="CA152" s="87"/>
      <c r="CB152" s="87"/>
      <c r="CC152" s="87"/>
      <c r="CD152" s="87"/>
      <c r="CE152" s="87"/>
      <c r="CF152" s="87"/>
      <c r="CG152" s="87"/>
      <c r="CH152" s="87"/>
      <c r="CI152" s="87"/>
      <c r="CJ152" s="87"/>
      <c r="CK152" s="87"/>
      <c r="CL152" s="87"/>
      <c r="CM152" s="87"/>
      <c r="CN152" s="87"/>
      <c r="CO152" s="87"/>
      <c r="CP152" s="87"/>
      <c r="CQ152" s="87"/>
      <c r="CR152" s="87"/>
      <c r="CS152" s="87"/>
      <c r="CT152" s="87"/>
      <c r="CU152" s="87"/>
      <c r="CV152" s="87"/>
      <c r="CW152" s="87"/>
      <c r="CX152" s="87"/>
      <c r="CY152" s="87"/>
      <c r="CZ152" s="87"/>
      <c r="DA152" s="87"/>
      <c r="DB152" s="87"/>
      <c r="DC152" s="87"/>
      <c r="DD152" s="87"/>
      <c r="DE152" s="87"/>
      <c r="DF152" s="87"/>
      <c r="DG152" s="87"/>
    </row>
    <row r="153" customFormat="false" ht="10.5" hidden="false" customHeight="true" outlineLevel="0" collapsed="false">
      <c r="A153" s="29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 t="n">
        <f aca="false">+AB152/AA152-1</f>
        <v>0.267650397275823</v>
      </c>
      <c r="AC153" s="31" t="n">
        <f aca="false">+AC152/AB152-1</f>
        <v>0.184992836676218</v>
      </c>
      <c r="AD153" s="31" t="n">
        <f aca="false">+AD152/AC152-1</f>
        <v>0.263261296660118</v>
      </c>
      <c r="AE153" s="31" t="n">
        <f aca="false">+AE152/AD152-1</f>
        <v>0.0913984926426605</v>
      </c>
      <c r="AF153" s="31" t="n">
        <f aca="false">+AF152/AE152-1</f>
        <v>-0.156965910336512</v>
      </c>
      <c r="AG153" s="31" t="n">
        <f aca="false">+AG152/AF152-1</f>
        <v>-0.0525289299180861</v>
      </c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40"/>
      <c r="AV153" s="40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  <c r="BS153" s="31"/>
      <c r="BT153" s="31"/>
      <c r="BU153" s="31"/>
      <c r="BV153" s="31"/>
      <c r="BW153" s="31"/>
      <c r="BX153" s="31"/>
      <c r="BY153" s="31"/>
      <c r="BZ153" s="31"/>
      <c r="CA153" s="31"/>
      <c r="CB153" s="31"/>
      <c r="CC153" s="31"/>
      <c r="CD153" s="31"/>
      <c r="CE153" s="31"/>
      <c r="CF153" s="31"/>
      <c r="CG153" s="31"/>
      <c r="CH153" s="31"/>
      <c r="CI153" s="31"/>
      <c r="CJ153" s="31"/>
      <c r="CK153" s="31"/>
      <c r="CL153" s="31"/>
      <c r="CM153" s="31"/>
      <c r="CN153" s="31"/>
      <c r="CO153" s="31"/>
      <c r="CP153" s="31"/>
      <c r="CQ153" s="31"/>
      <c r="CR153" s="31"/>
      <c r="CS153" s="31"/>
      <c r="CT153" s="31"/>
      <c r="CU153" s="31"/>
      <c r="CV153" s="31"/>
      <c r="CW153" s="31"/>
      <c r="CX153" s="31"/>
      <c r="CY153" s="31"/>
      <c r="CZ153" s="31"/>
      <c r="DA153" s="31"/>
      <c r="DB153" s="31"/>
      <c r="DC153" s="31"/>
      <c r="DD153" s="31"/>
      <c r="DE153" s="31"/>
      <c r="DF153" s="31"/>
      <c r="DG153" s="31"/>
    </row>
    <row r="154" customFormat="false" ht="12.8" hidden="false" customHeight="true" outlineLevel="0" collapsed="false">
      <c r="A154" s="39" t="s">
        <v>185</v>
      </c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 t="n">
        <f aca="false">+(AA28*1000000)/AA152</f>
        <v>1535527.80930761</v>
      </c>
      <c r="AB154" s="40" t="n">
        <f aca="false">+(AB28*1000000)/AB152</f>
        <v>1411205.65236387</v>
      </c>
      <c r="AC154" s="40" t="n">
        <f aca="false">+(AC28*1000000)/AC152</f>
        <v>1461113.14859826</v>
      </c>
      <c r="AD154" s="40" t="n">
        <f aca="false">+(AD28*1000000)/AD152</f>
        <v>1402944.33570136</v>
      </c>
      <c r="AE154" s="40" t="n">
        <f aca="false">+(AE28*1000000)/AE152</f>
        <v>1452058.3448611</v>
      </c>
      <c r="AF154" s="40" t="n">
        <f aca="false">+(AF28*1000000)/AF152</f>
        <v>2037861.75986075</v>
      </c>
      <c r="AG154" s="40" t="n">
        <f aca="false">+(AG28*1000000)/AG152</f>
        <v>2358462.15952001</v>
      </c>
      <c r="AH154" s="40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0"/>
      <c r="AW154" s="40"/>
      <c r="AX154" s="40"/>
      <c r="AY154" s="40"/>
      <c r="AZ154" s="40"/>
      <c r="BA154" s="40"/>
      <c r="BB154" s="40"/>
      <c r="BC154" s="40"/>
      <c r="BD154" s="40"/>
      <c r="BE154" s="40"/>
      <c r="BF154" s="40"/>
      <c r="BG154" s="40"/>
      <c r="BH154" s="40"/>
      <c r="BI154" s="40"/>
      <c r="BJ154" s="40"/>
      <c r="BK154" s="40"/>
      <c r="BL154" s="40"/>
      <c r="BM154" s="40"/>
      <c r="BN154" s="40"/>
      <c r="BO154" s="40"/>
      <c r="BP154" s="40"/>
      <c r="BQ154" s="40"/>
      <c r="BR154" s="40"/>
      <c r="BS154" s="40"/>
      <c r="BT154" s="40"/>
      <c r="BU154" s="40"/>
      <c r="BV154" s="40"/>
      <c r="BW154" s="40"/>
      <c r="BX154" s="40"/>
      <c r="BY154" s="40"/>
      <c r="BZ154" s="40"/>
      <c r="CA154" s="40"/>
      <c r="CB154" s="40"/>
      <c r="CC154" s="40"/>
      <c r="CD154" s="40"/>
      <c r="CE154" s="40"/>
      <c r="CF154" s="40"/>
      <c r="CG154" s="40"/>
      <c r="CH154" s="40"/>
      <c r="CI154" s="40"/>
      <c r="CJ154" s="40"/>
      <c r="CK154" s="40"/>
      <c r="CL154" s="40"/>
      <c r="CM154" s="40"/>
      <c r="CN154" s="40"/>
      <c r="CO154" s="40"/>
      <c r="CP154" s="40"/>
      <c r="CQ154" s="40"/>
      <c r="CR154" s="40"/>
      <c r="CS154" s="40"/>
      <c r="CT154" s="40"/>
      <c r="CU154" s="40"/>
      <c r="CV154" s="40"/>
      <c r="CW154" s="40"/>
      <c r="CX154" s="40"/>
      <c r="CY154" s="40"/>
      <c r="CZ154" s="40"/>
      <c r="DA154" s="40"/>
      <c r="DB154" s="40"/>
      <c r="DC154" s="40"/>
      <c r="DD154" s="40"/>
      <c r="DE154" s="40"/>
      <c r="DF154" s="40"/>
      <c r="DG154" s="40"/>
    </row>
    <row r="155" customFormat="false" ht="12.8" hidden="false" customHeight="true" outlineLevel="0" collapsed="false">
      <c r="AR155" s="40"/>
      <c r="AS155" s="40"/>
      <c r="AT155" s="40"/>
      <c r="AW155" s="40"/>
      <c r="AX155" s="40"/>
      <c r="AY155" s="40"/>
      <c r="AZ155" s="40"/>
      <c r="BA155" s="40"/>
      <c r="BB155" s="40"/>
      <c r="BC155" s="40"/>
      <c r="BD155" s="40"/>
      <c r="BE155" s="40"/>
      <c r="BF155" s="40"/>
      <c r="BG155" s="40"/>
      <c r="BH155" s="40"/>
      <c r="BI155" s="40"/>
      <c r="BJ155" s="40"/>
      <c r="BK155" s="40"/>
      <c r="BL155" s="40"/>
      <c r="BM155" s="40"/>
      <c r="BN155" s="40"/>
      <c r="BO155" s="40"/>
      <c r="BP155" s="40"/>
      <c r="BQ155" s="40"/>
      <c r="BR155" s="40"/>
      <c r="BS155" s="40"/>
      <c r="BT155" s="40"/>
      <c r="BU155" s="40"/>
      <c r="BV155" s="40"/>
      <c r="BW155" s="40"/>
      <c r="BX155" s="40"/>
      <c r="BY155" s="40"/>
      <c r="BZ155" s="40"/>
      <c r="CA155" s="40"/>
      <c r="CB155" s="40"/>
      <c r="CC155" s="40"/>
      <c r="CD155" s="40"/>
      <c r="CE155" s="40"/>
      <c r="CF155" s="40"/>
      <c r="CG155" s="40"/>
      <c r="CH155" s="40"/>
      <c r="CI155" s="40"/>
      <c r="CJ155" s="40"/>
      <c r="CK155" s="40"/>
      <c r="CL155" s="40"/>
      <c r="CM155" s="40"/>
      <c r="CN155" s="40"/>
      <c r="CO155" s="40"/>
      <c r="CP155" s="40"/>
      <c r="CQ155" s="40"/>
      <c r="CR155" s="40"/>
      <c r="CS155" s="40"/>
      <c r="CT155" s="40"/>
      <c r="CU155" s="40"/>
      <c r="CV155" s="40"/>
      <c r="CW155" s="40"/>
      <c r="CX155" s="40"/>
      <c r="CY155" s="40"/>
      <c r="CZ155" s="40"/>
      <c r="DA155" s="40"/>
      <c r="DB155" s="40"/>
      <c r="DC155" s="40"/>
      <c r="DD155" s="40"/>
      <c r="DE155" s="40"/>
      <c r="DF155" s="40"/>
      <c r="DG155" s="40"/>
    </row>
    <row r="156" s="91" customFormat="true" ht="12.8" hidden="false" customHeight="true" outlineLevel="0" collapsed="false">
      <c r="A156" s="90" t="s">
        <v>186</v>
      </c>
      <c r="C156" s="91" t="n">
        <f aca="false">+AVERAGE(B94:C94)/C28*90</f>
        <v>18.3676675977654</v>
      </c>
      <c r="D156" s="91" t="n">
        <f aca="false">+AVERAGE(C94:D94)/D28*90</f>
        <v>18.6907114624506</v>
      </c>
      <c r="E156" s="91" t="n">
        <f aca="false">+AVERAGE(D94:E94)/E28*90</f>
        <v>19.017687934302</v>
      </c>
      <c r="F156" s="91" t="n">
        <f aca="false">+AVERAGE(E94:F94)/F28*90</f>
        <v>18.4163098093033</v>
      </c>
      <c r="G156" s="91" t="n">
        <f aca="false">+AVERAGE(F94:G94)/G28*90</f>
        <v>16.8124626593729</v>
      </c>
      <c r="H156" s="91" t="n">
        <f aca="false">+AVERAGE(G94:H94)/H28*90</f>
        <v>18.4847167298188</v>
      </c>
      <c r="I156" s="91" t="n">
        <f aca="false">+AVERAGE(H94:I94)/I28*90</f>
        <v>19.6735820928442</v>
      </c>
      <c r="J156" s="91" t="n">
        <f aca="false">+AVERAGE(I94:J94)/J28*90</f>
        <v>20.2340531709978</v>
      </c>
      <c r="K156" s="91" t="n">
        <f aca="false">+AVERAGE(J94:K94)/K28*90</f>
        <v>18.0841162526076</v>
      </c>
      <c r="L156" s="91" t="n">
        <f aca="false">+AVERAGE(K94:L94)/L28*90</f>
        <v>16.9474600639721</v>
      </c>
      <c r="M156" s="91" t="n">
        <f aca="false">+AVERAGE(L94:M94)/M28*90</f>
        <v>16.1238280966784</v>
      </c>
      <c r="N156" s="91" t="n">
        <f aca="false">+AVERAGE(M94:N94)/N28*90</f>
        <v>16.3239392167824</v>
      </c>
      <c r="O156" s="91" t="n">
        <f aca="false">+AVERAGE(N94:O94)/O28*90</f>
        <v>15.9368204512871</v>
      </c>
      <c r="P156" s="91" t="n">
        <f aca="false">+AVERAGE(O94:P94)/P28*90</f>
        <v>15.4947551943585</v>
      </c>
      <c r="Q156" s="91" t="n">
        <f aca="false">+AVERAGE(P94:Q94)/Q28*90</f>
        <v>15.2645557721828</v>
      </c>
      <c r="R156" s="91" t="n">
        <f aca="false">+AVERAGE(Q94:R94)/R28*90</f>
        <v>14.7415790137844</v>
      </c>
      <c r="S156" s="91" t="n">
        <f aca="false">+AVERAGE(R94:S94)/S28*90</f>
        <v>13.7816621310446</v>
      </c>
      <c r="AB156" s="91" t="n">
        <f aca="false">+AVERAGE(AA94:AB94)/AB28*365</f>
        <v>21.4919156844211</v>
      </c>
      <c r="AC156" s="91" t="n">
        <f aca="false">+AVERAGE(AB94:AC94)/AC28*365</f>
        <v>20.4808333286824</v>
      </c>
      <c r="AD156" s="91" t="n">
        <f aca="false">+AVERAGE(AC94:AD94)/AD28*365</f>
        <v>48.6782378028042</v>
      </c>
      <c r="AE156" s="91" t="n">
        <f aca="false">+AVERAGE(AD94:AE94)/AE28*365</f>
        <v>73.0020484098272</v>
      </c>
      <c r="AF156" s="91" t="n">
        <f aca="false">+AVERAGE(AE94:AF94)/AF28*365</f>
        <v>68.0247399422397</v>
      </c>
      <c r="AG156" s="91" t="n">
        <f aca="false">+AVERAGE(AF94:AG94)/AG28*365</f>
        <v>64.4788004842513</v>
      </c>
      <c r="AH156" s="92" t="n">
        <f aca="false">+AG156-1</f>
        <v>63.4788004842513</v>
      </c>
      <c r="AI156" s="92" t="n">
        <f aca="false">+AH156-1</f>
        <v>62.4788004842513</v>
      </c>
      <c r="AJ156" s="92" t="n">
        <f aca="false">+AI156-1</f>
        <v>61.4788004842513</v>
      </c>
      <c r="AK156" s="92" t="n">
        <f aca="false">+AJ156-1</f>
        <v>60.4788004842513</v>
      </c>
      <c r="AL156" s="92" t="n">
        <f aca="false">+AK156-1</f>
        <v>59.4788004842513</v>
      </c>
      <c r="AM156" s="92" t="n">
        <f aca="false">+AL156-1</f>
        <v>58.4788004842513</v>
      </c>
      <c r="AN156" s="92" t="n">
        <f aca="false">+AM156-1</f>
        <v>57.4788004842513</v>
      </c>
      <c r="AO156" s="92" t="n">
        <f aca="false">+AN156-1</f>
        <v>56.4788004842513</v>
      </c>
      <c r="AP156" s="92" t="n">
        <f aca="false">+AO156-1</f>
        <v>55.4788004842513</v>
      </c>
      <c r="AQ156" s="92" t="n">
        <f aca="false">+AP156-1</f>
        <v>54.4788004842513</v>
      </c>
    </row>
    <row r="157" s="91" customFormat="true" ht="12.8" hidden="false" customHeight="true" outlineLevel="0" collapsed="false">
      <c r="A157" s="90" t="s">
        <v>187</v>
      </c>
      <c r="C157" s="91" t="n">
        <f aca="false">+AVERAGE(B105:C105)/C34*90</f>
        <v>31.6666666666667</v>
      </c>
      <c r="D157" s="91" t="n">
        <f aca="false">+AVERAGE(C105:D105)/D34*90</f>
        <v>34.8818897637795</v>
      </c>
      <c r="E157" s="91" t="n">
        <f aca="false">+AVERAGE(D105:E105)/E34*90</f>
        <v>34.0972515856237</v>
      </c>
      <c r="F157" s="91" t="n">
        <f aca="false">+AVERAGE(E105:F105)/F34*90</f>
        <v>33.5127416520211</v>
      </c>
      <c r="G157" s="91" t="n">
        <f aca="false">+AVERAGE(F105:G105)/G34*90</f>
        <v>32.5321443384488</v>
      </c>
      <c r="H157" s="91" t="n">
        <f aca="false">+AVERAGE(G105:H105)/H34*90</f>
        <v>33.4587378640777</v>
      </c>
      <c r="I157" s="91" t="n">
        <f aca="false">+AVERAGE(H105:I105)/I34*90</f>
        <v>32.1571906354515</v>
      </c>
      <c r="J157" s="91" t="n">
        <f aca="false">+AVERAGE(I105:J105)/J34*90</f>
        <v>34.6390577507599</v>
      </c>
      <c r="K157" s="91" t="n">
        <f aca="false">+AVERAGE(J105:K105)/K34*90</f>
        <v>35.7161410018553</v>
      </c>
      <c r="L157" s="91" t="n">
        <f aca="false">+AVERAGE(K105:L105)/L34*90</f>
        <v>35.6168122270742</v>
      </c>
      <c r="M157" s="91" t="n">
        <f aca="false">+AVERAGE(L105:M105)/M34*90</f>
        <v>37.9853862212944</v>
      </c>
      <c r="N157" s="91" t="n">
        <f aca="false">+AVERAGE(M105:N105)/N34*90</f>
        <v>37.8037709497207</v>
      </c>
      <c r="O157" s="91" t="n">
        <f aca="false">+AVERAGE(N105:O105)/O34*90</f>
        <v>35.0069613644274</v>
      </c>
      <c r="P157" s="91" t="n">
        <f aca="false">+AVERAGE(O105:P105)/P34*90</f>
        <v>36.4190345771996</v>
      </c>
      <c r="Q157" s="91" t="n">
        <f aca="false">+AVERAGE(P105:Q105)/Q34*90</f>
        <v>35.427110817942</v>
      </c>
      <c r="R157" s="91" t="n">
        <f aca="false">+AVERAGE(Q105:R105)/R34*90</f>
        <v>36.201448321264</v>
      </c>
      <c r="S157" s="91" t="n">
        <f aca="false">+AVERAGE(R105:S105)/S34*90</f>
        <v>36.4272241433512</v>
      </c>
      <c r="AB157" s="91" t="n">
        <f aca="false">+AVERAGE(AA105:AB105)/AB34*365</f>
        <v>39.7050298380222</v>
      </c>
      <c r="AC157" s="91" t="n">
        <f aca="false">+AVERAGE(AB105:AC105)/AC34*365</f>
        <v>36.9022891055532</v>
      </c>
      <c r="AD157" s="91" t="n">
        <f aca="false">+AVERAGE(AC105:AD105)/AD34*365</f>
        <v>85.1224292694012</v>
      </c>
      <c r="AE157" s="91" t="n">
        <f aca="false">+AVERAGE(AD105:AE105)/AE34*365</f>
        <v>129.287817258883</v>
      </c>
      <c r="AF157" s="91" t="n">
        <f aca="false">+AVERAGE(AE105:AF105)/AF34*365</f>
        <v>137.195862635857</v>
      </c>
      <c r="AG157" s="91" t="n">
        <f aca="false">+AVERAGE(AF105:AG105)/AG34*365</f>
        <v>143.424080410607</v>
      </c>
      <c r="AH157" s="92" t="n">
        <f aca="false">+AG157+2</f>
        <v>145.424080410607</v>
      </c>
      <c r="AI157" s="92" t="n">
        <f aca="false">+AH157+2</f>
        <v>147.424080410607</v>
      </c>
      <c r="AJ157" s="92" t="n">
        <f aca="false">+AI157+2</f>
        <v>149.424080410607</v>
      </c>
      <c r="AK157" s="92" t="n">
        <f aca="false">+AJ157+2</f>
        <v>151.424080410607</v>
      </c>
      <c r="AL157" s="92" t="n">
        <f aca="false">+AK157+2</f>
        <v>153.424080410607</v>
      </c>
      <c r="AM157" s="92" t="n">
        <f aca="false">+AL157+2</f>
        <v>155.424080410607</v>
      </c>
      <c r="AN157" s="92" t="n">
        <f aca="false">+AM157+2</f>
        <v>157.424080410607</v>
      </c>
      <c r="AO157" s="92" t="n">
        <f aca="false">+AN157+2</f>
        <v>159.424080410607</v>
      </c>
      <c r="AP157" s="92" t="n">
        <f aca="false">+AO157+2</f>
        <v>161.424080410607</v>
      </c>
      <c r="AQ157" s="92" t="n">
        <f aca="false">+AP157+2</f>
        <v>163.424080410607</v>
      </c>
    </row>
    <row r="158" s="91" customFormat="true" ht="12.8" hidden="false" customHeight="true" outlineLevel="0" collapsed="false">
      <c r="A158" s="90" t="s">
        <v>188</v>
      </c>
      <c r="C158" s="91" t="n">
        <f aca="false">+C156-C157</f>
        <v>-13.2989990689013</v>
      </c>
      <c r="D158" s="91" t="n">
        <f aca="false">+D156-D157</f>
        <v>-16.1911783013289</v>
      </c>
      <c r="E158" s="91" t="n">
        <f aca="false">+E156-E157</f>
        <v>-15.0795636513217</v>
      </c>
      <c r="F158" s="91" t="n">
        <f aca="false">+F156-F157</f>
        <v>-15.0964318427178</v>
      </c>
      <c r="G158" s="91" t="n">
        <f aca="false">+G156-G157</f>
        <v>-15.7196816790759</v>
      </c>
      <c r="H158" s="91" t="n">
        <f aca="false">+H156-H157</f>
        <v>-14.9740211342589</v>
      </c>
      <c r="I158" s="91" t="n">
        <f aca="false">+I156-I157</f>
        <v>-12.4836085426073</v>
      </c>
      <c r="J158" s="91" t="n">
        <f aca="false">+J156-J157</f>
        <v>-14.4050045797621</v>
      </c>
      <c r="K158" s="91" t="n">
        <f aca="false">+K156-K157</f>
        <v>-17.6320247492477</v>
      </c>
      <c r="L158" s="91" t="n">
        <f aca="false">+L156-L157</f>
        <v>-18.6693521631021</v>
      </c>
      <c r="M158" s="91" t="n">
        <f aca="false">+M156-M157</f>
        <v>-21.861558124616</v>
      </c>
      <c r="N158" s="91" t="n">
        <f aca="false">+N156-N157</f>
        <v>-21.4798317329383</v>
      </c>
      <c r="O158" s="91" t="n">
        <f aca="false">+O156-O157</f>
        <v>-19.0701409131403</v>
      </c>
      <c r="P158" s="91" t="n">
        <f aca="false">+P156-P157</f>
        <v>-20.9242793828411</v>
      </c>
      <c r="Q158" s="91" t="n">
        <f aca="false">+Q156-Q157</f>
        <v>-20.1625550457592</v>
      </c>
      <c r="R158" s="91" t="n">
        <f aca="false">+R156-R157</f>
        <v>-21.4598693074796</v>
      </c>
      <c r="S158" s="91" t="n">
        <f aca="false">+S156-S157</f>
        <v>-22.6455620123066</v>
      </c>
      <c r="AB158" s="91" t="n">
        <f aca="false">+AB156-AB157</f>
        <v>-18.2131141536011</v>
      </c>
      <c r="AC158" s="91" t="n">
        <f aca="false">+AC156-AC157</f>
        <v>-16.4214557768708</v>
      </c>
      <c r="AD158" s="91" t="n">
        <f aca="false">+AD156-AD157</f>
        <v>-36.444191466597</v>
      </c>
      <c r="AE158" s="91" t="n">
        <f aca="false">+AE156-AE157</f>
        <v>-56.2857688490561</v>
      </c>
      <c r="AF158" s="91" t="n">
        <f aca="false">+AF156-AF157</f>
        <v>-69.1711226936175</v>
      </c>
      <c r="AG158" s="91" t="n">
        <f aca="false">+AG156-AG157</f>
        <v>-78.9452799263561</v>
      </c>
      <c r="AH158" s="91" t="n">
        <f aca="false">+AH156-AH157</f>
        <v>-81.9452799263561</v>
      </c>
      <c r="AI158" s="91" t="n">
        <f aca="false">+AI156-AI157</f>
        <v>-84.9452799263561</v>
      </c>
      <c r="AJ158" s="91" t="n">
        <f aca="false">+AJ156-AJ157</f>
        <v>-87.9452799263561</v>
      </c>
      <c r="AK158" s="91" t="n">
        <f aca="false">+AK156-AK157</f>
        <v>-90.9452799263561</v>
      </c>
      <c r="AL158" s="91" t="n">
        <f aca="false">+AL156-AL157</f>
        <v>-93.9452799263561</v>
      </c>
      <c r="AM158" s="91" t="n">
        <f aca="false">+AM156-AM157</f>
        <v>-96.9452799263561</v>
      </c>
      <c r="AN158" s="91" t="n">
        <f aca="false">+AN156-AN157</f>
        <v>-99.9452799263561</v>
      </c>
      <c r="AO158" s="91" t="n">
        <f aca="false">+AO156-AO157</f>
        <v>-102.945279926356</v>
      </c>
      <c r="AP158" s="91" t="n">
        <f aca="false">+AP156-AP157</f>
        <v>-105.945279926356</v>
      </c>
      <c r="AQ158" s="91" t="n">
        <f aca="false">+AQ156-AQ157</f>
        <v>-108.945279926356</v>
      </c>
    </row>
    <row r="160" s="40" customFormat="true" ht="12.8" hidden="false" customHeight="true" outlineLevel="0" collapsed="false">
      <c r="A160" s="39" t="s">
        <v>189</v>
      </c>
      <c r="B160" s="40" t="n">
        <v>43</v>
      </c>
      <c r="C160" s="40" t="n">
        <f aca="false">+43-B160</f>
        <v>0</v>
      </c>
      <c r="D160" s="40" t="n">
        <f aca="false">+43-C160-B160</f>
        <v>0</v>
      </c>
      <c r="E160" s="40" t="n">
        <f aca="false">+43-D160-C160-B160</f>
        <v>0</v>
      </c>
      <c r="F160" s="40" t="n">
        <v>75</v>
      </c>
      <c r="G160" s="40" t="n">
        <f aca="false">+110-F160</f>
        <v>35</v>
      </c>
      <c r="H160" s="40" t="n">
        <f aca="false">+142-G160-F160</f>
        <v>32</v>
      </c>
      <c r="I160" s="40" t="n">
        <f aca="false">+366-H160-G160-F160</f>
        <v>224</v>
      </c>
      <c r="J160" s="40" t="n">
        <v>242</v>
      </c>
      <c r="K160" s="40" t="n">
        <f aca="false">+482-J160</f>
        <v>240</v>
      </c>
      <c r="L160" s="40" t="n">
        <f aca="false">+634-K160-J160</f>
        <v>152</v>
      </c>
      <c r="M160" s="40" t="n">
        <f aca="false">+933-L160-K160-J160</f>
        <v>299</v>
      </c>
      <c r="N160" s="40" t="n">
        <v>204</v>
      </c>
      <c r="O160" s="40" t="n">
        <f aca="false">+296-N160</f>
        <v>92</v>
      </c>
      <c r="P160" s="40" t="n">
        <f aca="false">+335-O160-N160</f>
        <v>39</v>
      </c>
      <c r="Q160" s="40" t="n">
        <f aca="false">+372-P160-O160-N160</f>
        <v>37</v>
      </c>
      <c r="R160" s="40" t="n">
        <v>64</v>
      </c>
      <c r="S160" s="40" t="n">
        <f aca="false">+128-R160</f>
        <v>64</v>
      </c>
      <c r="AA160" s="40" t="n">
        <v>154</v>
      </c>
      <c r="AB160" s="40" t="n">
        <v>319</v>
      </c>
      <c r="AC160" s="40" t="n">
        <v>167</v>
      </c>
      <c r="AD160" s="40" t="n">
        <v>43</v>
      </c>
      <c r="AE160" s="40" t="n">
        <v>366</v>
      </c>
      <c r="AF160" s="40" t="n">
        <v>933</v>
      </c>
      <c r="AG160" s="40" t="n">
        <v>372</v>
      </c>
    </row>
    <row r="161" s="94" customFormat="true" ht="10.5" hidden="false" customHeight="true" outlineLevel="0" collapsed="false">
      <c r="A161" s="93"/>
      <c r="B161" s="94" t="n">
        <f aca="false">+B160/B$28</f>
        <v>0.0161593385945133</v>
      </c>
      <c r="C161" s="94" t="n">
        <f aca="false">+C160/C$28</f>
        <v>0</v>
      </c>
      <c r="D161" s="94" t="n">
        <f aca="false">+D160/D$28</f>
        <v>0</v>
      </c>
      <c r="E161" s="94" t="n">
        <f aca="false">+E160/E$28</f>
        <v>0</v>
      </c>
      <c r="F161" s="94" t="n">
        <f aca="false">+F160/F$28</f>
        <v>0.0246536945238331</v>
      </c>
      <c r="G161" s="94" t="n">
        <f aca="false">+G160/G$28</f>
        <v>0.0110163098956857</v>
      </c>
      <c r="H161" s="94" t="n">
        <f aca="false">+H160/H$28</f>
        <v>0.00953204311262916</v>
      </c>
      <c r="I161" s="94" t="n">
        <f aca="false">+I160/I$28</f>
        <v>0.0610160247670073</v>
      </c>
      <c r="J161" s="94" t="n">
        <f aca="false">+J160/J$28</f>
        <v>0.0665530529035878</v>
      </c>
      <c r="K161" s="94" t="n">
        <f aca="false">+K160/K$28</f>
        <v>0.0630383137345797</v>
      </c>
      <c r="L161" s="94" t="n">
        <f aca="false">+L160/L$28</f>
        <v>0.0381123528587625</v>
      </c>
      <c r="M161" s="94" t="n">
        <f aca="false">+M160/M$28</f>
        <v>0.0704828158027317</v>
      </c>
      <c r="N161" s="94" t="n">
        <f aca="false">+N160/N$28</f>
        <v>0.0486854327518072</v>
      </c>
      <c r="O161" s="94" t="n">
        <f aca="false">+O160/O$28</f>
        <v>0.0219407030530252</v>
      </c>
      <c r="P161" s="94" t="n">
        <f aca="false">+P160/P$28</f>
        <v>0.00912901960238661</v>
      </c>
      <c r="Q161" s="94" t="n">
        <f aca="false">+Q160/Q$28</f>
        <v>0.00816581455318099</v>
      </c>
      <c r="R161" s="94" t="n">
        <f aca="false">+R160/R$28</f>
        <v>0.0141183846895952</v>
      </c>
      <c r="S161" s="94" t="n">
        <f aca="false">+S160/S$28</f>
        <v>0.0133975298304375</v>
      </c>
      <c r="AA161" s="94" t="n">
        <f aca="false">+AA160/AA$28</f>
        <v>0.0227675931401538</v>
      </c>
      <c r="AB161" s="94" t="n">
        <f aca="false">+AB160/AB$28</f>
        <v>0.0404813480357246</v>
      </c>
      <c r="AC161" s="94" t="n">
        <f aca="false">+AC160/AC$28</f>
        <v>0.017273147735067</v>
      </c>
      <c r="AD161" s="94" t="n">
        <f aca="false">+AD160/AD$28</f>
        <v>0.00366668574697926</v>
      </c>
      <c r="AE161" s="94" t="n">
        <f aca="false">+AE160/AE$28</f>
        <v>0.0276286295610149</v>
      </c>
      <c r="AF161" s="94" t="n">
        <f aca="false">+AF160/AF$28</f>
        <v>0.05952838666258</v>
      </c>
      <c r="AG161" s="94" t="n">
        <f aca="false">+AG160/AG$28</f>
        <v>0.0216453821540072</v>
      </c>
    </row>
    <row r="162" s="94" customFormat="true" ht="10.5" hidden="false" customHeight="true" outlineLevel="0" collapsed="false">
      <c r="A162" s="93"/>
      <c r="F162" s="94" t="n">
        <f aca="false">+F160/B160-1</f>
        <v>0.744186046511628</v>
      </c>
      <c r="G162" s="94" t="e">
        <f aca="false">+G160/C160-1</f>
        <v>#DIV/0!</v>
      </c>
      <c r="H162" s="94" t="e">
        <f aca="false">+H160/D160-1</f>
        <v>#DIV/0!</v>
      </c>
      <c r="I162" s="94" t="e">
        <f aca="false">+I160/E160-1</f>
        <v>#DIV/0!</v>
      </c>
      <c r="J162" s="94" t="n">
        <f aca="false">+J160/F160-1</f>
        <v>2.22666666666667</v>
      </c>
      <c r="K162" s="94" t="n">
        <f aca="false">+K160/G160-1</f>
        <v>5.85714285714286</v>
      </c>
      <c r="L162" s="94" t="n">
        <f aca="false">+L160/H160-1</f>
        <v>3.75</v>
      </c>
      <c r="M162" s="94" t="n">
        <f aca="false">+M160/I160-1</f>
        <v>0.334821428571429</v>
      </c>
      <c r="N162" s="94" t="n">
        <f aca="false">+N160/J160-1</f>
        <v>-0.15702479338843</v>
      </c>
      <c r="O162" s="94" t="n">
        <f aca="false">+O160/K160-1</f>
        <v>-0.616666666666667</v>
      </c>
      <c r="P162" s="94" t="n">
        <f aca="false">+P160/L160-1</f>
        <v>-0.743421052631579</v>
      </c>
      <c r="Q162" s="94" t="n">
        <f aca="false">+Q160/M160-1</f>
        <v>-0.876254180602007</v>
      </c>
      <c r="R162" s="94" t="n">
        <f aca="false">+R160/N160-1</f>
        <v>-0.686274509803922</v>
      </c>
      <c r="S162" s="94" t="n">
        <f aca="false">+S160/O160-1</f>
        <v>-0.304347826086957</v>
      </c>
      <c r="AB162" s="94" t="n">
        <f aca="false">+AB160/AA160-1</f>
        <v>1.07142857142857</v>
      </c>
      <c r="AC162" s="94" t="n">
        <f aca="false">+AC160/AB160-1</f>
        <v>-0.476489028213166</v>
      </c>
      <c r="AD162" s="94" t="n">
        <f aca="false">+AD160/AC160-1</f>
        <v>-0.74251497005988</v>
      </c>
      <c r="AE162" s="94" t="n">
        <f aca="false">+AE160/AD160-1</f>
        <v>7.51162790697674</v>
      </c>
      <c r="AF162" s="94" t="n">
        <f aca="false">+AF160/AE160-1</f>
        <v>1.54918032786885</v>
      </c>
      <c r="AG162" s="94" t="n">
        <f aca="false">+AG160/AF160-1</f>
        <v>-0.601286173633441</v>
      </c>
    </row>
    <row r="163" s="40" customFormat="true" ht="12.8" hidden="false" customHeight="true" outlineLevel="0" collapsed="false">
      <c r="A163" s="39" t="s">
        <v>190</v>
      </c>
      <c r="B163" s="40" t="n">
        <v>2</v>
      </c>
      <c r="C163" s="40" t="n">
        <f aca="false">+2-B163</f>
        <v>0</v>
      </c>
      <c r="D163" s="40" t="n">
        <f aca="false">+2-C163-B163</f>
        <v>0</v>
      </c>
      <c r="E163" s="40" t="n">
        <f aca="false">+2-D163-C163-B163</f>
        <v>0</v>
      </c>
      <c r="F163" s="40" t="n">
        <v>0</v>
      </c>
      <c r="G163" s="40" t="n">
        <f aca="false">+0-F163</f>
        <v>0</v>
      </c>
      <c r="H163" s="40" t="n">
        <v>0</v>
      </c>
      <c r="I163" s="40" t="n">
        <f aca="false">+0-H163-G163-F163</f>
        <v>0</v>
      </c>
      <c r="J163" s="40" t="n">
        <v>0</v>
      </c>
      <c r="K163" s="40" t="n">
        <f aca="false">+0-J163</f>
        <v>0</v>
      </c>
      <c r="L163" s="40" t="n">
        <f aca="false">+0-K163-J163</f>
        <v>0</v>
      </c>
      <c r="M163" s="40" t="n">
        <f aca="false">+0-L163-K163-J163</f>
        <v>0</v>
      </c>
      <c r="N163" s="40" t="n">
        <v>0</v>
      </c>
      <c r="O163" s="40" t="n">
        <f aca="false">+0-N163</f>
        <v>0</v>
      </c>
      <c r="P163" s="40" t="n">
        <f aca="false">+58-O163-N163</f>
        <v>58</v>
      </c>
      <c r="Q163" s="40" t="n">
        <f aca="false">+439-P163-O163-N163</f>
        <v>381</v>
      </c>
      <c r="R163" s="40" t="n">
        <v>306</v>
      </c>
      <c r="S163" s="40" t="n">
        <f aca="false">+538-R163</f>
        <v>232</v>
      </c>
      <c r="AA163" s="40" t="n">
        <v>439</v>
      </c>
      <c r="AB163" s="40" t="n">
        <v>0</v>
      </c>
      <c r="AC163" s="40" t="n">
        <v>89</v>
      </c>
      <c r="AD163" s="40" t="n">
        <v>2</v>
      </c>
      <c r="AE163" s="40" t="n">
        <v>0</v>
      </c>
      <c r="AF163" s="40" t="n">
        <v>0</v>
      </c>
      <c r="AG163" s="40" t="n">
        <v>439</v>
      </c>
    </row>
    <row r="164" s="94" customFormat="true" ht="10.5" hidden="false" customHeight="true" outlineLevel="0" collapsed="false">
      <c r="A164" s="93"/>
      <c r="B164" s="94" t="n">
        <f aca="false">+B163/B$28</f>
        <v>0.000751597143930853</v>
      </c>
      <c r="C164" s="94" t="n">
        <f aca="false">+C163/C$28</f>
        <v>0</v>
      </c>
      <c r="D164" s="94" t="n">
        <f aca="false">+D163/D$28</f>
        <v>0</v>
      </c>
      <c r="E164" s="94" t="n">
        <f aca="false">+E163/E$28</f>
        <v>0</v>
      </c>
      <c r="F164" s="94" t="n">
        <f aca="false">+F163/F$28</f>
        <v>0</v>
      </c>
      <c r="G164" s="94" t="n">
        <f aca="false">+G163/G$28</f>
        <v>0</v>
      </c>
      <c r="H164" s="94" t="n">
        <f aca="false">+H163/H$28</f>
        <v>0</v>
      </c>
      <c r="I164" s="94" t="n">
        <f aca="false">+I163/I$28</f>
        <v>0</v>
      </c>
      <c r="J164" s="94" t="n">
        <f aca="false">+J163/J$28</f>
        <v>0</v>
      </c>
      <c r="K164" s="94" t="n">
        <f aca="false">+K163/K$28</f>
        <v>0</v>
      </c>
      <c r="L164" s="94" t="n">
        <f aca="false">+L163/L$28</f>
        <v>0</v>
      </c>
      <c r="M164" s="94" t="n">
        <f aca="false">+M163/M$28</f>
        <v>0</v>
      </c>
      <c r="N164" s="94" t="n">
        <f aca="false">+N163/N$28</f>
        <v>0</v>
      </c>
      <c r="O164" s="94" t="n">
        <f aca="false">+O163/O$28</f>
        <v>0</v>
      </c>
      <c r="P164" s="94" t="n">
        <f aca="false">+P163/P$28</f>
        <v>0.0135764906907288</v>
      </c>
      <c r="Q164" s="94" t="n">
        <f aca="false">+Q163/Q$28</f>
        <v>0.0840858201287015</v>
      </c>
      <c r="R164" s="94" t="n">
        <f aca="false">+R163/R$28</f>
        <v>0.0675035267971271</v>
      </c>
      <c r="S164" s="94" t="n">
        <f aca="false">+S163/S$28</f>
        <v>0.048566045635336</v>
      </c>
      <c r="AA164" s="94" t="n">
        <f aca="false">+AA163/AA$28</f>
        <v>0.0649024246008279</v>
      </c>
      <c r="AB164" s="94" t="n">
        <f aca="false">+AB163/AB$28</f>
        <v>0</v>
      </c>
      <c r="AC164" s="94" t="n">
        <f aca="false">+AC163/AC$28</f>
        <v>0.00920544999054471</v>
      </c>
      <c r="AD164" s="94" t="n">
        <f aca="false">+AD163/AD$28</f>
        <v>0.000170543523115314</v>
      </c>
      <c r="AE164" s="94" t="n">
        <f aca="false">+AE163/AE$28</f>
        <v>0</v>
      </c>
      <c r="AF164" s="94" t="n">
        <f aca="false">+AF163/AF$28</f>
        <v>0</v>
      </c>
      <c r="AG164" s="94" t="n">
        <f aca="false">+AG163/AG$28</f>
        <v>0.0255438784021751</v>
      </c>
    </row>
    <row r="165" s="94" customFormat="true" ht="10.5" hidden="false" customHeight="true" outlineLevel="0" collapsed="false">
      <c r="A165" s="93"/>
      <c r="F165" s="94" t="n">
        <f aca="false">+F163/B163-1</f>
        <v>-1</v>
      </c>
      <c r="G165" s="94" t="e">
        <f aca="false">+G163/C163-1</f>
        <v>#DIV/0!</v>
      </c>
      <c r="H165" s="94" t="e">
        <f aca="false">+H163/D163-1</f>
        <v>#DIV/0!</v>
      </c>
      <c r="I165" s="94" t="e">
        <f aca="false">+I163/E163-1</f>
        <v>#DIV/0!</v>
      </c>
      <c r="J165" s="94" t="e">
        <f aca="false">+J163/F163-1</f>
        <v>#DIV/0!</v>
      </c>
      <c r="K165" s="94" t="e">
        <f aca="false">+K163/G163-1</f>
        <v>#DIV/0!</v>
      </c>
      <c r="L165" s="94" t="e">
        <f aca="false">+L163/H163-1</f>
        <v>#DIV/0!</v>
      </c>
      <c r="M165" s="94" t="e">
        <f aca="false">+M163/I163-1</f>
        <v>#DIV/0!</v>
      </c>
      <c r="N165" s="94" t="e">
        <f aca="false">+N163/J163-1</f>
        <v>#DIV/0!</v>
      </c>
      <c r="O165" s="94" t="e">
        <f aca="false">+O163/K163-1</f>
        <v>#DIV/0!</v>
      </c>
      <c r="P165" s="94" t="e">
        <f aca="false">+P163/L163-1</f>
        <v>#DIV/0!</v>
      </c>
      <c r="Q165" s="94" t="e">
        <f aca="false">+Q163/M163-1</f>
        <v>#DIV/0!</v>
      </c>
      <c r="R165" s="94" t="e">
        <f aca="false">+R163/N163-1</f>
        <v>#DIV/0!</v>
      </c>
      <c r="S165" s="94" t="e">
        <f aca="false">+S163/O163-1</f>
        <v>#DIV/0!</v>
      </c>
      <c r="AB165" s="94" t="n">
        <f aca="false">+AB163/AA163-1</f>
        <v>-1</v>
      </c>
      <c r="AC165" s="94" t="e">
        <f aca="false">+AC163/AB163-1</f>
        <v>#DIV/0!</v>
      </c>
      <c r="AD165" s="94" t="n">
        <f aca="false">+AD163/AC163-1</f>
        <v>-0.97752808988764</v>
      </c>
      <c r="AE165" s="94" t="n">
        <f aca="false">+AE163/AD163-1</f>
        <v>-1</v>
      </c>
      <c r="AF165" s="94" t="e">
        <f aca="false">+AF163/AE163-1</f>
        <v>#DIV/0!</v>
      </c>
      <c r="AG165" s="94" t="e">
        <f aca="false">+AG163/AF163-1</f>
        <v>#DIV/0!</v>
      </c>
    </row>
    <row r="167" customFormat="false" ht="12.8" hidden="false" customHeight="true" outlineLevel="0" collapsed="false">
      <c r="A167" s="23" t="s">
        <v>191</v>
      </c>
      <c r="B167" s="1" t="n">
        <f aca="false">+B163-B160</f>
        <v>-41</v>
      </c>
      <c r="C167" s="1" t="n">
        <f aca="false">+C163-C160</f>
        <v>0</v>
      </c>
      <c r="D167" s="1" t="n">
        <f aca="false">+D163-D160</f>
        <v>0</v>
      </c>
      <c r="E167" s="1" t="n">
        <f aca="false">+E163-E160</f>
        <v>0</v>
      </c>
      <c r="F167" s="1" t="n">
        <f aca="false">+F163-F160</f>
        <v>-75</v>
      </c>
      <c r="G167" s="1" t="n">
        <f aca="false">+G163-G160</f>
        <v>-35</v>
      </c>
      <c r="H167" s="1" t="n">
        <f aca="false">+H163-H160</f>
        <v>-32</v>
      </c>
      <c r="I167" s="1" t="n">
        <f aca="false">+I163-I160</f>
        <v>-224</v>
      </c>
      <c r="J167" s="1" t="n">
        <f aca="false">+J163-J160</f>
        <v>-242</v>
      </c>
      <c r="K167" s="1" t="n">
        <f aca="false">+K163-K160</f>
        <v>-240</v>
      </c>
      <c r="L167" s="1" t="n">
        <f aca="false">+L163-L160</f>
        <v>-152</v>
      </c>
      <c r="M167" s="1" t="n">
        <f aca="false">+M163-M160</f>
        <v>-299</v>
      </c>
      <c r="N167" s="1" t="n">
        <f aca="false">+N163-N160</f>
        <v>-204</v>
      </c>
      <c r="O167" s="1" t="n">
        <f aca="false">+O163-O160</f>
        <v>-92</v>
      </c>
      <c r="P167" s="1" t="n">
        <f aca="false">+P163-P160</f>
        <v>19</v>
      </c>
      <c r="Q167" s="1" t="n">
        <f aca="false">+Q163-Q160</f>
        <v>344</v>
      </c>
      <c r="R167" s="1" t="n">
        <f aca="false">+R163-R160</f>
        <v>242</v>
      </c>
      <c r="S167" s="1" t="n">
        <f aca="false">+S163-S160</f>
        <v>168</v>
      </c>
      <c r="AA167" s="1" t="n">
        <f aca="false">+AA163-AA160</f>
        <v>285</v>
      </c>
      <c r="AB167" s="1" t="n">
        <f aca="false">+AB163-AB160</f>
        <v>-319</v>
      </c>
      <c r="AC167" s="1" t="n">
        <f aca="false">+AC163-AC160</f>
        <v>-78</v>
      </c>
      <c r="AD167" s="1" t="n">
        <f aca="false">+AD163-AD160</f>
        <v>-41</v>
      </c>
      <c r="AE167" s="1" t="n">
        <f aca="false">+AE163-AE160</f>
        <v>-366</v>
      </c>
      <c r="AF167" s="1" t="n">
        <f aca="false">+AF163-AF160</f>
        <v>-933</v>
      </c>
      <c r="AG167" s="1" t="n">
        <f aca="false">+AG163-AG160</f>
        <v>67</v>
      </c>
    </row>
    <row r="168" customFormat="false" ht="12.8" hidden="false" customHeight="true" outlineLevel="0" collapsed="false">
      <c r="B168" s="94" t="n">
        <f aca="false">+B167/B$28</f>
        <v>-0.0154077414505825</v>
      </c>
      <c r="C168" s="94" t="n">
        <f aca="false">+C167/C$28</f>
        <v>0</v>
      </c>
      <c r="D168" s="94" t="n">
        <f aca="false">+D167/D$28</f>
        <v>0</v>
      </c>
      <c r="E168" s="94" t="n">
        <f aca="false">+E167/E$28</f>
        <v>0</v>
      </c>
      <c r="F168" s="94" t="n">
        <f aca="false">+F167/F$28</f>
        <v>-0.0246536945238331</v>
      </c>
      <c r="G168" s="94" t="n">
        <f aca="false">+G167/G$28</f>
        <v>-0.0110163098956857</v>
      </c>
      <c r="H168" s="94" t="n">
        <f aca="false">+H167/H$28</f>
        <v>-0.00953204311262916</v>
      </c>
      <c r="I168" s="94" t="n">
        <f aca="false">+I167/I$28</f>
        <v>-0.0610160247670073</v>
      </c>
      <c r="J168" s="94" t="n">
        <f aca="false">+J167/J$28</f>
        <v>-0.0665530529035878</v>
      </c>
      <c r="K168" s="94" t="n">
        <f aca="false">+K167/K$28</f>
        <v>-0.0630383137345797</v>
      </c>
      <c r="L168" s="94" t="n">
        <f aca="false">+L167/L$28</f>
        <v>-0.0381123528587625</v>
      </c>
      <c r="M168" s="94" t="n">
        <f aca="false">+M167/M$28</f>
        <v>-0.0704828158027317</v>
      </c>
      <c r="N168" s="94" t="n">
        <f aca="false">+N167/N$28</f>
        <v>-0.0486854327518072</v>
      </c>
      <c r="O168" s="94" t="n">
        <f aca="false">+O167/O$28</f>
        <v>-0.0219407030530252</v>
      </c>
      <c r="P168" s="94" t="n">
        <f aca="false">+P167/P$28</f>
        <v>0.0044474710883422</v>
      </c>
      <c r="Q168" s="94" t="n">
        <f aca="false">+Q167/Q$28</f>
        <v>0.0759200055755205</v>
      </c>
      <c r="R168" s="94" t="n">
        <f aca="false">+R167/R$28</f>
        <v>0.0533851421075319</v>
      </c>
      <c r="S168" s="94" t="n">
        <f aca="false">+S167/S$28</f>
        <v>0.0351685158048985</v>
      </c>
      <c r="AA168" s="94" t="n">
        <f aca="false">+AA167/AA$28</f>
        <v>0.0421348314606742</v>
      </c>
      <c r="AB168" s="94" t="n">
        <f aca="false">+AB167/AB$28</f>
        <v>-0.0404813480357246</v>
      </c>
      <c r="AC168" s="94" t="n">
        <f aca="false">+AC167/AC$28</f>
        <v>-0.00806769774452233</v>
      </c>
      <c r="AD168" s="94" t="n">
        <f aca="false">+AD167/AD$28</f>
        <v>-0.00349614222386394</v>
      </c>
      <c r="AE168" s="94" t="n">
        <f aca="false">+AE167/AE$28</f>
        <v>-0.0276286295610149</v>
      </c>
      <c r="AF168" s="94" t="n">
        <f aca="false">+AF167/AF$28</f>
        <v>-0.05952838666258</v>
      </c>
      <c r="AG168" s="94" t="n">
        <f aca="false">+AG167/AG$28</f>
        <v>0.00389849624816795</v>
      </c>
    </row>
    <row r="169" customFormat="false" ht="12.8" hidden="false" customHeight="true" outlineLevel="0" collapsed="false">
      <c r="F169" s="94" t="n">
        <f aca="false">+F167/B167-1</f>
        <v>0.829268292682927</v>
      </c>
      <c r="G169" s="94" t="e">
        <f aca="false">+G167/C167-1</f>
        <v>#DIV/0!</v>
      </c>
      <c r="H169" s="94" t="e">
        <f aca="false">+H167/D167-1</f>
        <v>#DIV/0!</v>
      </c>
      <c r="I169" s="94" t="e">
        <f aca="false">+I167/E167-1</f>
        <v>#DIV/0!</v>
      </c>
      <c r="J169" s="94" t="n">
        <f aca="false">+J167/F167-1</f>
        <v>2.22666666666667</v>
      </c>
      <c r="K169" s="94" t="n">
        <f aca="false">+K167/G167-1</f>
        <v>5.85714285714286</v>
      </c>
      <c r="L169" s="94" t="n">
        <f aca="false">+L167/H167-1</f>
        <v>3.75</v>
      </c>
      <c r="M169" s="94" t="n">
        <f aca="false">+M167/I167-1</f>
        <v>0.334821428571429</v>
      </c>
      <c r="N169" s="94" t="n">
        <f aca="false">+N167/J167-1</f>
        <v>-0.15702479338843</v>
      </c>
      <c r="O169" s="94" t="n">
        <f aca="false">+O167/K167-1</f>
        <v>-0.616666666666667</v>
      </c>
      <c r="P169" s="94" t="n">
        <f aca="false">+P167/L167-1</f>
        <v>-1.125</v>
      </c>
      <c r="Q169" s="94" t="n">
        <f aca="false">+Q167/M167-1</f>
        <v>-2.1505016722408</v>
      </c>
      <c r="R169" s="94" t="n">
        <f aca="false">+R167/N167-1</f>
        <v>-2.18627450980392</v>
      </c>
      <c r="S169" s="94" t="n">
        <f aca="false">+S167/O167-1</f>
        <v>-2.82608695652174</v>
      </c>
      <c r="AB169" s="94" t="n">
        <f aca="false">+AB167/AA167-1</f>
        <v>-2.11929824561404</v>
      </c>
      <c r="AC169" s="94" t="n">
        <f aca="false">+AC167/AB167-1</f>
        <v>-0.755485893416928</v>
      </c>
      <c r="AD169" s="94" t="n">
        <f aca="false">+AD167/AC167-1</f>
        <v>-0.474358974358974</v>
      </c>
      <c r="AE169" s="94" t="n">
        <f aca="false">+AE167/AD167-1</f>
        <v>7.92682926829268</v>
      </c>
      <c r="AF169" s="94" t="n">
        <f aca="false">+AF167/AE167-1</f>
        <v>1.54918032786885</v>
      </c>
      <c r="AG169" s="94" t="n">
        <f aca="false">+AG167/AF167-1</f>
        <v>-1.07181136120043</v>
      </c>
    </row>
  </sheetData>
  <mergeCells count="2">
    <mergeCell ref="BA63:BB63"/>
    <mergeCell ref="BA69:BE69"/>
  </mergeCells>
  <hyperlinks>
    <hyperlink ref="A1" r:id="rId2" location="Main" display="Main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1803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2026-01-28T18:12:26Z</dcterms:created>
  <dc:creator/>
  <dc:description/>
  <dc:language>en-US</dc:language>
  <cp:lastModifiedBy/>
  <dcterms:modified xsi:type="dcterms:W3CDTF">2026-08-19T09:23:11Z</dcterms:modified>
  <cp:revision>169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