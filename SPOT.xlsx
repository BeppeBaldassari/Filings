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Model" sheetId="2" state="visible" r:id="rId4"/>
  </sheets>
  <externalReferences>
    <externalReference r:id="rId5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" authorId="0">
      <text>
        <r>
          <rPr>
            <sz val="10"/>
            <rFont val="Arial"/>
            <family val="2"/>
          </rPr>
          <t xml:space="preserve">Percentage of each new dollar that turns into profit in the EBIT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7</xdr:row>
                <xdr:rowOff>1</xdr:rowOff>
              </xdr:from>
              <xdr:to>
                <xdr:col>2</xdr:col>
                <xdr:colOff>1</xdr:colOff>
                <xdr:row>10</xdr:row>
                <xdr:rowOff>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9" authorId="0">
      <text>
        <r>
          <rPr>
            <sz val="10"/>
            <rFont val="Arial"/>
            <family val="2"/>
          </rPr>
          <t xml:space="preserve">Cost per User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14</xdr:row>
                <xdr:rowOff>1</xdr:rowOff>
              </xdr:from>
              <xdr:to>
                <xdr:col>2</xdr:col>
                <xdr:colOff>1</xdr:colOff>
                <xdr:row>18</xdr:row>
                <xdr:rowOff>1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Profit per User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16</xdr:row>
                <xdr:rowOff>1</xdr:rowOff>
              </xdr:from>
              <xdr:to>
                <xdr:col>2</xdr:col>
                <xdr:colOff>1</xdr:colOff>
                <xdr:row>20</xdr:row>
                <xdr:rowOff>1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Spotify leases offices around the world.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93</xdr:row>
                <xdr:rowOff>3</xdr:rowOff>
              </xdr:from>
              <xdr:to>
                <xdr:col>2</xdr:col>
                <xdr:colOff>1</xdr:colOff>
                <xdr:row>98</xdr:row>
                <xdr:rowOff>3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Was 3771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</xdr:colOff>
                <xdr:row>19</xdr:row>
                <xdr:rowOff>1</xdr:rowOff>
              </xdr:from>
              <xdr:to>
                <xdr:col>15</xdr:col>
                <xdr:colOff>1</xdr:colOff>
                <xdr:row>23</xdr:row>
                <xdr:rowOff>1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Was 419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</xdr:colOff>
                <xdr:row>21</xdr:row>
                <xdr:rowOff>1</xdr:rowOff>
              </xdr:from>
              <xdr:to>
                <xdr:col>15</xdr:col>
                <xdr:colOff>1</xdr:colOff>
                <xdr:row>25</xdr:row>
                <xdr:rowOff>1</xdr:rowOff>
              </xdr:to>
            </anchor>
          </commentPr>
        </mc:Choice>
        <mc:Fallback/>
      </mc:AlternateContent>
    </comment>
    <comment ref="O24" authorId="0">
      <text>
        <r>
          <rPr>
            <sz val="10"/>
            <rFont val="Arial"/>
            <family val="2"/>
          </rPr>
          <t xml:space="preserve">Was 3740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</xdr:colOff>
                <xdr:row>19</xdr:row>
                <xdr:rowOff>1</xdr:rowOff>
              </xdr:from>
              <xdr:to>
                <xdr:col>16</xdr:col>
                <xdr:colOff>1</xdr:colOff>
                <xdr:row>23</xdr:row>
                <xdr:rowOff>1</xdr:rowOff>
              </xdr:to>
            </anchor>
          </commentPr>
        </mc:Choice>
        <mc:Fallback/>
      </mc:AlternateContent>
    </comment>
    <comment ref="O26" authorId="0">
      <text>
        <r>
          <rPr>
            <sz val="10"/>
            <rFont val="Arial"/>
            <family val="2"/>
          </rPr>
          <t xml:space="preserve">Was 453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</xdr:colOff>
                <xdr:row>21</xdr:row>
                <xdr:rowOff>1</xdr:rowOff>
              </xdr:from>
              <xdr:to>
                <xdr:col>16</xdr:col>
                <xdr:colOff>1</xdr:colOff>
                <xdr:row>25</xdr:row>
                <xdr:rowOff>1</xdr:rowOff>
              </xdr:to>
            </anchor>
          </commentPr>
        </mc:Choice>
        <mc:Fallback/>
      </mc:AlternateContent>
    </comment>
    <comment ref="P24" authorId="0">
      <text>
        <r>
          <rPr>
            <sz val="10"/>
            <rFont val="Arial"/>
            <family val="2"/>
          </rPr>
          <t xml:space="preserve">Was 3826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</xdr:colOff>
                <xdr:row>19</xdr:row>
                <xdr:rowOff>1</xdr:rowOff>
              </xdr:from>
              <xdr:to>
                <xdr:col>17</xdr:col>
                <xdr:colOff>1</xdr:colOff>
                <xdr:row>23</xdr:row>
                <xdr:rowOff>1</xdr:rowOff>
              </xdr:to>
            </anchor>
          </commentPr>
        </mc:Choice>
        <mc:Fallback/>
      </mc:AlternateContent>
    </comment>
    <comment ref="P26" authorId="0">
      <text>
        <r>
          <rPr>
            <sz val="10"/>
            <rFont val="Arial"/>
            <family val="2"/>
          </rPr>
          <t xml:space="preserve">Was 446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</xdr:colOff>
                <xdr:row>21</xdr:row>
                <xdr:rowOff>1</xdr:rowOff>
              </xdr:from>
              <xdr:to>
                <xdr:col>17</xdr:col>
                <xdr:colOff>1</xdr:colOff>
                <xdr:row>25</xdr:row>
                <xdr:rowOff>1</xdr:rowOff>
              </xdr:to>
            </anchor>
          </commentPr>
        </mc:Choice>
        <mc:Fallback/>
      </mc:AlternateContent>
    </comment>
    <comment ref="Q24" authorId="0">
      <text>
        <r>
          <rPr>
            <sz val="10"/>
            <rFont val="Arial"/>
            <family val="2"/>
          </rPr>
          <t xml:space="preserve">Was 4013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</xdr:colOff>
                <xdr:row>19</xdr:row>
                <xdr:rowOff>1</xdr:rowOff>
              </xdr:from>
              <xdr:to>
                <xdr:col>18</xdr:col>
                <xdr:colOff>1</xdr:colOff>
                <xdr:row>23</xdr:row>
                <xdr:rowOff>1</xdr:rowOff>
              </xdr:to>
            </anchor>
          </commentPr>
        </mc:Choice>
        <mc:Fallback/>
      </mc:AlternateContent>
    </comment>
    <comment ref="Q26" authorId="0">
      <text>
        <r>
          <rPr>
            <sz val="10"/>
            <rFont val="Arial"/>
            <family val="2"/>
          </rPr>
          <t xml:space="preserve">Was 518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</xdr:colOff>
                <xdr:row>21</xdr:row>
                <xdr:rowOff>1</xdr:rowOff>
              </xdr:from>
              <xdr:to>
                <xdr:col>18</xdr:col>
                <xdr:colOff>1</xdr:colOff>
                <xdr:row>25</xdr:row>
                <xdr:rowOff>1</xdr:rowOff>
              </xdr:to>
            </anchor>
          </commentPr>
        </mc:Choice>
        <mc:Fallback/>
      </mc:AlternateContent>
    </comment>
    <comment ref="S6" authorId="0">
      <text>
        <r>
          <rPr>
            <sz val="10"/>
            <rFont val="Arial"/>
            <family val="2"/>
          </rPr>
          <t xml:space="preserve">Guidance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1</xdr:colOff>
                <xdr:row>1</xdr:row>
                <xdr:rowOff>1</xdr:rowOff>
              </xdr:from>
              <xdr:to>
                <xdr:col>20</xdr:col>
                <xdr:colOff>1</xdr:colOff>
                <xdr:row>5</xdr:row>
                <xdr:rowOff>1</xdr:rowOff>
              </xdr:to>
            </anchor>
          </commentPr>
        </mc:Choice>
        <mc:Fallback/>
      </mc:AlternateContent>
    </comment>
    <comment ref="T6" authorId="0">
      <text>
        <r>
          <rPr>
            <sz val="10"/>
            <rFont val="Arial"/>
            <family val="2"/>
          </rPr>
          <t xml:space="preserve">Guidance: 788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</xdr:colOff>
                <xdr:row>1</xdr:row>
                <xdr:rowOff>1</xdr:rowOff>
              </xdr:from>
              <xdr:to>
                <xdr:col>21</xdr:col>
                <xdr:colOff>2</xdr:colOff>
                <xdr:row>5</xdr:row>
                <xdr:rowOff>1</xdr:rowOff>
              </xdr:to>
            </anchor>
          </commentPr>
        </mc:Choice>
        <mc:Fallback/>
      </mc:AlternateContent>
    </comment>
    <comment ref="T28" authorId="0">
      <text>
        <r>
          <rPr>
            <sz val="10"/>
            <rFont val="Arial"/>
            <family val="2"/>
          </rPr>
          <t xml:space="preserve">Guggenheim: 4,977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15</xdr:colOff>
                <xdr:row>23</xdr:row>
                <xdr:rowOff>3</xdr:rowOff>
              </xdr:from>
              <xdr:to>
                <xdr:col>21</xdr:col>
                <xdr:colOff>30</xdr:colOff>
                <xdr:row>27</xdr:row>
                <xdr:rowOff>7</xdr:rowOff>
              </xdr:to>
            </anchor>
          </commentPr>
        </mc:Choice>
        <mc:Fallback/>
      </mc:AlternateContent>
    </comment>
    <comment ref="U6" authorId="0">
      <text>
        <r>
          <rPr>
            <sz val="10"/>
            <rFont val="Arial"/>
            <family val="2"/>
          </rPr>
          <t xml:space="preserve">Exp. 819
Guidance: 818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21</xdr:col>
                <xdr:colOff>15</xdr:colOff>
                <xdr:row>1</xdr:row>
                <xdr:rowOff>6</xdr:rowOff>
              </xdr:from>
              <xdr:to>
                <xdr:col>22</xdr:col>
                <xdr:colOff>30</xdr:colOff>
                <xdr:row>3</xdr:row>
                <xdr:rowOff>9</xdr:rowOff>
              </xdr:to>
            </anchor>
          </commentPr>
        </mc:Choice>
        <mc:Fallback/>
      </mc:AlternateContent>
    </comment>
    <comment ref="U8" authorId="0">
      <text>
        <r>
          <rPr>
            <sz val="10"/>
            <rFont val="Arial"/>
            <family val="2"/>
          </rPr>
          <t xml:space="preserve">Guidance: 316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21</xdr:col>
                <xdr:colOff>23</xdr:colOff>
                <xdr:row>3</xdr:row>
                <xdr:rowOff>5</xdr:rowOff>
              </xdr:from>
              <xdr:to>
                <xdr:col>22</xdr:col>
                <xdr:colOff>47</xdr:colOff>
                <xdr:row>7</xdr:row>
                <xdr:rowOff>11</xdr:rowOff>
              </xdr:to>
            </anchor>
          </commentPr>
        </mc:Choice>
        <mc:Fallback/>
      </mc:AlternateContent>
    </comment>
    <comment ref="U28" authorId="0">
      <text>
        <r>
          <rPr>
            <sz val="10"/>
            <rFont val="Arial"/>
            <family val="2"/>
          </rPr>
          <t xml:space="preserve">Guggenheim: 5,258
Guidance: 5.2B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21</xdr:col>
                <xdr:colOff>15</xdr:colOff>
                <xdr:row>23</xdr:row>
                <xdr:rowOff>3</xdr:rowOff>
              </xdr:from>
              <xdr:to>
                <xdr:col>22</xdr:col>
                <xdr:colOff>30</xdr:colOff>
                <xdr:row>26</xdr:row>
                <xdr:rowOff>7</xdr:rowOff>
              </xdr:to>
            </anchor>
          </commentPr>
        </mc:Choice>
        <mc:Fallback/>
      </mc:AlternateContent>
    </comment>
    <comment ref="AH2" authorId="0">
      <text>
        <r>
          <rPr>
            <sz val="10"/>
            <rFont val="Arial"/>
            <family val="2"/>
          </rPr>
          <t xml:space="preserve">03/03 exp 23.007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1</xdr:colOff>
                <xdr:row>0</xdr:row>
                <xdr:rowOff>0</xdr:rowOff>
              </xdr:from>
              <xdr:to>
                <xdr:col>35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AH6" authorId="0">
      <text>
        <r>
          <rPr>
            <sz val="10"/>
            <rFont val="Arial"/>
            <family val="2"/>
          </rPr>
          <t xml:space="preserve">Guggenheim: 819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15</xdr:colOff>
                <xdr:row>1</xdr:row>
                <xdr:rowOff>6</xdr:rowOff>
              </xdr:from>
              <xdr:to>
                <xdr:col>35</xdr:col>
                <xdr:colOff>30</xdr:colOff>
                <xdr:row>5</xdr:row>
                <xdr:rowOff>7</xdr:rowOff>
              </xdr:to>
            </anchor>
          </commentPr>
        </mc:Choice>
        <mc:Fallback/>
      </mc:AlternateContent>
    </comment>
    <comment ref="AH12" authorId="0">
      <text>
        <r>
          <rPr>
            <sz val="10"/>
            <rFont val="Arial"/>
            <family val="2"/>
          </rPr>
          <t xml:space="preserve">Guggenheim: 521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15</xdr:colOff>
                <xdr:row>7</xdr:row>
                <xdr:rowOff>3</xdr:rowOff>
              </xdr:from>
              <xdr:to>
                <xdr:col>35</xdr:col>
                <xdr:colOff>30</xdr:colOff>
                <xdr:row>11</xdr:row>
                <xdr:rowOff>7</xdr:rowOff>
              </xdr:to>
            </anchor>
          </commentPr>
        </mc:Choice>
        <mc:Fallback/>
      </mc:AlternateContent>
    </comment>
    <comment ref="AH24" authorId="0">
      <text>
        <r>
          <rPr>
            <sz val="10"/>
            <rFont val="Arial"/>
            <family val="2"/>
          </rPr>
          <t xml:space="preserve">Oppenheimer: 17,582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15</xdr:colOff>
                <xdr:row>19</xdr:row>
                <xdr:rowOff>3</xdr:rowOff>
              </xdr:from>
              <xdr:to>
                <xdr:col>35</xdr:col>
                <xdr:colOff>30</xdr:colOff>
                <xdr:row>23</xdr:row>
                <xdr:rowOff>7</xdr:rowOff>
              </xdr:to>
            </anchor>
          </commentPr>
        </mc:Choice>
        <mc:Fallback/>
      </mc:AlternateContent>
    </comment>
    <comment ref="AH26" authorId="0">
      <text>
        <r>
          <rPr>
            <sz val="10"/>
            <rFont val="Arial"/>
            <family val="2"/>
          </rPr>
          <t xml:space="preserve">Oppenheimer: 1,963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15</xdr:colOff>
                <xdr:row>21</xdr:row>
                <xdr:rowOff>3</xdr:rowOff>
              </xdr:from>
              <xdr:to>
                <xdr:col>35</xdr:col>
                <xdr:colOff>30</xdr:colOff>
                <xdr:row>25</xdr:row>
                <xdr:rowOff>7</xdr:rowOff>
              </xdr:to>
            </anchor>
          </commentPr>
        </mc:Choice>
        <mc:Fallback/>
      </mc:AlternateContent>
    </comment>
    <comment ref="AI2" authorId="0">
      <text>
        <r>
          <rPr>
            <sz val="10"/>
            <rFont val="Arial"/>
            <family val="2"/>
          </rPr>
          <t xml:space="preserve">03/03 exp. 26.225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1</xdr:colOff>
                <xdr:row>0</xdr:row>
                <xdr:rowOff>0</xdr:rowOff>
              </xdr:from>
              <xdr:to>
                <xdr:col>36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AI6" authorId="0">
      <text>
        <r>
          <rPr>
            <sz val="10"/>
            <rFont val="Arial"/>
            <family val="2"/>
          </rPr>
          <t xml:space="preserve">Guggenheim: 872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15</xdr:colOff>
                <xdr:row>1</xdr:row>
                <xdr:rowOff>6</xdr:rowOff>
              </xdr:from>
              <xdr:to>
                <xdr:col>36</xdr:col>
                <xdr:colOff>30</xdr:colOff>
                <xdr:row>5</xdr:row>
                <xdr:rowOff>7</xdr:rowOff>
              </xdr:to>
            </anchor>
          </commentPr>
        </mc:Choice>
        <mc:Fallback/>
      </mc:AlternateContent>
    </comment>
    <comment ref="AI12" authorId="0">
      <text>
        <r>
          <rPr>
            <sz val="10"/>
            <rFont val="Arial"/>
            <family val="2"/>
          </rPr>
          <t xml:space="preserve">Guggenheim: 552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15</xdr:colOff>
                <xdr:row>7</xdr:row>
                <xdr:rowOff>3</xdr:rowOff>
              </xdr:from>
              <xdr:to>
                <xdr:col>36</xdr:col>
                <xdr:colOff>30</xdr:colOff>
                <xdr:row>11</xdr:row>
                <xdr:rowOff>7</xdr:rowOff>
              </xdr:to>
            </anchor>
          </commentPr>
        </mc:Choice>
        <mc:Fallback/>
      </mc:AlternateContent>
    </comment>
    <comment ref="AI24" authorId="0">
      <text>
        <r>
          <rPr>
            <sz val="10"/>
            <rFont val="Arial"/>
            <family val="2"/>
          </rPr>
          <t xml:space="preserve">Oppenheimer: 20,017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15</xdr:colOff>
                <xdr:row>19</xdr:row>
                <xdr:rowOff>3</xdr:rowOff>
              </xdr:from>
              <xdr:to>
                <xdr:col>36</xdr:col>
                <xdr:colOff>30</xdr:colOff>
                <xdr:row>23</xdr:row>
                <xdr:rowOff>7</xdr:rowOff>
              </xdr:to>
            </anchor>
          </commentPr>
        </mc:Choice>
        <mc:Fallback/>
      </mc:AlternateContent>
    </comment>
    <comment ref="AI26" authorId="0">
      <text>
        <r>
          <rPr>
            <sz val="10"/>
            <rFont val="Arial"/>
            <family val="2"/>
          </rPr>
          <t xml:space="preserve">Oppenheimer: 2,325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15</xdr:colOff>
                <xdr:row>21</xdr:row>
                <xdr:rowOff>3</xdr:rowOff>
              </xdr:from>
              <xdr:to>
                <xdr:col>36</xdr:col>
                <xdr:colOff>30</xdr:colOff>
                <xdr:row>25</xdr:row>
                <xdr:rowOff>7</xdr:rowOff>
              </xdr:to>
            </anchor>
          </commentPr>
        </mc:Choice>
        <mc:Fallback/>
      </mc:AlternateContent>
    </comment>
    <comment ref="AJ2" authorId="0">
      <text>
        <r>
          <rPr>
            <sz val="10"/>
            <rFont val="Arial"/>
            <family val="2"/>
          </rPr>
          <t xml:space="preserve">03/03 exp. 29.646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1</xdr:colOff>
                <xdr:row>0</xdr:row>
                <xdr:rowOff>0</xdr:rowOff>
              </xdr:from>
              <xdr:to>
                <xdr:col>37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AR85" authorId="0">
      <text>
        <r>
          <rPr>
            <sz val="10"/>
            <rFont val="Arial"/>
            <family val="2"/>
          </rPr>
          <t xml:space="preserve">NFLX: 22x
DIS: 10x
TKO: 18x
ROKU: 30x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44</xdr:col>
                <xdr:colOff>10</xdr:colOff>
                <xdr:row>80</xdr:row>
                <xdr:rowOff>5</xdr:rowOff>
              </xdr:from>
              <xdr:to>
                <xdr:col>45</xdr:col>
                <xdr:colOff>19</xdr:colOff>
                <xdr:row>84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<sst xmlns="http://schemas.openxmlformats.org/spreadsheetml/2006/main" count="228" uniqueCount="194">
  <si>
    <t xml:space="preserve">Spotify Technologies S.A.</t>
  </si>
  <si>
    <t xml:space="preserve">Price</t>
  </si>
  <si>
    <t xml:space="preserve">Share</t>
  </si>
  <si>
    <t xml:space="preserve">Q326</t>
  </si>
  <si>
    <t xml:space="preserve">MC</t>
  </si>
  <si>
    <t xml:space="preserve">Beta</t>
  </si>
  <si>
    <t xml:space="preserve">Cash</t>
  </si>
  <si>
    <t xml:space="preserve">Debt</t>
  </si>
  <si>
    <t xml:space="preserve">EV</t>
  </si>
  <si>
    <t xml:space="preserve">CAPM</t>
  </si>
  <si>
    <t xml:space="preserve">WACC</t>
  </si>
  <si>
    <t xml:space="preserve">Cost of Debt</t>
  </si>
  <si>
    <t xml:space="preserve">Incremental Margin TTM</t>
  </si>
  <si>
    <t xml:space="preserve">Leverage</t>
  </si>
  <si>
    <t xml:space="preserve">EV/FCF (TTM)</t>
  </si>
  <si>
    <t xml:space="preserve">EV/FCF (FFCF)</t>
  </si>
  <si>
    <t xml:space="preserve">P/FCF</t>
  </si>
  <si>
    <t xml:space="preserve">EV/EBITDA</t>
  </si>
  <si>
    <t xml:space="preserve">Cr. Spread</t>
  </si>
  <si>
    <t xml:space="preserve">← suppose IG, given the negative Leverage</t>
  </si>
  <si>
    <t xml:space="preserve">Rating</t>
  </si>
  <si>
    <t xml:space="preserve">N.A.</t>
  </si>
  <si>
    <t xml:space="preserve">S&amp;P</t>
  </si>
  <si>
    <t xml:space="preserve">Moody’s</t>
  </si>
  <si>
    <t xml:space="preserve">ir@spotify.com</t>
  </si>
  <si>
    <t xml:space="preserve">Founder and CEO</t>
  </si>
  <si>
    <t xml:space="preserve">Daniel Ek</t>
  </si>
  <si>
    <t xml:space="preserve">Holds 13 %</t>
  </si>
  <si>
    <t xml:space="preserve">Management</t>
  </si>
  <si>
    <t xml:space="preserve">Tencent holds 8 %</t>
  </si>
  <si>
    <t xml:space="preserve">-&gt;</t>
  </si>
  <si>
    <t xml:space="preserve">Approached AI in 2021</t>
  </si>
  <si>
    <t xml:space="preserve">ChatGPT integration</t>
  </si>
  <si>
    <t xml:space="preserve">Use of AI for algorithm and playlist → increase engagement?</t>
  </si>
  <si>
    <t xml:space="preserve">Prompted end of year wrapped (boosted Q4 2025 subs and earnings)</t>
  </si>
  <si>
    <t xml:space="preserve">Sector</t>
  </si>
  <si>
    <t xml:space="preserve">“Audio Streaming”</t>
  </si>
  <si>
    <t xml:space="preserve">Plans</t>
  </si>
  <si>
    <t xml:space="preserve">Ad-Supported</t>
  </si>
  <si>
    <t xml:space="preserve">Music and Audiobook with Ad break</t>
  </si>
  <si>
    <t xml:space="preserve">Basic</t>
  </si>
  <si>
    <t xml:space="preserve">Ad Supported account with certain Premium features ???</t>
  </si>
  <si>
    <t xml:space="preserve">Audiobook Access</t>
  </si>
  <si>
    <t xml:space="preserve">Only with Audiobooks without ads, music with ads</t>
  </si>
  <si>
    <t xml:space="preserve">Premium</t>
  </si>
  <si>
    <t xml:space="preserve">Audiobook and Music without ad break</t>
  </si>
  <si>
    <t xml:space="preserve">Mainly sold to end users and businesses that sell the service in bundle with their own service</t>
  </si>
  <si>
    <t xml:space="preserve"> Standard</t>
  </si>
  <si>
    <t xml:space="preserve"> Family</t>
  </si>
  <si>
    <t xml:space="preserve"> Duo</t>
  </si>
  <si>
    <t xml:space="preserve"> Student</t>
  </si>
  <si>
    <t xml:space="preserve">Seasonality</t>
  </si>
  <si>
    <t xml:space="preserve">There is no clear seasonality for the Premium revenues</t>
  </si>
  <si>
    <r>
      <rPr>
        <sz val="10"/>
        <rFont val="Arial"/>
        <family val="2"/>
        <charset val="1"/>
      </rPr>
      <t xml:space="preserve">There is seasonality in the Ad-Supported accounts since in the 4</t>
    </r>
    <r>
      <rPr>
        <vertAlign val="superscript"/>
        <sz val="10"/>
        <rFont val="Arial"/>
        <family val="2"/>
        <charset val="1"/>
      </rPr>
      <t xml:space="preserve">th</t>
    </r>
    <r>
      <rPr>
        <sz val="10"/>
        <rFont val="Arial"/>
        <family val="2"/>
        <charset val="1"/>
      </rPr>
      <t xml:space="preserve"> quarter there is a higher demand for advertisement due to the holiday season.</t>
    </r>
  </si>
  <si>
    <r>
      <rPr>
        <sz val="10"/>
        <rFont val="Arial"/>
        <family val="2"/>
        <charset val="1"/>
      </rPr>
      <t xml:space="preserve">During the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quarter there is a lower demand for ADV</t>
    </r>
  </si>
  <si>
    <r>
      <rPr>
        <sz val="10"/>
        <rFont val="Arial"/>
        <family val="2"/>
        <charset val="1"/>
      </rPr>
      <t xml:space="preserve">In 4</t>
    </r>
    <r>
      <rPr>
        <vertAlign val="superscript"/>
        <sz val="10"/>
        <rFont val="Arial"/>
        <family val="2"/>
        <charset val="1"/>
      </rPr>
      <t xml:space="preserve">th</t>
    </r>
    <r>
      <rPr>
        <sz val="10"/>
        <rFont val="Arial"/>
        <family val="2"/>
        <charset val="1"/>
      </rPr>
      <t xml:space="preserve"> quarter there is also the Spotify Wrapper (which has a big social appeal). On top of that, there are also Christmas Gifts</t>
    </r>
  </si>
  <si>
    <t xml:space="preserve">Revenues</t>
  </si>
  <si>
    <t xml:space="preserve">88% of revenues is dependant on Premium subscriptions</t>
  </si>
  <si>
    <t xml:space="preserve">which is a fixed income for the firm</t>
  </si>
  <si>
    <t xml:space="preserve">every month has 281 people paying on avg $4.53</t>
  </si>
  <si>
    <t xml:space="preserve">Price increasing in 2026</t>
  </si>
  <si>
    <t xml:space="preserve">Want to enter the physical book market integrated in the audiobook ecosystem</t>
  </si>
  <si>
    <t xml:space="preserve">-=NPV(AQ65,AH56:DB56)+</t>
  </si>
  <si>
    <t xml:space="preserve">Main</t>
  </si>
  <si>
    <t xml:space="preserve">in Millions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</si>
  <si>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</si>
  <si>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</si>
  <si>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</si>
  <si>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</si>
  <si>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</si>
  <si>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</si>
  <si>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</si>
  <si>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</si>
  <si>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</si>
  <si>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</si>
  <si>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</si>
  <si>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</si>
  <si>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</si>
  <si>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</si>
  <si>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</si>
  <si>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</si>
  <si>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</si>
  <si>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Q226</t>
  </si>
  <si>
    <t xml:space="preserve">Q426</t>
  </si>
  <si>
    <t xml:space="preserve">Streamed Hours</t>
  </si>
  <si>
    <t xml:space="preserve">MAU</t>
  </si>
  <si>
    <t xml:space="preserve">Premium Subs </t>
  </si>
  <si>
    <t xml:space="preserve">Premium ARPU</t>
  </si>
  <si>
    <t xml:space="preserve">Ad-Sup MAU</t>
  </si>
  <si>
    <t xml:space="preserve">Premium %</t>
  </si>
  <si>
    <t xml:space="preserve">ARPU</t>
  </si>
  <si>
    <t xml:space="preserve">CPU</t>
  </si>
  <si>
    <t xml:space="preserve">PPU</t>
  </si>
  <si>
    <t xml:space="preserve">Ad-Sup</t>
  </si>
  <si>
    <t xml:space="preserve">Revenue</t>
  </si>
  <si>
    <t xml:space="preserve">Premium COGS</t>
  </si>
  <si>
    <t xml:space="preserve">Ad-Sup COGS</t>
  </si>
  <si>
    <t xml:space="preserve">COGS</t>
  </si>
  <si>
    <t xml:space="preserve">Gross Profit</t>
  </si>
  <si>
    <t xml:space="preserve">R&amp;D</t>
  </si>
  <si>
    <t xml:space="preserve">S&amp;M</t>
  </si>
  <si>
    <t xml:space="preserve">G&amp;A</t>
  </si>
  <si>
    <t xml:space="preserve">OpEx</t>
  </si>
  <si>
    <t xml:space="preserve">OpInc / EBIT</t>
  </si>
  <si>
    <t xml:space="preserve">Finance Inc</t>
  </si>
  <si>
    <t xml:space="preserve">Finance exp</t>
  </si>
  <si>
    <t xml:space="preserve">EBT</t>
  </si>
  <si>
    <t xml:space="preserve">Taxes</t>
  </si>
  <si>
    <t xml:space="preserve">Net Inc</t>
  </si>
  <si>
    <t xml:space="preserve">EPS</t>
  </si>
  <si>
    <t xml:space="preserve">Shares</t>
  </si>
  <si>
    <t xml:space="preserve">Gordon Growth Model</t>
  </si>
  <si>
    <t xml:space="preserve">Terminal</t>
  </si>
  <si>
    <t xml:space="preserve">Payout Ratio</t>
  </si>
  <si>
    <t xml:space="preserve">Equity Value</t>
  </si>
  <si>
    <t xml:space="preserve">Gross Margin</t>
  </si>
  <si>
    <t xml:space="preserve">Discount</t>
  </si>
  <si>
    <t xml:space="preserve">2026 E</t>
  </si>
  <si>
    <t xml:space="preserve">Sustainable Growth</t>
  </si>
  <si>
    <t xml:space="preserve">Op Margin</t>
  </si>
  <si>
    <t xml:space="preserve">ROIC</t>
  </si>
  <si>
    <t xml:space="preserve">EV/E</t>
  </si>
  <si>
    <t xml:space="preserve">NI Margin</t>
  </si>
  <si>
    <t xml:space="preserve">NPV</t>
  </si>
  <si>
    <t xml:space="preserve">Just P/E</t>
  </si>
  <si>
    <t xml:space="preserve">Rule of 40</t>
  </si>
  <si>
    <t xml:space="preserve">Tax Rate</t>
  </si>
  <si>
    <t xml:space="preserve">Diff</t>
  </si>
  <si>
    <t xml:space="preserve">yield</t>
  </si>
  <si>
    <t xml:space="preserve">Useless for this Company at this stage</t>
  </si>
  <si>
    <t xml:space="preserve">EBITDA</t>
  </si>
  <si>
    <t xml:space="preserve">Inc. Margin</t>
  </si>
  <si>
    <t xml:space="preserve">Premium Reve</t>
  </si>
  <si>
    <t xml:space="preserve">Book Value</t>
  </si>
  <si>
    <t xml:space="preserve">ROA</t>
  </si>
  <si>
    <t xml:space="preserve">ROE</t>
  </si>
  <si>
    <t xml:space="preserve">A Turnover</t>
  </si>
  <si>
    <t xml:space="preserve">Financial Leverage</t>
  </si>
  <si>
    <t xml:space="preserve">Financial Leverage %</t>
  </si>
  <si>
    <t xml:space="preserve">Debt (-)</t>
  </si>
  <si>
    <t xml:space="preserve">Cash (+)</t>
  </si>
  <si>
    <t xml:space="preserve">NWC</t>
  </si>
  <si>
    <t xml:space="preserve">NOPAT</t>
  </si>
  <si>
    <t xml:space="preserve">TV</t>
  </si>
  <si>
    <t xml:space="preserve">UFCF</t>
  </si>
  <si>
    <t xml:space="preserve">A/L</t>
  </si>
  <si>
    <t xml:space="preserve">Investments</t>
  </si>
  <si>
    <t xml:space="preserve">Income tax receivables</t>
  </si>
  <si>
    <t xml:space="preserve">A/R</t>
  </si>
  <si>
    <t xml:space="preserve">Other</t>
  </si>
  <si>
    <t xml:space="preserve">Lease ROU</t>
  </si>
  <si>
    <t xml:space="preserve">PP&amp;E</t>
  </si>
  <si>
    <t xml:space="preserve">Goodwill</t>
  </si>
  <si>
    <t xml:space="preserve">Intangible</t>
  </si>
  <si>
    <t xml:space="preserve">Finance recevables</t>
  </si>
  <si>
    <t xml:space="preserve">D/T</t>
  </si>
  <si>
    <t xml:space="preserve">A</t>
  </si>
  <si>
    <t xml:space="preserve">A/P</t>
  </si>
  <si>
    <t xml:space="preserve">Income tax payables</t>
  </si>
  <si>
    <t xml:space="preserve">D/R</t>
  </si>
  <si>
    <t xml:space="preserve">Accr exp</t>
  </si>
  <si>
    <t xml:space="preserve">Notes</t>
  </si>
  <si>
    <t xml:space="preserve">Provisions</t>
  </si>
  <si>
    <t xml:space="preserve">Derivative liab</t>
  </si>
  <si>
    <t xml:space="preserve">Lease</t>
  </si>
  <si>
    <t xml:space="preserve">L</t>
  </si>
  <si>
    <t xml:space="preserve">Treasury Shares</t>
  </si>
  <si>
    <t xml:space="preserve">Other reserves</t>
  </si>
  <si>
    <t xml:space="preserve">Deficit</t>
  </si>
  <si>
    <t xml:space="preserve">SE</t>
  </si>
  <si>
    <t xml:space="preserve">L+SE</t>
  </si>
  <si>
    <t xml:space="preserve">Model NI</t>
  </si>
  <si>
    <t xml:space="preserve">D&amp;A</t>
  </si>
  <si>
    <t xml:space="preserve">Impairment charges</t>
  </si>
  <si>
    <t xml:space="preserve">SBC</t>
  </si>
  <si>
    <t xml:space="preserve">Finance costs</t>
  </si>
  <si>
    <t xml:space="preserve">Income tax </t>
  </si>
  <si>
    <t xml:space="preserve">Change in Work. Cap</t>
  </si>
  <si>
    <t xml:space="preserve">Interest Paid</t>
  </si>
  <si>
    <t xml:space="preserve">Interest Received</t>
  </si>
  <si>
    <t xml:space="preserve">CFFO</t>
  </si>
  <si>
    <t xml:space="preserve">CapEx</t>
  </si>
  <si>
    <t xml:space="preserve">FCF</t>
  </si>
  <si>
    <t xml:space="preserve">FCF/share</t>
  </si>
  <si>
    <t xml:space="preserve">Accruals</t>
  </si>
  <si>
    <t xml:space="preserve">Accruals Ratio</t>
  </si>
  <si>
    <t xml:space="preserve">Employees</t>
  </si>
  <si>
    <t xml:space="preserve">Rev / Employees</t>
  </si>
  <si>
    <t xml:space="preserve">DSO</t>
  </si>
  <si>
    <t xml:space="preserve">DPO</t>
  </si>
  <si>
    <t xml:space="preserve">CCC</t>
  </si>
  <si>
    <t xml:space="preserve">Share Issuance</t>
  </si>
  <si>
    <t xml:space="preserve">Share Repurchase</t>
  </si>
  <si>
    <t xml:space="preserve">Total SH return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</si>
</sst>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"/>
    <numFmt numFmtId="166" formatCode="#,##0;\(#,##0\);\-"/>
    <numFmt numFmtId="167" formatCode="#,##0.00\x"/>
    <numFmt numFmtId="168" formatCode="0.0%"/>
    <numFmt numFmtId="169" formatCode="0.00%"/>
    <numFmt numFmtId="170" formatCode="#%"/>
    <numFmt numFmtId="171" formatCode="#.##\x"/>
    <numFmt numFmtId="172" formatCode="#\x"/>
    <numFmt numFmtId="173" formatCode="#,##0.00&quot;bp&quot;"/>
    <numFmt numFmtId="174" formatCode="#,##0.00"/>
    <numFmt numFmtId="175" formatCode="0.00"/>
    <numFmt numFmtId="176" formatCode="0.00%;\(0.00%\);\-"/>
    <numFmt numFmtId="177" formatCode="0%"/>
    <numFmt numFmtId="178" formatCode="#,##0\x"/>
    <numFmt numFmtId="179" formatCode="#,###.00"/>
    <numFmt numFmtId="180" formatCode="#,##0;\-#,##0"/>
    <numFmt numFmtId="181" formatCode="0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3"/>
      <color rgb="FFDDDDDD"/>
      <name val="Arial"/>
      <family val="2"/>
      <charset val="1"/>
    </font>
    <font>
      <b val="true"/>
      <i val="true"/>
      <sz val="13"/>
      <name val="Arial"/>
      <family val="2"/>
      <charset val="1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vertAlign val="superscript"/>
      <sz val="10"/>
      <name val="Arial"/>
      <family val="2"/>
      <charset val="1"/>
    </font>
    <font>
      <sz val="10"/>
      <name val="Arial"/>
      <family val="2"/>
    </font>
    <font>
      <u val="single"/>
      <sz val="10"/>
      <name val="Arial"/>
      <family val="2"/>
      <charset val="1"/>
    </font>
    <font>
      <i val="true"/>
      <sz val="8"/>
      <color rgb="FF808080"/>
      <name val="Arial"/>
      <family val="2"/>
      <charset val="1"/>
    </font>
    <font>
      <b val="true"/>
      <i val="true"/>
      <sz val="8"/>
      <color rgb="FF808080"/>
      <name val="Arial"/>
      <family val="2"/>
      <charset val="1"/>
    </font>
    <font>
      <i val="true"/>
      <sz val="8"/>
      <name val="Arial"/>
      <family val="2"/>
      <charset val="1"/>
    </font>
    <font>
      <b val="true"/>
      <i val="true"/>
      <sz val="8"/>
      <name val="Arial"/>
      <family val="2"/>
      <charset val="1"/>
    </font>
    <font>
      <i val="true"/>
      <sz val="8"/>
      <color rgb="FF666666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92E285"/>
        <bgColor rgb="FFCCCCCC"/>
      </patternFill>
    </fill>
    <fill>
      <patternFill patternType="solid">
        <fgColor rgb="FFB2B2B2"/>
        <bgColor rgb="FFCCCCCC"/>
      </patternFill>
    </fill>
    <fill>
      <patternFill patternType="solid">
        <fgColor rgb="FFDDDDDD"/>
        <bgColor rgb="FFCCCCCC"/>
      </patternFill>
    </fill>
    <fill>
      <patternFill patternType="solid">
        <fgColor rgb="FFCCCCCC"/>
        <bgColor rgb="FFDDDDDD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1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E28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33</xdr:col>
      <xdr:colOff>119880</xdr:colOff>
      <xdr:row>1</xdr:row>
      <xdr:rowOff>18360</xdr:rowOff>
    </xdr:from>
    <xdr:to>
      <xdr:col>33</xdr:col>
      <xdr:colOff>121680</xdr:colOff>
      <xdr:row>147</xdr:row>
      <xdr:rowOff>54000</xdr:rowOff>
    </xdr:to>
    <xdr:sp>
      <xdr:nvSpPr>
        <xdr:cNvPr id="1" name="Line 2"/>
        <xdr:cNvSpPr/>
      </xdr:nvSpPr>
      <xdr:spPr>
        <a:xfrm flipH="1">
          <a:off x="27836280" y="181080"/>
          <a:ext cx="1800" cy="2274696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20</xdr:col>
      <xdr:colOff>92880</xdr:colOff>
      <xdr:row>1</xdr:row>
      <xdr:rowOff>29520</xdr:rowOff>
    </xdr:from>
    <xdr:to>
      <xdr:col>20</xdr:col>
      <xdr:colOff>94680</xdr:colOff>
      <xdr:row>171</xdr:row>
      <xdr:rowOff>144720</xdr:rowOff>
    </xdr:to>
    <xdr:sp>
      <xdr:nvSpPr>
        <xdr:cNvPr id="2" name="Vertical line 1"/>
        <xdr:cNvSpPr/>
      </xdr:nvSpPr>
      <xdr:spPr>
        <a:xfrm>
          <a:off x="17242920" y="192240"/>
          <a:ext cx="1800" cy="2658168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  <sheetName val="Zero-rate curve BoE"/>
    </sheetNames>
    <sheetDataSet>
      <sheetData sheetId="0"/>
      <sheetData sheetId="1"/>
      <sheetData sheetId="2">
        <row r="6">
          <cell r="J6">
            <v>0.803478260869565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ir@spotify.com" TargetMode="Externa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SPOT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6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E9" activeCellId="0" sqref="E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1" width="15.7"/>
    <col collapsed="false" customWidth="false" hidden="false" outlineLevel="0" max="16384" min="3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510</v>
      </c>
    </row>
    <row r="2" customFormat="false" ht="12.8" hidden="false" customHeight="false" outlineLevel="0" collapsed="false">
      <c r="E2" s="1" t="s">
        <v>2</v>
      </c>
      <c r="F2" s="4" t="n">
        <v>208.578748</v>
      </c>
      <c r="G2" s="5" t="s">
        <v>3</v>
      </c>
    </row>
    <row r="3" customFormat="false" ht="12.8" hidden="false" customHeight="false" outlineLevel="0" collapsed="false">
      <c r="E3" s="1" t="s">
        <v>4</v>
      </c>
      <c r="F3" s="3" t="n">
        <f aca="false">F1*F2</f>
        <v>106375.16148</v>
      </c>
      <c r="G3" s="5"/>
    </row>
    <row r="4" customFormat="false" ht="12.8" hidden="false" customHeight="false" outlineLevel="0" collapsed="false">
      <c r="B4" s="1" t="s">
        <v>5</v>
      </c>
      <c r="C4" s="1" t="n">
        <v>1.02</v>
      </c>
      <c r="E4" s="1" t="s">
        <v>6</v>
      </c>
      <c r="F4" s="3" t="n">
        <v>11128</v>
      </c>
      <c r="G4" s="5" t="s">
        <v>3</v>
      </c>
    </row>
    <row r="5" customFormat="false" ht="12.8" hidden="false" customHeight="false" outlineLevel="0" collapsed="false">
      <c r="E5" s="1" t="s">
        <v>7</v>
      </c>
      <c r="F5" s="4" t="n">
        <v>391</v>
      </c>
      <c r="G5" s="5" t="s">
        <v>3</v>
      </c>
    </row>
    <row r="6" customFormat="false" ht="12.8" hidden="false" customHeight="false" outlineLevel="0" collapsed="false">
      <c r="E6" s="1" t="s">
        <v>8</v>
      </c>
      <c r="F6" s="6" t="n">
        <f aca="false">F3-F4+F5</f>
        <v>95638.16148</v>
      </c>
      <c r="G6" s="5"/>
    </row>
    <row r="7" customFormat="false" ht="12.8" hidden="false" customHeight="false" outlineLevel="0" collapsed="false">
      <c r="F7" s="7" t="n">
        <f aca="false">+F6/SUM(Model!P28:S28)</f>
        <v>5.28008399933749</v>
      </c>
    </row>
    <row r="9" s="11" customFormat="true" ht="16.15" hidden="false" customHeight="false" outlineLevel="0" collapsed="false">
      <c r="A9" s="8" t="s">
        <v>9</v>
      </c>
      <c r="B9" s="9" t="n">
        <f aca="false">0.05+C4*(0.1-0.05)</f>
        <v>0.101</v>
      </c>
      <c r="C9" s="1"/>
      <c r="D9" s="9" t="s">
        <v>10</v>
      </c>
      <c r="E9" s="10" t="n">
        <f aca="false">+(F3/(F3+F5))*B9+(F5/(F5+F3))*B10*(1-Model!R69)</f>
        <v>0.100779617162002</v>
      </c>
      <c r="F9" s="1"/>
      <c r="G9" s="1"/>
      <c r="H9" s="1"/>
    </row>
    <row r="10" s="11" customFormat="true" ht="16.15" hidden="false" customHeight="false" outlineLevel="0" collapsed="false">
      <c r="A10" s="8" t="s">
        <v>11</v>
      </c>
      <c r="B10" s="9" t="n">
        <f aca="false">+0.045 + (B17/100)</f>
        <v>0.0530521739130435</v>
      </c>
      <c r="C10" s="1"/>
      <c r="D10" s="1"/>
      <c r="E10" s="1"/>
      <c r="F10" s="1"/>
      <c r="G10" s="1"/>
      <c r="H10" s="1"/>
    </row>
    <row r="11" s="13" customFormat="true" ht="19.4" hidden="false" customHeight="true" outlineLevel="0" collapsed="false">
      <c r="A11" s="12" t="s">
        <v>12</v>
      </c>
      <c r="B11" s="12" t="n">
        <f aca="false">((Model!T46+Model!S46+Model!R46+Model!Q46)-(Model!P46+Model!O46+Model!N46+Model!M46))/((Model!T28+Model!S28+Model!R28+Model!Q28)-(Model!P28+Model!O28+Model!N28+Model!M28))</f>
        <v>0.402388917929953</v>
      </c>
      <c r="C11" s="0"/>
      <c r="D11" s="11"/>
      <c r="E11" s="11"/>
      <c r="F11" s="11"/>
      <c r="G11" s="11"/>
      <c r="H11" s="11"/>
    </row>
    <row r="12" customFormat="false" ht="19.4" hidden="false" customHeight="true" outlineLevel="0" collapsed="false">
      <c r="A12" s="10" t="s">
        <v>13</v>
      </c>
      <c r="B12" s="14" t="n">
        <f aca="false">+(F5-F4)/SUM(Model!Q71:T71)</f>
        <v>-3.75844047648218</v>
      </c>
      <c r="C12" s="13"/>
      <c r="D12" s="13"/>
      <c r="E12" s="13"/>
      <c r="F12" s="13"/>
      <c r="G12" s="13"/>
      <c r="H12" s="13"/>
    </row>
    <row r="13" s="16" customFormat="true" ht="19.4" hidden="false" customHeight="true" outlineLevel="0" collapsed="false">
      <c r="A13" s="8" t="s">
        <v>14</v>
      </c>
      <c r="B13" s="15" t="n">
        <f aca="false">+F6/SUM(Model!Q145:T145)</f>
        <v>29.9900161429915</v>
      </c>
      <c r="C13" s="1"/>
      <c r="D13" s="1"/>
      <c r="E13" s="1"/>
      <c r="F13" s="1"/>
      <c r="G13" s="1"/>
      <c r="H13" s="1"/>
    </row>
    <row r="14" customFormat="false" ht="19.4" hidden="false" customHeight="true" outlineLevel="0" collapsed="false">
      <c r="A14" s="15" t="s">
        <v>15</v>
      </c>
      <c r="B14" s="15" t="n">
        <f aca="false">$F$6/(SUM(Model!Q145:T145))</f>
        <v>29.9900161429915</v>
      </c>
      <c r="D14" s="16"/>
      <c r="E14" s="16"/>
      <c r="F14" s="16"/>
      <c r="G14" s="16"/>
      <c r="H14" s="16"/>
    </row>
    <row r="15" customFormat="false" ht="19.4" hidden="false" customHeight="true" outlineLevel="0" collapsed="false">
      <c r="A15" s="15" t="s">
        <v>16</v>
      </c>
      <c r="B15" s="15" t="n">
        <f aca="false">+F3/SUM(Model!Q145:T145)</f>
        <v>33.3569023142051</v>
      </c>
    </row>
    <row r="16" customFormat="false" ht="19.4" hidden="false" customHeight="true" outlineLevel="0" collapsed="false">
      <c r="A16" s="15" t="s">
        <v>17</v>
      </c>
      <c r="B16" s="15" t="n">
        <f aca="false">+F6/SUM(Model!Q71:T71)</f>
        <v>33.4777253611596</v>
      </c>
    </row>
    <row r="17" customFormat="false" ht="19.4" hidden="false" customHeight="true" outlineLevel="0" collapsed="false">
      <c r="A17" s="15" t="s">
        <v>18</v>
      </c>
      <c r="B17" s="17" t="n">
        <f aca="false">+'[1]Credit Spread US'!J6</f>
        <v>0.805217391304348</v>
      </c>
      <c r="C17" s="1" t="s">
        <v>19</v>
      </c>
    </row>
    <row r="18" customFormat="false" ht="19.4" hidden="false" customHeight="true" outlineLevel="0" collapsed="false">
      <c r="A18" s="15" t="s">
        <v>20</v>
      </c>
      <c r="B18" s="18" t="s">
        <v>21</v>
      </c>
      <c r="C18" s="18" t="s">
        <v>21</v>
      </c>
    </row>
    <row r="19" customFormat="false" ht="19.4" hidden="false" customHeight="true" outlineLevel="0" collapsed="false">
      <c r="A19" s="15"/>
      <c r="B19" s="19" t="s">
        <v>22</v>
      </c>
      <c r="C19" s="20" t="s">
        <v>23</v>
      </c>
    </row>
    <row r="20" customFormat="false" ht="19.4" hidden="false" customHeight="true" outlineLevel="0" collapsed="false"/>
    <row r="21" customFormat="false" ht="19.4" hidden="false" customHeight="true" outlineLevel="0" collapsed="false">
      <c r="A21" s="21" t="s">
        <v>24</v>
      </c>
    </row>
    <row r="22" customFormat="false" ht="12.95" hidden="false" customHeight="true" outlineLevel="0" collapsed="false">
      <c r="A22" s="1" t="s">
        <v>25</v>
      </c>
      <c r="B22" s="1" t="s">
        <v>26</v>
      </c>
      <c r="C22" s="1" t="s">
        <v>27</v>
      </c>
      <c r="J22" s="1" t="s">
        <v>28</v>
      </c>
    </row>
    <row r="23" customFormat="false" ht="12.95" hidden="false" customHeight="true" outlineLevel="0" collapsed="false">
      <c r="A23" s="1" t="s">
        <v>29</v>
      </c>
      <c r="K23" s="5" t="s">
        <v>30</v>
      </c>
      <c r="L23" s="1" t="s">
        <v>31</v>
      </c>
    </row>
    <row r="24" customFormat="false" ht="12.95" hidden="false" customHeight="true" outlineLevel="0" collapsed="false"/>
    <row r="25" customFormat="false" ht="12.95" hidden="false" customHeight="true" outlineLevel="0" collapsed="false">
      <c r="B25" s="5" t="s">
        <v>30</v>
      </c>
      <c r="C25" s="1" t="s">
        <v>32</v>
      </c>
    </row>
    <row r="26" customFormat="false" ht="12.95" hidden="false" customHeight="true" outlineLevel="0" collapsed="false">
      <c r="C26" s="1" t="s">
        <v>33</v>
      </c>
    </row>
    <row r="27" customFormat="false" ht="12.95" hidden="false" customHeight="true" outlineLevel="0" collapsed="false">
      <c r="C27" s="5" t="s">
        <v>30</v>
      </c>
      <c r="D27" s="1" t="s">
        <v>34</v>
      </c>
    </row>
    <row r="28" customFormat="false" ht="12.95" hidden="false" customHeight="true" outlineLevel="0" collapsed="false"/>
    <row r="29" customFormat="false" ht="12.95" hidden="false" customHeight="true" outlineLevel="0" collapsed="false"/>
    <row r="30" customFormat="false" ht="12.95" hidden="false" customHeight="true" outlineLevel="0" collapsed="false">
      <c r="A30" s="22" t="s">
        <v>35</v>
      </c>
      <c r="B30" s="1" t="s">
        <v>36</v>
      </c>
    </row>
    <row r="37" customFormat="false" ht="12.8" hidden="false" customHeight="false" outlineLevel="0" collapsed="false">
      <c r="A37" s="22" t="s">
        <v>37</v>
      </c>
      <c r="B37" s="1" t="s">
        <v>38</v>
      </c>
      <c r="C37" s="1" t="s">
        <v>39</v>
      </c>
    </row>
    <row r="38" customFormat="false" ht="12.8" hidden="false" customHeight="false" outlineLevel="0" collapsed="false">
      <c r="B38" s="1" t="s">
        <v>40</v>
      </c>
      <c r="C38" s="1" t="s">
        <v>41</v>
      </c>
    </row>
    <row r="39" customFormat="false" ht="12.8" hidden="false" customHeight="false" outlineLevel="0" collapsed="false">
      <c r="B39" s="1" t="s">
        <v>42</v>
      </c>
      <c r="C39" s="1" t="s">
        <v>43</v>
      </c>
    </row>
    <row r="40" customFormat="false" ht="12.8" hidden="false" customHeight="false" outlineLevel="0" collapsed="false">
      <c r="B40" s="1" t="s">
        <v>44</v>
      </c>
      <c r="C40" s="1" t="s">
        <v>45</v>
      </c>
      <c r="G40" s="1" t="s">
        <v>30</v>
      </c>
      <c r="H40" s="1" t="s">
        <v>46</v>
      </c>
    </row>
    <row r="41" customFormat="false" ht="12.8" hidden="false" customHeight="false" outlineLevel="0" collapsed="false">
      <c r="B41" s="1" t="s">
        <v>47</v>
      </c>
    </row>
    <row r="42" customFormat="false" ht="12.8" hidden="false" customHeight="false" outlineLevel="0" collapsed="false">
      <c r="B42" s="1" t="s">
        <v>48</v>
      </c>
    </row>
    <row r="43" customFormat="false" ht="12.8" hidden="false" customHeight="false" outlineLevel="0" collapsed="false">
      <c r="B43" s="1" t="s">
        <v>49</v>
      </c>
    </row>
    <row r="44" customFormat="false" ht="12.8" hidden="false" customHeight="false" outlineLevel="0" collapsed="false">
      <c r="B44" s="1" t="s">
        <v>50</v>
      </c>
    </row>
    <row r="46" customFormat="false" ht="12.8" hidden="false" customHeight="false" outlineLevel="0" collapsed="false">
      <c r="A46" s="22" t="s">
        <v>51</v>
      </c>
      <c r="B46" s="1" t="s">
        <v>52</v>
      </c>
    </row>
    <row r="47" customFormat="false" ht="12.8" hidden="false" customHeight="false" outlineLevel="0" collapsed="false">
      <c r="B47" s="1" t="s">
        <v>53</v>
      </c>
    </row>
    <row r="48" customFormat="false" ht="12.8" hidden="false" customHeight="false" outlineLevel="0" collapsed="false">
      <c r="B48" s="1" t="s">
        <v>54</v>
      </c>
    </row>
    <row r="49" customFormat="false" ht="12.8" hidden="false" customHeight="false" outlineLevel="0" collapsed="false">
      <c r="B49" s="1" t="s">
        <v>55</v>
      </c>
    </row>
    <row r="54" customFormat="false" ht="12.8" hidden="false" customHeight="false" outlineLevel="0" collapsed="false">
      <c r="A54" s="22" t="s">
        <v>56</v>
      </c>
      <c r="B54" s="1" t="s">
        <v>57</v>
      </c>
    </row>
    <row r="55" customFormat="false" ht="12.8" hidden="false" customHeight="false" outlineLevel="0" collapsed="false">
      <c r="B55" s="5" t="s">
        <v>30</v>
      </c>
      <c r="C55" s="1" t="s">
        <v>58</v>
      </c>
    </row>
    <row r="56" customFormat="false" ht="12.8" hidden="false" customHeight="false" outlineLevel="0" collapsed="false">
      <c r="B56" s="5" t="s">
        <v>30</v>
      </c>
      <c r="C56" s="1" t="s">
        <v>59</v>
      </c>
    </row>
    <row r="60" customFormat="false" ht="12.8" hidden="false" customHeight="false" outlineLevel="0" collapsed="false">
      <c r="B60" s="5" t="s">
        <v>30</v>
      </c>
      <c r="C60" s="1" t="s">
        <v>60</v>
      </c>
    </row>
    <row r="61" customFormat="false" ht="12.8" hidden="false" customHeight="false" outlineLevel="0" collapsed="false">
      <c r="B61" s="5" t="s">
        <v>30</v>
      </c>
      <c r="C61" s="1" t="s">
        <v>61</v>
      </c>
    </row>
    <row r="62" customFormat="false" ht="12.8" hidden="false" customHeight="false" outlineLevel="0" collapsed="false">
      <c r="B62" s="5"/>
    </row>
    <row r="63" customFormat="false" ht="12.8" hidden="false" customHeight="false" outlineLevel="0" collapsed="false">
      <c r="B63" s="5"/>
    </row>
    <row r="64" customFormat="false" ht="12.8" hidden="false" customHeight="false" outlineLevel="0" collapsed="false">
      <c r="B64" s="5"/>
    </row>
    <row r="67" customFormat="false" ht="12.8" hidden="false" customHeight="false" outlineLevel="0" collapsed="false">
      <c r="AQ67" s="1" t="s">
        <v>62</v>
      </c>
    </row>
  </sheetData>
  <hyperlinks>
    <hyperlink ref="A21" r:id="rId2" display="ir@spotify.com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G170"/>
  <sheetViews>
    <sheetView showFormulas="false" showGridLines="fals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1" ySplit="2" topLeftCell="P137" activePane="bottomRight" state="frozen"/>
      <selection pane="topLeft" activeCell="A1" activeCellId="0" sqref="A1"/>
      <selection pane="topRight" activeCell="P1" activeCellId="0" sqref="P1"/>
      <selection pane="bottomLeft" activeCell="A137" activeCellId="0" sqref="A137"/>
      <selection pane="bottomRight" activeCell="T115" activeCellId="0" sqref="T11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3" width="26.54"/>
    <col collapsed="false" customWidth="false" hidden="false" outlineLevel="0" max="18" min="2" style="1" width="11.53"/>
    <col collapsed="false" customWidth="true" hidden="false" outlineLevel="0" max="19" min="19" style="1" width="9.21"/>
    <col collapsed="false" customWidth="false" hidden="false" outlineLevel="0" max="47" min="20" style="1" width="11.53"/>
    <col collapsed="false" customWidth="true" hidden="false" outlineLevel="0" max="48" min="48" style="1" width="16.24"/>
    <col collapsed="false" customWidth="false" hidden="false" outlineLevel="0" max="106" min="49" style="1" width="11.53"/>
    <col collapsed="false" customWidth="false" hidden="false" outlineLevel="0" max="16384" min="112" style="1" width="11.53"/>
  </cols>
  <sheetData>
    <row r="1" s="5" customFormat="true" ht="12.8" hidden="false" customHeight="true" outlineLevel="0" collapsed="false">
      <c r="A1" s="24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DC1" s="25"/>
      <c r="DD1" s="25"/>
      <c r="DE1" s="25"/>
      <c r="DF1" s="25"/>
      <c r="DG1" s="25"/>
    </row>
    <row r="2" s="28" customFormat="true" ht="12.8" hidden="false" customHeight="true" outlineLevel="0" collapsed="false">
      <c r="A2" s="26" t="s">
        <v>64</v>
      </c>
      <c r="B2" s="5" t="s">
        <v>65</v>
      </c>
      <c r="C2" s="5" t="s">
        <v>66</v>
      </c>
      <c r="D2" s="5" t="s">
        <v>67</v>
      </c>
      <c r="E2" s="5" t="s">
        <v>68</v>
      </c>
      <c r="F2" s="5" t="s">
        <v>69</v>
      </c>
      <c r="G2" s="5" t="s">
        <v>70</v>
      </c>
      <c r="H2" s="5" t="s">
        <v>71</v>
      </c>
      <c r="I2" s="5" t="s">
        <v>72</v>
      </c>
      <c r="J2" s="5" t="s">
        <v>73</v>
      </c>
      <c r="K2" s="5" t="s">
        <v>74</v>
      </c>
      <c r="L2" s="5" t="s">
        <v>75</v>
      </c>
      <c r="M2" s="5" t="s">
        <v>76</v>
      </c>
      <c r="N2" s="27" t="s">
        <v>77</v>
      </c>
      <c r="O2" s="27" t="s">
        <v>78</v>
      </c>
      <c r="P2" s="27" t="s">
        <v>79</v>
      </c>
      <c r="Q2" s="27" t="s">
        <v>80</v>
      </c>
      <c r="R2" s="27" t="s">
        <v>81</v>
      </c>
      <c r="S2" s="27" t="s">
        <v>82</v>
      </c>
      <c r="T2" s="5" t="s">
        <v>3</v>
      </c>
      <c r="U2" s="5" t="s">
        <v>83</v>
      </c>
      <c r="V2" s="5"/>
      <c r="W2" s="5"/>
      <c r="X2" s="5"/>
      <c r="Y2" s="5"/>
      <c r="Z2" s="5"/>
      <c r="AA2" s="5" t="n">
        <v>2019</v>
      </c>
      <c r="AB2" s="5" t="n">
        <v>2020</v>
      </c>
      <c r="AC2" s="5" t="n">
        <f aca="false">AB2+1</f>
        <v>2021</v>
      </c>
      <c r="AD2" s="5" t="n">
        <f aca="false">AC2+1</f>
        <v>2022</v>
      </c>
      <c r="AE2" s="5" t="n">
        <f aca="false">AD2+1</f>
        <v>2023</v>
      </c>
      <c r="AF2" s="5" t="n">
        <f aca="false">AE2+1</f>
        <v>2024</v>
      </c>
      <c r="AG2" s="5" t="n">
        <f aca="false">AF2+1</f>
        <v>2025</v>
      </c>
      <c r="AH2" s="5" t="n">
        <f aca="false">AG2+1</f>
        <v>2026</v>
      </c>
      <c r="AI2" s="5" t="n">
        <f aca="false">AH2+1</f>
        <v>2027</v>
      </c>
      <c r="AJ2" s="5" t="n">
        <f aca="false">AI2+1</f>
        <v>2028</v>
      </c>
      <c r="AK2" s="5" t="n">
        <f aca="false">AJ2+1</f>
        <v>2029</v>
      </c>
      <c r="AL2" s="5" t="n">
        <f aca="false">AK2+1</f>
        <v>2030</v>
      </c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DC2" s="25"/>
      <c r="DD2" s="25"/>
      <c r="DE2" s="25"/>
      <c r="DF2" s="25"/>
      <c r="DG2" s="25"/>
    </row>
    <row r="3" s="5" customFormat="true" ht="12.8" hidden="false" customHeight="true" outlineLevel="0" collapsed="false">
      <c r="A3" s="29" t="s">
        <v>84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 t="n">
        <f aca="false">AF3*0.85</f>
        <v>161500</v>
      </c>
      <c r="AF3" s="28" t="n">
        <v>190000</v>
      </c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DC3" s="25"/>
      <c r="DD3" s="25"/>
      <c r="DE3" s="25"/>
      <c r="DF3" s="25"/>
      <c r="DG3" s="25"/>
    </row>
    <row r="4" s="31" customFormat="true" ht="10.5" hidden="false" customHeight="true" outlineLevel="0" collapsed="false">
      <c r="A4" s="30"/>
      <c r="AB4" s="32"/>
      <c r="AC4" s="32"/>
      <c r="AD4" s="32"/>
      <c r="AE4" s="32"/>
      <c r="AF4" s="32" t="n">
        <f aca="false">+AF3/AE3-1</f>
        <v>0.176470588235294</v>
      </c>
      <c r="AG4" s="32"/>
      <c r="DC4" s="25"/>
      <c r="DD4" s="25"/>
      <c r="DE4" s="25"/>
      <c r="DF4" s="25"/>
      <c r="DG4" s="25"/>
    </row>
    <row r="5" customFormat="false" ht="12.8" hidden="false" customHeight="true" outlineLevel="0" collapsed="false"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</row>
    <row r="6" customFormat="false" ht="12.8" hidden="false" customHeight="true" outlineLevel="0" collapsed="false">
      <c r="A6" s="23" t="s">
        <v>85</v>
      </c>
      <c r="B6" s="1" t="n">
        <v>422</v>
      </c>
      <c r="C6" s="1" t="n">
        <v>433</v>
      </c>
      <c r="D6" s="1" t="n">
        <v>456</v>
      </c>
      <c r="E6" s="1" t="n">
        <v>489</v>
      </c>
      <c r="F6" s="1" t="n">
        <v>515</v>
      </c>
      <c r="G6" s="1" t="n">
        <v>551</v>
      </c>
      <c r="H6" s="1" t="n">
        <v>574</v>
      </c>
      <c r="I6" s="1" t="n">
        <v>602</v>
      </c>
      <c r="J6" s="1" t="n">
        <v>615</v>
      </c>
      <c r="K6" s="1" t="n">
        <v>626</v>
      </c>
      <c r="L6" s="1" t="n">
        <v>640</v>
      </c>
      <c r="M6" s="1" t="n">
        <v>675</v>
      </c>
      <c r="N6" s="1" t="n">
        <v>678</v>
      </c>
      <c r="O6" s="1" t="n">
        <v>696</v>
      </c>
      <c r="P6" s="1" t="n">
        <v>713</v>
      </c>
      <c r="Q6" s="1" t="n">
        <v>751</v>
      </c>
      <c r="R6" s="1" t="n">
        <v>761</v>
      </c>
      <c r="S6" s="1" t="n">
        <v>777</v>
      </c>
      <c r="T6" s="1" t="n">
        <v>788</v>
      </c>
      <c r="U6" s="1" t="n">
        <f aca="false">+Q6*1.1</f>
        <v>826.1</v>
      </c>
      <c r="AA6" s="1" t="n">
        <v>271</v>
      </c>
      <c r="AB6" s="1" t="n">
        <v>345</v>
      </c>
      <c r="AC6" s="1" t="n">
        <v>406</v>
      </c>
      <c r="AD6" s="1" t="n">
        <v>489</v>
      </c>
      <c r="AE6" s="1" t="n">
        <v>602</v>
      </c>
      <c r="AF6" s="1" t="n">
        <v>675</v>
      </c>
      <c r="AG6" s="1" t="n">
        <v>751</v>
      </c>
      <c r="AH6" s="1" t="n">
        <v>819</v>
      </c>
    </row>
    <row r="7" s="32" customFormat="true" ht="10.5" hidden="false" customHeight="true" outlineLevel="0" collapsed="false">
      <c r="A7" s="30"/>
      <c r="F7" s="32" t="n">
        <f aca="false">+F6/B6-1</f>
        <v>0.220379146919431</v>
      </c>
      <c r="G7" s="32" t="n">
        <f aca="false">+G6/C6-1</f>
        <v>0.272517321016166</v>
      </c>
      <c r="H7" s="32" t="n">
        <f aca="false">+H6/D6-1</f>
        <v>0.258771929824561</v>
      </c>
      <c r="I7" s="32" t="n">
        <f aca="false">+I6/E6-1</f>
        <v>0.231083844580777</v>
      </c>
      <c r="J7" s="32" t="n">
        <f aca="false">+J6/F6-1</f>
        <v>0.194174757281553</v>
      </c>
      <c r="K7" s="32" t="n">
        <f aca="false">+K6/G6-1</f>
        <v>0.136116152450091</v>
      </c>
      <c r="L7" s="32" t="n">
        <f aca="false">+L6/H6-1</f>
        <v>0.114982578397212</v>
      </c>
      <c r="M7" s="32" t="n">
        <f aca="false">+M6/I6-1</f>
        <v>0.121262458471761</v>
      </c>
      <c r="N7" s="32" t="n">
        <f aca="false">+N6/J6-1</f>
        <v>0.102439024390244</v>
      </c>
      <c r="O7" s="32" t="n">
        <f aca="false">+O6/K6-1</f>
        <v>0.111821086261981</v>
      </c>
      <c r="P7" s="32" t="n">
        <f aca="false">+P6/L6-1</f>
        <v>0.1140625</v>
      </c>
      <c r="Q7" s="32" t="n">
        <f aca="false">+Q6/M6-1</f>
        <v>0.112592592592593</v>
      </c>
      <c r="R7" s="32" t="n">
        <f aca="false">+R6/N6-1</f>
        <v>0.122418879056047</v>
      </c>
      <c r="S7" s="32" t="n">
        <f aca="false">+S6/O6-1</f>
        <v>0.116379310344828</v>
      </c>
      <c r="T7" s="32" t="n">
        <f aca="false">+T6/P6-1</f>
        <v>0.105189340813464</v>
      </c>
      <c r="U7" s="32" t="n">
        <f aca="false">+U6/Q6-1</f>
        <v>0.1</v>
      </c>
      <c r="AB7" s="32" t="n">
        <f aca="false">+AB6/AA6-1</f>
        <v>0.273062730627306</v>
      </c>
      <c r="AC7" s="32" t="n">
        <f aca="false">+AC6/AB6-1</f>
        <v>0.176811594202899</v>
      </c>
      <c r="AD7" s="32" t="n">
        <f aca="false">+AD6/AC6-1</f>
        <v>0.204433497536946</v>
      </c>
      <c r="AE7" s="32" t="n">
        <f aca="false">+AE6/AD6-1</f>
        <v>0.231083844580777</v>
      </c>
      <c r="AF7" s="32" t="n">
        <f aca="false">+AF6/AE6-1</f>
        <v>0.121262458471761</v>
      </c>
      <c r="AG7" s="32" t="n">
        <f aca="false">+AG6/AF6-1</f>
        <v>0.112592592592593</v>
      </c>
      <c r="AH7" s="32" t="n">
        <f aca="false">+AH6/AG6-1</f>
        <v>0.0905459387483356</v>
      </c>
      <c r="AI7" s="32" t="n">
        <f aca="false">+AI6/AH6-1</f>
        <v>-1</v>
      </c>
      <c r="DC7" s="25"/>
      <c r="DD7" s="25"/>
      <c r="DE7" s="25"/>
      <c r="DF7" s="25"/>
      <c r="DG7" s="25"/>
    </row>
    <row r="8" s="33" customFormat="true" ht="12.8" hidden="false" customHeight="true" outlineLevel="0" collapsed="false">
      <c r="A8" s="23" t="s">
        <v>86</v>
      </c>
      <c r="B8" s="1" t="n">
        <v>182</v>
      </c>
      <c r="C8" s="1" t="n">
        <v>188</v>
      </c>
      <c r="D8" s="1" t="n">
        <v>195</v>
      </c>
      <c r="E8" s="1" t="n">
        <v>205</v>
      </c>
      <c r="F8" s="1" t="n">
        <v>210</v>
      </c>
      <c r="G8" s="1" t="n">
        <v>220</v>
      </c>
      <c r="H8" s="1" t="n">
        <v>226</v>
      </c>
      <c r="I8" s="1" t="n">
        <v>236</v>
      </c>
      <c r="J8" s="1" t="n">
        <v>239</v>
      </c>
      <c r="K8" s="1" t="n">
        <v>246</v>
      </c>
      <c r="L8" s="1" t="n">
        <v>252</v>
      </c>
      <c r="M8" s="1" t="n">
        <v>263</v>
      </c>
      <c r="N8" s="1" t="n">
        <v>268</v>
      </c>
      <c r="O8" s="1" t="n">
        <v>276</v>
      </c>
      <c r="P8" s="1" t="n">
        <v>281</v>
      </c>
      <c r="Q8" s="1" t="n">
        <v>290</v>
      </c>
      <c r="R8" s="1" t="n">
        <v>293</v>
      </c>
      <c r="S8" s="1" t="n">
        <v>300</v>
      </c>
      <c r="T8" s="1" t="n">
        <v>306</v>
      </c>
      <c r="U8" s="1" t="n">
        <v>316</v>
      </c>
      <c r="V8" s="1"/>
      <c r="W8" s="1"/>
      <c r="X8" s="1"/>
      <c r="Y8" s="1"/>
      <c r="Z8" s="1"/>
      <c r="AA8" s="1" t="n">
        <v>124</v>
      </c>
      <c r="AB8" s="1" t="n">
        <v>155</v>
      </c>
      <c r="AC8" s="1" t="n">
        <v>180</v>
      </c>
      <c r="AD8" s="1" t="n">
        <v>205</v>
      </c>
      <c r="AE8" s="1" t="n">
        <v>236</v>
      </c>
      <c r="AF8" s="1" t="n">
        <v>263</v>
      </c>
      <c r="AG8" s="1" t="n">
        <f aca="false">Q8</f>
        <v>290</v>
      </c>
      <c r="AH8" s="1" t="n">
        <f aca="false">+AG8+3</f>
        <v>293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DC8" s="25"/>
      <c r="DD8" s="25"/>
      <c r="DE8" s="25"/>
      <c r="DF8" s="25"/>
      <c r="DG8" s="25"/>
    </row>
    <row r="9" s="32" customFormat="true" ht="10.5" hidden="false" customHeight="true" outlineLevel="0" collapsed="false">
      <c r="A9" s="30"/>
      <c r="F9" s="32" t="n">
        <f aca="false">+F8/B8-1</f>
        <v>0.153846153846154</v>
      </c>
      <c r="G9" s="32" t="n">
        <f aca="false">+G8/C8-1</f>
        <v>0.170212765957447</v>
      </c>
      <c r="H9" s="32" t="n">
        <f aca="false">+H8/D8-1</f>
        <v>0.158974358974359</v>
      </c>
      <c r="I9" s="32" t="n">
        <f aca="false">+I8/E8-1</f>
        <v>0.151219512195122</v>
      </c>
      <c r="J9" s="32" t="n">
        <f aca="false">+J8/F8-1</f>
        <v>0.138095238095238</v>
      </c>
      <c r="K9" s="32" t="n">
        <f aca="false">+K8/G8-1</f>
        <v>0.118181818181818</v>
      </c>
      <c r="L9" s="32" t="n">
        <f aca="false">+L8/H8-1</f>
        <v>0.115044247787611</v>
      </c>
      <c r="M9" s="32" t="n">
        <f aca="false">+M8/I8-1</f>
        <v>0.114406779661017</v>
      </c>
      <c r="N9" s="32" t="n">
        <f aca="false">+N8/J8-1</f>
        <v>0.121338912133891</v>
      </c>
      <c r="O9" s="32" t="n">
        <f aca="false">+O8/K8-1</f>
        <v>0.121951219512195</v>
      </c>
      <c r="P9" s="32" t="n">
        <f aca="false">+P8/L8-1</f>
        <v>0.115079365079365</v>
      </c>
      <c r="Q9" s="32" t="n">
        <f aca="false">+Q8/M8-1</f>
        <v>0.102661596958175</v>
      </c>
      <c r="R9" s="32" t="n">
        <f aca="false">+R8/N8-1</f>
        <v>0.0932835820895523</v>
      </c>
      <c r="S9" s="32" t="n">
        <f aca="false">+S8/O8-1</f>
        <v>0.0869565217391304</v>
      </c>
      <c r="T9" s="32" t="n">
        <f aca="false">+T8/P8-1</f>
        <v>0.0889679715302492</v>
      </c>
      <c r="U9" s="32" t="n">
        <f aca="false">+U8/Q8-1</f>
        <v>0.0896551724137931</v>
      </c>
      <c r="AB9" s="32" t="n">
        <f aca="false">+AB8/AA8-1</f>
        <v>0.25</v>
      </c>
      <c r="AC9" s="32" t="n">
        <f aca="false">+AC8/AB8-1</f>
        <v>0.161290322580645</v>
      </c>
      <c r="AD9" s="32" t="n">
        <f aca="false">+AD8/AC8-1</f>
        <v>0.138888888888889</v>
      </c>
      <c r="AE9" s="32" t="n">
        <f aca="false">+AE8/AD8-1</f>
        <v>0.151219512195122</v>
      </c>
      <c r="AF9" s="32" t="n">
        <f aca="false">+AF8/AE8-1</f>
        <v>0.114406779661017</v>
      </c>
      <c r="AG9" s="32" t="n">
        <f aca="false">+AG8/AF8-1</f>
        <v>0.102661596958175</v>
      </c>
      <c r="AH9" s="32" t="n">
        <f aca="false">+AH8/AG8-1</f>
        <v>0.0103448275862068</v>
      </c>
      <c r="DC9" s="25"/>
      <c r="DD9" s="25"/>
      <c r="DE9" s="25"/>
      <c r="DF9" s="25"/>
      <c r="DG9" s="25"/>
    </row>
    <row r="10" customFormat="false" ht="12.8" hidden="false" customHeight="true" outlineLevel="0" collapsed="false">
      <c r="A10" s="34" t="s">
        <v>87</v>
      </c>
      <c r="B10" s="33" t="n">
        <v>4.38</v>
      </c>
      <c r="C10" s="33" t="n">
        <v>4.54</v>
      </c>
      <c r="D10" s="33" t="n">
        <v>4.63</v>
      </c>
      <c r="E10" s="33" t="n">
        <v>4.55</v>
      </c>
      <c r="F10" s="33" t="n">
        <v>4.32</v>
      </c>
      <c r="G10" s="33" t="n">
        <v>4.27</v>
      </c>
      <c r="H10" s="33" t="n">
        <v>4.34</v>
      </c>
      <c r="I10" s="33" t="n">
        <v>4.6</v>
      </c>
      <c r="J10" s="33" t="n">
        <v>4.55</v>
      </c>
      <c r="K10" s="33" t="n">
        <v>4.62</v>
      </c>
      <c r="L10" s="33" t="n">
        <v>4.71</v>
      </c>
      <c r="M10" s="33" t="n">
        <v>4.85</v>
      </c>
      <c r="N10" s="33" t="n">
        <v>4.73</v>
      </c>
      <c r="O10" s="33" t="n">
        <v>4.57</v>
      </c>
      <c r="P10" s="33" t="n">
        <v>4.53</v>
      </c>
      <c r="Q10" s="33" t="n">
        <v>4.7</v>
      </c>
      <c r="R10" s="33" t="n">
        <v>4.76</v>
      </c>
      <c r="S10" s="33" t="n">
        <v>4.89</v>
      </c>
      <c r="T10" s="33" t="n">
        <v>4.95</v>
      </c>
      <c r="U10" s="33"/>
      <c r="V10" s="33"/>
      <c r="W10" s="33"/>
      <c r="X10" s="33"/>
      <c r="Y10" s="33"/>
      <c r="Z10" s="33"/>
      <c r="AA10" s="33" t="n">
        <v>4.72</v>
      </c>
      <c r="AB10" s="33" t="n">
        <v>4.31</v>
      </c>
      <c r="AC10" s="33" t="n">
        <v>4.29</v>
      </c>
      <c r="AD10" s="33" t="n">
        <v>4.52</v>
      </c>
      <c r="AE10" s="33" t="n">
        <v>4.39</v>
      </c>
      <c r="AF10" s="33" t="n">
        <v>4.69</v>
      </c>
      <c r="AG10" s="33" t="n">
        <f aca="false">Q10</f>
        <v>4.7</v>
      </c>
      <c r="AH10" s="33" t="n">
        <f aca="false">+AG10*1.06</f>
        <v>4.982</v>
      </c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</row>
    <row r="11" s="32" customFormat="true" ht="10.5" hidden="false" customHeight="true" outlineLevel="0" collapsed="false">
      <c r="A11" s="30"/>
      <c r="F11" s="32" t="n">
        <f aca="false">+F10/B10-1</f>
        <v>-0.0136986301369862</v>
      </c>
      <c r="G11" s="32" t="n">
        <f aca="false">+G10/C10-1</f>
        <v>-0.0594713656387667</v>
      </c>
      <c r="H11" s="32" t="n">
        <f aca="false">+H10/D10-1</f>
        <v>-0.062634989200864</v>
      </c>
      <c r="I11" s="32" t="n">
        <f aca="false">+I10/E10-1</f>
        <v>0.010989010989011</v>
      </c>
      <c r="J11" s="32" t="n">
        <f aca="false">+J10/F10-1</f>
        <v>0.0532407407407407</v>
      </c>
      <c r="K11" s="32" t="n">
        <f aca="false">+K10/G10-1</f>
        <v>0.0819672131147542</v>
      </c>
      <c r="L11" s="32" t="n">
        <f aca="false">+L10/H10-1</f>
        <v>0.0852534562211982</v>
      </c>
      <c r="M11" s="32" t="n">
        <f aca="false">+M10/I10-1</f>
        <v>0.0543478260869565</v>
      </c>
      <c r="N11" s="32" t="n">
        <f aca="false">+N10/J10-1</f>
        <v>0.0395604395604396</v>
      </c>
      <c r="O11" s="32" t="n">
        <f aca="false">+O10/K10-1</f>
        <v>-0.0108225108225107</v>
      </c>
      <c r="P11" s="32" t="n">
        <f aca="false">+P10/L10-1</f>
        <v>-0.0382165605095541</v>
      </c>
      <c r="Q11" s="32" t="n">
        <f aca="false">+Q10/M10-1</f>
        <v>-0.0309278350515463</v>
      </c>
      <c r="R11" s="32" t="n">
        <f aca="false">+R10/N10-1</f>
        <v>0.00634249471458759</v>
      </c>
      <c r="S11" s="32" t="n">
        <f aca="false">+S10/O10-1</f>
        <v>0.0700218818380742</v>
      </c>
      <c r="T11" s="32" t="n">
        <f aca="false">+T10/P10-1</f>
        <v>0.0927152317880795</v>
      </c>
      <c r="U11" s="32" t="n">
        <f aca="false">+U10/Q10-1</f>
        <v>-1</v>
      </c>
      <c r="AB11" s="32" t="n">
        <f aca="false">+AB10/AA10-1</f>
        <v>-0.086864406779661</v>
      </c>
      <c r="AC11" s="32" t="n">
        <f aca="false">+AC10/AB10-1</f>
        <v>-0.00464037122969829</v>
      </c>
      <c r="AD11" s="32" t="n">
        <f aca="false">+AD10/AC10-1</f>
        <v>0.0536130536130535</v>
      </c>
      <c r="AE11" s="32" t="n">
        <f aca="false">+AE10/AD10-1</f>
        <v>-0.0287610619469026</v>
      </c>
      <c r="AF11" s="32" t="n">
        <f aca="false">+AF10/AE10-1</f>
        <v>0.0683371298405469</v>
      </c>
      <c r="AG11" s="32" t="n">
        <f aca="false">+AG10/AF10-1</f>
        <v>0.00213219616204685</v>
      </c>
      <c r="AH11" s="32" t="n">
        <f aca="false">+AH10/AG10-1</f>
        <v>0.0600000000000001</v>
      </c>
      <c r="DC11" s="25"/>
      <c r="DD11" s="25"/>
      <c r="DE11" s="25"/>
      <c r="DF11" s="25"/>
      <c r="DG11" s="25"/>
    </row>
    <row r="12" customFormat="false" ht="12.8" hidden="false" customHeight="true" outlineLevel="0" collapsed="false">
      <c r="A12" s="23" t="s">
        <v>88</v>
      </c>
      <c r="B12" s="1" t="n">
        <v>252</v>
      </c>
      <c r="C12" s="1" t="n">
        <v>256</v>
      </c>
      <c r="D12" s="1" t="n">
        <v>273</v>
      </c>
      <c r="E12" s="1" t="n">
        <v>295</v>
      </c>
      <c r="F12" s="1" t="n">
        <v>317</v>
      </c>
      <c r="G12" s="1" t="n">
        <v>343</v>
      </c>
      <c r="H12" s="1" t="n">
        <v>361</v>
      </c>
      <c r="I12" s="1" t="n">
        <v>379</v>
      </c>
      <c r="J12" s="1" t="n">
        <v>388</v>
      </c>
      <c r="K12" s="1" t="n">
        <v>393</v>
      </c>
      <c r="L12" s="1" t="n">
        <v>402</v>
      </c>
      <c r="M12" s="1" t="n">
        <v>425</v>
      </c>
      <c r="N12" s="1" t="n">
        <v>423</v>
      </c>
      <c r="O12" s="1" t="n">
        <v>433</v>
      </c>
      <c r="P12" s="1" t="n">
        <v>446</v>
      </c>
      <c r="Q12" s="1" t="n">
        <v>476</v>
      </c>
      <c r="R12" s="1" t="n">
        <v>483</v>
      </c>
      <c r="S12" s="1" t="n">
        <v>494</v>
      </c>
      <c r="T12" s="1" t="n">
        <v>499</v>
      </c>
      <c r="U12" s="1" t="n">
        <v>521</v>
      </c>
      <c r="AA12" s="1" t="n">
        <v>153</v>
      </c>
      <c r="AB12" s="1" t="n">
        <v>199</v>
      </c>
      <c r="AC12" s="1" t="n">
        <v>236</v>
      </c>
      <c r="AD12" s="1" t="n">
        <v>295</v>
      </c>
      <c r="AE12" s="1" t="n">
        <v>379</v>
      </c>
      <c r="AF12" s="1" t="n">
        <v>425</v>
      </c>
      <c r="AG12" s="1" t="n">
        <f aca="false">Q12</f>
        <v>476</v>
      </c>
      <c r="AH12" s="1" t="n">
        <v>521</v>
      </c>
      <c r="AI12" s="1" t="n">
        <v>552</v>
      </c>
    </row>
    <row r="13" s="32" customFormat="true" ht="10.5" hidden="false" customHeight="true" outlineLevel="0" collapsed="false">
      <c r="A13" s="30"/>
      <c r="F13" s="32" t="n">
        <f aca="false">+F12/B12-1</f>
        <v>0.257936507936508</v>
      </c>
      <c r="G13" s="32" t="n">
        <f aca="false">+G12/C12-1</f>
        <v>0.33984375</v>
      </c>
      <c r="H13" s="32" t="n">
        <f aca="false">+H12/D12-1</f>
        <v>0.322344322344322</v>
      </c>
      <c r="I13" s="32" t="n">
        <f aca="false">+I12/E12-1</f>
        <v>0.284745762711864</v>
      </c>
      <c r="J13" s="32" t="n">
        <f aca="false">+J12/F12-1</f>
        <v>0.22397476340694</v>
      </c>
      <c r="K13" s="32" t="n">
        <f aca="false">+K12/G12-1</f>
        <v>0.145772594752187</v>
      </c>
      <c r="L13" s="32" t="n">
        <f aca="false">+L12/H12-1</f>
        <v>0.113573407202216</v>
      </c>
      <c r="M13" s="32" t="n">
        <f aca="false">+M12/I12-1</f>
        <v>0.121372031662269</v>
      </c>
      <c r="N13" s="32" t="n">
        <f aca="false">+N12/J12-1</f>
        <v>0.0902061855670102</v>
      </c>
      <c r="O13" s="32" t="n">
        <f aca="false">+O12/K12-1</f>
        <v>0.101781170483461</v>
      </c>
      <c r="P13" s="32" t="n">
        <f aca="false">+P12/L12-1</f>
        <v>0.109452736318408</v>
      </c>
      <c r="Q13" s="32" t="n">
        <f aca="false">+Q12/M12-1</f>
        <v>0.12</v>
      </c>
      <c r="R13" s="32" t="n">
        <f aca="false">+R12/N12-1</f>
        <v>0.141843971631206</v>
      </c>
      <c r="S13" s="32" t="n">
        <f aca="false">+S12/O12-1</f>
        <v>0.140877598152425</v>
      </c>
      <c r="T13" s="32" t="n">
        <f aca="false">+T12/P12-1</f>
        <v>0.118834080717489</v>
      </c>
      <c r="U13" s="32" t="n">
        <f aca="false">+U12/Q12-1</f>
        <v>0.0945378151260505</v>
      </c>
      <c r="AB13" s="32" t="n">
        <f aca="false">+AB12/AA12-1</f>
        <v>0.300653594771242</v>
      </c>
      <c r="AC13" s="32" t="n">
        <f aca="false">+AC12/AB12-1</f>
        <v>0.185929648241206</v>
      </c>
      <c r="AD13" s="32" t="n">
        <f aca="false">+AD12/AC12-1</f>
        <v>0.25</v>
      </c>
      <c r="AE13" s="32" t="n">
        <f aca="false">+AE12/AD12-1</f>
        <v>0.284745762711864</v>
      </c>
      <c r="AF13" s="32" t="n">
        <f aca="false">+AF12/AE12-1</f>
        <v>0.121372031662269</v>
      </c>
      <c r="AG13" s="32" t="n">
        <f aca="false">+AG12/AF12-1</f>
        <v>0.12</v>
      </c>
      <c r="AH13" s="32" t="n">
        <f aca="false">+AH12/AG12-1</f>
        <v>0.0945378151260505</v>
      </c>
      <c r="AI13" s="32" t="n">
        <f aca="false">+AI12/AH12-1</f>
        <v>0.0595009596928984</v>
      </c>
      <c r="DC13" s="25"/>
      <c r="DD13" s="25"/>
      <c r="DE13" s="25"/>
      <c r="DF13" s="25"/>
      <c r="DG13" s="25"/>
    </row>
    <row r="14" s="36" customFormat="true" ht="12.8" hidden="false" customHeight="true" outlineLevel="0" collapsed="false">
      <c r="A14" s="23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35"/>
      <c r="AC14" s="35"/>
      <c r="AD14" s="35"/>
      <c r="AE14" s="35"/>
      <c r="AF14" s="35"/>
      <c r="AG14" s="35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DC14" s="25"/>
      <c r="DD14" s="25"/>
      <c r="DE14" s="25"/>
      <c r="DF14" s="25"/>
      <c r="DG14" s="25"/>
    </row>
    <row r="15" s="38" customFormat="true" ht="12.8" hidden="false" customHeight="true" outlineLevel="0" collapsed="false">
      <c r="A15" s="37" t="s">
        <v>89</v>
      </c>
      <c r="B15" s="36" t="n">
        <f aca="false">B8/B6</f>
        <v>0.431279620853081</v>
      </c>
      <c r="C15" s="36" t="n">
        <f aca="false">C8/C6</f>
        <v>0.434180138568129</v>
      </c>
      <c r="D15" s="36" t="n">
        <f aca="false">D8/D6</f>
        <v>0.427631578947368</v>
      </c>
      <c r="E15" s="36" t="n">
        <f aca="false">E8/E6</f>
        <v>0.419222903885481</v>
      </c>
      <c r="F15" s="36" t="n">
        <f aca="false">F8/F6</f>
        <v>0.407766990291262</v>
      </c>
      <c r="G15" s="36" t="n">
        <f aca="false">G8/G6</f>
        <v>0.399274047186933</v>
      </c>
      <c r="H15" s="36" t="n">
        <f aca="false">H8/H6</f>
        <v>0.393728222996516</v>
      </c>
      <c r="I15" s="36" t="n">
        <f aca="false">I8/I6</f>
        <v>0.39202657807309</v>
      </c>
      <c r="J15" s="36" t="n">
        <f aca="false">J8/J6</f>
        <v>0.388617886178862</v>
      </c>
      <c r="K15" s="36" t="n">
        <f aca="false">K8/K6</f>
        <v>0.39297124600639</v>
      </c>
      <c r="L15" s="36" t="n">
        <f aca="false">L8/L6</f>
        <v>0.39375</v>
      </c>
      <c r="M15" s="36" t="n">
        <f aca="false">M8/M6</f>
        <v>0.38962962962963</v>
      </c>
      <c r="N15" s="36" t="n">
        <f aca="false">N8/N6</f>
        <v>0.395280235988201</v>
      </c>
      <c r="O15" s="36" t="n">
        <f aca="false">O8/O6</f>
        <v>0.396551724137931</v>
      </c>
      <c r="P15" s="36" t="n">
        <f aca="false">P8/P6</f>
        <v>0.394109396914446</v>
      </c>
      <c r="Q15" s="36" t="n">
        <f aca="false">Q8/Q6</f>
        <v>0.386151797603196</v>
      </c>
      <c r="R15" s="36" t="n">
        <f aca="false">R8/R6</f>
        <v>0.385019710906702</v>
      </c>
      <c r="S15" s="36" t="n">
        <f aca="false">S8/S6</f>
        <v>0.386100386100386</v>
      </c>
      <c r="T15" s="36" t="n">
        <f aca="false">T8/T6</f>
        <v>0.388324873096447</v>
      </c>
      <c r="U15" s="36" t="n">
        <f aca="false">U8/U6</f>
        <v>0.382520275995642</v>
      </c>
      <c r="V15" s="36"/>
      <c r="W15" s="36"/>
      <c r="X15" s="36"/>
      <c r="Y15" s="36"/>
      <c r="Z15" s="36"/>
      <c r="AA15" s="36" t="n">
        <f aca="false">AA8/AA6</f>
        <v>0.457564575645757</v>
      </c>
      <c r="AB15" s="36" t="n">
        <f aca="false">AB8/AB6</f>
        <v>0.449275362318841</v>
      </c>
      <c r="AC15" s="36" t="n">
        <f aca="false">AC8/AC6</f>
        <v>0.443349753694581</v>
      </c>
      <c r="AD15" s="36" t="n">
        <f aca="false">AD8/AD6</f>
        <v>0.419222903885481</v>
      </c>
      <c r="AE15" s="36" t="n">
        <f aca="false">AE8/AE6</f>
        <v>0.39202657807309</v>
      </c>
      <c r="AF15" s="36" t="n">
        <f aca="false">AF8/AF6</f>
        <v>0.38962962962963</v>
      </c>
      <c r="AG15" s="36" t="n">
        <f aca="false">AG8/AG6</f>
        <v>0.386151797603196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DC15" s="25"/>
      <c r="DD15" s="25"/>
      <c r="DE15" s="25"/>
      <c r="DF15" s="25"/>
      <c r="DG15" s="25"/>
    </row>
    <row r="16" s="32" customFormat="true" ht="10.5" hidden="false" customHeight="true" outlineLevel="0" collapsed="false">
      <c r="A16" s="30"/>
      <c r="F16" s="32" t="n">
        <f aca="false">+F15/B15-1</f>
        <v>-0.0545182972367452</v>
      </c>
      <c r="G16" s="32" t="n">
        <f aca="false">+G15/C15-1</f>
        <v>-0.0803954125960525</v>
      </c>
      <c r="H16" s="32" t="n">
        <f aca="false">+H15/D15-1</f>
        <v>-0.0792816939158385</v>
      </c>
      <c r="I16" s="32" t="n">
        <f aca="false">+I15/E15-1</f>
        <v>-0.0648731869378497</v>
      </c>
      <c r="J16" s="32" t="n">
        <f aca="false">+J15/F15-1</f>
        <v>-0.0469608981804096</v>
      </c>
      <c r="K16" s="32" t="n">
        <f aca="false">+K15/G15-1</f>
        <v>-0.0157856520476327</v>
      </c>
      <c r="L16" s="32" t="n">
        <f aca="false">+L15/H15-1</f>
        <v>5.53097345123987E-005</v>
      </c>
      <c r="M16" s="32" t="n">
        <f aca="false">+M15/I15-1</f>
        <v>-0.00611424984306319</v>
      </c>
      <c r="N16" s="32" t="n">
        <f aca="false">+N15/J15-1</f>
        <v>0.0171437034842823</v>
      </c>
      <c r="O16" s="32" t="n">
        <f aca="false">+O15/K15-1</f>
        <v>0.00911129800953114</v>
      </c>
      <c r="P16" s="32" t="n">
        <f aca="false">+P15/L15-1</f>
        <v>0.000912754068434385</v>
      </c>
      <c r="Q16" s="32" t="n">
        <f aca="false">+Q15/M15-1</f>
        <v>-0.00892599474464995</v>
      </c>
      <c r="R16" s="32" t="n">
        <f aca="false">+R15/N15-1</f>
        <v>-0.0259575970345385</v>
      </c>
      <c r="S16" s="32" t="n">
        <f aca="false">+S15/O15-1</f>
        <v>-0.0263555480946784</v>
      </c>
      <c r="T16" s="32" t="n">
        <f aca="false">+T15/P15-1</f>
        <v>-0.0146774572321478</v>
      </c>
      <c r="U16" s="32" t="n">
        <f aca="false">+U15/Q15-1</f>
        <v>-0.00940438871473437</v>
      </c>
      <c r="AB16" s="32" t="n">
        <f aca="false">+AB15/AA15-1</f>
        <v>-0.0181159420289857</v>
      </c>
      <c r="AC16" s="32" t="n">
        <f aca="false">+AC15/AB15-1</f>
        <v>-0.013189257905611</v>
      </c>
      <c r="AD16" s="32" t="n">
        <f aca="false">+AD15/AC15-1</f>
        <v>-0.0544194501249701</v>
      </c>
      <c r="AE16" s="32" t="n">
        <f aca="false">+AE15/AD15-1</f>
        <v>-0.0648731869378497</v>
      </c>
      <c r="AF16" s="32" t="n">
        <f aca="false">+AF15/AE15-1</f>
        <v>-0.00611424984306319</v>
      </c>
      <c r="AG16" s="32" t="n">
        <f aca="false">+AG15/AF15-1</f>
        <v>-0.00892599474464995</v>
      </c>
      <c r="DC16" s="25"/>
      <c r="DD16" s="25"/>
      <c r="DE16" s="25"/>
      <c r="DF16" s="25"/>
      <c r="DG16" s="25"/>
    </row>
    <row r="17" s="38" customFormat="true" ht="12.8" hidden="false" customHeight="true" outlineLevel="0" collapsed="false">
      <c r="A17" s="39" t="s">
        <v>90</v>
      </c>
      <c r="B17" s="38" t="n">
        <f aca="false">B28/B6</f>
        <v>6.30568720379147</v>
      </c>
      <c r="C17" s="38" t="n">
        <f aca="false">C28/C6</f>
        <v>6.61431870669746</v>
      </c>
      <c r="D17" s="38" t="n">
        <f aca="false">D28/D6</f>
        <v>6.65789473684211</v>
      </c>
      <c r="E17" s="38" t="n">
        <f aca="false">E28/E6</f>
        <v>6.47443762781186</v>
      </c>
      <c r="F17" s="38" t="n">
        <f aca="false">F28/F6</f>
        <v>5.90679611650486</v>
      </c>
      <c r="G17" s="38" t="n">
        <f aca="false">G28/G6</f>
        <v>5.76588021778584</v>
      </c>
      <c r="H17" s="38" t="n">
        <f aca="false">H28/H6</f>
        <v>5.84843205574913</v>
      </c>
      <c r="I17" s="38" t="n">
        <f aca="false">I28/I6</f>
        <v>6.09800664451827</v>
      </c>
      <c r="J17" s="38" t="n">
        <f aca="false">J28/J6</f>
        <v>5.91219512195122</v>
      </c>
      <c r="K17" s="38" t="n">
        <f aca="false">K28/K6</f>
        <v>6.0814696485623</v>
      </c>
      <c r="L17" s="38" t="n">
        <f aca="false">L28/L6</f>
        <v>6.23125</v>
      </c>
      <c r="M17" s="38" t="n">
        <f aca="false">M28/M6</f>
        <v>6.28444444444444</v>
      </c>
      <c r="N17" s="38" t="n">
        <f aca="false">N28/N6</f>
        <v>6.17994100294985</v>
      </c>
      <c r="O17" s="38" t="n">
        <f aca="false">O28/O6</f>
        <v>6.02442528735632</v>
      </c>
      <c r="P17" s="38" t="n">
        <f aca="false">P28/P6</f>
        <v>5.99158485273492</v>
      </c>
      <c r="Q17" s="38" t="n">
        <f aca="false">Q28/Q6</f>
        <v>6.03328894806924</v>
      </c>
      <c r="R17" s="38" t="n">
        <f aca="false">R28/R6</f>
        <v>5.95663600525624</v>
      </c>
      <c r="S17" s="38" t="n">
        <f aca="false">S28/S6</f>
        <v>6.14800514800515</v>
      </c>
      <c r="T17" s="38" t="n">
        <f aca="false">T28/T6</f>
        <v>6.30583756345178</v>
      </c>
      <c r="AA17" s="38" t="n">
        <f aca="false">AA28/AA6</f>
        <v>24.9594095940959</v>
      </c>
      <c r="AB17" s="38" t="n">
        <f aca="false">AB28/AB6</f>
        <v>22.8405797101449</v>
      </c>
      <c r="AC17" s="38" t="n">
        <f aca="false">AC28/AC6</f>
        <v>23.8128078817734</v>
      </c>
      <c r="AD17" s="38" t="n">
        <f aca="false">AD28/AD6</f>
        <v>23.9815950920245</v>
      </c>
      <c r="AE17" s="38" t="n">
        <f aca="false">AE28/AE6</f>
        <v>22.0049833887043</v>
      </c>
      <c r="AF17" s="38" t="n">
        <f aca="false">AF28/AF6</f>
        <v>23.2192592592593</v>
      </c>
      <c r="AG17" s="38" t="n">
        <f aca="false">AG28/AG6</f>
        <v>22.884154460719</v>
      </c>
      <c r="DC17" s="25"/>
      <c r="DD17" s="25"/>
      <c r="DE17" s="25"/>
      <c r="DF17" s="25"/>
      <c r="DG17" s="25"/>
    </row>
    <row r="18" s="32" customFormat="true" ht="10.5" hidden="false" customHeight="true" outlineLevel="0" collapsed="false">
      <c r="A18" s="30"/>
      <c r="F18" s="32" t="n">
        <f aca="false">+F17/B17-1</f>
        <v>-0.0632589398102034</v>
      </c>
      <c r="G18" s="32" t="n">
        <f aca="false">+G17/C17-1</f>
        <v>-0.128272997799836</v>
      </c>
      <c r="H18" s="32" t="n">
        <f aca="false">+H17/D17-1</f>
        <v>-0.121579375025823</v>
      </c>
      <c r="I18" s="32" t="n">
        <f aca="false">+I17/E17-1</f>
        <v>-0.0581411089167925</v>
      </c>
      <c r="J18" s="32" t="n">
        <f aca="false">+J17/F17-1</f>
        <v>0.00091403280896718</v>
      </c>
      <c r="K18" s="32" t="n">
        <f aca="false">+K17/G17-1</f>
        <v>0.0547339554163764</v>
      </c>
      <c r="L18" s="32" t="n">
        <f aca="false">+L17/H17-1</f>
        <v>0.065456508787608</v>
      </c>
      <c r="M18" s="32" t="n">
        <f aca="false">+M17/I17-1</f>
        <v>0.030573564575199</v>
      </c>
      <c r="N18" s="32" t="n">
        <f aca="false">+N17/J17-1</f>
        <v>0.0452870508289767</v>
      </c>
      <c r="O18" s="32" t="n">
        <f aca="false">+O17/K17-1</f>
        <v>-0.00938002892433476</v>
      </c>
      <c r="P18" s="32" t="n">
        <f aca="false">+P17/L17-1</f>
        <v>-0.0384618089893805</v>
      </c>
      <c r="Q18" s="32" t="n">
        <f aca="false">+Q17/M17-1</f>
        <v>-0.0399646299041166</v>
      </c>
      <c r="R18" s="32" t="n">
        <f aca="false">+R17/N17-1</f>
        <v>-0.0361338397222596</v>
      </c>
      <c r="S18" s="32" t="n">
        <f aca="false">+S17/O17-1</f>
        <v>0.0205131368975875</v>
      </c>
      <c r="T18" s="32" t="n">
        <f aca="false">+T17/P17-1</f>
        <v>0.0524490128139323</v>
      </c>
      <c r="AB18" s="32" t="n">
        <f aca="false">+AB17/AA17-1</f>
        <v>-0.0848910258058435</v>
      </c>
      <c r="AC18" s="32" t="n">
        <f aca="false">+AC17/AB17-1</f>
        <v>0.0425658273111451</v>
      </c>
      <c r="AD18" s="32" t="n">
        <f aca="false">+AD17/AC17-1</f>
        <v>0.0070880851636288</v>
      </c>
      <c r="AE18" s="32" t="n">
        <f aca="false">+AE17/AD17-1</f>
        <v>-0.0824220280484002</v>
      </c>
      <c r="AF18" s="32" t="n">
        <f aca="false">+AF17/AE17-1</f>
        <v>0.0551818580866668</v>
      </c>
      <c r="AG18" s="32" t="n">
        <f aca="false">+AG17/AF17-1</f>
        <v>-0.014432191604329</v>
      </c>
      <c r="DC18" s="25"/>
      <c r="DD18" s="25"/>
      <c r="DE18" s="25"/>
      <c r="DF18" s="25"/>
      <c r="DG18" s="25"/>
    </row>
    <row r="19" s="38" customFormat="true" ht="12.8" hidden="false" customHeight="true" outlineLevel="0" collapsed="false">
      <c r="A19" s="39" t="s">
        <v>91</v>
      </c>
      <c r="B19" s="38" t="n">
        <f aca="false">B34/B6</f>
        <v>4.71563981042654</v>
      </c>
      <c r="C19" s="38" t="n">
        <f aca="false">C34/C6</f>
        <v>4.98845265588915</v>
      </c>
      <c r="D19" s="38" t="n">
        <f aca="false">D34/D6</f>
        <v>5.01315789473684</v>
      </c>
      <c r="E19" s="38" t="n">
        <f aca="false">E34/E6</f>
        <v>4.83640081799591</v>
      </c>
      <c r="F19" s="38" t="n">
        <f aca="false">F34/F6</f>
        <v>4.41941747572816</v>
      </c>
      <c r="G19" s="38" t="n">
        <f aca="false">G34/G6</f>
        <v>4.37568058076225</v>
      </c>
      <c r="H19" s="38" t="n">
        <f aca="false">H34/H6</f>
        <v>4.30662020905923</v>
      </c>
      <c r="I19" s="38" t="n">
        <f aca="false">I34/I6</f>
        <v>4.47009966777409</v>
      </c>
      <c r="J19" s="38" t="n">
        <f aca="false">J34/J6</f>
        <v>4.27967479674797</v>
      </c>
      <c r="K19" s="38" t="n">
        <f aca="false">K34/K6</f>
        <v>4.30511182108626</v>
      </c>
      <c r="L19" s="38" t="n">
        <f aca="false">L34/L6</f>
        <v>4.29375</v>
      </c>
      <c r="M19" s="38" t="n">
        <f aca="false">M34/M6</f>
        <v>4.25777777777778</v>
      </c>
      <c r="N19" s="38" t="n">
        <f aca="false">N34/N6</f>
        <v>4.22418879056047</v>
      </c>
      <c r="O19" s="38" t="n">
        <f aca="false">O34/O6</f>
        <v>4.12787356321839</v>
      </c>
      <c r="P19" s="38" t="n">
        <f aca="false">P34/P6</f>
        <v>4.09677419354839</v>
      </c>
      <c r="Q19" s="38" t="n">
        <f aca="false">Q34/Q6</f>
        <v>4.03728362183755</v>
      </c>
      <c r="R19" s="38" t="n">
        <f aca="false">R34/R6</f>
        <v>3.99211563731932</v>
      </c>
      <c r="S19" s="38" t="n">
        <f aca="false">S34/S6</f>
        <v>4.09395109395109</v>
      </c>
      <c r="T19" s="38" t="n">
        <f aca="false">T34/T6</f>
        <v>4.2258883248731</v>
      </c>
      <c r="AA19" s="38" t="n">
        <f aca="false">AA34/AA6</f>
        <v>18.6051660516605</v>
      </c>
      <c r="AB19" s="38" t="n">
        <f aca="false">AB34/AB6</f>
        <v>17</v>
      </c>
      <c r="AC19" s="38" t="n">
        <f aca="false">AC34/AC6</f>
        <v>17.4310344827586</v>
      </c>
      <c r="AD19" s="38" t="n">
        <f aca="false">AD34/AD6</f>
        <v>17.997955010225</v>
      </c>
      <c r="AE19" s="38" t="n">
        <f aca="false">AE34/AE6</f>
        <v>16.3621262458472</v>
      </c>
      <c r="AF19" s="38" t="n">
        <f aca="false">AF34/AF6</f>
        <v>16.2207407407407</v>
      </c>
      <c r="AG19" s="38" t="n">
        <f aca="false">AG34/AG6</f>
        <v>15.5659121171771</v>
      </c>
      <c r="DC19" s="25"/>
      <c r="DD19" s="25"/>
      <c r="DE19" s="25"/>
      <c r="DF19" s="25"/>
      <c r="DG19" s="25"/>
    </row>
    <row r="20" s="32" customFormat="true" ht="10.5" hidden="false" customHeight="true" outlineLevel="0" collapsed="false">
      <c r="A20" s="30"/>
      <c r="F20" s="32" t="n">
        <f aca="false">+F19/B19-1</f>
        <v>-0.0628169976094062</v>
      </c>
      <c r="G20" s="32" t="n">
        <f aca="false">+G19/C19-1</f>
        <v>-0.122838105800901</v>
      </c>
      <c r="H20" s="32" t="n">
        <f aca="false">+H19/D19-1</f>
        <v>-0.140936651211282</v>
      </c>
      <c r="I20" s="32" t="n">
        <f aca="false">+I19/E19-1</f>
        <v>-0.0757383773608762</v>
      </c>
      <c r="J20" s="32" t="n">
        <f aca="false">+J19/F19-1</f>
        <v>-0.0316201580293485</v>
      </c>
      <c r="K20" s="32" t="n">
        <f aca="false">+K19/G19-1</f>
        <v>-0.0161274933975403</v>
      </c>
      <c r="L20" s="32" t="n">
        <f aca="false">+L19/H19-1</f>
        <v>-0.0029884708737864</v>
      </c>
      <c r="M20" s="32" t="n">
        <f aca="false">+M19/I19-1</f>
        <v>-0.0474982451794045</v>
      </c>
      <c r="N20" s="32" t="n">
        <f aca="false">+N19/J19-1</f>
        <v>-0.0129650052451784</v>
      </c>
      <c r="O20" s="32" t="n">
        <f aca="false">+O19/K19-1</f>
        <v>-0.0411692576717208</v>
      </c>
      <c r="P20" s="32" t="n">
        <f aca="false">+P19/L19-1</f>
        <v>-0.0458750058693713</v>
      </c>
      <c r="Q20" s="32" t="n">
        <f aca="false">+Q19/M19-1</f>
        <v>-0.0517862057270891</v>
      </c>
      <c r="R20" s="32" t="n">
        <f aca="false">+R19/N19-1</f>
        <v>-0.0549391054111394</v>
      </c>
      <c r="S20" s="32" t="n">
        <f aca="false">+S19/O19-1</f>
        <v>-0.00821790414550594</v>
      </c>
      <c r="T20" s="32" t="n">
        <f aca="false">+T19/P19-1</f>
        <v>0.0315160478036687</v>
      </c>
      <c r="AB20" s="32" t="n">
        <f aca="false">+AB19/AA19-1</f>
        <v>-0.086275287584292</v>
      </c>
      <c r="AC20" s="32" t="n">
        <f aca="false">+AC19/AB19-1</f>
        <v>0.0253549695740365</v>
      </c>
      <c r="AD20" s="32" t="n">
        <f aca="false">+AD19/AC19-1</f>
        <v>0.032523630655833</v>
      </c>
      <c r="AE20" s="32" t="n">
        <f aca="false">+AE19/AD19-1</f>
        <v>-0.0908897018271482</v>
      </c>
      <c r="AF20" s="32" t="n">
        <f aca="false">+AF19/AE19-1</f>
        <v>-0.00864102274863687</v>
      </c>
      <c r="AG20" s="32" t="n">
        <f aca="false">+AG19/AF19-1</f>
        <v>-0.0403698347707973</v>
      </c>
      <c r="DC20" s="25"/>
      <c r="DD20" s="25"/>
      <c r="DE20" s="25"/>
      <c r="DF20" s="25"/>
      <c r="DG20" s="25"/>
    </row>
    <row r="21" customFormat="false" ht="12.8" hidden="false" customHeight="true" outlineLevel="0" collapsed="false">
      <c r="A21" s="39" t="s">
        <v>92</v>
      </c>
      <c r="B21" s="38" t="n">
        <f aca="false">B17-B19</f>
        <v>1.59004739336493</v>
      </c>
      <c r="C21" s="38" t="n">
        <f aca="false">C17-C19</f>
        <v>1.62586605080831</v>
      </c>
      <c r="D21" s="38" t="n">
        <f aca="false">D17-D19</f>
        <v>1.64473684210526</v>
      </c>
      <c r="E21" s="38" t="n">
        <f aca="false">E17-E19</f>
        <v>1.63803680981595</v>
      </c>
      <c r="F21" s="38" t="n">
        <f aca="false">F17-F19</f>
        <v>1.4873786407767</v>
      </c>
      <c r="G21" s="38" t="n">
        <f aca="false">G17-G19</f>
        <v>1.39019963702359</v>
      </c>
      <c r="H21" s="38" t="n">
        <f aca="false">H17-H19</f>
        <v>1.5418118466899</v>
      </c>
      <c r="I21" s="38" t="n">
        <f aca="false">I17-I19</f>
        <v>1.62790697674419</v>
      </c>
      <c r="J21" s="38" t="n">
        <f aca="false">J17-J19</f>
        <v>1.63252032520325</v>
      </c>
      <c r="K21" s="38" t="n">
        <f aca="false">K17-K19</f>
        <v>1.77635782747604</v>
      </c>
      <c r="L21" s="38" t="n">
        <f aca="false">L17-L19</f>
        <v>1.9375</v>
      </c>
      <c r="M21" s="38" t="n">
        <f aca="false">M17-M19</f>
        <v>2.02666666666667</v>
      </c>
      <c r="N21" s="38" t="n">
        <f aca="false">N17-N19</f>
        <v>1.95575221238938</v>
      </c>
      <c r="O21" s="38" t="n">
        <f aca="false">O17-O19</f>
        <v>1.89655172413793</v>
      </c>
      <c r="P21" s="38" t="n">
        <f aca="false">P17-P19</f>
        <v>1.89481065918654</v>
      </c>
      <c r="Q21" s="38" t="n">
        <f aca="false">Q17-Q19</f>
        <v>1.99600532623169</v>
      </c>
      <c r="R21" s="38" t="n">
        <f aca="false">R17-R19</f>
        <v>1.96452036793693</v>
      </c>
      <c r="S21" s="38" t="n">
        <f aca="false">S17-S19</f>
        <v>2.05405405405405</v>
      </c>
      <c r="T21" s="38" t="n">
        <f aca="false">T17-T19</f>
        <v>2.07994923857868</v>
      </c>
      <c r="U21" s="38"/>
      <c r="V21" s="38"/>
      <c r="W21" s="38"/>
      <c r="X21" s="38"/>
      <c r="Y21" s="38"/>
      <c r="Z21" s="38"/>
      <c r="AA21" s="38" t="n">
        <f aca="false">AA17-AA19</f>
        <v>6.35424354243542</v>
      </c>
      <c r="AB21" s="38" t="n">
        <f aca="false">AB17-AB19</f>
        <v>5.84057971014493</v>
      </c>
      <c r="AC21" s="38" t="n">
        <f aca="false">AC17-AC19</f>
        <v>6.38177339901478</v>
      </c>
      <c r="AD21" s="38" t="n">
        <f aca="false">AD17-AD19</f>
        <v>5.98364008179959</v>
      </c>
      <c r="AE21" s="38" t="n">
        <f aca="false">AE17-AE19</f>
        <v>5.64285714285714</v>
      </c>
      <c r="AF21" s="38" t="n">
        <f aca="false">AF17-AF19</f>
        <v>6.99851851851852</v>
      </c>
      <c r="AG21" s="38" t="n">
        <f aca="false">AG17-AG19</f>
        <v>7.31824234354195</v>
      </c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</row>
    <row r="22" s="32" customFormat="true" ht="10.5" hidden="false" customHeight="true" outlineLevel="0" collapsed="false">
      <c r="A22" s="30"/>
      <c r="F22" s="32" t="n">
        <f aca="false">+F21/B21-1</f>
        <v>-0.0645696178721801</v>
      </c>
      <c r="G22" s="32" t="n">
        <f aca="false">+G21/C21-1</f>
        <v>-0.14494823461475</v>
      </c>
      <c r="H22" s="32" t="n">
        <f aca="false">+H21/D21-1</f>
        <v>-0.0625783972125436</v>
      </c>
      <c r="I22" s="32" t="n">
        <f aca="false">+I21/E21-1</f>
        <v>-0.0061841303022383</v>
      </c>
      <c r="J22" s="32" t="n">
        <f aca="false">+J21/F21-1</f>
        <v>0.0975822029760771</v>
      </c>
      <c r="K22" s="32" t="n">
        <f aca="false">+K21/G21-1</f>
        <v>0.277771753184461</v>
      </c>
      <c r="L22" s="32" t="n">
        <f aca="false">+L21/H21-1</f>
        <v>0.256638418079096</v>
      </c>
      <c r="M22" s="32" t="n">
        <f aca="false">+M21/I21-1</f>
        <v>0.244952380952381</v>
      </c>
      <c r="N22" s="32" t="n">
        <f aca="false">+N21/J21-1</f>
        <v>0.197995628107041</v>
      </c>
      <c r="O22" s="32" t="n">
        <f aca="false">+O21/K21-1</f>
        <v>0.0676631108905978</v>
      </c>
      <c r="P22" s="32" t="n">
        <f aca="false">+P21/L21-1</f>
        <v>-0.0220332081617878</v>
      </c>
      <c r="Q22" s="32" t="n">
        <f aca="false">+Q21/M21-1</f>
        <v>-0.0151289508725209</v>
      </c>
      <c r="R22" s="32" t="n">
        <f aca="false">+R21/N21-1</f>
        <v>0.00448326505372232</v>
      </c>
      <c r="S22" s="32" t="n">
        <f aca="false">+S21/O21-1</f>
        <v>0.0830466830466838</v>
      </c>
      <c r="T22" s="32" t="n">
        <f aca="false">+T21/P21-1</f>
        <v>0.0977082213964435</v>
      </c>
      <c r="AB22" s="32" t="n">
        <f aca="false">+AB21/AA21-1</f>
        <v>-0.0808379201804441</v>
      </c>
      <c r="AC22" s="32" t="n">
        <f aca="false">+AC21/AB21-1</f>
        <v>0.0926609541737467</v>
      </c>
      <c r="AD22" s="32" t="n">
        <f aca="false">+AD21/AC21-1</f>
        <v>-0.0623860003046569</v>
      </c>
      <c r="AE22" s="32" t="n">
        <f aca="false">+AE21/AD21-1</f>
        <v>-0.0569524460501907</v>
      </c>
      <c r="AF22" s="32" t="n">
        <f aca="false">+AF21/AE21-1</f>
        <v>0.24024378809189</v>
      </c>
      <c r="AG22" s="32" t="n">
        <f aca="false">+AG21/AF21-1</f>
        <v>0.0456845008236266</v>
      </c>
      <c r="DC22" s="25"/>
      <c r="DD22" s="25"/>
      <c r="DE22" s="25"/>
      <c r="DF22" s="25"/>
      <c r="DG22" s="25"/>
    </row>
    <row r="23" s="3" customFormat="true" ht="12.8" hidden="false" customHeight="true" outlineLevel="0" collapsed="false">
      <c r="A23" s="23"/>
      <c r="B23" s="1"/>
      <c r="C23" s="1"/>
      <c r="D23" s="1"/>
      <c r="E23" s="1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DC23" s="25"/>
      <c r="DD23" s="25"/>
      <c r="DE23" s="25"/>
      <c r="DF23" s="25"/>
      <c r="DG23" s="25"/>
    </row>
    <row r="24" s="4" customFormat="true" ht="12.8" hidden="false" customHeight="true" outlineLevel="0" collapsed="false">
      <c r="A24" s="40" t="s">
        <v>44</v>
      </c>
      <c r="B24" s="4" t="n">
        <v>2379</v>
      </c>
      <c r="C24" s="4" t="n">
        <v>2504</v>
      </c>
      <c r="D24" s="4" t="n">
        <v>2651</v>
      </c>
      <c r="E24" s="4" t="n">
        <f aca="false">AD24-D24-C24-B24</f>
        <v>2717</v>
      </c>
      <c r="F24" s="4" t="n">
        <v>2713</v>
      </c>
      <c r="G24" s="4" t="n">
        <v>2773</v>
      </c>
      <c r="H24" s="4" t="n">
        <v>2910</v>
      </c>
      <c r="I24" s="4" t="n">
        <v>3170</v>
      </c>
      <c r="J24" s="4" t="n">
        <v>3247</v>
      </c>
      <c r="K24" s="4" t="n">
        <v>3351</v>
      </c>
      <c r="L24" s="4" t="n">
        <v>3516</v>
      </c>
      <c r="M24" s="4" t="n">
        <v>3705</v>
      </c>
      <c r="N24" s="4" t="n">
        <v>3783</v>
      </c>
      <c r="O24" s="4" t="n">
        <v>3753</v>
      </c>
      <c r="P24" s="4" t="n">
        <v>3835</v>
      </c>
      <c r="Q24" s="4" t="n">
        <v>4020</v>
      </c>
      <c r="R24" s="4" t="n">
        <v>4148</v>
      </c>
      <c r="S24" s="4" t="n">
        <v>4331</v>
      </c>
      <c r="T24" s="4" t="n">
        <v>4487</v>
      </c>
      <c r="U24" s="4" t="n">
        <v>4615</v>
      </c>
      <c r="AA24" s="4" t="n">
        <v>6086</v>
      </c>
      <c r="AB24" s="4" t="n">
        <v>7135</v>
      </c>
      <c r="AC24" s="4" t="n">
        <v>8460</v>
      </c>
      <c r="AD24" s="4" t="n">
        <v>10251</v>
      </c>
      <c r="AE24" s="4" t="n">
        <v>11566</v>
      </c>
      <c r="AF24" s="4" t="n">
        <v>13819</v>
      </c>
      <c r="AG24" s="4" t="n">
        <f aca="false">SUM(N24:Q24)</f>
        <v>15391</v>
      </c>
      <c r="AH24" s="4" t="n">
        <v>17582</v>
      </c>
      <c r="AI24" s="4" t="n">
        <v>20017</v>
      </c>
      <c r="DC24" s="25"/>
      <c r="DD24" s="25"/>
      <c r="DE24" s="25"/>
      <c r="DF24" s="25"/>
      <c r="DG24" s="25"/>
    </row>
    <row r="25" s="32" customFormat="true" ht="10.5" hidden="false" customHeight="true" outlineLevel="0" collapsed="false">
      <c r="A25" s="30"/>
      <c r="F25" s="32" t="n">
        <f aca="false">+F24/B24-1</f>
        <v>0.140395124001681</v>
      </c>
      <c r="G25" s="32" t="n">
        <f aca="false">+G24/C24-1</f>
        <v>0.107428115015974</v>
      </c>
      <c r="H25" s="32" t="n">
        <f aca="false">+H24/D24-1</f>
        <v>0.0976989815164089</v>
      </c>
      <c r="I25" s="32" t="n">
        <f aca="false">+I24/E24-1</f>
        <v>0.166728008833272</v>
      </c>
      <c r="J25" s="32" t="n">
        <f aca="false">+J24/F24-1</f>
        <v>0.196830077405087</v>
      </c>
      <c r="K25" s="32" t="n">
        <f aca="false">+K24/G24-1</f>
        <v>0.2084385142445</v>
      </c>
      <c r="L25" s="32" t="n">
        <f aca="false">+L24/H24-1</f>
        <v>0.208247422680412</v>
      </c>
      <c r="M25" s="32" t="n">
        <f aca="false">+M24/I24-1</f>
        <v>0.168769716088328</v>
      </c>
      <c r="N25" s="32" t="n">
        <f aca="false">+N24/J24-1</f>
        <v>0.165075454265476</v>
      </c>
      <c r="O25" s="32" t="n">
        <f aca="false">+O24/K24-1</f>
        <v>0.119964189794091</v>
      </c>
      <c r="P25" s="32" t="n">
        <f aca="false">+P24/L24-1</f>
        <v>0.0907281001137656</v>
      </c>
      <c r="Q25" s="32" t="n">
        <f aca="false">+Q24/M24-1</f>
        <v>0.0850202429149798</v>
      </c>
      <c r="R25" s="32" t="n">
        <f aca="false">+R24/N24-1</f>
        <v>0.0964842717420038</v>
      </c>
      <c r="S25" s="32" t="n">
        <f aca="false">+S24/O24-1</f>
        <v>0.154010125233147</v>
      </c>
      <c r="T25" s="32" t="n">
        <f aca="false">+T24/P24-1</f>
        <v>0.170013037809648</v>
      </c>
      <c r="U25" s="32" t="n">
        <f aca="false">+U24/Q24-1</f>
        <v>0.148009950248756</v>
      </c>
      <c r="AB25" s="32" t="n">
        <f aca="false">+AB24/AA24-1</f>
        <v>0.172362799868551</v>
      </c>
      <c r="AC25" s="32" t="n">
        <f aca="false">+AC24/AB24-1</f>
        <v>0.185704274702172</v>
      </c>
      <c r="AD25" s="32" t="n">
        <f aca="false">+AD24/AC24-1</f>
        <v>0.211702127659575</v>
      </c>
      <c r="AE25" s="32" t="n">
        <f aca="false">+AE24/AD24-1</f>
        <v>0.128280167788508</v>
      </c>
      <c r="AF25" s="32" t="n">
        <f aca="false">+AF24/AE24-1</f>
        <v>0.194795089054124</v>
      </c>
      <c r="AG25" s="32" t="n">
        <f aca="false">+AG24/AF24-1</f>
        <v>0.1137564223171</v>
      </c>
      <c r="AH25" s="32" t="n">
        <f aca="false">+AH24/AG24-1</f>
        <v>0.142355922292249</v>
      </c>
      <c r="AI25" s="32" t="n">
        <f aca="false">+AI24/AH24-1</f>
        <v>0.138493914230463</v>
      </c>
      <c r="DC25" s="25"/>
      <c r="DD25" s="25"/>
      <c r="DE25" s="25"/>
      <c r="DF25" s="25"/>
      <c r="DG25" s="25"/>
    </row>
    <row r="26" s="41" customFormat="true" ht="12.8" hidden="false" customHeight="true" outlineLevel="0" collapsed="false">
      <c r="A26" s="40" t="s">
        <v>93</v>
      </c>
      <c r="B26" s="4" t="n">
        <v>282</v>
      </c>
      <c r="C26" s="4" t="n">
        <v>360</v>
      </c>
      <c r="D26" s="4" t="n">
        <v>385</v>
      </c>
      <c r="E26" s="4" t="n">
        <f aca="false">AD26-D26-C26-B26</f>
        <v>449</v>
      </c>
      <c r="F26" s="4" t="n">
        <v>329</v>
      </c>
      <c r="G26" s="4" t="n">
        <v>404</v>
      </c>
      <c r="H26" s="4" t="n">
        <v>447</v>
      </c>
      <c r="I26" s="4" t="n">
        <v>501</v>
      </c>
      <c r="J26" s="4" t="n">
        <v>389</v>
      </c>
      <c r="K26" s="4" t="n">
        <v>456</v>
      </c>
      <c r="L26" s="4" t="n">
        <v>472</v>
      </c>
      <c r="M26" s="4" t="n">
        <v>537</v>
      </c>
      <c r="N26" s="4" t="n">
        <v>407</v>
      </c>
      <c r="O26" s="4" t="n">
        <v>440</v>
      </c>
      <c r="P26" s="4" t="n">
        <v>437</v>
      </c>
      <c r="Q26" s="4" t="n">
        <v>511</v>
      </c>
      <c r="R26" s="4" t="n">
        <v>385</v>
      </c>
      <c r="S26" s="4" t="n">
        <v>446</v>
      </c>
      <c r="T26" s="4" t="n">
        <v>482</v>
      </c>
      <c r="U26" s="4" t="n">
        <v>643</v>
      </c>
      <c r="V26" s="4"/>
      <c r="W26" s="4"/>
      <c r="X26" s="4"/>
      <c r="Y26" s="4"/>
      <c r="Z26" s="4"/>
      <c r="AA26" s="4" t="n">
        <v>678</v>
      </c>
      <c r="AB26" s="4" t="n">
        <v>745</v>
      </c>
      <c r="AC26" s="4" t="n">
        <v>1208</v>
      </c>
      <c r="AD26" s="4" t="n">
        <v>1476</v>
      </c>
      <c r="AE26" s="4" t="n">
        <v>1681</v>
      </c>
      <c r="AF26" s="4" t="n">
        <v>1854</v>
      </c>
      <c r="AG26" s="4" t="n">
        <f aca="false">SUM(N26:Q26)</f>
        <v>1795</v>
      </c>
      <c r="AH26" s="4" t="n">
        <v>1963</v>
      </c>
      <c r="AI26" s="4" t="n">
        <v>2325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DC26" s="25"/>
      <c r="DD26" s="25"/>
      <c r="DE26" s="25"/>
      <c r="DF26" s="25"/>
      <c r="DG26" s="25"/>
    </row>
    <row r="27" s="42" customFormat="true" ht="10.5" hidden="false" customHeight="true" outlineLevel="0" collapsed="false">
      <c r="A27" s="30"/>
      <c r="B27" s="32"/>
      <c r="C27" s="32"/>
      <c r="D27" s="32"/>
      <c r="E27" s="32"/>
      <c r="F27" s="32" t="n">
        <f aca="false">+F26/B26-1</f>
        <v>0.166666666666667</v>
      </c>
      <c r="G27" s="32" t="n">
        <f aca="false">+G26/C26-1</f>
        <v>0.122222222222222</v>
      </c>
      <c r="H27" s="32" t="n">
        <f aca="false">+H26/D26-1</f>
        <v>0.161038961038961</v>
      </c>
      <c r="I27" s="32" t="n">
        <f aca="false">+I26/E26-1</f>
        <v>0.115812917594655</v>
      </c>
      <c r="J27" s="32" t="n">
        <f aca="false">+J26/F26-1</f>
        <v>0.182370820668693</v>
      </c>
      <c r="K27" s="32" t="n">
        <f aca="false">+K26/G26-1</f>
        <v>0.128712871287129</v>
      </c>
      <c r="L27" s="32" t="n">
        <f aca="false">+L26/H26-1</f>
        <v>0.0559284116331096</v>
      </c>
      <c r="M27" s="32" t="n">
        <f aca="false">+M26/I26-1</f>
        <v>0.0718562874251496</v>
      </c>
      <c r="N27" s="32" t="n">
        <f aca="false">+N26/J26-1</f>
        <v>0.0462724935732648</v>
      </c>
      <c r="O27" s="32" t="n">
        <f aca="false">+O26/K26-1</f>
        <v>-0.0350877192982456</v>
      </c>
      <c r="P27" s="32" t="n">
        <f aca="false">+P26/L26-1</f>
        <v>-0.0741525423728814</v>
      </c>
      <c r="Q27" s="32" t="n">
        <f aca="false">+Q26/M26-1</f>
        <v>-0.0484171322160148</v>
      </c>
      <c r="R27" s="32" t="n">
        <f aca="false">+R26/N26-1</f>
        <v>-0.0540540540540541</v>
      </c>
      <c r="S27" s="32" t="n">
        <f aca="false">+S26/O26-1</f>
        <v>0.0136363636363637</v>
      </c>
      <c r="T27" s="32" t="n">
        <f aca="false">+T26/P26-1</f>
        <v>0.102974828375286</v>
      </c>
      <c r="U27" s="32" t="n">
        <f aca="false">+U26/Q26-1</f>
        <v>0.258317025440313</v>
      </c>
      <c r="V27" s="32"/>
      <c r="W27" s="32"/>
      <c r="X27" s="32"/>
      <c r="Y27" s="32"/>
      <c r="Z27" s="32"/>
      <c r="AA27" s="32"/>
      <c r="AB27" s="32" t="n">
        <f aca="false">+AB26/AA26-1</f>
        <v>0.09882005899705</v>
      </c>
      <c r="AC27" s="32" t="n">
        <f aca="false">+AC26/AB26-1</f>
        <v>0.621476510067114</v>
      </c>
      <c r="AD27" s="32" t="n">
        <f aca="false">+AD26/AC26-1</f>
        <v>0.221854304635762</v>
      </c>
      <c r="AE27" s="32" t="n">
        <f aca="false">+AE26/AD26-1</f>
        <v>0.138888888888889</v>
      </c>
      <c r="AF27" s="32" t="n">
        <f aca="false">+AF26/AE26-1</f>
        <v>0.10291493158834</v>
      </c>
      <c r="AG27" s="32" t="n">
        <f aca="false">+AG26/AF26-1</f>
        <v>-0.0318230852211435</v>
      </c>
      <c r="AH27" s="32" t="n">
        <f aca="false">+AH26/AG26-1</f>
        <v>0.0935933147632313</v>
      </c>
      <c r="AI27" s="32" t="n">
        <f aca="false">+AI26/AH26-1</f>
        <v>0.184411614875191</v>
      </c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DC27" s="25"/>
      <c r="DD27" s="25"/>
      <c r="DE27" s="25"/>
      <c r="DF27" s="25"/>
      <c r="DG27" s="25"/>
    </row>
    <row r="28" s="4" customFormat="true" ht="12.8" hidden="false" customHeight="true" outlineLevel="0" collapsed="false">
      <c r="A28" s="43" t="s">
        <v>94</v>
      </c>
      <c r="B28" s="41" t="n">
        <f aca="false">+B26+B24</f>
        <v>2661</v>
      </c>
      <c r="C28" s="41" t="n">
        <f aca="false">+C26+C24</f>
        <v>2864</v>
      </c>
      <c r="D28" s="41" t="n">
        <f aca="false">+D26+D24</f>
        <v>3036</v>
      </c>
      <c r="E28" s="41" t="n">
        <f aca="false">+E26+E24</f>
        <v>3166</v>
      </c>
      <c r="F28" s="41" t="n">
        <f aca="false">+F26+F24</f>
        <v>3042</v>
      </c>
      <c r="G28" s="41" t="n">
        <f aca="false">+G26+G24</f>
        <v>3177</v>
      </c>
      <c r="H28" s="41" t="n">
        <f aca="false">+H26+H24</f>
        <v>3357</v>
      </c>
      <c r="I28" s="41" t="n">
        <f aca="false">+I26+I24</f>
        <v>3671</v>
      </c>
      <c r="J28" s="41" t="n">
        <f aca="false">+J26+J24</f>
        <v>3636</v>
      </c>
      <c r="K28" s="41" t="n">
        <f aca="false">+K26+K24</f>
        <v>3807</v>
      </c>
      <c r="L28" s="41" t="n">
        <f aca="false">+L26+L24</f>
        <v>3988</v>
      </c>
      <c r="M28" s="41" t="n">
        <f aca="false">+M26+M24</f>
        <v>4242</v>
      </c>
      <c r="N28" s="41" t="n">
        <f aca="false">+N26+N24</f>
        <v>4190</v>
      </c>
      <c r="O28" s="41" t="n">
        <f aca="false">+O26+O24</f>
        <v>4193</v>
      </c>
      <c r="P28" s="41" t="n">
        <f aca="false">+P26+P24</f>
        <v>4272</v>
      </c>
      <c r="Q28" s="41" t="n">
        <f aca="false">+Q26+Q24</f>
        <v>4531</v>
      </c>
      <c r="R28" s="41" t="n">
        <f aca="false">+R26+R24</f>
        <v>4533</v>
      </c>
      <c r="S28" s="41" t="n">
        <f aca="false">+S26+S24</f>
        <v>4777</v>
      </c>
      <c r="T28" s="41" t="n">
        <v>4969</v>
      </c>
      <c r="U28" s="41" t="n">
        <f aca="false">+Q28*1.15</f>
        <v>5210.65</v>
      </c>
      <c r="V28" s="41"/>
      <c r="W28" s="41"/>
      <c r="X28" s="41"/>
      <c r="Y28" s="41"/>
      <c r="Z28" s="41"/>
      <c r="AA28" s="41" t="n">
        <f aca="false">+AA26+AA24</f>
        <v>6764</v>
      </c>
      <c r="AB28" s="41" t="n">
        <f aca="false">+AB26+AB24</f>
        <v>7880</v>
      </c>
      <c r="AC28" s="41" t="n">
        <f aca="false">+AC26+AC24</f>
        <v>9668</v>
      </c>
      <c r="AD28" s="41" t="n">
        <f aca="false">+AD26+AD24</f>
        <v>11727</v>
      </c>
      <c r="AE28" s="41" t="n">
        <f aca="false">+AE26+AE24</f>
        <v>13247</v>
      </c>
      <c r="AF28" s="41" t="n">
        <f aca="false">+AF26+AF24</f>
        <v>15673</v>
      </c>
      <c r="AG28" s="41" t="n">
        <f aca="false">+AG26+AG24</f>
        <v>17186</v>
      </c>
      <c r="AH28" s="41" t="n">
        <f aca="false">AG28*1.15</f>
        <v>19763.9</v>
      </c>
      <c r="AI28" s="41" t="n">
        <f aca="false">AH28*1.15</f>
        <v>22728.485</v>
      </c>
      <c r="AJ28" s="41" t="n">
        <f aca="false">AI28*1.15</f>
        <v>26137.75775</v>
      </c>
      <c r="AK28" s="41" t="n">
        <f aca="false">AJ28*1.15</f>
        <v>30058.4214125</v>
      </c>
      <c r="AL28" s="41" t="n">
        <f aca="false">AK28*1.15</f>
        <v>34567.184624375</v>
      </c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DC28" s="25"/>
      <c r="DD28" s="25"/>
      <c r="DE28" s="25"/>
      <c r="DF28" s="25"/>
      <c r="DG28" s="25"/>
    </row>
    <row r="29" s="32" customFormat="true" ht="10.5" hidden="false" customHeight="true" outlineLevel="0" collapsed="false">
      <c r="A29" s="30"/>
      <c r="F29" s="32" t="n">
        <f aca="false">+F28/B28-1</f>
        <v>0.143179255918827</v>
      </c>
      <c r="G29" s="32" t="n">
        <f aca="false">+G28/C28-1</f>
        <v>0.109287709497207</v>
      </c>
      <c r="H29" s="32" t="n">
        <f aca="false">+H28/D28-1</f>
        <v>0.105731225296443</v>
      </c>
      <c r="I29" s="32" t="n">
        <f aca="false">+I28/E28-1</f>
        <v>0.159507264687303</v>
      </c>
      <c r="J29" s="32" t="n">
        <f aca="false">+J28/F28-1</f>
        <v>0.195266272189349</v>
      </c>
      <c r="K29" s="32" t="n">
        <f aca="false">+K28/G28-1</f>
        <v>0.198300283286119</v>
      </c>
      <c r="L29" s="32" t="n">
        <f aca="false">+L28/H28-1</f>
        <v>0.187965445338099</v>
      </c>
      <c r="M29" s="32" t="n">
        <f aca="false">+M28/I28-1</f>
        <v>0.155543448651594</v>
      </c>
      <c r="N29" s="32" t="n">
        <f aca="false">+N28/J28-1</f>
        <v>0.152365236523652</v>
      </c>
      <c r="O29" s="32" t="n">
        <f aca="false">+O28/K28-1</f>
        <v>0.101392172314158</v>
      </c>
      <c r="P29" s="32" t="n">
        <f aca="false">+P28/L28-1</f>
        <v>0.0712136409227684</v>
      </c>
      <c r="Q29" s="32" t="n">
        <f aca="false">+Q28/M28-1</f>
        <v>0.0681282413955682</v>
      </c>
      <c r="R29" s="32" t="n">
        <f aca="false">+R28/N28-1</f>
        <v>0.0818615751789975</v>
      </c>
      <c r="S29" s="32" t="n">
        <f aca="false">+S28/O28-1</f>
        <v>0.139279751967565</v>
      </c>
      <c r="T29" s="32" t="n">
        <f aca="false">+T28/P28-1</f>
        <v>0.163155430711611</v>
      </c>
      <c r="U29" s="32" t="n">
        <f aca="false">+U28/Q28-1</f>
        <v>0.15</v>
      </c>
      <c r="AB29" s="32" t="n">
        <f aca="false">+AB28/AA28-1</f>
        <v>0.164991129509166</v>
      </c>
      <c r="AC29" s="32" t="n">
        <f aca="false">+AC28/AB28-1</f>
        <v>0.226903553299492</v>
      </c>
      <c r="AD29" s="32" t="n">
        <f aca="false">+AD28/AC28-1</f>
        <v>0.212970624741415</v>
      </c>
      <c r="AE29" s="32" t="n">
        <f aca="false">+AE28/AD28-1</f>
        <v>0.129615417412808</v>
      </c>
      <c r="AF29" s="32" t="n">
        <f aca="false">+AF28/AE28-1</f>
        <v>0.183135804333057</v>
      </c>
      <c r="AG29" s="32" t="n">
        <f aca="false">+AG28/AF28-1</f>
        <v>0.0965354431187393</v>
      </c>
      <c r="AH29" s="32" t="n">
        <f aca="false">+AH28/AG28-1</f>
        <v>0.15</v>
      </c>
      <c r="AI29" s="32" t="n">
        <f aca="false">+AI28/AH28-1</f>
        <v>0.15</v>
      </c>
      <c r="AJ29" s="32" t="n">
        <f aca="false">+AJ28/AI28-1</f>
        <v>0.15</v>
      </c>
      <c r="AK29" s="32" t="n">
        <f aca="false">+AK28/AJ28-1</f>
        <v>0.15</v>
      </c>
      <c r="AL29" s="32" t="n">
        <f aca="false">+AL28/AK28-1</f>
        <v>0.15</v>
      </c>
      <c r="DC29" s="25"/>
      <c r="DD29" s="25"/>
      <c r="DE29" s="25"/>
      <c r="DF29" s="25"/>
      <c r="DG29" s="25"/>
    </row>
    <row r="30" s="4" customFormat="true" ht="12.8" hidden="false" customHeight="true" outlineLevel="0" collapsed="false">
      <c r="A30" s="40" t="s">
        <v>95</v>
      </c>
      <c r="B30" s="4" t="n">
        <v>1704</v>
      </c>
      <c r="C30" s="4" t="n">
        <v>1804</v>
      </c>
      <c r="D30" s="4" t="n">
        <v>1908</v>
      </c>
      <c r="E30" s="4" t="n">
        <f aca="false">AD30-D30-C30-B30</f>
        <v>1939</v>
      </c>
      <c r="F30" s="4" t="n">
        <v>1937</v>
      </c>
      <c r="G30" s="4" t="n">
        <v>1984</v>
      </c>
      <c r="H30" s="4" t="n">
        <v>2062</v>
      </c>
      <c r="I30" s="4" t="n">
        <f aca="false">AE30-H30-G30-F30</f>
        <v>2248</v>
      </c>
      <c r="J30" s="4" t="n">
        <v>2268</v>
      </c>
      <c r="K30" s="4" t="n">
        <v>2300</v>
      </c>
      <c r="L30" s="4" t="n">
        <v>2338</v>
      </c>
      <c r="M30" s="44" t="n">
        <v>2425</v>
      </c>
      <c r="N30" s="4" t="n">
        <v>2514</v>
      </c>
      <c r="O30" s="4" t="n">
        <v>2509</v>
      </c>
      <c r="P30" s="4" t="n">
        <v>2561</v>
      </c>
      <c r="Q30" s="4" t="n">
        <v>2623</v>
      </c>
      <c r="R30" s="4" t="n">
        <v>2703</v>
      </c>
      <c r="AA30" s="4" t="n">
        <v>4443</v>
      </c>
      <c r="AB30" s="4" t="n">
        <v>5126</v>
      </c>
      <c r="AC30" s="4" t="n">
        <v>5986</v>
      </c>
      <c r="AD30" s="4" t="n">
        <v>7355</v>
      </c>
      <c r="AE30" s="4" t="n">
        <v>8231</v>
      </c>
      <c r="AF30" s="4" t="n">
        <v>9324</v>
      </c>
      <c r="AG30" s="4" t="n">
        <f aca="false">SUM(N30:Q30)</f>
        <v>10207</v>
      </c>
      <c r="DC30" s="25"/>
      <c r="DD30" s="25"/>
      <c r="DE30" s="25"/>
      <c r="DF30" s="25"/>
      <c r="DG30" s="25"/>
    </row>
    <row r="31" s="32" customFormat="true" ht="10.5" hidden="false" customHeight="true" outlineLevel="0" collapsed="false">
      <c r="A31" s="30"/>
      <c r="B31" s="32" t="n">
        <f aca="false">+B30/B$34</f>
        <v>0.856281407035176</v>
      </c>
      <c r="C31" s="32" t="n">
        <f aca="false">+C30/C$34</f>
        <v>0.835185185185185</v>
      </c>
      <c r="D31" s="32" t="n">
        <f aca="false">+D30/D$34</f>
        <v>0.834645669291339</v>
      </c>
      <c r="E31" s="32" t="n">
        <f aca="false">+E30/E$34</f>
        <v>0.819873150105708</v>
      </c>
      <c r="F31" s="32" t="n">
        <f aca="false">+F30/F$34</f>
        <v>0.851054481546573</v>
      </c>
      <c r="G31" s="32" t="n">
        <f aca="false">+G30/G$34</f>
        <v>0.822895064288677</v>
      </c>
      <c r="H31" s="32" t="n">
        <f aca="false">+H30/H$34</f>
        <v>0.834142394822007</v>
      </c>
      <c r="I31" s="32" t="n">
        <f aca="false">+I30/I$34</f>
        <v>0.83537718320327</v>
      </c>
      <c r="J31" s="32" t="n">
        <f aca="false">+J30/J$34</f>
        <v>0.861702127659574</v>
      </c>
      <c r="K31" s="32" t="n">
        <f aca="false">+K30/K$34</f>
        <v>0.853432282003711</v>
      </c>
      <c r="L31" s="32" t="n">
        <f aca="false">+L30/L$34</f>
        <v>0.85080058224163</v>
      </c>
      <c r="M31" s="32" t="n">
        <f aca="false">+M30/M$34</f>
        <v>0.843771746694502</v>
      </c>
      <c r="N31" s="32" t="n">
        <f aca="false">+N30/N$34</f>
        <v>0.877793296089386</v>
      </c>
      <c r="O31" s="32" t="n">
        <f aca="false">+O30/O$34</f>
        <v>0.873303167420815</v>
      </c>
      <c r="P31" s="32" t="n">
        <f aca="false">+P30/P$34</f>
        <v>0.876754536117768</v>
      </c>
      <c r="Q31" s="32" t="n">
        <f aca="false">+Q30/Q$34</f>
        <v>0.865105540897098</v>
      </c>
      <c r="R31" s="32" t="n">
        <f aca="false">+R30/R$34</f>
        <v>0.88973008558262</v>
      </c>
      <c r="S31" s="32" t="n">
        <f aca="false">+S30/S$28</f>
        <v>0</v>
      </c>
      <c r="T31" s="32" t="n">
        <f aca="false">+T30/T$28</f>
        <v>0</v>
      </c>
      <c r="U31" s="32" t="n">
        <f aca="false">+U30/U$28</f>
        <v>0</v>
      </c>
      <c r="AA31" s="32" t="n">
        <f aca="false">+AA30/AA$34</f>
        <v>0.881197937326458</v>
      </c>
      <c r="AB31" s="32" t="n">
        <f aca="false">+AB30/AB$34</f>
        <v>0.873998294970162</v>
      </c>
      <c r="AC31" s="32" t="n">
        <f aca="false">+AC30/AC$34</f>
        <v>0.845838632188781</v>
      </c>
      <c r="AD31" s="32" t="n">
        <f aca="false">+AD30/AD$34</f>
        <v>0.835700488580843</v>
      </c>
      <c r="AE31" s="32" t="n">
        <f aca="false">+AE30/AE$34</f>
        <v>0.835634517766497</v>
      </c>
      <c r="AF31" s="32" t="n">
        <f aca="false">+AF30/AF$34</f>
        <v>0.851584619599964</v>
      </c>
      <c r="AG31" s="32" t="n">
        <f aca="false">+AG30/AG$34</f>
        <v>0.873139435414885</v>
      </c>
      <c r="DC31" s="25"/>
      <c r="DD31" s="25"/>
      <c r="DE31" s="25"/>
      <c r="DF31" s="25"/>
      <c r="DG31" s="25"/>
    </row>
    <row r="32" s="4" customFormat="true" ht="12.8" hidden="false" customHeight="true" outlineLevel="0" collapsed="false">
      <c r="A32" s="40" t="s">
        <v>96</v>
      </c>
      <c r="B32" s="4" t="n">
        <v>286</v>
      </c>
      <c r="C32" s="4" t="n">
        <v>356</v>
      </c>
      <c r="D32" s="4" t="n">
        <v>378</v>
      </c>
      <c r="E32" s="4" t="n">
        <f aca="false">AD32-D32-C32-B32</f>
        <v>426</v>
      </c>
      <c r="F32" s="4" t="n">
        <v>339</v>
      </c>
      <c r="G32" s="4" t="n">
        <v>427</v>
      </c>
      <c r="H32" s="4" t="n">
        <v>410</v>
      </c>
      <c r="I32" s="4" t="n">
        <f aca="false">AE32-H32-G32-F32</f>
        <v>443</v>
      </c>
      <c r="J32" s="4" t="n">
        <v>364</v>
      </c>
      <c r="K32" s="4" t="n">
        <v>395</v>
      </c>
      <c r="L32" s="4" t="n">
        <v>410</v>
      </c>
      <c r="M32" s="44" t="n">
        <v>449</v>
      </c>
      <c r="N32" s="4" t="n">
        <v>350</v>
      </c>
      <c r="O32" s="4" t="n">
        <v>364</v>
      </c>
      <c r="P32" s="4" t="n">
        <v>360</v>
      </c>
      <c r="Q32" s="4" t="n">
        <v>409</v>
      </c>
      <c r="R32" s="4" t="n">
        <v>335</v>
      </c>
      <c r="AA32" s="4" t="n">
        <v>599</v>
      </c>
      <c r="AB32" s="4" t="n">
        <v>739</v>
      </c>
      <c r="AC32" s="4" t="n">
        <v>1091</v>
      </c>
      <c r="AD32" s="4" t="n">
        <v>1446</v>
      </c>
      <c r="AE32" s="4" t="n">
        <v>1619</v>
      </c>
      <c r="AF32" s="4" t="n">
        <v>1625</v>
      </c>
      <c r="AG32" s="4" t="n">
        <f aca="false">SUM(N32:Q32)</f>
        <v>1483</v>
      </c>
      <c r="DC32" s="25"/>
      <c r="DD32" s="25"/>
      <c r="DE32" s="25"/>
      <c r="DF32" s="25"/>
      <c r="DG32" s="25"/>
    </row>
    <row r="33" s="32" customFormat="true" ht="10.5" hidden="false" customHeight="true" outlineLevel="0" collapsed="false">
      <c r="A33" s="30"/>
      <c r="B33" s="32" t="n">
        <f aca="false">+B32/B$34</f>
        <v>0.143718592964824</v>
      </c>
      <c r="C33" s="32" t="n">
        <f aca="false">+C32/C$34</f>
        <v>0.164814814814815</v>
      </c>
      <c r="D33" s="32" t="n">
        <f aca="false">+D32/D$34</f>
        <v>0.165354330708661</v>
      </c>
      <c r="E33" s="32" t="n">
        <f aca="false">+E32/E$34</f>
        <v>0.180126849894292</v>
      </c>
      <c r="F33" s="32" t="n">
        <f aca="false">+F32/F$34</f>
        <v>0.148945518453427</v>
      </c>
      <c r="G33" s="32" t="n">
        <f aca="false">+G32/G$34</f>
        <v>0.177104935711323</v>
      </c>
      <c r="H33" s="32" t="n">
        <f aca="false">+H32/H$34</f>
        <v>0.165857605177994</v>
      </c>
      <c r="I33" s="32" t="n">
        <f aca="false">+I32/I$34</f>
        <v>0.16462281679673</v>
      </c>
      <c r="J33" s="32" t="n">
        <f aca="false">+J32/J$34</f>
        <v>0.138297872340426</v>
      </c>
      <c r="K33" s="32" t="n">
        <f aca="false">+K32/K$34</f>
        <v>0.146567717996289</v>
      </c>
      <c r="L33" s="32" t="n">
        <f aca="false">+L32/L$34</f>
        <v>0.14919941775837</v>
      </c>
      <c r="M33" s="32" t="n">
        <f aca="false">+M32/M$34</f>
        <v>0.156228253305498</v>
      </c>
      <c r="N33" s="32" t="n">
        <f aca="false">+N32/N$34</f>
        <v>0.122206703910615</v>
      </c>
      <c r="O33" s="32" t="n">
        <f aca="false">+O32/O$34</f>
        <v>0.126696832579186</v>
      </c>
      <c r="P33" s="32" t="n">
        <f aca="false">+P32/P$34</f>
        <v>0.123245463882232</v>
      </c>
      <c r="Q33" s="32" t="n">
        <f aca="false">+Q32/Q$34</f>
        <v>0.134894459102902</v>
      </c>
      <c r="R33" s="32" t="n">
        <f aca="false">+R32/R$34</f>
        <v>0.11026991441738</v>
      </c>
      <c r="S33" s="32" t="n">
        <f aca="false">+S32/S$28</f>
        <v>0</v>
      </c>
      <c r="T33" s="32" t="n">
        <f aca="false">+T32/T$28</f>
        <v>0</v>
      </c>
      <c r="U33" s="32" t="n">
        <f aca="false">+U32/U$28</f>
        <v>0</v>
      </c>
      <c r="AA33" s="32" t="n">
        <f aca="false">+AA32/AA$34</f>
        <v>0.118802062673542</v>
      </c>
      <c r="AB33" s="32" t="n">
        <f aca="false">+AB32/AB$34</f>
        <v>0.126001705029838</v>
      </c>
      <c r="AC33" s="32" t="n">
        <f aca="false">+AC32/AC$34</f>
        <v>0.154161367811219</v>
      </c>
      <c r="AD33" s="32" t="n">
        <f aca="false">+AD32/AD$34</f>
        <v>0.164299511419157</v>
      </c>
      <c r="AE33" s="32" t="n">
        <f aca="false">+AE32/AE$34</f>
        <v>0.164365482233503</v>
      </c>
      <c r="AF33" s="32" t="n">
        <f aca="false">+AF32/AF$34</f>
        <v>0.148415380400037</v>
      </c>
      <c r="AG33" s="32" t="n">
        <f aca="false">+AG32/AG$34</f>
        <v>0.126860564585116</v>
      </c>
      <c r="DC33" s="25"/>
      <c r="DD33" s="25"/>
      <c r="DE33" s="25"/>
      <c r="DF33" s="25"/>
      <c r="DG33" s="25"/>
    </row>
    <row r="34" s="4" customFormat="true" ht="12.8" hidden="false" customHeight="true" outlineLevel="0" collapsed="false">
      <c r="A34" s="40" t="s">
        <v>97</v>
      </c>
      <c r="B34" s="4" t="n">
        <f aca="false">+B32+B30</f>
        <v>1990</v>
      </c>
      <c r="C34" s="4" t="n">
        <f aca="false">+C32+C30</f>
        <v>2160</v>
      </c>
      <c r="D34" s="4" t="n">
        <f aca="false">+D32+D30</f>
        <v>2286</v>
      </c>
      <c r="E34" s="4" t="n">
        <f aca="false">+E32+E30</f>
        <v>2365</v>
      </c>
      <c r="F34" s="4" t="n">
        <f aca="false">+F32+F30</f>
        <v>2276</v>
      </c>
      <c r="G34" s="4" t="n">
        <f aca="false">+G32+G30</f>
        <v>2411</v>
      </c>
      <c r="H34" s="4" t="n">
        <f aca="false">+H32+H30</f>
        <v>2472</v>
      </c>
      <c r="I34" s="4" t="n">
        <f aca="false">+I32+I30</f>
        <v>2691</v>
      </c>
      <c r="J34" s="4" t="n">
        <f aca="false">+J32+J30</f>
        <v>2632</v>
      </c>
      <c r="K34" s="4" t="n">
        <f aca="false">+K32+K30</f>
        <v>2695</v>
      </c>
      <c r="L34" s="4" t="n">
        <f aca="false">+L32+L30</f>
        <v>2748</v>
      </c>
      <c r="M34" s="4" t="n">
        <f aca="false">+M32+M30</f>
        <v>2874</v>
      </c>
      <c r="N34" s="4" t="n">
        <f aca="false">+N32+N30</f>
        <v>2864</v>
      </c>
      <c r="O34" s="4" t="n">
        <f aca="false">+O32+O30</f>
        <v>2873</v>
      </c>
      <c r="P34" s="4" t="n">
        <f aca="false">+P32+P30</f>
        <v>2921</v>
      </c>
      <c r="Q34" s="4" t="n">
        <f aca="false">+Q32+Q30</f>
        <v>3032</v>
      </c>
      <c r="R34" s="4" t="n">
        <f aca="false">+R32+R30</f>
        <v>3038</v>
      </c>
      <c r="S34" s="4" t="n">
        <v>3181</v>
      </c>
      <c r="T34" s="4" t="n">
        <v>3330</v>
      </c>
      <c r="U34" s="4" t="n">
        <f aca="false">+U28-U36</f>
        <v>3491.1355</v>
      </c>
      <c r="AA34" s="4" t="n">
        <f aca="false">+AA32+AA30</f>
        <v>5042</v>
      </c>
      <c r="AB34" s="4" t="n">
        <f aca="false">+AB32+AB30</f>
        <v>5865</v>
      </c>
      <c r="AC34" s="4" t="n">
        <f aca="false">+AC32+AC30</f>
        <v>7077</v>
      </c>
      <c r="AD34" s="4" t="n">
        <f aca="false">+AD32+AD30</f>
        <v>8801</v>
      </c>
      <c r="AE34" s="4" t="n">
        <f aca="false">+AE32+AE30</f>
        <v>9850</v>
      </c>
      <c r="AF34" s="4" t="n">
        <f aca="false">+AF32+AF30</f>
        <v>10949</v>
      </c>
      <c r="AG34" s="4" t="n">
        <f aca="false">+AG32+AG30</f>
        <v>11690</v>
      </c>
      <c r="AH34" s="4" t="n">
        <f aca="false">AH28-AH36</f>
        <v>13439.452</v>
      </c>
      <c r="AI34" s="4" t="n">
        <f aca="false">AI28-AI36</f>
        <v>15341.727375</v>
      </c>
      <c r="AJ34" s="4" t="n">
        <f aca="false">AJ28-AJ36</f>
        <v>17512.2976925</v>
      </c>
      <c r="AK34" s="4" t="n">
        <f aca="false">AK28-AK36</f>
        <v>19988.8502393125</v>
      </c>
      <c r="AL34" s="4" t="n">
        <f aca="false">AL28-AL36</f>
        <v>22814.3418520875</v>
      </c>
      <c r="DC34" s="25"/>
      <c r="DD34" s="25"/>
      <c r="DE34" s="25"/>
      <c r="DF34" s="25"/>
      <c r="DG34" s="25"/>
    </row>
    <row r="35" s="32" customFormat="true" ht="10.5" hidden="false" customHeight="true" outlineLevel="0" collapsed="false">
      <c r="A35" s="30"/>
      <c r="B35" s="32" t="n">
        <f aca="false">+B34/B$28</f>
        <v>0.747839158211199</v>
      </c>
      <c r="C35" s="32" t="n">
        <f aca="false">+C34/C$28</f>
        <v>0.754189944134078</v>
      </c>
      <c r="D35" s="32" t="n">
        <f aca="false">+D34/D$28</f>
        <v>0.75296442687747</v>
      </c>
      <c r="E35" s="32" t="n">
        <f aca="false">+E34/E$28</f>
        <v>0.746999368288061</v>
      </c>
      <c r="F35" s="32" t="n">
        <f aca="false">+F34/F$28</f>
        <v>0.74819197896121</v>
      </c>
      <c r="G35" s="32" t="n">
        <f aca="false">+G34/G$28</f>
        <v>0.758892036512433</v>
      </c>
      <c r="H35" s="32" t="n">
        <f aca="false">+H34/H$28</f>
        <v>0.736371760500447</v>
      </c>
      <c r="I35" s="32" t="n">
        <f aca="false">+I34/I$28</f>
        <v>0.733042767638246</v>
      </c>
      <c r="J35" s="32" t="n">
        <f aca="false">+J34/J$28</f>
        <v>0.723872387238724</v>
      </c>
      <c r="K35" s="32" t="n">
        <f aca="false">+K34/K$28</f>
        <v>0.707906488048332</v>
      </c>
      <c r="L35" s="32" t="n">
        <f aca="false">+L34/L$28</f>
        <v>0.689067201604815</v>
      </c>
      <c r="M35" s="32" t="n">
        <f aca="false">+M34/M$28</f>
        <v>0.677510608203678</v>
      </c>
      <c r="N35" s="32" t="n">
        <f aca="false">+N34/N$28</f>
        <v>0.683532219570406</v>
      </c>
      <c r="O35" s="32" t="n">
        <f aca="false">+O34/O$28</f>
        <v>0.685189601717148</v>
      </c>
      <c r="P35" s="32" t="n">
        <f aca="false">+P34/P$28</f>
        <v>0.68375468164794</v>
      </c>
      <c r="Q35" s="32" t="n">
        <f aca="false">+Q34/Q$28</f>
        <v>0.669167954094019</v>
      </c>
      <c r="R35" s="32" t="n">
        <f aca="false">+R34/R$28</f>
        <v>0.670196337966027</v>
      </c>
      <c r="S35" s="32" t="n">
        <f aca="false">+S34/S$28</f>
        <v>0.665899099853465</v>
      </c>
      <c r="T35" s="32" t="n">
        <f aca="false">+T34/T$28</f>
        <v>0.670154960756692</v>
      </c>
      <c r="U35" s="32" t="n">
        <f aca="false">+U34/U$28</f>
        <v>0.67</v>
      </c>
      <c r="AA35" s="32" t="n">
        <f aca="false">+AA34/AA$28</f>
        <v>0.74541691306919</v>
      </c>
      <c r="AB35" s="32" t="n">
        <f aca="false">+AB34/AB$28</f>
        <v>0.744289340101523</v>
      </c>
      <c r="AC35" s="32" t="n">
        <f aca="false">+AC34/AC$28</f>
        <v>0.732002482416219</v>
      </c>
      <c r="AD35" s="32" t="n">
        <f aca="false">+AD34/AD$28</f>
        <v>0.750490321480345</v>
      </c>
      <c r="AE35" s="32" t="n">
        <f aca="false">+AE34/AE$28</f>
        <v>0.743564580659772</v>
      </c>
      <c r="AF35" s="32" t="n">
        <f aca="false">+AF34/AF$28</f>
        <v>0.698589931729726</v>
      </c>
      <c r="AG35" s="32" t="n">
        <f aca="false">+AG34/AG$28</f>
        <v>0.680204817875015</v>
      </c>
      <c r="AH35" s="32" t="n">
        <f aca="false">+AH34/AH$28</f>
        <v>0.68</v>
      </c>
      <c r="AI35" s="32" t="n">
        <f aca="false">+AI34/AI$28</f>
        <v>0.675</v>
      </c>
      <c r="AJ35" s="32" t="n">
        <f aca="false">+AJ34/AJ$28</f>
        <v>0.67</v>
      </c>
      <c r="AK35" s="32" t="n">
        <f aca="false">+AK34/AK$28</f>
        <v>0.665</v>
      </c>
      <c r="AL35" s="32" t="n">
        <f aca="false">+AL34/AL$28</f>
        <v>0.66</v>
      </c>
      <c r="DC35" s="25"/>
      <c r="DD35" s="25"/>
      <c r="DE35" s="25"/>
      <c r="DF35" s="25"/>
      <c r="DG35" s="25"/>
    </row>
    <row r="36" s="46" customFormat="true" ht="12.8" hidden="false" customHeight="true" outlineLevel="0" collapsed="false">
      <c r="A36" s="45" t="s">
        <v>98</v>
      </c>
      <c r="B36" s="46" t="n">
        <f aca="false">B28-B34</f>
        <v>671</v>
      </c>
      <c r="C36" s="46" t="n">
        <f aca="false">C28-C34</f>
        <v>704</v>
      </c>
      <c r="D36" s="46" t="n">
        <f aca="false">D28-D34</f>
        <v>750</v>
      </c>
      <c r="E36" s="46" t="n">
        <f aca="false">E28-E34</f>
        <v>801</v>
      </c>
      <c r="F36" s="46" t="n">
        <f aca="false">F28-F34</f>
        <v>766</v>
      </c>
      <c r="G36" s="46" t="n">
        <f aca="false">G28-G34</f>
        <v>766</v>
      </c>
      <c r="H36" s="46" t="n">
        <f aca="false">H28-H34</f>
        <v>885</v>
      </c>
      <c r="I36" s="46" t="n">
        <f aca="false">I28-I34</f>
        <v>980</v>
      </c>
      <c r="J36" s="46" t="n">
        <f aca="false">J28-J34</f>
        <v>1004</v>
      </c>
      <c r="K36" s="46" t="n">
        <f aca="false">K28-K34</f>
        <v>1112</v>
      </c>
      <c r="L36" s="46" t="n">
        <f aca="false">L28-L34</f>
        <v>1240</v>
      </c>
      <c r="M36" s="46" t="n">
        <f aca="false">M28-M34</f>
        <v>1368</v>
      </c>
      <c r="N36" s="46" t="n">
        <f aca="false">N28-N34</f>
        <v>1326</v>
      </c>
      <c r="O36" s="46" t="n">
        <f aca="false">O28-O34</f>
        <v>1320</v>
      </c>
      <c r="P36" s="46" t="n">
        <f aca="false">P28-P34</f>
        <v>1351</v>
      </c>
      <c r="Q36" s="46" t="n">
        <f aca="false">Q28-Q34</f>
        <v>1499</v>
      </c>
      <c r="R36" s="46" t="n">
        <f aca="false">R28-R34</f>
        <v>1495</v>
      </c>
      <c r="S36" s="46" t="n">
        <f aca="false">S28-S34</f>
        <v>1596</v>
      </c>
      <c r="T36" s="46" t="n">
        <f aca="false">+T28*0.33</f>
        <v>1639.77</v>
      </c>
      <c r="U36" s="46" t="n">
        <f aca="false">+U28*0.33</f>
        <v>1719.5145</v>
      </c>
      <c r="AA36" s="46" t="n">
        <f aca="false">AA28-AA34</f>
        <v>1722</v>
      </c>
      <c r="AB36" s="46" t="n">
        <f aca="false">AB28-AB34</f>
        <v>2015</v>
      </c>
      <c r="AC36" s="46" t="n">
        <f aca="false">AC28-AC34</f>
        <v>2591</v>
      </c>
      <c r="AD36" s="46" t="n">
        <f aca="false">AD28-AD34</f>
        <v>2926</v>
      </c>
      <c r="AE36" s="46" t="n">
        <f aca="false">AE28-AE34</f>
        <v>3397</v>
      </c>
      <c r="AF36" s="46" t="n">
        <f aca="false">AF28-AF34</f>
        <v>4724</v>
      </c>
      <c r="AG36" s="46" t="n">
        <f aca="false">AG28-AG34</f>
        <v>5496</v>
      </c>
      <c r="AH36" s="46" t="n">
        <f aca="false">AH28*0.32</f>
        <v>6324.448</v>
      </c>
      <c r="AI36" s="46" t="n">
        <f aca="false">AI28*0.325</f>
        <v>7386.757625</v>
      </c>
      <c r="AJ36" s="46" t="n">
        <f aca="false">AJ28*0.33</f>
        <v>8625.4600575</v>
      </c>
      <c r="AK36" s="46" t="n">
        <f aca="false">AK28*0.335</f>
        <v>10069.5711731875</v>
      </c>
      <c r="AL36" s="46" t="n">
        <f aca="false">AL28*0.34</f>
        <v>11752.8427722875</v>
      </c>
      <c r="DC36" s="25"/>
      <c r="DD36" s="25"/>
      <c r="DE36" s="25"/>
      <c r="DF36" s="25"/>
      <c r="DG36" s="25"/>
    </row>
    <row r="37" s="32" customFormat="true" ht="10.5" hidden="false" customHeight="true" outlineLevel="0" collapsed="false">
      <c r="A37" s="30"/>
      <c r="B37" s="32" t="n">
        <f aca="false">+B36/B$28</f>
        <v>0.252160841788801</v>
      </c>
      <c r="C37" s="32" t="n">
        <f aca="false">+C36/C$28</f>
        <v>0.245810055865922</v>
      </c>
      <c r="D37" s="32" t="n">
        <f aca="false">+D36/D$28</f>
        <v>0.24703557312253</v>
      </c>
      <c r="E37" s="32" t="n">
        <f aca="false">+E36/E$28</f>
        <v>0.253000631711939</v>
      </c>
      <c r="F37" s="32" t="n">
        <f aca="false">+F36/F$28</f>
        <v>0.25180802103879</v>
      </c>
      <c r="G37" s="32" t="n">
        <f aca="false">+G36/G$28</f>
        <v>0.241107963487567</v>
      </c>
      <c r="H37" s="32" t="n">
        <f aca="false">+H36/H$28</f>
        <v>0.263628239499553</v>
      </c>
      <c r="I37" s="32" t="n">
        <f aca="false">+I36/I$28</f>
        <v>0.266957232361754</v>
      </c>
      <c r="J37" s="32" t="n">
        <f aca="false">+J36/J$28</f>
        <v>0.276127612761276</v>
      </c>
      <c r="K37" s="32" t="n">
        <f aca="false">+K36/K$28</f>
        <v>0.292093511951668</v>
      </c>
      <c r="L37" s="32" t="n">
        <f aca="false">+L36/L$28</f>
        <v>0.310932798395186</v>
      </c>
      <c r="M37" s="32" t="n">
        <f aca="false">+M36/M$28</f>
        <v>0.322489391796322</v>
      </c>
      <c r="N37" s="32" t="n">
        <f aca="false">+N36/N$28</f>
        <v>0.316467780429594</v>
      </c>
      <c r="O37" s="32" t="n">
        <f aca="false">+O36/O$28</f>
        <v>0.314810398282852</v>
      </c>
      <c r="P37" s="32" t="n">
        <f aca="false">+P36/P$28</f>
        <v>0.31624531835206</v>
      </c>
      <c r="Q37" s="32" t="n">
        <f aca="false">+Q36/Q$28</f>
        <v>0.330832045905981</v>
      </c>
      <c r="R37" s="32" t="n">
        <f aca="false">+R36/R$28</f>
        <v>0.329803662033973</v>
      </c>
      <c r="S37" s="32" t="n">
        <f aca="false">+S36/S$28</f>
        <v>0.334100900146536</v>
      </c>
      <c r="T37" s="32" t="n">
        <f aca="false">+T36/T$28</f>
        <v>0.33</v>
      </c>
      <c r="U37" s="32" t="n">
        <f aca="false">+U36/U$28</f>
        <v>0.33</v>
      </c>
      <c r="AA37" s="32" t="n">
        <f aca="false">+AA36/AA$28</f>
        <v>0.25458308693081</v>
      </c>
      <c r="AB37" s="32" t="n">
        <f aca="false">+AB36/AB$28</f>
        <v>0.255710659898477</v>
      </c>
      <c r="AC37" s="32" t="n">
        <f aca="false">+AC36/AC$28</f>
        <v>0.267997517583782</v>
      </c>
      <c r="AD37" s="32" t="n">
        <f aca="false">+AD36/AD$28</f>
        <v>0.249509678519656</v>
      </c>
      <c r="AE37" s="32" t="n">
        <f aca="false">+AE36/AE$28</f>
        <v>0.256435419340228</v>
      </c>
      <c r="AF37" s="32" t="n">
        <f aca="false">+AF36/AF$28</f>
        <v>0.301410068270274</v>
      </c>
      <c r="AG37" s="32" t="n">
        <f aca="false">+AG36/AG$28</f>
        <v>0.319795182124986</v>
      </c>
      <c r="AH37" s="32" t="n">
        <f aca="false">+AH36/AH$28</f>
        <v>0.32</v>
      </c>
      <c r="AI37" s="32" t="n">
        <f aca="false">+AI36/AI$28</f>
        <v>0.325</v>
      </c>
      <c r="AJ37" s="32" t="n">
        <f aca="false">+AJ36/AJ$28</f>
        <v>0.33</v>
      </c>
      <c r="AK37" s="32" t="n">
        <f aca="false">+AK36/AK$28</f>
        <v>0.335</v>
      </c>
      <c r="AL37" s="32" t="n">
        <f aca="false">+AL36/AL$28</f>
        <v>0.34</v>
      </c>
      <c r="DC37" s="25"/>
      <c r="DD37" s="25"/>
      <c r="DE37" s="25"/>
      <c r="DF37" s="25"/>
      <c r="DG37" s="25"/>
    </row>
    <row r="38" s="4" customFormat="true" ht="12.8" hidden="false" customHeight="true" outlineLevel="0" collapsed="false">
      <c r="A38" s="40" t="s">
        <v>99</v>
      </c>
      <c r="B38" s="4" t="n">
        <v>250</v>
      </c>
      <c r="C38" s="4" t="n">
        <v>336</v>
      </c>
      <c r="D38" s="4" t="n">
        <v>386</v>
      </c>
      <c r="E38" s="4" t="n">
        <v>415</v>
      </c>
      <c r="F38" s="4" t="n">
        <v>435</v>
      </c>
      <c r="G38" s="4" t="n">
        <v>453</v>
      </c>
      <c r="H38" s="4" t="n">
        <v>369</v>
      </c>
      <c r="I38" s="4" t="n">
        <v>468</v>
      </c>
      <c r="J38" s="4" t="n">
        <v>389</v>
      </c>
      <c r="K38" s="4" t="n">
        <v>379</v>
      </c>
      <c r="L38" s="4" t="n">
        <v>342</v>
      </c>
      <c r="M38" s="4" t="n">
        <v>376</v>
      </c>
      <c r="N38" s="4" t="n">
        <v>379</v>
      </c>
      <c r="O38" s="4" t="n">
        <v>415</v>
      </c>
      <c r="P38" s="4" t="n">
        <v>309</v>
      </c>
      <c r="Q38" s="4" t="n">
        <v>290</v>
      </c>
      <c r="R38" s="4" t="n">
        <v>331</v>
      </c>
      <c r="S38" s="4" t="n">
        <v>403</v>
      </c>
      <c r="T38" s="4" t="n">
        <v>417</v>
      </c>
      <c r="U38" s="4" t="n">
        <f aca="false">+Q38*0.9</f>
        <v>261</v>
      </c>
      <c r="AA38" s="4" t="n">
        <v>615</v>
      </c>
      <c r="AB38" s="4" t="n">
        <v>837</v>
      </c>
      <c r="AC38" s="4" t="n">
        <v>912</v>
      </c>
      <c r="AD38" s="4" t="n">
        <v>1387</v>
      </c>
      <c r="AE38" s="4" t="n">
        <v>1725</v>
      </c>
      <c r="AF38" s="4" t="n">
        <v>1486</v>
      </c>
      <c r="AG38" s="4" t="n">
        <f aca="false">SUM(N38:Q38)</f>
        <v>1393</v>
      </c>
      <c r="AH38" s="4" t="n">
        <f aca="false">+AH28*0.08</f>
        <v>1581.112</v>
      </c>
      <c r="AI38" s="4" t="n">
        <f aca="false">+AI28*0.08</f>
        <v>1818.2788</v>
      </c>
      <c r="AJ38" s="4" t="n">
        <f aca="false">+AJ28*0.08</f>
        <v>2091.02062</v>
      </c>
      <c r="AK38" s="4" t="n">
        <f aca="false">+AK28*0.08</f>
        <v>2404.673713</v>
      </c>
      <c r="AL38" s="4" t="n">
        <f aca="false">+AL28*0.08</f>
        <v>2765.37476995</v>
      </c>
      <c r="DC38" s="25"/>
      <c r="DD38" s="25"/>
      <c r="DE38" s="25"/>
      <c r="DF38" s="25"/>
      <c r="DG38" s="25"/>
    </row>
    <row r="39" s="32" customFormat="true" ht="10.5" hidden="false" customHeight="true" outlineLevel="0" collapsed="false">
      <c r="A39" s="30"/>
      <c r="B39" s="32" t="n">
        <f aca="false">+B38/B$28</f>
        <v>0.0939496429913566</v>
      </c>
      <c r="C39" s="32" t="n">
        <f aca="false">+C38/C$28</f>
        <v>0.11731843575419</v>
      </c>
      <c r="D39" s="32" t="n">
        <f aca="false">+D38/D$28</f>
        <v>0.127140974967062</v>
      </c>
      <c r="E39" s="32" t="n">
        <f aca="false">+E38/E$28</f>
        <v>0.131080227416298</v>
      </c>
      <c r="F39" s="32" t="n">
        <f aca="false">+F38/F$28</f>
        <v>0.142998027613412</v>
      </c>
      <c r="G39" s="32" t="n">
        <f aca="false">+G38/G$28</f>
        <v>0.142587346553352</v>
      </c>
      <c r="H39" s="32" t="n">
        <f aca="false">+H38/H$28</f>
        <v>0.109919571045576</v>
      </c>
      <c r="I39" s="32" t="n">
        <f aca="false">+I38/I$28</f>
        <v>0.127485698719695</v>
      </c>
      <c r="J39" s="32" t="n">
        <f aca="false">+J38/J$28</f>
        <v>0.106985698569857</v>
      </c>
      <c r="K39" s="32" t="n">
        <f aca="false">+K38/K$28</f>
        <v>0.0995534541633832</v>
      </c>
      <c r="L39" s="32" t="n">
        <f aca="false">+L38/L$28</f>
        <v>0.0857572718154464</v>
      </c>
      <c r="M39" s="32" t="n">
        <f aca="false">+M38/M$28</f>
        <v>0.0886374351720886</v>
      </c>
      <c r="N39" s="32" t="n">
        <f aca="false">+N38/N$28</f>
        <v>0.0904534606205251</v>
      </c>
      <c r="O39" s="32" t="n">
        <f aca="false">+O38/O$28</f>
        <v>0.098974481278321</v>
      </c>
      <c r="P39" s="32" t="n">
        <f aca="false">+P38/P$28</f>
        <v>0.0723314606741573</v>
      </c>
      <c r="Q39" s="32" t="n">
        <f aca="false">+Q38/Q$28</f>
        <v>0.0640035312293092</v>
      </c>
      <c r="R39" s="32" t="n">
        <f aca="false">+R38/R$28</f>
        <v>0.0730200750055151</v>
      </c>
      <c r="S39" s="32" t="n">
        <f aca="false">+S38/S$28</f>
        <v>0.0843625706510362</v>
      </c>
      <c r="T39" s="32" t="n">
        <f aca="false">+T38/T$28</f>
        <v>0.0839203058965587</v>
      </c>
      <c r="U39" s="32" t="n">
        <f aca="false">+U38/U$28</f>
        <v>0.0500897200925029</v>
      </c>
      <c r="AA39" s="32" t="n">
        <f aca="false">+AA38/AA$28</f>
        <v>0.0909225310467179</v>
      </c>
      <c r="AB39" s="32" t="n">
        <f aca="false">+AB38/AB$28</f>
        <v>0.106218274111675</v>
      </c>
      <c r="AC39" s="32" t="n">
        <f aca="false">+AC38/AC$28</f>
        <v>0.0943318163011998</v>
      </c>
      <c r="AD39" s="32" t="n">
        <f aca="false">+AD38/AD$28</f>
        <v>0.118274068389187</v>
      </c>
      <c r="AE39" s="32" t="n">
        <f aca="false">+AE38/AE$28</f>
        <v>0.130218162602854</v>
      </c>
      <c r="AF39" s="32" t="n">
        <f aca="false">+AF38/AF$28</f>
        <v>0.0948127352772284</v>
      </c>
      <c r="AG39" s="32" t="n">
        <f aca="false">+AG38/AG$28</f>
        <v>0.0810543465611544</v>
      </c>
      <c r="AH39" s="32" t="n">
        <f aca="false">+AH38/AH$28</f>
        <v>0.08</v>
      </c>
      <c r="AI39" s="32" t="n">
        <f aca="false">+AI38/AI$28</f>
        <v>0.08</v>
      </c>
      <c r="AJ39" s="32" t="n">
        <f aca="false">+AJ38/AJ$28</f>
        <v>0.08</v>
      </c>
      <c r="AK39" s="32" t="n">
        <f aca="false">+AK38/AK$28</f>
        <v>0.08</v>
      </c>
      <c r="AL39" s="32" t="n">
        <f aca="false">+AL38/AL$28</f>
        <v>0.08</v>
      </c>
      <c r="DC39" s="25"/>
      <c r="DD39" s="25"/>
      <c r="DE39" s="25"/>
      <c r="DF39" s="25"/>
      <c r="DG39" s="25"/>
    </row>
    <row r="40" s="4" customFormat="true" ht="12.8" hidden="false" customHeight="true" outlineLevel="0" collapsed="false">
      <c r="A40" s="40" t="s">
        <v>100</v>
      </c>
      <c r="B40" s="4" t="n">
        <v>296</v>
      </c>
      <c r="C40" s="4" t="n">
        <v>391</v>
      </c>
      <c r="D40" s="4" t="n">
        <v>432</v>
      </c>
      <c r="E40" s="4" t="n">
        <v>453</v>
      </c>
      <c r="F40" s="4" t="n">
        <v>347</v>
      </c>
      <c r="G40" s="4" t="n">
        <v>399</v>
      </c>
      <c r="H40" s="4" t="n">
        <v>355</v>
      </c>
      <c r="I40" s="4" t="n">
        <v>432</v>
      </c>
      <c r="J40" s="4" t="n">
        <v>324</v>
      </c>
      <c r="K40" s="4" t="n">
        <v>343</v>
      </c>
      <c r="L40" s="4" t="n">
        <v>332</v>
      </c>
      <c r="M40" s="4" t="n">
        <v>393</v>
      </c>
      <c r="N40" s="4" t="n">
        <v>314</v>
      </c>
      <c r="O40" s="4" t="n">
        <v>364</v>
      </c>
      <c r="P40" s="4" t="n">
        <v>349</v>
      </c>
      <c r="Q40" s="4" t="n">
        <v>399</v>
      </c>
      <c r="R40" s="4" t="n">
        <v>342</v>
      </c>
      <c r="S40" s="4" t="n">
        <v>390</v>
      </c>
      <c r="T40" s="4" t="n">
        <v>406</v>
      </c>
      <c r="U40" s="4" t="n">
        <f aca="false">+Q40*1.01</f>
        <v>402.99</v>
      </c>
      <c r="AA40" s="4" t="n">
        <v>826</v>
      </c>
      <c r="AB40" s="4" t="n">
        <v>1029</v>
      </c>
      <c r="AC40" s="4" t="n">
        <v>1135</v>
      </c>
      <c r="AD40" s="4" t="n">
        <v>1572</v>
      </c>
      <c r="AE40" s="4" t="n">
        <v>1533</v>
      </c>
      <c r="AF40" s="4" t="n">
        <v>1392</v>
      </c>
      <c r="AG40" s="4" t="n">
        <f aca="false">SUM(N40:Q40)</f>
        <v>1426</v>
      </c>
      <c r="AH40" s="4" t="n">
        <f aca="false">+AH28*0.08</f>
        <v>1581.112</v>
      </c>
      <c r="AI40" s="4" t="n">
        <f aca="false">+AI28*0.08</f>
        <v>1818.2788</v>
      </c>
      <c r="AJ40" s="4" t="n">
        <f aca="false">+AJ28*0.06</f>
        <v>1568.265465</v>
      </c>
      <c r="AK40" s="4" t="n">
        <f aca="false">+AK28*0.06</f>
        <v>1803.50528475</v>
      </c>
      <c r="AL40" s="4" t="n">
        <f aca="false">+AL28*0.06</f>
        <v>2074.0310774625</v>
      </c>
      <c r="DC40" s="25"/>
      <c r="DD40" s="25"/>
      <c r="DE40" s="25"/>
      <c r="DF40" s="25"/>
      <c r="DG40" s="25"/>
    </row>
    <row r="41" s="32" customFormat="true" ht="10.5" hidden="false" customHeight="true" outlineLevel="0" collapsed="false">
      <c r="A41" s="30"/>
      <c r="B41" s="32" t="n">
        <f aca="false">+B40/B$28</f>
        <v>0.111236377301766</v>
      </c>
      <c r="C41" s="32" t="n">
        <f aca="false">+C40/C$28</f>
        <v>0.136522346368715</v>
      </c>
      <c r="D41" s="32" t="n">
        <f aca="false">+D40/D$28</f>
        <v>0.142292490118577</v>
      </c>
      <c r="E41" s="32" t="n">
        <f aca="false">+E40/E$28</f>
        <v>0.143082754264056</v>
      </c>
      <c r="F41" s="32" t="n">
        <f aca="false">+F40/F$28</f>
        <v>0.114069690992768</v>
      </c>
      <c r="G41" s="32" t="n">
        <f aca="false">+G40/G$28</f>
        <v>0.125590179414542</v>
      </c>
      <c r="H41" s="32" t="n">
        <f aca="false">+H40/H$28</f>
        <v>0.105749180816205</v>
      </c>
      <c r="I41" s="32" t="n">
        <f aca="false">+I40/I$28</f>
        <v>0.117679106510488</v>
      </c>
      <c r="J41" s="32" t="n">
        <f aca="false">+J40/J$28</f>
        <v>0.0891089108910891</v>
      </c>
      <c r="K41" s="32" t="n">
        <f aca="false">+K40/K$28</f>
        <v>0.0900971893879695</v>
      </c>
      <c r="L41" s="32" t="n">
        <f aca="false">+L40/L$28</f>
        <v>0.0832497492477432</v>
      </c>
      <c r="M41" s="32" t="n">
        <f aca="false">+M40/M$28</f>
        <v>0.0926449787835926</v>
      </c>
      <c r="N41" s="32" t="n">
        <f aca="false">+N40/N$28</f>
        <v>0.0749403341288783</v>
      </c>
      <c r="O41" s="32" t="n">
        <f aca="false">+O40/O$28</f>
        <v>0.0868113522537563</v>
      </c>
      <c r="P41" s="32" t="n">
        <f aca="false">+P40/P$28</f>
        <v>0.0816947565543071</v>
      </c>
      <c r="Q41" s="32" t="n">
        <f aca="false">+Q40/Q$28</f>
        <v>0.0880600308982565</v>
      </c>
      <c r="R41" s="32" t="n">
        <f aca="false">+R40/R$28</f>
        <v>0.0754467240238253</v>
      </c>
      <c r="S41" s="32" t="n">
        <f aca="false">+S40/S$28</f>
        <v>0.0816411974042286</v>
      </c>
      <c r="T41" s="32" t="n">
        <f aca="false">+T40/T$28</f>
        <v>0.081706580800966</v>
      </c>
      <c r="U41" s="32" t="n">
        <f aca="false">+U40/U$28</f>
        <v>0.0773396793106426</v>
      </c>
      <c r="AA41" s="32" t="n">
        <f aca="false">+AA40/AA$28</f>
        <v>0.122117090479007</v>
      </c>
      <c r="AB41" s="32" t="n">
        <f aca="false">+AB40/AB$28</f>
        <v>0.130583756345178</v>
      </c>
      <c r="AC41" s="32" t="n">
        <f aca="false">+AC40/AC$28</f>
        <v>0.117397600330989</v>
      </c>
      <c r="AD41" s="32" t="n">
        <f aca="false">+AD40/AD$28</f>
        <v>0.134049629061141</v>
      </c>
      <c r="AE41" s="32" t="n">
        <f aca="false">+AE40/AE$28</f>
        <v>0.115724314939232</v>
      </c>
      <c r="AF41" s="32" t="n">
        <f aca="false">+AF40/AF$28</f>
        <v>0.0888151598290053</v>
      </c>
      <c r="AG41" s="32" t="n">
        <f aca="false">+AG40/AG$28</f>
        <v>0.0829745141394158</v>
      </c>
      <c r="AH41" s="32" t="n">
        <f aca="false">+AH40/AH$28</f>
        <v>0.08</v>
      </c>
      <c r="AI41" s="32" t="n">
        <f aca="false">+AI40/AI$28</f>
        <v>0.08</v>
      </c>
      <c r="AJ41" s="32" t="n">
        <f aca="false">+AJ40/AJ$28</f>
        <v>0.06</v>
      </c>
      <c r="AK41" s="32" t="n">
        <f aca="false">+AK40/AK$28</f>
        <v>0.06</v>
      </c>
      <c r="AL41" s="32" t="n">
        <f aca="false">+AL40/AL$28</f>
        <v>0.06</v>
      </c>
      <c r="DC41" s="25"/>
      <c r="DD41" s="25"/>
      <c r="DE41" s="25"/>
      <c r="DF41" s="25"/>
      <c r="DG41" s="25"/>
    </row>
    <row r="42" s="41" customFormat="true" ht="12.8" hidden="false" customHeight="true" outlineLevel="0" collapsed="false">
      <c r="A42" s="40" t="s">
        <v>101</v>
      </c>
      <c r="B42" s="4" t="n">
        <v>131</v>
      </c>
      <c r="C42" s="4" t="n">
        <v>171</v>
      </c>
      <c r="D42" s="4" t="n">
        <v>160</v>
      </c>
      <c r="E42" s="4" t="n">
        <v>164</v>
      </c>
      <c r="F42" s="4" t="n">
        <v>140</v>
      </c>
      <c r="G42" s="4" t="n">
        <v>161</v>
      </c>
      <c r="H42" s="4" t="n">
        <v>129</v>
      </c>
      <c r="I42" s="4" t="n">
        <v>155</v>
      </c>
      <c r="J42" s="4" t="n">
        <v>123</v>
      </c>
      <c r="K42" s="4" t="n">
        <v>124</v>
      </c>
      <c r="L42" s="4" t="n">
        <v>112</v>
      </c>
      <c r="M42" s="4" t="n">
        <v>122</v>
      </c>
      <c r="N42" s="4" t="n">
        <v>124</v>
      </c>
      <c r="O42" s="4" t="n">
        <v>135</v>
      </c>
      <c r="P42" s="4" t="n">
        <v>111</v>
      </c>
      <c r="Q42" s="4" t="n">
        <v>109</v>
      </c>
      <c r="R42" s="4" t="n">
        <v>107</v>
      </c>
      <c r="S42" s="4" t="n">
        <v>148</v>
      </c>
      <c r="T42" s="4" t="n">
        <v>144</v>
      </c>
      <c r="U42" s="4" t="n">
        <f aca="false">+Q42*0.9</f>
        <v>98.1</v>
      </c>
      <c r="V42" s="4"/>
      <c r="W42" s="4"/>
      <c r="X42" s="4"/>
      <c r="Y42" s="4"/>
      <c r="Z42" s="4"/>
      <c r="AA42" s="4" t="n">
        <v>354</v>
      </c>
      <c r="AB42" s="4" t="n">
        <v>442</v>
      </c>
      <c r="AC42" s="4" t="n">
        <v>450</v>
      </c>
      <c r="AD42" s="4" t="n">
        <v>626</v>
      </c>
      <c r="AE42" s="4" t="n">
        <v>585</v>
      </c>
      <c r="AF42" s="4" t="n">
        <v>481</v>
      </c>
      <c r="AG42" s="4" t="n">
        <f aca="false">SUM(N42:Q42)</f>
        <v>479</v>
      </c>
      <c r="AH42" s="4" t="n">
        <f aca="false">+AH28*0.02</f>
        <v>395.278</v>
      </c>
      <c r="AI42" s="4" t="n">
        <f aca="false">+AI28*0.02</f>
        <v>454.5697</v>
      </c>
      <c r="AJ42" s="4" t="n">
        <f aca="false">+AJ28*0.02</f>
        <v>522.755155</v>
      </c>
      <c r="AK42" s="4" t="n">
        <f aca="false">+AK28*0.02</f>
        <v>601.16842825</v>
      </c>
      <c r="AL42" s="4" t="n">
        <f aca="false">+AL28*0.02</f>
        <v>691.3436924875</v>
      </c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DC42" s="25"/>
      <c r="DD42" s="25"/>
      <c r="DE42" s="25"/>
      <c r="DF42" s="25"/>
      <c r="DG42" s="25"/>
    </row>
    <row r="43" s="42" customFormat="true" ht="10.5" hidden="false" customHeight="true" outlineLevel="0" collapsed="false">
      <c r="A43" s="30"/>
      <c r="B43" s="32" t="n">
        <f aca="false">+B42/B$28</f>
        <v>0.0492296129274709</v>
      </c>
      <c r="C43" s="32" t="n">
        <f aca="false">+C42/C$28</f>
        <v>0.0597067039106145</v>
      </c>
      <c r="D43" s="32" t="n">
        <f aca="false">+D42/D$28</f>
        <v>0.0527009222661397</v>
      </c>
      <c r="E43" s="32" t="n">
        <f aca="false">+E42/E$28</f>
        <v>0.0518003790271636</v>
      </c>
      <c r="F43" s="32" t="n">
        <f aca="false">+F42/F$28</f>
        <v>0.0460223537146614</v>
      </c>
      <c r="G43" s="32" t="n">
        <f aca="false">+G42/G$28</f>
        <v>0.0506767390620082</v>
      </c>
      <c r="H43" s="32" t="n">
        <f aca="false">+H42/H$28</f>
        <v>0.0384271671134942</v>
      </c>
      <c r="I43" s="32" t="n">
        <f aca="false">+I42/I$28</f>
        <v>0.0422228275674203</v>
      </c>
      <c r="J43" s="32" t="n">
        <f aca="false">+J42/J$28</f>
        <v>0.0338283828382838</v>
      </c>
      <c r="K43" s="32" t="n">
        <f aca="false">+K42/K$28</f>
        <v>0.0325715786708695</v>
      </c>
      <c r="L43" s="32" t="n">
        <f aca="false">+L42/L$28</f>
        <v>0.0280842527582748</v>
      </c>
      <c r="M43" s="32" t="n">
        <f aca="false">+M42/M$28</f>
        <v>0.0287600188590288</v>
      </c>
      <c r="N43" s="32" t="n">
        <f aca="false">+N42/N$28</f>
        <v>0.0295942720763723</v>
      </c>
      <c r="O43" s="32" t="n">
        <f aca="false">+O42/O$28</f>
        <v>0.0321965180062008</v>
      </c>
      <c r="P43" s="32" t="n">
        <f aca="false">+P42/P$28</f>
        <v>0.0259831460674157</v>
      </c>
      <c r="Q43" s="32" t="n">
        <f aca="false">+Q42/Q$28</f>
        <v>0.0240564996689473</v>
      </c>
      <c r="R43" s="32" t="n">
        <f aca="false">+R42/R$28</f>
        <v>0.0236046768144717</v>
      </c>
      <c r="S43" s="32" t="n">
        <f aca="false">+S42/S$28</f>
        <v>0.0309817877328867</v>
      </c>
      <c r="T43" s="32" t="n">
        <f aca="false">+T42/T$28</f>
        <v>0.0289796739786677</v>
      </c>
      <c r="U43" s="32" t="n">
        <f aca="false">+U42/U$28</f>
        <v>0.0188268258278718</v>
      </c>
      <c r="V43" s="32"/>
      <c r="W43" s="32"/>
      <c r="X43" s="32"/>
      <c r="Y43" s="32"/>
      <c r="Z43" s="32"/>
      <c r="AA43" s="32" t="n">
        <f aca="false">+AA42/AA$28</f>
        <v>0.0523358959195742</v>
      </c>
      <c r="AB43" s="32" t="n">
        <f aca="false">+AB42/AB$28</f>
        <v>0.0560913705583756</v>
      </c>
      <c r="AC43" s="32" t="n">
        <f aca="false">+AC42/AC$28</f>
        <v>0.0465453040959868</v>
      </c>
      <c r="AD43" s="32" t="n">
        <f aca="false">+AD42/AD$28</f>
        <v>0.0533810863818538</v>
      </c>
      <c r="AE43" s="32" t="n">
        <f aca="false">+AE42/AE$28</f>
        <v>0.0441609421000981</v>
      </c>
      <c r="AF43" s="32" t="n">
        <f aca="false">+AF42/AF$28</f>
        <v>0.0306897211765457</v>
      </c>
      <c r="AG43" s="32" t="n">
        <f aca="false">+AG42/AG$28</f>
        <v>0.0278715233329454</v>
      </c>
      <c r="AH43" s="32" t="n">
        <f aca="false">+AH42/AH$28</f>
        <v>0.02</v>
      </c>
      <c r="AI43" s="32" t="n">
        <f aca="false">+AI42/AI$28</f>
        <v>0.02</v>
      </c>
      <c r="AJ43" s="32" t="n">
        <f aca="false">+AJ42/AJ$28</f>
        <v>0.02</v>
      </c>
      <c r="AK43" s="32" t="n">
        <f aca="false">+AK42/AK$28</f>
        <v>0.02</v>
      </c>
      <c r="AL43" s="32" t="n">
        <f aca="false">+AL42/AL$28</f>
        <v>0.02</v>
      </c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DC43" s="25"/>
      <c r="DD43" s="25"/>
      <c r="DE43" s="25"/>
      <c r="DF43" s="25"/>
      <c r="DG43" s="25"/>
    </row>
    <row r="44" s="4" customFormat="true" ht="12.8" hidden="false" customHeight="true" outlineLevel="0" collapsed="false">
      <c r="A44" s="40" t="s">
        <v>102</v>
      </c>
      <c r="B44" s="4" t="n">
        <f aca="false">+B42+B40+B38</f>
        <v>677</v>
      </c>
      <c r="C44" s="4" t="n">
        <f aca="false">+C42+C40+C38</f>
        <v>898</v>
      </c>
      <c r="D44" s="4" t="n">
        <f aca="false">+D42+D40+D38</f>
        <v>978</v>
      </c>
      <c r="E44" s="4" t="n">
        <f aca="false">+E42+E40+E38</f>
        <v>1032</v>
      </c>
      <c r="F44" s="4" t="n">
        <f aca="false">+F42+F40+F38</f>
        <v>922</v>
      </c>
      <c r="G44" s="4" t="n">
        <f aca="false">+G42+G40+G38</f>
        <v>1013</v>
      </c>
      <c r="H44" s="4" t="n">
        <f aca="false">+H42+H40+H38</f>
        <v>853</v>
      </c>
      <c r="I44" s="4" t="n">
        <f aca="false">+I42+I40+I38</f>
        <v>1055</v>
      </c>
      <c r="J44" s="4" t="n">
        <f aca="false">+J42+J40+J38</f>
        <v>836</v>
      </c>
      <c r="K44" s="4" t="n">
        <f aca="false">+K42+K40+K38</f>
        <v>846</v>
      </c>
      <c r="L44" s="4" t="n">
        <f aca="false">+L42+L40+L38</f>
        <v>786</v>
      </c>
      <c r="M44" s="4" t="n">
        <f aca="false">+M42+M40+M38</f>
        <v>891</v>
      </c>
      <c r="N44" s="4" t="n">
        <f aca="false">+N42+N40+N38</f>
        <v>817</v>
      </c>
      <c r="O44" s="4" t="n">
        <f aca="false">+O42+O40+O38</f>
        <v>914</v>
      </c>
      <c r="P44" s="4" t="n">
        <f aca="false">+P42+P40+P38</f>
        <v>769</v>
      </c>
      <c r="Q44" s="4" t="n">
        <f aca="false">+Q42+Q40+Q38</f>
        <v>798</v>
      </c>
      <c r="R44" s="4" t="n">
        <f aca="false">+R42+R40+R38</f>
        <v>780</v>
      </c>
      <c r="S44" s="4" t="n">
        <f aca="false">+S42+S40+S38</f>
        <v>941</v>
      </c>
      <c r="T44" s="4" t="n">
        <f aca="false">+T42+T40+T38</f>
        <v>967</v>
      </c>
      <c r="U44" s="4" t="n">
        <f aca="false">+U42+U40+U38</f>
        <v>762.09</v>
      </c>
      <c r="AA44" s="4" t="n">
        <f aca="false">+AA42+AA40+AA38</f>
        <v>1795</v>
      </c>
      <c r="AB44" s="4" t="n">
        <f aca="false">+AB42+AB40+AB38</f>
        <v>2308</v>
      </c>
      <c r="AC44" s="4" t="n">
        <f aca="false">+AC42+AC40+AC38</f>
        <v>2497</v>
      </c>
      <c r="AD44" s="4" t="n">
        <f aca="false">+AD42+AD40+AD38</f>
        <v>3585</v>
      </c>
      <c r="AE44" s="4" t="n">
        <f aca="false">+AE42+AE40+AE38</f>
        <v>3843</v>
      </c>
      <c r="AF44" s="4" t="n">
        <f aca="false">+AF42+AF40+AF38</f>
        <v>3359</v>
      </c>
      <c r="AG44" s="4" t="n">
        <f aca="false">+AG42+AG40+AG38</f>
        <v>3298</v>
      </c>
      <c r="AH44" s="4" t="n">
        <f aca="false">+AH42+AH40+AH38</f>
        <v>3557.502</v>
      </c>
      <c r="AI44" s="4" t="n">
        <f aca="false">+AI42+AI40+AI38</f>
        <v>4091.1273</v>
      </c>
      <c r="AJ44" s="4" t="n">
        <f aca="false">+AJ42+AJ40+AJ38</f>
        <v>4182.04124</v>
      </c>
      <c r="AK44" s="4" t="n">
        <f aca="false">+AK42+AK40+AK38</f>
        <v>4809.347426</v>
      </c>
      <c r="AL44" s="4" t="n">
        <f aca="false">+AL42+AL40+AL38</f>
        <v>5530.7495399</v>
      </c>
      <c r="DC44" s="25"/>
      <c r="DD44" s="25"/>
      <c r="DE44" s="25"/>
      <c r="DF44" s="25"/>
      <c r="DG44" s="25"/>
    </row>
    <row r="45" s="32" customFormat="true" ht="10.5" hidden="false" customHeight="true" outlineLevel="0" collapsed="false">
      <c r="A45" s="30"/>
      <c r="B45" s="32" t="n">
        <f aca="false">+B44/B$28</f>
        <v>0.254415633220594</v>
      </c>
      <c r="C45" s="32" t="n">
        <f aca="false">+C44/C$28</f>
        <v>0.31354748603352</v>
      </c>
      <c r="D45" s="32" t="n">
        <f aca="false">+D44/D$28</f>
        <v>0.322134387351779</v>
      </c>
      <c r="E45" s="32" t="n">
        <f aca="false">+E44/E$28</f>
        <v>0.325963360707517</v>
      </c>
      <c r="F45" s="32" t="n">
        <f aca="false">+F44/F$28</f>
        <v>0.303090072320842</v>
      </c>
      <c r="G45" s="32" t="n">
        <f aca="false">+G44/G$28</f>
        <v>0.318854265029902</v>
      </c>
      <c r="H45" s="32" t="n">
        <f aca="false">+H44/H$28</f>
        <v>0.254095918975276</v>
      </c>
      <c r="I45" s="32" t="n">
        <f aca="false">+I44/I$28</f>
        <v>0.287387632797603</v>
      </c>
      <c r="J45" s="32" t="n">
        <f aca="false">+J44/J$28</f>
        <v>0.22992299229923</v>
      </c>
      <c r="K45" s="32" t="n">
        <f aca="false">+K44/K$28</f>
        <v>0.222222222222222</v>
      </c>
      <c r="L45" s="32" t="n">
        <f aca="false">+L44/L$28</f>
        <v>0.197091273821464</v>
      </c>
      <c r="M45" s="32" t="n">
        <f aca="false">+M44/M$28</f>
        <v>0.21004243281471</v>
      </c>
      <c r="N45" s="32" t="n">
        <f aca="false">+N44/N$28</f>
        <v>0.194988066825776</v>
      </c>
      <c r="O45" s="32" t="n">
        <f aca="false">+O44/O$28</f>
        <v>0.217982351538278</v>
      </c>
      <c r="P45" s="32" t="n">
        <f aca="false">+P44/P$28</f>
        <v>0.18000936329588</v>
      </c>
      <c r="Q45" s="32" t="n">
        <f aca="false">+Q44/Q$28</f>
        <v>0.176120061796513</v>
      </c>
      <c r="R45" s="32" t="n">
        <f aca="false">+R44/R$28</f>
        <v>0.172071475843812</v>
      </c>
      <c r="S45" s="32" t="n">
        <f aca="false">+S44/S$28</f>
        <v>0.196985555788152</v>
      </c>
      <c r="T45" s="32" t="n">
        <f aca="false">+T44/T$28</f>
        <v>0.194606560676192</v>
      </c>
      <c r="U45" s="32" t="n">
        <f aca="false">+U44/U$28</f>
        <v>0.146256225231017</v>
      </c>
      <c r="AA45" s="32" t="n">
        <f aca="false">+AA44/AA$28</f>
        <v>0.265375517445299</v>
      </c>
      <c r="AB45" s="32" t="n">
        <f aca="false">+AB44/AB$28</f>
        <v>0.292893401015228</v>
      </c>
      <c r="AC45" s="32" t="n">
        <f aca="false">+AC44/AC$28</f>
        <v>0.258274720728175</v>
      </c>
      <c r="AD45" s="32" t="n">
        <f aca="false">+AD44/AD$28</f>
        <v>0.305704783832182</v>
      </c>
      <c r="AE45" s="32" t="n">
        <f aca="false">+AE44/AE$28</f>
        <v>0.290103419642183</v>
      </c>
      <c r="AF45" s="32" t="n">
        <f aca="false">+AF44/AF$28</f>
        <v>0.214317616282779</v>
      </c>
      <c r="AG45" s="32" t="n">
        <f aca="false">+AG44/AG$28</f>
        <v>0.191900384033516</v>
      </c>
      <c r="AH45" s="32" t="n">
        <f aca="false">+AH44/AH$28</f>
        <v>0.18</v>
      </c>
      <c r="AI45" s="32" t="n">
        <f aca="false">+AI44/AI$28</f>
        <v>0.18</v>
      </c>
      <c r="AJ45" s="32" t="n">
        <f aca="false">+AJ44/AJ$28</f>
        <v>0.16</v>
      </c>
      <c r="AK45" s="32" t="n">
        <f aca="false">+AK44/AK$28</f>
        <v>0.16</v>
      </c>
      <c r="AL45" s="32" t="n">
        <f aca="false">+AL44/AL$28</f>
        <v>0.16</v>
      </c>
      <c r="DC45" s="25"/>
      <c r="DD45" s="25"/>
      <c r="DE45" s="25"/>
      <c r="DF45" s="25"/>
      <c r="DG45" s="25"/>
    </row>
    <row r="46" s="4" customFormat="true" ht="12.8" hidden="false" customHeight="true" outlineLevel="0" collapsed="false">
      <c r="A46" s="40" t="s">
        <v>103</v>
      </c>
      <c r="B46" s="4" t="n">
        <f aca="false">B36-B44</f>
        <v>-6</v>
      </c>
      <c r="C46" s="4" t="n">
        <f aca="false">C36-C44</f>
        <v>-194</v>
      </c>
      <c r="D46" s="4" t="n">
        <f aca="false">D36-D44</f>
        <v>-228</v>
      </c>
      <c r="E46" s="4" t="n">
        <f aca="false">E36-E44</f>
        <v>-231</v>
      </c>
      <c r="F46" s="4" t="n">
        <f aca="false">F36-F44</f>
        <v>-156</v>
      </c>
      <c r="G46" s="4" t="n">
        <f aca="false">G36-G44</f>
        <v>-247</v>
      </c>
      <c r="H46" s="4" t="n">
        <f aca="false">H36-H44</f>
        <v>32</v>
      </c>
      <c r="I46" s="4" t="n">
        <f aca="false">I36-I44</f>
        <v>-75</v>
      </c>
      <c r="J46" s="4" t="n">
        <f aca="false">J36-J44</f>
        <v>168</v>
      </c>
      <c r="K46" s="4" t="n">
        <f aca="false">K36-K44</f>
        <v>266</v>
      </c>
      <c r="L46" s="4" t="n">
        <f aca="false">L36-L44</f>
        <v>454</v>
      </c>
      <c r="M46" s="4" t="n">
        <f aca="false">M36-M44</f>
        <v>477</v>
      </c>
      <c r="N46" s="4" t="n">
        <f aca="false">N36-N44</f>
        <v>509</v>
      </c>
      <c r="O46" s="4" t="n">
        <f aca="false">O36-O44</f>
        <v>406</v>
      </c>
      <c r="P46" s="4" t="n">
        <f aca="false">P36-P44</f>
        <v>582</v>
      </c>
      <c r="Q46" s="4" t="n">
        <f aca="false">Q36-Q44</f>
        <v>701</v>
      </c>
      <c r="R46" s="4" t="n">
        <f aca="false">R36-R44</f>
        <v>715</v>
      </c>
      <c r="S46" s="4" t="n">
        <f aca="false">S36-S44</f>
        <v>655</v>
      </c>
      <c r="T46" s="4" t="n">
        <f aca="false">T36-T44</f>
        <v>672.77</v>
      </c>
      <c r="U46" s="4" t="n">
        <f aca="false">U36-U44</f>
        <v>957.4245</v>
      </c>
      <c r="AA46" s="4" t="n">
        <f aca="false">AA36-AA44</f>
        <v>-73</v>
      </c>
      <c r="AB46" s="4" t="n">
        <f aca="false">AB36-AB44</f>
        <v>-293</v>
      </c>
      <c r="AC46" s="4" t="n">
        <f aca="false">AC36-AC44</f>
        <v>94</v>
      </c>
      <c r="AD46" s="4" t="n">
        <f aca="false">AD36-AD44</f>
        <v>-659</v>
      </c>
      <c r="AE46" s="4" t="n">
        <f aca="false">AE36-AE44</f>
        <v>-446</v>
      </c>
      <c r="AF46" s="4" t="n">
        <f aca="false">AF36-AF44</f>
        <v>1365</v>
      </c>
      <c r="AG46" s="4" t="n">
        <f aca="false">AG36-AG44</f>
        <v>2198</v>
      </c>
      <c r="AH46" s="4" t="n">
        <f aca="false">AG46+((AG28-AF28)*0.1)</f>
        <v>2349.3</v>
      </c>
      <c r="AI46" s="4" t="n">
        <f aca="false">AH46+((AH28-AG28)*0.1)</f>
        <v>2607.09</v>
      </c>
      <c r="AJ46" s="4" t="n">
        <f aca="false">AI46+((AI28-AH28)*0.1)</f>
        <v>2903.5485</v>
      </c>
      <c r="AK46" s="4" t="n">
        <f aca="false">AJ46+((AJ28-AI28)*0.1)</f>
        <v>3244.475775</v>
      </c>
      <c r="AL46" s="4" t="n">
        <f aca="false">AK46+((AK28-AJ28)*0.1)</f>
        <v>3636.54214125</v>
      </c>
      <c r="DC46" s="25"/>
      <c r="DD46" s="25"/>
      <c r="DE46" s="25"/>
      <c r="DF46" s="25"/>
      <c r="DG46" s="25"/>
    </row>
    <row r="47" s="32" customFormat="true" ht="10.5" hidden="false" customHeight="true" outlineLevel="0" collapsed="false">
      <c r="A47" s="30"/>
      <c r="B47" s="32" t="n">
        <f aca="false">+B46/B$28</f>
        <v>-0.00225479143179256</v>
      </c>
      <c r="C47" s="32" t="n">
        <f aca="false">+C46/C$28</f>
        <v>-0.0677374301675978</v>
      </c>
      <c r="D47" s="32" t="n">
        <f aca="false">+D46/D$28</f>
        <v>-0.075098814229249</v>
      </c>
      <c r="E47" s="32" t="n">
        <f aca="false">+E46/E$28</f>
        <v>-0.072962728995578</v>
      </c>
      <c r="F47" s="32" t="n">
        <f aca="false">+F46/F$28</f>
        <v>-0.0512820512820513</v>
      </c>
      <c r="G47" s="32" t="n">
        <f aca="false">+G46/G$28</f>
        <v>-0.0777463015423355</v>
      </c>
      <c r="H47" s="32" t="n">
        <f aca="false">+H46/H$28</f>
        <v>0.00953232052427763</v>
      </c>
      <c r="I47" s="32" t="n">
        <f aca="false">+I46/I$28</f>
        <v>-0.0204304004358485</v>
      </c>
      <c r="J47" s="32" t="n">
        <f aca="false">+J46/J$28</f>
        <v>0.0462046204620462</v>
      </c>
      <c r="K47" s="32" t="n">
        <f aca="false">+K46/K$28</f>
        <v>0.0698712897294458</v>
      </c>
      <c r="L47" s="32" t="n">
        <f aca="false">+L46/L$28</f>
        <v>0.113841524573721</v>
      </c>
      <c r="M47" s="32" t="n">
        <f aca="false">+M46/M$28</f>
        <v>0.112446958981612</v>
      </c>
      <c r="N47" s="32" t="n">
        <f aca="false">+N46/N$28</f>
        <v>0.121479713603819</v>
      </c>
      <c r="O47" s="32" t="n">
        <f aca="false">+O46/O$28</f>
        <v>0.0968280467445743</v>
      </c>
      <c r="P47" s="32" t="n">
        <f aca="false">+P46/P$28</f>
        <v>0.13623595505618</v>
      </c>
      <c r="Q47" s="32" t="n">
        <f aca="false">+Q46/Q$28</f>
        <v>0.154711984109468</v>
      </c>
      <c r="R47" s="32" t="n">
        <f aca="false">+R46/R$28</f>
        <v>0.157732186190161</v>
      </c>
      <c r="S47" s="32" t="n">
        <f aca="false">+S46/S$28</f>
        <v>0.137115344358384</v>
      </c>
      <c r="T47" s="32" t="n">
        <f aca="false">+T46/T$28</f>
        <v>0.135393439323808</v>
      </c>
      <c r="U47" s="32" t="n">
        <f aca="false">+U46/U$28</f>
        <v>0.183743774768983</v>
      </c>
      <c r="AA47" s="32" t="n">
        <f aca="false">+AA46/AA$28</f>
        <v>-0.0107924305144885</v>
      </c>
      <c r="AB47" s="32" t="n">
        <f aca="false">+AB46/AB$28</f>
        <v>-0.0371827411167513</v>
      </c>
      <c r="AC47" s="32" t="n">
        <f aca="false">+AC46/AC$28</f>
        <v>0.00972279685560612</v>
      </c>
      <c r="AD47" s="32" t="n">
        <f aca="false">+AD46/AD$28</f>
        <v>-0.0561951053125266</v>
      </c>
      <c r="AE47" s="32" t="n">
        <f aca="false">+AE46/AE$28</f>
        <v>-0.0336680003019552</v>
      </c>
      <c r="AF47" s="32" t="n">
        <f aca="false">+AF46/AF$28</f>
        <v>0.0870924519874944</v>
      </c>
      <c r="AG47" s="32" t="n">
        <f aca="false">+AG46/AG$28</f>
        <v>0.12789479809147</v>
      </c>
      <c r="AH47" s="32" t="n">
        <f aca="false">+AH46/AH$28</f>
        <v>0.118868239568101</v>
      </c>
      <c r="AI47" s="32" t="n">
        <f aca="false">+AI46/AI$28</f>
        <v>0.11470584159041</v>
      </c>
      <c r="AJ47" s="32" t="n">
        <f aca="false">+AJ46/AJ$28</f>
        <v>0.111086365088069</v>
      </c>
      <c r="AK47" s="32" t="n">
        <f aca="false">+AK46/AK$28</f>
        <v>0.107938994216468</v>
      </c>
      <c r="AL47" s="32" t="n">
        <f aca="false">+AL46/AL$28</f>
        <v>0.105202149980294</v>
      </c>
      <c r="DC47" s="25"/>
      <c r="DD47" s="25"/>
      <c r="DE47" s="25"/>
      <c r="DF47" s="25"/>
      <c r="DG47" s="25"/>
    </row>
    <row r="48" s="4" customFormat="true" ht="12.8" hidden="false" customHeight="true" outlineLevel="0" collapsed="false">
      <c r="A48" s="40" t="s">
        <v>104</v>
      </c>
      <c r="B48" s="4" t="n">
        <v>175</v>
      </c>
      <c r="C48" s="4" t="n">
        <v>118</v>
      </c>
      <c r="D48" s="4" t="n">
        <v>102</v>
      </c>
      <c r="E48" s="4" t="n">
        <v>26</v>
      </c>
      <c r="F48" s="4" t="n">
        <v>27</v>
      </c>
      <c r="G48" s="4" t="n">
        <v>33</v>
      </c>
      <c r="H48" s="4" t="n">
        <v>55</v>
      </c>
      <c r="I48" s="4" t="n">
        <v>46</v>
      </c>
      <c r="J48" s="4" t="n">
        <v>59</v>
      </c>
      <c r="K48" s="4" t="n">
        <v>76</v>
      </c>
      <c r="L48" s="4" t="n">
        <f aca="false">-M48-K48-J48+AF48</f>
        <v>66</v>
      </c>
      <c r="M48" s="4" t="n">
        <v>127</v>
      </c>
      <c r="N48" s="4" t="n">
        <v>71</v>
      </c>
      <c r="O48" s="4" t="n">
        <v>89</v>
      </c>
      <c r="P48" s="4" t="n">
        <v>262</v>
      </c>
      <c r="Q48" s="4" t="n">
        <v>349</v>
      </c>
      <c r="R48" s="4" t="n">
        <v>248</v>
      </c>
      <c r="S48" s="4" t="n">
        <v>86</v>
      </c>
      <c r="T48" s="4" t="n">
        <v>62</v>
      </c>
      <c r="U48" s="4" t="n">
        <f aca="false">+Q48*1.5</f>
        <v>523.5</v>
      </c>
      <c r="AA48" s="4" t="n">
        <v>275</v>
      </c>
      <c r="AB48" s="4" t="n">
        <v>94</v>
      </c>
      <c r="AC48" s="4" t="n">
        <v>246</v>
      </c>
      <c r="AD48" s="4" t="n">
        <v>421</v>
      </c>
      <c r="AE48" s="4" t="n">
        <v>161</v>
      </c>
      <c r="AF48" s="4" t="n">
        <v>328</v>
      </c>
      <c r="AG48" s="4" t="n">
        <v>292</v>
      </c>
      <c r="AH48" s="4" t="n">
        <f aca="false">AG48*(1+$AQ$66)</f>
        <v>297.84</v>
      </c>
      <c r="AI48" s="4" t="n">
        <f aca="false">AH48*(1+$AQ$66)</f>
        <v>303.7968</v>
      </c>
      <c r="AJ48" s="4" t="n">
        <f aca="false">AI48*(1+$AQ$66)</f>
        <v>309.872736</v>
      </c>
      <c r="AK48" s="4" t="n">
        <f aca="false">AJ48*(1+$AQ$66)</f>
        <v>316.07019072</v>
      </c>
      <c r="AL48" s="4" t="n">
        <f aca="false">AK48*(1+$AQ$66)</f>
        <v>322.3915945344</v>
      </c>
      <c r="DC48" s="25"/>
      <c r="DD48" s="25"/>
      <c r="DE48" s="25"/>
      <c r="DF48" s="25"/>
      <c r="DG48" s="25"/>
    </row>
    <row r="49" s="32" customFormat="true" ht="10.5" hidden="false" customHeight="true" outlineLevel="0" collapsed="false">
      <c r="A49" s="30"/>
      <c r="B49" s="32" t="n">
        <f aca="false">+B48/B$28</f>
        <v>0.0657647500939496</v>
      </c>
      <c r="C49" s="32" t="n">
        <f aca="false">+C48/C$28</f>
        <v>0.0412011173184358</v>
      </c>
      <c r="D49" s="32" t="n">
        <f aca="false">+D48/D$28</f>
        <v>0.033596837944664</v>
      </c>
      <c r="E49" s="32" t="n">
        <f aca="false">+E48/E$28</f>
        <v>0.0082122552116235</v>
      </c>
      <c r="F49" s="32" t="n">
        <f aca="false">+F48/F$28</f>
        <v>0.00887573964497041</v>
      </c>
      <c r="G49" s="32" t="n">
        <f aca="false">+G48/G$28</f>
        <v>0.0103871576959396</v>
      </c>
      <c r="H49" s="32" t="n">
        <f aca="false">+H48/H$28</f>
        <v>0.0163836759011022</v>
      </c>
      <c r="I49" s="32" t="n">
        <f aca="false">+I48/I$28</f>
        <v>0.0125306456006538</v>
      </c>
      <c r="J49" s="32" t="n">
        <f aca="false">+J48/J$28</f>
        <v>0.0162266226622662</v>
      </c>
      <c r="K49" s="32" t="n">
        <f aca="false">+K48/K$28</f>
        <v>0.0199632256369845</v>
      </c>
      <c r="L49" s="32" t="n">
        <f aca="false">+L48/L$28</f>
        <v>0.0165496489468405</v>
      </c>
      <c r="M49" s="32" t="n">
        <f aca="false">+M48/M$28</f>
        <v>0.0299387081565299</v>
      </c>
      <c r="N49" s="32" t="n">
        <f aca="false">+N48/N$28</f>
        <v>0.016945107398568</v>
      </c>
      <c r="O49" s="32" t="n">
        <f aca="false">+O48/O$28</f>
        <v>0.0212258526114954</v>
      </c>
      <c r="P49" s="32" t="n">
        <f aca="false">+P48/P$28</f>
        <v>0.0613295880149813</v>
      </c>
      <c r="Q49" s="32" t="n">
        <f aca="false">+Q48/Q$28</f>
        <v>0.0770249393069963</v>
      </c>
      <c r="R49" s="32" t="n">
        <f aca="false">+R48/R$28</f>
        <v>0.0547099051400838</v>
      </c>
      <c r="S49" s="32" t="n">
        <f aca="false">+S48/S$28</f>
        <v>0.0180029307096504</v>
      </c>
      <c r="T49" s="32" t="n">
        <f aca="false">+T48/T$28</f>
        <v>0.0124773596297042</v>
      </c>
      <c r="U49" s="32" t="n">
        <f aca="false">+U48/U$28</f>
        <v>0.10046731213956</v>
      </c>
      <c r="AA49" s="32" t="n">
        <f aca="false">+AA48/AA$28</f>
        <v>0.0406564163217031</v>
      </c>
      <c r="AB49" s="32" t="n">
        <f aca="false">+AB48/AB$28</f>
        <v>0.0119289340101523</v>
      </c>
      <c r="AC49" s="32" t="n">
        <f aca="false">+AC48/AC$28</f>
        <v>0.0254447662391394</v>
      </c>
      <c r="AD49" s="32" t="n">
        <f aca="false">+AD48/AD$28</f>
        <v>0.0359000596913107</v>
      </c>
      <c r="AE49" s="32" t="n">
        <f aca="false">+AE48/AE$28</f>
        <v>0.0121536951762663</v>
      </c>
      <c r="AF49" s="32" t="n">
        <f aca="false">+AF48/AF$28</f>
        <v>0.0209277100746507</v>
      </c>
      <c r="AG49" s="32" t="n">
        <f aca="false">+AG48/AG$28</f>
        <v>0.0169905737227976</v>
      </c>
      <c r="AH49" s="32" t="n">
        <f aca="false">+AH48/AH$28</f>
        <v>0.0150699001715249</v>
      </c>
      <c r="AI49" s="32" t="n">
        <f aca="false">+AI48/AI$28</f>
        <v>0.0133663462390916</v>
      </c>
      <c r="AJ49" s="32" t="n">
        <f aca="false">+AJ48/AJ$28</f>
        <v>0.0118553679685856</v>
      </c>
      <c r="AK49" s="32" t="n">
        <f aca="false">+AK48/AK$28</f>
        <v>0.0105151959373542</v>
      </c>
      <c r="AL49" s="32" t="n">
        <f aca="false">+AL48/AL$28</f>
        <v>0.00932652161400111</v>
      </c>
      <c r="DC49" s="25"/>
      <c r="DD49" s="25"/>
      <c r="DE49" s="25"/>
      <c r="DF49" s="25"/>
      <c r="DG49" s="25"/>
    </row>
    <row r="50" s="4" customFormat="true" ht="12.8" hidden="false" customHeight="true" outlineLevel="0" collapsed="false">
      <c r="A50" s="40" t="s">
        <v>105</v>
      </c>
      <c r="B50" s="4" t="n">
        <v>-14</v>
      </c>
      <c r="C50" s="4" t="n">
        <v>-14</v>
      </c>
      <c r="D50" s="4" t="n">
        <v>-18</v>
      </c>
      <c r="E50" s="4" t="n">
        <v>-86</v>
      </c>
      <c r="F50" s="4" t="n">
        <v>-77</v>
      </c>
      <c r="G50" s="4" t="n">
        <v>-27</v>
      </c>
      <c r="H50" s="4" t="n">
        <v>-14</v>
      </c>
      <c r="I50" s="4" t="n">
        <v>-102</v>
      </c>
      <c r="J50" s="4" t="n">
        <v>-53</v>
      </c>
      <c r="K50" s="4" t="n">
        <v>-72</v>
      </c>
      <c r="L50" s="4" t="n">
        <f aca="false">-M50-K50-J50+AF50</f>
        <v>-122</v>
      </c>
      <c r="M50" s="4" t="n">
        <v>-105</v>
      </c>
      <c r="N50" s="4" t="n">
        <v>-252</v>
      </c>
      <c r="O50" s="4" t="n">
        <v>-447</v>
      </c>
      <c r="P50" s="4" t="n">
        <v>-17</v>
      </c>
      <c r="Q50" s="4" t="n">
        <v>-29</v>
      </c>
      <c r="R50" s="4" t="n">
        <v>-26</v>
      </c>
      <c r="S50" s="4" t="n">
        <v>-21</v>
      </c>
      <c r="T50" s="4" t="n">
        <v>-29</v>
      </c>
      <c r="U50" s="4" t="n">
        <v>20</v>
      </c>
      <c r="AA50" s="4" t="n">
        <v>-333</v>
      </c>
      <c r="AB50" s="4" t="n">
        <v>-510</v>
      </c>
      <c r="AC50" s="4" t="n">
        <v>-91</v>
      </c>
      <c r="AD50" s="4" t="n">
        <v>-132</v>
      </c>
      <c r="AE50" s="4" t="n">
        <v>-220</v>
      </c>
      <c r="AF50" s="4" t="n">
        <v>-352</v>
      </c>
      <c r="AG50" s="4" t="n">
        <v>-266</v>
      </c>
      <c r="AH50" s="4" t="n">
        <f aca="false">AG50*(1+$AQ$66)</f>
        <v>-271.32</v>
      </c>
      <c r="AI50" s="4" t="n">
        <f aca="false">AH50*(1+$AQ$66)</f>
        <v>-276.7464</v>
      </c>
      <c r="AJ50" s="4" t="n">
        <f aca="false">AI50*(1+$AQ$66)</f>
        <v>-282.281328</v>
      </c>
      <c r="AK50" s="4" t="n">
        <f aca="false">AJ50*(1+$AQ$66)</f>
        <v>-287.92695456</v>
      </c>
      <c r="AL50" s="4" t="n">
        <f aca="false">AK50*(1+$AQ$66)</f>
        <v>-293.6854936512</v>
      </c>
      <c r="DC50" s="25"/>
      <c r="DD50" s="25"/>
      <c r="DE50" s="25"/>
      <c r="DF50" s="25"/>
      <c r="DG50" s="25"/>
    </row>
    <row r="51" s="32" customFormat="true" ht="10.5" hidden="false" customHeight="true" outlineLevel="0" collapsed="false">
      <c r="A51" s="30"/>
      <c r="B51" s="32" t="n">
        <f aca="false">+B50/B$28</f>
        <v>-0.00526118000751597</v>
      </c>
      <c r="C51" s="32" t="n">
        <f aca="false">+C50/C$28</f>
        <v>-0.00488826815642458</v>
      </c>
      <c r="D51" s="32" t="n">
        <f aca="false">+D50/D$28</f>
        <v>-0.00592885375494071</v>
      </c>
      <c r="E51" s="32" t="n">
        <f aca="false">+E50/E$28</f>
        <v>-0.0271636133922931</v>
      </c>
      <c r="F51" s="32" t="n">
        <f aca="false">+F50/F$28</f>
        <v>-0.0253122945430638</v>
      </c>
      <c r="G51" s="32" t="n">
        <f aca="false">+G50/G$28</f>
        <v>-0.0084985835694051</v>
      </c>
      <c r="H51" s="32" t="n">
        <f aca="false">+H50/H$28</f>
        <v>-0.00417039022937146</v>
      </c>
      <c r="I51" s="32" t="n">
        <f aca="false">+I50/I$28</f>
        <v>-0.027785344592754</v>
      </c>
      <c r="J51" s="32" t="n">
        <f aca="false">+J50/J$28</f>
        <v>-0.0145764576457646</v>
      </c>
      <c r="K51" s="32" t="n">
        <f aca="false">+K50/K$28</f>
        <v>-0.0189125295508274</v>
      </c>
      <c r="L51" s="32" t="n">
        <f aca="false">+L50/L$28</f>
        <v>-0.0305917753259779</v>
      </c>
      <c r="M51" s="32" t="n">
        <f aca="false">+M50/M$28</f>
        <v>-0.0247524752475248</v>
      </c>
      <c r="N51" s="32" t="n">
        <f aca="false">+N50/N$28</f>
        <v>-0.0601431980906921</v>
      </c>
      <c r="O51" s="32" t="n">
        <f aca="false">+O50/O$28</f>
        <v>-0.10660624850942</v>
      </c>
      <c r="P51" s="32" t="n">
        <f aca="false">+P50/P$28</f>
        <v>-0.00397940074906367</v>
      </c>
      <c r="Q51" s="32" t="n">
        <f aca="false">+Q50/Q$28</f>
        <v>-0.00640035312293092</v>
      </c>
      <c r="R51" s="32" t="n">
        <f aca="false">+R50/R$28</f>
        <v>-0.0057357158614604</v>
      </c>
      <c r="S51" s="32" t="n">
        <f aca="false">+S50/S$28</f>
        <v>-0.00439606447561231</v>
      </c>
      <c r="T51" s="32" t="n">
        <f aca="false">+T50/T$28</f>
        <v>-0.00583618434292614</v>
      </c>
      <c r="U51" s="32" t="n">
        <f aca="false">+U50/U$28</f>
        <v>0.00383829272739486</v>
      </c>
      <c r="AA51" s="32" t="n">
        <f aca="false">+AA50/AA$28</f>
        <v>-0.0492312241277351</v>
      </c>
      <c r="AB51" s="32" t="n">
        <f aca="false">+AB50/AB$28</f>
        <v>-0.0647208121827411</v>
      </c>
      <c r="AC51" s="32" t="n">
        <f aca="false">+AC50/AC$28</f>
        <v>-0.00941249482829955</v>
      </c>
      <c r="AD51" s="32" t="n">
        <f aca="false">+AD50/AD$28</f>
        <v>-0.0112560757226912</v>
      </c>
      <c r="AE51" s="32" t="n">
        <f aca="false">+AE50/AE$28</f>
        <v>-0.0166075337812335</v>
      </c>
      <c r="AF51" s="32" t="n">
        <f aca="false">+AF50/AF$28</f>
        <v>-0.0224590059337715</v>
      </c>
      <c r="AG51" s="32" t="n">
        <f aca="false">+AG50/AG$28</f>
        <v>-0.0154777144187129</v>
      </c>
      <c r="AH51" s="32" t="n">
        <f aca="false">+AH50/AH$28</f>
        <v>-0.0137280597452932</v>
      </c>
      <c r="AI51" s="32" t="n">
        <f aca="false">+AI50/AI$28</f>
        <v>-0.0121761921219122</v>
      </c>
      <c r="AJ51" s="32" t="n">
        <f aca="false">+AJ50/AJ$28</f>
        <v>-0.0107997530124787</v>
      </c>
      <c r="AK51" s="32" t="n">
        <f aca="false">+AK50/AK$28</f>
        <v>-0.00957891136758977</v>
      </c>
      <c r="AL51" s="32" t="n">
        <f aca="false">+AL50/AL$28</f>
        <v>-0.00849607790864484</v>
      </c>
      <c r="DC51" s="25"/>
      <c r="DD51" s="25"/>
      <c r="DE51" s="25"/>
      <c r="DF51" s="25"/>
      <c r="DG51" s="25"/>
    </row>
    <row r="52" s="41" customFormat="true" ht="12.8" hidden="false" customHeight="true" outlineLevel="0" collapsed="false">
      <c r="A52" s="40" t="s">
        <v>106</v>
      </c>
      <c r="B52" s="4" t="n">
        <f aca="false">SUM(B46:B50)-B49-B47</f>
        <v>155</v>
      </c>
      <c r="C52" s="4" t="n">
        <f aca="false">SUM(C46:C50)-C49-C47</f>
        <v>-90</v>
      </c>
      <c r="D52" s="4" t="n">
        <f aca="false">SUM(D46:D50)-D49-D47</f>
        <v>-144</v>
      </c>
      <c r="E52" s="4" t="n">
        <f aca="false">SUM(E46:E50)-E49-E47</f>
        <v>-291</v>
      </c>
      <c r="F52" s="4" t="n">
        <f aca="false">SUM(F46:F50)-F49-F47</f>
        <v>-206</v>
      </c>
      <c r="G52" s="4" t="n">
        <f aca="false">SUM(G46:G50)-G49-G47</f>
        <v>-241</v>
      </c>
      <c r="H52" s="4" t="n">
        <f aca="false">SUM(H46:H50)-H49-H47</f>
        <v>73</v>
      </c>
      <c r="I52" s="4" t="n">
        <f aca="false">SUM(I46:I50)-I49-I47</f>
        <v>-131</v>
      </c>
      <c r="J52" s="4" t="n">
        <f aca="false">SUM(J46:J50)-J49-J47</f>
        <v>174</v>
      </c>
      <c r="K52" s="4" t="n">
        <f aca="false">SUM(K46:K50)-K49-K47</f>
        <v>270</v>
      </c>
      <c r="L52" s="4" t="n">
        <f aca="false">SUM(L46:L50)-L49-L47</f>
        <v>398</v>
      </c>
      <c r="M52" s="4" t="n">
        <f aca="false">SUM(M46:M50)-M49-M47</f>
        <v>499</v>
      </c>
      <c r="N52" s="4" t="n">
        <f aca="false">SUM(N46:N50)-N49-N47</f>
        <v>328</v>
      </c>
      <c r="O52" s="4" t="n">
        <f aca="false">SUM(O46:O50)-O49-O47</f>
        <v>48</v>
      </c>
      <c r="P52" s="4" t="n">
        <f aca="false">SUM(P46:P50)-P49-P47</f>
        <v>827</v>
      </c>
      <c r="Q52" s="4" t="n">
        <f aca="false">SUM(Q46:Q50)-Q49-Q47</f>
        <v>1021</v>
      </c>
      <c r="R52" s="4" t="n">
        <f aca="false">SUM(R46:R50)-R49-R47</f>
        <v>937</v>
      </c>
      <c r="S52" s="4" t="n">
        <f aca="false">SUM(S46:S50)-S49-S47</f>
        <v>720</v>
      </c>
      <c r="T52" s="4" t="n">
        <f aca="false">SUM(T46:T50)-T49-T47</f>
        <v>705.77</v>
      </c>
      <c r="U52" s="4" t="n">
        <f aca="false">SUM(U46:U50)-U49-U47</f>
        <v>1500.9245</v>
      </c>
      <c r="V52" s="4"/>
      <c r="W52" s="4"/>
      <c r="X52" s="4"/>
      <c r="Y52" s="4"/>
      <c r="Z52" s="4"/>
      <c r="AA52" s="4" t="n">
        <f aca="false">SUM(AA46:AA50)-AA49-AA47</f>
        <v>-131</v>
      </c>
      <c r="AB52" s="4" t="n">
        <f aca="false">SUM(AB46:AB50)-AB49-AB47</f>
        <v>-709</v>
      </c>
      <c r="AC52" s="4" t="n">
        <f aca="false">SUM(AC46:AC50)-AC49</f>
        <v>249.009722796856</v>
      </c>
      <c r="AD52" s="4" t="n">
        <f aca="false">SUM(AD46:AD50)-AD49-AD47</f>
        <v>-370</v>
      </c>
      <c r="AE52" s="4" t="n">
        <f aca="false">SUM(AE46:AE50)-AE49-AE47</f>
        <v>-505</v>
      </c>
      <c r="AF52" s="4" t="n">
        <f aca="false">SUM(AF46:AF50)-AF49</f>
        <v>1341.08709245199</v>
      </c>
      <c r="AG52" s="4" t="n">
        <f aca="false">SUM(AG46:AG50)-AG49-AG47</f>
        <v>2224</v>
      </c>
      <c r="AH52" s="4" t="n">
        <f aca="false">SUM(AH46:AH50)-AH49-AH47</f>
        <v>2375.82</v>
      </c>
      <c r="AI52" s="4" t="n">
        <f aca="false">SUM(AI46:AI50)-AI49-AI47</f>
        <v>2634.1404</v>
      </c>
      <c r="AJ52" s="4" t="n">
        <f aca="false">SUM(AJ46:AJ50)-AJ49-AJ47</f>
        <v>2931.139908</v>
      </c>
      <c r="AK52" s="4" t="n">
        <f aca="false">SUM(AK46:AK50)-AK49-AK47</f>
        <v>3272.61901116</v>
      </c>
      <c r="AL52" s="4" t="n">
        <f aca="false">SUM(AL46:AL50)-AL49-AL47</f>
        <v>3665.2482421332</v>
      </c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DC52" s="25"/>
      <c r="DD52" s="25"/>
      <c r="DE52" s="25"/>
      <c r="DF52" s="25"/>
      <c r="DG52" s="25"/>
    </row>
    <row r="53" s="42" customFormat="true" ht="10.5" hidden="false" customHeight="true" outlineLevel="0" collapsed="false">
      <c r="A53" s="30"/>
      <c r="B53" s="32" t="n">
        <f aca="false">+B52/B$28</f>
        <v>0.0582487786546411</v>
      </c>
      <c r="C53" s="32" t="n">
        <f aca="false">+C52/C$28</f>
        <v>-0.0314245810055866</v>
      </c>
      <c r="D53" s="32" t="n">
        <f aca="false">+D52/D$28</f>
        <v>-0.0474308300395257</v>
      </c>
      <c r="E53" s="32" t="n">
        <f aca="false">+E52/E$28</f>
        <v>-0.0919140871762476</v>
      </c>
      <c r="F53" s="32" t="n">
        <f aca="false">+F52/F$28</f>
        <v>-0.0677186061801446</v>
      </c>
      <c r="G53" s="32" t="n">
        <f aca="false">+G52/G$28</f>
        <v>-0.0758577274158011</v>
      </c>
      <c r="H53" s="32" t="n">
        <f aca="false">+H52/H$28</f>
        <v>0.0217456061960083</v>
      </c>
      <c r="I53" s="32" t="n">
        <f aca="false">+I52/I$28</f>
        <v>-0.0356850994279488</v>
      </c>
      <c r="J53" s="32" t="n">
        <f aca="false">+J52/J$28</f>
        <v>0.0478547854785479</v>
      </c>
      <c r="K53" s="32" t="n">
        <f aca="false">+K52/K$28</f>
        <v>0.0709219858156028</v>
      </c>
      <c r="L53" s="32" t="n">
        <f aca="false">+L52/L$28</f>
        <v>0.0997993981945837</v>
      </c>
      <c r="M53" s="32" t="n">
        <f aca="false">+M52/M$28</f>
        <v>0.117633191890618</v>
      </c>
      <c r="N53" s="32" t="n">
        <f aca="false">+N52/N$28</f>
        <v>0.0782816229116945</v>
      </c>
      <c r="O53" s="32" t="n">
        <f aca="false">+O52/O$28</f>
        <v>0.0114476508466492</v>
      </c>
      <c r="P53" s="32" t="n">
        <f aca="false">+P52/P$28</f>
        <v>0.193586142322097</v>
      </c>
      <c r="Q53" s="32" t="n">
        <f aca="false">+Q52/Q$28</f>
        <v>0.225336570293533</v>
      </c>
      <c r="R53" s="32" t="n">
        <f aca="false">+R52/R$28</f>
        <v>0.206706375468784</v>
      </c>
      <c r="S53" s="32" t="n">
        <f aca="false">+S52/S$28</f>
        <v>0.150722210592422</v>
      </c>
      <c r="T53" s="32" t="n">
        <f aca="false">+T52/T$28</f>
        <v>0.142034614610586</v>
      </c>
      <c r="U53" s="32" t="n">
        <f aca="false">+U52/U$28</f>
        <v>0.288049379635938</v>
      </c>
      <c r="V53" s="32"/>
      <c r="W53" s="32"/>
      <c r="X53" s="32"/>
      <c r="Y53" s="32"/>
      <c r="Z53" s="32"/>
      <c r="AA53" s="32" t="n">
        <f aca="false">+AA52/AA$28</f>
        <v>-0.0193672383205204</v>
      </c>
      <c r="AB53" s="32" t="n">
        <f aca="false">+AB52/AB$28</f>
        <v>-0.0899746192893401</v>
      </c>
      <c r="AC53" s="32" t="n">
        <f aca="false">+AC52/AC$28</f>
        <v>0.0257560739343045</v>
      </c>
      <c r="AD53" s="32" t="n">
        <f aca="false">+AD52/AD$28</f>
        <v>-0.0315511213439072</v>
      </c>
      <c r="AE53" s="32" t="n">
        <f aca="false">+AE52/AE$28</f>
        <v>-0.0381218389069223</v>
      </c>
      <c r="AF53" s="32" t="n">
        <f aca="false">+AF52/AF$28</f>
        <v>0.085566712974669</v>
      </c>
      <c r="AG53" s="32" t="n">
        <f aca="false">+AG52/AG$28</f>
        <v>0.129407657395555</v>
      </c>
      <c r="AH53" s="32" t="n">
        <f aca="false">+AH52/AH$28</f>
        <v>0.120210079994333</v>
      </c>
      <c r="AI53" s="32" t="n">
        <f aca="false">+AI52/AI$28</f>
        <v>0.115895995707589</v>
      </c>
      <c r="AJ53" s="32" t="n">
        <f aca="false">+AJ52/AJ$28</f>
        <v>0.112141980044176</v>
      </c>
      <c r="AK53" s="32" t="n">
        <f aca="false">+AK52/AK$28</f>
        <v>0.108875278786233</v>
      </c>
      <c r="AL53" s="32" t="n">
        <f aca="false">+AL52/AL$28</f>
        <v>0.10603259368565</v>
      </c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DC53" s="25"/>
      <c r="DD53" s="25"/>
      <c r="DE53" s="25"/>
      <c r="DF53" s="25"/>
      <c r="DG53" s="25"/>
    </row>
    <row r="54" s="41" customFormat="true" ht="12.8" hidden="false" customHeight="true" outlineLevel="0" collapsed="false">
      <c r="A54" s="40" t="s">
        <v>107</v>
      </c>
      <c r="B54" s="4" t="n">
        <v>24</v>
      </c>
      <c r="C54" s="4" t="n">
        <v>35</v>
      </c>
      <c r="D54" s="4" t="n">
        <v>22</v>
      </c>
      <c r="E54" s="4" t="n">
        <v>-21</v>
      </c>
      <c r="F54" s="4" t="n">
        <v>19</v>
      </c>
      <c r="G54" s="4" t="n">
        <v>61</v>
      </c>
      <c r="H54" s="4" t="n">
        <v>8</v>
      </c>
      <c r="I54" s="4" t="n">
        <v>-61</v>
      </c>
      <c r="J54" s="4" t="n">
        <v>-23</v>
      </c>
      <c r="K54" s="4" t="n">
        <v>-4</v>
      </c>
      <c r="L54" s="4" t="n">
        <v>98</v>
      </c>
      <c r="M54" s="4" t="n">
        <v>132</v>
      </c>
      <c r="N54" s="4" t="n">
        <v>103</v>
      </c>
      <c r="O54" s="4" t="n">
        <v>134</v>
      </c>
      <c r="P54" s="4" t="n">
        <v>-72</v>
      </c>
      <c r="Q54" s="4" t="n">
        <v>-153</v>
      </c>
      <c r="R54" s="4" t="n">
        <v>216</v>
      </c>
      <c r="S54" s="4" t="n">
        <v>175</v>
      </c>
      <c r="T54" s="4" t="n">
        <v>187</v>
      </c>
      <c r="U54" s="4" t="n">
        <f aca="false">+U52*0.05</f>
        <v>75.046225</v>
      </c>
      <c r="V54" s="4"/>
      <c r="W54" s="4"/>
      <c r="X54" s="4"/>
      <c r="Y54" s="4"/>
      <c r="Z54" s="4"/>
      <c r="AA54" s="4" t="n">
        <v>55</v>
      </c>
      <c r="AB54" s="4" t="n">
        <v>-128</v>
      </c>
      <c r="AC54" s="4" t="n">
        <v>283</v>
      </c>
      <c r="AD54" s="4" t="n">
        <v>60</v>
      </c>
      <c r="AE54" s="4" t="n">
        <v>27</v>
      </c>
      <c r="AF54" s="4" t="n">
        <v>203</v>
      </c>
      <c r="AG54" s="4" t="n">
        <f aca="false">SUM(N54:Q54)</f>
        <v>12</v>
      </c>
      <c r="AH54" s="4" t="n">
        <f aca="false">AH52*0.05</f>
        <v>118.791</v>
      </c>
      <c r="AI54" s="4" t="n">
        <f aca="false">AI52*0.05</f>
        <v>131.70702</v>
      </c>
      <c r="AJ54" s="4" t="n">
        <f aca="false">AJ52*0.05</f>
        <v>146.5569954</v>
      </c>
      <c r="AK54" s="4" t="n">
        <f aca="false">AK52*0.05</f>
        <v>163.630950558</v>
      </c>
      <c r="AL54" s="4" t="n">
        <f aca="false">AL52*0.05</f>
        <v>183.26241210666</v>
      </c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DC54" s="25"/>
      <c r="DD54" s="25"/>
      <c r="DE54" s="25"/>
      <c r="DF54" s="25"/>
      <c r="DG54" s="25"/>
    </row>
    <row r="55" s="42" customFormat="true" ht="10.5" hidden="false" customHeight="true" outlineLevel="0" collapsed="false">
      <c r="A55" s="30"/>
      <c r="B55" s="32" t="n">
        <f aca="false">+B54/B$28</f>
        <v>0.00901916572717024</v>
      </c>
      <c r="C55" s="32" t="n">
        <f aca="false">+C54/C$28</f>
        <v>0.0122206703910615</v>
      </c>
      <c r="D55" s="32" t="n">
        <f aca="false">+D54/D$28</f>
        <v>0.0072463768115942</v>
      </c>
      <c r="E55" s="32" t="n">
        <f aca="false">+E54/E$28</f>
        <v>-0.00663297536323437</v>
      </c>
      <c r="F55" s="32" t="n">
        <f aca="false">+F54/F$28</f>
        <v>0.00624589086127548</v>
      </c>
      <c r="G55" s="32" t="n">
        <f aca="false">+G54/G$28</f>
        <v>0.0192005036197671</v>
      </c>
      <c r="H55" s="32" t="n">
        <f aca="false">+H54/H$28</f>
        <v>0.00238308013106941</v>
      </c>
      <c r="I55" s="32" t="n">
        <f aca="false">+I54/I$28</f>
        <v>-0.0166167256878235</v>
      </c>
      <c r="J55" s="32" t="n">
        <f aca="false">+J54/J$28</f>
        <v>-0.00632563256325633</v>
      </c>
      <c r="K55" s="32" t="n">
        <f aca="false">+K54/K$28</f>
        <v>-0.00105069608615708</v>
      </c>
      <c r="L55" s="32" t="n">
        <f aca="false">+L54/L$28</f>
        <v>0.0245737211634905</v>
      </c>
      <c r="M55" s="32" t="n">
        <f aca="false">+M54/M$28</f>
        <v>0.0311173974540311</v>
      </c>
      <c r="N55" s="32" t="n">
        <f aca="false">+N54/N$28</f>
        <v>0.024582338902148</v>
      </c>
      <c r="O55" s="32" t="n">
        <f aca="false">+O54/O$28</f>
        <v>0.031958025280229</v>
      </c>
      <c r="P55" s="32" t="n">
        <f aca="false">+P54/P$28</f>
        <v>-0.0168539325842697</v>
      </c>
      <c r="Q55" s="32" t="n">
        <f aca="false">+Q54/Q$28</f>
        <v>-0.0337673802692562</v>
      </c>
      <c r="R55" s="32" t="n">
        <f aca="false">+R54/R$28</f>
        <v>0.0476505625413633</v>
      </c>
      <c r="S55" s="32" t="n">
        <f aca="false">+S54/S$28</f>
        <v>0.0366338706301026</v>
      </c>
      <c r="T55" s="32" t="n">
        <f aca="false">+T54/T$28</f>
        <v>0.0376333266250755</v>
      </c>
      <c r="U55" s="32" t="n">
        <f aca="false">+U54/U$28</f>
        <v>0.0144024689817969</v>
      </c>
      <c r="V55" s="32"/>
      <c r="W55" s="32"/>
      <c r="X55" s="32"/>
      <c r="Y55" s="32"/>
      <c r="Z55" s="32"/>
      <c r="AA55" s="32" t="n">
        <f aca="false">+AA54/AA$28</f>
        <v>0.00813128326434063</v>
      </c>
      <c r="AB55" s="32" t="n">
        <f aca="false">+AB54/AB$28</f>
        <v>-0.016243654822335</v>
      </c>
      <c r="AC55" s="32" t="n">
        <f aca="false">+AC54/AC$28</f>
        <v>0.0292718245759206</v>
      </c>
      <c r="AD55" s="32" t="n">
        <f aca="false">+AD54/AD$28</f>
        <v>0.00511639805576874</v>
      </c>
      <c r="AE55" s="32" t="n">
        <f aca="false">+AE54/AE$28</f>
        <v>0.00203819732769684</v>
      </c>
      <c r="AF55" s="32" t="n">
        <f aca="false">+AF54/AF$28</f>
        <v>0.0129522108083966</v>
      </c>
      <c r="AG55" s="32" t="n">
        <f aca="false">+AG54/AG$28</f>
        <v>0.000698242755731409</v>
      </c>
      <c r="AH55" s="32" t="n">
        <f aca="false">+AH54/AH$28</f>
        <v>0.00601050399971666</v>
      </c>
      <c r="AI55" s="32" t="n">
        <f aca="false">+AI54/AI$28</f>
        <v>0.00579479978537945</v>
      </c>
      <c r="AJ55" s="32" t="n">
        <f aca="false">+AJ54/AJ$28</f>
        <v>0.00560709900220879</v>
      </c>
      <c r="AK55" s="32" t="n">
        <f aca="false">+AK54/AK$28</f>
        <v>0.00544376393931163</v>
      </c>
      <c r="AL55" s="32" t="n">
        <f aca="false">+AL54/AL$28</f>
        <v>0.0053016296842825</v>
      </c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DC55" s="25"/>
      <c r="DD55" s="25"/>
      <c r="DE55" s="25"/>
      <c r="DF55" s="25"/>
      <c r="DG55" s="25"/>
    </row>
    <row r="56" s="4" customFormat="true" ht="12.8" hidden="false" customHeight="true" outlineLevel="0" collapsed="false">
      <c r="A56" s="43" t="s">
        <v>108</v>
      </c>
      <c r="B56" s="41" t="n">
        <f aca="false">B52-B54</f>
        <v>131</v>
      </c>
      <c r="C56" s="41" t="n">
        <f aca="false">C52-C54</f>
        <v>-125</v>
      </c>
      <c r="D56" s="41" t="n">
        <f aca="false">D52-D54</f>
        <v>-166</v>
      </c>
      <c r="E56" s="41" t="n">
        <f aca="false">E52-E54</f>
        <v>-270</v>
      </c>
      <c r="F56" s="41" t="n">
        <f aca="false">F52-F54</f>
        <v>-225</v>
      </c>
      <c r="G56" s="41" t="n">
        <f aca="false">G52-G54</f>
        <v>-302</v>
      </c>
      <c r="H56" s="41" t="n">
        <f aca="false">H52-H54</f>
        <v>65</v>
      </c>
      <c r="I56" s="41" t="n">
        <f aca="false">I52-I54</f>
        <v>-70</v>
      </c>
      <c r="J56" s="41" t="n">
        <f aca="false">J52-J54</f>
        <v>197</v>
      </c>
      <c r="K56" s="41" t="n">
        <f aca="false">K52-K54</f>
        <v>274</v>
      </c>
      <c r="L56" s="41" t="n">
        <f aca="false">L52-L54</f>
        <v>300</v>
      </c>
      <c r="M56" s="41" t="n">
        <f aca="false">M52-M54</f>
        <v>367</v>
      </c>
      <c r="N56" s="41" t="n">
        <f aca="false">N52-N54</f>
        <v>225</v>
      </c>
      <c r="O56" s="41" t="n">
        <f aca="false">O52-O54</f>
        <v>-86</v>
      </c>
      <c r="P56" s="41" t="n">
        <f aca="false">P52-P54</f>
        <v>899</v>
      </c>
      <c r="Q56" s="41" t="n">
        <f aca="false">Q52-Q54</f>
        <v>1174</v>
      </c>
      <c r="R56" s="41" t="n">
        <f aca="false">R52-R54</f>
        <v>721</v>
      </c>
      <c r="S56" s="41" t="n">
        <f aca="false">S52-S54</f>
        <v>545</v>
      </c>
      <c r="T56" s="41" t="n">
        <f aca="false">T52-T54</f>
        <v>518.77</v>
      </c>
      <c r="U56" s="41" t="n">
        <f aca="false">U52-U54</f>
        <v>1425.878275</v>
      </c>
      <c r="V56" s="41"/>
      <c r="W56" s="41"/>
      <c r="X56" s="41"/>
      <c r="Y56" s="41"/>
      <c r="Z56" s="41"/>
      <c r="AA56" s="41" t="n">
        <f aca="false">AA52-AA54</f>
        <v>-186</v>
      </c>
      <c r="AB56" s="41" t="n">
        <f aca="false">AB52-AB54</f>
        <v>-581</v>
      </c>
      <c r="AC56" s="41" t="n">
        <f aca="false">AC52-AC54</f>
        <v>-33.9902772031444</v>
      </c>
      <c r="AD56" s="41" t="n">
        <f aca="false">AD52-AD54</f>
        <v>-430</v>
      </c>
      <c r="AE56" s="41" t="n">
        <f aca="false">AE52-AE54</f>
        <v>-532</v>
      </c>
      <c r="AF56" s="41" t="n">
        <f aca="false">AF52-AF54</f>
        <v>1138.08709245199</v>
      </c>
      <c r="AG56" s="41" t="n">
        <f aca="false">AG52-AG54</f>
        <v>2212</v>
      </c>
      <c r="AH56" s="41" t="n">
        <f aca="false">AH52-AH54</f>
        <v>2257.029</v>
      </c>
      <c r="AI56" s="41" t="n">
        <f aca="false">AI52-AI54</f>
        <v>2502.43338</v>
      </c>
      <c r="AJ56" s="41" t="n">
        <f aca="false">AJ52-AJ54</f>
        <v>2784.5829126</v>
      </c>
      <c r="AK56" s="41" t="n">
        <f aca="false">AK52-AK54</f>
        <v>3108.988060602</v>
      </c>
      <c r="AL56" s="41" t="n">
        <f aca="false">AL52-AL54</f>
        <v>3481.98583002654</v>
      </c>
      <c r="AM56" s="41" t="n">
        <f aca="false">AL56*(1+$AQ$64)</f>
        <v>3551.62554662707</v>
      </c>
      <c r="AN56" s="41" t="n">
        <f aca="false">AM56*(1+$AQ$64)</f>
        <v>3622.65805755961</v>
      </c>
      <c r="AO56" s="41" t="n">
        <f aca="false">AN56*(1+$AQ$64)</f>
        <v>3695.1112187108</v>
      </c>
      <c r="AP56" s="41" t="n">
        <f aca="false">AO56*(1+$AQ$64)</f>
        <v>3769.01344308502</v>
      </c>
      <c r="AQ56" s="41" t="n">
        <f aca="false">AP56*(1+$AQ$64)</f>
        <v>3844.39371194672</v>
      </c>
      <c r="AR56" s="41" t="n">
        <f aca="false">AQ56*(1+$AQ$64)</f>
        <v>3921.28158618566</v>
      </c>
      <c r="AS56" s="41" t="n">
        <f aca="false">AR56*(1+$AQ$64)</f>
        <v>3999.70721790937</v>
      </c>
      <c r="AT56" s="41" t="n">
        <f aca="false">AS56*(1+$AQ$64)</f>
        <v>4079.70136226756</v>
      </c>
      <c r="AU56" s="41" t="n">
        <f aca="false">AT56*(1+$AQ$64)</f>
        <v>4161.29538951291</v>
      </c>
      <c r="AV56" s="41" t="n">
        <f aca="false">AU56*(1+$AQ$64)</f>
        <v>4244.52129730317</v>
      </c>
      <c r="AW56" s="41" t="n">
        <f aca="false">AV56*(1+$AQ$64)</f>
        <v>4329.41172324923</v>
      </c>
      <c r="AX56" s="41" t="n">
        <f aca="false">AW56*(1+$AQ$64)</f>
        <v>4415.99995771421</v>
      </c>
      <c r="AY56" s="41" t="n">
        <f aca="false">AX56*(1+$AQ$64)</f>
        <v>4504.3199568685</v>
      </c>
      <c r="AZ56" s="41" t="n">
        <f aca="false">AY56*(1+$AQ$64)</f>
        <v>4594.40635600587</v>
      </c>
      <c r="BA56" s="41" t="n">
        <f aca="false">AZ56*(1+$AQ$64)</f>
        <v>4686.29448312598</v>
      </c>
      <c r="BB56" s="41" t="n">
        <f aca="false">BA56*(1+$AQ$64)</f>
        <v>4780.0203727885</v>
      </c>
      <c r="BC56" s="41" t="n">
        <f aca="false">BB56*(1+$AQ$64)</f>
        <v>4875.62078024427</v>
      </c>
      <c r="BD56" s="41" t="n">
        <f aca="false">BC56*(1+$AQ$64)</f>
        <v>4973.13319584916</v>
      </c>
      <c r="BE56" s="41" t="n">
        <f aca="false">BD56*(1+$AQ$64)</f>
        <v>5072.59585976614</v>
      </c>
      <c r="BF56" s="41" t="n">
        <f aca="false">BE56*(1+$AQ$64)</f>
        <v>5174.04777696147</v>
      </c>
      <c r="BG56" s="41" t="n">
        <f aca="false">BF56*(1+$AQ$64)</f>
        <v>5277.5287325007</v>
      </c>
      <c r="BH56" s="41" t="n">
        <f aca="false">BG56*(1+$AQ$64)</f>
        <v>5383.07930715071</v>
      </c>
      <c r="BI56" s="41" t="n">
        <f aca="false">BH56*(1+$AQ$64)</f>
        <v>5490.74089329373</v>
      </c>
      <c r="BJ56" s="41" t="n">
        <f aca="false">BI56*(1+$AQ$64)</f>
        <v>5600.5557111596</v>
      </c>
      <c r="BK56" s="41" t="n">
        <f aca="false">BJ56*(1+$AQ$64)</f>
        <v>5712.56682538279</v>
      </c>
      <c r="BL56" s="41" t="n">
        <f aca="false">BK56*(1+$AQ$64)</f>
        <v>5826.81816189045</v>
      </c>
      <c r="BM56" s="41" t="n">
        <f aca="false">BL56*(1+$AQ$64)</f>
        <v>5943.35452512826</v>
      </c>
      <c r="BN56" s="41" t="n">
        <f aca="false">BM56*(1+$AQ$64)</f>
        <v>6062.22161563082</v>
      </c>
      <c r="BO56" s="41" t="n">
        <f aca="false">BN56*(1+$AQ$64)</f>
        <v>6183.46604794344</v>
      </c>
      <c r="BP56" s="41" t="n">
        <f aca="false">BO56*(1+$AQ$64)</f>
        <v>6307.13536890231</v>
      </c>
      <c r="BQ56" s="41" t="n">
        <f aca="false">BP56*(1+$AQ$64)</f>
        <v>6433.27807628035</v>
      </c>
      <c r="BR56" s="41" t="n">
        <f aca="false">BQ56*(1+$AQ$64)</f>
        <v>6561.94363780596</v>
      </c>
      <c r="BS56" s="41" t="n">
        <f aca="false">BR56*(1+$AQ$64)</f>
        <v>6693.18251056208</v>
      </c>
      <c r="BT56" s="41" t="n">
        <f aca="false">BS56*(1+$AQ$64)</f>
        <v>6827.04616077332</v>
      </c>
      <c r="BU56" s="41" t="n">
        <f aca="false">BT56*(1+$AQ$64)</f>
        <v>6963.58708398879</v>
      </c>
      <c r="BV56" s="41" t="n">
        <f aca="false">BU56*(1+$AQ$64)</f>
        <v>7102.85882566856</v>
      </c>
      <c r="BW56" s="41" t="n">
        <f aca="false">BV56*(1+$AQ$64)</f>
        <v>7244.91600218194</v>
      </c>
      <c r="BX56" s="41" t="n">
        <f aca="false">BW56*(1+$AQ$64)</f>
        <v>7389.81432222557</v>
      </c>
      <c r="BY56" s="41" t="n">
        <f aca="false">BX56*(1+$AQ$64)</f>
        <v>7537.61060867009</v>
      </c>
      <c r="BZ56" s="41" t="n">
        <f aca="false">BY56*(1+$AQ$64)</f>
        <v>7688.36282084349</v>
      </c>
      <c r="CA56" s="41" t="n">
        <f aca="false">BZ56*(1+$AQ$64)</f>
        <v>7842.13007726036</v>
      </c>
      <c r="CB56" s="41" t="n">
        <f aca="false">CA56*(1+$AQ$64)</f>
        <v>7998.97267880556</v>
      </c>
      <c r="CC56" s="41" t="n">
        <f aca="false">CB56*(1+$AQ$64)</f>
        <v>8158.95213238168</v>
      </c>
      <c r="CD56" s="41" t="n">
        <f aca="false">CC56*(1+$AQ$64)</f>
        <v>8322.13117502931</v>
      </c>
      <c r="CE56" s="41" t="n">
        <f aca="false">CD56*(1+$AQ$64)</f>
        <v>8488.5737985299</v>
      </c>
      <c r="CF56" s="41" t="n">
        <f aca="false">CE56*(1+$AQ$64)</f>
        <v>8658.34527450049</v>
      </c>
      <c r="CG56" s="41" t="n">
        <f aca="false">CF56*(1+$AQ$64)</f>
        <v>8831.5121799905</v>
      </c>
      <c r="CH56" s="41" t="n">
        <f aca="false">CG56*(1+$AQ$64)</f>
        <v>9008.14242359031</v>
      </c>
      <c r="CI56" s="41" t="n">
        <f aca="false">CH56*(1+$AQ$64)</f>
        <v>9188.30527206212</v>
      </c>
      <c r="CJ56" s="41" t="n">
        <f aca="false">CI56*(1+$AQ$64)</f>
        <v>9372.07137750336</v>
      </c>
      <c r="CK56" s="41" t="n">
        <f aca="false">CJ56*(1+$AQ$64)</f>
        <v>9559.51280505343</v>
      </c>
      <c r="CL56" s="41" t="n">
        <f aca="false">CK56*(1+$AQ$64)</f>
        <v>9750.7030611545</v>
      </c>
      <c r="CM56" s="41" t="n">
        <f aca="false">CL56*(1+$AQ$64)</f>
        <v>9945.71712237759</v>
      </c>
      <c r="CN56" s="41" t="n">
        <f aca="false">CM56*(1+$AQ$64)</f>
        <v>10144.6314648251</v>
      </c>
      <c r="CO56" s="41" t="n">
        <f aca="false">CN56*(1+$AQ$64)</f>
        <v>10347.5240941216</v>
      </c>
      <c r="CP56" s="41" t="n">
        <f aca="false">CO56*(1+$AQ$64)</f>
        <v>10554.4745760041</v>
      </c>
      <c r="CQ56" s="41" t="n">
        <f aca="false">CP56*(1+$AQ$64)</f>
        <v>10765.5640675242</v>
      </c>
      <c r="CR56" s="41" t="n">
        <f aca="false">CQ56*(1+$AQ$64)</f>
        <v>10980.8753488746</v>
      </c>
      <c r="CS56" s="41" t="n">
        <f aca="false">CR56*(1+$AQ$64)</f>
        <v>11200.4928558521</v>
      </c>
      <c r="CT56" s="41" t="n">
        <f aca="false">CS56*(1+$AQ$64)</f>
        <v>11424.5027129692</v>
      </c>
      <c r="CU56" s="41" t="n">
        <f aca="false">CT56*(1+$AQ$64)</f>
        <v>11652.9927672286</v>
      </c>
      <c r="CV56" s="41" t="n">
        <f aca="false">CU56*(1+$AQ$64)</f>
        <v>11886.0526225731</v>
      </c>
      <c r="CW56" s="41" t="n">
        <f aca="false">CV56*(1+$AQ$64)</f>
        <v>12123.7736750246</v>
      </c>
      <c r="CX56" s="41" t="n">
        <f aca="false">CW56*(1+$AQ$64)</f>
        <v>12366.2491485251</v>
      </c>
      <c r="CY56" s="41" t="n">
        <f aca="false">CX56*(1+$AQ$64)</f>
        <v>12613.5741314956</v>
      </c>
      <c r="CZ56" s="41" t="n">
        <f aca="false">CY56*(1+$AQ$64)</f>
        <v>12865.8456141255</v>
      </c>
      <c r="DA56" s="41" t="n">
        <f aca="false">CZ56*(1+$AQ$64)</f>
        <v>13123.162526408</v>
      </c>
      <c r="DB56" s="41" t="n">
        <f aca="false">DA56*(1+$AQ$64)</f>
        <v>13385.6257769362</v>
      </c>
      <c r="DC56" s="25"/>
      <c r="DD56" s="25"/>
      <c r="DE56" s="25"/>
      <c r="DF56" s="25"/>
      <c r="DG56" s="25"/>
    </row>
    <row r="57" s="32" customFormat="true" ht="10.5" hidden="false" customHeight="true" outlineLevel="0" collapsed="false">
      <c r="A57" s="47"/>
      <c r="B57" s="32" t="n">
        <f aca="false">+B56/B$28</f>
        <v>0.0492296129274709</v>
      </c>
      <c r="C57" s="32" t="n">
        <f aca="false">+C56/C$28</f>
        <v>-0.043645251396648</v>
      </c>
      <c r="D57" s="32" t="n">
        <f aca="false">+D56/D$28</f>
        <v>-0.0546772068511199</v>
      </c>
      <c r="E57" s="32" t="n">
        <f aca="false">+E56/E$28</f>
        <v>-0.0852811118130133</v>
      </c>
      <c r="F57" s="32" t="n">
        <f aca="false">+F56/F$28</f>
        <v>-0.0739644970414201</v>
      </c>
      <c r="G57" s="32" t="n">
        <f aca="false">+G56/G$28</f>
        <v>-0.0950582310355682</v>
      </c>
      <c r="H57" s="32" t="n">
        <f aca="false">+H56/H$28</f>
        <v>0.0193625260649389</v>
      </c>
      <c r="I57" s="32" t="n">
        <f aca="false">+I56/I$28</f>
        <v>-0.0190683737401253</v>
      </c>
      <c r="J57" s="32" t="n">
        <f aca="false">+J56/J$28</f>
        <v>0.0541804180418042</v>
      </c>
      <c r="K57" s="32" t="n">
        <f aca="false">+K56/K$28</f>
        <v>0.0719726819017599</v>
      </c>
      <c r="L57" s="32" t="n">
        <f aca="false">+L56/L$28</f>
        <v>0.0752256770310933</v>
      </c>
      <c r="M57" s="32" t="n">
        <f aca="false">+M56/M$28</f>
        <v>0.0865157944365865</v>
      </c>
      <c r="N57" s="32" t="n">
        <f aca="false">+N56/N$28</f>
        <v>0.0536992840095465</v>
      </c>
      <c r="O57" s="32" t="n">
        <f aca="false">+O56/O$28</f>
        <v>-0.0205103744335798</v>
      </c>
      <c r="P57" s="32" t="n">
        <f aca="false">+P56/P$28</f>
        <v>0.210440074906367</v>
      </c>
      <c r="Q57" s="32" t="n">
        <f aca="false">+Q56/Q$28</f>
        <v>0.25910395056279</v>
      </c>
      <c r="R57" s="32" t="n">
        <f aca="false">+R56/R$28</f>
        <v>0.159055812927421</v>
      </c>
      <c r="S57" s="32" t="n">
        <f aca="false">+S56/S$28</f>
        <v>0.114088339962319</v>
      </c>
      <c r="T57" s="32" t="n">
        <f aca="false">+T56/T$28</f>
        <v>0.10440128798551</v>
      </c>
      <c r="U57" s="32" t="n">
        <f aca="false">+U56/U$28</f>
        <v>0.273646910654141</v>
      </c>
      <c r="V57" s="42"/>
      <c r="W57" s="42"/>
      <c r="X57" s="42"/>
      <c r="Y57" s="42"/>
      <c r="Z57" s="42"/>
      <c r="AA57" s="32" t="n">
        <f aca="false">+AA56/AA$28</f>
        <v>-0.027498521584861</v>
      </c>
      <c r="AB57" s="32" t="n">
        <f aca="false">+AB56/AB$28</f>
        <v>-0.0737309644670051</v>
      </c>
      <c r="AC57" s="32" t="n">
        <f aca="false">+AC56/AC$28</f>
        <v>-0.00351575064161609</v>
      </c>
      <c r="AD57" s="32" t="n">
        <f aca="false">+AD56/AD$28</f>
        <v>-0.036667519399676</v>
      </c>
      <c r="AE57" s="32" t="n">
        <f aca="false">+AE56/AE$28</f>
        <v>-0.0401600362346192</v>
      </c>
      <c r="AF57" s="32" t="n">
        <f aca="false">+AF56/AF$28</f>
        <v>0.0726145021662724</v>
      </c>
      <c r="AG57" s="32" t="n">
        <f aca="false">+AG56/AG$28</f>
        <v>0.128709414639823</v>
      </c>
      <c r="AH57" s="32" t="n">
        <f aca="false">+AH56/AH$28</f>
        <v>0.114199575994616</v>
      </c>
      <c r="AI57" s="32" t="n">
        <f aca="false">+AI56/AI$28</f>
        <v>0.11010119592221</v>
      </c>
      <c r="AJ57" s="32" t="n">
        <f aca="false">+AJ56/AJ$28</f>
        <v>0.106534881041967</v>
      </c>
      <c r="AK57" s="32" t="n">
        <f aca="false">+AK56/AK$28</f>
        <v>0.103431514846921</v>
      </c>
      <c r="AL57" s="32" t="n">
        <f aca="false">+AL56/AL$28</f>
        <v>0.100730964001367</v>
      </c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  <c r="BA57" s="42"/>
      <c r="BB57" s="42"/>
      <c r="BC57" s="42"/>
      <c r="BD57" s="42"/>
      <c r="BE57" s="42"/>
      <c r="BF57" s="42"/>
      <c r="BG57" s="42"/>
      <c r="BH57" s="42"/>
      <c r="BI57" s="42"/>
      <c r="BJ57" s="42"/>
      <c r="BK57" s="42"/>
      <c r="BL57" s="42"/>
      <c r="BM57" s="42"/>
      <c r="BN57" s="42"/>
      <c r="BO57" s="42"/>
      <c r="BP57" s="42"/>
      <c r="BQ57" s="42"/>
      <c r="BR57" s="42"/>
      <c r="BS57" s="42"/>
      <c r="BT57" s="42"/>
      <c r="BU57" s="42"/>
      <c r="BV57" s="42"/>
      <c r="BW57" s="42"/>
      <c r="BX57" s="42"/>
      <c r="BY57" s="42"/>
      <c r="BZ57" s="42"/>
      <c r="CA57" s="42"/>
      <c r="CB57" s="42"/>
      <c r="CC57" s="42"/>
      <c r="CD57" s="42"/>
      <c r="CE57" s="42"/>
      <c r="CF57" s="42"/>
      <c r="CG57" s="42"/>
      <c r="CH57" s="42"/>
      <c r="CI57" s="42"/>
      <c r="CJ57" s="42"/>
      <c r="CK57" s="42"/>
      <c r="CL57" s="42"/>
      <c r="CM57" s="42"/>
      <c r="CN57" s="42"/>
      <c r="CO57" s="42"/>
      <c r="CP57" s="42"/>
      <c r="CQ57" s="42"/>
      <c r="CR57" s="42"/>
      <c r="CS57" s="42"/>
      <c r="CT57" s="42"/>
      <c r="CU57" s="42"/>
      <c r="CV57" s="42"/>
      <c r="CW57" s="42"/>
      <c r="CX57" s="42"/>
      <c r="CY57" s="42"/>
      <c r="CZ57" s="42"/>
      <c r="DA57" s="42"/>
      <c r="DB57" s="42"/>
      <c r="DC57" s="25"/>
      <c r="DD57" s="25"/>
      <c r="DE57" s="25"/>
      <c r="DF57" s="25"/>
      <c r="DG57" s="25"/>
    </row>
    <row r="58" customFormat="false" ht="12.8" hidden="false" customHeight="true" outlineLevel="0" collapsed="false">
      <c r="A58" s="48" t="s">
        <v>109</v>
      </c>
      <c r="B58" s="49" t="n">
        <f aca="false">B56/B60</f>
        <v>0.664714806902886</v>
      </c>
      <c r="C58" s="49" t="n">
        <v>-0.85</v>
      </c>
      <c r="D58" s="49" t="n">
        <v>-0.99</v>
      </c>
      <c r="E58" s="49" t="n">
        <f aca="false">E56/E60</f>
        <v>-1.39731301881715</v>
      </c>
      <c r="F58" s="49" t="n">
        <f aca="false">F56/F60</f>
        <v>-1.16241824325022</v>
      </c>
      <c r="G58" s="49" t="n">
        <f aca="false">G56/G60</f>
        <v>-1.55333813393684</v>
      </c>
      <c r="H58" s="49" t="n">
        <f aca="false">H56/H60</f>
        <v>0.328262933559582</v>
      </c>
      <c r="I58" s="49" t="n">
        <f aca="false">I56/I60</f>
        <v>-0.357077271521557</v>
      </c>
      <c r="J58" s="49" t="n">
        <f aca="false">J56/J60</f>
        <v>0.966762034224358</v>
      </c>
      <c r="K58" s="49" t="n">
        <f aca="false">K56/K60</f>
        <v>1.3293291739238</v>
      </c>
      <c r="L58" s="49" t="n">
        <v>1.45</v>
      </c>
      <c r="M58" s="49" t="n">
        <f aca="false">M56/M60</f>
        <v>1.75588004516487</v>
      </c>
      <c r="N58" s="49" t="n">
        <f aca="false">N56/N60</f>
        <v>1.07019020847305</v>
      </c>
      <c r="O58" s="49" t="n">
        <f aca="false">O56/O60</f>
        <v>-0.418640200259169</v>
      </c>
      <c r="P58" s="49" t="n">
        <v>3.28</v>
      </c>
      <c r="Q58" s="49" t="n">
        <v>4.43</v>
      </c>
      <c r="R58" s="49" t="n">
        <f aca="false">+R56/R60</f>
        <v>3.44513786856411</v>
      </c>
      <c r="S58" s="49" t="n">
        <f aca="false">+S56/S60</f>
        <v>2.60942256839689</v>
      </c>
      <c r="T58" s="49" t="n">
        <f aca="false">+T56/T60</f>
        <v>2.48716614216133</v>
      </c>
      <c r="U58" s="49" t="n">
        <f aca="false">+U56/U60</f>
        <v>6.90521493521759</v>
      </c>
      <c r="V58" s="49"/>
      <c r="W58" s="49"/>
      <c r="X58" s="49"/>
      <c r="Y58" s="49"/>
      <c r="Z58" s="49"/>
      <c r="AA58" s="49" t="n">
        <v>-1.03</v>
      </c>
      <c r="AB58" s="49" t="n">
        <f aca="false">AB56/AB60</f>
        <v>-3.097295597149</v>
      </c>
      <c r="AC58" s="49" t="n">
        <v>-1.03</v>
      </c>
      <c r="AD58" s="49" t="n">
        <v>-2.93</v>
      </c>
      <c r="AE58" s="49" t="n">
        <f aca="false">AE56/AE60</f>
        <v>-2.73195982170367</v>
      </c>
      <c r="AF58" s="49" t="n">
        <f aca="false">AF56/AF60</f>
        <v>5.49827089449726</v>
      </c>
      <c r="AG58" s="49" t="n">
        <v>10.51</v>
      </c>
      <c r="AH58" s="49" t="n">
        <f aca="false">AH56/AH60</f>
        <v>10.4135419521472</v>
      </c>
      <c r="AI58" s="49" t="n">
        <f aca="false">AI56/AI60</f>
        <v>11.3194072284995</v>
      </c>
      <c r="AJ58" s="49" t="n">
        <f aca="false">AJ56/AJ60</f>
        <v>12.3486972137091</v>
      </c>
      <c r="AK58" s="49" t="n">
        <f aca="false">AK56/AK60</f>
        <v>13.5169862080954</v>
      </c>
      <c r="AL58" s="49" t="n">
        <f aca="false">AL56/AL60</f>
        <v>15.2915891588441</v>
      </c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49"/>
      <c r="BD58" s="49"/>
      <c r="BE58" s="49"/>
      <c r="BF58" s="49"/>
      <c r="BG58" s="49"/>
      <c r="BH58" s="49"/>
      <c r="BI58" s="49"/>
    </row>
    <row r="59" s="32" customFormat="true" ht="10.5" hidden="false" customHeight="true" outlineLevel="0" collapsed="false">
      <c r="A59" s="47"/>
      <c r="B59" s="42"/>
      <c r="C59" s="42"/>
      <c r="D59" s="42"/>
      <c r="E59" s="42"/>
      <c r="F59" s="32" t="n">
        <f aca="false">+F58/B58-1</f>
        <v>-2.74874732919866</v>
      </c>
      <c r="G59" s="32" t="n">
        <f aca="false">+G58/C58-1</f>
        <v>0.827456628160986</v>
      </c>
      <c r="H59" s="32" t="n">
        <f aca="false">+H58/D58-1</f>
        <v>-1.33157872076726</v>
      </c>
      <c r="I59" s="32" t="n">
        <f aca="false">+I58/E58-1</f>
        <v>-0.744454344364565</v>
      </c>
      <c r="J59" s="32" t="n">
        <f aca="false">+J58/F58-1</f>
        <v>-1.83168174608238</v>
      </c>
      <c r="K59" s="32" t="n">
        <f aca="false">+K58/G58-1</f>
        <v>-1.85578866885518</v>
      </c>
      <c r="L59" s="32" t="n">
        <f aca="false">+L58/H58-1</f>
        <v>3.41719076923077</v>
      </c>
      <c r="M59" s="32" t="n">
        <f aca="false">+M58/I58-1</f>
        <v>-5.91736715048487</v>
      </c>
      <c r="N59" s="32" t="n">
        <f aca="false">+N58/J58-1</f>
        <v>0.106984108381621</v>
      </c>
      <c r="O59" s="32" t="n">
        <f aca="false">+O58/K58-1</f>
        <v>-1.31492591035482</v>
      </c>
      <c r="P59" s="32" t="n">
        <f aca="false">+P58/L58-1</f>
        <v>1.26206896551724</v>
      </c>
      <c r="Q59" s="32" t="n">
        <f aca="false">+Q58/M58-1</f>
        <v>1.52295138964578</v>
      </c>
      <c r="R59" s="32" t="n">
        <f aca="false">+R58/N58-1</f>
        <v>2.21918275955789</v>
      </c>
      <c r="S59" s="32" t="n">
        <f aca="false">+S58/O58-1</f>
        <v>-7.23309124824007</v>
      </c>
      <c r="T59" s="32" t="n">
        <f aca="false">+T58/P58-1</f>
        <v>-0.241717639584961</v>
      </c>
      <c r="U59" s="32" t="n">
        <f aca="false">+U58/Q58-1</f>
        <v>0.558739263028801</v>
      </c>
      <c r="V59" s="42"/>
      <c r="W59" s="42"/>
      <c r="X59" s="42"/>
      <c r="Y59" s="42"/>
      <c r="Z59" s="42"/>
      <c r="AA59" s="42"/>
      <c r="AB59" s="32" t="n">
        <f aca="false">+AB58/AA58-1</f>
        <v>2.00708310402815</v>
      </c>
      <c r="AC59" s="32" t="n">
        <f aca="false">+AC58/AB58-1</f>
        <v>-0.66745182444062</v>
      </c>
      <c r="AD59" s="32" t="n">
        <f aca="false">+AD58/AC58-1</f>
        <v>1.84466019417476</v>
      </c>
      <c r="AE59" s="32" t="n">
        <f aca="false">+AE58/AD58-1</f>
        <v>-0.0675905045379951</v>
      </c>
      <c r="AF59" s="32" t="n">
        <f aca="false">+AF58/AE58-1</f>
        <v>-3.01257384929932</v>
      </c>
      <c r="AG59" s="32" t="n">
        <f aca="false">+AG58/AF58-1</f>
        <v>0.911510036822403</v>
      </c>
      <c r="AH59" s="32" t="n">
        <f aca="false">+AH58/AG58-1</f>
        <v>-0.00917774004308003</v>
      </c>
      <c r="AI59" s="32" t="n">
        <f aca="false">+AI58/AH58-1</f>
        <v>0.0869891608940465</v>
      </c>
      <c r="AJ59" s="32" t="n">
        <f aca="false">+AJ58/AI58-1</f>
        <v>0.0909314387610427</v>
      </c>
      <c r="AK59" s="32" t="n">
        <f aca="false">+AK58/AJ58-1</f>
        <v>0.0946082792514646</v>
      </c>
      <c r="AL59" s="32" t="n">
        <f aca="false">+AL58/AK58-1</f>
        <v>0.131286880331788</v>
      </c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DC59" s="25"/>
      <c r="DD59" s="25"/>
      <c r="DE59" s="25"/>
      <c r="DF59" s="25"/>
      <c r="DG59" s="25"/>
    </row>
    <row r="60" s="4" customFormat="true" ht="12.8" hidden="false" customHeight="true" outlineLevel="0" collapsed="false">
      <c r="A60" s="40" t="s">
        <v>110</v>
      </c>
      <c r="B60" s="4" t="n">
        <v>197.077</v>
      </c>
      <c r="C60" s="4" t="n">
        <v>195.859</v>
      </c>
      <c r="D60" s="4" t="n">
        <v>195.988</v>
      </c>
      <c r="E60" s="4" t="n">
        <v>193.228</v>
      </c>
      <c r="F60" s="4" t="n">
        <v>193.562</v>
      </c>
      <c r="G60" s="4" t="n">
        <v>194.42</v>
      </c>
      <c r="H60" s="4" t="n">
        <v>198.012</v>
      </c>
      <c r="I60" s="4" t="n">
        <v>196.036</v>
      </c>
      <c r="J60" s="4" t="n">
        <v>203.773</v>
      </c>
      <c r="K60" s="4" t="n">
        <v>206.119</v>
      </c>
      <c r="L60" s="4" t="n">
        <v>207.399501</v>
      </c>
      <c r="M60" s="4" t="n">
        <v>209.012</v>
      </c>
      <c r="N60" s="4" t="n">
        <v>210.243</v>
      </c>
      <c r="O60" s="4" t="n">
        <v>205.426999</v>
      </c>
      <c r="P60" s="4" t="n">
        <v>213.789</v>
      </c>
      <c r="Q60" s="4" t="n">
        <v>212.49</v>
      </c>
      <c r="R60" s="4" t="n">
        <v>209.280449</v>
      </c>
      <c r="S60" s="4" t="n">
        <v>208.858468</v>
      </c>
      <c r="T60" s="4" t="n">
        <v>208.578748</v>
      </c>
      <c r="U60" s="4" t="n">
        <f aca="false">+T60*0.99</f>
        <v>206.49296052</v>
      </c>
      <c r="AA60" s="4" t="n">
        <v>187.583</v>
      </c>
      <c r="AB60" s="4" t="n">
        <v>187.583</v>
      </c>
      <c r="AC60" s="4" t="n">
        <v>193.943</v>
      </c>
      <c r="AD60" s="4" t="n">
        <v>195.846</v>
      </c>
      <c r="AE60" s="4" t="n">
        <v>194.732</v>
      </c>
      <c r="AF60" s="4" t="n">
        <v>206.99</v>
      </c>
      <c r="AG60" s="4" t="n">
        <f aca="false">Q60</f>
        <v>212.49</v>
      </c>
      <c r="AH60" s="4" t="n">
        <f aca="false">+AG60*1.02</f>
        <v>216.7398</v>
      </c>
      <c r="AI60" s="4" t="n">
        <f aca="false">+AH60*1.02</f>
        <v>221.074596</v>
      </c>
      <c r="AJ60" s="4" t="n">
        <f aca="false">+AI60*1.02</f>
        <v>225.49608792</v>
      </c>
      <c r="AK60" s="4" t="n">
        <f aca="false">+AJ60*1.02</f>
        <v>230.0060096784</v>
      </c>
      <c r="AL60" s="4" t="n">
        <f aca="false">+AK60*0.99</f>
        <v>227.705949581616</v>
      </c>
      <c r="DC60" s="25"/>
      <c r="DD60" s="25"/>
      <c r="DE60" s="25"/>
      <c r="DF60" s="25"/>
      <c r="DG60" s="25"/>
    </row>
    <row r="61" s="32" customFormat="true" ht="10.5" hidden="false" customHeight="true" outlineLevel="0" collapsed="false">
      <c r="A61" s="30"/>
      <c r="C61" s="32" t="n">
        <f aca="false">+C60/B60-1</f>
        <v>-0.00618032545654734</v>
      </c>
      <c r="D61" s="32" t="n">
        <f aca="false">+D60/C60-1</f>
        <v>0.000658637080757085</v>
      </c>
      <c r="E61" s="32" t="n">
        <f aca="false">+E60/D60-1</f>
        <v>-0.0140824948466232</v>
      </c>
      <c r="F61" s="32" t="n">
        <f aca="false">+F60/E60-1</f>
        <v>0.00172852795661083</v>
      </c>
      <c r="G61" s="32" t="n">
        <f aca="false">+G60/F60-1</f>
        <v>0.00443268823426068</v>
      </c>
      <c r="H61" s="32" t="n">
        <f aca="false">+H60/G60-1</f>
        <v>0.0184754654870898</v>
      </c>
      <c r="I61" s="32" t="n">
        <f aca="false">+I60/H60-1</f>
        <v>-0.00997919318021134</v>
      </c>
      <c r="J61" s="32" t="n">
        <f aca="false">+J60/I60-1</f>
        <v>0.0394672407108898</v>
      </c>
      <c r="K61" s="32" t="n">
        <f aca="false">+K60/J60-1</f>
        <v>0.011512810823809</v>
      </c>
      <c r="L61" s="32" t="n">
        <f aca="false">+L60/K60-1</f>
        <v>0.00621243553481232</v>
      </c>
      <c r="M61" s="32" t="n">
        <f aca="false">+M60/L60-1</f>
        <v>0.0077748451284847</v>
      </c>
      <c r="N61" s="32" t="n">
        <f aca="false">+N60/M60-1</f>
        <v>0.005889613993455</v>
      </c>
      <c r="O61" s="32" t="n">
        <f aca="false">+O60/N60-1</f>
        <v>-0.0229068316186508</v>
      </c>
      <c r="P61" s="32" t="n">
        <f aca="false">+P60/O60-1</f>
        <v>0.0407054624791554</v>
      </c>
      <c r="Q61" s="32" t="n">
        <f aca="false">+Q60/P60-1</f>
        <v>-0.00607608436355467</v>
      </c>
      <c r="R61" s="32" t="n">
        <f aca="false">+R60/Q60-1</f>
        <v>-0.0151044802108334</v>
      </c>
      <c r="S61" s="32" t="n">
        <f aca="false">+S60/R60-1</f>
        <v>-0.00201634219544333</v>
      </c>
      <c r="T61" s="32" t="n">
        <f aca="false">+T60/S60-1</f>
        <v>-0.00133928014831552</v>
      </c>
      <c r="U61" s="32" t="n">
        <f aca="false">+U60/T60-1</f>
        <v>-0.01</v>
      </c>
      <c r="AB61" s="32" t="n">
        <f aca="false">+AB60/AA60-1</f>
        <v>0</v>
      </c>
      <c r="AC61" s="32" t="n">
        <f aca="false">+AC60/AB60-1</f>
        <v>0.0339049913904779</v>
      </c>
      <c r="AD61" s="32" t="n">
        <f aca="false">+AD60/AC60-1</f>
        <v>0.00981216130512563</v>
      </c>
      <c r="AE61" s="32" t="n">
        <f aca="false">+AE60/AD60-1</f>
        <v>-0.00568814272438556</v>
      </c>
      <c r="AF61" s="32" t="n">
        <f aca="false">+AF60/AE60-1</f>
        <v>0.062948051681285</v>
      </c>
      <c r="AG61" s="32" t="n">
        <f aca="false">+AG60/AF60-1</f>
        <v>0.0265713319484033</v>
      </c>
      <c r="AH61" s="32" t="n">
        <f aca="false">+AH60/AG60-1</f>
        <v>0.02</v>
      </c>
      <c r="AI61" s="32" t="n">
        <f aca="false">+AI60/AH60-1</f>
        <v>0.02</v>
      </c>
      <c r="AJ61" s="32" t="n">
        <f aca="false">+AJ60/AI60-1</f>
        <v>0.02</v>
      </c>
      <c r="AK61" s="32" t="n">
        <f aca="false">+AK60/AJ60-1</f>
        <v>0.02</v>
      </c>
      <c r="AL61" s="32" t="n">
        <f aca="false">+AL60/AK60-1</f>
        <v>-0.01</v>
      </c>
      <c r="DC61" s="25"/>
      <c r="DD61" s="25"/>
      <c r="DE61" s="25"/>
      <c r="DF61" s="25"/>
      <c r="DG61" s="25"/>
    </row>
    <row r="62" s="13" customFormat="true" ht="12.8" hidden="false" customHeight="true" outlineLevel="0" collapsed="false">
      <c r="A62" s="23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DC62" s="25"/>
      <c r="DD62" s="25"/>
      <c r="DE62" s="25"/>
      <c r="DF62" s="25"/>
      <c r="DG62" s="25"/>
    </row>
    <row r="63" s="13" customFormat="true" ht="12.8" hidden="false" customHeight="true" outlineLevel="0" collapsed="false">
      <c r="A63" s="23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50" t="s">
        <v>111</v>
      </c>
      <c r="AW63" s="50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25"/>
      <c r="DD63" s="25"/>
      <c r="DE63" s="25"/>
      <c r="DF63" s="25"/>
      <c r="DG63" s="25"/>
    </row>
    <row r="64" s="51" customFormat="true" ht="12.8" hidden="false" customHeight="true" outlineLevel="0" collapsed="false">
      <c r="A64" s="52" t="s">
        <v>94</v>
      </c>
      <c r="F64" s="51" t="n">
        <f aca="false">+F28/B28-1</f>
        <v>0.143179255918827</v>
      </c>
      <c r="G64" s="51" t="n">
        <f aca="false">+G28/C28-1</f>
        <v>0.109287709497207</v>
      </c>
      <c r="H64" s="51" t="n">
        <f aca="false">+H28/D28-1</f>
        <v>0.105731225296443</v>
      </c>
      <c r="I64" s="51" t="n">
        <f aca="false">+I28/E28-1</f>
        <v>0.159507264687303</v>
      </c>
      <c r="J64" s="51" t="n">
        <f aca="false">+J28/F28-1</f>
        <v>0.195266272189349</v>
      </c>
      <c r="K64" s="51" t="n">
        <f aca="false">+K28/G28-1</f>
        <v>0.198300283286119</v>
      </c>
      <c r="L64" s="51" t="n">
        <f aca="false">+L28/H28-1</f>
        <v>0.187965445338099</v>
      </c>
      <c r="M64" s="51" t="n">
        <f aca="false">+M28/I28-1</f>
        <v>0.155543448651594</v>
      </c>
      <c r="N64" s="51" t="n">
        <f aca="false">+N28/J28-1</f>
        <v>0.152365236523652</v>
      </c>
      <c r="O64" s="51" t="n">
        <f aca="false">+O28/K28-1</f>
        <v>0.101392172314158</v>
      </c>
      <c r="P64" s="51" t="n">
        <f aca="false">+P28/L28-1</f>
        <v>0.0712136409227684</v>
      </c>
      <c r="Q64" s="51" t="n">
        <f aca="false">+Q28/M28-1</f>
        <v>0.0681282413955682</v>
      </c>
      <c r="R64" s="51" t="n">
        <f aca="false">+R28/N28-1</f>
        <v>0.0818615751789975</v>
      </c>
      <c r="S64" s="51" t="n">
        <f aca="false">+S28/O28-1</f>
        <v>0.139279751967565</v>
      </c>
      <c r="T64" s="51" t="n">
        <f aca="false">+T28/P28-1</f>
        <v>0.163155430711611</v>
      </c>
      <c r="U64" s="51" t="n">
        <f aca="false">+U28/Q28-1</f>
        <v>0.15</v>
      </c>
      <c r="AB64" s="51" t="n">
        <f aca="false">+AB28/AA28-1</f>
        <v>0.164991129509166</v>
      </c>
      <c r="AC64" s="51" t="n">
        <f aca="false">+AC28/AB28-1</f>
        <v>0.226903553299492</v>
      </c>
      <c r="AD64" s="51" t="n">
        <f aca="false">+AD28/AC28-1</f>
        <v>0.212970624741415</v>
      </c>
      <c r="AE64" s="51" t="n">
        <f aca="false">+AE28/AD28-1</f>
        <v>0.129615417412808</v>
      </c>
      <c r="AF64" s="51" t="n">
        <f aca="false">+AF28/AE28-1</f>
        <v>0.183135804333057</v>
      </c>
      <c r="AG64" s="51" t="n">
        <f aca="false">+AG28/AF28-1</f>
        <v>0.0965354431187393</v>
      </c>
      <c r="AH64" s="51" t="n">
        <f aca="false">+AH28/AG28-1</f>
        <v>0.15</v>
      </c>
      <c r="AI64" s="51" t="n">
        <f aca="false">+AI28/AH28-1</f>
        <v>0.15</v>
      </c>
      <c r="AJ64" s="51" t="n">
        <f aca="false">+AJ28/AI28-1</f>
        <v>0.15</v>
      </c>
      <c r="AK64" s="51" t="n">
        <f aca="false">+AK28/AJ28-1</f>
        <v>0.15</v>
      </c>
      <c r="AL64" s="51" t="n">
        <f aca="false">+AL28/AK28-1</f>
        <v>0.15</v>
      </c>
      <c r="AM64" s="53"/>
      <c r="AN64" s="53"/>
      <c r="AO64" s="53"/>
      <c r="AP64" s="54" t="s">
        <v>112</v>
      </c>
      <c r="AQ64" s="55" t="n">
        <v>0.02</v>
      </c>
      <c r="AR64" s="56"/>
      <c r="AS64" s="56" t="s">
        <v>8</v>
      </c>
      <c r="AT64" s="57" t="n">
        <f aca="false">Main!F6</f>
        <v>95638.16148</v>
      </c>
      <c r="AV64" s="1" t="s">
        <v>113</v>
      </c>
      <c r="AW64" s="13" t="n">
        <f aca="false">+SUM(P168:S168)/SUM(P56:S56)</f>
        <v>0.231506439053609</v>
      </c>
      <c r="AX64" s="1"/>
      <c r="AY64" s="1" t="s">
        <v>114</v>
      </c>
      <c r="AZ64" s="33" t="n">
        <f aca="false">+AW66</f>
        <v>29394.8260254892</v>
      </c>
      <c r="DC64" s="25"/>
      <c r="DD64" s="25"/>
      <c r="DE64" s="25"/>
      <c r="DF64" s="25"/>
      <c r="DG64" s="25"/>
    </row>
    <row r="65" s="13" customFormat="true" ht="12.8" hidden="false" customHeight="true" outlineLevel="0" collapsed="false">
      <c r="A65" s="58" t="s">
        <v>115</v>
      </c>
      <c r="B65" s="59" t="n">
        <f aca="false">B36/B28</f>
        <v>0.252160841788801</v>
      </c>
      <c r="C65" s="59" t="n">
        <f aca="false">C36/C28</f>
        <v>0.245810055865922</v>
      </c>
      <c r="D65" s="59" t="n">
        <f aca="false">D36/D28</f>
        <v>0.24703557312253</v>
      </c>
      <c r="E65" s="59" t="n">
        <f aca="false">E36/E28</f>
        <v>0.253000631711939</v>
      </c>
      <c r="F65" s="59" t="n">
        <f aca="false">F36/F28</f>
        <v>0.25180802103879</v>
      </c>
      <c r="G65" s="59" t="n">
        <f aca="false">G36/G28</f>
        <v>0.241107963487567</v>
      </c>
      <c r="H65" s="59" t="n">
        <f aca="false">H36/H28</f>
        <v>0.263628239499553</v>
      </c>
      <c r="I65" s="59" t="n">
        <f aca="false">I36/I28</f>
        <v>0.266957232361754</v>
      </c>
      <c r="J65" s="59" t="n">
        <f aca="false">J36/J28</f>
        <v>0.276127612761276</v>
      </c>
      <c r="K65" s="59" t="n">
        <f aca="false">K36/K28</f>
        <v>0.292093511951668</v>
      </c>
      <c r="L65" s="59" t="n">
        <f aca="false">L36/L28</f>
        <v>0.310932798395186</v>
      </c>
      <c r="M65" s="59" t="n">
        <f aca="false">M36/M28</f>
        <v>0.322489391796322</v>
      </c>
      <c r="N65" s="59" t="n">
        <f aca="false">N36/N28</f>
        <v>0.316467780429594</v>
      </c>
      <c r="O65" s="59" t="n">
        <f aca="false">O36/O28</f>
        <v>0.314810398282852</v>
      </c>
      <c r="P65" s="59" t="n">
        <f aca="false">P36/P28</f>
        <v>0.31624531835206</v>
      </c>
      <c r="Q65" s="59" t="n">
        <f aca="false">Q36/Q28</f>
        <v>0.330832045905981</v>
      </c>
      <c r="R65" s="59" t="n">
        <f aca="false">R36/R28</f>
        <v>0.329803662033973</v>
      </c>
      <c r="S65" s="59" t="n">
        <f aca="false">S36/S28</f>
        <v>0.334100900146536</v>
      </c>
      <c r="T65" s="59" t="n">
        <f aca="false">T36/T28</f>
        <v>0.33</v>
      </c>
      <c r="U65" s="59" t="n">
        <f aca="false">U36/U28</f>
        <v>0.33</v>
      </c>
      <c r="V65" s="59"/>
      <c r="W65" s="59"/>
      <c r="X65" s="59"/>
      <c r="Y65" s="59"/>
      <c r="Z65" s="59"/>
      <c r="AA65" s="59" t="n">
        <f aca="false">AA36/AA28</f>
        <v>0.25458308693081</v>
      </c>
      <c r="AB65" s="59" t="n">
        <f aca="false">AB36/AB28</f>
        <v>0.255710659898477</v>
      </c>
      <c r="AC65" s="59" t="n">
        <f aca="false">AC36/AC28</f>
        <v>0.267997517583782</v>
      </c>
      <c r="AD65" s="59" t="n">
        <f aca="false">AD36/AD28</f>
        <v>0.249509678519656</v>
      </c>
      <c r="AE65" s="59" t="n">
        <f aca="false">AE36/AE28</f>
        <v>0.256435419340228</v>
      </c>
      <c r="AF65" s="59" t="n">
        <f aca="false">AF36/AF28</f>
        <v>0.301410068270274</v>
      </c>
      <c r="AG65" s="59" t="n">
        <f aca="false">AG36/AG28</f>
        <v>0.319795182124986</v>
      </c>
      <c r="AH65" s="59" t="n">
        <f aca="false">AH36/AH28</f>
        <v>0.32</v>
      </c>
      <c r="AI65" s="59" t="n">
        <f aca="false">AI36/AI28</f>
        <v>0.325</v>
      </c>
      <c r="AJ65" s="59" t="n">
        <f aca="false">AJ36/AJ28</f>
        <v>0.33</v>
      </c>
      <c r="AK65" s="59" t="n">
        <f aca="false">AK36/AK28</f>
        <v>0.335</v>
      </c>
      <c r="AL65" s="59" t="n">
        <f aca="false">AL36/AL28</f>
        <v>0.34</v>
      </c>
      <c r="AM65" s="59"/>
      <c r="AN65" s="59"/>
      <c r="AO65" s="59"/>
      <c r="AP65" s="60" t="s">
        <v>116</v>
      </c>
      <c r="AQ65" s="61" t="n">
        <f aca="false">+Main!E9</f>
        <v>0.100779617162002</v>
      </c>
      <c r="AS65" s="13" t="s">
        <v>117</v>
      </c>
      <c r="AT65" s="3" t="n">
        <f aca="false">AH28</f>
        <v>19763.9</v>
      </c>
      <c r="AV65" s="1" t="s">
        <v>118</v>
      </c>
      <c r="AW65" s="13" t="n">
        <f aca="false">+(1-AW64)*AG79</f>
        <v>0.0727887195689568</v>
      </c>
      <c r="AX65" s="1"/>
      <c r="AY65" s="62" t="s">
        <v>110</v>
      </c>
      <c r="AZ65" s="63" t="n">
        <f aca="false">+Main!F2</f>
        <v>208.578748</v>
      </c>
      <c r="DC65" s="25"/>
      <c r="DD65" s="25"/>
      <c r="DE65" s="25"/>
      <c r="DF65" s="25"/>
      <c r="DG65" s="25"/>
    </row>
    <row r="66" s="13" customFormat="true" ht="12.8" hidden="false" customHeight="true" outlineLevel="0" collapsed="false">
      <c r="A66" s="58" t="s">
        <v>119</v>
      </c>
      <c r="B66" s="59" t="n">
        <f aca="false">B46/B28</f>
        <v>-0.00225479143179256</v>
      </c>
      <c r="C66" s="59" t="n">
        <f aca="false">C46/C28</f>
        <v>-0.0677374301675978</v>
      </c>
      <c r="D66" s="59" t="n">
        <f aca="false">D46/D28</f>
        <v>-0.075098814229249</v>
      </c>
      <c r="E66" s="59" t="n">
        <f aca="false">E46/E28</f>
        <v>-0.072962728995578</v>
      </c>
      <c r="F66" s="59" t="n">
        <f aca="false">F46/F28</f>
        <v>-0.0512820512820513</v>
      </c>
      <c r="G66" s="59" t="n">
        <f aca="false">G46/G28</f>
        <v>-0.0777463015423355</v>
      </c>
      <c r="H66" s="59" t="n">
        <f aca="false">H46/H28</f>
        <v>0.00953232052427763</v>
      </c>
      <c r="I66" s="59" t="n">
        <f aca="false">I46/I28</f>
        <v>-0.0204304004358485</v>
      </c>
      <c r="J66" s="59" t="n">
        <f aca="false">J46/J28</f>
        <v>0.0462046204620462</v>
      </c>
      <c r="K66" s="59" t="n">
        <f aca="false">K46/K28</f>
        <v>0.0698712897294458</v>
      </c>
      <c r="L66" s="59" t="n">
        <f aca="false">L46/L28</f>
        <v>0.113841524573721</v>
      </c>
      <c r="M66" s="59" t="n">
        <f aca="false">M46/M28</f>
        <v>0.112446958981612</v>
      </c>
      <c r="N66" s="59" t="n">
        <f aca="false">N46/N28</f>
        <v>0.121479713603819</v>
      </c>
      <c r="O66" s="59" t="n">
        <f aca="false">O46/O28</f>
        <v>0.0968280467445743</v>
      </c>
      <c r="P66" s="59" t="n">
        <f aca="false">P46/P28</f>
        <v>0.13623595505618</v>
      </c>
      <c r="Q66" s="59" t="n">
        <f aca="false">Q46/Q28</f>
        <v>0.154711984109468</v>
      </c>
      <c r="R66" s="59" t="n">
        <f aca="false">R46/R28</f>
        <v>0.157732186190161</v>
      </c>
      <c r="S66" s="59" t="n">
        <f aca="false">S46/S28</f>
        <v>0.137115344358384</v>
      </c>
      <c r="T66" s="59" t="n">
        <f aca="false">T46/T28</f>
        <v>0.135393439323808</v>
      </c>
      <c r="U66" s="59" t="n">
        <f aca="false">U46/U28</f>
        <v>0.183743774768983</v>
      </c>
      <c r="V66" s="59"/>
      <c r="W66" s="59"/>
      <c r="X66" s="59"/>
      <c r="Y66" s="59"/>
      <c r="Z66" s="59"/>
      <c r="AA66" s="59" t="n">
        <f aca="false">AA46/AA28</f>
        <v>-0.0107924305144885</v>
      </c>
      <c r="AB66" s="59" t="n">
        <f aca="false">AB46/AB28</f>
        <v>-0.0371827411167513</v>
      </c>
      <c r="AC66" s="59" t="n">
        <f aca="false">AC46/AC28</f>
        <v>0.00972279685560612</v>
      </c>
      <c r="AD66" s="59" t="n">
        <f aca="false">AD46/AD28</f>
        <v>-0.0561951053125266</v>
      </c>
      <c r="AE66" s="59" t="n">
        <f aca="false">AE46/AE28</f>
        <v>-0.0336680003019552</v>
      </c>
      <c r="AF66" s="59" t="n">
        <f aca="false">AF46/AF28</f>
        <v>0.0870924519874944</v>
      </c>
      <c r="AG66" s="59" t="n">
        <f aca="false">AG46/AG28</f>
        <v>0.12789479809147</v>
      </c>
      <c r="AH66" s="59" t="n">
        <f aca="false">AH46/AH28</f>
        <v>0.118868239568101</v>
      </c>
      <c r="AI66" s="59" t="n">
        <f aca="false">AI46/AI28</f>
        <v>0.11470584159041</v>
      </c>
      <c r="AJ66" s="59" t="n">
        <f aca="false">AJ46/AJ28</f>
        <v>0.111086365088069</v>
      </c>
      <c r="AK66" s="59" t="n">
        <f aca="false">AK46/AK28</f>
        <v>0.107938994216468</v>
      </c>
      <c r="AL66" s="59" t="n">
        <f aca="false">AL46/AL28</f>
        <v>0.105202149980294</v>
      </c>
      <c r="AM66" s="59"/>
      <c r="AN66" s="59"/>
      <c r="AO66" s="59"/>
      <c r="AP66" s="64" t="s">
        <v>120</v>
      </c>
      <c r="AQ66" s="65" t="n">
        <v>0.02</v>
      </c>
      <c r="AR66" s="51"/>
      <c r="AS66" s="13" t="s">
        <v>121</v>
      </c>
      <c r="AT66" s="66" t="n">
        <f aca="false">AT64/AT65</f>
        <v>4.83903285687541</v>
      </c>
      <c r="AV66" s="1" t="s">
        <v>114</v>
      </c>
      <c r="AW66" s="33" t="n">
        <f aca="false">+(SUM(P168:S168)*(1+AW65))/(Main!B9-AW65)</f>
        <v>29394.8260254892</v>
      </c>
      <c r="AX66" s="1"/>
      <c r="AY66" s="1" t="s">
        <v>1</v>
      </c>
      <c r="AZ66" s="33" t="n">
        <f aca="false">+AZ64/AZ65</f>
        <v>140.929151734525</v>
      </c>
      <c r="DC66" s="25"/>
      <c r="DD66" s="25"/>
      <c r="DE66" s="25"/>
      <c r="DF66" s="25"/>
      <c r="DG66" s="25"/>
    </row>
    <row r="67" s="68" customFormat="true" ht="12.8" hidden="false" customHeight="true" outlineLevel="0" collapsed="false">
      <c r="A67" s="58" t="s">
        <v>122</v>
      </c>
      <c r="B67" s="59" t="n">
        <f aca="false">B56/B28</f>
        <v>0.0492296129274709</v>
      </c>
      <c r="C67" s="59" t="n">
        <f aca="false">C56/C28</f>
        <v>-0.043645251396648</v>
      </c>
      <c r="D67" s="59" t="n">
        <f aca="false">D56/D28</f>
        <v>-0.0546772068511199</v>
      </c>
      <c r="E67" s="59" t="n">
        <f aca="false">E56/E28</f>
        <v>-0.0852811118130133</v>
      </c>
      <c r="F67" s="59" t="n">
        <f aca="false">F56/F28</f>
        <v>-0.0739644970414201</v>
      </c>
      <c r="G67" s="59" t="n">
        <f aca="false">G56/G28</f>
        <v>-0.0950582310355682</v>
      </c>
      <c r="H67" s="59" t="n">
        <f aca="false">H56/H28</f>
        <v>0.0193625260649389</v>
      </c>
      <c r="I67" s="59" t="n">
        <f aca="false">I56/I28</f>
        <v>-0.0190683737401253</v>
      </c>
      <c r="J67" s="59" t="n">
        <f aca="false">J56/J28</f>
        <v>0.0541804180418042</v>
      </c>
      <c r="K67" s="59" t="n">
        <f aca="false">K56/K28</f>
        <v>0.0719726819017599</v>
      </c>
      <c r="L67" s="59" t="n">
        <f aca="false">L56/L28</f>
        <v>0.0752256770310933</v>
      </c>
      <c r="M67" s="59" t="n">
        <f aca="false">M56/M28</f>
        <v>0.0865157944365865</v>
      </c>
      <c r="N67" s="59" t="n">
        <f aca="false">N56/N28</f>
        <v>0.0536992840095465</v>
      </c>
      <c r="O67" s="59" t="n">
        <f aca="false">O56/O28</f>
        <v>-0.0205103744335798</v>
      </c>
      <c r="P67" s="59" t="n">
        <f aca="false">P56/P28</f>
        <v>0.210440074906367</v>
      </c>
      <c r="Q67" s="59" t="n">
        <f aca="false">Q56/Q28</f>
        <v>0.25910395056279</v>
      </c>
      <c r="R67" s="59" t="n">
        <f aca="false">R56/R28</f>
        <v>0.159055812927421</v>
      </c>
      <c r="S67" s="59" t="n">
        <f aca="false">S56/S28</f>
        <v>0.114088339962319</v>
      </c>
      <c r="T67" s="59" t="n">
        <f aca="false">T56/T28</f>
        <v>0.10440128798551</v>
      </c>
      <c r="U67" s="59" t="n">
        <f aca="false">U56/U28</f>
        <v>0.273646910654141</v>
      </c>
      <c r="V67" s="59"/>
      <c r="W67" s="59"/>
      <c r="X67" s="59"/>
      <c r="Y67" s="59"/>
      <c r="Z67" s="59"/>
      <c r="AA67" s="59" t="n">
        <f aca="false">AA56/AA28</f>
        <v>-0.027498521584861</v>
      </c>
      <c r="AB67" s="59" t="n">
        <f aca="false">AB56/AB28</f>
        <v>-0.0737309644670051</v>
      </c>
      <c r="AC67" s="59" t="n">
        <f aca="false">AC56/AC28</f>
        <v>-0.00351575064161609</v>
      </c>
      <c r="AD67" s="59" t="n">
        <f aca="false">AD56/AD28</f>
        <v>-0.036667519399676</v>
      </c>
      <c r="AE67" s="59" t="n">
        <f aca="false">AE56/AE28</f>
        <v>-0.0401600362346192</v>
      </c>
      <c r="AF67" s="59" t="n">
        <f aca="false">AF56/AF28</f>
        <v>0.0726145021662724</v>
      </c>
      <c r="AG67" s="59" t="n">
        <f aca="false">AG56/AG28</f>
        <v>0.128709414639823</v>
      </c>
      <c r="AH67" s="59" t="n">
        <f aca="false">AH56/AH28</f>
        <v>0.114199575994616</v>
      </c>
      <c r="AI67" s="59" t="n">
        <f aca="false">AI56/AI28</f>
        <v>0.11010119592221</v>
      </c>
      <c r="AJ67" s="59" t="n">
        <f aca="false">AJ56/AJ28</f>
        <v>0.106534881041967</v>
      </c>
      <c r="AK67" s="59" t="n">
        <f aca="false">AK56/AK28</f>
        <v>0.103431514846921</v>
      </c>
      <c r="AL67" s="59" t="n">
        <f aca="false">AL56/AL28</f>
        <v>0.100730964001367</v>
      </c>
      <c r="AM67" s="59"/>
      <c r="AN67" s="59"/>
      <c r="AO67" s="59"/>
      <c r="AP67" s="60" t="s">
        <v>123</v>
      </c>
      <c r="AQ67" s="67" t="n">
        <f aca="false">NPV(AQ65,AH56:DB56)+Main!F4-Main!F5</f>
        <v>48262.8402633878</v>
      </c>
      <c r="AR67" s="13"/>
      <c r="AS67" s="13"/>
      <c r="AT67" s="13"/>
      <c r="AU67" s="13"/>
      <c r="AV67" s="1" t="s">
        <v>124</v>
      </c>
      <c r="AW67" s="1"/>
      <c r="AX67" s="1"/>
      <c r="AY67" s="1"/>
      <c r="AZ67" s="13" t="n">
        <f aca="false">+AZ66/Main!F1-1</f>
        <v>-0.723668329932304</v>
      </c>
      <c r="BA67" s="13"/>
      <c r="BB67" s="13"/>
      <c r="BC67" s="13"/>
      <c r="BD67" s="13"/>
      <c r="BE67" s="13"/>
      <c r="BF67" s="13"/>
      <c r="BG67" s="13"/>
      <c r="BH67" s="13"/>
      <c r="BI67" s="13"/>
      <c r="DC67" s="25"/>
      <c r="DD67" s="25"/>
      <c r="DE67" s="25"/>
      <c r="DF67" s="25"/>
      <c r="DG67" s="25"/>
    </row>
    <row r="68" customFormat="false" ht="12.8" hidden="false" customHeight="true" outlineLevel="0" collapsed="false">
      <c r="A68" s="52" t="s">
        <v>125</v>
      </c>
      <c r="B68" s="51"/>
      <c r="C68" s="51"/>
      <c r="D68" s="51"/>
      <c r="E68" s="51"/>
      <c r="F68" s="51" t="n">
        <f aca="false">+F66+F64</f>
        <v>0.0918972046367757</v>
      </c>
      <c r="G68" s="51" t="n">
        <f aca="false">+G66+G64</f>
        <v>0.0315414079548715</v>
      </c>
      <c r="H68" s="51" t="n">
        <f aca="false">+H66+H64</f>
        <v>0.115263545820721</v>
      </c>
      <c r="I68" s="51" t="n">
        <f aca="false">+I66+I64</f>
        <v>0.139076864251454</v>
      </c>
      <c r="J68" s="51" t="n">
        <f aca="false">+J66+J64</f>
        <v>0.241470892651395</v>
      </c>
      <c r="K68" s="51" t="n">
        <f aca="false">+K66+K64</f>
        <v>0.268171573015565</v>
      </c>
      <c r="L68" s="51" t="n">
        <f aca="false">+L66+L64</f>
        <v>0.30180696991182</v>
      </c>
      <c r="M68" s="51" t="n">
        <f aca="false">+M66+M64</f>
        <v>0.267990407633207</v>
      </c>
      <c r="N68" s="51" t="n">
        <f aca="false">+N66+N64</f>
        <v>0.273844950127471</v>
      </c>
      <c r="O68" s="51" t="n">
        <f aca="false">+O66+O64</f>
        <v>0.198220219058732</v>
      </c>
      <c r="P68" s="51" t="n">
        <f aca="false">+P66+P64</f>
        <v>0.207449595978948</v>
      </c>
      <c r="Q68" s="51" t="n">
        <f aca="false">+Q66+Q64</f>
        <v>0.222840225505036</v>
      </c>
      <c r="R68" s="51" t="n">
        <f aca="false">+R66+R64</f>
        <v>0.239593761369159</v>
      </c>
      <c r="S68" s="51" t="n">
        <f aca="false">+S66+S64</f>
        <v>0.276395096325949</v>
      </c>
      <c r="T68" s="51" t="n">
        <f aca="false">+T66+T64</f>
        <v>0.298548870035418</v>
      </c>
      <c r="U68" s="51" t="n">
        <f aca="false">+U66+U64</f>
        <v>0.333743774768983</v>
      </c>
      <c r="V68" s="51"/>
      <c r="W68" s="51"/>
      <c r="X68" s="51"/>
      <c r="Y68" s="51"/>
      <c r="Z68" s="51"/>
      <c r="AA68" s="51"/>
      <c r="AB68" s="51" t="n">
        <f aca="false">+AB66+AB64</f>
        <v>0.127808388392415</v>
      </c>
      <c r="AC68" s="51" t="n">
        <f aca="false">+AC66+AC64</f>
        <v>0.236626350155098</v>
      </c>
      <c r="AD68" s="51" t="n">
        <f aca="false">+AD66+AD64</f>
        <v>0.156775519428888</v>
      </c>
      <c r="AE68" s="51" t="n">
        <f aca="false">+AE66+AE64</f>
        <v>0.0959474171108528</v>
      </c>
      <c r="AF68" s="51" t="n">
        <f aca="false">+AF66+AF64</f>
        <v>0.270228256320551</v>
      </c>
      <c r="AG68" s="51" t="n">
        <f aca="false">+AG66+AG64</f>
        <v>0.224430241210209</v>
      </c>
      <c r="AH68" s="51" t="n">
        <f aca="false">+AH66+AH64</f>
        <v>0.268868239568101</v>
      </c>
      <c r="AI68" s="51" t="n">
        <f aca="false">+AI66+AI64</f>
        <v>0.26470584159041</v>
      </c>
      <c r="AJ68" s="51" t="n">
        <f aca="false">+AJ66+AJ64</f>
        <v>0.261086365088069</v>
      </c>
      <c r="AK68" s="51" t="n">
        <f aca="false">+AK66+AK64</f>
        <v>0.257938994216468</v>
      </c>
      <c r="AL68" s="51" t="n">
        <f aca="false">+AL66+AL64</f>
        <v>0.255202149980294</v>
      </c>
      <c r="AM68" s="13"/>
      <c r="AN68" s="13"/>
      <c r="AO68" s="13"/>
      <c r="AP68" s="69" t="s">
        <v>2</v>
      </c>
      <c r="AQ68" s="70" t="n">
        <f aca="false">AQ67/(Main!F2)</f>
        <v>231.389059173889</v>
      </c>
      <c r="AR68" s="51"/>
      <c r="AS68" s="51"/>
      <c r="AT68" s="51"/>
      <c r="AU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</row>
    <row r="69" customFormat="false" ht="12.8" hidden="false" customHeight="true" outlineLevel="0" collapsed="false">
      <c r="A69" s="58" t="s">
        <v>126</v>
      </c>
      <c r="B69" s="13" t="n">
        <f aca="false">+B54/B52</f>
        <v>0.154838709677419</v>
      </c>
      <c r="C69" s="13" t="n">
        <f aca="false">+C54/C52</f>
        <v>-0.388888888888889</v>
      </c>
      <c r="D69" s="13" t="n">
        <f aca="false">+D54/D52</f>
        <v>-0.152777777777778</v>
      </c>
      <c r="E69" s="13" t="n">
        <f aca="false">+E54/E52</f>
        <v>0.0721649484536083</v>
      </c>
      <c r="F69" s="13" t="n">
        <f aca="false">+F54/F52</f>
        <v>-0.0922330097087379</v>
      </c>
      <c r="G69" s="13" t="n">
        <f aca="false">+G54/G52</f>
        <v>-0.253112033195021</v>
      </c>
      <c r="H69" s="13" t="n">
        <f aca="false">+H54/H52</f>
        <v>0.10958904109589</v>
      </c>
      <c r="I69" s="13" t="n">
        <f aca="false">+I54/I52</f>
        <v>0.465648854961832</v>
      </c>
      <c r="J69" s="13" t="n">
        <f aca="false">+J54/J52</f>
        <v>-0.132183908045977</v>
      </c>
      <c r="K69" s="13" t="n">
        <f aca="false">+K54/K52</f>
        <v>-0.0148148148148148</v>
      </c>
      <c r="L69" s="13" t="n">
        <f aca="false">+L54/L52</f>
        <v>0.246231155778895</v>
      </c>
      <c r="M69" s="13" t="n">
        <f aca="false">+M54/M52</f>
        <v>0.264529058116232</v>
      </c>
      <c r="N69" s="13" t="n">
        <f aca="false">+N54/N52</f>
        <v>0.314024390243902</v>
      </c>
      <c r="O69" s="13" t="n">
        <f aca="false">+O54/O52</f>
        <v>2.79166666666667</v>
      </c>
      <c r="P69" s="13" t="n">
        <f aca="false">+P54/P52</f>
        <v>-0.0870616686819831</v>
      </c>
      <c r="Q69" s="13" t="n">
        <f aca="false">+Q54/Q52</f>
        <v>-0.149853085210578</v>
      </c>
      <c r="R69" s="13" t="n">
        <f aca="false">+R54/R52</f>
        <v>0.230522945570971</v>
      </c>
      <c r="S69" s="13" t="n">
        <f aca="false">+S54/S52</f>
        <v>0.243055555555556</v>
      </c>
      <c r="T69" s="13" t="n">
        <f aca="false">+T54/T52</f>
        <v>0.264958839281919</v>
      </c>
      <c r="U69" s="13" t="n">
        <f aca="false">+U54/U52</f>
        <v>0.05</v>
      </c>
      <c r="V69" s="13"/>
      <c r="W69" s="13"/>
      <c r="X69" s="13"/>
      <c r="Y69" s="13"/>
      <c r="Z69" s="13"/>
      <c r="AA69" s="13" t="n">
        <f aca="false">+AA54/AA52</f>
        <v>-0.419847328244275</v>
      </c>
      <c r="AB69" s="13" t="n">
        <f aca="false">+AB54/AB52</f>
        <v>0.180535966149506</v>
      </c>
      <c r="AC69" s="13" t="n">
        <f aca="false">+AC54/AC52</f>
        <v>1.1365018073245</v>
      </c>
      <c r="AD69" s="13" t="n">
        <f aca="false">+AD54/AD52</f>
        <v>-0.162162162162162</v>
      </c>
      <c r="AE69" s="13" t="n">
        <f aca="false">+AE54/AE52</f>
        <v>-0.0534653465346535</v>
      </c>
      <c r="AF69" s="13" t="n">
        <f aca="false">+AF54/AF52</f>
        <v>0.151369736643161</v>
      </c>
      <c r="AG69" s="13" t="n">
        <f aca="false">+AG54/AG52</f>
        <v>0.00539568345323741</v>
      </c>
      <c r="AH69" s="13" t="n">
        <f aca="false">+AH54/AH52</f>
        <v>0.05</v>
      </c>
      <c r="AI69" s="13" t="n">
        <f aca="false">+AI54/AI52</f>
        <v>0.05</v>
      </c>
      <c r="AJ69" s="13" t="n">
        <f aca="false">+AJ54/AJ52</f>
        <v>0.05</v>
      </c>
      <c r="AK69" s="13" t="n">
        <f aca="false">+AK54/AK52</f>
        <v>0.05</v>
      </c>
      <c r="AL69" s="13" t="n">
        <f aca="false">+AL54/AL52</f>
        <v>0.05</v>
      </c>
      <c r="AM69" s="51"/>
      <c r="AN69" s="51"/>
      <c r="AO69" s="51"/>
      <c r="AP69" s="71" t="s">
        <v>127</v>
      </c>
      <c r="AQ69" s="72" t="n">
        <f aca="false">AQ68/Main!F1-1</f>
        <v>-0.546295962404139</v>
      </c>
      <c r="AR69" s="51"/>
      <c r="AS69" s="13" t="s">
        <v>128</v>
      </c>
      <c r="AT69" s="13" t="n">
        <f aca="false">AT65/AT64</f>
        <v>0.20665286423488</v>
      </c>
      <c r="AU69" s="51"/>
      <c r="AV69" s="73" t="s">
        <v>129</v>
      </c>
      <c r="AW69" s="73"/>
      <c r="AX69" s="73"/>
      <c r="AY69" s="73"/>
      <c r="AZ69" s="73"/>
      <c r="BA69" s="51"/>
      <c r="BB69" s="51"/>
      <c r="BC69" s="51"/>
      <c r="BD69" s="51"/>
      <c r="BE69" s="51"/>
      <c r="BF69" s="51"/>
      <c r="BG69" s="51"/>
      <c r="BH69" s="51"/>
      <c r="BI69" s="51"/>
      <c r="DC69" s="25"/>
      <c r="DD69" s="25"/>
      <c r="DE69" s="25"/>
      <c r="DF69" s="25"/>
      <c r="DG69" s="25"/>
    </row>
    <row r="70" s="59" customFormat="true" ht="12.8" hidden="false" customHeight="true" outlineLevel="0" collapsed="false">
      <c r="A70" s="52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P70" s="13"/>
      <c r="AQ70" s="13"/>
      <c r="AR70" s="13"/>
      <c r="AS70" s="13"/>
      <c r="AT70" s="13"/>
      <c r="AU70" s="13"/>
      <c r="AV70" s="1"/>
      <c r="AW70" s="1"/>
      <c r="AX70" s="1"/>
      <c r="AY70" s="1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25"/>
      <c r="DD70" s="25"/>
      <c r="DE70" s="25"/>
      <c r="DF70" s="25"/>
      <c r="DG70" s="25"/>
    </row>
    <row r="71" customFormat="false" ht="12.8" hidden="false" customHeight="true" outlineLevel="0" collapsed="false">
      <c r="A71" s="74" t="s">
        <v>130</v>
      </c>
      <c r="B71" s="68" t="n">
        <f aca="false">B46+B129</f>
        <v>31</v>
      </c>
      <c r="C71" s="68" t="n">
        <f aca="false">C46+C129</f>
        <v>-154</v>
      </c>
      <c r="D71" s="68" t="n">
        <f aca="false">D46+D129</f>
        <v>-184</v>
      </c>
      <c r="E71" s="68" t="n">
        <f aca="false">E46+E129</f>
        <v>-181</v>
      </c>
      <c r="F71" s="68" t="n">
        <f aca="false">F46+F129</f>
        <v>-112</v>
      </c>
      <c r="G71" s="68" t="n">
        <f aca="false">G46+G129</f>
        <v>-203</v>
      </c>
      <c r="H71" s="68" t="n">
        <f aca="false">H46+H129</f>
        <v>68</v>
      </c>
      <c r="I71" s="68" t="n">
        <f aca="false">I46+I129</f>
        <v>-41</v>
      </c>
      <c r="J71" s="68" t="n">
        <f aca="false">J46+J129</f>
        <v>199</v>
      </c>
      <c r="K71" s="68" t="n">
        <f aca="false">K46+K129</f>
        <v>296</v>
      </c>
      <c r="L71" s="68" t="n">
        <f aca="false">L46+L129</f>
        <v>484</v>
      </c>
      <c r="M71" s="68" t="n">
        <f aca="false">M46+M129</f>
        <v>507</v>
      </c>
      <c r="N71" s="68" t="n">
        <f aca="false">N46+N129</f>
        <v>536</v>
      </c>
      <c r="O71" s="68" t="n">
        <f aca="false">O46+O129</f>
        <v>432</v>
      </c>
      <c r="P71" s="68" t="n">
        <f aca="false">P46+P129</f>
        <v>606</v>
      </c>
      <c r="Q71" s="68" t="n">
        <f aca="false">Q46+Q129</f>
        <v>726</v>
      </c>
      <c r="R71" s="68" t="n">
        <f aca="false">R46+R129</f>
        <v>741</v>
      </c>
      <c r="S71" s="68" t="n">
        <f aca="false">S46+S129</f>
        <v>684</v>
      </c>
      <c r="T71" s="68" t="n">
        <f aca="false">T46+T129</f>
        <v>705.77</v>
      </c>
      <c r="U71" s="68"/>
      <c r="V71" s="68"/>
      <c r="W71" s="68"/>
      <c r="X71" s="68"/>
      <c r="Y71" s="68"/>
      <c r="Z71" s="68"/>
      <c r="AA71" s="68" t="n">
        <f aca="false">AA46+AA129</f>
        <v>14</v>
      </c>
      <c r="AB71" s="68" t="n">
        <f aca="false">AB46+AB129</f>
        <v>-182</v>
      </c>
      <c r="AC71" s="68" t="n">
        <f aca="false">AC46+AC129</f>
        <v>221</v>
      </c>
      <c r="AD71" s="68" t="n">
        <f aca="false">AD46+AD129</f>
        <v>-488</v>
      </c>
      <c r="AE71" s="68" t="n">
        <f aca="false">AE46+AE129</f>
        <v>-288</v>
      </c>
      <c r="AF71" s="68" t="n">
        <f aca="false">AF46+AF129</f>
        <v>1486</v>
      </c>
      <c r="AG71" s="68" t="n">
        <f aca="false">AG46+AG129</f>
        <v>2300</v>
      </c>
      <c r="AH71" s="68" t="n">
        <f aca="false">AH46+AH129</f>
        <v>2487.6473</v>
      </c>
      <c r="AI71" s="68" t="n">
        <f aca="false">AI46+AI129</f>
        <v>2766.189395</v>
      </c>
      <c r="AJ71" s="68" t="n">
        <f aca="false">AJ46+AJ129</f>
        <v>3086.51280425</v>
      </c>
      <c r="AK71" s="68" t="n">
        <f aca="false">AK46+AK129</f>
        <v>3454.8847248875</v>
      </c>
      <c r="AL71" s="68" t="n">
        <f aca="false">AL46+AL129</f>
        <v>3878.51243362063</v>
      </c>
      <c r="AM71" s="75"/>
      <c r="AN71" s="75"/>
      <c r="AO71" s="75"/>
      <c r="AR71" s="75"/>
      <c r="AS71" s="75"/>
      <c r="AT71" s="75"/>
      <c r="AU71" s="75"/>
      <c r="AZ71" s="75"/>
      <c r="BA71" s="75"/>
      <c r="BB71" s="75"/>
      <c r="BC71" s="75"/>
      <c r="BD71" s="75"/>
      <c r="BE71" s="75"/>
      <c r="BF71" s="75"/>
      <c r="BG71" s="75"/>
      <c r="BH71" s="75"/>
      <c r="BI71" s="75"/>
      <c r="BJ71" s="59"/>
      <c r="BK71" s="59"/>
      <c r="BL71" s="59"/>
      <c r="BM71" s="59"/>
      <c r="BN71" s="59"/>
      <c r="BO71" s="59"/>
      <c r="BP71" s="59"/>
      <c r="BQ71" s="59"/>
      <c r="BR71" s="59"/>
      <c r="BS71" s="59"/>
      <c r="BT71" s="59"/>
      <c r="BU71" s="59"/>
      <c r="BV71" s="59"/>
      <c r="BW71" s="59"/>
      <c r="BX71" s="59"/>
      <c r="BY71" s="59"/>
      <c r="BZ71" s="59"/>
      <c r="CA71" s="59"/>
      <c r="CB71" s="59"/>
      <c r="CC71" s="59"/>
      <c r="CD71" s="59"/>
      <c r="CE71" s="59"/>
      <c r="CF71" s="59"/>
      <c r="CG71" s="59"/>
      <c r="CH71" s="59"/>
      <c r="CI71" s="59"/>
      <c r="CJ71" s="59"/>
      <c r="CK71" s="59"/>
      <c r="CL71" s="59"/>
      <c r="CM71" s="59"/>
      <c r="CN71" s="59"/>
      <c r="CO71" s="59"/>
      <c r="CP71" s="59"/>
      <c r="CQ71" s="59"/>
      <c r="CR71" s="59"/>
      <c r="CS71" s="59"/>
      <c r="CT71" s="59"/>
      <c r="CU71" s="59"/>
      <c r="CV71" s="59"/>
      <c r="CW71" s="59"/>
      <c r="CX71" s="59"/>
      <c r="CY71" s="59"/>
      <c r="CZ71" s="59"/>
      <c r="DA71" s="59"/>
      <c r="DB71" s="59"/>
      <c r="DC71" s="25"/>
      <c r="DD71" s="25"/>
      <c r="DE71" s="25"/>
      <c r="DF71" s="25"/>
      <c r="DG71" s="25"/>
    </row>
    <row r="72" s="35" customFormat="true" ht="12.8" hidden="false" customHeight="true" outlineLevel="0" collapsed="false">
      <c r="A72" s="58" t="s">
        <v>131</v>
      </c>
      <c r="B72" s="13"/>
      <c r="C72" s="13"/>
      <c r="D72" s="13"/>
      <c r="E72" s="13"/>
      <c r="F72" s="13" t="n">
        <f aca="false">+(F46-B46)/(F28-B28)</f>
        <v>-0.393700787401575</v>
      </c>
      <c r="G72" s="13" t="n">
        <f aca="false">+(G46-C46)/(G28-C28)</f>
        <v>-0.169329073482428</v>
      </c>
      <c r="H72" s="13" t="n">
        <f aca="false">+(H46-D46)/(H28-D28)</f>
        <v>0.809968847352025</v>
      </c>
      <c r="I72" s="13" t="n">
        <f aca="false">+(I46-E46)/(I28-E28)</f>
        <v>0.308910891089109</v>
      </c>
      <c r="J72" s="13" t="n">
        <f aca="false">+(J46-F46)/(J28-F28)</f>
        <v>0.545454545454545</v>
      </c>
      <c r="K72" s="13" t="n">
        <f aca="false">+(K46-G46)/(K28-G28)</f>
        <v>0.814285714285714</v>
      </c>
      <c r="L72" s="13" t="n">
        <f aca="false">+(L46-H46)/(L28-H28)</f>
        <v>0.66877971473851</v>
      </c>
      <c r="M72" s="13" t="n">
        <f aca="false">+(M46-I46)/(M28-I28)</f>
        <v>0.966725043782837</v>
      </c>
      <c r="N72" s="13" t="n">
        <f aca="false">+(N46-J46)/(N28-J28)</f>
        <v>0.615523465703971</v>
      </c>
      <c r="O72" s="13" t="n">
        <f aca="false">+(O46-K46)/(O28-K28)</f>
        <v>0.362694300518135</v>
      </c>
      <c r="P72" s="13" t="n">
        <f aca="false">+(P46-L46)/(P28-L28)</f>
        <v>0.450704225352113</v>
      </c>
      <c r="Q72" s="13" t="n">
        <f aca="false">+(Q46-M46)/(Q28-M28)</f>
        <v>0.775086505190311</v>
      </c>
      <c r="R72" s="13" t="n">
        <f aca="false">+(R46-N46)/(R28-N28)</f>
        <v>0.600583090379009</v>
      </c>
      <c r="S72" s="13" t="n">
        <f aca="false">+(S46-O46)/(S28-O28)</f>
        <v>0.426369863013699</v>
      </c>
      <c r="T72" s="13" t="n">
        <f aca="false">+(T46-P46)/(T28-P28)</f>
        <v>0.130229555236729</v>
      </c>
      <c r="U72" s="13"/>
      <c r="V72" s="13"/>
      <c r="W72" s="13"/>
      <c r="X72" s="13"/>
      <c r="Y72" s="13"/>
      <c r="Z72" s="13"/>
      <c r="AA72" s="13"/>
      <c r="AB72" s="13" t="n">
        <f aca="false">+(AB46-AA46)/(AB28-AA28)</f>
        <v>-0.197132616487455</v>
      </c>
      <c r="AC72" s="13" t="n">
        <f aca="false">+(AC46-AB46)/(AC28-AB28)</f>
        <v>0.216442953020134</v>
      </c>
      <c r="AD72" s="13" t="n">
        <f aca="false">+(AD46-AC46)/(AD28-AC28)</f>
        <v>-0.365711510441962</v>
      </c>
      <c r="AE72" s="13" t="n">
        <f aca="false">+(AE46-AD46)/(AE28-AD28)</f>
        <v>0.140131578947368</v>
      </c>
      <c r="AF72" s="13" t="n">
        <f aca="false">+(AF46-AE46)/(AF28-AE28)</f>
        <v>0.746496290189613</v>
      </c>
      <c r="AG72" s="13" t="n">
        <f aca="false">+(AG46-AF46)/(AG28-AF28)</f>
        <v>0.550561797752809</v>
      </c>
      <c r="AH72" s="13"/>
      <c r="AI72" s="13"/>
      <c r="AJ72" s="13"/>
      <c r="AK72" s="13"/>
      <c r="AL72" s="13"/>
      <c r="AM72" s="13"/>
      <c r="AN72" s="13"/>
      <c r="AO72" s="13"/>
      <c r="AR72" s="13"/>
      <c r="AS72" s="13"/>
      <c r="AT72" s="13"/>
      <c r="AU72" s="13"/>
      <c r="AV72" s="1"/>
      <c r="AW72" s="1"/>
      <c r="AX72" s="1"/>
      <c r="AY72" s="1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25"/>
      <c r="DD72" s="25"/>
      <c r="DE72" s="25"/>
      <c r="DF72" s="25"/>
      <c r="DG72" s="25"/>
    </row>
    <row r="73" s="35" customFormat="true" ht="12.8" hidden="false" customHeight="true" outlineLevel="0" collapsed="false">
      <c r="A73" s="76"/>
      <c r="DC73" s="25"/>
      <c r="DD73" s="25"/>
      <c r="DE73" s="25"/>
      <c r="DF73" s="25"/>
      <c r="DG73" s="25"/>
    </row>
    <row r="74" customFormat="false" ht="12.8" hidden="false" customHeight="true" outlineLevel="0" collapsed="false">
      <c r="AM74" s="35"/>
      <c r="AN74" s="35"/>
      <c r="AO74" s="35"/>
      <c r="AP74" s="35"/>
      <c r="AQ74" s="35"/>
      <c r="AR74" s="35"/>
      <c r="AS74" s="35"/>
      <c r="AV74" s="35"/>
      <c r="AW74" s="35"/>
      <c r="AX74" s="35"/>
      <c r="AY74" s="35"/>
      <c r="AZ74" s="35"/>
      <c r="BA74" s="35"/>
      <c r="BB74" s="35"/>
      <c r="BC74" s="35"/>
      <c r="BD74" s="35"/>
      <c r="BE74" s="35"/>
      <c r="BF74" s="35"/>
      <c r="BG74" s="35"/>
      <c r="BH74" s="35"/>
      <c r="BI74" s="35"/>
    </row>
    <row r="75" customFormat="false" ht="12.8" hidden="false" customHeight="true" outlineLevel="0" collapsed="false">
      <c r="A75" s="76" t="s">
        <v>132</v>
      </c>
      <c r="B75" s="35" t="n">
        <f aca="false">B24/B28</f>
        <v>0.89402480270575</v>
      </c>
      <c r="C75" s="35" t="n">
        <f aca="false">C24/C28</f>
        <v>0.874301675977654</v>
      </c>
      <c r="D75" s="35" t="n">
        <f aca="false">D24/D28</f>
        <v>0.873188405797101</v>
      </c>
      <c r="E75" s="35" t="n">
        <f aca="false">E24/E28</f>
        <v>0.858180669614656</v>
      </c>
      <c r="F75" s="35" t="n">
        <f aca="false">F24/F28</f>
        <v>0.891847468770546</v>
      </c>
      <c r="G75" s="35" t="n">
        <f aca="false">G24/G28</f>
        <v>0.872836008813346</v>
      </c>
      <c r="H75" s="35" t="n">
        <f aca="false">H24/H28</f>
        <v>0.866845397676497</v>
      </c>
      <c r="I75" s="35" t="n">
        <f aca="false">I24/I28</f>
        <v>0.863524925088532</v>
      </c>
      <c r="J75" s="35" t="n">
        <f aca="false">J24/J28</f>
        <v>0.893014301430143</v>
      </c>
      <c r="K75" s="35" t="n">
        <f aca="false">K24/K28</f>
        <v>0.880220646178093</v>
      </c>
      <c r="L75" s="35" t="n">
        <f aca="false">L24/L28</f>
        <v>0.881644934804413</v>
      </c>
      <c r="M75" s="35" t="n">
        <f aca="false">M24/M28</f>
        <v>0.873408769448373</v>
      </c>
      <c r="N75" s="35" t="n">
        <f aca="false">N24/N28</f>
        <v>0.902863961813842</v>
      </c>
      <c r="O75" s="35" t="n">
        <f aca="false">O24/O28</f>
        <v>0.895063200572383</v>
      </c>
      <c r="P75" s="35" t="n">
        <f aca="false">P24/P28</f>
        <v>0.897705992509363</v>
      </c>
      <c r="Q75" s="35" t="n">
        <f aca="false">Q24/Q28</f>
        <v>0.887221363937321</v>
      </c>
      <c r="R75" s="35" t="n">
        <f aca="false">R24/R28</f>
        <v>0.915067284359144</v>
      </c>
      <c r="S75" s="35" t="n">
        <f aca="false">S24/S28</f>
        <v>0.906635963994139</v>
      </c>
      <c r="T75" s="35" t="n">
        <f aca="false">T24/T28</f>
        <v>0.902998591265848</v>
      </c>
      <c r="U75" s="35"/>
      <c r="V75" s="35"/>
      <c r="W75" s="35"/>
      <c r="X75" s="35"/>
      <c r="Y75" s="35"/>
      <c r="Z75" s="35"/>
      <c r="AA75" s="35" t="n">
        <f aca="false">AA24/AA28</f>
        <v>0.899763453577765</v>
      </c>
      <c r="AB75" s="35" t="n">
        <f aca="false">AB24/AB28</f>
        <v>0.905456852791878</v>
      </c>
      <c r="AC75" s="35" t="n">
        <f aca="false">AC24/AC28</f>
        <v>0.875051717004551</v>
      </c>
      <c r="AD75" s="35" t="n">
        <f aca="false">AD24/AD28</f>
        <v>0.874136607828089</v>
      </c>
      <c r="AE75" s="35" t="n">
        <f aca="false">AE24/AE28</f>
        <v>0.873103344153393</v>
      </c>
      <c r="AF75" s="35" t="n">
        <f aca="false">AF24/AF28</f>
        <v>0.88170739488292</v>
      </c>
      <c r="AG75" s="35" t="n">
        <f aca="false">AG24/AG28</f>
        <v>0.895554521121843</v>
      </c>
      <c r="AH75" s="35"/>
      <c r="AI75" s="35"/>
      <c r="AJ75" s="35"/>
      <c r="AK75" s="35"/>
      <c r="AL75" s="35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77"/>
      <c r="DD75" s="77"/>
      <c r="DE75" s="77"/>
      <c r="DF75" s="77"/>
      <c r="DG75" s="77"/>
    </row>
    <row r="76" s="4" customFormat="true" ht="12.8" hidden="false" customHeight="true" outlineLevel="0" collapsed="false">
      <c r="A76" s="40" t="s">
        <v>133</v>
      </c>
      <c r="B76" s="4" t="n">
        <f aca="false">B104-B117</f>
        <v>2147</v>
      </c>
      <c r="C76" s="4" t="n">
        <f aca="false">C104-C117</f>
        <v>2301</v>
      </c>
      <c r="D76" s="4" t="n">
        <f aca="false">D104-D117</f>
        <v>2233</v>
      </c>
      <c r="E76" s="4" t="n">
        <f aca="false">E104-E117</f>
        <v>2401</v>
      </c>
      <c r="F76" s="4" t="n">
        <f aca="false">F104-F117</f>
        <v>2342</v>
      </c>
      <c r="G76" s="4" t="n">
        <f aca="false">G104-G117</f>
        <v>2054</v>
      </c>
      <c r="H76" s="4" t="n">
        <f aca="false">H104-H117</f>
        <v>2139</v>
      </c>
      <c r="I76" s="4" t="n">
        <f aca="false">I104-I117</f>
        <v>2523</v>
      </c>
      <c r="J76" s="4" t="n">
        <f aca="false">J104-J117</f>
        <v>3309</v>
      </c>
      <c r="K76" s="4" t="n">
        <f aca="false">K104-K117</f>
        <v>4259</v>
      </c>
      <c r="L76" s="4" t="n">
        <f aca="false">L104-L117</f>
        <v>4633</v>
      </c>
      <c r="M76" s="4" t="n">
        <f aca="false">M104-M117</f>
        <v>5525</v>
      </c>
      <c r="N76" s="4" t="n">
        <f aca="false">N104-N117</f>
        <v>6247</v>
      </c>
      <c r="O76" s="4" t="n">
        <f aca="false">O104-O117</f>
        <v>6630</v>
      </c>
      <c r="P76" s="4" t="n">
        <f aca="false">P104-P117</f>
        <v>7779</v>
      </c>
      <c r="Q76" s="4" t="n">
        <f aca="false">Q104-Q117</f>
        <v>8329</v>
      </c>
      <c r="R76" s="4" t="n">
        <f aca="false">R104-R117</f>
        <v>8010</v>
      </c>
      <c r="S76" s="4" t="n">
        <f aca="false">S104-S117</f>
        <v>8385</v>
      </c>
      <c r="T76" s="4" t="n">
        <f aca="false">T104-T117</f>
        <v>8741</v>
      </c>
      <c r="AB76" s="4" t="n">
        <f aca="false">AB104-AB117</f>
        <v>2805</v>
      </c>
      <c r="AC76" s="4" t="n">
        <f aca="false">AC104-AC117</f>
        <v>2119</v>
      </c>
      <c r="AD76" s="4" t="n">
        <f aca="false">AD104-AD117</f>
        <v>9082</v>
      </c>
      <c r="AE76" s="4" t="n">
        <f aca="false">AE104-AE117</f>
        <v>9058</v>
      </c>
      <c r="AF76" s="4" t="n">
        <f aca="false">AF104-AF117</f>
        <v>17726</v>
      </c>
      <c r="AG76" s="4" t="n">
        <f aca="false">AG104-AG117</f>
        <v>28985</v>
      </c>
      <c r="AM76" s="1"/>
      <c r="AN76" s="1"/>
      <c r="AO76" s="1"/>
      <c r="AP76" s="1"/>
      <c r="AQ76" s="1"/>
      <c r="AR76" s="1"/>
      <c r="AS76" s="1"/>
      <c r="AT76" s="78"/>
      <c r="AU76" s="78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25"/>
      <c r="DD76" s="25"/>
      <c r="DE76" s="25"/>
      <c r="DF76" s="25"/>
      <c r="DG76" s="25"/>
    </row>
    <row r="77" s="13" customFormat="true" ht="12.8" hidden="false" customHeight="true" outlineLevel="0" collapsed="false">
      <c r="A77" s="23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25"/>
      <c r="DD77" s="25"/>
      <c r="DE77" s="25"/>
      <c r="DF77" s="25"/>
      <c r="DG77" s="25"/>
    </row>
    <row r="78" s="13" customFormat="true" ht="12.8" hidden="false" customHeight="true" outlineLevel="0" collapsed="false">
      <c r="A78" s="58" t="s">
        <v>134</v>
      </c>
      <c r="C78" s="13" t="n">
        <f aca="false">+(C56*4)/AVERAGE(B104:C104)</f>
        <v>-0.0693144797948292</v>
      </c>
      <c r="D78" s="13" t="n">
        <f aca="false">+(D56*4)/AVERAGE(C104:D104)</f>
        <v>-0.0884154460719041</v>
      </c>
      <c r="E78" s="13" t="n">
        <f aca="false">+(E56*4)/AVERAGE(D104:E104)</f>
        <v>-0.141472360492533</v>
      </c>
      <c r="F78" s="13" t="n">
        <f aca="false">+(F56*4)/AVERAGE(E104:F104)</f>
        <v>-0.118694362017804</v>
      </c>
      <c r="G78" s="13" t="n">
        <f aca="false">+(G56*4)/AVERAGE(F104:G104)</f>
        <v>-0.162792264672192</v>
      </c>
      <c r="H78" s="13" t="n">
        <f aca="false">+(H56*4)/AVERAGE(G104:H104)</f>
        <v>0.0348899624261943</v>
      </c>
      <c r="I78" s="13" t="n">
        <f aca="false">+(I56*4)/AVERAGE(H104:I104)</f>
        <v>-0.0351361525912913</v>
      </c>
      <c r="J78" s="13" t="n">
        <f aca="false">+(J56*4)/AVERAGE(I104:J104)</f>
        <v>0.0904655301073417</v>
      </c>
      <c r="K78" s="13" t="n">
        <f aca="false">+(K56*4)/AVERAGE(J104:K104)</f>
        <v>0.114041933302117</v>
      </c>
      <c r="L78" s="13" t="n">
        <f aca="false">+(L56*4)/AVERAGE(K104:L104)</f>
        <v>0.115947630320305</v>
      </c>
      <c r="M78" s="13" t="n">
        <f aca="false">+(M56*4)/AVERAGE(L104:M104)</f>
        <v>0.130153382392056</v>
      </c>
      <c r="N78" s="13" t="n">
        <f aca="false">+(N56*4)/AVERAGE(M104:N104)</f>
        <v>0.0728981046492791</v>
      </c>
      <c r="O78" s="13" t="n">
        <f aca="false">+(O56*4)/AVERAGE(N104:O104)</f>
        <v>-0.0263077393698379</v>
      </c>
      <c r="P78" s="13" t="n">
        <f aca="false">+(P56*4)/AVERAGE(O104:P104)</f>
        <v>0.255452155999148</v>
      </c>
      <c r="Q78" s="13" t="n">
        <f aca="false">+(Q56*4)/AVERAGE(P104:Q104)</f>
        <v>0.316186372205764</v>
      </c>
      <c r="R78" s="13" t="n">
        <f aca="false">+(R56*4)/AVERAGE(Q104:R104)</f>
        <v>0.204953274348861</v>
      </c>
      <c r="S78" s="13" t="n">
        <f aca="false">+(S56*4)/AVERAGE(R104:S104)</f>
        <v>0.16222652180384</v>
      </c>
      <c r="T78" s="13" t="n">
        <f aca="false">+(T56*4)/AVERAGE(S104:T104)</f>
        <v>0.147903064861012</v>
      </c>
      <c r="AB78" s="13" t="n">
        <f aca="false">+AB56/AVERAGE(AA104:AB104)</f>
        <v>-0.183686373695858</v>
      </c>
      <c r="AC78" s="13" t="n">
        <f aca="false">+AC56/AVERAGE(AB104:AC104)</f>
        <v>-0.00503708909353059</v>
      </c>
      <c r="AD78" s="13" t="n">
        <f aca="false">+AD56/AVERAGE(AC104:AD104)</f>
        <v>-0.0233283602332836</v>
      </c>
      <c r="AE78" s="13" t="n">
        <f aca="false">+AE56/AVERAGE(AD104:AE104)</f>
        <v>-0.0175943380626385</v>
      </c>
      <c r="AF78" s="13" t="n">
        <f aca="false">+AF56/AVERAGE(AE104:AF104)</f>
        <v>0.0313704096709388</v>
      </c>
      <c r="AG78" s="13" t="n">
        <f aca="false">+AG56/AVERAGE(AF104:AG104)</f>
        <v>0.0453116198084703</v>
      </c>
      <c r="DC78" s="25"/>
      <c r="DD78" s="25"/>
      <c r="DE78" s="25"/>
      <c r="DF78" s="25"/>
      <c r="DG78" s="25"/>
    </row>
    <row r="79" s="33" customFormat="true" ht="12.8" hidden="false" customHeight="true" outlineLevel="0" collapsed="false">
      <c r="A79" s="58" t="s">
        <v>135</v>
      </c>
      <c r="B79" s="13"/>
      <c r="C79" s="13" t="n">
        <f aca="false">+(C56*4)/AVERAGE(B123:C123)</f>
        <v>-0.224820143884892</v>
      </c>
      <c r="D79" s="13" t="n">
        <f aca="false">+(D56*4)/AVERAGE(C123:D123)</f>
        <v>-0.292898103220115</v>
      </c>
      <c r="E79" s="13" t="n">
        <f aca="false">+(E56*4)/AVERAGE(D123:E123)</f>
        <v>-0.466119982736297</v>
      </c>
      <c r="F79" s="13" t="n">
        <f aca="false">+(F56*4)/AVERAGE(E123:F123)</f>
        <v>-0.379506641366224</v>
      </c>
      <c r="G79" s="13" t="n">
        <f aca="false">+(G56*4)/AVERAGE(F123:G123)</f>
        <v>-0.549590536851683</v>
      </c>
      <c r="H79" s="13" t="n">
        <f aca="false">+(H56*4)/AVERAGE(G123:H123)</f>
        <v>0.124016217505366</v>
      </c>
      <c r="I79" s="13" t="n">
        <f aca="false">+(I56*4)/AVERAGE(H123:I123)</f>
        <v>-0.12012012012012</v>
      </c>
      <c r="J79" s="13" t="n">
        <f aca="false">+(J56*4)/AVERAGE(I123:J123)</f>
        <v>0.270233196159122</v>
      </c>
      <c r="K79" s="13" t="n">
        <f aca="false">+(K56*4)/AVERAGE(J123:K123)</f>
        <v>0.289640591966173</v>
      </c>
      <c r="L79" s="13" t="n">
        <f aca="false">+(L56*4)/AVERAGE(K123:L123)</f>
        <v>0.269905533063428</v>
      </c>
      <c r="M79" s="13" t="n">
        <f aca="false">+(M56*4)/AVERAGE(L123:M123)</f>
        <v>0.289033274266588</v>
      </c>
      <c r="N79" s="13" t="n">
        <f aca="false">+(N56*4)/AVERAGE(M123:N123)</f>
        <v>0.152905198776758</v>
      </c>
      <c r="O79" s="13" t="n">
        <f aca="false">+(O56*4)/AVERAGE(N123:O123)</f>
        <v>-0.0534410439645798</v>
      </c>
      <c r="P79" s="13" t="n">
        <f aca="false">+(P56*4)/AVERAGE(O123:P123)</f>
        <v>0.499236429265584</v>
      </c>
      <c r="Q79" s="13" t="n">
        <f aca="false">+(Q56*4)/AVERAGE(P123:Q123)</f>
        <v>0.583064315867892</v>
      </c>
      <c r="R79" s="13" t="n">
        <f aca="false">+(R56*4)/AVERAGE(Q123:R123)</f>
        <v>0.353020380684252</v>
      </c>
      <c r="S79" s="13" t="n">
        <f aca="false">+(S56*4)/AVERAGE(R123:S123)</f>
        <v>0.265934736200061</v>
      </c>
      <c r="T79" s="13" t="n">
        <f aca="false">+(T56*4)/AVERAGE(S123:T123)</f>
        <v>0.24233095877613</v>
      </c>
      <c r="U79" s="13"/>
      <c r="V79" s="13"/>
      <c r="W79" s="13"/>
      <c r="X79" s="13"/>
      <c r="Y79" s="13"/>
      <c r="Z79" s="13"/>
      <c r="AA79" s="13"/>
      <c r="AB79" s="13" t="n">
        <f aca="false">+AB56/AVERAGE(AA123:AB123)</f>
        <v>-0.414260249554367</v>
      </c>
      <c r="AC79" s="13" t="n">
        <f aca="false">+AC56/AVERAGE(AB123:AC123)</f>
        <v>-0.0138059614959969</v>
      </c>
      <c r="AD79" s="13" t="n">
        <f aca="false">+AD56/AVERAGE(AC123:AD123)</f>
        <v>-0.0767788590304437</v>
      </c>
      <c r="AE79" s="13" t="n">
        <f aca="false">+AE56/AVERAGE(AD123:AE123)</f>
        <v>-0.0586549062844542</v>
      </c>
      <c r="AF79" s="13" t="n">
        <f aca="false">+AF56/AVERAGE(AE123:AF123)</f>
        <v>0.0849826084566896</v>
      </c>
      <c r="AG79" s="13" t="n">
        <f aca="false">+AG56/AVERAGE(AF123:AG123)</f>
        <v>0.094716108589535</v>
      </c>
      <c r="AH79" s="13"/>
      <c r="AI79" s="13"/>
      <c r="AJ79" s="13"/>
      <c r="AK79" s="13"/>
      <c r="AL79" s="13"/>
      <c r="DC79" s="25"/>
      <c r="DD79" s="25"/>
      <c r="DE79" s="25"/>
      <c r="DF79" s="25"/>
      <c r="DG79" s="25"/>
    </row>
    <row r="80" s="13" customFormat="true" ht="12.8" hidden="false" customHeight="true" outlineLevel="0" collapsed="false">
      <c r="A80" s="58" t="s">
        <v>136</v>
      </c>
      <c r="C80" s="13" t="n">
        <f aca="false">+(C28*4)/AVERAGE(B104:C104)</f>
        <v>1.58813336105913</v>
      </c>
      <c r="D80" s="13" t="n">
        <f aca="false">+(D28*4)/AVERAGE(C104:D104)</f>
        <v>1.61704394141145</v>
      </c>
      <c r="E80" s="13" t="n">
        <f aca="false">+(E28*4)/AVERAGE(D104:E104)</f>
        <v>1.65889441970134</v>
      </c>
      <c r="F80" s="13" t="n">
        <f aca="false">+(F28*4)/AVERAGE(E104:F104)</f>
        <v>1.60474777448071</v>
      </c>
      <c r="G80" s="13" t="n">
        <f aca="false">+(G28*4)/AVERAGE(F104:G104)</f>
        <v>1.7125530624621</v>
      </c>
      <c r="H80" s="13" t="n">
        <f aca="false">+(H28*4)/AVERAGE(G104:H104)</f>
        <v>1.80193236714976</v>
      </c>
      <c r="I80" s="13" t="n">
        <f aca="false">+(I28*4)/AVERAGE(H104:I104)</f>
        <v>1.84264023089472</v>
      </c>
      <c r="J80" s="13" t="n">
        <f aca="false">+(J28*4)/AVERAGE(I104:J104)</f>
        <v>1.66970897193043</v>
      </c>
      <c r="K80" s="13" t="n">
        <f aca="false">+(K28*4)/AVERAGE(J104:K104)</f>
        <v>1.58451693460278</v>
      </c>
      <c r="L80" s="13" t="n">
        <f aca="false">+(L28*4)/AVERAGE(K104:L104)</f>
        <v>1.54133049905793</v>
      </c>
      <c r="M80" s="13" t="n">
        <f aca="false">+(M28*4)/AVERAGE(L104:M104)</f>
        <v>1.50438868694033</v>
      </c>
      <c r="N80" s="13" t="n">
        <f aca="false">+(N28*4)/AVERAGE(M104:N104)</f>
        <v>1.35752470435769</v>
      </c>
      <c r="O80" s="13" t="n">
        <f aca="false">+(O28*4)/AVERAGE(N104:O104)</f>
        <v>1.28265524625268</v>
      </c>
      <c r="P80" s="13" t="n">
        <f aca="false">+(P28*4)/AVERAGE(O104:P104)</f>
        <v>1.21389500603822</v>
      </c>
      <c r="Q80" s="13" t="n">
        <f aca="false">+(Q28*4)/AVERAGE(P104:Q104)</f>
        <v>1.22030702935632</v>
      </c>
      <c r="R80" s="13" t="n">
        <f aca="false">+(R28*4)/AVERAGE(Q104:R104)</f>
        <v>1.28856198699499</v>
      </c>
      <c r="S80" s="13" t="n">
        <f aca="false">+(S28*4)/AVERAGE(R104:S104)</f>
        <v>1.42193778836136</v>
      </c>
      <c r="T80" s="13" t="n">
        <f aca="false">+(T28*4)/AVERAGE(S104:T104)</f>
        <v>1.41667854597292</v>
      </c>
      <c r="AB80" s="13" t="n">
        <f aca="false">+AB28/AVERAGE(AA104:AB104)</f>
        <v>2.49130572241543</v>
      </c>
      <c r="AC80" s="13" t="n">
        <f aca="false">+AC28/AVERAGE(AB104:AC104)</f>
        <v>1.43272080616479</v>
      </c>
      <c r="AD80" s="13" t="n">
        <f aca="false">+AD28/AVERAGE(AC104:AD104)</f>
        <v>0.636213210362132</v>
      </c>
      <c r="AE80" s="13" t="n">
        <f aca="false">+AE28/AVERAGE(AD104:AE104)</f>
        <v>0.438105632172504</v>
      </c>
      <c r="AF80" s="13" t="n">
        <f aca="false">+AF28/AVERAGE(AE104:AF104)</f>
        <v>0.43201301028143</v>
      </c>
      <c r="AG80" s="13" t="n">
        <f aca="false">+AG28/AVERAGE(AF104:AG104)</f>
        <v>0.352045885184616</v>
      </c>
      <c r="DC80" s="25"/>
      <c r="DD80" s="25"/>
      <c r="DE80" s="25"/>
      <c r="DF80" s="25"/>
      <c r="DG80" s="25"/>
    </row>
    <row r="81" customFormat="false" ht="12.8" hidden="false" customHeight="true" outlineLevel="0" collapsed="false">
      <c r="A81" s="34" t="s">
        <v>137</v>
      </c>
      <c r="B81" s="33"/>
      <c r="C81" s="33" t="n">
        <f aca="false">+AVERAGE(B104:C104)/AVERAGE(B123:C123)</f>
        <v>3.24348021582734</v>
      </c>
      <c r="D81" s="33" t="n">
        <f aca="false">+AVERAGE(C104:D104)/AVERAGE(C123:D123)</f>
        <v>3.31274812527569</v>
      </c>
      <c r="E81" s="33" t="n">
        <f aca="false">+AVERAGE(D104:E104)/AVERAGE(D123:E123)</f>
        <v>3.29477772982305</v>
      </c>
      <c r="F81" s="33" t="n">
        <f aca="false">+AVERAGE(E104:F104)/AVERAGE(E123:F123)</f>
        <v>3.19734345351044</v>
      </c>
      <c r="G81" s="33" t="n">
        <f aca="false">+AVERAGE(F104:G104)/AVERAGE(F123:G123)</f>
        <v>3.37602365787079</v>
      </c>
      <c r="H81" s="33" t="n">
        <f aca="false">+AVERAGE(G104:H104)/AVERAGE(G123:H123)</f>
        <v>3.55449558788457</v>
      </c>
      <c r="I81" s="33" t="n">
        <f aca="false">+AVERAGE(H104:I104)/AVERAGE(H123:I123)</f>
        <v>3.41870441870442</v>
      </c>
      <c r="J81" s="33" t="n">
        <f aca="false">+AVERAGE(I104:J104)/AVERAGE(I123:J123)</f>
        <v>2.98713991769547</v>
      </c>
      <c r="K81" s="33" t="n">
        <f aca="false">+AVERAGE(J104:K104)/AVERAGE(J123:K123)</f>
        <v>2.53977272727273</v>
      </c>
      <c r="L81" s="33" t="n">
        <f aca="false">+AVERAGE(K104:L104)/AVERAGE(K123:L123)</f>
        <v>2.32782276203329</v>
      </c>
      <c r="M81" s="33" t="n">
        <f aca="false">+AVERAGE(L104:M104)/AVERAGE(L123:M123)</f>
        <v>2.2207127387281</v>
      </c>
      <c r="N81" s="33" t="n">
        <f aca="false">+AVERAGE(M104:N104)/AVERAGE(M123:N123)</f>
        <v>2.09751953788651</v>
      </c>
      <c r="O81" s="33" t="n">
        <f aca="false">+AVERAGE(N104:O104)/AVERAGE(N123:O123)</f>
        <v>2.03138107814199</v>
      </c>
      <c r="P81" s="33" t="n">
        <f aca="false">+AVERAGE(O104:P104)/AVERAGE(O123:P123)</f>
        <v>1.95432458697765</v>
      </c>
      <c r="Q81" s="33" t="n">
        <f aca="false">+AVERAGE(P104:Q104)/AVERAGE(P123:Q123)</f>
        <v>1.84405264464862</v>
      </c>
      <c r="R81" s="33" t="n">
        <f aca="false">+AVERAGE(Q104:R104)/AVERAGE(Q123:R123)</f>
        <v>1.72244323398005</v>
      </c>
      <c r="S81" s="33" t="n">
        <f aca="false">+AVERAGE(R104:S104)/AVERAGE(R123:S123)</f>
        <v>1.6392802683745</v>
      </c>
      <c r="T81" s="33" t="n">
        <f aca="false">+AVERAGE(S104:T104)/AVERAGE(S123:T123)</f>
        <v>1.63844447039589</v>
      </c>
      <c r="U81" s="33"/>
      <c r="V81" s="33"/>
      <c r="W81" s="33"/>
      <c r="X81" s="33"/>
      <c r="Y81" s="33"/>
      <c r="Z81" s="33"/>
      <c r="AA81" s="33"/>
      <c r="AB81" s="33" t="n">
        <f aca="false">+AVERAGE(AA104:AB104)/AVERAGE(AA123:AB123)</f>
        <v>2.25525846702317</v>
      </c>
      <c r="AC81" s="33" t="n">
        <f aca="false">+AVERAGE(AB104:AC104)/AVERAGE(AB123:AC123)</f>
        <v>2.7408610885459</v>
      </c>
      <c r="AD81" s="33" t="n">
        <f aca="false">+AVERAGE(AC104:AD104)/AVERAGE(AC123:AD123)</f>
        <v>3.29122399785733</v>
      </c>
      <c r="AE81" s="33" t="n">
        <f aca="false">+AVERAGE(AD104:AE104)/AVERAGE(AD123:AE123)</f>
        <v>3.33373759647189</v>
      </c>
      <c r="AF81" s="33" t="n">
        <f aca="false">+AVERAGE(AE104:AF104)/AVERAGE(AE123:AF123)</f>
        <v>2.70900537634409</v>
      </c>
      <c r="AG81" s="33" t="n">
        <f aca="false">+AVERAGE(AF104:AG104)/AVERAGE(AF123:AG123)</f>
        <v>2.0903271388199</v>
      </c>
      <c r="AH81" s="33"/>
      <c r="AI81" s="33"/>
      <c r="AJ81" s="33"/>
      <c r="AK81" s="33"/>
      <c r="AL81" s="33"/>
      <c r="AM81" s="79"/>
      <c r="AN81" s="79"/>
      <c r="AO81" s="79"/>
      <c r="AP81" s="79"/>
      <c r="AQ81" s="79"/>
      <c r="AR81" s="79"/>
      <c r="AS81" s="79" t="s">
        <v>8</v>
      </c>
      <c r="AT81" s="4" t="n">
        <f aca="false">+AQ84</f>
        <v>71958.7513952422</v>
      </c>
      <c r="AU81" s="79"/>
      <c r="AV81" s="79"/>
      <c r="AW81" s="79"/>
      <c r="AX81" s="79"/>
      <c r="AY81" s="79"/>
      <c r="AZ81" s="79"/>
      <c r="BA81" s="79"/>
      <c r="BB81" s="79"/>
      <c r="BC81" s="79"/>
      <c r="BD81" s="79"/>
      <c r="BE81" s="79"/>
      <c r="BF81" s="79"/>
      <c r="BG81" s="79"/>
      <c r="BH81" s="79"/>
      <c r="BI81" s="79"/>
      <c r="BJ81" s="79"/>
      <c r="BK81" s="79"/>
      <c r="BL81" s="79"/>
      <c r="BM81" s="79"/>
      <c r="BN81" s="79"/>
      <c r="BO81" s="79"/>
      <c r="BP81" s="79"/>
      <c r="BQ81" s="79"/>
      <c r="BR81" s="79"/>
      <c r="BS81" s="79"/>
      <c r="BT81" s="79"/>
      <c r="BU81" s="79"/>
      <c r="BV81" s="79"/>
      <c r="BW81" s="79"/>
      <c r="BX81" s="79"/>
      <c r="BY81" s="79"/>
      <c r="BZ81" s="79"/>
      <c r="CA81" s="79"/>
      <c r="CB81" s="79"/>
      <c r="CC81" s="79"/>
      <c r="CD81" s="79"/>
      <c r="CE81" s="79"/>
      <c r="CF81" s="79"/>
      <c r="CG81" s="79"/>
      <c r="CH81" s="79"/>
      <c r="CI81" s="79"/>
      <c r="CJ81" s="79"/>
      <c r="CK81" s="79"/>
      <c r="CL81" s="79"/>
      <c r="CM81" s="79"/>
      <c r="CN81" s="79"/>
      <c r="CO81" s="79"/>
      <c r="CP81" s="79"/>
      <c r="CQ81" s="79"/>
      <c r="CR81" s="79"/>
      <c r="CS81" s="79"/>
      <c r="CT81" s="79"/>
      <c r="CU81" s="79"/>
      <c r="CV81" s="79"/>
      <c r="CW81" s="79"/>
      <c r="CX81" s="79"/>
      <c r="CY81" s="79"/>
      <c r="CZ81" s="79"/>
      <c r="DA81" s="79"/>
      <c r="DB81" s="79"/>
    </row>
    <row r="82" customFormat="false" ht="12.8" hidden="false" customHeight="true" outlineLevel="0" collapsed="false">
      <c r="A82" s="58" t="s">
        <v>138</v>
      </c>
      <c r="B82" s="13"/>
      <c r="C82" s="13" t="n">
        <f aca="false">+C79-C78</f>
        <v>-0.155505664090063</v>
      </c>
      <c r="D82" s="13" t="n">
        <f aca="false">+D79-D78</f>
        <v>-0.204482657148211</v>
      </c>
      <c r="E82" s="13" t="n">
        <f aca="false">+E79-E78</f>
        <v>-0.324647622243764</v>
      </c>
      <c r="F82" s="13" t="n">
        <f aca="false">+F79-F78</f>
        <v>-0.26081227934842</v>
      </c>
      <c r="G82" s="13" t="n">
        <f aca="false">+G79-G78</f>
        <v>-0.386798272179492</v>
      </c>
      <c r="H82" s="13" t="n">
        <f aca="false">+H79-H78</f>
        <v>0.0891262550791718</v>
      </c>
      <c r="I82" s="13" t="n">
        <f aca="false">+I79-I78</f>
        <v>-0.0849839675288289</v>
      </c>
      <c r="J82" s="13" t="n">
        <f aca="false">+J79-J78</f>
        <v>0.17976766605178</v>
      </c>
      <c r="K82" s="13" t="n">
        <f aca="false">+K79-K78</f>
        <v>0.175598658664056</v>
      </c>
      <c r="L82" s="13" t="n">
        <f aca="false">+L79-L78</f>
        <v>0.153957902743122</v>
      </c>
      <c r="M82" s="13" t="n">
        <f aca="false">+M79-M78</f>
        <v>0.158879891874532</v>
      </c>
      <c r="N82" s="13" t="n">
        <f aca="false">+N79-N78</f>
        <v>0.0800070941274793</v>
      </c>
      <c r="O82" s="13" t="n">
        <f aca="false">+O79-O78</f>
        <v>-0.0271333045947419</v>
      </c>
      <c r="P82" s="13" t="n">
        <f aca="false">+P79-P78</f>
        <v>0.243784273266436</v>
      </c>
      <c r="Q82" s="13" t="n">
        <f aca="false">+Q79-Q78</f>
        <v>0.266877943662128</v>
      </c>
      <c r="R82" s="13" t="n">
        <f aca="false">+R79-R78</f>
        <v>0.148067106335391</v>
      </c>
      <c r="S82" s="13" t="n">
        <f aca="false">+S79-S78</f>
        <v>0.103708214396221</v>
      </c>
      <c r="T82" s="13" t="n">
        <f aca="false">+T79-T78</f>
        <v>0.0944278939151177</v>
      </c>
      <c r="U82" s="13"/>
      <c r="V82" s="13"/>
      <c r="W82" s="13"/>
      <c r="X82" s="13"/>
      <c r="Y82" s="13"/>
      <c r="Z82" s="13"/>
      <c r="AA82" s="13"/>
      <c r="AB82" s="13" t="n">
        <f aca="false">+AB79-AB78</f>
        <v>-0.230573875858509</v>
      </c>
      <c r="AC82" s="13" t="n">
        <f aca="false">+AC79-AC78</f>
        <v>-0.00876887240246633</v>
      </c>
      <c r="AD82" s="13" t="n">
        <f aca="false">+AD79-AD78</f>
        <v>-0.0534504987971601</v>
      </c>
      <c r="AE82" s="13" t="n">
        <f aca="false">+AE79-AE78</f>
        <v>-0.0410605682218158</v>
      </c>
      <c r="AF82" s="13" t="n">
        <f aca="false">+AF79-AF78</f>
        <v>0.0536121987857509</v>
      </c>
      <c r="AG82" s="13" t="n">
        <f aca="false">+AG79-AG78</f>
        <v>0.0494044887810647</v>
      </c>
      <c r="AH82" s="13"/>
      <c r="AI82" s="13"/>
      <c r="AJ82" s="13"/>
      <c r="AK82" s="13"/>
      <c r="AL82" s="13"/>
      <c r="AM82" s="13"/>
      <c r="AN82" s="13"/>
      <c r="AO82" s="13"/>
      <c r="AP82" s="80" t="s">
        <v>112</v>
      </c>
      <c r="AQ82" s="81" t="n">
        <v>0.02</v>
      </c>
      <c r="AR82" s="13"/>
      <c r="AS82" s="13" t="s">
        <v>139</v>
      </c>
      <c r="AT82" s="4" t="n">
        <f aca="false">+Main!F5</f>
        <v>391</v>
      </c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</row>
    <row r="83" customFormat="false" ht="12.8" hidden="false" customHeight="true" outlineLevel="0" collapsed="false">
      <c r="AM83" s="4"/>
      <c r="AN83" s="4"/>
      <c r="AO83" s="4"/>
      <c r="AP83" s="82" t="s">
        <v>116</v>
      </c>
      <c r="AQ83" s="65" t="n">
        <f aca="false">+Main!E9</f>
        <v>0.100779617162002</v>
      </c>
      <c r="AR83" s="4"/>
      <c r="AS83" s="83" t="s">
        <v>140</v>
      </c>
      <c r="AT83" s="83" t="n">
        <f aca="false">+Main!F4</f>
        <v>11128</v>
      </c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25"/>
      <c r="DD83" s="25"/>
      <c r="DE83" s="25"/>
      <c r="DF83" s="25"/>
      <c r="DG83" s="25"/>
    </row>
    <row r="84" s="4" customFormat="true" ht="12.8" hidden="false" customHeight="true" outlineLevel="0" collapsed="false">
      <c r="A84" s="40" t="s">
        <v>141</v>
      </c>
      <c r="B84" s="4" t="n">
        <f aca="false">+B95+B93+B96-(B106+B108+B110)</f>
        <v>-2245</v>
      </c>
      <c r="C84" s="4" t="n">
        <f aca="false">+C95+C93+C96-(C106+C108+C110)</f>
        <v>-2340</v>
      </c>
      <c r="D84" s="4" t="n">
        <f aca="false">+D95+D93+D96-(D106+D108+D110)</f>
        <v>-2527</v>
      </c>
      <c r="E84" s="4" t="n">
        <f aca="false">+E95+E93+E96-(E106+E108+E110)</f>
        <v>-2484</v>
      </c>
      <c r="F84" s="4" t="n">
        <f aca="false">+F95+F93+F96-(F106+F108+F110)</f>
        <v>-2561</v>
      </c>
      <c r="G84" s="4" t="n">
        <f aca="false">+G95+G93+G96-(G106+G108+G110)</f>
        <v>-2583</v>
      </c>
      <c r="H84" s="4" t="n">
        <f aca="false">+H95+H93+H96-(H106+H108+H110)</f>
        <v>-2686</v>
      </c>
      <c r="I84" s="4" t="n">
        <f aca="false">+I95+I93+I96-(I106+I108+I110)</f>
        <v>-3020</v>
      </c>
      <c r="J84" s="4" t="n">
        <f aca="false">+J95+J93+J96-(J106+J108+J110)</f>
        <v>-2954</v>
      </c>
      <c r="K84" s="4" t="n">
        <f aca="false">+K95+K93+K96-(K106+K108+K110)</f>
        <v>-3036</v>
      </c>
      <c r="L84" s="4" t="n">
        <f aca="false">+L95+L93+L96-(L106+L108+L110)</f>
        <v>-3121</v>
      </c>
      <c r="M84" s="4" t="n">
        <f aca="false">+M95+M93+M96-(M106+M108+M110)</f>
        <v>-3446</v>
      </c>
      <c r="N84" s="4" t="n">
        <f aca="false">+N95+N93+N96-(N106+N108+N110)</f>
        <v>-3273</v>
      </c>
      <c r="O84" s="4" t="n">
        <f aca="false">+O95+O93+O96-(O106+O108+O110)</f>
        <v>-3327</v>
      </c>
      <c r="P84" s="4" t="n">
        <f aca="false">+P95+P93+P96-(P106+P108+P110)</f>
        <v>-3410</v>
      </c>
      <c r="Q84" s="4" t="n">
        <f aca="false">+Q95+Q93+Q96-(Q106+Q108+Q110)</f>
        <v>-3467</v>
      </c>
      <c r="R84" s="4" t="n">
        <f aca="false">+R95+R93+R96-(R106+R108+R110)</f>
        <v>-3560</v>
      </c>
      <c r="S84" s="4" t="n">
        <f aca="false">+S95+S93+S96-(S106+S108+S110)</f>
        <v>-3688</v>
      </c>
      <c r="T84" s="4" t="n">
        <f aca="false">+T95+T93+T96-(T106+T108+T110)</f>
        <v>-3848</v>
      </c>
      <c r="AB84" s="4" t="n">
        <f aca="false">+AB95+AB93+AB96-(AB106+AB108+AB110)</f>
        <v>-2189</v>
      </c>
      <c r="AC84" s="4" t="n">
        <f aca="false">+AC95+AC93+AC96-(AC106+AC108+AC110)</f>
        <v>-2257</v>
      </c>
      <c r="AD84" s="4" t="n">
        <f aca="false">+AD95+AD93+AD96-(AD106+AD108+AD110)</f>
        <v>-9596</v>
      </c>
      <c r="AE84" s="4" t="n">
        <f aca="false">+AE95+AE93+AE96-(AE106+AE108+AE110)</f>
        <v>-10850</v>
      </c>
      <c r="AF84" s="4" t="n">
        <f aca="false">+AF95+AF93+AF96-(AF106+AF108+AF110)</f>
        <v>-12557</v>
      </c>
      <c r="AG84" s="4" t="n">
        <f aca="false">+AG95+AG93+AG96-(AG106+AG108+AG110)</f>
        <v>-13477</v>
      </c>
      <c r="AH84" s="4" t="n">
        <f aca="false">+AH95+AH93+AH96-(AH106+AH108+AH110)</f>
        <v>-13578.0238721164</v>
      </c>
      <c r="AI84" s="4" t="n">
        <f aca="false">+AI95+AI93+AI96-(AI106+AI108+AI110)</f>
        <v>-15715.7838764921</v>
      </c>
      <c r="AJ84" s="4" t="n">
        <f aca="false">+AJ95+AJ93+AJ96-(AJ106+AJ108+AJ110)</f>
        <v>-18187.9341391537</v>
      </c>
      <c r="AK84" s="4" t="n">
        <f aca="false">+AK95+AK93+AK96-(AK106+AK108+AK110)</f>
        <v>-21046.477306603</v>
      </c>
      <c r="AL84" s="4" t="n">
        <f aca="false">+AL95+AL93+AL96-(AL106+AL108+AL110)</f>
        <v>-24351.460813848</v>
      </c>
      <c r="AP84" s="84" t="s">
        <v>8</v>
      </c>
      <c r="AQ84" s="85" t="n">
        <f aca="false">+NPV(AQ83,AH86:AL86,AL86+AQ85)</f>
        <v>71958.7513952422</v>
      </c>
      <c r="AS84" s="4" t="s">
        <v>114</v>
      </c>
      <c r="AT84" s="4" t="n">
        <f aca="false">+AT81-AT82+AT83</f>
        <v>82695.7513952422</v>
      </c>
      <c r="DC84" s="25"/>
      <c r="DD84" s="25"/>
      <c r="DE84" s="25"/>
      <c r="DF84" s="25"/>
      <c r="DG84" s="25"/>
    </row>
    <row r="85" s="4" customFormat="true" ht="12.8" hidden="false" customHeight="true" outlineLevel="0" collapsed="false">
      <c r="A85" s="40" t="s">
        <v>142</v>
      </c>
      <c r="B85" s="4" t="n">
        <f aca="false">+B46*(1-B69)</f>
        <v>-5.07096774193548</v>
      </c>
      <c r="C85" s="4" t="n">
        <f aca="false">+C46*(1-C69)</f>
        <v>-269.444444444444</v>
      </c>
      <c r="D85" s="4" t="n">
        <f aca="false">+D46*(1-D69)</f>
        <v>-262.833333333333</v>
      </c>
      <c r="E85" s="4" t="n">
        <f aca="false">+E46*(1-E69)</f>
        <v>-214.329896907217</v>
      </c>
      <c r="F85" s="4" t="n">
        <f aca="false">+F46*(1-F69)</f>
        <v>-170.388349514563</v>
      </c>
      <c r="G85" s="4" t="n">
        <f aca="false">+G46*(1-G69)</f>
        <v>-309.51867219917</v>
      </c>
      <c r="H85" s="4" t="n">
        <f aca="false">+H46*(1-H69)</f>
        <v>28.4931506849315</v>
      </c>
      <c r="I85" s="4" t="n">
        <f aca="false">+I46*(1-I69)</f>
        <v>-40.0763358778626</v>
      </c>
      <c r="J85" s="4" t="n">
        <f aca="false">+J46*(1-J69)</f>
        <v>190.206896551724</v>
      </c>
      <c r="K85" s="4" t="n">
        <f aca="false">+K46*(1-K69)</f>
        <v>269.940740740741</v>
      </c>
      <c r="L85" s="4" t="n">
        <f aca="false">+L46*(1-L69)</f>
        <v>342.211055276382</v>
      </c>
      <c r="M85" s="4" t="n">
        <f aca="false">+M46*(1-M69)</f>
        <v>350.819639278557</v>
      </c>
      <c r="N85" s="4" t="n">
        <f aca="false">+N46*(1-N69)</f>
        <v>349.161585365854</v>
      </c>
      <c r="O85" s="4" t="n">
        <f aca="false">+O46*(1-O69)</f>
        <v>-727.416666666667</v>
      </c>
      <c r="P85" s="4" t="n">
        <f aca="false">+P46*(1-P69)</f>
        <v>632.669891172914</v>
      </c>
      <c r="Q85" s="4" t="n">
        <f aca="false">+Q46*(1-Q69)</f>
        <v>806.047012732615</v>
      </c>
      <c r="R85" s="4" t="n">
        <f aca="false">+R46*(1-R69)</f>
        <v>550.176093916756</v>
      </c>
      <c r="S85" s="4" t="n">
        <f aca="false">+S46*(1-S69)</f>
        <v>495.798611111111</v>
      </c>
      <c r="T85" s="4" t="n">
        <f aca="false">+T46*(1-T69)</f>
        <v>494.513641696303</v>
      </c>
      <c r="AB85" s="4" t="n">
        <f aca="false">+AB46*(1-AB69)</f>
        <v>-240.102961918195</v>
      </c>
      <c r="AC85" s="4" t="n">
        <f aca="false">+AC46*(1-AC69)</f>
        <v>-12.8311698885033</v>
      </c>
      <c r="AD85" s="4" t="n">
        <f aca="false">+AD46*(1-AD69)</f>
        <v>-765.864864864865</v>
      </c>
      <c r="AE85" s="4" t="n">
        <f aca="false">+AE46*(1-AE69)</f>
        <v>-469.845544554455</v>
      </c>
      <c r="AF85" s="4" t="n">
        <f aca="false">+AF46*(1-AF69)</f>
        <v>1158.38030948209</v>
      </c>
      <c r="AG85" s="4" t="n">
        <f aca="false">+AG46*(1-AG69)</f>
        <v>2186.14028776978</v>
      </c>
      <c r="AH85" s="4" t="n">
        <f aca="false">+AH46*(1-AH69)</f>
        <v>2231.835</v>
      </c>
      <c r="AI85" s="4" t="n">
        <f aca="false">+AI46*(1-AI69)</f>
        <v>2476.7355</v>
      </c>
      <c r="AJ85" s="4" t="n">
        <f aca="false">+AJ46*(1-AJ69)</f>
        <v>2758.371075</v>
      </c>
      <c r="AK85" s="4" t="n">
        <f aca="false">+AK46*(1-AK69)</f>
        <v>3082.25198625</v>
      </c>
      <c r="AL85" s="4" t="n">
        <f aca="false">+AL46*(1-AL69)</f>
        <v>3454.7150341875</v>
      </c>
      <c r="AP85" s="82" t="s">
        <v>143</v>
      </c>
      <c r="AQ85" s="86" t="n">
        <f aca="false">+AL86*(1+AQ82)/(AQ83-AQ82)</f>
        <v>87969.7969851471</v>
      </c>
      <c r="AR85" s="4" t="n">
        <f aca="false">+AL71*22</f>
        <v>85327.2735396538</v>
      </c>
      <c r="AS85" s="83" t="s">
        <v>110</v>
      </c>
      <c r="AT85" s="83" t="n">
        <f aca="false">+Main!F2</f>
        <v>208.578748</v>
      </c>
      <c r="DC85" s="25"/>
      <c r="DD85" s="25"/>
      <c r="DE85" s="25"/>
      <c r="DF85" s="25"/>
      <c r="DG85" s="25"/>
    </row>
    <row r="86" s="4" customFormat="true" ht="12.8" hidden="false" customHeight="true" outlineLevel="0" collapsed="false">
      <c r="A86" s="40" t="s">
        <v>144</v>
      </c>
      <c r="AC86" s="4" t="n">
        <f aca="false">+AC85+AC129-AC143-(AC84-AB84)</f>
        <v>97.1688301114967</v>
      </c>
      <c r="AD86" s="4" t="n">
        <f aca="false">+AD85+AD129-AD143-(AD84-AC84)</f>
        <v>6719.13513513514</v>
      </c>
      <c r="AE86" s="4" t="n">
        <f aca="false">+AE85+AE129-AE143-(AE84-AD84)</f>
        <v>936.154455445545</v>
      </c>
      <c r="AF86" s="4" t="n">
        <f aca="false">+AF85+AF129-AF143-(AF84-AE84)</f>
        <v>2969.38030948209</v>
      </c>
      <c r="AG86" s="4" t="n">
        <f aca="false">+AG85+AG129-AG143-(AG84-AF84)</f>
        <v>3149.14028776978</v>
      </c>
      <c r="AH86" s="4" t="n">
        <f aca="false">+AH85+AH129-AH143-(AH84-AG84)</f>
        <v>2418.1061721164</v>
      </c>
      <c r="AI86" s="4" t="n">
        <f aca="false">+AI85+AI129-AI143-(AI84-AH84)</f>
        <v>4725.8048993757</v>
      </c>
      <c r="AJ86" s="4" t="n">
        <f aca="false">+AJ85+AJ129-AJ143-(AJ84-AI84)</f>
        <v>5370.4746419116</v>
      </c>
      <c r="AK86" s="4" t="n">
        <f aca="false">+AK85+AK129-AK143-(AK84-AJ84)</f>
        <v>6112.4942035868</v>
      </c>
      <c r="AL86" s="4" t="n">
        <f aca="false">+AL85+AL129-AL143-(AL84-AK84)</f>
        <v>6966.82992380313</v>
      </c>
      <c r="AM86" s="1"/>
      <c r="AN86" s="1"/>
      <c r="AO86" s="1"/>
      <c r="AP86" s="71" t="s">
        <v>127</v>
      </c>
      <c r="AQ86" s="72" t="n">
        <f aca="false">+AQ84/Main!F6-1</f>
        <v>-0.24759373997073</v>
      </c>
      <c r="AR86" s="1"/>
      <c r="AS86" s="1" t="s">
        <v>1</v>
      </c>
      <c r="AT86" s="4" t="n">
        <f aca="false">+AT84/AT85</f>
        <v>396.472565820763</v>
      </c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25"/>
      <c r="DD86" s="25"/>
      <c r="DE86" s="25"/>
      <c r="DF86" s="25"/>
      <c r="DG86" s="25"/>
    </row>
    <row r="87" s="3" customFormat="true" ht="12.8" hidden="false" customHeight="true" outlineLevel="0" collapsed="false">
      <c r="A87" s="23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78"/>
      <c r="AQ87" s="78"/>
      <c r="AR87" s="1"/>
      <c r="AS87" s="1"/>
      <c r="AT87" s="13" t="n">
        <f aca="false">+AT86/Main!F1-1</f>
        <v>-0.222602812116152</v>
      </c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25"/>
      <c r="DD87" s="25"/>
      <c r="DE87" s="25"/>
      <c r="DF87" s="25"/>
      <c r="DG87" s="25"/>
    </row>
    <row r="88" s="4" customFormat="true" ht="12.8" hidden="false" customHeight="true" outlineLevel="0" collapsed="false">
      <c r="A88" s="87" t="s">
        <v>145</v>
      </c>
      <c r="B88" s="78" t="n">
        <f aca="false">B104/B117</f>
        <v>1.43887980376124</v>
      </c>
      <c r="C88" s="78" t="n">
        <f aca="false">C104/C117</f>
        <v>1.45232946726951</v>
      </c>
      <c r="D88" s="78" t="n">
        <f aca="false">D104/D117</f>
        <v>1.41359511020559</v>
      </c>
      <c r="E88" s="78" t="n">
        <f aca="false">E104/E117</f>
        <v>1.45864374403056</v>
      </c>
      <c r="F88" s="78" t="n">
        <f aca="false">F104/F117</f>
        <v>1.45151339888182</v>
      </c>
      <c r="G88" s="78" t="n">
        <f aca="false">G104/G117</f>
        <v>1.39064282997337</v>
      </c>
      <c r="H88" s="78" t="n">
        <f aca="false">H104/H117</f>
        <v>1.39226114065652</v>
      </c>
      <c r="I88" s="78" t="n">
        <f aca="false">I104/I117</f>
        <v>1.4332818134982</v>
      </c>
      <c r="J88" s="78" t="n">
        <f aca="false">J104/J117</f>
        <v>1.5738813735692</v>
      </c>
      <c r="K88" s="78" t="n">
        <f aca="false">K104/K117</f>
        <v>1.72345846781043</v>
      </c>
      <c r="L88" s="78" t="n">
        <f aca="false">L104/L117</f>
        <v>1.78260135135135</v>
      </c>
      <c r="M88" s="78" t="n">
        <f aca="false">M104/M117</f>
        <v>1.85262345679012</v>
      </c>
      <c r="N88" s="78" t="n">
        <f aca="false">N104/N117</f>
        <v>1.97003105590062</v>
      </c>
      <c r="O88" s="78" t="n">
        <f aca="false">O104/O117</f>
        <v>1.97000731528895</v>
      </c>
      <c r="P88" s="78" t="n">
        <f aca="false">P104/P117</f>
        <v>2.12575976845152</v>
      </c>
      <c r="Q88" s="78" t="n">
        <f aca="false">Q104/Q117</f>
        <v>2.24573736165121</v>
      </c>
      <c r="R88" s="78" t="n">
        <f aca="false">R104/R117</f>
        <v>2.56506447831184</v>
      </c>
      <c r="S88" s="78" t="n">
        <f aca="false">S104/S117</f>
        <v>2.56349058362857</v>
      </c>
      <c r="T88" s="78" t="n">
        <f aca="false">T104/T117</f>
        <v>2.56901812959971</v>
      </c>
      <c r="U88" s="78"/>
      <c r="V88" s="78"/>
      <c r="W88" s="78"/>
      <c r="X88" s="78"/>
      <c r="Y88" s="78"/>
      <c r="Z88" s="78"/>
      <c r="AA88" s="78" t="e">
        <f aca="false">AA104/AA117</f>
        <v>#DIV/0!</v>
      </c>
      <c r="AB88" s="78" t="n">
        <f aca="false">AB104/AB117</f>
        <v>1.79664867935246</v>
      </c>
      <c r="AC88" s="78" t="n">
        <f aca="false">AC104/AC117</f>
        <v>1.41952088695308</v>
      </c>
      <c r="AD88" s="78" t="n">
        <f aca="false">AD104/AD117</f>
        <v>1.44059574055208</v>
      </c>
      <c r="AE88" s="78" t="n">
        <f aca="false">AE104/AE117</f>
        <v>1.41701579116984</v>
      </c>
      <c r="AF88" s="78" t="n">
        <f aca="false">AF104/AF117</f>
        <v>1.73695588907829</v>
      </c>
      <c r="AG88" s="78" t="n">
        <f aca="false">AG104/AG117</f>
        <v>2.07867217446318</v>
      </c>
      <c r="AH88" s="78"/>
      <c r="AI88" s="78"/>
      <c r="AJ88" s="78"/>
      <c r="AK88" s="78"/>
      <c r="AL88" s="78"/>
      <c r="AM88" s="78"/>
      <c r="AN88" s="78"/>
      <c r="AO88" s="78"/>
      <c r="AP88" s="1"/>
      <c r="AQ88" s="1"/>
      <c r="AR88" s="78"/>
      <c r="AS88" s="78"/>
      <c r="AT88" s="3"/>
      <c r="AU88" s="3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25"/>
      <c r="DD88" s="25"/>
      <c r="DE88" s="25"/>
      <c r="DF88" s="25"/>
      <c r="DG88" s="25"/>
    </row>
    <row r="89" s="4" customFormat="true" ht="12.8" hidden="false" customHeight="true" outlineLevel="0" collapsed="false">
      <c r="A89" s="23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3"/>
      <c r="AU89" s="3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25"/>
      <c r="DD89" s="25"/>
      <c r="DE89" s="25"/>
      <c r="DF89" s="25"/>
      <c r="DG89" s="25"/>
    </row>
    <row r="90" s="4" customFormat="true" ht="12.8" hidden="false" customHeight="true" outlineLevel="0" collapsed="false">
      <c r="A90" s="23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R90" s="1"/>
      <c r="AS90" s="1"/>
      <c r="AT90" s="3"/>
      <c r="AU90" s="3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25"/>
      <c r="DD90" s="25"/>
      <c r="DE90" s="25"/>
      <c r="DF90" s="25"/>
      <c r="DG90" s="25"/>
    </row>
    <row r="91" s="4" customFormat="true" ht="12.8" hidden="false" customHeight="true" outlineLevel="0" collapsed="false">
      <c r="A91" s="40" t="s">
        <v>6</v>
      </c>
      <c r="B91" s="4" t="n">
        <f aca="false">+2721+82</f>
        <v>2803</v>
      </c>
      <c r="C91" s="4" t="n">
        <f aca="false">+2786+84</f>
        <v>2870</v>
      </c>
      <c r="D91" s="4" t="n">
        <f aca="false">+2851+86</f>
        <v>2937</v>
      </c>
      <c r="E91" s="4" t="n">
        <f aca="false">+78+2483</f>
        <v>2561</v>
      </c>
      <c r="F91" s="4" t="n">
        <f aca="false">+2443+77</f>
        <v>2520</v>
      </c>
      <c r="G91" s="4" t="n">
        <f aca="false">+2550+76</f>
        <v>2626</v>
      </c>
      <c r="H91" s="4" t="n">
        <f aca="false">+2618+75</f>
        <v>2693</v>
      </c>
      <c r="I91" s="4" t="n">
        <f aca="false">+3114+75</f>
        <v>3189</v>
      </c>
      <c r="J91" s="4" t="n">
        <f aca="false">+3451+72</f>
        <v>3523</v>
      </c>
      <c r="K91" s="4" t="n">
        <f aca="false">+70+4054</f>
        <v>4124</v>
      </c>
      <c r="L91" s="4" t="n">
        <f aca="false">+72+4688</f>
        <v>4760</v>
      </c>
      <c r="M91" s="4" t="n">
        <f aca="false">+4781+68</f>
        <v>4849</v>
      </c>
      <c r="N91" s="4" t="n">
        <f aca="false">+65+5019</f>
        <v>5084</v>
      </c>
      <c r="O91" s="4" t="n">
        <f aca="false">+59+5161</f>
        <v>5220</v>
      </c>
      <c r="P91" s="4" t="n">
        <f aca="false">+5456+61</f>
        <v>5517</v>
      </c>
      <c r="Q91" s="4" t="n">
        <f aca="false">+5258+61</f>
        <v>5319</v>
      </c>
      <c r="R91" s="4" t="n">
        <f aca="false">+59+5255</f>
        <v>5314</v>
      </c>
      <c r="S91" s="4" t="n">
        <f aca="false">+5938+56</f>
        <v>5994</v>
      </c>
      <c r="T91" s="4" t="n">
        <f aca="false">+6032+174</f>
        <v>6206</v>
      </c>
      <c r="AB91" s="4" t="n">
        <f aca="false">+1151+78</f>
        <v>1229</v>
      </c>
      <c r="AC91" s="4" t="n">
        <f aca="false">+2744+77</f>
        <v>2821</v>
      </c>
      <c r="AD91" s="4" t="n">
        <f aca="false">SUM(B91:E91)</f>
        <v>11171</v>
      </c>
      <c r="AE91" s="4" t="n">
        <f aca="false">SUM(F91:I91)</f>
        <v>11028</v>
      </c>
      <c r="AF91" s="4" t="n">
        <f aca="false">SUM(J91:M91)</f>
        <v>17256</v>
      </c>
      <c r="AG91" s="4" t="n">
        <f aca="false">SUM(N91:Q91)</f>
        <v>21140</v>
      </c>
      <c r="DC91" s="25"/>
      <c r="DD91" s="25"/>
      <c r="DE91" s="25"/>
      <c r="DF91" s="25"/>
      <c r="DG91" s="25"/>
    </row>
    <row r="92" s="4" customFormat="true" ht="12.8" hidden="false" customHeight="true" outlineLevel="0" collapsed="false">
      <c r="A92" s="40" t="s">
        <v>146</v>
      </c>
      <c r="B92" s="4" t="n">
        <f aca="false">+816+682</f>
        <v>1498</v>
      </c>
      <c r="C92" s="4" t="n">
        <f aca="false">+782+720</f>
        <v>1502</v>
      </c>
      <c r="D92" s="4" t="n">
        <f aca="false">+630+815</f>
        <v>1445</v>
      </c>
      <c r="E92" s="4" t="n">
        <f aca="false">+867+1138</f>
        <v>2005</v>
      </c>
      <c r="F92" s="4" t="n">
        <f aca="false">+1134+995</f>
        <v>2129</v>
      </c>
      <c r="G92" s="4" t="n">
        <f aca="false">+1015+866</f>
        <v>1881</v>
      </c>
      <c r="H92" s="4" t="n">
        <f aca="false">+903+1097</f>
        <v>2000</v>
      </c>
      <c r="I92" s="4" t="n">
        <f aca="false">+1215+1100</f>
        <v>2315</v>
      </c>
      <c r="J92" s="4" t="n">
        <f aca="false">+1220+1534</f>
        <v>2754</v>
      </c>
      <c r="K92" s="4" t="n">
        <f aca="false">+1344+1931</f>
        <v>3275</v>
      </c>
      <c r="L92" s="4" t="n">
        <f aca="false">+1392+1604</f>
        <v>2996</v>
      </c>
      <c r="M92" s="4" t="n">
        <f aca="false">+1635+2667</f>
        <v>4302</v>
      </c>
      <c r="N92" s="4" t="n">
        <f aca="false">+1958+2894</f>
        <v>4852</v>
      </c>
      <c r="O92" s="4" t="n">
        <f aca="false">+2417+3183</f>
        <v>5600</v>
      </c>
      <c r="P92" s="4" t="n">
        <f aca="false">+3606+2888</f>
        <v>6494</v>
      </c>
      <c r="Q92" s="4" t="n">
        <f aca="false">+2181+4209</f>
        <v>6390</v>
      </c>
      <c r="R92" s="4" t="n">
        <f aca="false">+3491+1194</f>
        <v>4685</v>
      </c>
      <c r="S92" s="4" t="n">
        <f aca="false">+3450+1118</f>
        <v>4568</v>
      </c>
      <c r="T92" s="4" t="n">
        <f aca="false">+3856+1066</f>
        <v>4922</v>
      </c>
      <c r="AB92" s="4" t="n">
        <f aca="false">+596+2277</f>
        <v>2873</v>
      </c>
      <c r="AC92" s="4" t="n">
        <f aca="false">+756+916</f>
        <v>1672</v>
      </c>
      <c r="AD92" s="4" t="n">
        <f aca="false">SUM(B92:E92)</f>
        <v>6450</v>
      </c>
      <c r="AE92" s="4" t="n">
        <f aca="false">SUM(F92:I92)</f>
        <v>8325</v>
      </c>
      <c r="AF92" s="4" t="n">
        <f aca="false">SUM(J92:M92)</f>
        <v>13327</v>
      </c>
      <c r="AG92" s="4" t="n">
        <f aca="false">SUM(N92:Q92)</f>
        <v>23336</v>
      </c>
      <c r="DC92" s="25"/>
      <c r="DD92" s="25"/>
      <c r="DE92" s="25"/>
      <c r="DF92" s="25"/>
      <c r="DG92" s="25"/>
    </row>
    <row r="93" s="4" customFormat="true" ht="12.8" hidden="false" customHeight="true" outlineLevel="0" collapsed="false">
      <c r="A93" s="40" t="s">
        <v>147</v>
      </c>
      <c r="B93" s="4" t="n">
        <v>5</v>
      </c>
      <c r="C93" s="4" t="n">
        <v>4</v>
      </c>
      <c r="D93" s="4" t="n">
        <v>2</v>
      </c>
      <c r="E93" s="4" t="n">
        <v>5</v>
      </c>
      <c r="F93" s="4" t="n">
        <v>5</v>
      </c>
      <c r="G93" s="4" t="n">
        <v>8</v>
      </c>
      <c r="H93" s="4" t="n">
        <v>8</v>
      </c>
      <c r="I93" s="4" t="n">
        <v>20</v>
      </c>
      <c r="J93" s="4" t="n">
        <v>21</v>
      </c>
      <c r="K93" s="4" t="n">
        <v>35</v>
      </c>
      <c r="L93" s="4" t="n">
        <v>27</v>
      </c>
      <c r="M93" s="4" t="n">
        <v>28</v>
      </c>
      <c r="N93" s="4" t="n">
        <v>46</v>
      </c>
      <c r="O93" s="4" t="n">
        <v>83</v>
      </c>
      <c r="P93" s="4" t="n">
        <v>117</v>
      </c>
      <c r="Q93" s="4" t="n">
        <v>116</v>
      </c>
      <c r="R93" s="4" t="n">
        <v>94</v>
      </c>
      <c r="S93" s="4" t="n">
        <v>92</v>
      </c>
      <c r="T93" s="4" t="n">
        <v>48</v>
      </c>
      <c r="AB93" s="4" t="n">
        <v>4</v>
      </c>
      <c r="AC93" s="4" t="n">
        <v>5</v>
      </c>
      <c r="AD93" s="4" t="n">
        <f aca="false">SUM(B93:E93)</f>
        <v>16</v>
      </c>
      <c r="AE93" s="4" t="n">
        <f aca="false">SUM(F93:I93)</f>
        <v>41</v>
      </c>
      <c r="AF93" s="4" t="n">
        <f aca="false">SUM(J93:M93)</f>
        <v>111</v>
      </c>
      <c r="AG93" s="4" t="n">
        <f aca="false">SUM(N93:Q93)</f>
        <v>362</v>
      </c>
      <c r="AH93" s="88" t="n">
        <f aca="false">+AH28*0.02</f>
        <v>395.278</v>
      </c>
      <c r="AI93" s="88" t="n">
        <f aca="false">+AI28*0.02</f>
        <v>454.5697</v>
      </c>
      <c r="AJ93" s="88" t="n">
        <f aca="false">+AJ28*0.02</f>
        <v>522.755155</v>
      </c>
      <c r="AK93" s="88" t="n">
        <f aca="false">+AK28*0.02</f>
        <v>601.16842825</v>
      </c>
      <c r="AL93" s="88" t="n">
        <f aca="false">+AL28*0.02</f>
        <v>691.3436924875</v>
      </c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25"/>
      <c r="DD93" s="25"/>
      <c r="DE93" s="25"/>
      <c r="DF93" s="25"/>
      <c r="DG93" s="25"/>
    </row>
    <row r="94" s="32" customFormat="true" ht="12.8" hidden="false" customHeight="true" outlineLevel="0" collapsed="false">
      <c r="A94" s="30"/>
      <c r="B94" s="32" t="n">
        <f aca="false">+B93/B$28</f>
        <v>0.00187899285982713</v>
      </c>
      <c r="C94" s="32" t="n">
        <f aca="false">+C93/C$28</f>
        <v>0.00139664804469274</v>
      </c>
      <c r="D94" s="32" t="n">
        <f aca="false">+D93/D$28</f>
        <v>0.000658761528326746</v>
      </c>
      <c r="E94" s="32" t="n">
        <f aca="false">+E93/E$28</f>
        <v>0.00157927984838913</v>
      </c>
      <c r="F94" s="32" t="n">
        <f aca="false">+F93/F$28</f>
        <v>0.00164365548980934</v>
      </c>
      <c r="G94" s="32" t="n">
        <f aca="false">+G93/G$28</f>
        <v>0.00251809883537929</v>
      </c>
      <c r="H94" s="32" t="n">
        <f aca="false">+H93/H$28</f>
        <v>0.00238308013106941</v>
      </c>
      <c r="I94" s="32" t="n">
        <f aca="false">+I93/I$28</f>
        <v>0.00544810678289294</v>
      </c>
      <c r="J94" s="32" t="n">
        <f aca="false">+J93/J$28</f>
        <v>0.00577557755775578</v>
      </c>
      <c r="K94" s="32" t="n">
        <f aca="false">+K93/K$28</f>
        <v>0.00919359075387444</v>
      </c>
      <c r="L94" s="32" t="n">
        <f aca="false">+L93/L$28</f>
        <v>0.0067703109327984</v>
      </c>
      <c r="M94" s="32" t="n">
        <f aca="false">+M93/M$28</f>
        <v>0.0066006600660066</v>
      </c>
      <c r="N94" s="32" t="n">
        <f aca="false">+N93/N$28</f>
        <v>0.0109785202863962</v>
      </c>
      <c r="O94" s="32" t="n">
        <f aca="false">+O93/O$28</f>
        <v>0.0197948962556642</v>
      </c>
      <c r="P94" s="32" t="n">
        <f aca="false">+P93/P$28</f>
        <v>0.0273876404494382</v>
      </c>
      <c r="Q94" s="32" t="n">
        <f aca="false">+Q93/Q$28</f>
        <v>0.0256014124917237</v>
      </c>
      <c r="R94" s="32" t="n">
        <f aca="false">+R93/R$28</f>
        <v>0.0207368188837415</v>
      </c>
      <c r="S94" s="32" t="n">
        <f aca="false">+S93/S$28</f>
        <v>0.0192589491312539</v>
      </c>
      <c r="T94" s="32" t="n">
        <f aca="false">+T93/T$28</f>
        <v>0.00965989132622258</v>
      </c>
      <c r="AB94" s="32" t="n">
        <f aca="false">+AB93/AB$28</f>
        <v>0.00050761421319797</v>
      </c>
      <c r="AC94" s="32" t="n">
        <f aca="false">+AC93/AC$28</f>
        <v>0.000517170045510964</v>
      </c>
      <c r="AD94" s="32" t="n">
        <f aca="false">+AD93/AD$28</f>
        <v>0.00136437281487166</v>
      </c>
      <c r="AE94" s="32" t="n">
        <f aca="false">+AE93/AE$28</f>
        <v>0.0030950403865026</v>
      </c>
      <c r="AF94" s="32" t="n">
        <f aca="false">+AF93/AF$28</f>
        <v>0.00708224334843361</v>
      </c>
      <c r="AG94" s="32" t="n">
        <f aca="false">+AG93/AG$28</f>
        <v>0.0210636564645642</v>
      </c>
      <c r="AH94" s="32" t="n">
        <f aca="false">+AH93/AH$28</f>
        <v>0.02</v>
      </c>
      <c r="AI94" s="32" t="n">
        <f aca="false">+AI93/AI$28</f>
        <v>0.02</v>
      </c>
      <c r="AJ94" s="32" t="n">
        <f aca="false">+AJ93/AJ$28</f>
        <v>0.02</v>
      </c>
      <c r="AK94" s="32" t="n">
        <f aca="false">+AK93/AK$28</f>
        <v>0.02</v>
      </c>
      <c r="AL94" s="32" t="n">
        <f aca="false">+AL93/AL$28</f>
        <v>0.02</v>
      </c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25"/>
      <c r="DD94" s="25"/>
      <c r="DE94" s="25"/>
      <c r="DF94" s="25"/>
      <c r="DG94" s="25"/>
    </row>
    <row r="95" s="4" customFormat="true" ht="12.8" hidden="false" customHeight="true" outlineLevel="0" collapsed="false">
      <c r="A95" s="40" t="s">
        <v>148</v>
      </c>
      <c r="B95" s="4" t="n">
        <v>556</v>
      </c>
      <c r="C95" s="4" t="n">
        <v>613</v>
      </c>
      <c r="D95" s="4" t="n">
        <v>648</v>
      </c>
      <c r="E95" s="4" t="n">
        <v>690</v>
      </c>
      <c r="F95" s="4" t="n">
        <v>555</v>
      </c>
      <c r="G95" s="4" t="n">
        <v>632</v>
      </c>
      <c r="H95" s="4" t="n">
        <v>747</v>
      </c>
      <c r="I95" s="4" t="n">
        <v>858</v>
      </c>
      <c r="J95" s="4" t="n">
        <v>777</v>
      </c>
      <c r="K95" s="4" t="n">
        <v>753</v>
      </c>
      <c r="L95" s="4" t="n">
        <v>749</v>
      </c>
      <c r="M95" s="4" t="n">
        <v>771</v>
      </c>
      <c r="N95" s="4" t="n">
        <v>749</v>
      </c>
      <c r="O95" s="4" t="n">
        <v>736</v>
      </c>
      <c r="P95" s="4" t="n">
        <v>735</v>
      </c>
      <c r="Q95" s="4" t="n">
        <v>802</v>
      </c>
      <c r="R95" s="4" t="n">
        <v>683</v>
      </c>
      <c r="S95" s="4" t="n">
        <v>780</v>
      </c>
      <c r="T95" s="4" t="n">
        <v>817</v>
      </c>
      <c r="AB95" s="4" t="n">
        <v>464</v>
      </c>
      <c r="AC95" s="4" t="n">
        <v>621</v>
      </c>
      <c r="AD95" s="4" t="n">
        <f aca="false">SUM(B95:E95)</f>
        <v>2507</v>
      </c>
      <c r="AE95" s="4" t="n">
        <f aca="false">SUM(F95:I95)</f>
        <v>2792</v>
      </c>
      <c r="AF95" s="4" t="n">
        <f aca="false">SUM(J95:M95)</f>
        <v>3050</v>
      </c>
      <c r="AG95" s="4" t="n">
        <f aca="false">SUM(N95:Q95)</f>
        <v>3022</v>
      </c>
      <c r="AH95" s="4" t="n">
        <f aca="false">+AH157*AH28/365</f>
        <v>3437.25232876712</v>
      </c>
      <c r="AI95" s="4" t="n">
        <f aca="false">+AI157*AI28/365</f>
        <v>3890.57035616438</v>
      </c>
      <c r="AJ95" s="4" t="n">
        <f aca="false">+AJ157*AJ28/365</f>
        <v>4402.54561438356</v>
      </c>
      <c r="AK95" s="4" t="n">
        <f aca="false">+AK157*AK28/365</f>
        <v>4980.57561705479</v>
      </c>
      <c r="AL95" s="4" t="n">
        <f aca="false">+AL157*AL28/365</f>
        <v>5632.95734420377</v>
      </c>
      <c r="DC95" s="25"/>
      <c r="DD95" s="25"/>
      <c r="DE95" s="25"/>
      <c r="DF95" s="25"/>
      <c r="DG95" s="25"/>
    </row>
    <row r="96" s="4" customFormat="true" ht="10.5" hidden="false" customHeight="true" outlineLevel="0" collapsed="false">
      <c r="A96" s="40" t="s">
        <v>149</v>
      </c>
      <c r="B96" s="4" t="n">
        <v>270</v>
      </c>
      <c r="C96" s="4" t="n">
        <v>337</v>
      </c>
      <c r="D96" s="4" t="n">
        <v>343</v>
      </c>
      <c r="E96" s="4" t="n">
        <v>307</v>
      </c>
      <c r="F96" s="4" t="n">
        <v>295</v>
      </c>
      <c r="G96" s="4" t="n">
        <v>273</v>
      </c>
      <c r="H96" s="4" t="n">
        <v>225</v>
      </c>
      <c r="I96" s="4" t="n">
        <v>168</v>
      </c>
      <c r="J96" s="4" t="n">
        <v>175</v>
      </c>
      <c r="K96" s="4" t="n">
        <v>158</v>
      </c>
      <c r="L96" s="4" t="n">
        <v>147</v>
      </c>
      <c r="M96" s="4" t="n">
        <v>132</v>
      </c>
      <c r="N96" s="4" t="n">
        <v>146</v>
      </c>
      <c r="O96" s="4" t="n">
        <v>136</v>
      </c>
      <c r="P96" s="4" t="n">
        <v>143</v>
      </c>
      <c r="Q96" s="4" t="n">
        <v>111</v>
      </c>
      <c r="R96" s="4" t="n">
        <v>136</v>
      </c>
      <c r="S96" s="4" t="n">
        <v>116</v>
      </c>
      <c r="T96" s="4" t="n">
        <v>146</v>
      </c>
      <c r="AB96" s="4" t="n">
        <v>151</v>
      </c>
      <c r="AC96" s="4" t="n">
        <v>246</v>
      </c>
      <c r="AD96" s="4" t="n">
        <f aca="false">SUM(B96:E96)</f>
        <v>1257</v>
      </c>
      <c r="AE96" s="4" t="n">
        <f aca="false">SUM(F96:I96)</f>
        <v>961</v>
      </c>
      <c r="AF96" s="4" t="n">
        <f aca="false">SUM(J96:M96)</f>
        <v>612</v>
      </c>
      <c r="AG96" s="4" t="n">
        <f aca="false">SUM(N96:Q96)</f>
        <v>536</v>
      </c>
      <c r="AH96" s="88" t="n">
        <f aca="false">+AH28*0.03</f>
        <v>592.917</v>
      </c>
      <c r="AI96" s="88" t="n">
        <f aca="false">+AI28*0.03</f>
        <v>681.85455</v>
      </c>
      <c r="AJ96" s="88" t="n">
        <f aca="false">+AJ28*0.03</f>
        <v>784.1327325</v>
      </c>
      <c r="AK96" s="88" t="n">
        <f aca="false">+AK28*0.03</f>
        <v>901.752642375</v>
      </c>
      <c r="AL96" s="88" t="n">
        <f aca="false">+AL28*0.03</f>
        <v>1037.01553873125</v>
      </c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25"/>
      <c r="DD96" s="25"/>
      <c r="DE96" s="25"/>
      <c r="DF96" s="25"/>
      <c r="DG96" s="25"/>
    </row>
    <row r="97" s="32" customFormat="true" ht="12.8" hidden="false" customHeight="true" outlineLevel="0" collapsed="false">
      <c r="A97" s="30"/>
      <c r="B97" s="32" t="n">
        <f aca="false">+B96/B$28</f>
        <v>0.101465614430665</v>
      </c>
      <c r="C97" s="32" t="n">
        <f aca="false">+C96/C$28</f>
        <v>0.117667597765363</v>
      </c>
      <c r="D97" s="32" t="n">
        <f aca="false">+D96/D$28</f>
        <v>0.112977602108037</v>
      </c>
      <c r="E97" s="32" t="n">
        <f aca="false">+E96/E$28</f>
        <v>0.0969677826910929</v>
      </c>
      <c r="F97" s="32" t="n">
        <f aca="false">+F96/F$28</f>
        <v>0.0969756738987508</v>
      </c>
      <c r="G97" s="32" t="n">
        <f aca="false">+G96/G$28</f>
        <v>0.0859301227573182</v>
      </c>
      <c r="H97" s="32" t="n">
        <f aca="false">+H96/H$28</f>
        <v>0.0670241286863271</v>
      </c>
      <c r="I97" s="32" t="n">
        <f aca="false">+I96/I$28</f>
        <v>0.0457640969763007</v>
      </c>
      <c r="J97" s="32" t="n">
        <f aca="false">+J96/J$28</f>
        <v>0.0481298129812981</v>
      </c>
      <c r="K97" s="32" t="n">
        <f aca="false">+K96/K$28</f>
        <v>0.0415024954032046</v>
      </c>
      <c r="L97" s="32" t="n">
        <f aca="false">+L96/L$28</f>
        <v>0.0368605817452357</v>
      </c>
      <c r="M97" s="32" t="n">
        <f aca="false">+M96/M$28</f>
        <v>0.0311173974540311</v>
      </c>
      <c r="N97" s="32" t="n">
        <f aca="false">+N96/N$28</f>
        <v>0.0348448687350835</v>
      </c>
      <c r="O97" s="32" t="n">
        <f aca="false">+O96/O$28</f>
        <v>0.0324350107321727</v>
      </c>
      <c r="P97" s="32" t="n">
        <f aca="false">+P96/P$28</f>
        <v>0.0334737827715356</v>
      </c>
      <c r="Q97" s="32" t="n">
        <f aca="false">+Q96/Q$28</f>
        <v>0.0244979033325977</v>
      </c>
      <c r="R97" s="32" t="n">
        <f aca="false">+R96/R$28</f>
        <v>0.0300022060445621</v>
      </c>
      <c r="S97" s="32" t="n">
        <f aca="false">+S96/S$28</f>
        <v>0.024283022817668</v>
      </c>
      <c r="T97" s="32" t="n">
        <f aca="false">+T96/T$28</f>
        <v>0.0293821694505937</v>
      </c>
      <c r="AB97" s="32" t="n">
        <f aca="false">+AB96/AB$28</f>
        <v>0.0191624365482234</v>
      </c>
      <c r="AC97" s="32" t="n">
        <f aca="false">+AC96/AC$28</f>
        <v>0.0254447662391394</v>
      </c>
      <c r="AD97" s="32" t="n">
        <f aca="false">+AD96/AD$28</f>
        <v>0.107188539268355</v>
      </c>
      <c r="AE97" s="32" t="n">
        <f aca="false">+AE96/AE$28</f>
        <v>0.0725447271080245</v>
      </c>
      <c r="AF97" s="32" t="n">
        <f aca="false">+AF96/AF$28</f>
        <v>0.0390480444075799</v>
      </c>
      <c r="AG97" s="32" t="n">
        <f aca="false">+AG96/AG$28</f>
        <v>0.0311881764226696</v>
      </c>
      <c r="AH97" s="32" t="n">
        <f aca="false">+AH96/AH$28</f>
        <v>0.03</v>
      </c>
      <c r="AI97" s="32" t="n">
        <f aca="false">+AI96/AI$28</f>
        <v>0.03</v>
      </c>
      <c r="AJ97" s="32" t="n">
        <f aca="false">+AJ96/AJ$28</f>
        <v>0.03</v>
      </c>
      <c r="AK97" s="32" t="n">
        <f aca="false">+AK96/AK$28</f>
        <v>0.03</v>
      </c>
      <c r="AL97" s="32" t="n">
        <f aca="false">+AL96/AL$28</f>
        <v>0.03</v>
      </c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25"/>
      <c r="DD97" s="25"/>
      <c r="DE97" s="25"/>
      <c r="DF97" s="25"/>
      <c r="DG97" s="25"/>
    </row>
    <row r="98" s="4" customFormat="true" ht="12.8" hidden="false" customHeight="true" outlineLevel="0" collapsed="false">
      <c r="A98" s="40" t="s">
        <v>150</v>
      </c>
      <c r="B98" s="4" t="n">
        <v>443</v>
      </c>
      <c r="C98" s="4" t="n">
        <v>445</v>
      </c>
      <c r="D98" s="4" t="n">
        <v>453</v>
      </c>
      <c r="E98" s="4" t="n">
        <v>417</v>
      </c>
      <c r="F98" s="4" t="n">
        <v>413</v>
      </c>
      <c r="G98" s="4" t="n">
        <v>344</v>
      </c>
      <c r="H98" s="4" t="n">
        <v>343</v>
      </c>
      <c r="I98" s="4" t="n">
        <v>300</v>
      </c>
      <c r="J98" s="4" t="n">
        <v>274</v>
      </c>
      <c r="K98" s="4" t="n">
        <v>254</v>
      </c>
      <c r="L98" s="4" t="n">
        <v>235</v>
      </c>
      <c r="M98" s="4" t="n">
        <v>226</v>
      </c>
      <c r="N98" s="4" t="n">
        <v>223</v>
      </c>
      <c r="O98" s="4" t="n">
        <v>256</v>
      </c>
      <c r="P98" s="4" t="n">
        <v>242</v>
      </c>
      <c r="Q98" s="4" t="n">
        <v>234</v>
      </c>
      <c r="R98" s="4" t="n">
        <v>227</v>
      </c>
      <c r="S98" s="4" t="n">
        <v>225</v>
      </c>
      <c r="T98" s="4" t="n">
        <v>218</v>
      </c>
      <c r="AB98" s="4" t="n">
        <v>444</v>
      </c>
      <c r="AC98" s="4" t="n">
        <v>437</v>
      </c>
      <c r="AD98" s="4" t="n">
        <f aca="false">SUM(B98:E98)</f>
        <v>1758</v>
      </c>
      <c r="AE98" s="4" t="n">
        <f aca="false">SUM(F98:I98)</f>
        <v>1400</v>
      </c>
      <c r="AF98" s="4" t="n">
        <f aca="false">SUM(J98:M98)</f>
        <v>989</v>
      </c>
      <c r="AG98" s="4" t="n">
        <f aca="false">SUM(N98:Q98)</f>
        <v>955</v>
      </c>
      <c r="DC98" s="25"/>
      <c r="DD98" s="25"/>
      <c r="DE98" s="25"/>
      <c r="DF98" s="25"/>
      <c r="DG98" s="25"/>
    </row>
    <row r="99" s="4" customFormat="true" ht="12.8" hidden="false" customHeight="true" outlineLevel="0" collapsed="false">
      <c r="A99" s="40" t="s">
        <v>151</v>
      </c>
      <c r="B99" s="4" t="n">
        <v>369</v>
      </c>
      <c r="C99" s="4" t="n">
        <v>373</v>
      </c>
      <c r="D99" s="4" t="n">
        <v>382</v>
      </c>
      <c r="E99" s="4" t="n">
        <v>348</v>
      </c>
      <c r="F99" s="4" t="n">
        <v>331</v>
      </c>
      <c r="G99" s="4" t="n">
        <v>280</v>
      </c>
      <c r="H99" s="4" t="n">
        <v>275</v>
      </c>
      <c r="I99" s="4" t="n">
        <v>247</v>
      </c>
      <c r="J99" s="4" t="n">
        <v>224</v>
      </c>
      <c r="K99" s="4" t="n">
        <v>211</v>
      </c>
      <c r="L99" s="4" t="n">
        <v>195</v>
      </c>
      <c r="M99" s="4" t="n">
        <v>188</v>
      </c>
      <c r="N99" s="4" t="n">
        <v>178</v>
      </c>
      <c r="O99" s="4" t="n">
        <v>161</v>
      </c>
      <c r="P99" s="4" t="n">
        <v>174</v>
      </c>
      <c r="Q99" s="4" t="n">
        <v>188</v>
      </c>
      <c r="R99" s="4" t="n">
        <v>182</v>
      </c>
      <c r="S99" s="4" t="n">
        <v>193</v>
      </c>
      <c r="T99" s="4" t="n">
        <v>190</v>
      </c>
      <c r="AB99" s="4" t="n">
        <v>313</v>
      </c>
      <c r="AC99" s="4" t="n">
        <v>372</v>
      </c>
      <c r="AD99" s="4" t="n">
        <f aca="false">SUM(B99:E99)</f>
        <v>1472</v>
      </c>
      <c r="AE99" s="4" t="n">
        <f aca="false">SUM(F99:I99)</f>
        <v>1133</v>
      </c>
      <c r="AF99" s="4" t="n">
        <f aca="false">SUM(J99:M99)</f>
        <v>818</v>
      </c>
      <c r="AG99" s="4" t="n">
        <f aca="false">SUM(N99:Q99)</f>
        <v>701</v>
      </c>
      <c r="DC99" s="25"/>
      <c r="DD99" s="25"/>
      <c r="DE99" s="25"/>
      <c r="DF99" s="25"/>
      <c r="DG99" s="25"/>
    </row>
    <row r="100" s="4" customFormat="true" ht="12.8" hidden="false" customHeight="true" outlineLevel="0" collapsed="false">
      <c r="A100" s="40" t="s">
        <v>152</v>
      </c>
      <c r="B100" s="4" t="n">
        <v>978</v>
      </c>
      <c r="C100" s="4" t="n">
        <v>1111</v>
      </c>
      <c r="D100" s="4" t="n">
        <v>1261</v>
      </c>
      <c r="E100" s="4" t="n">
        <v>1168</v>
      </c>
      <c r="F100" s="4" t="n">
        <v>1155</v>
      </c>
      <c r="G100" s="4" t="n">
        <v>1148</v>
      </c>
      <c r="H100" s="4" t="n">
        <v>1180</v>
      </c>
      <c r="I100" s="4" t="n">
        <v>1137</v>
      </c>
      <c r="J100" s="4" t="n">
        <v>1159</v>
      </c>
      <c r="K100" s="4" t="n">
        <v>1167</v>
      </c>
      <c r="L100" s="4" t="n">
        <v>1128</v>
      </c>
      <c r="M100" s="4" t="n">
        <v>1201</v>
      </c>
      <c r="N100" s="4" t="n">
        <v>1156</v>
      </c>
      <c r="O100" s="4" t="n">
        <v>1074</v>
      </c>
      <c r="P100" s="4" t="n">
        <v>1078</v>
      </c>
      <c r="Q100" s="4" t="n">
        <v>1083</v>
      </c>
      <c r="R100" s="4" t="n">
        <v>1099</v>
      </c>
      <c r="S100" s="4" t="n">
        <v>1110</v>
      </c>
      <c r="T100" s="4" t="n">
        <v>1118</v>
      </c>
      <c r="AB100" s="4" t="n">
        <v>736</v>
      </c>
      <c r="AC100" s="4" t="n">
        <v>894</v>
      </c>
      <c r="AD100" s="4" t="n">
        <f aca="false">SUM(B100:E100)</f>
        <v>4518</v>
      </c>
      <c r="AE100" s="4" t="n">
        <f aca="false">SUM(F100:I100)</f>
        <v>4620</v>
      </c>
      <c r="AF100" s="4" t="n">
        <f aca="false">SUM(J100:M100)</f>
        <v>4655</v>
      </c>
      <c r="AG100" s="4" t="n">
        <f aca="false">SUM(N100:Q100)</f>
        <v>4391</v>
      </c>
      <c r="DC100" s="25"/>
      <c r="DD100" s="25"/>
      <c r="DE100" s="25"/>
      <c r="DF100" s="25"/>
      <c r="DG100" s="25"/>
    </row>
    <row r="101" s="4" customFormat="true" ht="12.8" hidden="false" customHeight="true" outlineLevel="0" collapsed="false">
      <c r="A101" s="40" t="s">
        <v>153</v>
      </c>
      <c r="B101" s="4" t="n">
        <v>109</v>
      </c>
      <c r="C101" s="4" t="n">
        <v>126</v>
      </c>
      <c r="D101" s="4" t="n">
        <v>153</v>
      </c>
      <c r="E101" s="4" t="n">
        <v>127</v>
      </c>
      <c r="F101" s="4" t="n">
        <v>115</v>
      </c>
      <c r="G101" s="4" t="n">
        <v>105</v>
      </c>
      <c r="H101" s="4" t="n">
        <v>98</v>
      </c>
      <c r="I101" s="4" t="n">
        <v>84</v>
      </c>
      <c r="J101" s="4" t="n">
        <v>76</v>
      </c>
      <c r="K101" s="4" t="n">
        <v>68</v>
      </c>
      <c r="L101" s="4" t="n">
        <v>58</v>
      </c>
      <c r="M101" s="4" t="n">
        <v>48</v>
      </c>
      <c r="N101" s="4" t="n">
        <v>43</v>
      </c>
      <c r="O101" s="4" t="n">
        <v>37</v>
      </c>
      <c r="P101" s="4" t="n">
        <v>33</v>
      </c>
      <c r="Q101" s="4" t="n">
        <v>41</v>
      </c>
      <c r="R101" s="4" t="n">
        <v>41</v>
      </c>
      <c r="S101" s="4" t="n">
        <v>36</v>
      </c>
      <c r="T101" s="4" t="n">
        <v>30</v>
      </c>
      <c r="AB101" s="4" t="n">
        <v>97</v>
      </c>
      <c r="AC101" s="4" t="n">
        <v>89</v>
      </c>
      <c r="AD101" s="4" t="n">
        <f aca="false">SUM(B101:E101)</f>
        <v>515</v>
      </c>
      <c r="AE101" s="4" t="n">
        <f aca="false">SUM(F101:I101)</f>
        <v>402</v>
      </c>
      <c r="AF101" s="4" t="n">
        <f aca="false">SUM(J101:M101)</f>
        <v>250</v>
      </c>
      <c r="AG101" s="4" t="n">
        <f aca="false">SUM(N101:Q101)</f>
        <v>154</v>
      </c>
      <c r="DC101" s="25"/>
      <c r="DD101" s="25"/>
      <c r="DE101" s="25"/>
      <c r="DF101" s="25"/>
      <c r="DG101" s="25"/>
    </row>
    <row r="102" s="4" customFormat="true" ht="12.8" hidden="false" customHeight="true" outlineLevel="0" collapsed="false">
      <c r="A102" s="40" t="s">
        <v>154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51</v>
      </c>
      <c r="K102" s="4" t="n">
        <v>52</v>
      </c>
      <c r="L102" s="4" t="n">
        <v>64</v>
      </c>
      <c r="M102" s="4" t="n">
        <v>74</v>
      </c>
      <c r="N102" s="4" t="n">
        <v>74</v>
      </c>
      <c r="O102" s="4" t="n">
        <v>68</v>
      </c>
      <c r="P102" s="4" t="n">
        <v>69</v>
      </c>
      <c r="Q102" s="4" t="n">
        <v>69</v>
      </c>
      <c r="R102" s="4" t="n">
        <v>71</v>
      </c>
      <c r="S102" s="4" t="n">
        <v>71</v>
      </c>
      <c r="T102" s="4" t="n">
        <v>69</v>
      </c>
      <c r="AB102" s="4" t="n">
        <v>0</v>
      </c>
      <c r="AC102" s="4" t="n">
        <v>0</v>
      </c>
      <c r="AD102" s="4" t="n">
        <f aca="false">SUM(B102:E102)</f>
        <v>0</v>
      </c>
      <c r="AE102" s="4" t="n">
        <f aca="false">SUM(F102:I102)</f>
        <v>0</v>
      </c>
      <c r="AF102" s="4" t="n">
        <f aca="false">SUM(J102:M102)</f>
        <v>241</v>
      </c>
      <c r="AG102" s="4" t="n">
        <f aca="false">SUM(N102:Q102)</f>
        <v>280</v>
      </c>
      <c r="DC102" s="25"/>
      <c r="DD102" s="25"/>
      <c r="DE102" s="25"/>
      <c r="DF102" s="25"/>
      <c r="DG102" s="25"/>
    </row>
    <row r="103" s="4" customFormat="true" ht="12.8" hidden="false" customHeight="true" outlineLevel="0" collapsed="false">
      <c r="A103" s="40" t="s">
        <v>155</v>
      </c>
      <c r="B103" s="4" t="n">
        <v>8</v>
      </c>
      <c r="C103" s="4" t="n">
        <v>7</v>
      </c>
      <c r="D103" s="4" t="n">
        <v>8</v>
      </c>
      <c r="E103" s="4" t="n">
        <v>8</v>
      </c>
      <c r="F103" s="4" t="n">
        <v>11</v>
      </c>
      <c r="G103" s="4" t="n">
        <v>15</v>
      </c>
      <c r="H103" s="4" t="n">
        <v>23</v>
      </c>
      <c r="I103" s="4" t="n">
        <v>28</v>
      </c>
      <c r="J103" s="4" t="n">
        <v>41</v>
      </c>
      <c r="K103" s="4" t="n">
        <v>49</v>
      </c>
      <c r="L103" s="4" t="n">
        <v>194</v>
      </c>
      <c r="M103" s="4" t="n">
        <v>186</v>
      </c>
      <c r="N103" s="4" t="n">
        <v>136</v>
      </c>
      <c r="O103" s="4" t="n">
        <v>94</v>
      </c>
      <c r="P103" s="4" t="n">
        <v>87</v>
      </c>
      <c r="Q103" s="4" t="n">
        <v>662</v>
      </c>
      <c r="R103" s="4" t="n">
        <v>596</v>
      </c>
      <c r="S103" s="4" t="n">
        <v>563</v>
      </c>
      <c r="T103" s="4" t="n">
        <v>548</v>
      </c>
      <c r="AB103" s="4" t="n">
        <v>15</v>
      </c>
      <c r="AC103" s="4" t="n">
        <v>13</v>
      </c>
      <c r="AD103" s="4" t="n">
        <f aca="false">SUM(B103:E103)</f>
        <v>31</v>
      </c>
      <c r="AE103" s="4" t="n">
        <f aca="false">SUM(F103:I103)</f>
        <v>77</v>
      </c>
      <c r="AF103" s="4" t="n">
        <f aca="false">SUM(J103:M103)</f>
        <v>470</v>
      </c>
      <c r="AG103" s="4" t="n">
        <f aca="false">SUM(N103:Q103)</f>
        <v>979</v>
      </c>
      <c r="DC103" s="25"/>
      <c r="DD103" s="25"/>
      <c r="DE103" s="25"/>
      <c r="DF103" s="25"/>
      <c r="DG103" s="25"/>
    </row>
    <row r="104" s="4" customFormat="true" ht="12.8" hidden="false" customHeight="true" outlineLevel="0" collapsed="false">
      <c r="A104" s="40" t="s">
        <v>156</v>
      </c>
      <c r="B104" s="4" t="n">
        <f aca="false">SUM(B91:B103)-B97-B94</f>
        <v>7039</v>
      </c>
      <c r="C104" s="4" t="n">
        <f aca="false">SUM(C91:C103)-C97-C94</f>
        <v>7388</v>
      </c>
      <c r="D104" s="4" t="n">
        <f aca="false">SUM(D91:D103)-D97-D94</f>
        <v>7632</v>
      </c>
      <c r="E104" s="4" t="n">
        <f aca="false">SUM(E91:E103)-E97-E94</f>
        <v>7636</v>
      </c>
      <c r="F104" s="4" t="n">
        <f aca="false">SUM(F91:F103)-F97-F94</f>
        <v>7529</v>
      </c>
      <c r="G104" s="4" t="n">
        <f aca="false">SUM(G91:G103)-G97-G94</f>
        <v>7312</v>
      </c>
      <c r="H104" s="4" t="n">
        <f aca="false">SUM(H91:H103)-H97-H94</f>
        <v>7592</v>
      </c>
      <c r="I104" s="4" t="n">
        <f aca="false">SUM(I91:I103)-I97-I94</f>
        <v>8346</v>
      </c>
      <c r="J104" s="4" t="n">
        <f aca="false">SUM(J91:J103)-J97-J94</f>
        <v>9075</v>
      </c>
      <c r="K104" s="4" t="n">
        <f aca="false">SUM(K91:K103)-K97-K94</f>
        <v>10146</v>
      </c>
      <c r="L104" s="4" t="n">
        <f aca="false">SUM(L91:L103)-L97-L94</f>
        <v>10553</v>
      </c>
      <c r="M104" s="4" t="n">
        <f aca="false">SUM(M91:M103)-M97-M94</f>
        <v>12005</v>
      </c>
      <c r="N104" s="4" t="n">
        <f aca="false">SUM(N91:N103)-N97-N94</f>
        <v>12687</v>
      </c>
      <c r="O104" s="4" t="n">
        <f aca="false">SUM(O91:O103)-O97-O94</f>
        <v>13465</v>
      </c>
      <c r="P104" s="4" t="n">
        <f aca="false">SUM(P91:P103)-P97-P94</f>
        <v>14689</v>
      </c>
      <c r="Q104" s="4" t="n">
        <f aca="false">SUM(Q91:Q103)-Q97-Q94</f>
        <v>15015</v>
      </c>
      <c r="R104" s="4" t="n">
        <f aca="false">SUM(R91:R103)-R97-R94</f>
        <v>13128</v>
      </c>
      <c r="S104" s="4" t="n">
        <f aca="false">SUM(S91:S103)-S97-S94</f>
        <v>13748</v>
      </c>
      <c r="T104" s="4" t="n">
        <f aca="false">SUM(T91:T103)-T97-T94</f>
        <v>14312</v>
      </c>
      <c r="AA104" s="4" t="n">
        <f aca="false">SUM(AA91:AA103)-AA97-AA94</f>
        <v>0</v>
      </c>
      <c r="AB104" s="4" t="n">
        <f aca="false">SUM(AB91:AB103)-AB97-AB94</f>
        <v>6326</v>
      </c>
      <c r="AC104" s="4" t="n">
        <f aca="false">SUM(AC91:AC103)-AC97-AC94</f>
        <v>7170</v>
      </c>
      <c r="AD104" s="4" t="n">
        <f aca="false">SUM(AD91:AD103)-AD97-AD94</f>
        <v>29695</v>
      </c>
      <c r="AE104" s="4" t="n">
        <f aca="false">SUM(AE91:AE103)-AE97-AE94</f>
        <v>30779</v>
      </c>
      <c r="AF104" s="4" t="n">
        <f aca="false">SUM(AF91:AF103)-AF97-AF94</f>
        <v>41779</v>
      </c>
      <c r="AG104" s="4" t="n">
        <f aca="false">SUM(AG91:AG103)-AG97-AG94</f>
        <v>55856</v>
      </c>
      <c r="DC104" s="25"/>
      <c r="DD104" s="25"/>
      <c r="DE104" s="25"/>
      <c r="DF104" s="25"/>
      <c r="DG104" s="25"/>
    </row>
    <row r="105" s="4" customFormat="true" ht="12.8" hidden="false" customHeight="true" outlineLevel="0" collapsed="false">
      <c r="A105" s="40"/>
      <c r="DC105" s="25"/>
      <c r="DD105" s="25"/>
      <c r="DE105" s="25"/>
      <c r="DF105" s="25"/>
      <c r="DG105" s="25"/>
    </row>
    <row r="106" s="4" customFormat="true" ht="12.8" hidden="false" customHeight="true" outlineLevel="0" collapsed="false">
      <c r="A106" s="40" t="s">
        <v>157</v>
      </c>
      <c r="B106" s="4" t="n">
        <v>695</v>
      </c>
      <c r="C106" s="4" t="n">
        <v>825</v>
      </c>
      <c r="D106" s="4" t="n">
        <v>947</v>
      </c>
      <c r="E106" s="4" t="n">
        <v>845</v>
      </c>
      <c r="F106" s="4" t="n">
        <v>850</v>
      </c>
      <c r="G106" s="4" t="n">
        <v>893</v>
      </c>
      <c r="H106" s="4" t="n">
        <v>945</v>
      </c>
      <c r="I106" s="4" t="n">
        <v>978</v>
      </c>
      <c r="J106" s="4" t="n">
        <v>1048</v>
      </c>
      <c r="K106" s="4" t="n">
        <v>1091</v>
      </c>
      <c r="L106" s="4" t="n">
        <v>1084</v>
      </c>
      <c r="M106" s="4" t="n">
        <v>1342</v>
      </c>
      <c r="N106" s="4" t="n">
        <v>1064</v>
      </c>
      <c r="O106" s="4" t="n">
        <v>1171</v>
      </c>
      <c r="P106" s="4" t="n">
        <v>1193</v>
      </c>
      <c r="Q106" s="4" t="n">
        <v>1194</v>
      </c>
      <c r="R106" s="4" t="n">
        <v>1250</v>
      </c>
      <c r="S106" s="4" t="n">
        <v>1325</v>
      </c>
      <c r="T106" s="4" t="n">
        <v>1411</v>
      </c>
      <c r="AB106" s="4" t="n">
        <v>638</v>
      </c>
      <c r="AC106" s="4" t="n">
        <v>793</v>
      </c>
      <c r="AD106" s="4" t="n">
        <f aca="false">SUM(B106:E106)</f>
        <v>3312</v>
      </c>
      <c r="AE106" s="4" t="n">
        <f aca="false">SUM(F106:I106)</f>
        <v>3666</v>
      </c>
      <c r="AF106" s="4" t="n">
        <f aca="false">SUM(J106:M106)</f>
        <v>4565</v>
      </c>
      <c r="AG106" s="4" t="n">
        <f aca="false">SUM(N106:Q106)</f>
        <v>4622</v>
      </c>
      <c r="AH106" s="4" t="n">
        <f aca="false">+AH158*AH34/365</f>
        <v>5354.57520088354</v>
      </c>
      <c r="AI106" s="4" t="n">
        <f aca="false">+AI158*AI34/365</f>
        <v>6196.54808265647</v>
      </c>
      <c r="AJ106" s="4" t="n">
        <f aca="false">+AJ158*AJ34/365</f>
        <v>7169.20268103728</v>
      </c>
      <c r="AK106" s="4" t="n">
        <f aca="false">+AK158*AK34/365</f>
        <v>8292.58429028284</v>
      </c>
      <c r="AL106" s="4" t="n">
        <f aca="false">+AL158*AL34/365</f>
        <v>9589.77922967054</v>
      </c>
      <c r="DC106" s="25"/>
      <c r="DD106" s="25"/>
      <c r="DE106" s="25"/>
      <c r="DF106" s="25"/>
      <c r="DG106" s="25"/>
    </row>
    <row r="107" s="4" customFormat="true" ht="12.8" hidden="false" customHeight="true" outlineLevel="0" collapsed="false">
      <c r="A107" s="40" t="s">
        <v>158</v>
      </c>
      <c r="B107" s="4" t="n">
        <v>13</v>
      </c>
      <c r="C107" s="4" t="n">
        <v>7</v>
      </c>
      <c r="D107" s="4" t="n">
        <v>16</v>
      </c>
      <c r="E107" s="4" t="n">
        <v>11</v>
      </c>
      <c r="F107" s="4" t="n">
        <v>9</v>
      </c>
      <c r="G107" s="4" t="n">
        <v>11</v>
      </c>
      <c r="H107" s="4" t="n">
        <v>8</v>
      </c>
      <c r="I107" s="4" t="n">
        <v>12</v>
      </c>
      <c r="J107" s="4" t="n">
        <v>14</v>
      </c>
      <c r="K107" s="4" t="n">
        <v>17</v>
      </c>
      <c r="L107" s="4" t="n">
        <v>21</v>
      </c>
      <c r="M107" s="4" t="n">
        <v>33</v>
      </c>
      <c r="N107" s="4" t="n">
        <v>40</v>
      </c>
      <c r="O107" s="4" t="n">
        <v>42</v>
      </c>
      <c r="P107" s="4" t="n">
        <v>31</v>
      </c>
      <c r="Q107" s="4" t="n">
        <v>72</v>
      </c>
      <c r="R107" s="4" t="n">
        <v>150</v>
      </c>
      <c r="S107" s="4" t="n">
        <v>171</v>
      </c>
      <c r="T107" s="4" t="n">
        <v>192</v>
      </c>
      <c r="AB107" s="4" t="n">
        <v>9</v>
      </c>
      <c r="AC107" s="4" t="n">
        <v>23</v>
      </c>
      <c r="AD107" s="4" t="n">
        <f aca="false">SUM(B107:E107)</f>
        <v>47</v>
      </c>
      <c r="AE107" s="4" t="n">
        <f aca="false">SUM(F107:I107)</f>
        <v>40</v>
      </c>
      <c r="AF107" s="4" t="n">
        <f aca="false">SUM(J107:M107)</f>
        <v>85</v>
      </c>
      <c r="AG107" s="4" t="n">
        <f aca="false">SUM(N107:Q107)</f>
        <v>185</v>
      </c>
      <c r="DC107" s="25"/>
      <c r="DD107" s="25"/>
      <c r="DE107" s="25"/>
      <c r="DF107" s="25"/>
      <c r="DG107" s="25"/>
    </row>
    <row r="108" s="4" customFormat="true" ht="10.5" hidden="false" customHeight="true" outlineLevel="0" collapsed="false">
      <c r="A108" s="40" t="s">
        <v>159</v>
      </c>
      <c r="B108" s="4" t="n">
        <v>469</v>
      </c>
      <c r="C108" s="4" t="n">
        <v>489</v>
      </c>
      <c r="D108" s="4" t="n">
        <v>522</v>
      </c>
      <c r="E108" s="4" t="n">
        <v>520</v>
      </c>
      <c r="F108" s="4" t="n">
        <v>524</v>
      </c>
      <c r="G108" s="4" t="n">
        <v>536</v>
      </c>
      <c r="H108" s="4" t="n">
        <v>599</v>
      </c>
      <c r="I108" s="4" t="n">
        <v>622</v>
      </c>
      <c r="J108" s="4" t="n">
        <v>634</v>
      </c>
      <c r="K108" s="4" t="n">
        <v>657</v>
      </c>
      <c r="L108" s="4" t="n">
        <v>680</v>
      </c>
      <c r="M108" s="4" t="n">
        <v>683</v>
      </c>
      <c r="N108" s="4" t="n">
        <v>675</v>
      </c>
      <c r="O108" s="4" t="n">
        <v>665</v>
      </c>
      <c r="P108" s="4" t="n">
        <v>692</v>
      </c>
      <c r="Q108" s="4" t="n">
        <v>711</v>
      </c>
      <c r="R108" s="4" t="n">
        <v>750</v>
      </c>
      <c r="S108" s="4" t="n">
        <v>778</v>
      </c>
      <c r="T108" s="4" t="n">
        <v>794</v>
      </c>
      <c r="AB108" s="4" t="n">
        <v>380</v>
      </c>
      <c r="AC108" s="4" t="n">
        <v>458</v>
      </c>
      <c r="AD108" s="4" t="n">
        <f aca="false">SUM(B108:E108)</f>
        <v>2000</v>
      </c>
      <c r="AE108" s="4" t="n">
        <f aca="false">SUM(F108:I108)</f>
        <v>2281</v>
      </c>
      <c r="AF108" s="4" t="n">
        <f aca="false">SUM(J108:M108)</f>
        <v>2654</v>
      </c>
      <c r="AG108" s="4" t="n">
        <f aca="false">SUM(N108:Q108)</f>
        <v>2743</v>
      </c>
      <c r="AH108" s="88" t="n">
        <f aca="false">+AH28*0.14</f>
        <v>2766.946</v>
      </c>
      <c r="AI108" s="88" t="n">
        <f aca="false">+AI28*0.14</f>
        <v>3181.9879</v>
      </c>
      <c r="AJ108" s="88" t="n">
        <f aca="false">+AJ28*0.14</f>
        <v>3659.286085</v>
      </c>
      <c r="AK108" s="88" t="n">
        <f aca="false">+AK28*0.14</f>
        <v>4208.17899775</v>
      </c>
      <c r="AL108" s="88" t="n">
        <f aca="false">+AL28*0.14</f>
        <v>4839.4058474125</v>
      </c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25"/>
      <c r="DD108" s="25"/>
      <c r="DE108" s="25"/>
      <c r="DF108" s="25"/>
      <c r="DG108" s="25"/>
    </row>
    <row r="109" s="32" customFormat="true" ht="12.8" hidden="false" customHeight="true" outlineLevel="0" collapsed="false">
      <c r="A109" s="30"/>
      <c r="F109" s="32" t="n">
        <f aca="false">+F108/B108-1</f>
        <v>0.11727078891258</v>
      </c>
      <c r="G109" s="32" t="n">
        <f aca="false">+G108/C108-1</f>
        <v>0.0961145194274029</v>
      </c>
      <c r="H109" s="32" t="n">
        <f aca="false">+H108/D108-1</f>
        <v>0.147509578544061</v>
      </c>
      <c r="I109" s="32" t="n">
        <f aca="false">+I108/E108-1</f>
        <v>0.196153846153846</v>
      </c>
      <c r="J109" s="32" t="n">
        <f aca="false">+J108/F108-1</f>
        <v>0.209923664122137</v>
      </c>
      <c r="K109" s="32" t="n">
        <f aca="false">+K108/G108-1</f>
        <v>0.225746268656716</v>
      </c>
      <c r="L109" s="32" t="n">
        <f aca="false">+L108/H108-1</f>
        <v>0.135225375626043</v>
      </c>
      <c r="M109" s="32" t="n">
        <f aca="false">+M108/I108-1</f>
        <v>0.0980707395498393</v>
      </c>
      <c r="N109" s="32" t="n">
        <f aca="false">+N108/J108-1</f>
        <v>0.0646687697160884</v>
      </c>
      <c r="O109" s="32" t="n">
        <f aca="false">+O108/K108-1</f>
        <v>0.0121765601217656</v>
      </c>
      <c r="P109" s="32" t="n">
        <f aca="false">+P108/L108-1</f>
        <v>0.0176470588235294</v>
      </c>
      <c r="Q109" s="32" t="n">
        <f aca="false">+Q108/M108-1</f>
        <v>0.0409956076134699</v>
      </c>
      <c r="R109" s="32" t="n">
        <f aca="false">+R108/N108-1</f>
        <v>0.111111111111111</v>
      </c>
      <c r="S109" s="32" t="n">
        <f aca="false">+S108/O108-1</f>
        <v>0.169924812030075</v>
      </c>
      <c r="T109" s="32" t="n">
        <f aca="false">+T108/P108-1</f>
        <v>0.147398843930636</v>
      </c>
      <c r="AB109" s="32" t="n">
        <f aca="false">+AB108/AB$28</f>
        <v>0.0482233502538071</v>
      </c>
      <c r="AC109" s="32" t="n">
        <f aca="false">+AC108/AC$28</f>
        <v>0.0473727761688043</v>
      </c>
      <c r="AD109" s="32" t="n">
        <f aca="false">+AD108/AD$28</f>
        <v>0.170546601858958</v>
      </c>
      <c r="AE109" s="32" t="n">
        <f aca="false">+AE108/AE$28</f>
        <v>0.172189929795425</v>
      </c>
      <c r="AF109" s="32" t="n">
        <f aca="false">+AF108/AF$28</f>
        <v>0.169335800421106</v>
      </c>
      <c r="AG109" s="32" t="n">
        <f aca="false">+AG108/AG$28</f>
        <v>0.159606656580938</v>
      </c>
      <c r="AH109" s="32" t="n">
        <f aca="false">+AH108/AH$28</f>
        <v>0.14</v>
      </c>
      <c r="AI109" s="32" t="n">
        <f aca="false">+AI108/AI$28</f>
        <v>0.14</v>
      </c>
      <c r="AJ109" s="32" t="n">
        <f aca="false">+AJ108/AJ$28</f>
        <v>0.14</v>
      </c>
      <c r="AK109" s="32" t="n">
        <f aca="false">+AK108/AK$28</f>
        <v>0.14</v>
      </c>
      <c r="AL109" s="32" t="n">
        <f aca="false">+AL108/AL$28</f>
        <v>0.14</v>
      </c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25"/>
      <c r="DD109" s="25"/>
      <c r="DE109" s="25"/>
      <c r="DF109" s="25"/>
      <c r="DG109" s="25"/>
    </row>
    <row r="110" s="4" customFormat="true" ht="10.5" hidden="false" customHeight="true" outlineLevel="0" collapsed="false">
      <c r="A110" s="40" t="s">
        <v>160</v>
      </c>
      <c r="B110" s="4" t="n">
        <f aca="false">+1882+30</f>
        <v>1912</v>
      </c>
      <c r="C110" s="4" t="n">
        <f aca="false">+1951+29</f>
        <v>1980</v>
      </c>
      <c r="D110" s="4" t="n">
        <f aca="false">+2020+31</f>
        <v>2051</v>
      </c>
      <c r="E110" s="4" t="n">
        <f aca="false">+2093+28</f>
        <v>2121</v>
      </c>
      <c r="F110" s="4" t="n">
        <f aca="false">+2025+17</f>
        <v>2042</v>
      </c>
      <c r="G110" s="4" t="n">
        <f aca="false">+2053+14</f>
        <v>2067</v>
      </c>
      <c r="H110" s="4" t="n">
        <f aca="false">+2108+14</f>
        <v>2122</v>
      </c>
      <c r="I110" s="4" t="n">
        <f aca="false">+2440+26</f>
        <v>2466</v>
      </c>
      <c r="J110" s="4" t="n">
        <f aca="false">+2228+17</f>
        <v>2245</v>
      </c>
      <c r="K110" s="4" t="n">
        <f aca="false">+2223+11</f>
        <v>2234</v>
      </c>
      <c r="L110" s="4" t="n">
        <f aca="false">+2275+5</f>
        <v>2280</v>
      </c>
      <c r="M110" s="4" t="n">
        <f aca="false">+2347+5</f>
        <v>2352</v>
      </c>
      <c r="N110" s="4" t="n">
        <f aca="false">+4+2471</f>
        <v>2475</v>
      </c>
      <c r="O110" s="4" t="n">
        <f aca="false">+2442+4</f>
        <v>2446</v>
      </c>
      <c r="P110" s="4" t="n">
        <f aca="false">+2519+1</f>
        <v>2520</v>
      </c>
      <c r="Q110" s="4" t="n">
        <f aca="false">+2589+2</f>
        <v>2591</v>
      </c>
      <c r="R110" s="4" t="n">
        <f aca="false">+2+2471</f>
        <v>2473</v>
      </c>
      <c r="S110" s="4" t="n">
        <v>2573</v>
      </c>
      <c r="T110" s="4" t="n">
        <f aca="false">+2652+2</f>
        <v>2654</v>
      </c>
      <c r="AB110" s="4" t="n">
        <f aca="false">+42+1748</f>
        <v>1790</v>
      </c>
      <c r="AC110" s="4" t="n">
        <f aca="false">+1841+37</f>
        <v>1878</v>
      </c>
      <c r="AD110" s="4" t="n">
        <f aca="false">SUM(B110:E110)</f>
        <v>8064</v>
      </c>
      <c r="AE110" s="4" t="n">
        <f aca="false">SUM(F110:I110)</f>
        <v>8697</v>
      </c>
      <c r="AF110" s="4" t="n">
        <f aca="false">SUM(J110:M110)</f>
        <v>9111</v>
      </c>
      <c r="AG110" s="4" t="n">
        <f aca="false">SUM(N110:Q110)</f>
        <v>10032</v>
      </c>
      <c r="AH110" s="88" t="n">
        <f aca="false">+AH28*0.5</f>
        <v>9881.95</v>
      </c>
      <c r="AI110" s="88" t="n">
        <f aca="false">+AI28*0.5</f>
        <v>11364.2425</v>
      </c>
      <c r="AJ110" s="88" t="n">
        <f aca="false">+AJ28*0.5</f>
        <v>13068.878875</v>
      </c>
      <c r="AK110" s="88" t="n">
        <f aca="false">+AK28*0.5</f>
        <v>15029.21070625</v>
      </c>
      <c r="AL110" s="88" t="n">
        <f aca="false">+AL28*0.5</f>
        <v>17283.5923121875</v>
      </c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25"/>
      <c r="DD110" s="25"/>
      <c r="DE110" s="25"/>
      <c r="DF110" s="25"/>
      <c r="DG110" s="25"/>
    </row>
    <row r="111" s="32" customFormat="true" ht="12.8" hidden="false" customHeight="true" outlineLevel="0" collapsed="false">
      <c r="A111" s="30"/>
      <c r="F111" s="32" t="n">
        <f aca="false">+F110/B110-1</f>
        <v>0.0679916317991631</v>
      </c>
      <c r="G111" s="32" t="n">
        <f aca="false">+G110/C110-1</f>
        <v>0.0439393939393939</v>
      </c>
      <c r="H111" s="32" t="n">
        <f aca="false">+H110/D110-1</f>
        <v>0.0346172598732326</v>
      </c>
      <c r="I111" s="32" t="n">
        <f aca="false">+I110/E110-1</f>
        <v>0.162659123055163</v>
      </c>
      <c r="J111" s="32" t="n">
        <f aca="false">+J110/F110-1</f>
        <v>0.0994123408423115</v>
      </c>
      <c r="K111" s="32" t="n">
        <f aca="false">+K110/G110-1</f>
        <v>0.0807934204160619</v>
      </c>
      <c r="L111" s="32" t="n">
        <f aca="false">+L110/H110-1</f>
        <v>0.0744580584354382</v>
      </c>
      <c r="M111" s="32" t="n">
        <f aca="false">+M110/I110-1</f>
        <v>-0.0462287104622872</v>
      </c>
      <c r="N111" s="32" t="n">
        <f aca="false">+N110/J110-1</f>
        <v>0.102449888641425</v>
      </c>
      <c r="O111" s="32" t="n">
        <f aca="false">+O110/K110-1</f>
        <v>0.0948970456580125</v>
      </c>
      <c r="P111" s="32" t="n">
        <f aca="false">+P110/L110-1</f>
        <v>0.105263157894737</v>
      </c>
      <c r="Q111" s="32" t="n">
        <f aca="false">+Q110/M110-1</f>
        <v>0.101615646258503</v>
      </c>
      <c r="R111" s="32" t="n">
        <f aca="false">+R110/N110-1</f>
        <v>-0.000808080808080813</v>
      </c>
      <c r="S111" s="32" t="n">
        <f aca="false">+S110/O110-1</f>
        <v>0.0519215044971382</v>
      </c>
      <c r="T111" s="32" t="n">
        <f aca="false">+T110/P110-1</f>
        <v>0.0531746031746032</v>
      </c>
      <c r="AB111" s="32" t="n">
        <f aca="false">+AB110/AB$28</f>
        <v>0.227157360406091</v>
      </c>
      <c r="AC111" s="32" t="n">
        <f aca="false">+AC110/AC$28</f>
        <v>0.194249069093918</v>
      </c>
      <c r="AD111" s="32" t="n">
        <f aca="false">+AD110/AD$28</f>
        <v>0.687643898695319</v>
      </c>
      <c r="AE111" s="32" t="n">
        <f aca="false">+AE110/AE$28</f>
        <v>0.656526005888126</v>
      </c>
      <c r="AF111" s="32" t="n">
        <f aca="false">+AF110/AF$28</f>
        <v>0.581318190518727</v>
      </c>
      <c r="AG111" s="32" t="n">
        <f aca="false">+AG110/AG$28</f>
        <v>0.583730943791458</v>
      </c>
      <c r="AH111" s="32" t="n">
        <f aca="false">+AH110/AH$28</f>
        <v>0.5</v>
      </c>
      <c r="AI111" s="32" t="n">
        <f aca="false">+AI110/AI$28</f>
        <v>0.5</v>
      </c>
      <c r="AJ111" s="32" t="n">
        <f aca="false">+AJ110/AJ$28</f>
        <v>0.5</v>
      </c>
      <c r="AK111" s="32" t="n">
        <f aca="false">+AK110/AK$28</f>
        <v>0.5</v>
      </c>
      <c r="AL111" s="32" t="n">
        <f aca="false">+AL110/AL$28</f>
        <v>0.5</v>
      </c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25"/>
      <c r="DD111" s="25"/>
      <c r="DE111" s="25"/>
      <c r="DF111" s="25"/>
      <c r="DG111" s="25"/>
    </row>
    <row r="112" s="4" customFormat="true" ht="12.8" hidden="false" customHeight="true" outlineLevel="0" collapsed="false">
      <c r="A112" s="40" t="s">
        <v>161</v>
      </c>
      <c r="B112" s="4" t="n">
        <v>1146</v>
      </c>
      <c r="C112" s="4" t="n">
        <v>1127</v>
      </c>
      <c r="D112" s="4" t="n">
        <v>1197</v>
      </c>
      <c r="E112" s="4" t="n">
        <v>1128</v>
      </c>
      <c r="F112" s="4" t="n">
        <v>1156</v>
      </c>
      <c r="G112" s="4" t="n">
        <v>1167</v>
      </c>
      <c r="H112" s="4" t="n">
        <v>1209</v>
      </c>
      <c r="I112" s="4" t="n">
        <v>1203</v>
      </c>
      <c r="J112" s="4" t="n">
        <v>1270</v>
      </c>
      <c r="K112" s="4" t="n">
        <v>1323</v>
      </c>
      <c r="L112" s="4" t="n">
        <f aca="false">1340</f>
        <v>1340</v>
      </c>
      <c r="M112" s="4" t="n">
        <f aca="false">+0+1539</f>
        <v>1539</v>
      </c>
      <c r="N112" s="4" t="n">
        <f aca="false">+0+1654</f>
        <v>1654</v>
      </c>
      <c r="O112" s="4" t="n">
        <f aca="false">+1929+0</f>
        <v>1929</v>
      </c>
      <c r="P112" s="4" t="n">
        <v>1741</v>
      </c>
      <c r="Q112" s="4" t="n">
        <f aca="false">+0+1458</f>
        <v>1458</v>
      </c>
      <c r="R112" s="4" t="n">
        <v>0</v>
      </c>
      <c r="S112" s="4" t="n">
        <v>0</v>
      </c>
      <c r="T112" s="4" t="n">
        <v>0</v>
      </c>
      <c r="AB112" s="4" t="n">
        <v>0</v>
      </c>
      <c r="AC112" s="4" t="n">
        <v>1202</v>
      </c>
      <c r="AD112" s="4" t="n">
        <f aca="false">SUM(B112:E112)</f>
        <v>4598</v>
      </c>
      <c r="AE112" s="4" t="n">
        <f aca="false">SUM(F112:I112)</f>
        <v>4735</v>
      </c>
      <c r="AF112" s="4" t="n">
        <f aca="false">SUM(J112:M112)</f>
        <v>5472</v>
      </c>
      <c r="AG112" s="4" t="n">
        <f aca="false">SUM(N112:Q112)</f>
        <v>6782</v>
      </c>
      <c r="DC112" s="25"/>
      <c r="DD112" s="25"/>
      <c r="DE112" s="25"/>
      <c r="DF112" s="25"/>
      <c r="DG112" s="25"/>
    </row>
    <row r="113" s="4" customFormat="true" ht="12.8" hidden="false" customHeight="true" outlineLevel="0" collapsed="false">
      <c r="A113" s="40" t="s">
        <v>162</v>
      </c>
      <c r="B113" s="4" t="n">
        <f aca="false">+22+6</f>
        <v>28</v>
      </c>
      <c r="C113" s="4" t="n">
        <f aca="false">+4+39</f>
        <v>43</v>
      </c>
      <c r="D113" s="4" t="n">
        <f aca="false">+3+29</f>
        <v>32</v>
      </c>
      <c r="E113" s="4" t="n">
        <f aca="false">+3+26</f>
        <v>29</v>
      </c>
      <c r="F113" s="4" t="n">
        <f aca="false">+3+27</f>
        <v>30</v>
      </c>
      <c r="G113" s="4" t="n">
        <f aca="false">+3+25</f>
        <v>28</v>
      </c>
      <c r="H113" s="4" t="n">
        <f aca="false">+3+24</f>
        <v>27</v>
      </c>
      <c r="I113" s="4" t="n">
        <f aca="false">+3+21</f>
        <v>24</v>
      </c>
      <c r="J113" s="4" t="n">
        <f aca="false">+20+3</f>
        <v>23</v>
      </c>
      <c r="K113" s="4" t="n">
        <f aca="false">+24+3</f>
        <v>27</v>
      </c>
      <c r="L113" s="4" t="n">
        <f aca="false">+24+3</f>
        <v>27</v>
      </c>
      <c r="M113" s="4" t="n">
        <f aca="false">+25+3</f>
        <v>28</v>
      </c>
      <c r="N113" s="4" t="n">
        <f aca="false">+2+39</f>
        <v>41</v>
      </c>
      <c r="O113" s="4" t="n">
        <v>47</v>
      </c>
      <c r="P113" s="4" t="n">
        <f aca="false">+50+3</f>
        <v>53</v>
      </c>
      <c r="Q113" s="4" t="n">
        <f aca="false">+3+51</f>
        <v>54</v>
      </c>
      <c r="R113" s="4" t="n">
        <f aca="false">+49+3</f>
        <v>52</v>
      </c>
      <c r="S113" s="4" t="n">
        <f aca="false">+13+45</f>
        <v>58</v>
      </c>
      <c r="T113" s="4" t="n">
        <f aca="false">+48+13</f>
        <v>61</v>
      </c>
      <c r="AB113" s="4" t="n">
        <f aca="false">+2+20</f>
        <v>22</v>
      </c>
      <c r="AC113" s="4" t="n">
        <f aca="false">+22+7</f>
        <v>29</v>
      </c>
      <c r="AD113" s="4" t="n">
        <f aca="false">SUM(B113:E113)</f>
        <v>132</v>
      </c>
      <c r="AE113" s="4" t="n">
        <f aca="false">SUM(F113:I113)</f>
        <v>109</v>
      </c>
      <c r="AF113" s="4" t="n">
        <f aca="false">SUM(J113:M113)</f>
        <v>105</v>
      </c>
      <c r="AG113" s="4" t="n">
        <f aca="false">SUM(N113:Q113)</f>
        <v>195</v>
      </c>
      <c r="DC113" s="25"/>
      <c r="DD113" s="25"/>
      <c r="DE113" s="25"/>
      <c r="DF113" s="25"/>
      <c r="DG113" s="25"/>
    </row>
    <row r="114" s="4" customFormat="true" ht="12.8" hidden="false" customHeight="true" outlineLevel="0" collapsed="false">
      <c r="A114" s="40" t="s">
        <v>163</v>
      </c>
      <c r="B114" s="4" t="n">
        <v>42</v>
      </c>
      <c r="C114" s="4" t="n">
        <v>23</v>
      </c>
      <c r="D114" s="4" t="n">
        <v>24</v>
      </c>
      <c r="E114" s="4" t="n">
        <v>21</v>
      </c>
      <c r="F114" s="4" t="n">
        <v>24</v>
      </c>
      <c r="G114" s="4" t="n">
        <v>28</v>
      </c>
      <c r="H114" s="4" t="n">
        <v>17</v>
      </c>
      <c r="I114" s="4" t="n">
        <v>17</v>
      </c>
      <c r="J114" s="4" t="n">
        <v>22</v>
      </c>
      <c r="K114" s="4" t="n">
        <v>47</v>
      </c>
      <c r="L114" s="4" t="n">
        <v>22</v>
      </c>
      <c r="M114" s="4" t="n">
        <v>20</v>
      </c>
      <c r="N114" s="4" t="n">
        <v>22</v>
      </c>
      <c r="O114" s="4" t="n">
        <v>16</v>
      </c>
      <c r="P114" s="4" t="n">
        <v>13</v>
      </c>
      <c r="Q114" s="4" t="n">
        <v>10</v>
      </c>
      <c r="R114" s="4" t="n">
        <v>18</v>
      </c>
      <c r="S114" s="4" t="n">
        <f aca="false">+2+22</f>
        <v>24</v>
      </c>
      <c r="T114" s="4" t="n">
        <v>23</v>
      </c>
      <c r="AB114" s="4" t="n">
        <v>105</v>
      </c>
      <c r="AC114" s="4" t="n">
        <v>89</v>
      </c>
      <c r="AD114" s="4" t="n">
        <f aca="false">SUM(B114:E114)</f>
        <v>110</v>
      </c>
      <c r="AE114" s="4" t="n">
        <f aca="false">SUM(F114:I114)</f>
        <v>86</v>
      </c>
      <c r="AF114" s="4" t="n">
        <f aca="false">SUM(J114:M114)</f>
        <v>111</v>
      </c>
      <c r="AG114" s="4" t="n">
        <f aca="false">SUM(N114:Q114)</f>
        <v>61</v>
      </c>
      <c r="DC114" s="25"/>
      <c r="DD114" s="25"/>
      <c r="DE114" s="25"/>
      <c r="DF114" s="25"/>
      <c r="DG114" s="25"/>
    </row>
    <row r="115" s="4" customFormat="true" ht="12.8" hidden="false" customHeight="true" outlineLevel="0" collapsed="false">
      <c r="A115" s="40" t="s">
        <v>164</v>
      </c>
      <c r="B115" s="4" t="n">
        <v>587</v>
      </c>
      <c r="C115" s="4" t="n">
        <v>592</v>
      </c>
      <c r="D115" s="4" t="n">
        <v>608</v>
      </c>
      <c r="E115" s="4" t="n">
        <v>555</v>
      </c>
      <c r="F115" s="4" t="n">
        <v>546</v>
      </c>
      <c r="G115" s="4" t="n">
        <v>522</v>
      </c>
      <c r="H115" s="4" t="n">
        <v>520</v>
      </c>
      <c r="I115" s="4" t="n">
        <v>493</v>
      </c>
      <c r="J115" s="4" t="n">
        <v>493</v>
      </c>
      <c r="K115" s="4" t="n">
        <v>472</v>
      </c>
      <c r="L115" s="4" t="n">
        <v>446</v>
      </c>
      <c r="M115" s="4" t="n">
        <v>462</v>
      </c>
      <c r="N115" s="4" t="n">
        <v>448</v>
      </c>
      <c r="O115" s="4" t="n">
        <v>453</v>
      </c>
      <c r="P115" s="4" t="n">
        <v>444</v>
      </c>
      <c r="Q115" s="4" t="n">
        <v>433</v>
      </c>
      <c r="R115" s="4" t="n">
        <v>414</v>
      </c>
      <c r="S115" s="4" t="n">
        <v>404</v>
      </c>
      <c r="T115" s="4" t="n">
        <v>391</v>
      </c>
      <c r="AB115" s="4" t="n">
        <v>577</v>
      </c>
      <c r="AC115" s="4" t="n">
        <v>579</v>
      </c>
      <c r="AD115" s="4" t="n">
        <f aca="false">SUM(B115:E115)</f>
        <v>2342</v>
      </c>
      <c r="AE115" s="4" t="n">
        <f aca="false">SUM(F115:I115)</f>
        <v>2081</v>
      </c>
      <c r="AF115" s="4" t="n">
        <f aca="false">SUM(J115:M115)</f>
        <v>1873</v>
      </c>
      <c r="AG115" s="4" t="n">
        <f aca="false">SUM(N115:Q115)</f>
        <v>1778</v>
      </c>
      <c r="DC115" s="25"/>
      <c r="DD115" s="25"/>
      <c r="DE115" s="25"/>
      <c r="DF115" s="25"/>
      <c r="DG115" s="25"/>
    </row>
    <row r="116" s="4" customFormat="true" ht="12.8" hidden="false" customHeight="true" outlineLevel="0" collapsed="false">
      <c r="A116" s="40" t="s">
        <v>155</v>
      </c>
      <c r="B116" s="4" t="n">
        <v>0</v>
      </c>
      <c r="C116" s="4" t="n">
        <v>1</v>
      </c>
      <c r="D116" s="4" t="n">
        <v>2</v>
      </c>
      <c r="E116" s="4" t="n">
        <v>5</v>
      </c>
      <c r="F116" s="4" t="n">
        <v>6</v>
      </c>
      <c r="G116" s="4" t="n">
        <v>6</v>
      </c>
      <c r="H116" s="4" t="n">
        <v>6</v>
      </c>
      <c r="I116" s="4" t="n">
        <v>8</v>
      </c>
      <c r="J116" s="4" t="n">
        <v>17</v>
      </c>
      <c r="K116" s="4" t="n">
        <v>19</v>
      </c>
      <c r="L116" s="4" t="n">
        <v>20</v>
      </c>
      <c r="M116" s="4" t="n">
        <v>21</v>
      </c>
      <c r="N116" s="4" t="n">
        <v>21</v>
      </c>
      <c r="O116" s="4" t="n">
        <v>66</v>
      </c>
      <c r="P116" s="4" t="n">
        <v>223</v>
      </c>
      <c r="Q116" s="4" t="n">
        <v>163</v>
      </c>
      <c r="R116" s="4" t="n">
        <v>11</v>
      </c>
      <c r="S116" s="4" t="n">
        <v>30</v>
      </c>
      <c r="T116" s="4" t="n">
        <v>45</v>
      </c>
      <c r="AB116" s="4" t="n">
        <v>0</v>
      </c>
      <c r="AC116" s="4" t="n">
        <v>0</v>
      </c>
      <c r="AD116" s="4" t="n">
        <f aca="false">SUM(B116:E116)</f>
        <v>8</v>
      </c>
      <c r="AE116" s="4" t="n">
        <f aca="false">SUM(F116:I116)</f>
        <v>26</v>
      </c>
      <c r="AF116" s="4" t="n">
        <f aca="false">SUM(J116:M116)</f>
        <v>77</v>
      </c>
      <c r="AG116" s="4" t="n">
        <f aca="false">SUM(N116:Q116)</f>
        <v>473</v>
      </c>
      <c r="DC116" s="25"/>
      <c r="DD116" s="25"/>
      <c r="DE116" s="25"/>
      <c r="DF116" s="25"/>
      <c r="DG116" s="25"/>
    </row>
    <row r="117" s="4" customFormat="true" ht="12.8" hidden="false" customHeight="true" outlineLevel="0" collapsed="false">
      <c r="A117" s="40" t="s">
        <v>165</v>
      </c>
      <c r="B117" s="4" t="n">
        <f aca="false">SUM(B106:B116)-B111-B109</f>
        <v>4892</v>
      </c>
      <c r="C117" s="4" t="n">
        <f aca="false">SUM(C106:C116)-C111-C109</f>
        <v>5087</v>
      </c>
      <c r="D117" s="4" t="n">
        <f aca="false">SUM(D106:D116)-D111-D109</f>
        <v>5399</v>
      </c>
      <c r="E117" s="4" t="n">
        <f aca="false">SUM(E106:E116)-E111-E109</f>
        <v>5235</v>
      </c>
      <c r="F117" s="4" t="n">
        <f aca="false">SUM(F106:F116)-F111-F109</f>
        <v>5187</v>
      </c>
      <c r="G117" s="4" t="n">
        <f aca="false">SUM(G106:G116)-G111-G109</f>
        <v>5258</v>
      </c>
      <c r="H117" s="4" t="n">
        <f aca="false">SUM(H106:H116)-H111-H109</f>
        <v>5453</v>
      </c>
      <c r="I117" s="4" t="n">
        <f aca="false">SUM(I106:I116)-I111-I109</f>
        <v>5823</v>
      </c>
      <c r="J117" s="4" t="n">
        <f aca="false">SUM(J106:J116)-J111-J109</f>
        <v>5766</v>
      </c>
      <c r="K117" s="4" t="n">
        <f aca="false">SUM(K106:K116)-K111-K109</f>
        <v>5887</v>
      </c>
      <c r="L117" s="4" t="n">
        <f aca="false">SUM(L106:L116)-L111-L109</f>
        <v>5920</v>
      </c>
      <c r="M117" s="4" t="n">
        <f aca="false">SUM(M106:M116)-M111-M109</f>
        <v>6480</v>
      </c>
      <c r="N117" s="4" t="n">
        <f aca="false">SUM(N106:N116)-N111-N109</f>
        <v>6440</v>
      </c>
      <c r="O117" s="4" t="n">
        <f aca="false">SUM(O106:O116)-O111-O109</f>
        <v>6835</v>
      </c>
      <c r="P117" s="4" t="n">
        <f aca="false">SUM(P106:P116)-P111-P109</f>
        <v>6910</v>
      </c>
      <c r="Q117" s="4" t="n">
        <f aca="false">SUM(Q106:Q116)-Q111-Q109</f>
        <v>6686</v>
      </c>
      <c r="R117" s="4" t="n">
        <f aca="false">SUM(R106:R116)-R111-R109</f>
        <v>5118</v>
      </c>
      <c r="S117" s="4" t="n">
        <f aca="false">SUM(S106:S116)-S111-S109</f>
        <v>5363</v>
      </c>
      <c r="T117" s="4" t="n">
        <f aca="false">SUM(T106:T116)-T111-T109</f>
        <v>5571</v>
      </c>
      <c r="AA117" s="4" t="n">
        <f aca="false">SUM(AA106:AA116)-AA111-AA109</f>
        <v>0</v>
      </c>
      <c r="AB117" s="4" t="n">
        <f aca="false">SUM(AB106:AB116)-AB111-AB109</f>
        <v>3521</v>
      </c>
      <c r="AC117" s="4" t="n">
        <f aca="false">SUM(AC106:AC116)-AC111-AC109</f>
        <v>5051</v>
      </c>
      <c r="AD117" s="4" t="n">
        <f aca="false">SUM(AD106:AD116)-AD111-AD109</f>
        <v>20613</v>
      </c>
      <c r="AE117" s="4" t="n">
        <f aca="false">SUM(AE106:AE116)-AE111-AE109</f>
        <v>21721</v>
      </c>
      <c r="AF117" s="4" t="n">
        <f aca="false">SUM(AF106:AF116)-AF111-AF109</f>
        <v>24053</v>
      </c>
      <c r="AG117" s="4" t="n">
        <f aca="false">SUM(AG106:AG116)-AG111-AG109</f>
        <v>26871</v>
      </c>
      <c r="DC117" s="25"/>
      <c r="DD117" s="25"/>
      <c r="DE117" s="25"/>
      <c r="DF117" s="25"/>
      <c r="DG117" s="25"/>
    </row>
    <row r="118" s="4" customFormat="true" ht="12.8" hidden="false" customHeight="true" outlineLevel="0" collapsed="false">
      <c r="A118" s="40" t="s">
        <v>110</v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AB118" s="4" t="n">
        <v>0</v>
      </c>
      <c r="AC118" s="4" t="n">
        <v>0</v>
      </c>
      <c r="AD118" s="4" t="n">
        <f aca="false">SUM(B118:E118)</f>
        <v>0</v>
      </c>
      <c r="AE118" s="4" t="n">
        <f aca="false">SUM(F118:I118)</f>
        <v>0</v>
      </c>
      <c r="AF118" s="4" t="n">
        <f aca="false">SUM(J118:M118)</f>
        <v>0</v>
      </c>
      <c r="AG118" s="4" t="n">
        <f aca="false">SUM(N118:Q118)</f>
        <v>0</v>
      </c>
      <c r="DC118" s="25"/>
      <c r="DD118" s="25"/>
      <c r="DE118" s="25"/>
      <c r="DF118" s="25"/>
      <c r="DG118" s="25"/>
    </row>
    <row r="119" s="4" customFormat="true" ht="12.8" hidden="false" customHeight="true" outlineLevel="0" collapsed="false">
      <c r="A119" s="40" t="s">
        <v>149</v>
      </c>
      <c r="B119" s="4" t="n">
        <v>4789</v>
      </c>
      <c r="C119" s="4" t="n">
        <v>4789</v>
      </c>
      <c r="D119" s="4" t="n">
        <v>4789</v>
      </c>
      <c r="E119" s="4" t="n">
        <v>4789</v>
      </c>
      <c r="F119" s="4" t="n">
        <v>4864</v>
      </c>
      <c r="G119" s="4" t="n">
        <v>4899</v>
      </c>
      <c r="H119" s="4" t="n">
        <v>4931</v>
      </c>
      <c r="I119" s="4" t="n">
        <v>5155</v>
      </c>
      <c r="J119" s="4" t="n">
        <v>5397</v>
      </c>
      <c r="K119" s="4" t="n">
        <v>5637</v>
      </c>
      <c r="L119" s="4" t="n">
        <v>5825</v>
      </c>
      <c r="M119" s="4" t="n">
        <v>6124</v>
      </c>
      <c r="N119" s="4" t="n">
        <v>-262</v>
      </c>
      <c r="O119" s="4" t="n">
        <v>6420</v>
      </c>
      <c r="P119" s="4" t="n">
        <v>6459</v>
      </c>
      <c r="Q119" s="4" t="n">
        <v>6496</v>
      </c>
      <c r="R119" s="4" t="n">
        <v>6560</v>
      </c>
      <c r="S119" s="4" t="n">
        <v>6624</v>
      </c>
      <c r="T119" s="4" t="n">
        <v>6692</v>
      </c>
      <c r="AB119" s="4" t="n">
        <v>4583</v>
      </c>
      <c r="AC119" s="4" t="n">
        <v>4746</v>
      </c>
      <c r="AD119" s="4" t="n">
        <f aca="false">SUM(B119:E119)</f>
        <v>19156</v>
      </c>
      <c r="AE119" s="4" t="n">
        <f aca="false">SUM(F119:I119)</f>
        <v>19849</v>
      </c>
      <c r="AF119" s="4" t="n">
        <f aca="false">SUM(J119:M119)</f>
        <v>22983</v>
      </c>
      <c r="AG119" s="4" t="n">
        <f aca="false">SUM(N119:Q119)</f>
        <v>19113</v>
      </c>
      <c r="DC119" s="25"/>
      <c r="DD119" s="25"/>
      <c r="DE119" s="25"/>
      <c r="DF119" s="25"/>
      <c r="DG119" s="25"/>
    </row>
    <row r="120" s="4" customFormat="true" ht="12.8" hidden="false" customHeight="true" outlineLevel="0" collapsed="false">
      <c r="A120" s="40" t="s">
        <v>166</v>
      </c>
      <c r="B120" s="4" t="n">
        <v>-262</v>
      </c>
      <c r="C120" s="4" t="n">
        <v>-262</v>
      </c>
      <c r="D120" s="4" t="n">
        <v>-262</v>
      </c>
      <c r="E120" s="4" t="n">
        <v>-262</v>
      </c>
      <c r="F120" s="4" t="n">
        <v>-262</v>
      </c>
      <c r="G120" s="4" t="n">
        <v>-262</v>
      </c>
      <c r="H120" s="4" t="n">
        <v>-262</v>
      </c>
      <c r="I120" s="4" t="n">
        <v>-262</v>
      </c>
      <c r="J120" s="4" t="n">
        <v>-262</v>
      </c>
      <c r="K120" s="4" t="n">
        <v>-262</v>
      </c>
      <c r="L120" s="4" t="n">
        <v>-262</v>
      </c>
      <c r="M120" s="4" t="n">
        <v>-262</v>
      </c>
      <c r="N120" s="4" t="n">
        <v>6328</v>
      </c>
      <c r="O120" s="4" t="n">
        <v>-262</v>
      </c>
      <c r="P120" s="4" t="n">
        <v>-328</v>
      </c>
      <c r="Q120" s="4" t="n">
        <v>-701</v>
      </c>
      <c r="R120" s="4" t="n">
        <v>-1007</v>
      </c>
      <c r="S120" s="4" t="n">
        <v>-1248</v>
      </c>
      <c r="T120" s="4" t="n">
        <v>-1566</v>
      </c>
      <c r="AB120" s="4" t="n">
        <v>-175</v>
      </c>
      <c r="AC120" s="4" t="n">
        <v>-260</v>
      </c>
      <c r="AD120" s="4" t="n">
        <f aca="false">SUM(B120:E120)</f>
        <v>-1048</v>
      </c>
      <c r="AE120" s="4" t="n">
        <f aca="false">SUM(F120:I120)</f>
        <v>-1048</v>
      </c>
      <c r="AF120" s="4" t="n">
        <f aca="false">SUM(J120:M120)</f>
        <v>-1048</v>
      </c>
      <c r="AG120" s="4" t="n">
        <f aca="false">SUM(N120:Q120)</f>
        <v>5037</v>
      </c>
      <c r="DC120" s="25"/>
      <c r="DD120" s="25"/>
      <c r="DE120" s="25"/>
      <c r="DF120" s="25"/>
      <c r="DG120" s="25"/>
    </row>
    <row r="121" s="4" customFormat="true" ht="12.8" hidden="false" customHeight="true" outlineLevel="0" collapsed="false">
      <c r="A121" s="40" t="s">
        <v>167</v>
      </c>
      <c r="B121" s="4" t="n">
        <v>709</v>
      </c>
      <c r="C121" s="4" t="n">
        <v>988</v>
      </c>
      <c r="D121" s="4" t="n">
        <v>1085</v>
      </c>
      <c r="E121" s="4" t="n">
        <v>1521</v>
      </c>
      <c r="F121" s="4" t="n">
        <v>1615</v>
      </c>
      <c r="G121" s="4" t="n">
        <v>1594</v>
      </c>
      <c r="H121" s="4" t="n">
        <v>1582</v>
      </c>
      <c r="I121" s="4" t="n">
        <v>1812</v>
      </c>
      <c r="J121" s="4" t="n">
        <v>2159</v>
      </c>
      <c r="K121" s="4" t="n">
        <v>2595</v>
      </c>
      <c r="L121" s="4" t="n">
        <v>2481</v>
      </c>
      <c r="M121" s="4" t="n">
        <v>2707</v>
      </c>
      <c r="N121" s="4" t="n">
        <v>3000</v>
      </c>
      <c r="O121" s="4" t="n">
        <v>3374</v>
      </c>
      <c r="P121" s="4" t="n">
        <v>3654</v>
      </c>
      <c r="Q121" s="4" t="n">
        <v>3366</v>
      </c>
      <c r="R121" s="4" t="n">
        <v>2581</v>
      </c>
      <c r="S121" s="4" t="n">
        <v>2588</v>
      </c>
      <c r="T121" s="4" t="n">
        <v>2630</v>
      </c>
      <c r="AB121" s="4" t="n">
        <v>1687</v>
      </c>
      <c r="AC121" s="4" t="n">
        <v>853</v>
      </c>
      <c r="AD121" s="4" t="n">
        <f aca="false">SUM(B121:E121)</f>
        <v>4303</v>
      </c>
      <c r="AE121" s="4" t="n">
        <f aca="false">SUM(F121:I121)</f>
        <v>6603</v>
      </c>
      <c r="AF121" s="4" t="n">
        <f aca="false">SUM(J121:M121)</f>
        <v>9942</v>
      </c>
      <c r="AG121" s="4" t="n">
        <f aca="false">SUM(N121:Q121)</f>
        <v>13394</v>
      </c>
      <c r="DC121" s="25"/>
      <c r="DD121" s="25"/>
      <c r="DE121" s="25"/>
      <c r="DF121" s="25"/>
      <c r="DG121" s="25"/>
    </row>
    <row r="122" s="4" customFormat="true" ht="12.8" hidden="false" customHeight="true" outlineLevel="0" collapsed="false">
      <c r="A122" s="40" t="s">
        <v>168</v>
      </c>
      <c r="B122" s="4" t="n">
        <v>-3089</v>
      </c>
      <c r="C122" s="4" t="n">
        <v>-3214</v>
      </c>
      <c r="D122" s="4" t="n">
        <v>-3379</v>
      </c>
      <c r="E122" s="4" t="n">
        <v>-3647</v>
      </c>
      <c r="F122" s="4" t="n">
        <v>-3875</v>
      </c>
      <c r="G122" s="4" t="n">
        <v>-4177</v>
      </c>
      <c r="H122" s="4" t="n">
        <v>-4112</v>
      </c>
      <c r="I122" s="4" t="n">
        <v>-4182</v>
      </c>
      <c r="J122" s="4" t="n">
        <v>-3985</v>
      </c>
      <c r="K122" s="4" t="n">
        <v>-3711</v>
      </c>
      <c r="L122" s="4" t="n">
        <v>-3411</v>
      </c>
      <c r="M122" s="4" t="n">
        <v>-3044</v>
      </c>
      <c r="N122" s="4" t="n">
        <v>-2819</v>
      </c>
      <c r="O122" s="4" t="n">
        <v>-2905</v>
      </c>
      <c r="P122" s="4" t="n">
        <v>-2006</v>
      </c>
      <c r="Q122" s="4" t="n">
        <v>-832</v>
      </c>
      <c r="R122" s="4" t="n">
        <v>-124</v>
      </c>
      <c r="S122" s="4" t="n">
        <v>421</v>
      </c>
      <c r="T122" s="4" t="n">
        <v>985</v>
      </c>
      <c r="AB122" s="4" t="n">
        <v>-3290</v>
      </c>
      <c r="AC122" s="4" t="n">
        <v>-3220</v>
      </c>
      <c r="AD122" s="4" t="n">
        <f aca="false">SUM(B122:E122)</f>
        <v>-13329</v>
      </c>
      <c r="AE122" s="4" t="n">
        <f aca="false">SUM(F122:I122)</f>
        <v>-16346</v>
      </c>
      <c r="AF122" s="4" t="n">
        <f aca="false">SUM(J122:M122)</f>
        <v>-14151</v>
      </c>
      <c r="AG122" s="4" t="n">
        <f aca="false">SUM(N122:Q122)</f>
        <v>-8562</v>
      </c>
      <c r="DC122" s="25"/>
      <c r="DD122" s="25"/>
      <c r="DE122" s="25"/>
      <c r="DF122" s="25"/>
      <c r="DG122" s="25"/>
    </row>
    <row r="123" s="4" customFormat="true" ht="12.8" hidden="false" customHeight="true" outlineLevel="0" collapsed="false">
      <c r="A123" s="40" t="s">
        <v>169</v>
      </c>
      <c r="B123" s="4" t="n">
        <f aca="false">SUM(B118:B122)</f>
        <v>2147</v>
      </c>
      <c r="C123" s="4" t="n">
        <f aca="false">SUM(C118:C122)</f>
        <v>2301</v>
      </c>
      <c r="D123" s="4" t="n">
        <f aca="false">SUM(D118:D122)</f>
        <v>2233</v>
      </c>
      <c r="E123" s="4" t="n">
        <f aca="false">SUM(E118:E122)</f>
        <v>2401</v>
      </c>
      <c r="F123" s="4" t="n">
        <f aca="false">SUM(F118:F122)</f>
        <v>2342</v>
      </c>
      <c r="G123" s="4" t="n">
        <f aca="false">SUM(G118:G122)</f>
        <v>2054</v>
      </c>
      <c r="H123" s="4" t="n">
        <f aca="false">SUM(H118:H122)</f>
        <v>2139</v>
      </c>
      <c r="I123" s="4" t="n">
        <f aca="false">SUM(I118:I122)</f>
        <v>2523</v>
      </c>
      <c r="J123" s="4" t="n">
        <f aca="false">SUM(J118:J122)</f>
        <v>3309</v>
      </c>
      <c r="K123" s="4" t="n">
        <f aca="false">SUM(K118:K122)</f>
        <v>4259</v>
      </c>
      <c r="L123" s="4" t="n">
        <f aca="false">SUM(L118:L122)</f>
        <v>4633</v>
      </c>
      <c r="M123" s="4" t="n">
        <f aca="false">SUM(M118:M122)</f>
        <v>5525</v>
      </c>
      <c r="N123" s="4" t="n">
        <f aca="false">SUM(N118:N122)</f>
        <v>6247</v>
      </c>
      <c r="O123" s="4" t="n">
        <f aca="false">SUM(O118:O122)</f>
        <v>6627</v>
      </c>
      <c r="P123" s="4" t="n">
        <f aca="false">SUM(P118:P122)</f>
        <v>7779</v>
      </c>
      <c r="Q123" s="4" t="n">
        <f aca="false">SUM(Q118:Q122)</f>
        <v>8329</v>
      </c>
      <c r="R123" s="4" t="n">
        <f aca="false">SUM(R118:R122)</f>
        <v>8010</v>
      </c>
      <c r="S123" s="4" t="n">
        <f aca="false">SUM(S118:S122)</f>
        <v>8385</v>
      </c>
      <c r="T123" s="4" t="n">
        <f aca="false">SUM(T118:T122)</f>
        <v>8741</v>
      </c>
      <c r="AA123" s="4" t="n">
        <f aca="false">SUM(AA118:AA122)</f>
        <v>0</v>
      </c>
      <c r="AB123" s="4" t="n">
        <f aca="false">SUM(AB118:AB122)</f>
        <v>2805</v>
      </c>
      <c r="AC123" s="4" t="n">
        <f aca="false">SUM(AC118:AC122)</f>
        <v>2119</v>
      </c>
      <c r="AD123" s="4" t="n">
        <f aca="false">SUM(AD118:AD122)</f>
        <v>9082</v>
      </c>
      <c r="AE123" s="4" t="n">
        <f aca="false">SUM(AE118:AE122)</f>
        <v>9058</v>
      </c>
      <c r="AF123" s="4" t="n">
        <f aca="false">SUM(AF118:AF122)</f>
        <v>17726</v>
      </c>
      <c r="AG123" s="4" t="n">
        <f aca="false">SUM(AG118:AG122)</f>
        <v>28982</v>
      </c>
      <c r="DC123" s="25"/>
      <c r="DD123" s="25"/>
      <c r="DE123" s="25"/>
      <c r="DF123" s="25"/>
      <c r="DG123" s="25"/>
    </row>
    <row r="124" s="4" customFormat="true" ht="12.8" hidden="false" customHeight="true" outlineLevel="0" collapsed="false">
      <c r="A124" s="40" t="s">
        <v>170</v>
      </c>
      <c r="B124" s="4" t="n">
        <f aca="false">B123+B117</f>
        <v>7039</v>
      </c>
      <c r="C124" s="4" t="n">
        <f aca="false">C123+C117</f>
        <v>7388</v>
      </c>
      <c r="D124" s="4" t="n">
        <f aca="false">D123+D117</f>
        <v>7632</v>
      </c>
      <c r="E124" s="4" t="n">
        <f aca="false">E123+E117</f>
        <v>7636</v>
      </c>
      <c r="F124" s="4" t="n">
        <f aca="false">F123+F117</f>
        <v>7529</v>
      </c>
      <c r="G124" s="4" t="n">
        <f aca="false">G123+G117</f>
        <v>7312</v>
      </c>
      <c r="H124" s="4" t="n">
        <f aca="false">H123+H117</f>
        <v>7592</v>
      </c>
      <c r="I124" s="4" t="n">
        <f aca="false">I123+I117</f>
        <v>8346</v>
      </c>
      <c r="J124" s="4" t="n">
        <f aca="false">J123+J117</f>
        <v>9075</v>
      </c>
      <c r="K124" s="4" t="n">
        <f aca="false">K123+K117</f>
        <v>10146</v>
      </c>
      <c r="L124" s="4" t="n">
        <f aca="false">L123+L117</f>
        <v>10553</v>
      </c>
      <c r="M124" s="4" t="n">
        <f aca="false">M123+M117</f>
        <v>12005</v>
      </c>
      <c r="N124" s="4" t="n">
        <f aca="false">N123+N117</f>
        <v>12687</v>
      </c>
      <c r="O124" s="4" t="n">
        <f aca="false">O123+O117</f>
        <v>13462</v>
      </c>
      <c r="P124" s="4" t="n">
        <f aca="false">P123+P117</f>
        <v>14689</v>
      </c>
      <c r="Q124" s="4" t="n">
        <f aca="false">Q123+Q117</f>
        <v>15015</v>
      </c>
      <c r="R124" s="4" t="n">
        <f aca="false">R123+R117</f>
        <v>13128</v>
      </c>
      <c r="S124" s="4" t="n">
        <f aca="false">S123+S117</f>
        <v>13748</v>
      </c>
      <c r="T124" s="4" t="n">
        <f aca="false">T123+T117</f>
        <v>14312</v>
      </c>
      <c r="AA124" s="4" t="n">
        <f aca="false">AA123+AA117</f>
        <v>0</v>
      </c>
      <c r="AB124" s="4" t="n">
        <f aca="false">AB123+AB117</f>
        <v>6326</v>
      </c>
      <c r="AC124" s="4" t="n">
        <f aca="false">AC123+AC117</f>
        <v>7170</v>
      </c>
      <c r="AD124" s="4" t="n">
        <f aca="false">AD123+AD117</f>
        <v>29695</v>
      </c>
      <c r="AE124" s="4" t="n">
        <f aca="false">AE123+AE117</f>
        <v>30779</v>
      </c>
      <c r="AF124" s="4" t="n">
        <f aca="false">AF123+AF117</f>
        <v>41779</v>
      </c>
      <c r="AG124" s="4" t="n">
        <f aca="false">AG123+AG117</f>
        <v>55853</v>
      </c>
      <c r="DC124" s="25"/>
      <c r="DD124" s="25"/>
      <c r="DE124" s="25"/>
      <c r="DF124" s="25"/>
      <c r="DG124" s="25"/>
    </row>
    <row r="125" s="4" customFormat="true" ht="12.8" hidden="false" customHeight="true" outlineLevel="0" collapsed="false">
      <c r="A125" s="40"/>
      <c r="DC125" s="25"/>
      <c r="DD125" s="25"/>
      <c r="DE125" s="25"/>
      <c r="DF125" s="25"/>
      <c r="DG125" s="25"/>
    </row>
    <row r="126" s="4" customFormat="true" ht="12.8" hidden="false" customHeight="true" outlineLevel="0" collapsed="false">
      <c r="A126" s="40"/>
      <c r="DC126" s="25"/>
      <c r="DD126" s="25"/>
      <c r="DE126" s="25"/>
      <c r="DF126" s="25"/>
      <c r="DG126" s="25"/>
    </row>
    <row r="127" s="4" customFormat="true" ht="12.8" hidden="false" customHeight="true" outlineLevel="0" collapsed="false">
      <c r="A127" s="40" t="s">
        <v>171</v>
      </c>
      <c r="B127" s="4" t="n">
        <f aca="false">B56</f>
        <v>131</v>
      </c>
      <c r="C127" s="4" t="n">
        <f aca="false">C56</f>
        <v>-125</v>
      </c>
      <c r="D127" s="4" t="n">
        <f aca="false">D56</f>
        <v>-166</v>
      </c>
      <c r="E127" s="4" t="n">
        <f aca="false">E56</f>
        <v>-270</v>
      </c>
      <c r="F127" s="4" t="n">
        <f aca="false">F56</f>
        <v>-225</v>
      </c>
      <c r="G127" s="4" t="n">
        <f aca="false">G56</f>
        <v>-302</v>
      </c>
      <c r="H127" s="4" t="n">
        <f aca="false">H56</f>
        <v>65</v>
      </c>
      <c r="I127" s="4" t="n">
        <f aca="false">I56</f>
        <v>-70</v>
      </c>
      <c r="J127" s="4" t="n">
        <f aca="false">J56</f>
        <v>197</v>
      </c>
      <c r="K127" s="4" t="n">
        <f aca="false">K56</f>
        <v>274</v>
      </c>
      <c r="L127" s="4" t="n">
        <f aca="false">L56</f>
        <v>300</v>
      </c>
      <c r="M127" s="4" t="n">
        <f aca="false">M56</f>
        <v>367</v>
      </c>
      <c r="N127" s="4" t="n">
        <f aca="false">N56</f>
        <v>225</v>
      </c>
      <c r="O127" s="4" t="n">
        <f aca="false">O56</f>
        <v>-86</v>
      </c>
      <c r="P127" s="4" t="n">
        <f aca="false">P56</f>
        <v>899</v>
      </c>
      <c r="Q127" s="4" t="n">
        <f aca="false">Q56</f>
        <v>1174</v>
      </c>
      <c r="R127" s="4" t="n">
        <f aca="false">R56</f>
        <v>721</v>
      </c>
      <c r="S127" s="4" t="n">
        <f aca="false">S56</f>
        <v>545</v>
      </c>
      <c r="T127" s="4" t="n">
        <f aca="false">T56</f>
        <v>518.77</v>
      </c>
      <c r="AA127" s="4" t="n">
        <f aca="false">AA56</f>
        <v>-186</v>
      </c>
      <c r="AB127" s="4" t="n">
        <f aca="false">AB56</f>
        <v>-581</v>
      </c>
      <c r="AC127" s="4" t="n">
        <f aca="false">AC56</f>
        <v>-33.9902772031444</v>
      </c>
      <c r="AD127" s="4" t="n">
        <f aca="false">AD56</f>
        <v>-430</v>
      </c>
      <c r="AE127" s="4" t="n">
        <f aca="false">AE56</f>
        <v>-532</v>
      </c>
      <c r="AF127" s="4" t="n">
        <f aca="false">AF56</f>
        <v>1138.08709245199</v>
      </c>
      <c r="AG127" s="4" t="n">
        <f aca="false">AG56</f>
        <v>2212</v>
      </c>
      <c r="DC127" s="25"/>
      <c r="DD127" s="25"/>
      <c r="DE127" s="25"/>
      <c r="DF127" s="25"/>
      <c r="DG127" s="25"/>
    </row>
    <row r="128" s="4" customFormat="true" ht="12.8" hidden="false" customHeight="true" outlineLevel="0" collapsed="false">
      <c r="A128" s="40" t="s">
        <v>108</v>
      </c>
      <c r="B128" s="4" t="n">
        <v>131</v>
      </c>
      <c r="C128" s="4" t="n">
        <v>-125</v>
      </c>
      <c r="D128" s="4" t="n">
        <v>-166</v>
      </c>
      <c r="E128" s="4" t="n">
        <v>-270</v>
      </c>
      <c r="F128" s="4" t="n">
        <v>-225</v>
      </c>
      <c r="G128" s="4" t="n">
        <v>-302</v>
      </c>
      <c r="H128" s="4" t="n">
        <v>65</v>
      </c>
      <c r="I128" s="4" t="n">
        <v>-70</v>
      </c>
      <c r="J128" s="4" t="n">
        <v>197</v>
      </c>
      <c r="K128" s="4" t="n">
        <v>274</v>
      </c>
      <c r="L128" s="4" t="n">
        <v>300</v>
      </c>
      <c r="M128" s="4" t="n">
        <v>367</v>
      </c>
      <c r="N128" s="4" t="n">
        <v>225</v>
      </c>
      <c r="O128" s="4" t="n">
        <v>-86</v>
      </c>
      <c r="P128" s="4" t="n">
        <v>899</v>
      </c>
      <c r="Q128" s="4" t="n">
        <v>1174</v>
      </c>
      <c r="R128" s="4" t="n">
        <v>721</v>
      </c>
      <c r="S128" s="4" t="n">
        <v>545</v>
      </c>
      <c r="T128" s="4" t="n">
        <v>518</v>
      </c>
      <c r="AA128" s="4" t="n">
        <v>-186</v>
      </c>
      <c r="AB128" s="4" t="n">
        <v>-581</v>
      </c>
      <c r="AC128" s="4" t="n">
        <v>-34</v>
      </c>
      <c r="AD128" s="4" t="n">
        <v>-430</v>
      </c>
      <c r="AE128" s="4" t="n">
        <v>-532</v>
      </c>
      <c r="AF128" s="4" t="n">
        <f aca="false">SUM(J128:M128)</f>
        <v>1138</v>
      </c>
      <c r="AG128" s="4" t="n">
        <f aca="false">SUM(N128:Q128)</f>
        <v>2212</v>
      </c>
      <c r="DC128" s="25"/>
      <c r="DD128" s="25"/>
      <c r="DE128" s="25"/>
      <c r="DF128" s="25"/>
      <c r="DG128" s="25"/>
    </row>
    <row r="129" s="4" customFormat="true" ht="10.5" hidden="false" customHeight="true" outlineLevel="0" collapsed="false">
      <c r="A129" s="40" t="s">
        <v>172</v>
      </c>
      <c r="B129" s="4" t="n">
        <f aca="false">+27+10</f>
        <v>37</v>
      </c>
      <c r="C129" s="4" t="n">
        <f aca="false">+29+11</f>
        <v>40</v>
      </c>
      <c r="D129" s="4" t="n">
        <f aca="false">+30+14</f>
        <v>44</v>
      </c>
      <c r="E129" s="4" t="n">
        <f aca="false">+32+18</f>
        <v>50</v>
      </c>
      <c r="F129" s="4" t="n">
        <f aca="false">+31+13</f>
        <v>44</v>
      </c>
      <c r="G129" s="4" t="n">
        <f aca="false">+30+14</f>
        <v>44</v>
      </c>
      <c r="H129" s="4" t="n">
        <f aca="false">+26+10</f>
        <v>36</v>
      </c>
      <c r="I129" s="4" t="n">
        <f aca="false">+23+11</f>
        <v>34</v>
      </c>
      <c r="J129" s="4" t="n">
        <f aca="false">+22+9</f>
        <v>31</v>
      </c>
      <c r="K129" s="4" t="n">
        <f aca="false">+21+9</f>
        <v>30</v>
      </c>
      <c r="L129" s="4" t="n">
        <f aca="false">+21+9</f>
        <v>30</v>
      </c>
      <c r="M129" s="4" t="n">
        <f aca="false">+21+9</f>
        <v>30</v>
      </c>
      <c r="N129" s="4" t="n">
        <f aca="false">+20+7</f>
        <v>27</v>
      </c>
      <c r="O129" s="4" t="n">
        <f aca="false">+20+6</f>
        <v>26</v>
      </c>
      <c r="P129" s="4" t="n">
        <f aca="false">+19+5</f>
        <v>24</v>
      </c>
      <c r="Q129" s="4" t="n">
        <f aca="false">+5+20</f>
        <v>25</v>
      </c>
      <c r="R129" s="4" t="n">
        <f aca="false">+20+6</f>
        <v>26</v>
      </c>
      <c r="S129" s="4" t="n">
        <f aca="false">+24+5</f>
        <v>29</v>
      </c>
      <c r="T129" s="4" t="n">
        <f aca="false">+27+6</f>
        <v>33</v>
      </c>
      <c r="AA129" s="4" t="n">
        <f aca="false">+71+16</f>
        <v>87</v>
      </c>
      <c r="AB129" s="4" t="n">
        <f aca="false">+86+25</f>
        <v>111</v>
      </c>
      <c r="AC129" s="4" t="n">
        <f aca="false">+94+33</f>
        <v>127</v>
      </c>
      <c r="AD129" s="4" t="n">
        <f aca="false">+118+53</f>
        <v>171</v>
      </c>
      <c r="AE129" s="4" t="n">
        <f aca="false">+110+48</f>
        <v>158</v>
      </c>
      <c r="AF129" s="4" t="n">
        <f aca="false">SUM(J129:M129)</f>
        <v>121</v>
      </c>
      <c r="AG129" s="4" t="n">
        <f aca="false">SUM(N129:Q129)</f>
        <v>102</v>
      </c>
      <c r="AH129" s="88" t="n">
        <f aca="false">+AH28*0.007</f>
        <v>138.3473</v>
      </c>
      <c r="AI129" s="88" t="n">
        <f aca="false">+AI28*0.007</f>
        <v>159.099395</v>
      </c>
      <c r="AJ129" s="88" t="n">
        <f aca="false">+AJ28*0.007</f>
        <v>182.96430425</v>
      </c>
      <c r="AK129" s="88" t="n">
        <f aca="false">+AK28*0.007</f>
        <v>210.4089498875</v>
      </c>
      <c r="AL129" s="88" t="n">
        <f aca="false">+AL28*0.007</f>
        <v>241.970292370625</v>
      </c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25"/>
      <c r="DD129" s="25"/>
      <c r="DE129" s="25"/>
      <c r="DF129" s="25"/>
      <c r="DG129" s="25"/>
    </row>
    <row r="130" s="32" customFormat="true" ht="12.8" hidden="false" customHeight="true" outlineLevel="0" collapsed="false">
      <c r="A130" s="30"/>
      <c r="B130" s="32" t="n">
        <f aca="false">+B129/B$28</f>
        <v>0.0139045471627208</v>
      </c>
      <c r="C130" s="32" t="n">
        <f aca="false">+C129/C$28</f>
        <v>0.0139664804469274</v>
      </c>
      <c r="D130" s="32" t="n">
        <f aca="false">+D129/D$28</f>
        <v>0.0144927536231884</v>
      </c>
      <c r="E130" s="32" t="n">
        <f aca="false">+E129/E$28</f>
        <v>0.0157927984838913</v>
      </c>
      <c r="F130" s="32" t="n">
        <f aca="false">+F129/F$28</f>
        <v>0.0144641683103222</v>
      </c>
      <c r="G130" s="32" t="n">
        <f aca="false">+G129/G$28</f>
        <v>0.0138495435945861</v>
      </c>
      <c r="H130" s="32" t="n">
        <f aca="false">+H129/H$28</f>
        <v>0.0107238605898123</v>
      </c>
      <c r="I130" s="32" t="n">
        <f aca="false">+I129/I$28</f>
        <v>0.00926178153091801</v>
      </c>
      <c r="J130" s="32" t="n">
        <f aca="false">+J129/J$28</f>
        <v>0.00852585258525853</v>
      </c>
      <c r="K130" s="32" t="n">
        <f aca="false">+K129/K$28</f>
        <v>0.00788022064617809</v>
      </c>
      <c r="L130" s="32" t="n">
        <f aca="false">+L129/L$28</f>
        <v>0.00752256770310933</v>
      </c>
      <c r="M130" s="32" t="n">
        <f aca="false">+M129/M$28</f>
        <v>0.00707213578500707</v>
      </c>
      <c r="N130" s="32" t="n">
        <f aca="false">+N129/N$28</f>
        <v>0.00644391408114558</v>
      </c>
      <c r="O130" s="32" t="n">
        <f aca="false">+O129/O$28</f>
        <v>0.0062008108752683</v>
      </c>
      <c r="P130" s="32" t="n">
        <f aca="false">+P129/P$28</f>
        <v>0.00561797752808989</v>
      </c>
      <c r="Q130" s="32" t="n">
        <f aca="false">+Q129/Q$28</f>
        <v>0.0055175457956301</v>
      </c>
      <c r="R130" s="32" t="n">
        <f aca="false">+R129/R$28</f>
        <v>0.0057357158614604</v>
      </c>
      <c r="S130" s="32" t="n">
        <f aca="false">+S129/S$28</f>
        <v>0.006070755704417</v>
      </c>
      <c r="T130" s="32" t="n">
        <f aca="false">+T129/T$28</f>
        <v>0.00664117528677802</v>
      </c>
      <c r="AA130" s="32" t="n">
        <f aca="false">+AA129/AA$28</f>
        <v>0.0128622117090479</v>
      </c>
      <c r="AB130" s="32" t="n">
        <f aca="false">+AB129/AB$28</f>
        <v>0.0140862944162437</v>
      </c>
      <c r="AC130" s="32" t="n">
        <f aca="false">+AC129/AC$28</f>
        <v>0.0131361191559785</v>
      </c>
      <c r="AD130" s="32" t="n">
        <f aca="false">+AD129/AD$28</f>
        <v>0.0145817344589409</v>
      </c>
      <c r="AE130" s="32" t="n">
        <f aca="false">+AE129/AE$28</f>
        <v>0.0119272288065222</v>
      </c>
      <c r="AF130" s="32" t="n">
        <f aca="false">+AF129/AF$28</f>
        <v>0.00772028328973394</v>
      </c>
      <c r="AG130" s="32" t="n">
        <f aca="false">+AG129/AG$28</f>
        <v>0.00593506342371698</v>
      </c>
      <c r="AH130" s="32" t="n">
        <f aca="false">+AH129/AH$28</f>
        <v>0.007</v>
      </c>
      <c r="AI130" s="32" t="n">
        <f aca="false">+AI129/AI$28</f>
        <v>0.007</v>
      </c>
      <c r="AJ130" s="32" t="n">
        <f aca="false">+AJ129/AJ$28</f>
        <v>0.007</v>
      </c>
      <c r="AK130" s="32" t="n">
        <f aca="false">+AK129/AK$28</f>
        <v>0.007</v>
      </c>
      <c r="AL130" s="32" t="n">
        <f aca="false">+AL129/AL$28</f>
        <v>0.007</v>
      </c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25"/>
      <c r="DD130" s="25"/>
      <c r="DE130" s="25"/>
      <c r="DF130" s="25"/>
      <c r="DG130" s="25"/>
    </row>
    <row r="131" s="4" customFormat="true" ht="12.8" hidden="false" customHeight="true" outlineLevel="0" collapsed="false">
      <c r="A131" s="40" t="s">
        <v>173</v>
      </c>
      <c r="B131" s="4" t="n">
        <v>0</v>
      </c>
      <c r="C131" s="4" t="n">
        <v>16</v>
      </c>
      <c r="D131" s="4" t="n">
        <v>-2</v>
      </c>
      <c r="E131" s="4" t="n">
        <v>0</v>
      </c>
      <c r="F131" s="4" t="n">
        <v>0</v>
      </c>
      <c r="G131" s="4" t="n">
        <f aca="false">+90+30</f>
        <v>120</v>
      </c>
      <c r="H131" s="4" t="n">
        <v>0</v>
      </c>
      <c r="I131" s="4" t="n">
        <f aca="false">+33-1</f>
        <v>32</v>
      </c>
      <c r="J131" s="4" t="n">
        <v>4</v>
      </c>
      <c r="K131" s="4" t="n">
        <v>14</v>
      </c>
      <c r="L131" s="4" t="n">
        <v>0</v>
      </c>
      <c r="M131" s="4" t="n">
        <v>25</v>
      </c>
      <c r="N131" s="4" t="n">
        <v>2</v>
      </c>
      <c r="O131" s="4" t="n">
        <v>1</v>
      </c>
      <c r="P131" s="4" t="n">
        <v>5</v>
      </c>
      <c r="Q131" s="4" t="n">
        <v>0</v>
      </c>
      <c r="R131" s="4" t="n">
        <v>4</v>
      </c>
      <c r="S131" s="4" t="n">
        <v>0</v>
      </c>
      <c r="T131" s="4" t="n">
        <v>-1</v>
      </c>
      <c r="AA131" s="4" t="n">
        <v>0</v>
      </c>
      <c r="AB131" s="4" t="n">
        <v>0</v>
      </c>
      <c r="AC131" s="4" t="n">
        <v>0</v>
      </c>
      <c r="AD131" s="4" t="n">
        <f aca="false">+14+0</f>
        <v>14</v>
      </c>
      <c r="AE131" s="4" t="n">
        <f aca="false">+123+29</f>
        <v>152</v>
      </c>
      <c r="AF131" s="4" t="n">
        <f aca="false">SUM(J131:M131)</f>
        <v>43</v>
      </c>
      <c r="AG131" s="4" t="n">
        <f aca="false">SUM(N131:Q131)</f>
        <v>8</v>
      </c>
      <c r="DC131" s="25"/>
      <c r="DD131" s="25"/>
      <c r="DE131" s="25"/>
      <c r="DF131" s="25"/>
      <c r="DG131" s="25"/>
    </row>
    <row r="132" s="4" customFormat="true" ht="12.8" hidden="false" customHeight="true" outlineLevel="0" collapsed="false">
      <c r="A132" s="40" t="s">
        <v>174</v>
      </c>
      <c r="B132" s="4" t="n">
        <v>68</v>
      </c>
      <c r="C132" s="4" t="n">
        <v>105</v>
      </c>
      <c r="D132" s="4" t="n">
        <v>108</v>
      </c>
      <c r="E132" s="4" t="n">
        <v>100</v>
      </c>
      <c r="F132" s="4" t="n">
        <v>105</v>
      </c>
      <c r="G132" s="4" t="n">
        <v>97</v>
      </c>
      <c r="H132" s="4" t="n">
        <v>85</v>
      </c>
      <c r="I132" s="4" t="n">
        <v>34</v>
      </c>
      <c r="J132" s="4" t="n">
        <v>69</v>
      </c>
      <c r="K132" s="4" t="n">
        <v>81</v>
      </c>
      <c r="L132" s="4" t="n">
        <v>63</v>
      </c>
      <c r="M132" s="4" t="n">
        <v>54</v>
      </c>
      <c r="N132" s="4" t="n">
        <v>42</v>
      </c>
      <c r="O132" s="4" t="n">
        <v>73</v>
      </c>
      <c r="P132" s="4" t="n">
        <v>75</v>
      </c>
      <c r="Q132" s="4" t="n">
        <v>57</v>
      </c>
      <c r="R132" s="4" t="n">
        <v>56</v>
      </c>
      <c r="S132" s="4" t="n">
        <v>86</v>
      </c>
      <c r="T132" s="4" t="n">
        <v>87</v>
      </c>
      <c r="AA132" s="4" t="n">
        <v>122</v>
      </c>
      <c r="AB132" s="4" t="n">
        <v>176</v>
      </c>
      <c r="AC132" s="4" t="n">
        <v>223</v>
      </c>
      <c r="AD132" s="4" t="n">
        <v>381</v>
      </c>
      <c r="AE132" s="4" t="n">
        <v>321</v>
      </c>
      <c r="AF132" s="4" t="n">
        <f aca="false">SUM(J132:M132)</f>
        <v>267</v>
      </c>
      <c r="AG132" s="4" t="n">
        <f aca="false">SUM(N132:Q132)</f>
        <v>247</v>
      </c>
      <c r="DC132" s="25"/>
      <c r="DD132" s="25"/>
      <c r="DE132" s="25"/>
      <c r="DF132" s="25"/>
      <c r="DG132" s="25"/>
    </row>
    <row r="133" s="4" customFormat="true" ht="12.8" hidden="false" customHeight="true" outlineLevel="0" collapsed="false">
      <c r="A133" s="40" t="s">
        <v>104</v>
      </c>
      <c r="B133" s="4" t="n">
        <v>-175</v>
      </c>
      <c r="C133" s="4" t="n">
        <v>-118</v>
      </c>
      <c r="D133" s="4" t="n">
        <v>-102</v>
      </c>
      <c r="E133" s="4" t="n">
        <v>-26</v>
      </c>
      <c r="F133" s="4" t="n">
        <v>-27</v>
      </c>
      <c r="G133" s="4" t="n">
        <v>-33</v>
      </c>
      <c r="H133" s="4" t="n">
        <v>-55</v>
      </c>
      <c r="I133" s="4" t="n">
        <v>-46</v>
      </c>
      <c r="J133" s="4" t="n">
        <v>-59</v>
      </c>
      <c r="K133" s="4" t="n">
        <v>-76</v>
      </c>
      <c r="L133" s="4" t="n">
        <v>-66</v>
      </c>
      <c r="M133" s="4" t="n">
        <v>-127</v>
      </c>
      <c r="N133" s="4" t="n">
        <v>-71</v>
      </c>
      <c r="O133" s="4" t="n">
        <v>-89</v>
      </c>
      <c r="P133" s="4" t="n">
        <v>-262</v>
      </c>
      <c r="Q133" s="4" t="n">
        <v>-349</v>
      </c>
      <c r="R133" s="4" t="n">
        <v>-248</v>
      </c>
      <c r="S133" s="4" t="n">
        <v>-86</v>
      </c>
      <c r="T133" s="4" t="n">
        <v>-62</v>
      </c>
      <c r="AA133" s="4" t="n">
        <v>-275</v>
      </c>
      <c r="AB133" s="4" t="n">
        <v>-94</v>
      </c>
      <c r="AC133" s="4" t="n">
        <v>-246</v>
      </c>
      <c r="AD133" s="4" t="n">
        <v>-421</v>
      </c>
      <c r="AE133" s="4" t="n">
        <v>-161</v>
      </c>
      <c r="AF133" s="4" t="n">
        <f aca="false">SUM(J133:M133)</f>
        <v>-328</v>
      </c>
      <c r="AG133" s="4" t="n">
        <f aca="false">SUM(N133:Q133)</f>
        <v>-771</v>
      </c>
      <c r="DC133" s="25"/>
      <c r="DD133" s="25"/>
      <c r="DE133" s="25"/>
      <c r="DF133" s="25"/>
      <c r="DG133" s="25"/>
    </row>
    <row r="134" s="4" customFormat="true" ht="12.8" hidden="false" customHeight="true" outlineLevel="0" collapsed="false">
      <c r="A134" s="40" t="s">
        <v>175</v>
      </c>
      <c r="B134" s="4" t="n">
        <v>14</v>
      </c>
      <c r="C134" s="4" t="n">
        <v>14</v>
      </c>
      <c r="D134" s="4" t="n">
        <v>18</v>
      </c>
      <c r="E134" s="4" t="n">
        <v>86</v>
      </c>
      <c r="F134" s="4" t="n">
        <v>77</v>
      </c>
      <c r="G134" s="4" t="n">
        <v>27</v>
      </c>
      <c r="H134" s="4" t="n">
        <v>14</v>
      </c>
      <c r="I134" s="4" t="n">
        <v>102</v>
      </c>
      <c r="J134" s="4" t="n">
        <v>53</v>
      </c>
      <c r="K134" s="4" t="n">
        <v>72</v>
      </c>
      <c r="L134" s="4" t="n">
        <v>122</v>
      </c>
      <c r="M134" s="4" t="n">
        <v>105</v>
      </c>
      <c r="N134" s="4" t="n">
        <v>252</v>
      </c>
      <c r="O134" s="4" t="n">
        <v>447</v>
      </c>
      <c r="P134" s="4" t="n">
        <v>17</v>
      </c>
      <c r="Q134" s="4" t="n">
        <v>29</v>
      </c>
      <c r="R134" s="4" t="n">
        <v>26</v>
      </c>
      <c r="S134" s="4" t="n">
        <v>21</v>
      </c>
      <c r="T134" s="4" t="n">
        <v>29</v>
      </c>
      <c r="AA134" s="4" t="n">
        <v>333</v>
      </c>
      <c r="AB134" s="4" t="n">
        <v>510</v>
      </c>
      <c r="AC134" s="4" t="n">
        <v>91</v>
      </c>
      <c r="AD134" s="4" t="n">
        <v>132</v>
      </c>
      <c r="AE134" s="4" t="n">
        <v>220</v>
      </c>
      <c r="AF134" s="4" t="n">
        <f aca="false">SUM(J134:M134)</f>
        <v>352</v>
      </c>
      <c r="AG134" s="4" t="n">
        <f aca="false">SUM(N134:Q134)</f>
        <v>745</v>
      </c>
      <c r="DC134" s="25"/>
      <c r="DD134" s="25"/>
      <c r="DE134" s="25"/>
      <c r="DF134" s="25"/>
      <c r="DG134" s="25"/>
    </row>
    <row r="135" s="4" customFormat="true" ht="12.8" hidden="false" customHeight="true" outlineLevel="0" collapsed="false">
      <c r="A135" s="40" t="s">
        <v>176</v>
      </c>
      <c r="B135" s="4" t="n">
        <v>24</v>
      </c>
      <c r="C135" s="4" t="n">
        <v>35</v>
      </c>
      <c r="D135" s="4" t="n">
        <v>22</v>
      </c>
      <c r="E135" s="4" t="n">
        <v>-21</v>
      </c>
      <c r="F135" s="4" t="n">
        <v>19</v>
      </c>
      <c r="G135" s="4" t="n">
        <v>61</v>
      </c>
      <c r="H135" s="4" t="n">
        <v>8</v>
      </c>
      <c r="I135" s="4" t="n">
        <v>-61</v>
      </c>
      <c r="J135" s="4" t="n">
        <v>-23</v>
      </c>
      <c r="K135" s="4" t="n">
        <v>-4</v>
      </c>
      <c r="L135" s="4" t="n">
        <v>98</v>
      </c>
      <c r="M135" s="4" t="n">
        <v>132</v>
      </c>
      <c r="N135" s="4" t="n">
        <v>103</v>
      </c>
      <c r="O135" s="4" t="n">
        <v>134</v>
      </c>
      <c r="P135" s="4" t="n">
        <v>-72</v>
      </c>
      <c r="Q135" s="4" t="n">
        <v>-153</v>
      </c>
      <c r="R135" s="4" t="n">
        <v>216</v>
      </c>
      <c r="S135" s="4" t="n">
        <v>175</v>
      </c>
      <c r="T135" s="4" t="n">
        <v>187</v>
      </c>
      <c r="AA135" s="4" t="n">
        <v>55</v>
      </c>
      <c r="AB135" s="4" t="n">
        <v>-128</v>
      </c>
      <c r="AC135" s="4" t="n">
        <v>283</v>
      </c>
      <c r="AD135" s="4" t="n">
        <v>60</v>
      </c>
      <c r="AE135" s="4" t="n">
        <v>27</v>
      </c>
      <c r="AF135" s="4" t="n">
        <f aca="false">SUM(J135:M135)</f>
        <v>203</v>
      </c>
      <c r="AG135" s="4" t="n">
        <f aca="false">SUM(N135:Q135)</f>
        <v>12</v>
      </c>
      <c r="DC135" s="25"/>
      <c r="DD135" s="25"/>
      <c r="DE135" s="25"/>
      <c r="DF135" s="25"/>
      <c r="DG135" s="25"/>
    </row>
    <row r="136" s="4" customFormat="true" ht="12.8" hidden="false" customHeight="true" outlineLevel="0" collapsed="false">
      <c r="A136" s="40" t="s">
        <v>149</v>
      </c>
      <c r="B136" s="4" t="n">
        <v>4</v>
      </c>
      <c r="C136" s="4" t="n">
        <v>-5</v>
      </c>
      <c r="D136" s="4" t="n">
        <v>5</v>
      </c>
      <c r="E136" s="4" t="n">
        <v>3</v>
      </c>
      <c r="F136" s="4" t="n">
        <v>-5</v>
      </c>
      <c r="G136" s="4" t="n">
        <v>2</v>
      </c>
      <c r="H136" s="4" t="n">
        <v>-1</v>
      </c>
      <c r="I136" s="4" t="n">
        <v>5</v>
      </c>
      <c r="J136" s="4" t="n">
        <v>0</v>
      </c>
      <c r="K136" s="4" t="n">
        <v>-1</v>
      </c>
      <c r="L136" s="4" t="n">
        <v>0</v>
      </c>
      <c r="M136" s="4" t="n">
        <v>3</v>
      </c>
      <c r="N136" s="4" t="n">
        <v>0</v>
      </c>
      <c r="O136" s="4" t="n">
        <v>8</v>
      </c>
      <c r="P136" s="4" t="n">
        <v>1</v>
      </c>
      <c r="Q136" s="4" t="n">
        <v>1</v>
      </c>
      <c r="R136" s="4" t="n">
        <v>-2</v>
      </c>
      <c r="S136" s="4" t="n">
        <v>1</v>
      </c>
      <c r="T136" s="4" t="n">
        <v>0</v>
      </c>
      <c r="AA136" s="4" t="n">
        <v>13</v>
      </c>
      <c r="AB136" s="4" t="n">
        <v>7</v>
      </c>
      <c r="AC136" s="4" t="n">
        <v>6</v>
      </c>
      <c r="AD136" s="4" t="n">
        <v>7</v>
      </c>
      <c r="AE136" s="4" t="n">
        <v>1</v>
      </c>
      <c r="AF136" s="4" t="n">
        <f aca="false">SUM(J136:M136)</f>
        <v>2</v>
      </c>
      <c r="AG136" s="4" t="n">
        <f aca="false">SUM(N136:Q136)</f>
        <v>10</v>
      </c>
      <c r="DC136" s="25"/>
      <c r="DD136" s="25"/>
      <c r="DE136" s="25"/>
      <c r="DF136" s="25"/>
      <c r="DG136" s="25"/>
    </row>
    <row r="137" s="4" customFormat="true" ht="12.8" hidden="false" customHeight="true" outlineLevel="0" collapsed="false">
      <c r="A137" s="40" t="s">
        <v>177</v>
      </c>
      <c r="B137" s="4" t="n">
        <f aca="false">+59-103+6-3</f>
        <v>-41</v>
      </c>
      <c r="C137" s="4" t="n">
        <f aca="false">+-68+138+10+14</f>
        <v>94</v>
      </c>
      <c r="D137" s="4" t="n">
        <f aca="false">+-6+117+20-12</f>
        <v>119</v>
      </c>
      <c r="E137" s="4" t="n">
        <f aca="false">+-69+74+16-2</f>
        <v>19</v>
      </c>
      <c r="F137" s="4" t="n">
        <f aca="false">+118-57+6+1</f>
        <v>68</v>
      </c>
      <c r="G137" s="4" t="n">
        <f aca="false">+-97+77+18-2</f>
        <v>-4</v>
      </c>
      <c r="H137" s="4" t="n">
        <f aca="false">-69+62+56-2</f>
        <v>47</v>
      </c>
      <c r="I137" s="4" t="n">
        <f aca="false">+-97+419+33-2</f>
        <v>353</v>
      </c>
      <c r="J137" s="4" t="n">
        <f aca="false">+80-171+7</f>
        <v>-84</v>
      </c>
      <c r="K137" s="4" t="n">
        <f aca="false">+40+28+21+4</f>
        <v>93</v>
      </c>
      <c r="L137" s="4" t="n">
        <f aca="false">-4+86+33+0</f>
        <v>115</v>
      </c>
      <c r="M137" s="4" t="n">
        <f aca="false">+29+240-16-1</f>
        <v>252</v>
      </c>
      <c r="N137" s="4" t="n">
        <f aca="false">-4-90+3+12</f>
        <v>-79</v>
      </c>
      <c r="O137" s="4" t="n">
        <f aca="false">-19+201+12+8</f>
        <v>202</v>
      </c>
      <c r="P137" s="4" t="n">
        <f aca="false">+-26+100+25+2</f>
        <v>101</v>
      </c>
      <c r="Q137" s="4" t="n">
        <f aca="false">-66+70+20+0</f>
        <v>24</v>
      </c>
      <c r="R137" s="4" t="n">
        <f aca="false">+91-94+35-3</f>
        <v>29</v>
      </c>
      <c r="S137" s="4" t="n">
        <f aca="false">-80+150+25-6</f>
        <v>89</v>
      </c>
      <c r="T137" s="4" t="n">
        <f aca="false">-194+152+14+1</f>
        <v>-27</v>
      </c>
      <c r="AA137" s="4" t="n">
        <f aca="false">+-27+454+59-35</f>
        <v>451</v>
      </c>
      <c r="AB137" s="4" t="n">
        <f aca="false">+-187+425+73+6</f>
        <v>317</v>
      </c>
      <c r="AC137" s="4" t="n">
        <f aca="false">+-245+137+67+5</f>
        <v>-36</v>
      </c>
      <c r="AD137" s="4" t="n">
        <f aca="false">+-84+226+52-3</f>
        <v>191</v>
      </c>
      <c r="AE137" s="4" t="n">
        <f aca="false">-145+501+113-5</f>
        <v>464</v>
      </c>
      <c r="AF137" s="4" t="n">
        <f aca="false">SUM(J137:M137)</f>
        <v>376</v>
      </c>
      <c r="AG137" s="4" t="n">
        <f aca="false">SUM(N137:Q137)</f>
        <v>248</v>
      </c>
      <c r="DC137" s="25"/>
      <c r="DD137" s="25"/>
      <c r="DE137" s="25"/>
      <c r="DF137" s="25"/>
      <c r="DG137" s="25"/>
    </row>
    <row r="138" s="41" customFormat="true" ht="12.8" hidden="false" customHeight="true" outlineLevel="0" collapsed="false">
      <c r="A138" s="40" t="s">
        <v>178</v>
      </c>
      <c r="B138" s="4" t="n">
        <v>-13</v>
      </c>
      <c r="C138" s="4" t="n">
        <v>-13</v>
      </c>
      <c r="D138" s="4" t="n">
        <v>-14</v>
      </c>
      <c r="E138" s="4" t="n">
        <v>-13</v>
      </c>
      <c r="F138" s="4" t="n">
        <v>-10</v>
      </c>
      <c r="G138" s="4" t="n">
        <v>-10</v>
      </c>
      <c r="H138" s="4" t="n">
        <v>-9</v>
      </c>
      <c r="I138" s="4" t="n">
        <v>-9</v>
      </c>
      <c r="J138" s="4" t="n">
        <v>-9</v>
      </c>
      <c r="K138" s="4" t="n">
        <v>-9</v>
      </c>
      <c r="L138" s="4" t="n">
        <v>-9</v>
      </c>
      <c r="M138" s="4" t="n">
        <v>-9</v>
      </c>
      <c r="N138" s="4" t="n">
        <v>-13</v>
      </c>
      <c r="O138" s="4" t="n">
        <v>-6</v>
      </c>
      <c r="P138" s="4" t="n">
        <v>-11</v>
      </c>
      <c r="Q138" s="4" t="n">
        <v>-6</v>
      </c>
      <c r="R138" s="4" t="n">
        <v>-8</v>
      </c>
      <c r="S138" s="4" t="n">
        <v>-7</v>
      </c>
      <c r="T138" s="4" t="n">
        <v>-5</v>
      </c>
      <c r="U138" s="4"/>
      <c r="V138" s="4"/>
      <c r="W138" s="4"/>
      <c r="X138" s="4"/>
      <c r="Y138" s="4"/>
      <c r="Z138" s="4"/>
      <c r="AA138" s="4" t="n">
        <v>-37</v>
      </c>
      <c r="AB138" s="4" t="n">
        <v>-55</v>
      </c>
      <c r="AC138" s="4" t="n">
        <v>-50</v>
      </c>
      <c r="AD138" s="4" t="n">
        <v>-53</v>
      </c>
      <c r="AE138" s="4" t="n">
        <v>-38</v>
      </c>
      <c r="AF138" s="4" t="n">
        <f aca="false">SUM(J138:M138)</f>
        <v>-36</v>
      </c>
      <c r="AG138" s="4" t="n">
        <f aca="false">SUM(N138:Q138)</f>
        <v>-36</v>
      </c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25"/>
      <c r="DD138" s="25"/>
      <c r="DE138" s="25"/>
      <c r="DF138" s="25"/>
      <c r="DG138" s="25"/>
    </row>
    <row r="139" s="4" customFormat="true" ht="12.8" hidden="false" customHeight="true" outlineLevel="0" collapsed="false">
      <c r="A139" s="40" t="s">
        <v>179</v>
      </c>
      <c r="B139" s="4" t="n">
        <v>1</v>
      </c>
      <c r="C139" s="4" t="n">
        <v>4</v>
      </c>
      <c r="D139" s="4" t="n">
        <v>12</v>
      </c>
      <c r="E139" s="4" t="n">
        <v>20</v>
      </c>
      <c r="F139" s="4" t="n">
        <v>23</v>
      </c>
      <c r="G139" s="4" t="n">
        <v>26</v>
      </c>
      <c r="H139" s="4" t="n">
        <v>28</v>
      </c>
      <c r="I139" s="4" t="n">
        <v>34</v>
      </c>
      <c r="J139" s="4" t="n">
        <v>37</v>
      </c>
      <c r="K139" s="4" t="n">
        <v>41</v>
      </c>
      <c r="L139" s="4" t="n">
        <v>77</v>
      </c>
      <c r="M139" s="4" t="n">
        <v>61</v>
      </c>
      <c r="N139" s="4" t="n">
        <v>70</v>
      </c>
      <c r="O139" s="4" t="n">
        <v>57</v>
      </c>
      <c r="P139" s="4" t="n">
        <v>57</v>
      </c>
      <c r="Q139" s="4" t="n">
        <v>58</v>
      </c>
      <c r="R139" s="4" t="n">
        <v>52</v>
      </c>
      <c r="S139" s="4" t="n">
        <v>48</v>
      </c>
      <c r="T139" s="4" t="n">
        <v>56</v>
      </c>
      <c r="AA139" s="4" t="n">
        <v>14</v>
      </c>
      <c r="AB139" s="4" t="n">
        <v>4</v>
      </c>
      <c r="AC139" s="4" t="n">
        <v>3</v>
      </c>
      <c r="AD139" s="4" t="n">
        <v>37</v>
      </c>
      <c r="AE139" s="4" t="n">
        <v>111</v>
      </c>
      <c r="AF139" s="4" t="n">
        <f aca="false">SUM(J139:M139)</f>
        <v>216</v>
      </c>
      <c r="AG139" s="4" t="n">
        <f aca="false">SUM(N139:Q139)</f>
        <v>242</v>
      </c>
      <c r="DC139" s="25"/>
      <c r="DD139" s="25"/>
      <c r="DE139" s="25"/>
      <c r="DF139" s="25"/>
      <c r="DG139" s="25"/>
    </row>
    <row r="140" s="4" customFormat="true" ht="12.8" hidden="false" customHeight="true" outlineLevel="0" collapsed="false">
      <c r="A140" s="40" t="s">
        <v>176</v>
      </c>
      <c r="B140" s="4" t="n">
        <v>-13</v>
      </c>
      <c r="C140" s="4" t="n">
        <v>-8</v>
      </c>
      <c r="D140" s="4" t="n">
        <v>-4</v>
      </c>
      <c r="E140" s="4" t="n">
        <v>-18</v>
      </c>
      <c r="F140" s="4" t="n">
        <v>-10</v>
      </c>
      <c r="G140" s="4" t="n">
        <v>-15</v>
      </c>
      <c r="H140" s="4" t="n">
        <v>-7</v>
      </c>
      <c r="I140" s="4" t="n">
        <v>-11</v>
      </c>
      <c r="J140" s="4" t="n">
        <v>-5</v>
      </c>
      <c r="K140" s="4" t="n">
        <v>-23</v>
      </c>
      <c r="L140" s="4" t="n">
        <v>-15</v>
      </c>
      <c r="M140" s="4" t="n">
        <v>-10</v>
      </c>
      <c r="N140" s="4" t="n">
        <v>-19</v>
      </c>
      <c r="O140" s="4" t="n">
        <v>-58</v>
      </c>
      <c r="P140" s="4" t="n">
        <v>-5</v>
      </c>
      <c r="Q140" s="4" t="n">
        <v>-4</v>
      </c>
      <c r="R140" s="4" t="n">
        <v>-36</v>
      </c>
      <c r="S140" s="4" t="n">
        <v>-85</v>
      </c>
      <c r="T140" s="4" t="n">
        <v>-75</v>
      </c>
      <c r="AA140" s="4" t="n">
        <v>-4</v>
      </c>
      <c r="AB140" s="4" t="n">
        <v>-8</v>
      </c>
      <c r="AC140" s="4" t="n">
        <v>-6</v>
      </c>
      <c r="AD140" s="4" t="n">
        <v>-43</v>
      </c>
      <c r="AE140" s="4" t="n">
        <v>-43</v>
      </c>
      <c r="AF140" s="4" t="n">
        <f aca="false">SUM(J140:M140)</f>
        <v>-53</v>
      </c>
      <c r="AG140" s="4" t="n">
        <f aca="false">SUM(N140:Q140)</f>
        <v>-86</v>
      </c>
      <c r="AT140" s="41"/>
      <c r="AU140" s="41"/>
      <c r="DC140" s="25"/>
      <c r="DD140" s="25"/>
      <c r="DE140" s="25"/>
      <c r="DF140" s="25"/>
      <c r="DG140" s="25"/>
    </row>
    <row r="141" s="89" customFormat="true" ht="12.8" hidden="false" customHeight="true" outlineLevel="0" collapsed="false">
      <c r="A141" s="40" t="s">
        <v>180</v>
      </c>
      <c r="B141" s="4" t="n">
        <f aca="false">SUM(B128:B140)-B130</f>
        <v>37</v>
      </c>
      <c r="C141" s="4" t="n">
        <f aca="false">SUM(C128:C140)-C130</f>
        <v>39</v>
      </c>
      <c r="D141" s="4" t="n">
        <f aca="false">SUM(D128:D140)-D130</f>
        <v>40</v>
      </c>
      <c r="E141" s="4" t="n">
        <f aca="false">SUM(E128:E140)-E130</f>
        <v>-70</v>
      </c>
      <c r="F141" s="4" t="n">
        <f aca="false">SUM(F128:F140)-F130</f>
        <v>59</v>
      </c>
      <c r="G141" s="4" t="n">
        <f aca="false">SUM(G128:G140)-G130</f>
        <v>13</v>
      </c>
      <c r="H141" s="4" t="n">
        <f aca="false">SUM(H128:H140)-H130</f>
        <v>211</v>
      </c>
      <c r="I141" s="4" t="n">
        <f aca="false">SUM(I128:I140)-I130</f>
        <v>397</v>
      </c>
      <c r="J141" s="4" t="n">
        <f aca="false">SUM(J128:J140)-J130</f>
        <v>211</v>
      </c>
      <c r="K141" s="4" t="n">
        <f aca="false">SUM(K128:K140)-K130</f>
        <v>492</v>
      </c>
      <c r="L141" s="4" t="n">
        <f aca="false">SUM(L128:L140)-L130</f>
        <v>715</v>
      </c>
      <c r="M141" s="4" t="n">
        <f aca="false">SUM(M128:M140)-M130</f>
        <v>883</v>
      </c>
      <c r="N141" s="4" t="n">
        <f aca="false">SUM(N128:N140)-N130</f>
        <v>539</v>
      </c>
      <c r="O141" s="4" t="n">
        <f aca="false">SUM(O128:O140)-O130</f>
        <v>709</v>
      </c>
      <c r="P141" s="4" t="n">
        <f aca="false">SUM(P128:P140)-P130</f>
        <v>829</v>
      </c>
      <c r="Q141" s="4" t="n">
        <f aca="false">SUM(Q128:Q140)-Q130</f>
        <v>856</v>
      </c>
      <c r="R141" s="4" t="n">
        <f aca="false">SUM(R128:R140)-R130</f>
        <v>836</v>
      </c>
      <c r="S141" s="4" t="n">
        <f aca="false">SUM(S128:S140)-S130</f>
        <v>816</v>
      </c>
      <c r="T141" s="4" t="n">
        <f aca="false">SUM(T128:T140)-T130</f>
        <v>740</v>
      </c>
      <c r="U141" s="4"/>
      <c r="V141" s="4"/>
      <c r="W141" s="4"/>
      <c r="X141" s="4"/>
      <c r="Y141" s="4"/>
      <c r="Z141" s="4"/>
      <c r="AA141" s="4" t="n">
        <f aca="false">SUM(AA128:AA140)-AA130</f>
        <v>573</v>
      </c>
      <c r="AB141" s="4" t="n">
        <f aca="false">SUM(AB128:AB140)-AB130</f>
        <v>259</v>
      </c>
      <c r="AC141" s="4" t="n">
        <f aca="false">SUM(AC128:AC140)-AC130</f>
        <v>361</v>
      </c>
      <c r="AD141" s="4" t="n">
        <f aca="false">SUM(AD128:AD140)-AD130</f>
        <v>46</v>
      </c>
      <c r="AE141" s="4" t="n">
        <f aca="false">SUM(AE128:AE140)-AE130</f>
        <v>680</v>
      </c>
      <c r="AF141" s="4" t="n">
        <f aca="false">SUM(AF128:AF140)-AF130</f>
        <v>2301</v>
      </c>
      <c r="AG141" s="4" t="n">
        <f aca="false">SUM(AG128:AG140)-AG130</f>
        <v>2933</v>
      </c>
      <c r="AH141" s="4"/>
      <c r="AI141" s="4"/>
      <c r="AJ141" s="4"/>
      <c r="AK141" s="4"/>
      <c r="AL141" s="4"/>
      <c r="AM141" s="4"/>
      <c r="AN141" s="4"/>
      <c r="AO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25"/>
      <c r="DD141" s="25"/>
      <c r="DE141" s="25"/>
      <c r="DF141" s="25"/>
      <c r="DG141" s="25"/>
    </row>
    <row r="142" s="4" customFormat="true" ht="10.5" hidden="false" customHeight="true" outlineLevel="0" collapsed="false">
      <c r="A142" s="40"/>
      <c r="AM142" s="89"/>
      <c r="AN142" s="89"/>
      <c r="AO142" s="89"/>
      <c r="AP142" s="32"/>
      <c r="AQ142" s="32"/>
      <c r="AR142" s="89"/>
      <c r="AS142" s="89"/>
      <c r="AT142" s="89"/>
      <c r="AU142" s="89"/>
      <c r="AV142" s="89"/>
      <c r="AW142" s="89"/>
      <c r="AX142" s="89"/>
      <c r="AY142" s="89"/>
      <c r="AZ142" s="89"/>
      <c r="BA142" s="89"/>
      <c r="BB142" s="89"/>
      <c r="BC142" s="89"/>
      <c r="BD142" s="89"/>
      <c r="BE142" s="89"/>
      <c r="BF142" s="89"/>
      <c r="BG142" s="89"/>
      <c r="BH142" s="89"/>
      <c r="BI142" s="89"/>
      <c r="BJ142" s="90"/>
      <c r="BK142" s="90"/>
      <c r="BL142" s="90"/>
      <c r="BM142" s="90"/>
      <c r="BN142" s="90"/>
      <c r="BO142" s="90"/>
      <c r="BP142" s="90"/>
      <c r="BQ142" s="90"/>
      <c r="BR142" s="90"/>
      <c r="BS142" s="90"/>
      <c r="BT142" s="90"/>
      <c r="BU142" s="90"/>
      <c r="BV142" s="90"/>
      <c r="BW142" s="90"/>
      <c r="BX142" s="90"/>
      <c r="BY142" s="90"/>
      <c r="BZ142" s="90"/>
      <c r="CA142" s="90"/>
      <c r="CB142" s="90"/>
      <c r="CC142" s="90"/>
      <c r="CD142" s="90"/>
      <c r="CE142" s="90"/>
      <c r="CF142" s="90"/>
      <c r="CG142" s="90"/>
      <c r="CH142" s="90"/>
      <c r="CI142" s="90"/>
      <c r="CJ142" s="90"/>
      <c r="CK142" s="90"/>
      <c r="CL142" s="90"/>
      <c r="CM142" s="90"/>
      <c r="CN142" s="90"/>
      <c r="CO142" s="90"/>
      <c r="CP142" s="90"/>
      <c r="CQ142" s="90"/>
      <c r="CR142" s="90"/>
      <c r="CS142" s="90"/>
      <c r="CT142" s="90"/>
      <c r="CU142" s="90"/>
      <c r="CV142" s="90"/>
      <c r="CW142" s="90"/>
      <c r="CX142" s="90"/>
      <c r="CY142" s="90"/>
      <c r="CZ142" s="90"/>
      <c r="DA142" s="90"/>
      <c r="DB142" s="90"/>
      <c r="DC142" s="25"/>
      <c r="DD142" s="25"/>
      <c r="DE142" s="25"/>
      <c r="DF142" s="25"/>
      <c r="DG142" s="25"/>
    </row>
    <row r="143" s="32" customFormat="true" ht="10.5" hidden="false" customHeight="true" outlineLevel="0" collapsed="false">
      <c r="A143" s="40" t="s">
        <v>181</v>
      </c>
      <c r="B143" s="4" t="n">
        <v>6</v>
      </c>
      <c r="C143" s="4" t="n">
        <v>5</v>
      </c>
      <c r="D143" s="4" t="n">
        <v>5</v>
      </c>
      <c r="E143" s="4" t="n">
        <f aca="false">+5-2</f>
        <v>3</v>
      </c>
      <c r="F143" s="4" t="n">
        <v>2</v>
      </c>
      <c r="G143" s="4" t="n">
        <v>4</v>
      </c>
      <c r="H143" s="4" t="n">
        <f aca="false">+1-6</f>
        <v>-5</v>
      </c>
      <c r="I143" s="4" t="n">
        <v>1</v>
      </c>
      <c r="J143" s="4" t="n">
        <f aca="false">+5-1</f>
        <v>4</v>
      </c>
      <c r="K143" s="4" t="n">
        <v>2</v>
      </c>
      <c r="L143" s="4" t="n">
        <v>4</v>
      </c>
      <c r="M143" s="4" t="n">
        <v>6</v>
      </c>
      <c r="N143" s="4" t="n">
        <f aca="false">+6-1</f>
        <v>5</v>
      </c>
      <c r="O143" s="4" t="n">
        <f aca="false">+10-1</f>
        <v>9</v>
      </c>
      <c r="P143" s="4" t="n">
        <v>23</v>
      </c>
      <c r="Q143" s="4" t="n">
        <v>22</v>
      </c>
      <c r="R143" s="4" t="n">
        <f aca="false">+13-1</f>
        <v>12</v>
      </c>
      <c r="S143" s="4" t="n">
        <f aca="false">+21-2</f>
        <v>19</v>
      </c>
      <c r="T143" s="4" t="n">
        <v>6</v>
      </c>
      <c r="U143" s="4"/>
      <c r="V143" s="4"/>
      <c r="W143" s="4"/>
      <c r="X143" s="4"/>
      <c r="Y143" s="4"/>
      <c r="Z143" s="4"/>
      <c r="AA143" s="4" t="n">
        <v>135</v>
      </c>
      <c r="AB143" s="4" t="n">
        <v>78</v>
      </c>
      <c r="AC143" s="4" t="n">
        <v>85</v>
      </c>
      <c r="AD143" s="4" t="n">
        <v>25</v>
      </c>
      <c r="AE143" s="4" t="n">
        <v>6</v>
      </c>
      <c r="AF143" s="4" t="n">
        <v>17</v>
      </c>
      <c r="AG143" s="4" t="n">
        <f aca="false">SUM(N143:Q143)</f>
        <v>59</v>
      </c>
      <c r="AH143" s="88" t="n">
        <f aca="false">+AG143*0.9</f>
        <v>53.1</v>
      </c>
      <c r="AI143" s="88" t="n">
        <f aca="false">+AH143*0.9</f>
        <v>47.79</v>
      </c>
      <c r="AJ143" s="88" t="n">
        <f aca="false">+AI143*0.9</f>
        <v>43.011</v>
      </c>
      <c r="AK143" s="88" t="n">
        <f aca="false">+AJ143*0.9</f>
        <v>38.7099</v>
      </c>
      <c r="AL143" s="88" t="n">
        <f aca="false">+AK143*0.9</f>
        <v>34.83891</v>
      </c>
      <c r="AP143" s="89"/>
      <c r="AQ143" s="89"/>
      <c r="DC143" s="25"/>
      <c r="DD143" s="25"/>
      <c r="DE143" s="25"/>
      <c r="DF143" s="25"/>
      <c r="DG143" s="25"/>
    </row>
    <row r="144" s="33" customFormat="true" ht="12.8" hidden="false" customHeight="true" outlineLevel="0" collapsed="false">
      <c r="A144" s="30"/>
      <c r="B144" s="32" t="n">
        <f aca="false">+B143/B$28</f>
        <v>0.00225479143179256</v>
      </c>
      <c r="C144" s="32" t="n">
        <f aca="false">+C143/C$28</f>
        <v>0.00174581005586592</v>
      </c>
      <c r="D144" s="32" t="n">
        <f aca="false">+D143/D$28</f>
        <v>0.00164690382081686</v>
      </c>
      <c r="E144" s="32" t="n">
        <f aca="false">+E143/E$28</f>
        <v>0.000947567909033481</v>
      </c>
      <c r="F144" s="32" t="n">
        <f aca="false">+F143/F$28</f>
        <v>0.000657462195923734</v>
      </c>
      <c r="G144" s="32" t="n">
        <f aca="false">+G143/G$28</f>
        <v>0.00125904941768964</v>
      </c>
      <c r="H144" s="32" t="n">
        <f aca="false">+H143/H$28</f>
        <v>-0.00148942508191838</v>
      </c>
      <c r="I144" s="32" t="n">
        <f aca="false">+I143/I$28</f>
        <v>0.000272405339144647</v>
      </c>
      <c r="J144" s="32" t="n">
        <f aca="false">+J143/J$28</f>
        <v>0.0011001100110011</v>
      </c>
      <c r="K144" s="32" t="n">
        <f aca="false">+K143/K$28</f>
        <v>0.00052534804307854</v>
      </c>
      <c r="L144" s="32" t="n">
        <f aca="false">+L143/L$28</f>
        <v>0.00100300902708124</v>
      </c>
      <c r="M144" s="32" t="n">
        <f aca="false">+M143/M$28</f>
        <v>0.00141442715700141</v>
      </c>
      <c r="N144" s="32" t="n">
        <f aca="false">+N143/N$28</f>
        <v>0.00119331742243437</v>
      </c>
      <c r="O144" s="32" t="n">
        <f aca="false">+O143/O$28</f>
        <v>0.00214643453374672</v>
      </c>
      <c r="P144" s="32" t="n">
        <f aca="false">+P143/P$28</f>
        <v>0.00538389513108614</v>
      </c>
      <c r="Q144" s="32" t="n">
        <f aca="false">+Q143/Q$28</f>
        <v>0.00485544030015449</v>
      </c>
      <c r="R144" s="32" t="n">
        <f aca="false">+R143/R$28</f>
        <v>0.00264725347452019</v>
      </c>
      <c r="S144" s="32" t="n">
        <f aca="false">+S143/S$28</f>
        <v>0.00397739166841114</v>
      </c>
      <c r="T144" s="32" t="n">
        <f aca="false">+T143/T$28</f>
        <v>0.00120748641577782</v>
      </c>
      <c r="U144" s="32"/>
      <c r="V144" s="32"/>
      <c r="W144" s="32"/>
      <c r="X144" s="32"/>
      <c r="Y144" s="32"/>
      <c r="Z144" s="32"/>
      <c r="AA144" s="32" t="n">
        <f aca="false">+AA143/AA$28</f>
        <v>0.0199586043761088</v>
      </c>
      <c r="AB144" s="32" t="n">
        <f aca="false">+AB143/AB$28</f>
        <v>0.00989847715736041</v>
      </c>
      <c r="AC144" s="32" t="n">
        <f aca="false">+AC143/AC$28</f>
        <v>0.00879189077368639</v>
      </c>
      <c r="AD144" s="32" t="n">
        <f aca="false">+AD143/AD$28</f>
        <v>0.00213183252323697</v>
      </c>
      <c r="AE144" s="32" t="n">
        <f aca="false">+AE143/AE$28</f>
        <v>0.000452932739488186</v>
      </c>
      <c r="AF144" s="32" t="n">
        <f aca="false">+AF143/AF$28</f>
        <v>0.00108466790021055</v>
      </c>
      <c r="AG144" s="32" t="n">
        <f aca="false">+AG143/AG$28</f>
        <v>0.0034330268823461</v>
      </c>
      <c r="AH144" s="32" t="n">
        <f aca="false">+AH143/AH$28</f>
        <v>0.00268671669053173</v>
      </c>
      <c r="AI144" s="32" t="n">
        <f aca="false">+AI143/AI$28</f>
        <v>0.00210264784476396</v>
      </c>
      <c r="AJ144" s="32" t="n">
        <f aca="false">+AJ143/AJ$28</f>
        <v>0.00164555048720658</v>
      </c>
      <c r="AK144" s="32" t="n">
        <f aca="false">+AK143/AK$28</f>
        <v>0.00128782212042254</v>
      </c>
      <c r="AL144" s="32" t="n">
        <f aca="false">+AL143/AL$28</f>
        <v>0.0010078607898959</v>
      </c>
      <c r="AM144" s="89"/>
      <c r="AN144" s="89"/>
      <c r="AO144" s="89"/>
      <c r="AP144" s="42"/>
      <c r="AQ144" s="42"/>
      <c r="AR144" s="89"/>
      <c r="AS144" s="89"/>
      <c r="AT144" s="89"/>
      <c r="AU144" s="89"/>
      <c r="AV144" s="89"/>
      <c r="AW144" s="89"/>
      <c r="AX144" s="89"/>
      <c r="AY144" s="89"/>
      <c r="AZ144" s="89"/>
      <c r="BA144" s="89"/>
      <c r="BB144" s="89"/>
      <c r="BC144" s="89"/>
      <c r="BD144" s="89"/>
      <c r="BE144" s="89"/>
      <c r="BF144" s="89"/>
      <c r="BG144" s="89"/>
      <c r="BH144" s="89"/>
      <c r="BI144" s="89"/>
      <c r="BJ144" s="89"/>
      <c r="BK144" s="89"/>
      <c r="BL144" s="89"/>
      <c r="BM144" s="89"/>
      <c r="BN144" s="89"/>
      <c r="BO144" s="89"/>
      <c r="BP144" s="89"/>
      <c r="BQ144" s="89"/>
      <c r="BR144" s="89"/>
      <c r="BS144" s="89"/>
      <c r="BT144" s="89"/>
      <c r="BU144" s="89"/>
      <c r="BV144" s="89"/>
      <c r="BW144" s="89"/>
      <c r="BX144" s="89"/>
      <c r="BY144" s="89"/>
      <c r="BZ144" s="89"/>
      <c r="CA144" s="89"/>
      <c r="CB144" s="89"/>
      <c r="CC144" s="89"/>
      <c r="CD144" s="89"/>
      <c r="CE144" s="89"/>
      <c r="CF144" s="89"/>
      <c r="CG144" s="89"/>
      <c r="CH144" s="89"/>
      <c r="CI144" s="89"/>
      <c r="CJ144" s="89"/>
      <c r="CK144" s="89"/>
      <c r="CL144" s="89"/>
      <c r="CM144" s="89"/>
      <c r="CN144" s="89"/>
      <c r="CO144" s="89"/>
      <c r="CP144" s="89"/>
      <c r="CQ144" s="89"/>
      <c r="CR144" s="89"/>
      <c r="CS144" s="89"/>
      <c r="CT144" s="89"/>
      <c r="CU144" s="89"/>
      <c r="CV144" s="89"/>
      <c r="CW144" s="89"/>
      <c r="CX144" s="89"/>
      <c r="CY144" s="89"/>
      <c r="CZ144" s="89"/>
      <c r="DA144" s="89"/>
      <c r="DB144" s="89"/>
      <c r="DC144" s="25"/>
      <c r="DD144" s="25"/>
      <c r="DE144" s="25"/>
      <c r="DF144" s="25"/>
      <c r="DG144" s="25"/>
    </row>
    <row r="145" s="32" customFormat="true" ht="10.5" hidden="false" customHeight="true" outlineLevel="0" collapsed="false">
      <c r="A145" s="43" t="s">
        <v>182</v>
      </c>
      <c r="B145" s="41" t="n">
        <f aca="false">B141-B143</f>
        <v>31</v>
      </c>
      <c r="C145" s="41" t="n">
        <f aca="false">C141-C143</f>
        <v>34</v>
      </c>
      <c r="D145" s="41" t="n">
        <f aca="false">D141-D143</f>
        <v>35</v>
      </c>
      <c r="E145" s="41" t="n">
        <f aca="false">E141-E143</f>
        <v>-73</v>
      </c>
      <c r="F145" s="41" t="n">
        <f aca="false">F141-F143</f>
        <v>57</v>
      </c>
      <c r="G145" s="41" t="n">
        <f aca="false">G141-G143</f>
        <v>9</v>
      </c>
      <c r="H145" s="41" t="n">
        <f aca="false">H141-H143</f>
        <v>216</v>
      </c>
      <c r="I145" s="41" t="n">
        <f aca="false">I141-I143</f>
        <v>396</v>
      </c>
      <c r="J145" s="41" t="n">
        <f aca="false">J141-J143</f>
        <v>207</v>
      </c>
      <c r="K145" s="41" t="n">
        <f aca="false">K141-K143</f>
        <v>490</v>
      </c>
      <c r="L145" s="41" t="n">
        <f aca="false">L141-L143</f>
        <v>711</v>
      </c>
      <c r="M145" s="41" t="n">
        <f aca="false">M141-M143</f>
        <v>877</v>
      </c>
      <c r="N145" s="41" t="n">
        <f aca="false">N141-N143</f>
        <v>534</v>
      </c>
      <c r="O145" s="41" t="n">
        <f aca="false">O141-O143</f>
        <v>700</v>
      </c>
      <c r="P145" s="41" t="n">
        <f aca="false">P141-P143</f>
        <v>806</v>
      </c>
      <c r="Q145" s="41" t="n">
        <f aca="false">Q141-Q143</f>
        <v>834</v>
      </c>
      <c r="R145" s="41" t="n">
        <f aca="false">R141-R143</f>
        <v>824</v>
      </c>
      <c r="S145" s="41" t="n">
        <f aca="false">S141-S143</f>
        <v>797</v>
      </c>
      <c r="T145" s="41" t="n">
        <f aca="false">T141-T143</f>
        <v>734</v>
      </c>
      <c r="U145" s="41" t="n">
        <f aca="false">Q145*1.2</f>
        <v>1000.8</v>
      </c>
      <c r="V145" s="41"/>
      <c r="W145" s="41"/>
      <c r="X145" s="41"/>
      <c r="Y145" s="41"/>
      <c r="Z145" s="41"/>
      <c r="AA145" s="41" t="n">
        <f aca="false">AA141-AA143</f>
        <v>438</v>
      </c>
      <c r="AB145" s="41" t="n">
        <f aca="false">AB141-AB143</f>
        <v>181</v>
      </c>
      <c r="AC145" s="41" t="n">
        <f aca="false">AC141-AC143</f>
        <v>276</v>
      </c>
      <c r="AD145" s="41" t="n">
        <f aca="false">AD141-AD143</f>
        <v>21</v>
      </c>
      <c r="AE145" s="41" t="n">
        <f aca="false">AE141-AE143</f>
        <v>674</v>
      </c>
      <c r="AF145" s="41" t="n">
        <f aca="false">AF141-AF143</f>
        <v>2284</v>
      </c>
      <c r="AG145" s="41" t="n">
        <f aca="false">AG141-AG143</f>
        <v>2874</v>
      </c>
      <c r="AH145" s="41"/>
      <c r="AI145" s="41"/>
      <c r="AJ145" s="41"/>
      <c r="AK145" s="41"/>
      <c r="AL145" s="41"/>
      <c r="AM145" s="42"/>
      <c r="AN145" s="42"/>
      <c r="AO145" s="42"/>
      <c r="AP145" s="1"/>
      <c r="AQ145" s="1"/>
      <c r="AR145" s="42"/>
      <c r="AS145" s="42"/>
      <c r="AV145" s="42"/>
      <c r="AW145" s="42"/>
      <c r="AX145" s="42"/>
      <c r="AY145" s="42"/>
      <c r="AZ145" s="42"/>
      <c r="BA145" s="42"/>
      <c r="BB145" s="42"/>
      <c r="BC145" s="42"/>
      <c r="BD145" s="42"/>
      <c r="BE145" s="42"/>
      <c r="BF145" s="42"/>
      <c r="BG145" s="42"/>
      <c r="BH145" s="42"/>
      <c r="BI145" s="42"/>
      <c r="DC145" s="25"/>
      <c r="DD145" s="25"/>
      <c r="DE145" s="25"/>
      <c r="DF145" s="25"/>
      <c r="DG145" s="25"/>
    </row>
    <row r="146" customFormat="false" ht="12.8" hidden="false" customHeight="true" outlineLevel="0" collapsed="false">
      <c r="A146" s="47"/>
      <c r="B146" s="42"/>
      <c r="C146" s="32"/>
      <c r="D146" s="32"/>
      <c r="E146" s="32"/>
      <c r="F146" s="32" t="n">
        <f aca="false">+F145/B145-1</f>
        <v>0.838709677419355</v>
      </c>
      <c r="G146" s="32" t="n">
        <f aca="false">+G145/C145-1</f>
        <v>-0.735294117647059</v>
      </c>
      <c r="H146" s="32" t="n">
        <f aca="false">+H145/D145-1</f>
        <v>5.17142857142857</v>
      </c>
      <c r="I146" s="32" t="n">
        <f aca="false">+I145/E145-1</f>
        <v>-6.42465753424658</v>
      </c>
      <c r="J146" s="32" t="n">
        <f aca="false">+J145/F145-1</f>
        <v>2.63157894736842</v>
      </c>
      <c r="K146" s="32" t="n">
        <f aca="false">+K145/G145-1</f>
        <v>53.4444444444444</v>
      </c>
      <c r="L146" s="32" t="n">
        <f aca="false">+L145/H145-1</f>
        <v>2.29166666666667</v>
      </c>
      <c r="M146" s="32" t="n">
        <f aca="false">+M145/I145-1</f>
        <v>1.21464646464646</v>
      </c>
      <c r="N146" s="32" t="n">
        <f aca="false">+N145/J145-1</f>
        <v>1.57971014492754</v>
      </c>
      <c r="O146" s="32" t="n">
        <f aca="false">+O145/K145-1</f>
        <v>0.428571428571429</v>
      </c>
      <c r="P146" s="32" t="n">
        <f aca="false">+P145/L145-1</f>
        <v>0.133614627285513</v>
      </c>
      <c r="Q146" s="32" t="n">
        <f aca="false">+Q145/M145-1</f>
        <v>-0.04903078677309</v>
      </c>
      <c r="R146" s="32" t="n">
        <f aca="false">+R145/N145-1</f>
        <v>0.543071161048689</v>
      </c>
      <c r="S146" s="32" t="n">
        <f aca="false">+S145/O145-1</f>
        <v>0.138571428571429</v>
      </c>
      <c r="T146" s="32" t="n">
        <f aca="false">+T145/P145-1</f>
        <v>-0.0893300248138957</v>
      </c>
      <c r="U146" s="32" t="n">
        <f aca="false">+U145/Q145-1</f>
        <v>0.2</v>
      </c>
      <c r="V146" s="42"/>
      <c r="W146" s="42"/>
      <c r="X146" s="42"/>
      <c r="Y146" s="42"/>
      <c r="Z146" s="42"/>
      <c r="AA146" s="42"/>
      <c r="AB146" s="32" t="n">
        <f aca="false">+AB145/AA145-1</f>
        <v>-0.58675799086758</v>
      </c>
      <c r="AC146" s="32" t="n">
        <f aca="false">+AC145/AB145-1</f>
        <v>0.524861878453039</v>
      </c>
      <c r="AD146" s="32" t="n">
        <f aca="false">+AD145/AC145-1</f>
        <v>-0.923913043478261</v>
      </c>
      <c r="AE146" s="32" t="n">
        <f aca="false">+AE145/AD145-1</f>
        <v>31.0952380952381</v>
      </c>
      <c r="AF146" s="32" t="n">
        <f aca="false">+AF145/AE145-1</f>
        <v>2.38872403560831</v>
      </c>
      <c r="AG146" s="32" t="n">
        <f aca="false">+AG145/AF145-1</f>
        <v>0.258318739054291</v>
      </c>
      <c r="AH146" s="32"/>
      <c r="AI146" s="32"/>
      <c r="AJ146" s="32"/>
      <c r="AK146" s="32"/>
      <c r="AL146" s="32"/>
      <c r="AP146" s="13"/>
      <c r="AQ146" s="13"/>
      <c r="AT146" s="13"/>
      <c r="AU146" s="1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  <c r="CS146" s="33"/>
      <c r="CT146" s="33"/>
      <c r="CU146" s="33"/>
      <c r="CV146" s="33"/>
      <c r="CW146" s="33"/>
      <c r="CX146" s="33"/>
      <c r="CY146" s="33"/>
      <c r="CZ146" s="33"/>
      <c r="DA146" s="33"/>
      <c r="DB146" s="33"/>
      <c r="DC146" s="25"/>
      <c r="DD146" s="25"/>
      <c r="DE146" s="25"/>
      <c r="DF146" s="25"/>
      <c r="DG146" s="25"/>
    </row>
    <row r="147" s="4" customFormat="true" ht="12.8" hidden="false" customHeight="true" outlineLevel="0" collapsed="false">
      <c r="A147" s="23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3"/>
      <c r="AN147" s="13"/>
      <c r="AO147" s="13"/>
      <c r="AP147" s="33"/>
      <c r="AQ147" s="33"/>
      <c r="AR147" s="13"/>
      <c r="AS147" s="13"/>
      <c r="AT147" s="1"/>
      <c r="AU147" s="1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25"/>
      <c r="DD147" s="25"/>
      <c r="DE147" s="25"/>
      <c r="DF147" s="25"/>
      <c r="DG147" s="25"/>
    </row>
    <row r="148" s="59" customFormat="true" ht="12.8" hidden="false" customHeight="true" outlineLevel="0" collapsed="false">
      <c r="A148" s="34" t="s">
        <v>183</v>
      </c>
      <c r="B148" s="33" t="n">
        <f aca="false">B145/B60</f>
        <v>0.157298923770912</v>
      </c>
      <c r="C148" s="33" t="n">
        <f aca="false">C145/C60</f>
        <v>0.173594269346826</v>
      </c>
      <c r="D148" s="33" t="n">
        <f aca="false">D145/D60</f>
        <v>0.17858236218544</v>
      </c>
      <c r="E148" s="33" t="n">
        <f aca="false">E145/E60</f>
        <v>-0.377792038420933</v>
      </c>
      <c r="F148" s="33" t="n">
        <f aca="false">F145/F60</f>
        <v>0.294479288290057</v>
      </c>
      <c r="G148" s="33" t="n">
        <f aca="false">G145/G60</f>
        <v>0.0462915337928197</v>
      </c>
      <c r="H148" s="33" t="n">
        <f aca="false">H145/H60</f>
        <v>1.09084297921338</v>
      </c>
      <c r="I148" s="33" t="n">
        <f aca="false">I145/I60</f>
        <v>2.02003713603624</v>
      </c>
      <c r="J148" s="33" t="n">
        <f aca="false">J145/J60</f>
        <v>1.0158362491596</v>
      </c>
      <c r="K148" s="33" t="n">
        <f aca="false">K145/K60</f>
        <v>2.37726750081264</v>
      </c>
      <c r="L148" s="33" t="n">
        <f aca="false">L145/L60</f>
        <v>3.42816639660093</v>
      </c>
      <c r="M148" s="33" t="n">
        <f aca="false">M145/M60</f>
        <v>4.19593133408608</v>
      </c>
      <c r="N148" s="33" t="n">
        <f aca="false">N145/N60</f>
        <v>2.53991809477605</v>
      </c>
      <c r="O148" s="33" t="n">
        <f aca="false">O145/O60</f>
        <v>3.40753651373742</v>
      </c>
      <c r="P148" s="33" t="n">
        <f aca="false">P145/P60</f>
        <v>3.77007236106629</v>
      </c>
      <c r="Q148" s="33" t="n">
        <f aca="false">Q145/Q60</f>
        <v>3.92489058308626</v>
      </c>
      <c r="R148" s="33" t="n">
        <f aca="false">R145/R60</f>
        <v>3.93730042121613</v>
      </c>
      <c r="S148" s="33" t="n">
        <f aca="false">S145/S60</f>
        <v>3.81598126057307</v>
      </c>
      <c r="T148" s="33" t="n">
        <f aca="false">T145/T60</f>
        <v>3.51905458747887</v>
      </c>
      <c r="U148" s="33"/>
      <c r="V148" s="33"/>
      <c r="W148" s="33"/>
      <c r="X148" s="33"/>
      <c r="Y148" s="33"/>
      <c r="Z148" s="33"/>
      <c r="AA148" s="33" t="n">
        <f aca="false">AA145/AA60</f>
        <v>2.33496638821215</v>
      </c>
      <c r="AB148" s="33" t="n">
        <f aca="false">AB145/AB60</f>
        <v>0.96490620152146</v>
      </c>
      <c r="AC148" s="33" t="n">
        <f aca="false">AC145/AC60</f>
        <v>1.42309853926154</v>
      </c>
      <c r="AD148" s="33" t="n">
        <f aca="false">AD145/AD60</f>
        <v>0.107227107012653</v>
      </c>
      <c r="AE148" s="33" t="n">
        <f aca="false">AE145/AE60</f>
        <v>3.46116714253436</v>
      </c>
      <c r="AF148" s="33" t="n">
        <f aca="false">AF145/AF60</f>
        <v>11.0343494854824</v>
      </c>
      <c r="AG148" s="33" t="n">
        <f aca="false">AG145/AG60</f>
        <v>13.5253423690527</v>
      </c>
      <c r="AH148" s="33"/>
      <c r="AI148" s="33"/>
      <c r="AJ148" s="33"/>
      <c r="AK148" s="33"/>
      <c r="AL148" s="33"/>
      <c r="AM148" s="33"/>
      <c r="AN148" s="33"/>
      <c r="AO148" s="33"/>
      <c r="AP148" s="1"/>
      <c r="AQ148" s="1"/>
      <c r="AR148" s="33"/>
      <c r="AS148" s="33"/>
      <c r="AT148" s="1"/>
      <c r="AU148" s="1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25"/>
      <c r="DD148" s="25"/>
      <c r="DE148" s="25"/>
      <c r="DF148" s="25"/>
      <c r="DG148" s="25"/>
    </row>
    <row r="149" customFormat="false" ht="12.8" hidden="false" customHeight="true" outlineLevel="0" collapsed="false">
      <c r="AP149" s="4"/>
      <c r="AQ149" s="4"/>
      <c r="DC149" s="25"/>
      <c r="DD149" s="25"/>
      <c r="DE149" s="25"/>
      <c r="DF149" s="25"/>
      <c r="DG149" s="25"/>
    </row>
    <row r="150" s="4" customFormat="true" ht="12.8" hidden="false" customHeight="true" outlineLevel="0" collapsed="false">
      <c r="A150" s="40" t="s">
        <v>184</v>
      </c>
      <c r="B150" s="4" t="n">
        <f aca="false">+B128-B141</f>
        <v>94</v>
      </c>
      <c r="C150" s="4" t="n">
        <f aca="false">+C128-C141</f>
        <v>-164</v>
      </c>
      <c r="D150" s="4" t="n">
        <f aca="false">+D128-D141</f>
        <v>-206</v>
      </c>
      <c r="E150" s="4" t="n">
        <f aca="false">+E128-E141</f>
        <v>-200</v>
      </c>
      <c r="F150" s="4" t="n">
        <f aca="false">+F128-F141</f>
        <v>-284</v>
      </c>
      <c r="G150" s="4" t="n">
        <f aca="false">+G128-G141</f>
        <v>-315</v>
      </c>
      <c r="H150" s="4" t="n">
        <f aca="false">+H128-H141</f>
        <v>-146</v>
      </c>
      <c r="I150" s="4" t="n">
        <f aca="false">+I128-I141</f>
        <v>-467</v>
      </c>
      <c r="J150" s="4" t="n">
        <f aca="false">+J128-J141</f>
        <v>-14</v>
      </c>
      <c r="K150" s="4" t="n">
        <f aca="false">+K128-K141</f>
        <v>-218</v>
      </c>
      <c r="L150" s="4" t="n">
        <f aca="false">+L128-L141</f>
        <v>-415</v>
      </c>
      <c r="M150" s="4" t="n">
        <f aca="false">+M128-M141</f>
        <v>-516</v>
      </c>
      <c r="N150" s="4" t="n">
        <f aca="false">+N128-N141</f>
        <v>-314</v>
      </c>
      <c r="O150" s="4" t="n">
        <f aca="false">+O128-O141</f>
        <v>-795</v>
      </c>
      <c r="P150" s="4" t="n">
        <f aca="false">+P128-P141</f>
        <v>70</v>
      </c>
      <c r="Q150" s="4" t="n">
        <f aca="false">+Q128-Q141</f>
        <v>318</v>
      </c>
      <c r="R150" s="4" t="n">
        <f aca="false">+R128-R141</f>
        <v>-115</v>
      </c>
      <c r="S150" s="4" t="n">
        <f aca="false">+S128-S141</f>
        <v>-271</v>
      </c>
      <c r="T150" s="4" t="n">
        <f aca="false">+T128-T141</f>
        <v>-222</v>
      </c>
      <c r="AA150" s="4" t="n">
        <f aca="false">+AA128-AA141</f>
        <v>-759</v>
      </c>
      <c r="AB150" s="4" t="n">
        <f aca="false">+AB128-AB141</f>
        <v>-840</v>
      </c>
      <c r="AC150" s="4" t="n">
        <f aca="false">+AC128-AC141</f>
        <v>-395</v>
      </c>
      <c r="AD150" s="4" t="n">
        <f aca="false">+AD128-AD141</f>
        <v>-476</v>
      </c>
      <c r="AE150" s="4" t="n">
        <f aca="false">+AE128-AE141</f>
        <v>-1212</v>
      </c>
      <c r="AF150" s="4" t="n">
        <f aca="false">+AF128-AF141</f>
        <v>-1163</v>
      </c>
      <c r="AG150" s="4" t="n">
        <f aca="false">+AG128-AG141</f>
        <v>-721</v>
      </c>
      <c r="AP150" s="59"/>
      <c r="AQ150" s="59"/>
      <c r="DC150" s="25"/>
      <c r="DD150" s="25"/>
      <c r="DE150" s="25"/>
      <c r="DF150" s="25"/>
      <c r="DG150" s="25"/>
    </row>
    <row r="151" s="89" customFormat="true" ht="12.8" hidden="false" customHeight="true" outlineLevel="0" collapsed="false">
      <c r="A151" s="91" t="s">
        <v>185</v>
      </c>
      <c r="B151" s="59"/>
      <c r="C151" s="59" t="n">
        <f aca="false">+C150/((C104+B104)/2)</f>
        <v>-0.022735149372704</v>
      </c>
      <c r="D151" s="59" t="n">
        <f aca="false">+D150/((D104+C104)/2)</f>
        <v>-0.0274300932090546</v>
      </c>
      <c r="E151" s="59" t="n">
        <f aca="false">+E150/((E104+D104)/2)</f>
        <v>-0.0261985852763951</v>
      </c>
      <c r="F151" s="59" t="n">
        <f aca="false">+F150/((F104+E104)/2)</f>
        <v>-0.0374546653478404</v>
      </c>
      <c r="G151" s="59" t="n">
        <f aca="false">+G150/((G104+F104)/2)</f>
        <v>-0.0424499696785931</v>
      </c>
      <c r="H151" s="59" t="n">
        <f aca="false">+H150/((H104+G104)/2)</f>
        <v>-0.0195920558239399</v>
      </c>
      <c r="I151" s="59" t="n">
        <f aca="false">+I150/((I104+H104)/2)</f>
        <v>-0.0586020830719036</v>
      </c>
      <c r="J151" s="59" t="n">
        <f aca="false">+J150/((J104+I104)/2)</f>
        <v>-0.00160725561104414</v>
      </c>
      <c r="K151" s="59" t="n">
        <f aca="false">+K150/((K104+J104)/2)</f>
        <v>-0.0226835232298007</v>
      </c>
      <c r="L151" s="59" t="n">
        <f aca="false">+L150/((L104+K104)/2)</f>
        <v>-0.0400985554857723</v>
      </c>
      <c r="M151" s="59" t="n">
        <f aca="false">+M150/((M104+L104)/2)</f>
        <v>-0.0457487365901232</v>
      </c>
      <c r="N151" s="59" t="n">
        <f aca="false">+N150/((N104+M104)/2)</f>
        <v>-0.0254333387331929</v>
      </c>
      <c r="O151" s="59" t="n">
        <f aca="false">+O150/((O104+N104)/2)</f>
        <v>-0.06079840929948</v>
      </c>
      <c r="P151" s="59" t="n">
        <f aca="false">+P150/((P104+O104)/2)</f>
        <v>0.00497265042267529</v>
      </c>
      <c r="Q151" s="59" t="n">
        <f aca="false">+Q150/((Q104+P104)/2)</f>
        <v>0.0214112577430649</v>
      </c>
      <c r="R151" s="59" t="n">
        <f aca="false">+R150/((R104+Q104)/2)</f>
        <v>-0.00817254734747539</v>
      </c>
      <c r="S151" s="59" t="n">
        <f aca="false">+S150/((S104+R104)/2)</f>
        <v>-0.0201666914719452</v>
      </c>
      <c r="T151" s="59" t="n">
        <f aca="false">+T150/((T104+S104)/2)</f>
        <v>-0.0158232359230221</v>
      </c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 t="n">
        <f aca="false">+AE150/((AE104+AD104)/2)</f>
        <v>-0.0400833416013493</v>
      </c>
      <c r="AF151" s="59" t="n">
        <f aca="false">+AF150/((AF104+AE104)/2)</f>
        <v>-0.0320571129303454</v>
      </c>
      <c r="AG151" s="59" t="n">
        <f aca="false">+AG150/((AG104+AF104)/2)</f>
        <v>-0.0147692937983305</v>
      </c>
      <c r="AH151" s="59"/>
      <c r="AI151" s="59"/>
      <c r="AJ151" s="59"/>
      <c r="AK151" s="59"/>
      <c r="AL151" s="59"/>
      <c r="AM151" s="59"/>
      <c r="AN151" s="59"/>
      <c r="AO151" s="59"/>
      <c r="AR151" s="59"/>
      <c r="AS151" s="59"/>
      <c r="AT151" s="59"/>
      <c r="AU151" s="59"/>
      <c r="AV151" s="59"/>
      <c r="AW151" s="59"/>
      <c r="AX151" s="59"/>
      <c r="AY151" s="59"/>
      <c r="AZ151" s="59"/>
      <c r="BA151" s="59"/>
      <c r="BB151" s="59"/>
      <c r="BC151" s="59"/>
      <c r="BD151" s="59"/>
      <c r="BE151" s="59"/>
      <c r="BF151" s="59"/>
      <c r="BG151" s="59"/>
      <c r="BH151" s="59"/>
      <c r="BI151" s="59"/>
      <c r="BJ151" s="59"/>
      <c r="BK151" s="59"/>
      <c r="BL151" s="59"/>
      <c r="BM151" s="59"/>
      <c r="BN151" s="59"/>
      <c r="BO151" s="59"/>
      <c r="BP151" s="59"/>
      <c r="BQ151" s="59"/>
      <c r="BR151" s="59"/>
      <c r="BS151" s="59"/>
      <c r="BT151" s="59"/>
      <c r="BU151" s="59"/>
      <c r="BV151" s="59"/>
      <c r="BW151" s="59"/>
      <c r="BX151" s="59"/>
      <c r="BY151" s="59"/>
      <c r="BZ151" s="59"/>
      <c r="CA151" s="59"/>
      <c r="CB151" s="59"/>
      <c r="CC151" s="59"/>
      <c r="CD151" s="59"/>
      <c r="CE151" s="59"/>
      <c r="CF151" s="59"/>
      <c r="CG151" s="59"/>
      <c r="CH151" s="59"/>
      <c r="CI151" s="59"/>
      <c r="CJ151" s="59"/>
      <c r="CK151" s="59"/>
      <c r="CL151" s="59"/>
      <c r="CM151" s="59"/>
      <c r="CN151" s="59"/>
      <c r="CO151" s="59"/>
      <c r="CP151" s="59"/>
      <c r="CQ151" s="59"/>
      <c r="CR151" s="59"/>
      <c r="CS151" s="59"/>
      <c r="CT151" s="59"/>
      <c r="CU151" s="59"/>
      <c r="CV151" s="59"/>
      <c r="CW151" s="59"/>
      <c r="CX151" s="59"/>
      <c r="CY151" s="59"/>
      <c r="CZ151" s="59"/>
      <c r="DA151" s="59"/>
      <c r="DB151" s="59"/>
      <c r="DC151" s="25"/>
      <c r="DD151" s="25"/>
      <c r="DE151" s="25"/>
      <c r="DF151" s="25"/>
      <c r="DG151" s="25"/>
    </row>
    <row r="152" s="4" customFormat="true" ht="12.8" hidden="false" customHeight="true" outlineLevel="0" collapsed="false">
      <c r="A152" s="23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89"/>
      <c r="AN152" s="89"/>
      <c r="AO152" s="89"/>
      <c r="AP152" s="32"/>
      <c r="AQ152" s="32"/>
      <c r="AR152" s="89"/>
      <c r="AS152" s="89"/>
      <c r="AT152" s="89"/>
      <c r="AU152" s="89"/>
      <c r="AV152" s="89"/>
      <c r="AW152" s="89"/>
      <c r="AX152" s="89"/>
      <c r="AY152" s="89"/>
      <c r="AZ152" s="89"/>
      <c r="BA152" s="89"/>
      <c r="BB152" s="89"/>
      <c r="BC152" s="89"/>
      <c r="BD152" s="89"/>
      <c r="BE152" s="89"/>
      <c r="BF152" s="89"/>
      <c r="BG152" s="89"/>
      <c r="BH152" s="89"/>
      <c r="BI152" s="89"/>
      <c r="BJ152" s="89"/>
      <c r="BK152" s="89"/>
      <c r="BL152" s="89"/>
      <c r="BM152" s="89"/>
      <c r="BN152" s="89"/>
      <c r="BO152" s="89"/>
      <c r="BP152" s="89"/>
      <c r="BQ152" s="89"/>
      <c r="BR152" s="89"/>
      <c r="BS152" s="89"/>
      <c r="BT152" s="89"/>
      <c r="BU152" s="89"/>
      <c r="BV152" s="89"/>
      <c r="BW152" s="89"/>
      <c r="BX152" s="89"/>
      <c r="BY152" s="89"/>
      <c r="BZ152" s="89"/>
      <c r="CA152" s="89"/>
      <c r="CB152" s="89"/>
      <c r="CC152" s="89"/>
      <c r="CD152" s="89"/>
      <c r="CE152" s="89"/>
      <c r="CF152" s="89"/>
      <c r="CG152" s="89"/>
      <c r="CH152" s="89"/>
      <c r="CI152" s="89"/>
      <c r="CJ152" s="89"/>
      <c r="CK152" s="89"/>
      <c r="CL152" s="89"/>
      <c r="CM152" s="89"/>
      <c r="CN152" s="89"/>
      <c r="CO152" s="89"/>
      <c r="CP152" s="89"/>
      <c r="CQ152" s="89"/>
      <c r="CR152" s="89"/>
      <c r="CS152" s="89"/>
      <c r="CT152" s="89"/>
      <c r="CU152" s="89"/>
      <c r="CV152" s="89"/>
      <c r="CW152" s="89"/>
      <c r="CX152" s="89"/>
      <c r="CY152" s="89"/>
      <c r="CZ152" s="89"/>
      <c r="DA152" s="89"/>
      <c r="DB152" s="89"/>
      <c r="DC152" s="25"/>
      <c r="DD152" s="25"/>
      <c r="DE152" s="25"/>
      <c r="DF152" s="25"/>
      <c r="DG152" s="25"/>
    </row>
    <row r="153" s="32" customFormat="true" ht="10.5" hidden="false" customHeight="true" outlineLevel="0" collapsed="false">
      <c r="A153" s="40" t="s">
        <v>186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 t="n">
        <v>4405</v>
      </c>
      <c r="AB153" s="4" t="n">
        <v>5584</v>
      </c>
      <c r="AC153" s="4" t="n">
        <v>6617</v>
      </c>
      <c r="AD153" s="4" t="n">
        <v>8359</v>
      </c>
      <c r="AE153" s="4" t="n">
        <v>9123</v>
      </c>
      <c r="AF153" s="4" t="n">
        <v>7691</v>
      </c>
      <c r="AG153" s="4" t="n">
        <v>7287</v>
      </c>
      <c r="AH153" s="4"/>
      <c r="AI153" s="4"/>
      <c r="AJ153" s="4"/>
      <c r="AK153" s="4"/>
      <c r="AL153" s="4"/>
      <c r="AP153" s="4"/>
      <c r="AQ153" s="4"/>
      <c r="DC153" s="25"/>
      <c r="DD153" s="25"/>
      <c r="DE153" s="25"/>
      <c r="DF153" s="25"/>
      <c r="DG153" s="25"/>
    </row>
    <row r="154" customFormat="false" ht="12.8" hidden="false" customHeight="true" outlineLevel="0" collapsed="false">
      <c r="A154" s="30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 t="n">
        <f aca="false">+AB153/AA153-1</f>
        <v>0.267650397275823</v>
      </c>
      <c r="AC154" s="32" t="n">
        <f aca="false">+AC153/AB153-1</f>
        <v>0.184992836676218</v>
      </c>
      <c r="AD154" s="32" t="n">
        <f aca="false">+AD153/AC153-1</f>
        <v>0.263261296660118</v>
      </c>
      <c r="AE154" s="32" t="n">
        <f aca="false">+AE153/AD153-1</f>
        <v>0.0913984926426605</v>
      </c>
      <c r="AF154" s="32" t="n">
        <f aca="false">+AF153/AE153-1</f>
        <v>-0.156965910336512</v>
      </c>
      <c r="AG154" s="32" t="n">
        <f aca="false">+AG153/AF153-1</f>
        <v>-0.0525289299180861</v>
      </c>
      <c r="AH154" s="32"/>
      <c r="AI154" s="32"/>
      <c r="AJ154" s="32"/>
      <c r="AK154" s="32"/>
      <c r="AL154" s="32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</row>
    <row r="155" customFormat="false" ht="12.8" hidden="false" customHeight="true" outlineLevel="0" collapsed="false">
      <c r="A155" s="40" t="s">
        <v>187</v>
      </c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 t="n">
        <f aca="false">+(AA28*1000000)/AA153</f>
        <v>1535527.80930761</v>
      </c>
      <c r="AB155" s="4" t="n">
        <f aca="false">+(AB28*1000000)/AB153</f>
        <v>1411174.78510029</v>
      </c>
      <c r="AC155" s="4" t="n">
        <f aca="false">+(AC28*1000000)/AC153</f>
        <v>1461085.08387487</v>
      </c>
      <c r="AD155" s="4" t="n">
        <f aca="false">+(AD28*1000000)/AD153</f>
        <v>1402919.00945089</v>
      </c>
      <c r="AE155" s="4" t="n">
        <f aca="false">+(AE28*1000000)/AE153</f>
        <v>1452044.28367861</v>
      </c>
      <c r="AF155" s="4" t="n">
        <f aca="false">+(AF28*1000000)/AF153</f>
        <v>2037836.43219347</v>
      </c>
      <c r="AG155" s="4" t="n">
        <f aca="false">+(AG28*1000000)/AG153</f>
        <v>2358446.54864828</v>
      </c>
      <c r="AH155" s="4"/>
      <c r="AI155" s="4"/>
      <c r="AJ155" s="4"/>
      <c r="AK155" s="4"/>
      <c r="AL155" s="4"/>
      <c r="AM155" s="4"/>
      <c r="AN155" s="4"/>
      <c r="AO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</row>
    <row r="156" customFormat="false" ht="12.8" hidden="false" customHeight="true" outlineLevel="0" collapsed="false">
      <c r="AM156" s="92"/>
      <c r="AN156" s="92"/>
      <c r="AO156" s="92"/>
      <c r="AP156" s="92"/>
      <c r="AQ156" s="92"/>
      <c r="AR156" s="92"/>
      <c r="AS156" s="92"/>
      <c r="AT156" s="92"/>
      <c r="AU156" s="92"/>
      <c r="AV156" s="92"/>
      <c r="AW156" s="92"/>
      <c r="AX156" s="92"/>
      <c r="AY156" s="92"/>
      <c r="AZ156" s="92"/>
      <c r="BA156" s="92"/>
      <c r="BB156" s="92"/>
      <c r="BC156" s="92"/>
      <c r="BD156" s="92"/>
      <c r="BE156" s="92"/>
      <c r="BF156" s="92"/>
      <c r="BG156" s="92"/>
      <c r="BH156" s="92"/>
      <c r="BI156" s="92"/>
      <c r="BJ156" s="92"/>
      <c r="BK156" s="92"/>
      <c r="BL156" s="92"/>
      <c r="BM156" s="92"/>
      <c r="BN156" s="92"/>
      <c r="BO156" s="92"/>
      <c r="BP156" s="92"/>
      <c r="BQ156" s="92"/>
      <c r="BR156" s="92"/>
      <c r="BS156" s="92"/>
      <c r="BT156" s="92"/>
      <c r="BU156" s="92"/>
      <c r="BV156" s="92"/>
      <c r="BW156" s="92"/>
      <c r="BX156" s="92"/>
      <c r="BY156" s="92"/>
      <c r="BZ156" s="92"/>
      <c r="CA156" s="92"/>
      <c r="CB156" s="92"/>
      <c r="CC156" s="92"/>
      <c r="CD156" s="92"/>
      <c r="CE156" s="92"/>
      <c r="CF156" s="92"/>
      <c r="CG156" s="92"/>
      <c r="CH156" s="92"/>
      <c r="CI156" s="92"/>
      <c r="CJ156" s="92"/>
      <c r="CK156" s="92"/>
      <c r="CL156" s="92"/>
      <c r="CM156" s="92"/>
      <c r="CN156" s="92"/>
      <c r="CO156" s="92"/>
      <c r="CP156" s="92"/>
      <c r="CQ156" s="92"/>
      <c r="CR156" s="92"/>
      <c r="CS156" s="92"/>
      <c r="CT156" s="92"/>
      <c r="CU156" s="92"/>
      <c r="CV156" s="92"/>
      <c r="CW156" s="92"/>
      <c r="CX156" s="92"/>
      <c r="CY156" s="92"/>
      <c r="CZ156" s="92"/>
      <c r="DA156" s="92"/>
      <c r="DB156" s="92"/>
      <c r="DC156" s="25"/>
      <c r="DD156" s="25"/>
      <c r="DE156" s="25"/>
      <c r="DF156" s="25"/>
      <c r="DG156" s="25"/>
    </row>
    <row r="157" s="92" customFormat="true" ht="12.8" hidden="false" customHeight="true" outlineLevel="0" collapsed="false">
      <c r="A157" s="93" t="s">
        <v>188</v>
      </c>
      <c r="C157" s="92" t="n">
        <f aca="false">+AVERAGE(B95:C95)/C28*90</f>
        <v>18.3676675977654</v>
      </c>
      <c r="D157" s="92" t="n">
        <f aca="false">+AVERAGE(C95:D95)/D28*90</f>
        <v>18.6907114624506</v>
      </c>
      <c r="E157" s="92" t="n">
        <f aca="false">+AVERAGE(D95:E95)/E28*90</f>
        <v>19.017687934302</v>
      </c>
      <c r="F157" s="92" t="n">
        <f aca="false">+AVERAGE(E95:F95)/F28*90</f>
        <v>18.4171597633136</v>
      </c>
      <c r="G157" s="92" t="n">
        <f aca="false">+AVERAGE(F95:G95)/G28*90</f>
        <v>16.8130311614731</v>
      </c>
      <c r="H157" s="92" t="n">
        <f aca="false">+AVERAGE(G95:H95)/H28*90</f>
        <v>18.485254691689</v>
      </c>
      <c r="I157" s="92" t="n">
        <f aca="false">+AVERAGE(H95:I95)/I28*90</f>
        <v>19.6744756197221</v>
      </c>
      <c r="J157" s="92" t="n">
        <f aca="false">+AVERAGE(I95:J95)/J28*90</f>
        <v>20.2351485148515</v>
      </c>
      <c r="K157" s="92" t="n">
        <f aca="false">+AVERAGE(J95:K95)/K28*90</f>
        <v>18.0851063829787</v>
      </c>
      <c r="L157" s="92" t="n">
        <f aca="false">+AVERAGE(K95:L95)/L28*90</f>
        <v>16.9483450351053</v>
      </c>
      <c r="M157" s="92" t="n">
        <f aca="false">+AVERAGE(L95:M95)/M28*90</f>
        <v>16.1244695898161</v>
      </c>
      <c r="N157" s="92" t="n">
        <f aca="false">+AVERAGE(M95:N95)/N28*90</f>
        <v>16.3245823389021</v>
      </c>
      <c r="O157" s="92" t="n">
        <f aca="false">+AVERAGE(N95:O95)/O28*90</f>
        <v>15.9372764130694</v>
      </c>
      <c r="P157" s="92" t="n">
        <f aca="false">+AVERAGE(O95:P95)/P28*90</f>
        <v>15.4950842696629</v>
      </c>
      <c r="Q157" s="92" t="n">
        <f aca="false">+AVERAGE(P95:Q95)/Q28*90</f>
        <v>15.2648421981902</v>
      </c>
      <c r="R157" s="92" t="n">
        <f aca="false">+AVERAGE(Q95:R95)/R28*90</f>
        <v>14.7418927862343</v>
      </c>
      <c r="S157" s="92" t="n">
        <f aca="false">+AVERAGE(R95:S95)/S28*90</f>
        <v>13.7816621310446</v>
      </c>
      <c r="T157" s="92" t="n">
        <f aca="false">+AVERAGE(S95:T95)/T28*90</f>
        <v>14.4626685449789</v>
      </c>
      <c r="AB157" s="92" t="n">
        <f aca="false">+AVERAGE(AA95:AB95)/AB28*365</f>
        <v>21.492385786802</v>
      </c>
      <c r="AC157" s="92" t="n">
        <f aca="false">+AVERAGE(AB95:AC95)/AC28*365</f>
        <v>20.481226727348</v>
      </c>
      <c r="AD157" s="92" t="n">
        <f aca="false">+AVERAGE(AC95:AD95)/AD28*365</f>
        <v>48.6791165686024</v>
      </c>
      <c r="AE157" s="92" t="n">
        <f aca="false">+AVERAGE(AD95:AE95)/AE28*365</f>
        <v>73.0027553408319</v>
      </c>
      <c r="AF157" s="92" t="n">
        <f aca="false">+AVERAGE(AE95:AF95)/AF28*365</f>
        <v>68.0255854016461</v>
      </c>
      <c r="AG157" s="92" t="n">
        <f aca="false">+AVERAGE(AF95:AG95)/AG28*365</f>
        <v>64.479227278017</v>
      </c>
      <c r="AH157" s="94" t="n">
        <f aca="false">+AG157-1</f>
        <v>63.479227278017</v>
      </c>
      <c r="AI157" s="94" t="n">
        <f aca="false">+AH157-1</f>
        <v>62.479227278017</v>
      </c>
      <c r="AJ157" s="94" t="n">
        <f aca="false">+AI157-1</f>
        <v>61.479227278017</v>
      </c>
      <c r="AK157" s="94" t="n">
        <f aca="false">+AJ157-1</f>
        <v>60.479227278017</v>
      </c>
      <c r="AL157" s="94" t="n">
        <f aca="false">+AK157-1</f>
        <v>59.479227278017</v>
      </c>
      <c r="DC157" s="25"/>
      <c r="DD157" s="25"/>
      <c r="DE157" s="25"/>
      <c r="DF157" s="25"/>
      <c r="DG157" s="25"/>
    </row>
    <row r="158" s="92" customFormat="true" ht="12.8" hidden="false" customHeight="true" outlineLevel="0" collapsed="false">
      <c r="A158" s="93" t="s">
        <v>189</v>
      </c>
      <c r="C158" s="92" t="n">
        <f aca="false">+AVERAGE(B106:C106)/C34*90</f>
        <v>31.6666666666667</v>
      </c>
      <c r="D158" s="92" t="n">
        <f aca="false">+AVERAGE(C106:D106)/D34*90</f>
        <v>34.8818897637795</v>
      </c>
      <c r="E158" s="92" t="n">
        <f aca="false">+AVERAGE(D106:E106)/E34*90</f>
        <v>34.0972515856237</v>
      </c>
      <c r="F158" s="92" t="n">
        <f aca="false">+AVERAGE(E106:F106)/F34*90</f>
        <v>33.5127416520211</v>
      </c>
      <c r="G158" s="92" t="n">
        <f aca="false">+AVERAGE(F106:G106)/G34*90</f>
        <v>32.5321443384488</v>
      </c>
      <c r="H158" s="92" t="n">
        <f aca="false">+AVERAGE(G106:H106)/H34*90</f>
        <v>33.4587378640777</v>
      </c>
      <c r="I158" s="92" t="n">
        <f aca="false">+AVERAGE(H106:I106)/I34*90</f>
        <v>32.1571906354515</v>
      </c>
      <c r="J158" s="92" t="n">
        <f aca="false">+AVERAGE(I106:J106)/J34*90</f>
        <v>34.6390577507599</v>
      </c>
      <c r="K158" s="92" t="n">
        <f aca="false">+AVERAGE(J106:K106)/K34*90</f>
        <v>35.7161410018553</v>
      </c>
      <c r="L158" s="92" t="n">
        <f aca="false">+AVERAGE(K106:L106)/L34*90</f>
        <v>35.6168122270742</v>
      </c>
      <c r="M158" s="92" t="n">
        <f aca="false">+AVERAGE(L106:M106)/M34*90</f>
        <v>37.9853862212944</v>
      </c>
      <c r="N158" s="92" t="n">
        <f aca="false">+AVERAGE(M106:N106)/N34*90</f>
        <v>37.8037709497207</v>
      </c>
      <c r="O158" s="92" t="n">
        <f aca="false">+AVERAGE(N106:O106)/O34*90</f>
        <v>35.0069613644274</v>
      </c>
      <c r="P158" s="92" t="n">
        <f aca="false">+AVERAGE(O106:P106)/P34*90</f>
        <v>36.4190345771996</v>
      </c>
      <c r="Q158" s="92" t="n">
        <f aca="false">+AVERAGE(P106:Q106)/Q34*90</f>
        <v>35.427110817942</v>
      </c>
      <c r="R158" s="92" t="n">
        <f aca="false">+AVERAGE(Q106:R106)/R34*90</f>
        <v>36.201448321264</v>
      </c>
      <c r="S158" s="92" t="n">
        <f aca="false">+AVERAGE(R106:S106)/S34*90</f>
        <v>36.4272241433512</v>
      </c>
      <c r="T158" s="92" t="n">
        <f aca="false">+AVERAGE(S106:T106)/T34*90</f>
        <v>36.972972972973</v>
      </c>
      <c r="AB158" s="92" t="n">
        <f aca="false">+AVERAGE(AA106:AB106)/AB34*365</f>
        <v>39.7050298380222</v>
      </c>
      <c r="AC158" s="92" t="n">
        <f aca="false">+AVERAGE(AB106:AC106)/AC34*365</f>
        <v>36.9022891055532</v>
      </c>
      <c r="AD158" s="92" t="n">
        <f aca="false">+AVERAGE(AC106:AD106)/AD34*365</f>
        <v>85.1224292694012</v>
      </c>
      <c r="AE158" s="92" t="n">
        <f aca="false">+AVERAGE(AD106:AE106)/AE34*365</f>
        <v>129.287817258883</v>
      </c>
      <c r="AF158" s="92" t="n">
        <f aca="false">+AVERAGE(AE106:AF106)/AF34*365</f>
        <v>137.195862635857</v>
      </c>
      <c r="AG158" s="92" t="n">
        <f aca="false">+AVERAGE(AF106:AG106)/AG34*365</f>
        <v>143.424080410607</v>
      </c>
      <c r="AH158" s="94" t="n">
        <f aca="false">+AG158+2</f>
        <v>145.424080410607</v>
      </c>
      <c r="AI158" s="94" t="n">
        <f aca="false">+AH158+2</f>
        <v>147.424080410607</v>
      </c>
      <c r="AJ158" s="94" t="n">
        <f aca="false">+AI158+2</f>
        <v>149.424080410607</v>
      </c>
      <c r="AK158" s="94" t="n">
        <f aca="false">+AJ158+2</f>
        <v>151.424080410607</v>
      </c>
      <c r="AL158" s="94" t="n">
        <f aca="false">+AK158+2</f>
        <v>153.424080410607</v>
      </c>
      <c r="DC158" s="25"/>
      <c r="DD158" s="25"/>
      <c r="DE158" s="25"/>
      <c r="DF158" s="25"/>
      <c r="DG158" s="25"/>
    </row>
    <row r="159" s="92" customFormat="true" ht="12.8" hidden="false" customHeight="true" outlineLevel="0" collapsed="false">
      <c r="A159" s="93" t="s">
        <v>190</v>
      </c>
      <c r="C159" s="92" t="n">
        <f aca="false">+C157-C158</f>
        <v>-13.2989990689013</v>
      </c>
      <c r="D159" s="92" t="n">
        <f aca="false">+D157-D158</f>
        <v>-16.1911783013289</v>
      </c>
      <c r="E159" s="92" t="n">
        <f aca="false">+E157-E158</f>
        <v>-15.0795636513217</v>
      </c>
      <c r="F159" s="92" t="n">
        <f aca="false">+F157-F158</f>
        <v>-15.0955818887075</v>
      </c>
      <c r="G159" s="92" t="n">
        <f aca="false">+G157-G158</f>
        <v>-15.7191131769757</v>
      </c>
      <c r="H159" s="92" t="n">
        <f aca="false">+H157-H158</f>
        <v>-14.9734831723887</v>
      </c>
      <c r="I159" s="92" t="n">
        <f aca="false">+I157-I158</f>
        <v>-12.4827150157294</v>
      </c>
      <c r="J159" s="92" t="n">
        <f aca="false">+J157-J158</f>
        <v>-14.4039092359084</v>
      </c>
      <c r="K159" s="92" t="n">
        <f aca="false">+K157-K158</f>
        <v>-17.6310346188766</v>
      </c>
      <c r="L159" s="92" t="n">
        <f aca="false">+L157-L158</f>
        <v>-18.6684671919689</v>
      </c>
      <c r="M159" s="92" t="n">
        <f aca="false">+M157-M158</f>
        <v>-21.8609166314782</v>
      </c>
      <c r="N159" s="92" t="n">
        <f aca="false">+N157-N158</f>
        <v>-21.4791886108185</v>
      </c>
      <c r="O159" s="92" t="n">
        <f aca="false">+O157-O158</f>
        <v>-19.069684951358</v>
      </c>
      <c r="P159" s="92" t="n">
        <f aca="false">+P157-P158</f>
        <v>-20.9239503075367</v>
      </c>
      <c r="Q159" s="92" t="n">
        <f aca="false">+Q157-Q158</f>
        <v>-20.1622686197517</v>
      </c>
      <c r="R159" s="92" t="n">
        <f aca="false">+R157-R158</f>
        <v>-21.4595555350297</v>
      </c>
      <c r="S159" s="92" t="n">
        <f aca="false">+S157-S158</f>
        <v>-22.6455620123066</v>
      </c>
      <c r="T159" s="92" t="n">
        <f aca="false">+T157-T158</f>
        <v>-22.5103044279941</v>
      </c>
      <c r="AB159" s="92" t="n">
        <f aca="false">+AB157-AB158</f>
        <v>-18.2126440512201</v>
      </c>
      <c r="AC159" s="92" t="n">
        <f aca="false">+AC157-AC158</f>
        <v>-16.4210623782053</v>
      </c>
      <c r="AD159" s="92" t="n">
        <f aca="false">+AD157-AD158</f>
        <v>-36.4433127007988</v>
      </c>
      <c r="AE159" s="92" t="n">
        <f aca="false">+AE157-AE158</f>
        <v>-56.2850619180514</v>
      </c>
      <c r="AF159" s="92" t="n">
        <f aca="false">+AF157-AF158</f>
        <v>-69.170277234211</v>
      </c>
      <c r="AG159" s="92" t="n">
        <f aca="false">+AG157-AG158</f>
        <v>-78.9448531325904</v>
      </c>
      <c r="AH159" s="92" t="n">
        <f aca="false">+AH157-AH158</f>
        <v>-81.9448531325904</v>
      </c>
      <c r="AI159" s="92" t="n">
        <f aca="false">+AI157-AI158</f>
        <v>-84.9448531325904</v>
      </c>
      <c r="AJ159" s="92" t="n">
        <f aca="false">+AJ157-AJ158</f>
        <v>-87.9448531325904</v>
      </c>
      <c r="AK159" s="92" t="n">
        <f aca="false">+AK157-AK158</f>
        <v>-90.9448531325904</v>
      </c>
      <c r="AL159" s="92" t="n">
        <f aca="false">+AL157-AL158</f>
        <v>-93.9448531325904</v>
      </c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25"/>
      <c r="DD159" s="25"/>
      <c r="DE159" s="25"/>
      <c r="DF159" s="25"/>
      <c r="DG159" s="25"/>
    </row>
    <row r="160" customFormat="false" ht="12.8" hidden="false" customHeight="true" outlineLevel="0" collapsed="false"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25"/>
      <c r="DD160" s="25"/>
      <c r="DE160" s="25"/>
      <c r="DF160" s="25"/>
      <c r="DG160" s="25"/>
    </row>
    <row r="161" s="4" customFormat="true" ht="10.5" hidden="false" customHeight="true" outlineLevel="0" collapsed="false">
      <c r="A161" s="40" t="s">
        <v>191</v>
      </c>
      <c r="B161" s="4" t="n">
        <v>43</v>
      </c>
      <c r="C161" s="4" t="n">
        <f aca="false">+43-B161</f>
        <v>0</v>
      </c>
      <c r="D161" s="4" t="n">
        <f aca="false">+43-C161-B161</f>
        <v>0</v>
      </c>
      <c r="E161" s="4" t="n">
        <f aca="false">+43-D161-C161-B161</f>
        <v>0</v>
      </c>
      <c r="F161" s="4" t="n">
        <v>75</v>
      </c>
      <c r="G161" s="4" t="n">
        <f aca="false">+110-F161</f>
        <v>35</v>
      </c>
      <c r="H161" s="4" t="n">
        <f aca="false">+142-G161-F161</f>
        <v>32</v>
      </c>
      <c r="I161" s="4" t="n">
        <f aca="false">+366-H161-G161-F161</f>
        <v>224</v>
      </c>
      <c r="J161" s="4" t="n">
        <v>242</v>
      </c>
      <c r="K161" s="4" t="n">
        <f aca="false">+482-J161</f>
        <v>240</v>
      </c>
      <c r="L161" s="4" t="n">
        <f aca="false">+634-K161-J161</f>
        <v>152</v>
      </c>
      <c r="M161" s="4" t="n">
        <f aca="false">+933-L161-K161-J161</f>
        <v>299</v>
      </c>
      <c r="N161" s="4" t="n">
        <v>204</v>
      </c>
      <c r="O161" s="4" t="n">
        <f aca="false">+296-N161</f>
        <v>92</v>
      </c>
      <c r="P161" s="4" t="n">
        <f aca="false">+335-O161-N161</f>
        <v>39</v>
      </c>
      <c r="Q161" s="4" t="n">
        <f aca="false">+372-P161-O161-N161</f>
        <v>37</v>
      </c>
      <c r="R161" s="4" t="n">
        <v>64</v>
      </c>
      <c r="S161" s="4" t="n">
        <f aca="false">+128-R161</f>
        <v>64</v>
      </c>
      <c r="T161" s="4" t="n">
        <v>68</v>
      </c>
      <c r="AA161" s="4" t="n">
        <v>154</v>
      </c>
      <c r="AB161" s="4" t="n">
        <v>319</v>
      </c>
      <c r="AC161" s="4" t="n">
        <v>167</v>
      </c>
      <c r="AD161" s="4" t="n">
        <v>43</v>
      </c>
      <c r="AE161" s="4" t="n">
        <v>366</v>
      </c>
      <c r="AF161" s="4" t="n">
        <v>933</v>
      </c>
      <c r="AG161" s="4" t="n">
        <v>372</v>
      </c>
      <c r="AM161" s="95"/>
      <c r="AN161" s="95"/>
      <c r="AO161" s="95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  <c r="BE161" s="95"/>
      <c r="BF161" s="95"/>
      <c r="BG161" s="95"/>
      <c r="BH161" s="95"/>
      <c r="BI161" s="95"/>
      <c r="BJ161" s="95"/>
      <c r="BK161" s="95"/>
      <c r="BL161" s="95"/>
      <c r="BM161" s="95"/>
      <c r="BN161" s="95"/>
      <c r="BO161" s="95"/>
      <c r="BP161" s="95"/>
      <c r="BQ161" s="95"/>
      <c r="BR161" s="95"/>
      <c r="BS161" s="95"/>
      <c r="BT161" s="95"/>
      <c r="BU161" s="95"/>
      <c r="BV161" s="95"/>
      <c r="BW161" s="95"/>
      <c r="BX161" s="95"/>
      <c r="BY161" s="95"/>
      <c r="BZ161" s="95"/>
      <c r="CA161" s="95"/>
      <c r="CB161" s="95"/>
      <c r="CC161" s="95"/>
      <c r="CD161" s="95"/>
      <c r="CE161" s="95"/>
      <c r="CF161" s="95"/>
      <c r="CG161" s="95"/>
      <c r="CH161" s="95"/>
      <c r="CI161" s="95"/>
      <c r="CJ161" s="95"/>
      <c r="CK161" s="95"/>
      <c r="CL161" s="95"/>
      <c r="CM161" s="95"/>
      <c r="CN161" s="95"/>
      <c r="CO161" s="95"/>
      <c r="CP161" s="95"/>
      <c r="CQ161" s="95"/>
      <c r="CR161" s="95"/>
      <c r="CS161" s="95"/>
      <c r="CT161" s="95"/>
      <c r="CU161" s="95"/>
      <c r="CV161" s="95"/>
      <c r="CW161" s="95"/>
      <c r="CX161" s="95"/>
      <c r="CY161" s="95"/>
      <c r="CZ161" s="95"/>
      <c r="DA161" s="95"/>
      <c r="DB161" s="95"/>
      <c r="DC161" s="25"/>
      <c r="DD161" s="25"/>
      <c r="DE161" s="25"/>
      <c r="DF161" s="25"/>
      <c r="DG161" s="25"/>
    </row>
    <row r="162" s="95" customFormat="true" ht="10.5" hidden="false" customHeight="true" outlineLevel="0" collapsed="false">
      <c r="A162" s="96"/>
      <c r="B162" s="95" t="n">
        <f aca="false">+B161/B$28</f>
        <v>0.0161593385945133</v>
      </c>
      <c r="C162" s="95" t="n">
        <f aca="false">+C161/C$28</f>
        <v>0</v>
      </c>
      <c r="D162" s="95" t="n">
        <f aca="false">+D161/D$28</f>
        <v>0</v>
      </c>
      <c r="E162" s="95" t="n">
        <f aca="false">+E161/E$28</f>
        <v>0</v>
      </c>
      <c r="F162" s="95" t="n">
        <f aca="false">+F161/F$28</f>
        <v>0.02465483234714</v>
      </c>
      <c r="G162" s="95" t="n">
        <f aca="false">+G161/G$28</f>
        <v>0.0110166824047844</v>
      </c>
      <c r="H162" s="95" t="n">
        <f aca="false">+H161/H$28</f>
        <v>0.00953232052427763</v>
      </c>
      <c r="I162" s="95" t="n">
        <f aca="false">+I161/I$28</f>
        <v>0.061018795968401</v>
      </c>
      <c r="J162" s="95" t="n">
        <f aca="false">+J161/J$28</f>
        <v>0.0665566556655666</v>
      </c>
      <c r="K162" s="95" t="n">
        <f aca="false">+K161/K$28</f>
        <v>0.0630417651694247</v>
      </c>
      <c r="L162" s="95" t="n">
        <f aca="false">+L161/L$28</f>
        <v>0.0381143430290873</v>
      </c>
      <c r="M162" s="95" t="n">
        <f aca="false">+M161/M$28</f>
        <v>0.0704856199905705</v>
      </c>
      <c r="N162" s="95" t="n">
        <f aca="false">+N161/N$28</f>
        <v>0.0486873508353222</v>
      </c>
      <c r="O162" s="95" t="n">
        <f aca="false">+O161/O$28</f>
        <v>0.0219413307894109</v>
      </c>
      <c r="P162" s="95" t="n">
        <f aca="false">+P161/P$28</f>
        <v>0.00912921348314607</v>
      </c>
      <c r="Q162" s="95" t="n">
        <f aca="false">+Q161/Q$28</f>
        <v>0.00816596777753255</v>
      </c>
      <c r="R162" s="95" t="n">
        <f aca="false">+R161/R$28</f>
        <v>0.014118685197441</v>
      </c>
      <c r="S162" s="95" t="n">
        <f aca="false">+S161/S$28</f>
        <v>0.0133975298304375</v>
      </c>
      <c r="T162" s="95" t="n">
        <f aca="false">+T161/T$28</f>
        <v>0.013684846045482</v>
      </c>
      <c r="AA162" s="95" t="n">
        <f aca="false">+AA161/AA$28</f>
        <v>0.0227675931401538</v>
      </c>
      <c r="AB162" s="95" t="n">
        <f aca="false">+AB161/AB$28</f>
        <v>0.0404822335025381</v>
      </c>
      <c r="AC162" s="95" t="n">
        <f aca="false">+AC161/AC$28</f>
        <v>0.0172734795200662</v>
      </c>
      <c r="AD162" s="95" t="n">
        <f aca="false">+AD161/AD$28</f>
        <v>0.0036667519399676</v>
      </c>
      <c r="AE162" s="95" t="n">
        <f aca="false">+AE161/AE$28</f>
        <v>0.0276288971087793</v>
      </c>
      <c r="AF162" s="95" t="n">
        <f aca="false">+AF161/AF$28</f>
        <v>0.0595291265233204</v>
      </c>
      <c r="AG162" s="95" t="n">
        <f aca="false">+AG161/AG$28</f>
        <v>0.0216455254276737</v>
      </c>
      <c r="DC162" s="25"/>
      <c r="DD162" s="25"/>
      <c r="DE162" s="25"/>
      <c r="DF162" s="25"/>
      <c r="DG162" s="25"/>
    </row>
    <row r="163" s="95" customFormat="true" ht="12.8" hidden="false" customHeight="true" outlineLevel="0" collapsed="false">
      <c r="A163" s="96"/>
      <c r="F163" s="95" t="n">
        <f aca="false">+F161/B161-1</f>
        <v>0.744186046511628</v>
      </c>
      <c r="G163" s="95" t="e">
        <f aca="false">+G161/C161-1</f>
        <v>#DIV/0!</v>
      </c>
      <c r="H163" s="95" t="e">
        <f aca="false">+H161/D161-1</f>
        <v>#DIV/0!</v>
      </c>
      <c r="I163" s="95" t="e">
        <f aca="false">+I161/E161-1</f>
        <v>#DIV/0!</v>
      </c>
      <c r="J163" s="95" t="n">
        <f aca="false">+J161/F161-1</f>
        <v>2.22666666666667</v>
      </c>
      <c r="K163" s="95" t="n">
        <f aca="false">+K161/G161-1</f>
        <v>5.85714285714286</v>
      </c>
      <c r="L163" s="95" t="n">
        <f aca="false">+L161/H161-1</f>
        <v>3.75</v>
      </c>
      <c r="M163" s="95" t="n">
        <f aca="false">+M161/I161-1</f>
        <v>0.334821428571429</v>
      </c>
      <c r="N163" s="95" t="n">
        <f aca="false">+N161/J161-1</f>
        <v>-0.15702479338843</v>
      </c>
      <c r="O163" s="95" t="n">
        <f aca="false">+O161/K161-1</f>
        <v>-0.616666666666667</v>
      </c>
      <c r="P163" s="95" t="n">
        <f aca="false">+P161/L161-1</f>
        <v>-0.743421052631579</v>
      </c>
      <c r="Q163" s="95" t="n">
        <f aca="false">+Q161/M161-1</f>
        <v>-0.876254180602007</v>
      </c>
      <c r="R163" s="95" t="n">
        <f aca="false">+R161/N161-1</f>
        <v>-0.686274509803922</v>
      </c>
      <c r="S163" s="95" t="n">
        <f aca="false">+S161/O161-1</f>
        <v>-0.304347826086957</v>
      </c>
      <c r="T163" s="95" t="n">
        <f aca="false">+T161/P161-1</f>
        <v>0.743589743589744</v>
      </c>
      <c r="AB163" s="95" t="n">
        <f aca="false">+AB161/AA161-1</f>
        <v>1.07142857142857</v>
      </c>
      <c r="AC163" s="95" t="n">
        <f aca="false">+AC161/AB161-1</f>
        <v>-0.476489028213166</v>
      </c>
      <c r="AD163" s="95" t="n">
        <f aca="false">+AD161/AC161-1</f>
        <v>-0.74251497005988</v>
      </c>
      <c r="AE163" s="95" t="n">
        <f aca="false">+AE161/AD161-1</f>
        <v>7.51162790697674</v>
      </c>
      <c r="AF163" s="95" t="n">
        <f aca="false">+AF161/AE161-1</f>
        <v>1.54918032786885</v>
      </c>
      <c r="AG163" s="95" t="n">
        <f aca="false">+AG161/AF161-1</f>
        <v>-0.601286173633441</v>
      </c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25"/>
      <c r="DD163" s="25"/>
      <c r="DE163" s="25"/>
      <c r="DF163" s="25"/>
      <c r="DG163" s="25"/>
    </row>
    <row r="164" s="4" customFormat="true" ht="10.5" hidden="false" customHeight="true" outlineLevel="0" collapsed="false">
      <c r="A164" s="40" t="s">
        <v>192</v>
      </c>
      <c r="B164" s="4" t="n">
        <v>2</v>
      </c>
      <c r="C164" s="4" t="n">
        <f aca="false">+2-B164</f>
        <v>0</v>
      </c>
      <c r="D164" s="4" t="n">
        <f aca="false">+2-C164-B164</f>
        <v>0</v>
      </c>
      <c r="E164" s="4" t="n">
        <f aca="false">+2-D164-C164-B164</f>
        <v>0</v>
      </c>
      <c r="F164" s="4" t="n">
        <v>0</v>
      </c>
      <c r="G164" s="4" t="n">
        <f aca="false">+0-F164</f>
        <v>0</v>
      </c>
      <c r="H164" s="4" t="n">
        <v>0</v>
      </c>
      <c r="I164" s="4" t="n">
        <f aca="false">+0-H164-G164-F164</f>
        <v>0</v>
      </c>
      <c r="J164" s="4" t="n">
        <v>0</v>
      </c>
      <c r="K164" s="4" t="n">
        <f aca="false">+0-J164</f>
        <v>0</v>
      </c>
      <c r="L164" s="4" t="n">
        <f aca="false">+0-K164-J164</f>
        <v>0</v>
      </c>
      <c r="M164" s="4" t="n">
        <f aca="false">+0-L164-K164-J164</f>
        <v>0</v>
      </c>
      <c r="N164" s="4" t="n">
        <v>0</v>
      </c>
      <c r="O164" s="4" t="n">
        <f aca="false">+0-N164</f>
        <v>0</v>
      </c>
      <c r="P164" s="4" t="n">
        <f aca="false">+58-O164-N164</f>
        <v>58</v>
      </c>
      <c r="Q164" s="4" t="n">
        <f aca="false">+439-P164-O164-N164</f>
        <v>381</v>
      </c>
      <c r="R164" s="4" t="n">
        <v>306</v>
      </c>
      <c r="S164" s="4" t="n">
        <f aca="false">+538-R164</f>
        <v>232</v>
      </c>
      <c r="T164" s="4" t="n">
        <v>313</v>
      </c>
      <c r="AA164" s="4" t="n">
        <v>439</v>
      </c>
      <c r="AB164" s="4" t="n">
        <v>0</v>
      </c>
      <c r="AC164" s="4" t="n">
        <v>89</v>
      </c>
      <c r="AD164" s="4" t="n">
        <v>2</v>
      </c>
      <c r="AE164" s="4" t="n">
        <v>0</v>
      </c>
      <c r="AF164" s="4" t="n">
        <v>0</v>
      </c>
      <c r="AG164" s="4" t="n">
        <v>439</v>
      </c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5"/>
      <c r="BK164" s="95"/>
      <c r="BL164" s="95"/>
      <c r="BM164" s="95"/>
      <c r="BN164" s="95"/>
      <c r="BO164" s="95"/>
      <c r="BP164" s="95"/>
      <c r="BQ164" s="95"/>
      <c r="BR164" s="95"/>
      <c r="BS164" s="95"/>
      <c r="BT164" s="95"/>
      <c r="BU164" s="95"/>
      <c r="BV164" s="95"/>
      <c r="BW164" s="95"/>
      <c r="BX164" s="95"/>
      <c r="BY164" s="95"/>
      <c r="BZ164" s="95"/>
      <c r="CA164" s="95"/>
      <c r="CB164" s="95"/>
      <c r="CC164" s="95"/>
      <c r="CD164" s="95"/>
      <c r="CE164" s="95"/>
      <c r="CF164" s="95"/>
      <c r="CG164" s="95"/>
      <c r="CH164" s="95"/>
      <c r="CI164" s="95"/>
      <c r="CJ164" s="95"/>
      <c r="CK164" s="95"/>
      <c r="CL164" s="95"/>
      <c r="CM164" s="95"/>
      <c r="CN164" s="95"/>
      <c r="CO164" s="95"/>
      <c r="CP164" s="95"/>
      <c r="CQ164" s="95"/>
      <c r="CR164" s="95"/>
      <c r="CS164" s="95"/>
      <c r="CT164" s="95"/>
      <c r="CU164" s="95"/>
      <c r="CV164" s="95"/>
      <c r="CW164" s="95"/>
      <c r="CX164" s="95"/>
      <c r="CY164" s="95"/>
      <c r="CZ164" s="95"/>
      <c r="DA164" s="95"/>
      <c r="DB164" s="95"/>
      <c r="DC164" s="25"/>
      <c r="DD164" s="25"/>
      <c r="DE164" s="25"/>
      <c r="DF164" s="25"/>
      <c r="DG164" s="25"/>
    </row>
    <row r="165" s="95" customFormat="true" ht="10.5" hidden="false" customHeight="true" outlineLevel="0" collapsed="false">
      <c r="A165" s="96"/>
      <c r="B165" s="95" t="n">
        <f aca="false">+B164/B$28</f>
        <v>0.000751597143930853</v>
      </c>
      <c r="C165" s="95" t="n">
        <f aca="false">+C164/C$28</f>
        <v>0</v>
      </c>
      <c r="D165" s="95" t="n">
        <f aca="false">+D164/D$28</f>
        <v>0</v>
      </c>
      <c r="E165" s="95" t="n">
        <f aca="false">+E164/E$28</f>
        <v>0</v>
      </c>
      <c r="F165" s="95" t="n">
        <f aca="false">+F164/F$28</f>
        <v>0</v>
      </c>
      <c r="G165" s="95" t="n">
        <f aca="false">+G164/G$28</f>
        <v>0</v>
      </c>
      <c r="H165" s="95" t="n">
        <f aca="false">+H164/H$28</f>
        <v>0</v>
      </c>
      <c r="I165" s="95" t="n">
        <f aca="false">+I164/I$28</f>
        <v>0</v>
      </c>
      <c r="J165" s="95" t="n">
        <f aca="false">+J164/J$28</f>
        <v>0</v>
      </c>
      <c r="K165" s="95" t="n">
        <f aca="false">+K164/K$28</f>
        <v>0</v>
      </c>
      <c r="L165" s="95" t="n">
        <f aca="false">+L164/L$28</f>
        <v>0</v>
      </c>
      <c r="M165" s="95" t="n">
        <f aca="false">+M164/M$28</f>
        <v>0</v>
      </c>
      <c r="N165" s="95" t="n">
        <f aca="false">+N164/N$28</f>
        <v>0</v>
      </c>
      <c r="O165" s="95" t="n">
        <f aca="false">+O164/O$28</f>
        <v>0</v>
      </c>
      <c r="P165" s="95" t="n">
        <f aca="false">+P164/P$28</f>
        <v>0.0135767790262172</v>
      </c>
      <c r="Q165" s="95" t="n">
        <f aca="false">+Q164/Q$28</f>
        <v>0.0840873979254028</v>
      </c>
      <c r="R165" s="95" t="n">
        <f aca="false">+R164/R$28</f>
        <v>0.0675049636002647</v>
      </c>
      <c r="S165" s="95" t="n">
        <f aca="false">+S164/S$28</f>
        <v>0.048566045635336</v>
      </c>
      <c r="T165" s="95" t="n">
        <f aca="false">+T164/T$28</f>
        <v>0.0629905413564098</v>
      </c>
      <c r="AA165" s="95" t="n">
        <f aca="false">+AA164/AA$28</f>
        <v>0.0649024246008279</v>
      </c>
      <c r="AB165" s="95" t="n">
        <f aca="false">+AB164/AB$28</f>
        <v>0</v>
      </c>
      <c r="AC165" s="95" t="n">
        <f aca="false">+AC164/AC$28</f>
        <v>0.00920562681009516</v>
      </c>
      <c r="AD165" s="95" t="n">
        <f aca="false">+AD164/AD$28</f>
        <v>0.000170546601858958</v>
      </c>
      <c r="AE165" s="95" t="n">
        <f aca="false">+AE164/AE$28</f>
        <v>0</v>
      </c>
      <c r="AF165" s="95" t="n">
        <f aca="false">+AF164/AF$28</f>
        <v>0</v>
      </c>
      <c r="AG165" s="95" t="n">
        <f aca="false">+AG164/AG$28</f>
        <v>0.0255440474805074</v>
      </c>
      <c r="DC165" s="25"/>
      <c r="DD165" s="25"/>
      <c r="DE165" s="25"/>
      <c r="DF165" s="25"/>
      <c r="DG165" s="25"/>
    </row>
    <row r="166" s="95" customFormat="true" ht="12.8" hidden="false" customHeight="true" outlineLevel="0" collapsed="false">
      <c r="A166" s="96"/>
      <c r="F166" s="95" t="n">
        <f aca="false">+F164/B164-1</f>
        <v>-1</v>
      </c>
      <c r="G166" s="95" t="e">
        <f aca="false">+G164/C164-1</f>
        <v>#DIV/0!</v>
      </c>
      <c r="H166" s="95" t="e">
        <f aca="false">+H164/D164-1</f>
        <v>#DIV/0!</v>
      </c>
      <c r="I166" s="95" t="e">
        <f aca="false">+I164/E164-1</f>
        <v>#DIV/0!</v>
      </c>
      <c r="J166" s="95" t="e">
        <f aca="false">+J164/F164-1</f>
        <v>#DIV/0!</v>
      </c>
      <c r="K166" s="95" t="e">
        <f aca="false">+K164/G164-1</f>
        <v>#DIV/0!</v>
      </c>
      <c r="L166" s="95" t="e">
        <f aca="false">+L164/H164-1</f>
        <v>#DIV/0!</v>
      </c>
      <c r="M166" s="95" t="e">
        <f aca="false">+M164/I164-1</f>
        <v>#DIV/0!</v>
      </c>
      <c r="N166" s="95" t="e">
        <f aca="false">+N164/J164-1</f>
        <v>#DIV/0!</v>
      </c>
      <c r="O166" s="95" t="e">
        <f aca="false">+O164/K164-1</f>
        <v>#DIV/0!</v>
      </c>
      <c r="P166" s="95" t="e">
        <f aca="false">+P164/L164-1</f>
        <v>#DIV/0!</v>
      </c>
      <c r="Q166" s="95" t="e">
        <f aca="false">+Q164/M164-1</f>
        <v>#DIV/0!</v>
      </c>
      <c r="R166" s="95" t="e">
        <f aca="false">+R164/N164-1</f>
        <v>#DIV/0!</v>
      </c>
      <c r="S166" s="95" t="e">
        <f aca="false">+S164/O164-1</f>
        <v>#DIV/0!</v>
      </c>
      <c r="T166" s="95" t="n">
        <f aca="false">+T164/P164-1</f>
        <v>4.39655172413793</v>
      </c>
      <c r="AB166" s="95" t="n">
        <f aca="false">+AB164/AA164-1</f>
        <v>-1</v>
      </c>
      <c r="AC166" s="95" t="e">
        <f aca="false">+AC164/AB164-1</f>
        <v>#DIV/0!</v>
      </c>
      <c r="AD166" s="95" t="n">
        <f aca="false">+AD164/AC164-1</f>
        <v>-0.97752808988764</v>
      </c>
      <c r="AE166" s="95" t="n">
        <f aca="false">+AE164/AD164-1</f>
        <v>-1</v>
      </c>
      <c r="AF166" s="95" t="e">
        <f aca="false">+AF164/AE164-1</f>
        <v>#DIV/0!</v>
      </c>
      <c r="AG166" s="95" t="e">
        <f aca="false">+AG164/AF164-1</f>
        <v>#DIV/0!</v>
      </c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25"/>
      <c r="DD166" s="25"/>
      <c r="DE166" s="25"/>
      <c r="DF166" s="25"/>
      <c r="DG166" s="25"/>
    </row>
    <row r="168" customFormat="false" ht="12.8" hidden="false" customHeight="true" outlineLevel="0" collapsed="false">
      <c r="A168" s="23" t="s">
        <v>193</v>
      </c>
      <c r="B168" s="1" t="n">
        <f aca="false">+B164-B161</f>
        <v>-41</v>
      </c>
      <c r="C168" s="1" t="n">
        <f aca="false">+C164-C161</f>
        <v>0</v>
      </c>
      <c r="D168" s="1" t="n">
        <f aca="false">+D164-D161</f>
        <v>0</v>
      </c>
      <c r="E168" s="1" t="n">
        <f aca="false">+E164-E161</f>
        <v>0</v>
      </c>
      <c r="F168" s="1" t="n">
        <f aca="false">+F164-F161</f>
        <v>-75</v>
      </c>
      <c r="G168" s="1" t="n">
        <f aca="false">+G164-G161</f>
        <v>-35</v>
      </c>
      <c r="H168" s="1" t="n">
        <f aca="false">+H164-H161</f>
        <v>-32</v>
      </c>
      <c r="I168" s="1" t="n">
        <f aca="false">+I164-I161</f>
        <v>-224</v>
      </c>
      <c r="J168" s="1" t="n">
        <f aca="false">+J164-J161</f>
        <v>-242</v>
      </c>
      <c r="K168" s="1" t="n">
        <f aca="false">+K164-K161</f>
        <v>-240</v>
      </c>
      <c r="L168" s="1" t="n">
        <f aca="false">+L164-L161</f>
        <v>-152</v>
      </c>
      <c r="M168" s="1" t="n">
        <f aca="false">+M164-M161</f>
        <v>-299</v>
      </c>
      <c r="N168" s="1" t="n">
        <f aca="false">+N164-N161</f>
        <v>-204</v>
      </c>
      <c r="O168" s="1" t="n">
        <f aca="false">+O164-O161</f>
        <v>-92</v>
      </c>
      <c r="P168" s="1" t="n">
        <f aca="false">+P164-P161</f>
        <v>19</v>
      </c>
      <c r="Q168" s="1" t="n">
        <f aca="false">+Q164-Q161</f>
        <v>344</v>
      </c>
      <c r="R168" s="1" t="n">
        <f aca="false">+R164-R161</f>
        <v>242</v>
      </c>
      <c r="S168" s="1" t="n">
        <f aca="false">+S164-S161</f>
        <v>168</v>
      </c>
      <c r="T168" s="1" t="n">
        <f aca="false">+T164-T161</f>
        <v>245</v>
      </c>
      <c r="AA168" s="1" t="n">
        <f aca="false">+AA164-AA161</f>
        <v>285</v>
      </c>
      <c r="AB168" s="1" t="n">
        <f aca="false">+AB164-AB161</f>
        <v>-319</v>
      </c>
      <c r="AC168" s="1" t="n">
        <f aca="false">+AC164-AC161</f>
        <v>-78</v>
      </c>
      <c r="AD168" s="1" t="n">
        <f aca="false">+AD164-AD161</f>
        <v>-41</v>
      </c>
      <c r="AE168" s="1" t="n">
        <f aca="false">+AE164-AE161</f>
        <v>-366</v>
      </c>
      <c r="AF168" s="1" t="n">
        <f aca="false">+AF164-AF161</f>
        <v>-933</v>
      </c>
      <c r="AG168" s="1" t="n">
        <f aca="false">+AG164-AG161</f>
        <v>67</v>
      </c>
    </row>
    <row r="169" customFormat="false" ht="12.8" hidden="false" customHeight="true" outlineLevel="0" collapsed="false">
      <c r="B169" s="95" t="n">
        <f aca="false">+B168/B$28</f>
        <v>-0.0154077414505825</v>
      </c>
      <c r="C169" s="95" t="n">
        <f aca="false">+C168/C$28</f>
        <v>0</v>
      </c>
      <c r="D169" s="95" t="n">
        <f aca="false">+D168/D$28</f>
        <v>0</v>
      </c>
      <c r="E169" s="95" t="n">
        <f aca="false">+E168/E$28</f>
        <v>0</v>
      </c>
      <c r="F169" s="95" t="n">
        <f aca="false">+F168/F$28</f>
        <v>-0.02465483234714</v>
      </c>
      <c r="G169" s="95" t="n">
        <f aca="false">+G168/G$28</f>
        <v>-0.0110166824047844</v>
      </c>
      <c r="H169" s="95" t="n">
        <f aca="false">+H168/H$28</f>
        <v>-0.00953232052427763</v>
      </c>
      <c r="I169" s="95" t="n">
        <f aca="false">+I168/I$28</f>
        <v>-0.061018795968401</v>
      </c>
      <c r="J169" s="95" t="n">
        <f aca="false">+J168/J$28</f>
        <v>-0.0665566556655666</v>
      </c>
      <c r="K169" s="95" t="n">
        <f aca="false">+K168/K$28</f>
        <v>-0.0630417651694247</v>
      </c>
      <c r="L169" s="95" t="n">
        <f aca="false">+L168/L$28</f>
        <v>-0.0381143430290873</v>
      </c>
      <c r="M169" s="95" t="n">
        <f aca="false">+M168/M$28</f>
        <v>-0.0704856199905705</v>
      </c>
      <c r="N169" s="95" t="n">
        <f aca="false">+N168/N$28</f>
        <v>-0.0486873508353222</v>
      </c>
      <c r="O169" s="95" t="n">
        <f aca="false">+O168/O$28</f>
        <v>-0.0219413307894109</v>
      </c>
      <c r="P169" s="95" t="n">
        <f aca="false">+P168/P$28</f>
        <v>0.00444756554307116</v>
      </c>
      <c r="Q169" s="95" t="n">
        <f aca="false">+Q168/Q$28</f>
        <v>0.0759214301478702</v>
      </c>
      <c r="R169" s="95" t="n">
        <f aca="false">+R168/R$28</f>
        <v>0.0533862784028237</v>
      </c>
      <c r="S169" s="95" t="n">
        <f aca="false">+S168/S$28</f>
        <v>0.0351685158048985</v>
      </c>
      <c r="T169" s="95" t="n">
        <f aca="false">+T168/T$28</f>
        <v>0.0493056953109278</v>
      </c>
      <c r="AA169" s="95" t="n">
        <f aca="false">+AA168/AA$28</f>
        <v>0.0421348314606742</v>
      </c>
      <c r="AB169" s="95" t="n">
        <f aca="false">+AB168/AB$28</f>
        <v>-0.0404822335025381</v>
      </c>
      <c r="AC169" s="95" t="n">
        <f aca="false">+AC168/AC$28</f>
        <v>-0.00806785270997104</v>
      </c>
      <c r="AD169" s="95" t="n">
        <f aca="false">+AD168/AD$28</f>
        <v>-0.00349620533810864</v>
      </c>
      <c r="AE169" s="95" t="n">
        <f aca="false">+AE168/AE$28</f>
        <v>-0.0276288971087793</v>
      </c>
      <c r="AF169" s="95" t="n">
        <f aca="false">+AF168/AF$28</f>
        <v>-0.0595291265233204</v>
      </c>
      <c r="AG169" s="95" t="n">
        <f aca="false">+AG168/AG$28</f>
        <v>0.0038985220528337</v>
      </c>
    </row>
    <row r="170" customFormat="false" ht="12.8" hidden="false" customHeight="true" outlineLevel="0" collapsed="false">
      <c r="F170" s="95" t="n">
        <f aca="false">+F168/B168-1</f>
        <v>0.829268292682927</v>
      </c>
      <c r="G170" s="95" t="e">
        <f aca="false">+G168/C168-1</f>
        <v>#DIV/0!</v>
      </c>
      <c r="H170" s="95" t="e">
        <f aca="false">+H168/D168-1</f>
        <v>#DIV/0!</v>
      </c>
      <c r="I170" s="95" t="e">
        <f aca="false">+I168/E168-1</f>
        <v>#DIV/0!</v>
      </c>
      <c r="J170" s="95" t="n">
        <f aca="false">+J168/F168-1</f>
        <v>2.22666666666667</v>
      </c>
      <c r="K170" s="95" t="n">
        <f aca="false">+K168/G168-1</f>
        <v>5.85714285714286</v>
      </c>
      <c r="L170" s="95" t="n">
        <f aca="false">+L168/H168-1</f>
        <v>3.75</v>
      </c>
      <c r="M170" s="95" t="n">
        <f aca="false">+M168/I168-1</f>
        <v>0.334821428571429</v>
      </c>
      <c r="N170" s="95" t="n">
        <f aca="false">+N168/J168-1</f>
        <v>-0.15702479338843</v>
      </c>
      <c r="O170" s="95" t="n">
        <f aca="false">+O168/K168-1</f>
        <v>-0.616666666666667</v>
      </c>
      <c r="P170" s="95" t="n">
        <f aca="false">+P168/L168-1</f>
        <v>-1.125</v>
      </c>
      <c r="Q170" s="95" t="n">
        <f aca="false">+Q168/M168-1</f>
        <v>-2.1505016722408</v>
      </c>
      <c r="R170" s="95" t="n">
        <f aca="false">+R168/N168-1</f>
        <v>-2.18627450980392</v>
      </c>
      <c r="S170" s="95" t="n">
        <f aca="false">+S168/O168-1</f>
        <v>-2.82608695652174</v>
      </c>
      <c r="T170" s="95" t="n">
        <f aca="false">+T168/P168-1</f>
        <v>11.8947368421053</v>
      </c>
      <c r="AB170" s="95" t="n">
        <f aca="false">+AB168/AA168-1</f>
        <v>-2.11929824561404</v>
      </c>
      <c r="AC170" s="95" t="n">
        <f aca="false">+AC168/AB168-1</f>
        <v>-0.755485893416928</v>
      </c>
      <c r="AD170" s="95" t="n">
        <f aca="false">+AD168/AC168-1</f>
        <v>-0.474358974358974</v>
      </c>
      <c r="AE170" s="95" t="n">
        <f aca="false">+AE168/AD168-1</f>
        <v>7.92682926829268</v>
      </c>
      <c r="AF170" s="95" t="n">
        <f aca="false">+AF168/AE168-1</f>
        <v>1.54918032786885</v>
      </c>
      <c r="AG170" s="95" t="n">
        <f aca="false">+AG168/AF168-1</f>
        <v>-1.07181136120043</v>
      </c>
    </row>
  </sheetData>
  <mergeCells count="2">
    <mergeCell ref="AV63:AW63"/>
    <mergeCell ref="AV69:AZ69"/>
  </mergeCells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1857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2026-01-28T18:12:26Z</dcterms:created>
  <dc:creator/>
  <dc:description/>
  <dc:language>en-US</dc:language>
  <cp:lastModifiedBy/>
  <dcterms:modified xsi:type="dcterms:W3CDTF">2026-10-22T15:14:38Z</dcterms:modified>
  <cp:revision>222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