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3.xml" ContentType="application/vnd.openxmlformats-officedocument.drawing+xml"/>
  <Override PartName="/xl/charts/style1.xml" ContentType="application/vnd.ms-office.chartstyle+xml"/>
  <Override PartName="/xl/charts/chart3.xml" ContentType="application/vnd.openxmlformats-officedocument.drawingml.chart+xml"/>
  <Override PartName="/xl/charts/chart1.xml" ContentType="application/vnd.openxmlformats-officedocument.drawingml.chart+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hart5.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style5.xml" ContentType="application/vnd.ms-office.chartstyle+xml"/>
  <Override PartName="/xl/charts/colors4.xml" ContentType="application/vnd.ms-office.chartcolorstyle+xml"/>
  <Override PartName="/xl/charts/style4.xml" ContentType="application/vnd.ms-office.chartstyle+xml"/>
  <Override PartName="/xl/charts/colors2.xml" ContentType="application/vnd.ms-office.chartcolor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Main" sheetId="1" state="visible" r:id="rId3"/>
    <sheet name="Model" sheetId="2" state="visible" r:id="rId4"/>
    <sheet name="Bond" sheetId="3" state="visible" r:id="rId5"/>
    <sheet name="Board" sheetId="4" state="visible" r:id="rId6"/>
  </sheets>
  <externalReferences>
    <externalReference r:id="rId7"/>
  </externalReferences>
  <calcPr iterateCount="100" refMode="A1" iterate="false" iterateDelta="0.001"/>
  <extLst>
    <ext xmlns:loext="http://schemas.libreoffice.org/" uri="{7626C862-2A13-11E5-B345-FEFF819CDC9F}">
      <loext:extCalcPr stringRefSyntax="CalcA1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O46" authorId="0">
      <text>
        <r>
          <rPr>
            <sz val="10"/>
            <rFont val="Arial"/>
            <family val="2"/>
          </rPr>
          <t xml:space="preserve">(343) loss on equity investments</t>
        </r>
      </text>
      <mc:AlternateContent>
        <mc:Choice Requires="v2">
          <commentPr autoFill="true" autoScale="false" colHidden="false" locked="false" rowHidden="false" textHAlign="justify" textVAlign="top">
            <anchor moveWithCells="false" sizeWithCells="false">
              <xdr:from>
                <xdr:col>15</xdr:col>
                <xdr:colOff>1</xdr:colOff>
                <xdr:row>41</xdr:row>
                <xdr:rowOff>1</xdr:rowOff>
              </xdr:from>
              <xdr:to>
                <xdr:col>16</xdr:col>
                <xdr:colOff>1</xdr:colOff>
                <xdr:row>45</xdr:row>
                <xdr:rowOff>1</xdr:rowOff>
              </xdr:to>
            </anchor>
          </commentPr>
        </mc:Choice>
        <mc:Fallback/>
      </mc:AlternateContent>
    </comment>
    <comment ref="P46" authorId="0">
      <text>
        <r>
          <rPr>
            <sz val="10"/>
            <rFont val="Arial"/>
            <family val="2"/>
          </rPr>
          <t xml:space="preserve">954 Other Income</t>
        </r>
      </text>
      <mc:AlternateContent>
        <mc:Choice Requires="v2">
          <commentPr autoFill="true" autoScale="false" colHidden="false" locked="false" rowHidden="false" textHAlign="justify" textVAlign="top">
            <anchor moveWithCells="false" sizeWithCells="false">
              <xdr:from>
                <xdr:col>16</xdr:col>
                <xdr:colOff>1</xdr:colOff>
                <xdr:row>41</xdr:row>
                <xdr:rowOff>1</xdr:rowOff>
              </xdr:from>
              <xdr:to>
                <xdr:col>17</xdr:col>
                <xdr:colOff>1</xdr:colOff>
                <xdr:row>45</xdr:row>
                <xdr:rowOff>1</xdr:rowOff>
              </xdr:to>
            </anchor>
          </commentPr>
        </mc:Choice>
        <mc:Fallback/>
      </mc:AlternateContent>
    </comment>
    <comment ref="P50" authorId="0">
      <text>
        <r>
          <rPr>
            <sz val="10"/>
            <rFont val="Arial"/>
            <family val="2"/>
          </rPr>
          <t xml:space="preserve">Impairment of One Big Beautiful Bill Act
15,930</t>
        </r>
      </text>
      <mc:AlternateContent>
        <mc:Choice Requires="v2">
          <commentPr autoFill="true" autoScale="false" colHidden="false" locked="false" rowHidden="false" textHAlign="justify" textVAlign="top">
            <anchor moveWithCells="false" sizeWithCells="false">
              <xdr:from>
                <xdr:col>16</xdr:col>
                <xdr:colOff>1</xdr:colOff>
                <xdr:row>45</xdr:row>
                <xdr:rowOff>1</xdr:rowOff>
              </xdr:from>
              <xdr:to>
                <xdr:col>17</xdr:col>
                <xdr:colOff>1</xdr:colOff>
                <xdr:row>49</xdr:row>
                <xdr:rowOff>1</xdr:rowOff>
              </xdr:to>
            </anchor>
          </commentPr>
        </mc:Choice>
        <mc:Fallback/>
      </mc:AlternateContent>
    </comment>
    <comment ref="R16" authorId="0">
      <text>
        <r>
          <rPr>
            <sz val="10"/>
            <rFont val="Arial"/>
            <family val="2"/>
          </rPr>
          <t xml:space="preserve">Problems in Iran, Ukraine and Russia</t>
        </r>
      </text>
      <mc:AlternateContent>
        <mc:Choice Requires="v2">
          <commentPr autoFill="true" autoScale="false" colHidden="false" locked="false" rowHidden="false" textHAlign="justify" textVAlign="top">
            <anchor moveWithCells="false" sizeWithCells="false">
              <xdr:from>
                <xdr:col>18</xdr:col>
                <xdr:colOff>1</xdr:colOff>
                <xdr:row>11</xdr:row>
                <xdr:rowOff>1</xdr:rowOff>
              </xdr:from>
              <xdr:to>
                <xdr:col>19</xdr:col>
                <xdr:colOff>1</xdr:colOff>
                <xdr:row>15</xdr:row>
                <xdr:rowOff>1</xdr:rowOff>
              </xdr:to>
            </anchor>
          </commentPr>
        </mc:Choice>
        <mc:Fallback/>
      </mc:AlternateContent>
    </comment>
    <comment ref="R30" authorId="0">
      <text>
        <r>
          <rPr>
            <sz val="10"/>
            <rFont val="Arial"/>
            <family val="2"/>
          </rPr>
          <t xml:space="preserve">Guidance 53.5 – 56.5 Billions
</t>
        </r>
      </text>
      <mc:AlternateContent>
        <mc:Choice Requires="v2">
          <commentPr autoFill="true" autoScale="false" colHidden="false" locked="false" rowHidden="false" textHAlign="justify" textVAlign="top">
            <anchor moveWithCells="false" sizeWithCells="false">
              <xdr:from>
                <xdr:col>18</xdr:col>
                <xdr:colOff>1</xdr:colOff>
                <xdr:row>25</xdr:row>
                <xdr:rowOff>1</xdr:rowOff>
              </xdr:from>
              <xdr:to>
                <xdr:col>19</xdr:col>
                <xdr:colOff>1</xdr:colOff>
                <xdr:row>29</xdr:row>
                <xdr:rowOff>1</xdr:rowOff>
              </xdr:to>
            </anchor>
          </commentPr>
        </mc:Choice>
        <mc:Fallback/>
      </mc:AlternateContent>
    </comment>
    <comment ref="R46" authorId="0">
      <text>
        <r>
          <rPr>
            <sz val="10"/>
            <rFont val="Arial"/>
            <family val="2"/>
          </rPr>
          <t xml:space="preserve">(1076) unrealized losses. On top of that Interest Expenses increased 134%</t>
        </r>
      </text>
      <mc:AlternateContent>
        <mc:Choice Requires="v2">
          <commentPr autoFill="true" autoScale="false" colHidden="false" locked="false" rowHidden="false" textHAlign="justify" textVAlign="top">
            <anchor moveWithCells="false" sizeWithCells="false">
              <xdr:from>
                <xdr:col>18</xdr:col>
                <xdr:colOff>1</xdr:colOff>
                <xdr:row>41</xdr:row>
                <xdr:rowOff>1</xdr:rowOff>
              </xdr:from>
              <xdr:to>
                <xdr:col>19</xdr:col>
                <xdr:colOff>1</xdr:colOff>
                <xdr:row>47</xdr:row>
                <xdr:rowOff>1</xdr:rowOff>
              </xdr:to>
            </anchor>
          </commentPr>
        </mc:Choice>
        <mc:Fallback/>
      </mc:AlternateContent>
    </comment>
    <comment ref="R69" authorId="0">
      <text>
        <r>
          <rPr>
            <sz val="10"/>
            <rFont val="Arial"/>
            <family val="2"/>
          </rPr>
          <t xml:space="preserve">14% without the tax beenfit</t>
        </r>
      </text>
      <mc:AlternateContent>
        <mc:Choice Requires="v2">
          <commentPr autoFill="true" autoScale="false" colHidden="false" locked="false" rowHidden="false" textHAlign="justify" textVAlign="top">
            <anchor moveWithCells="false" sizeWithCells="false">
              <xdr:from>
                <xdr:col>18</xdr:col>
                <xdr:colOff>1</xdr:colOff>
                <xdr:row>64</xdr:row>
                <xdr:rowOff>1</xdr:rowOff>
              </xdr:from>
              <xdr:to>
                <xdr:col>19</xdr:col>
                <xdr:colOff>1</xdr:colOff>
                <xdr:row>68</xdr:row>
                <xdr:rowOff>1</xdr:rowOff>
              </xdr:to>
            </anchor>
          </commentPr>
        </mc:Choice>
        <mc:Fallback/>
      </mc:AlternateContent>
    </comment>
    <comment ref="S30" authorId="0">
      <text>
        <r>
          <rPr>
            <sz val="10"/>
            <rFont val="Arial"/>
            <family val="2"/>
          </rPr>
          <t xml:space="preserve">Guidance: 58-61 B$
Street exp: 60,210</t>
        </r>
      </text>
      <mc:AlternateContent>
        <mc:Choice Requires="v2">
          <commentPr autoFill="true" autoScale="false" colHidden="false" locked="false" rowHidden="false" textHAlign="justify" textVAlign="top">
            <anchor moveWithCells="false" sizeWithCells="false">
              <xdr:from>
                <xdr:col>19</xdr:col>
                <xdr:colOff>1</xdr:colOff>
                <xdr:row>25</xdr:row>
                <xdr:rowOff>1</xdr:rowOff>
              </xdr:from>
              <xdr:to>
                <xdr:col>20</xdr:col>
                <xdr:colOff>1</xdr:colOff>
                <xdr:row>29</xdr:row>
                <xdr:rowOff>1</xdr:rowOff>
              </xdr:to>
            </anchor>
          </commentPr>
        </mc:Choice>
        <mc:Fallback/>
      </mc:AlternateContent>
    </comment>
    <comment ref="S69" authorId="0">
      <text>
        <r>
          <rPr>
            <sz val="10"/>
            <rFont val="Arial"/>
            <family val="2"/>
          </rPr>
          <t xml:space="preserve">14% without the tax beenfit</t>
        </r>
      </text>
      <mc:AlternateContent>
        <mc:Choice Requires="v2">
          <commentPr autoFill="true" autoScale="false" colHidden="false" locked="false" rowHidden="false" textHAlign="justify" textVAlign="top">
            <anchor moveWithCells="false" sizeWithCells="false">
              <xdr:from>
                <xdr:col>19</xdr:col>
                <xdr:colOff>1</xdr:colOff>
                <xdr:row>64</xdr:row>
                <xdr:rowOff>1</xdr:rowOff>
              </xdr:from>
              <xdr:to>
                <xdr:col>20</xdr:col>
                <xdr:colOff>1</xdr:colOff>
                <xdr:row>68</xdr:row>
                <xdr:rowOff>1</xdr:rowOff>
              </xdr:to>
            </anchor>
          </commentPr>
        </mc:Choice>
        <mc:Fallback/>
      </mc:AlternateContent>
    </comment>
    <comment ref="T30" authorId="0">
      <text>
        <r>
          <rPr>
            <sz val="10"/>
            <rFont val="Arial"/>
            <family val="2"/>
          </rPr>
          <t xml:space="preserve">Guidance: 61-64B</t>
        </r>
      </text>
      <mc:AlternateContent>
        <mc:Choice Requires="v2">
          <commentPr autoFill="true" autoScale="false" colHidden="false" locked="false" rowHidden="false" textHAlign="justify" textVAlign="top">
            <anchor moveWithCells="false" sizeWithCells="false">
              <xdr:from>
                <xdr:col>20</xdr:col>
                <xdr:colOff>1</xdr:colOff>
                <xdr:row>25</xdr:row>
                <xdr:rowOff>1</xdr:rowOff>
              </xdr:from>
              <xdr:to>
                <xdr:col>21</xdr:col>
                <xdr:colOff>1</xdr:colOff>
                <xdr:row>29</xdr:row>
                <xdr:rowOff>1</xdr:rowOff>
              </xdr:to>
            </anchor>
          </commentPr>
        </mc:Choice>
        <mc:Fallback/>
      </mc:AlternateContent>
    </comment>
    <comment ref="T69" authorId="0">
      <text>
        <r>
          <rPr>
            <sz val="10"/>
            <rFont val="Arial"/>
            <family val="2"/>
          </rPr>
          <t xml:space="preserve">14% without the tax beenfit</t>
        </r>
      </text>
      <mc:AlternateContent>
        <mc:Choice Requires="v2">
          <commentPr autoFill="true" autoScale="false" colHidden="false" locked="false" rowHidden="false" textHAlign="justify" textVAlign="top">
            <anchor moveWithCells="false" sizeWithCells="false">
              <xdr:from>
                <xdr:col>20</xdr:col>
                <xdr:colOff>1</xdr:colOff>
                <xdr:row>64</xdr:row>
                <xdr:rowOff>1</xdr:rowOff>
              </xdr:from>
              <xdr:to>
                <xdr:col>21</xdr:col>
                <xdr:colOff>1</xdr:colOff>
                <xdr:row>68</xdr:row>
                <xdr:rowOff>1</xdr:rowOff>
              </xdr:to>
            </anchor>
          </commentPr>
        </mc:Choice>
        <mc:Fallback/>
      </mc:AlternateContent>
    </comment>
    <comment ref="U69" authorId="0">
      <text>
        <r>
          <rPr>
            <sz val="10"/>
            <rFont val="Arial"/>
            <family val="2"/>
          </rPr>
          <t xml:space="preserve">14% without the tax beenfit</t>
        </r>
      </text>
      <mc:AlternateContent>
        <mc:Choice Requires="v2">
          <commentPr autoFill="true" autoScale="false" colHidden="false" locked="false" rowHidden="false" textHAlign="justify" textVAlign="top">
            <anchor moveWithCells="false" sizeWithCells="false">
              <xdr:from>
                <xdr:col>21</xdr:col>
                <xdr:colOff>1</xdr:colOff>
                <xdr:row>64</xdr:row>
                <xdr:rowOff>1</xdr:rowOff>
              </xdr:from>
              <xdr:to>
                <xdr:col>22</xdr:col>
                <xdr:colOff>1</xdr:colOff>
                <xdr:row>68</xdr:row>
                <xdr:rowOff>1</xdr:rowOff>
              </xdr:to>
            </anchor>
          </commentPr>
        </mc:Choice>
        <mc:Fallback/>
      </mc:AlternateContent>
    </comment>
    <comment ref="Z116" authorId="0">
      <text>
        <r>
          <rPr>
            <sz val="10"/>
            <rFont val="Arial"/>
            <family val="2"/>
          </rPr>
          <t xml:space="preserve">615M$ Convertible Stocks</t>
        </r>
      </text>
      <mc:AlternateContent>
        <mc:Choice Requires="v2">
          <commentPr autoFill="true" autoScale="false" colHidden="false" locked="false" rowHidden="false" textHAlign="justify" textVAlign="top">
            <anchor moveWithCells="false" sizeWithCells="false">
              <xdr:from>
                <xdr:col>26</xdr:col>
                <xdr:colOff>1</xdr:colOff>
                <xdr:row>110</xdr:row>
                <xdr:rowOff>1</xdr:rowOff>
              </xdr:from>
              <xdr:to>
                <xdr:col>27</xdr:col>
                <xdr:colOff>1</xdr:colOff>
                <xdr:row>115</xdr:row>
                <xdr:rowOff>1</xdr:rowOff>
              </xdr:to>
            </anchor>
          </commentPr>
        </mc:Choice>
        <mc:Fallback/>
      </mc:AlternateContent>
    </comment>
    <comment ref="AO144" authorId="0">
      <text>
        <r>
          <rPr>
            <sz val="10"/>
            <rFont val="Arial"/>
            <family val="2"/>
          </rPr>
          <t xml:space="preserve">Guidance Q4: 115 – 135 B$
Guidance Q126: 125 – 145 B$</t>
        </r>
      </text>
      <mc:AlternateContent>
        <mc:Choice Requires="v2">
          <commentPr autoFill="true" autoScale="false" colHidden="false" locked="false" rowHidden="false" textHAlign="justify" textVAlign="top">
            <anchor moveWithCells="false" sizeWithCells="false">
              <xdr:from>
                <xdr:col>41</xdr:col>
                <xdr:colOff>1</xdr:colOff>
                <xdr:row>139</xdr:row>
                <xdr:rowOff>1</xdr:rowOff>
              </xdr:from>
              <xdr:to>
                <xdr:col>42</xdr:col>
                <xdr:colOff>1</xdr:colOff>
                <xdr:row>144</xdr:row>
                <xdr:rowOff>1</xdr:rowOff>
              </xdr:to>
            </anchor>
          </commentPr>
        </mc:Choice>
        <mc:Fallback/>
      </mc:AlternateContent>
    </comment>
    <comment ref="AX97" authorId="0">
      <text>
        <r>
          <rPr>
            <sz val="10"/>
            <rFont val="Arial"/>
            <family val="2"/>
          </rPr>
          <t xml:space="preserve">E. Musk – Twitter 29x EV/EBITDA (2022)
Microsoft – Linkedin 31.2x EV/EBITDA (2016)
Magnite – SpotX 33x EV/EBITDA (2021)
Google – DoubleClick 34x EV/EBITDA (2007)
SPOTX 33x
AutoScout24 26x
ZPG 21x
Linkedin 31x
Homeaway 36x
OpenTable 30x
KAYAK 27x
Skype 32x</t>
        </r>
      </text>
      <mc:AlternateContent>
        <mc:Choice Requires="v2">
          <commentPr autoFill="true" autoScale="false" colHidden="false" locked="false" rowHidden="false" textHAlign="justify" textVAlign="top">
            <anchor moveWithCells="false" sizeWithCells="false">
              <xdr:from>
                <xdr:col>50</xdr:col>
                <xdr:colOff>3</xdr:colOff>
                <xdr:row>92</xdr:row>
                <xdr:rowOff>1</xdr:rowOff>
              </xdr:from>
              <xdr:to>
                <xdr:col>51</xdr:col>
                <xdr:colOff>3</xdr:colOff>
                <xdr:row>117</xdr:row>
                <xdr:rowOff>1</xdr:rowOff>
              </xdr:to>
            </anchor>
          </commentPr>
        </mc:Choice>
        <mc:Fallback/>
      </mc:AlternateContent>
    </comment>
  </commentList>
</comments>
</file>

<file path=xl/sharedStrings.xml><?xml version="1.0" encoding="utf-8"?>
<sst xmlns="http://schemas.openxmlformats.org/spreadsheetml/2006/main" count="629" uniqueCount="373">
  <si>
    <t xml:space="preserve">META</t>
  </si>
  <si>
    <t xml:space="preserve">Share A</t>
  </si>
  <si>
    <t xml:space="preserve">Q226</t>
  </si>
  <si>
    <t xml:space="preserve">-&gt;</t>
  </si>
  <si>
    <t xml:space="preserve">2026 Focus on AI, Reels, Youth Platform (?), Platform Support, Infrastucture Capacity (AI)</t>
  </si>
  <si>
    <t xml:space="preserve">Share B</t>
  </si>
  <si>
    <t xml:space="preserve">Price</t>
  </si>
  <si>
    <t xml:space="preserve">Dependant on the ADV market, a decrease in spending whould mean a decrease in the core business of META</t>
  </si>
  <si>
    <t xml:space="preserve">MC</t>
  </si>
  <si>
    <t xml:space="preserve">Testing a shopping feature with their chatbot Llama. Increase In monetization</t>
  </si>
  <si>
    <t xml:space="preserve">Cash</t>
  </si>
  <si>
    <t xml:space="preserve">possible monetization of where to buy the product?</t>
  </si>
  <si>
    <t xml:space="preserve">Debt</t>
  </si>
  <si>
    <t xml:space="preserve">Server and Network depreciation from 3 to 5 years minimum</t>
  </si>
  <si>
    <t xml:space="preserve">EV</t>
  </si>
  <si>
    <t xml:space="preserve">Dismissed the METAverse project</t>
  </si>
  <si>
    <t xml:space="preserve">Mark Zuckerberg (and the board) is willing to transform the whole business to pursue a risky project that may pay off</t>
  </si>
  <si>
    <r>
      <rPr>
        <b val="true"/>
        <i val="true"/>
        <sz val="10"/>
        <rFont val="Arial"/>
        <family val="2"/>
        <charset val="1"/>
      </rPr>
      <t xml:space="preserve">California</t>
    </r>
    <r>
      <rPr>
        <sz val="10"/>
        <rFont val="Arial"/>
        <family val="2"/>
        <charset val="1"/>
      </rPr>
      <t xml:space="preserve"> alligations agains META and GOOGL that the companies have to pay for the mental problems of those that use their platforms</t>
    </r>
  </si>
  <si>
    <t xml:space="preserve">I wouldn’t consider this a real therat since it is not illegal to maximise the engagement of the platform’s users</t>
  </si>
  <si>
    <t xml:space="preserve">META and GOOGL will appeal to the sentence</t>
  </si>
  <si>
    <t xml:space="preserve">P/FCF</t>
  </si>
  <si>
    <t xml:space="preserve">WACC</t>
  </si>
  <si>
    <t xml:space="preserve">mu</t>
  </si>
  <si>
    <t xml:space="preserve">Mark Zuckerberg is locked in</t>
  </si>
  <si>
    <t xml:space="preserve">P/E</t>
  </si>
  <si>
    <t xml:space="preserve">sigma</t>
  </si>
  <si>
    <t xml:space="preserve">Mark has the majority of the voting power</t>
  </si>
  <si>
    <t xml:space="preserve">EV/EBITDA</t>
  </si>
  <si>
    <t xml:space="preserve">PEG</t>
  </si>
  <si>
    <r>
      <rPr>
        <sz val="10"/>
        <rFont val="Arial"/>
        <family val="2"/>
        <charset val="1"/>
      </rPr>
      <t xml:space="preserve">META experimenting a subscription model on Instagram in order to have certain “</t>
    </r>
    <r>
      <rPr>
        <i val="true"/>
        <sz val="10"/>
        <rFont val="Arial"/>
        <family val="2"/>
        <charset val="1"/>
      </rPr>
      <t xml:space="preserve">premium</t>
    </r>
    <r>
      <rPr>
        <sz val="10"/>
        <rFont val="Arial"/>
        <family val="2"/>
        <charset val="1"/>
      </rPr>
      <t xml:space="preserve">” feature</t>
    </r>
  </si>
  <si>
    <t xml:space="preserve">EV/FCF</t>
  </si>
  <si>
    <t xml:space="preserve">META to expand their partnership with broadcom from the production of meta’s MTIA</t>
  </si>
  <si>
    <t xml:space="preserve">Inc. Margin</t>
  </si>
  <si>
    <t xml:space="preserve">FPE</t>
  </si>
  <si>
    <r>
      <rPr>
        <b val="true"/>
        <i val="true"/>
        <sz val="10"/>
        <rFont val="Arial"/>
        <family val="2"/>
        <charset val="1"/>
      </rPr>
      <t xml:space="preserve">MTIA</t>
    </r>
    <r>
      <rPr>
        <sz val="10"/>
        <rFont val="Arial"/>
        <family val="2"/>
        <charset val="1"/>
      </rPr>
      <t xml:space="preserve"> (Meta Training and Inference Accellerator) is e purpose-built silicon-chip in order to make training and inference (usage of ML models) of ML cheaper, faster and energy efficient.</t>
    </r>
  </si>
  <si>
    <t xml:space="preserve">CAPM</t>
  </si>
  <si>
    <t xml:space="preserve">commitment that exceeds 1GW (30B$ ca. Per GW) → Hock Tan (Broadcom CEO) to become META’s advisor in META’s BoD</t>
  </si>
  <si>
    <t xml:space="preserve">Cost of Debt</t>
  </si>
  <si>
    <t xml:space="preserve">META to monetise MetaAI by introducing a  subscription model in order to access enhanced capabilities of the AI</t>
  </si>
  <si>
    <t xml:space="preserve">Cr. Spread</t>
  </si>
  <si>
    <t xml:space="preserve">META shifting from AI buyer to AI provider with news disclosing their intentions to become a neocloud</t>
  </si>
  <si>
    <t xml:space="preserve">Rating</t>
  </si>
  <si>
    <t xml:space="preserve">AA-</t>
  </si>
  <si>
    <t xml:space="preserve">Aa3</t>
  </si>
  <si>
    <t xml:space="preserve">BofA disclosed memo shows that META’s CapEx spends 22B$ per GW instead of the 40B$ consensus and 30B$ my guess</t>
  </si>
  <si>
    <t xml:space="preserve">S&amp;P</t>
  </si>
  <si>
    <t xml:space="preserve">Moody’s</t>
  </si>
  <si>
    <t xml:space="preserve">Committing from 9-25 years to purchase clean and renewable energy</t>
  </si>
  <si>
    <t xml:space="preserve">EV/Sales</t>
  </si>
  <si>
    <r>
      <rPr>
        <b val="true"/>
        <sz val="10"/>
        <rFont val="Arial"/>
        <family val="2"/>
        <charset val="1"/>
      </rPr>
      <t xml:space="preserve">META</t>
    </r>
    <r>
      <rPr>
        <sz val="10"/>
        <rFont val="Arial"/>
        <family val="2"/>
        <charset val="1"/>
      </rPr>
      <t xml:space="preserve"> agreed to settle the 1.4T (200B) fine with up to 17B fine paying it in 9 years</t>
    </r>
  </si>
  <si>
    <t xml:space="preserve">EV/DAU</t>
  </si>
  <si>
    <t xml:space="preserve">This is an outstanding win because accounting for an 8% cost of capital it is closer to a 9B fine</t>
  </si>
  <si>
    <t xml:space="preserve">Secondly they passed the ball to TikTok and YouTube saying that if they do not agree META will pay only up to 70% of the fine</t>
  </si>
  <si>
    <r>
      <rPr>
        <b val="true"/>
        <sz val="10"/>
        <rFont val="Arial"/>
        <family val="2"/>
        <charset val="1"/>
      </rPr>
      <t xml:space="preserve">META</t>
    </r>
    <r>
      <rPr>
        <sz val="10"/>
        <rFont val="Arial"/>
        <family val="2"/>
        <charset val="1"/>
      </rPr>
      <t xml:space="preserve"> positions itself as proactive to child care (also given everything that they are doing for children) and now TikTok and YT will fight against this ruling</t>
    </r>
  </si>
  <si>
    <t xml:space="preserve">Seasonality</t>
  </si>
  <si>
    <t xml:space="preserve">Demand historically strong during fourth quarter due to holidays demand</t>
  </si>
  <si>
    <t xml:space="preserve">On top of that META bought for 9B$ the legislative safety for at least 9 years for their algoroithm</t>
  </si>
  <si>
    <t xml:space="preserve">Family of Apps (FoA)</t>
  </si>
  <si>
    <t xml:space="preserve">Facebook</t>
  </si>
  <si>
    <t xml:space="preserve">IPO</t>
  </si>
  <si>
    <t xml:space="preserve"> Facebook Dating (?)</t>
  </si>
  <si>
    <t xml:space="preserve"> Facebook Marketplace</t>
  </si>
  <si>
    <t xml:space="preserve">Instagram</t>
  </si>
  <si>
    <t xml:space="preserve">Messanger</t>
  </si>
  <si>
    <t xml:space="preserve">Whatsapp</t>
  </si>
  <si>
    <t xml:space="preserve">Meta AI</t>
  </si>
  <si>
    <t xml:space="preserve">Threads</t>
  </si>
  <si>
    <t xml:space="preserve">Fastest organic growth among all kind of ages</t>
  </si>
  <si>
    <t xml:space="preserve">Aveola (?)</t>
  </si>
  <si>
    <t xml:space="preserve">“Live video chat”</t>
  </si>
  <si>
    <t xml:space="preserve">Meta Pay</t>
  </si>
  <si>
    <t xml:space="preserve">Advertisement</t>
  </si>
  <si>
    <t xml:space="preserve">paid messaging from Whatsapp, Verified on Instagram (and further Instagram paid feature), fees from developers, …</t>
  </si>
  <si>
    <t xml:space="preserve">Reality Labs Products</t>
  </si>
  <si>
    <t xml:space="preserve">Meta Quest</t>
  </si>
  <si>
    <t xml:space="preserve">Software in the Meta Horizon Store</t>
  </si>
  <si>
    <t xml:space="preserve">Ray-Ban Meta</t>
  </si>
  <si>
    <t xml:space="preserve">Oakley Meta</t>
  </si>
  <si>
    <t xml:space="preserve">Ray-Ban Meta Display (with the wristband to control the AI)</t>
  </si>
  <si>
    <t xml:space="preserve">Selling of hardware (Ai glasses and Meta Quest)</t>
  </si>
  <si>
    <t xml:space="preserve">Selling of Software (mainly for Meta Quest)</t>
  </si>
  <si>
    <t xml:space="preserve">DAU</t>
  </si>
  <si>
    <t xml:space="preserve">(Daily Active People in META’s filings) contains only the FoA users, user that uses at least one of the FoA</t>
  </si>
  <si>
    <t xml:space="preserve">ARPU</t>
  </si>
  <si>
    <t xml:space="preserve">(Average Revenue Per Person in META’s filings) only FoA users</t>
  </si>
  <si>
    <t xml:space="preserve">AI Infrastructure</t>
  </si>
  <si>
    <t xml:space="preserve">Datacenters, 33 (28 in the USA, 3 in Europe, 1 in Asia, 1 in Canada and 1 leased in India)</t>
  </si>
  <si>
    <t xml:space="preserve">Revenue</t>
  </si>
  <si>
    <t xml:space="preserve">Q423</t>
  </si>
  <si>
    <t xml:space="preserve">Q124</t>
  </si>
  <si>
    <t xml:space="preserve">Q224</t>
  </si>
  <si>
    <t xml:space="preserve">Q324</t>
  </si>
  <si>
    <t xml:space="preserve">Q424</t>
  </si>
  <si>
    <t xml:space="preserve">Q125</t>
  </si>
  <si>
    <t xml:space="preserve">Q225</t>
  </si>
  <si>
    <t xml:space="preserve">Q325</t>
  </si>
  <si>
    <t xml:space="preserve">Q425</t>
  </si>
  <si>
    <t xml:space="preserve">Q126</t>
  </si>
  <si>
    <t xml:space="preserve">Q326</t>
  </si>
  <si>
    <t xml:space="preserve">Q426</t>
  </si>
  <si>
    <t xml:space="preserve">ADV Revenue</t>
  </si>
  <si>
    <t xml:space="preserve">US Canada</t>
  </si>
  <si>
    <t xml:space="preserve">Europe</t>
  </si>
  <si>
    <t xml:space="preserve">Asia Pacific</t>
  </si>
  <si>
    <t xml:space="preserve">Rest of the World</t>
  </si>
  <si>
    <t xml:space="preserve">Meta Segment Anything Model (SAM)</t>
  </si>
  <si>
    <t xml:space="preserve">Main</t>
  </si>
  <si>
    <t xml:space="preserve">03/22</t>
  </si>
  <si>
    <t xml:space="preserve">06/22</t>
  </si>
  <si>
    <t xml:space="preserve">09/22</t>
  </si>
  <si>
    <t xml:space="preserve">12/22</t>
  </si>
  <si>
    <t xml:space="preserve">03/23</t>
  </si>
  <si>
    <t xml:space="preserve">06/23</t>
  </si>
  <si>
    <t xml:space="preserve">09/23</t>
  </si>
  <si>
    <t xml:space="preserve">12/23</t>
  </si>
  <si>
    <t xml:space="preserve">03/24</t>
  </si>
  <si>
    <t xml:space="preserve">06/24</t>
  </si>
  <si>
    <t xml:space="preserve">09/24</t>
  </si>
  <si>
    <t xml:space="preserve">12/24</t>
  </si>
  <si>
    <t xml:space="preserve">03/25</t>
  </si>
  <si>
    <t xml:space="preserve">06/25</t>
  </si>
  <si>
    <t xml:space="preserve">09/25</t>
  </si>
  <si>
    <t xml:space="preserve">12/25</t>
  </si>
  <si>
    <t xml:space="preserve">03/26</t>
  </si>
  <si>
    <t xml:space="preserve">06/26</t>
  </si>
  <si>
    <t xml:space="preserve">09/26</t>
  </si>
  <si>
    <t xml:space="preserve">12/26</t>
  </si>
  <si>
    <t xml:space="preserve">12/10</t>
  </si>
  <si>
    <t xml:space="preserve">12/11</t>
  </si>
  <si>
    <t xml:space="preserve">12/12</t>
  </si>
  <si>
    <t xml:space="preserve">12/13</t>
  </si>
  <si>
    <t xml:space="preserve">12/14</t>
  </si>
  <si>
    <t xml:space="preserve">12/15</t>
  </si>
  <si>
    <t xml:space="preserve">12/16</t>
  </si>
  <si>
    <t xml:space="preserve">12/17</t>
  </si>
  <si>
    <t xml:space="preserve">12/18</t>
  </si>
  <si>
    <t xml:space="preserve">12/20</t>
  </si>
  <si>
    <t xml:space="preserve">12/21</t>
  </si>
  <si>
    <t xml:space="preserve">12/27</t>
  </si>
  <si>
    <t xml:space="preserve">12/28</t>
  </si>
  <si>
    <t xml:space="preserve">12/29</t>
  </si>
  <si>
    <t xml:space="preserve">12/30</t>
  </si>
  <si>
    <t xml:space="preserve">12/31</t>
  </si>
  <si>
    <t xml:space="preserve">in Millions</t>
  </si>
  <si>
    <t xml:space="preserve">Q122</t>
  </si>
  <si>
    <t xml:space="preserve">Q222</t>
  </si>
  <si>
    <t xml:space="preserve">Q322</t>
  </si>
  <si>
    <t xml:space="preserve">Q422</t>
  </si>
  <si>
    <t xml:space="preserve">Q123</t>
  </si>
  <si>
    <t xml:space="preserve">Q223</t>
  </si>
  <si>
    <t xml:space="preserve">Q323</t>
  </si>
  <si>
    <t xml:space="preserve">CAGR ‘26 – ‘36</t>
  </si>
  <si>
    <t xml:space="preserve">SNAP DAU</t>
  </si>
  <si>
    <t xml:space="preserve">NA</t>
  </si>
  <si>
    <t xml:space="preserve">Y/Y %</t>
  </si>
  <si>
    <t xml:space="preserve">SNAP ARPU</t>
  </si>
  <si>
    <t xml:space="preserve">RDDT DAU</t>
  </si>
  <si>
    <t xml:space="preserve">RDDT ARPU</t>
  </si>
  <si>
    <t xml:space="preserve">PINS MAU</t>
  </si>
  <si>
    <t xml:space="preserve">PINS ARPU</t>
  </si>
  <si>
    <t xml:space="preserve">q/q %</t>
  </si>
  <si>
    <t xml:space="preserve">DAU * ARPU</t>
  </si>
  <si>
    <t xml:space="preserve">Advertising</t>
  </si>
  <si>
    <t xml:space="preserve">Other</t>
  </si>
  <si>
    <t xml:space="preserve">Reality Labs</t>
  </si>
  <si>
    <t xml:space="preserve">Revenues</t>
  </si>
  <si>
    <t xml:space="preserve">COGS</t>
  </si>
  <si>
    <t xml:space="preserve">Gross Profit</t>
  </si>
  <si>
    <t xml:space="preserve">R&amp;D</t>
  </si>
  <si>
    <t xml:space="preserve">S&amp;M</t>
  </si>
  <si>
    <t xml:space="preserve">G&amp;A</t>
  </si>
  <si>
    <t xml:space="preserve">Op Ex</t>
  </si>
  <si>
    <t xml:space="preserve">EBIT</t>
  </si>
  <si>
    <t xml:space="preserve">Interest</t>
  </si>
  <si>
    <t xml:space="preserve">Pretax / EBT</t>
  </si>
  <si>
    <t xml:space="preserve">Taxes</t>
  </si>
  <si>
    <t xml:space="preserve">Net Inc</t>
  </si>
  <si>
    <t xml:space="preserve">EPS</t>
  </si>
  <si>
    <t xml:space="preserve">Shares</t>
  </si>
  <si>
    <t xml:space="preserve">Dividends</t>
  </si>
  <si>
    <t xml:space="preserve">ADV Impression Y/Y</t>
  </si>
  <si>
    <t xml:space="preserve">Price per Ad Y/Y</t>
  </si>
  <si>
    <t xml:space="preserve">Contractual Commitments</t>
  </si>
  <si>
    <t xml:space="preserve">Gordon Growth Model</t>
  </si>
  <si>
    <t xml:space="preserve">Gross Margin</t>
  </si>
  <si>
    <t xml:space="preserve">Terminal</t>
  </si>
  <si>
    <t xml:space="preserve">Sustained growth</t>
  </si>
  <si>
    <t xml:space="preserve">OP Margin</t>
  </si>
  <si>
    <t xml:space="preserve">Discount</t>
  </si>
  <si>
    <t xml:space="preserve">Payout ratio</t>
  </si>
  <si>
    <t xml:space="preserve">NI Margin</t>
  </si>
  <si>
    <t xml:space="preserve">ROIC</t>
  </si>
  <si>
    <t xml:space="preserve">Equity Value</t>
  </si>
  <si>
    <t xml:space="preserve">Tax Rate</t>
  </si>
  <si>
    <t xml:space="preserve">NPV</t>
  </si>
  <si>
    <t xml:space="preserve">Just. P/E</t>
  </si>
  <si>
    <t xml:space="preserve">Rule of 40</t>
  </si>
  <si>
    <t xml:space="preserve">Share</t>
  </si>
  <si>
    <t xml:space="preserve">Diff</t>
  </si>
  <si>
    <t xml:space="preserve">Dividend Yield</t>
  </si>
  <si>
    <t xml:space="preserve">Debt-to-EBITDA</t>
  </si>
  <si>
    <t xml:space="preserve">Advertising %</t>
  </si>
  <si>
    <t xml:space="preserve">Reality Labs %</t>
  </si>
  <si>
    <t xml:space="preserve">Other %</t>
  </si>
  <si>
    <t xml:space="preserve">Asset Turnover</t>
  </si>
  <si>
    <t xml:space="preserve">ROA</t>
  </si>
  <si>
    <t xml:space="preserve">ROE</t>
  </si>
  <si>
    <t xml:space="preserve">Financial Leverage</t>
  </si>
  <si>
    <t xml:space="preserve">Financial Leverage %</t>
  </si>
  <si>
    <t xml:space="preserve">Book Value</t>
  </si>
  <si>
    <t xml:space="preserve">R&amp;D Productivity</t>
  </si>
  <si>
    <t xml:space="preserve">PPE Productivity</t>
  </si>
  <si>
    <t xml:space="preserve">EBITDA</t>
  </si>
  <si>
    <t xml:space="preserve">Adj. EBITDA</t>
  </si>
  <si>
    <t xml:space="preserve">Net Cash</t>
  </si>
  <si>
    <t xml:space="preserve">NOPAT</t>
  </si>
  <si>
    <t xml:space="preserve">Debt (-)</t>
  </si>
  <si>
    <t xml:space="preserve">NWC</t>
  </si>
  <si>
    <t xml:space="preserve">Cash (+)</t>
  </si>
  <si>
    <t xml:space="preserve">UFCF</t>
  </si>
  <si>
    <t xml:space="preserve">TV</t>
  </si>
  <si>
    <t xml:space="preserve">Peers</t>
  </si>
  <si>
    <t xml:space="preserve">Precedent M&amp;A</t>
  </si>
  <si>
    <t xml:space="preserve">Mkt. Sec</t>
  </si>
  <si>
    <t xml:space="preserve">A/R</t>
  </si>
  <si>
    <t xml:space="preserve">Prepaid Exp</t>
  </si>
  <si>
    <t xml:space="preserve">Non Mrk. Sec</t>
  </si>
  <si>
    <t xml:space="preserve">PP&amp;E</t>
  </si>
  <si>
    <t xml:space="preserve">Op Lease ROU</t>
  </si>
  <si>
    <t xml:space="preserve">Goodwill</t>
  </si>
  <si>
    <t xml:space="preserve">A</t>
  </si>
  <si>
    <t xml:space="preserve">A/P</t>
  </si>
  <si>
    <t xml:space="preserve">Op Lease</t>
  </si>
  <si>
    <t xml:space="preserve">Accr Exp</t>
  </si>
  <si>
    <t xml:space="preserve">Income Tax</t>
  </si>
  <si>
    <t xml:space="preserve">L</t>
  </si>
  <si>
    <t xml:space="preserve">Stock</t>
  </si>
  <si>
    <t xml:space="preserve">Add paid in Cap</t>
  </si>
  <si>
    <t xml:space="preserve">Other Income</t>
  </si>
  <si>
    <t xml:space="preserve">Ret. Income</t>
  </si>
  <si>
    <t xml:space="preserve">SE</t>
  </si>
  <si>
    <t xml:space="preserve">L+SE</t>
  </si>
  <si>
    <t xml:space="preserve">Model NI</t>
  </si>
  <si>
    <t xml:space="preserve">D&amp;A</t>
  </si>
  <si>
    <t xml:space="preserve">SBC</t>
  </si>
  <si>
    <t xml:space="preserve">D/T</t>
  </si>
  <si>
    <t xml:space="preserve">Unrl. Loss</t>
  </si>
  <si>
    <t xml:space="preserve">Impairment</t>
  </si>
  <si>
    <t xml:space="preserve">Other Assets</t>
  </si>
  <si>
    <t xml:space="preserve">Other Liab</t>
  </si>
  <si>
    <t xml:space="preserve">CFFO</t>
  </si>
  <si>
    <t xml:space="preserve">Cap Ex</t>
  </si>
  <si>
    <t xml:space="preserve">Financial Lease</t>
  </si>
  <si>
    <t xml:space="preserve">FCF</t>
  </si>
  <si>
    <t xml:space="preserve">FCF %</t>
  </si>
  <si>
    <t xml:space="preserve">CapEx Margin</t>
  </si>
  <si>
    <t xml:space="preserve">Accruals</t>
  </si>
  <si>
    <t xml:space="preserve">Accrual Ratio / A</t>
  </si>
  <si>
    <t xml:space="preserve">Employees</t>
  </si>
  <si>
    <t xml:space="preserve">Revenue / Employee</t>
  </si>
  <si>
    <t xml:space="preserve">DSO</t>
  </si>
  <si>
    <t xml:space="preserve">DPO</t>
  </si>
  <si>
    <t xml:space="preserve">CCC</t>
  </si>
  <si>
    <t xml:space="preserve">Depr. PP&amp;E</t>
  </si>
  <si>
    <t xml:space="preserve"> Servers</t>
  </si>
  <si>
    <t xml:space="preserve">3-20</t>
  </si>
  <si>
    <t xml:space="preserve">4-5</t>
  </si>
  <si>
    <t xml:space="preserve">5-5.5</t>
  </si>
  <si>
    <t xml:space="preserve"> Buildings</t>
  </si>
  <si>
    <t xml:space="preserve">3-30</t>
  </si>
  <si>
    <t xml:space="preserve">25-30</t>
  </si>
  <si>
    <t xml:space="preserve">35-30</t>
  </si>
  <si>
    <t xml:space="preserve"> Equipment</t>
  </si>
  <si>
    <t xml:space="preserve">2-5</t>
  </si>
  <si>
    <t xml:space="preserve">1-25</t>
  </si>
  <si>
    <t xml:space="preserve"> Finance</t>
  </si>
  <si>
    <t xml:space="preserve">5-20</t>
  </si>
  <si>
    <t xml:space="preserve">Repurchase Stock</t>
  </si>
  <si>
    <t xml:space="preserve">Stock Issuance</t>
  </si>
  <si>
    <t xml:space="preserve">Total SH Return</t>
  </si>
  <si>
    <t xml:space="preserve">Servers</t>
  </si>
  <si>
    <t xml:space="preserve">isin</t>
  </si>
  <si>
    <t xml:space="preserve">coupon</t>
  </si>
  <si>
    <t xml:space="preserve">couponType</t>
  </si>
  <si>
    <t xml:space="preserve">maturityDate</t>
  </si>
  <si>
    <t xml:space="preserve">callable</t>
  </si>
  <si>
    <t xml:space="preserve">currency</t>
  </si>
  <si>
    <t xml:space="preserve">Next Call Date</t>
  </si>
  <si>
    <t xml:space="preserve">US30303M8B15</t>
  </si>
  <si>
    <t xml:space="preserve">Fixed Listing</t>
  </si>
  <si>
    <t xml:space="preserve">15/08/2027</t>
  </si>
  <si>
    <t xml:space="preserve">Y</t>
  </si>
  <si>
    <t xml:space="preserve">USD</t>
  </si>
  <si>
    <t xml:space="preserve">US30303M8G02</t>
  </si>
  <si>
    <t xml:space="preserve">USU59197AB66</t>
  </si>
  <si>
    <t xml:space="preserve">US30303M8L96</t>
  </si>
  <si>
    <t xml:space="preserve">15/05/2028</t>
  </si>
  <si>
    <t xml:space="preserve">US30303M8S40</t>
  </si>
  <si>
    <t xml:space="preserve">15/08/2029</t>
  </si>
  <si>
    <t xml:space="preserve">US30303M8M79</t>
  </si>
  <si>
    <t xml:space="preserve">15/05/2030</t>
  </si>
  <si>
    <t xml:space="preserve">US30303MAB81</t>
  </si>
  <si>
    <t xml:space="preserve">15/11/2030</t>
  </si>
  <si>
    <t xml:space="preserve">US30303M8T23</t>
  </si>
  <si>
    <t xml:space="preserve">15/08/2031</t>
  </si>
  <si>
    <t xml:space="preserve">US30303M8D70</t>
  </si>
  <si>
    <t xml:space="preserve">15/08/2032</t>
  </si>
  <si>
    <t xml:space="preserve">US30303M8H84</t>
  </si>
  <si>
    <t xml:space="preserve">USU59197AD23</t>
  </si>
  <si>
    <t xml:space="preserve">US30303MAC64</t>
  </si>
  <si>
    <t xml:space="preserve">15/11/2032</t>
  </si>
  <si>
    <t xml:space="preserve">US30303M8N52</t>
  </si>
  <si>
    <t xml:space="preserve">15/05/2033</t>
  </si>
  <si>
    <t xml:space="preserve">US30303M8U95</t>
  </si>
  <si>
    <t xml:space="preserve">15/08/2034</t>
  </si>
  <si>
    <t xml:space="preserve">US30303MAD48</t>
  </si>
  <si>
    <t xml:space="preserve">15/11/2035</t>
  </si>
  <si>
    <t xml:space="preserve">US30303M8X35</t>
  </si>
  <si>
    <t xml:space="preserve">15/11/2045</t>
  </si>
  <si>
    <t xml:space="preserve">US30303M8E53</t>
  </si>
  <si>
    <t xml:space="preserve">15/08/2052</t>
  </si>
  <si>
    <t xml:space="preserve">US30303M8J41</t>
  </si>
  <si>
    <t xml:space="preserve">USU59197AE06</t>
  </si>
  <si>
    <t xml:space="preserve">US30303M8Q83</t>
  </si>
  <si>
    <t xml:space="preserve">15/05/2053</t>
  </si>
  <si>
    <t xml:space="preserve">US30303M8V78</t>
  </si>
  <si>
    <t xml:space="preserve">15/08/2054</t>
  </si>
  <si>
    <t xml:space="preserve">US30303MAE21</t>
  </si>
  <si>
    <t xml:space="preserve">15/11/2055</t>
  </si>
  <si>
    <t xml:space="preserve">US30303M8F29</t>
  </si>
  <si>
    <t xml:space="preserve">15/08/2062</t>
  </si>
  <si>
    <t xml:space="preserve">US30303M8K14</t>
  </si>
  <si>
    <t xml:space="preserve">USU59197AF70</t>
  </si>
  <si>
    <t xml:space="preserve">US30303M8R66</t>
  </si>
  <si>
    <t xml:space="preserve">15/05/2063</t>
  </si>
  <si>
    <t xml:space="preserve">US30303M8W51</t>
  </si>
  <si>
    <t xml:space="preserve">15/08/2064</t>
  </si>
  <si>
    <t xml:space="preserve">US30303M8Y18</t>
  </si>
  <si>
    <t xml:space="preserve">15/11/2065</t>
  </si>
  <si>
    <t xml:space="preserve">Mark Zuckerberg</t>
  </si>
  <si>
    <t xml:space="preserve">META CEO</t>
  </si>
  <si>
    <t xml:space="preserve">auditors</t>
  </si>
  <si>
    <t xml:space="preserve">EY</t>
  </si>
  <si>
    <t xml:space="preserve">Robert M. Kimmitt</t>
  </si>
  <si>
    <t xml:space="preserve">MD Lehman Brothers, General Counsel and Deputy Secretary of Department of Treasury, Law Background</t>
  </si>
  <si>
    <t xml:space="preserve">Privacy and Product compliance</t>
  </si>
  <si>
    <t xml:space="preserve">Peggy Alford</t>
  </si>
  <si>
    <t xml:space="preserve">eBay Director of Accounting Policy, Cfo rent.com (eBay), Executive roles Paypal</t>
  </si>
  <si>
    <t xml:space="preserve">Marc L. Andreesen</t>
  </si>
  <si>
    <t xml:space="preserve">John Arnold</t>
  </si>
  <si>
    <t xml:space="preserve">Enron VP, Centaurus Enercy and Centaurus Capital CEO</t>
  </si>
  <si>
    <t xml:space="preserve">Risk Oversight</t>
  </si>
  <si>
    <t xml:space="preserve">Patrick Collison</t>
  </si>
  <si>
    <t xml:space="preserve">CEO Stripe</t>
  </si>
  <si>
    <t xml:space="preserve">John Elkann</t>
  </si>
  <si>
    <t xml:space="preserve">Exor CEO, Chairman Ferrari and Stellantins</t>
  </si>
  <si>
    <t xml:space="preserve">Powerful italian family</t>
  </si>
  <si>
    <t xml:space="preserve">Andrew W. Houston</t>
  </si>
  <si>
    <t xml:space="preserve">Dropbox CEO</t>
  </si>
  <si>
    <t xml:space="preserve">Nancy Killefer</t>
  </si>
  <si>
    <t xml:space="preserve">McKinsey and Department of Treasury</t>
  </si>
  <si>
    <t xml:space="preserve">Dina Powell McCormick</t>
  </si>
  <si>
    <t xml:space="preserve">US Department of State, Excecutive Office of the President, Goldman Sachs</t>
  </si>
  <si>
    <t xml:space="preserve">Charles Songhurst</t>
  </si>
  <si>
    <t xml:space="preserve">Microsoft General Manager</t>
  </si>
  <si>
    <t xml:space="preserve">Hock E. Tan</t>
  </si>
  <si>
    <t xml:space="preserve">Broadcom CEO, Commodore VP of Finance</t>
  </si>
  <si>
    <t xml:space="preserve">Tracey T. Travis</t>
  </si>
  <si>
    <t xml:space="preserve">?</t>
  </si>
  <si>
    <t xml:space="preserve">Dana White</t>
  </si>
  <si>
    <t xml:space="preserve">UFC CEO</t>
  </si>
  <si>
    <t xml:space="preserve">Tony Xu</t>
  </si>
  <si>
    <t xml:space="preserve">DoorDash CEO</t>
  </si>
</sst>
</file>

<file path=xl/styles.xml><?xml version="1.0" encoding="utf-8"?>
<styleSheet xmlns="http://schemas.openxmlformats.org/spreadsheetml/2006/main">
  <numFmts count="16">
    <numFmt numFmtId="164" formatCode="General"/>
    <numFmt numFmtId="165" formatCode="#,##0;\(#,##0\);\-"/>
    <numFmt numFmtId="166" formatCode="#,##0"/>
    <numFmt numFmtId="167" formatCode="#,##0\x"/>
    <numFmt numFmtId="168" formatCode="0.00%"/>
    <numFmt numFmtId="169" formatCode="#,##0.00"/>
    <numFmt numFmtId="170" formatCode="0%"/>
    <numFmt numFmtId="171" formatCode="mm/dd/yy"/>
    <numFmt numFmtId="172" formatCode="#,##0.00\x"/>
    <numFmt numFmtId="173" formatCode="mm/dd"/>
    <numFmt numFmtId="174" formatCode="0.00;\(0.00\);\-"/>
    <numFmt numFmtId="175" formatCode="#,##0.00;\(#,##0.00\);\-"/>
    <numFmt numFmtId="176" formatCode="0.00%;\(0.00%\);\-"/>
    <numFmt numFmtId="177" formatCode="#,###.00;\(#,###.00\);\-"/>
    <numFmt numFmtId="178" formatCode="#,##0.00_);\(#,##0.00\)"/>
    <numFmt numFmtId="179" formatCode="0.00"/>
  </numFmts>
  <fonts count="21">
    <font>
      <sz val="10"/>
      <name val="Arial"/>
      <family val="2"/>
      <charset val="1"/>
    </font>
    <font>
      <sz val="10"/>
      <name val="Arial"/>
      <family val="0"/>
    </font>
    <font>
      <sz val="10"/>
      <name val="Arial"/>
      <family val="0"/>
    </font>
    <font>
      <sz val="10"/>
      <name val="Arial"/>
      <family val="0"/>
    </font>
    <font>
      <b val="true"/>
      <i val="true"/>
      <sz val="10"/>
      <color rgb="FF0000FF"/>
      <name val="Arial"/>
      <family val="2"/>
      <charset val="1"/>
    </font>
    <font>
      <b val="true"/>
      <i val="true"/>
      <sz val="10"/>
      <name val="Arial"/>
      <family val="2"/>
      <charset val="1"/>
    </font>
    <font>
      <b val="true"/>
      <i val="true"/>
      <sz val="13"/>
      <name val="Arial"/>
      <family val="2"/>
      <charset val="1"/>
    </font>
    <font>
      <b val="true"/>
      <sz val="13"/>
      <name val="Arial"/>
      <family val="2"/>
      <charset val="1"/>
    </font>
    <font>
      <i val="true"/>
      <sz val="10"/>
      <name val="Arial"/>
      <family val="2"/>
      <charset val="1"/>
    </font>
    <font>
      <b val="true"/>
      <sz val="10"/>
      <name val="Arial"/>
      <family val="2"/>
      <charset val="1"/>
    </font>
    <font>
      <sz val="13"/>
      <color rgb="FF000000"/>
      <name val="Arial"/>
      <family val="2"/>
    </font>
    <font>
      <sz val="10"/>
      <color rgb="FF000000"/>
      <name val="Arial"/>
      <family val="2"/>
    </font>
    <font>
      <sz val="10"/>
      <color rgb="FF0000FF"/>
      <name val="Arial"/>
      <family val="2"/>
      <charset val="1"/>
    </font>
    <font>
      <i val="true"/>
      <sz val="10"/>
      <color rgb="FFDDDDDD"/>
      <name val="Arial"/>
      <family val="2"/>
      <charset val="1"/>
    </font>
    <font>
      <i val="true"/>
      <sz val="8"/>
      <color rgb="FF666666"/>
      <name val="Arial"/>
      <family val="2"/>
      <charset val="1"/>
    </font>
    <font>
      <b val="true"/>
      <i val="true"/>
      <sz val="8"/>
      <color rgb="FF666666"/>
      <name val="Arial"/>
      <family val="2"/>
      <charset val="1"/>
    </font>
    <font>
      <i val="true"/>
      <sz val="8"/>
      <name val="Arial"/>
      <family val="2"/>
      <charset val="1"/>
    </font>
    <font>
      <sz val="10"/>
      <name val="Arial"/>
      <family val="2"/>
    </font>
    <font>
      <sz val="10"/>
      <color rgb="FF4B4B4B"/>
      <name val="Arial"/>
      <family val="2"/>
      <charset val="1"/>
    </font>
    <font>
      <sz val="12"/>
      <color rgb="FF000000"/>
      <name val="Arial"/>
      <family val="0"/>
    </font>
    <font>
      <sz val="12"/>
      <color rgb="FF000000"/>
      <name val="Times New Roman"/>
      <family val="0"/>
    </font>
  </fonts>
  <fills count="6">
    <fill>
      <patternFill patternType="none"/>
    </fill>
    <fill>
      <patternFill patternType="gray125"/>
    </fill>
    <fill>
      <patternFill patternType="solid">
        <fgColor rgb="FFCCCCCC"/>
        <bgColor rgb="FFDDDDDD"/>
      </patternFill>
    </fill>
    <fill>
      <patternFill patternType="solid">
        <fgColor rgb="FFFFFF00"/>
        <bgColor rgb="FFFFFF00"/>
      </patternFill>
    </fill>
    <fill>
      <patternFill patternType="solid">
        <fgColor rgb="FFEEEEEE"/>
        <bgColor rgb="FFDDDDDD"/>
      </patternFill>
    </fill>
    <fill>
      <patternFill patternType="solid">
        <fgColor rgb="FFDDDDDD"/>
        <bgColor rgb="FFEEEEEE"/>
      </patternFill>
    </fill>
  </fills>
  <borders count="8">
    <border diagonalUp="false" diagonalDown="false">
      <left/>
      <right/>
      <top/>
      <bottom/>
      <diagonal/>
    </border>
    <border diagonalUp="false" diagonalDown="false">
      <left/>
      <right/>
      <top/>
      <bottom style="thin"/>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right" vertical="bottom"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5" fontId="0" fillId="2" borderId="0" xfId="0" applyFont="true" applyBorder="false" applyAlignment="true" applyProtection="true">
      <alignment horizontal="general" vertical="bottom" textRotation="0" wrapText="false" indent="0" shrinkToFit="false"/>
      <protection locked="true" hidden="false"/>
    </xf>
    <xf numFmtId="167"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7" fontId="6" fillId="0" borderId="0" xfId="0" applyFont="true" applyBorder="false" applyAlignment="true" applyProtection="true">
      <alignment horizontal="general" vertical="bottom" textRotation="0" wrapText="false" indent="0" shrinkToFit="false"/>
      <protection locked="true" hidden="false"/>
    </xf>
    <xf numFmtId="168" fontId="6"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9" fontId="7" fillId="0" borderId="0" xfId="0" applyFont="true" applyBorder="false" applyAlignment="true" applyProtection="true">
      <alignment horizontal="general" vertical="bottom" textRotation="0" wrapText="false" indent="0" shrinkToFit="false"/>
      <protection locked="true" hidden="false"/>
    </xf>
    <xf numFmtId="170" fontId="6" fillId="0" borderId="0" xfId="0" applyFont="true" applyBorder="false" applyAlignment="true" applyProtection="true">
      <alignment horizontal="general"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71" fontId="0" fillId="0" borderId="0" xfId="0" applyFont="true" applyBorder="false" applyAlignment="true" applyProtection="true">
      <alignment horizontal="general" vertical="bottom" textRotation="0" wrapText="false" indent="0" shrinkToFit="false"/>
      <protection locked="true" hidden="false"/>
    </xf>
    <xf numFmtId="169"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72" fontId="6" fillId="0" borderId="0" xfId="0" applyFont="true" applyBorder="false" applyAlignment="true" applyProtection="true">
      <alignment horizontal="left"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7" fontId="6" fillId="0" borderId="0" xfId="0" applyFont="true" applyBorder="fals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right" vertical="bottom" textRotation="0" wrapText="false" indent="0" shrinkToFit="false"/>
      <protection locked="true" hidden="false"/>
    </xf>
    <xf numFmtId="164" fontId="9" fillId="0" borderId="0" xfId="0" applyFont="true" applyBorder="false" applyAlignment="true" applyProtection="true">
      <alignment horizontal="right"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73" fontId="12" fillId="0" borderId="0" xfId="0" applyFont="true" applyBorder="false" applyAlignment="true" applyProtection="true">
      <alignment horizontal="general" vertical="bottom" textRotation="0" wrapText="false" indent="0" shrinkToFit="false"/>
      <protection locked="true" hidden="false"/>
    </xf>
    <xf numFmtId="173" fontId="0" fillId="0" borderId="0" xfId="0" applyFont="true" applyBorder="false" applyAlignment="true" applyProtection="true">
      <alignment horizontal="right"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false" indent="0" shrinkToFit="false"/>
      <protection locked="true" hidden="false"/>
    </xf>
    <xf numFmtId="165" fontId="8" fillId="0" borderId="0" xfId="0" applyFont="true" applyBorder="false" applyAlignment="true" applyProtection="true">
      <alignment horizontal="right" vertical="bottom" textRotation="0" wrapText="false" indent="0" shrinkToFit="false"/>
      <protection locked="true" hidden="false"/>
    </xf>
    <xf numFmtId="164" fontId="13" fillId="0" borderId="0" xfId="0" applyFont="true" applyBorder="false" applyAlignment="true" applyProtection="true">
      <alignment horizontal="center" vertical="bottom" textRotation="0" wrapText="false" indent="0" shrinkToFit="false"/>
      <protection locked="true" hidden="false"/>
    </xf>
    <xf numFmtId="168" fontId="14" fillId="0" borderId="0" xfId="0" applyFont="true" applyBorder="false" applyAlignment="true" applyProtection="true">
      <alignment horizontal="left" vertical="bottom" textRotation="0" wrapText="false" indent="0" shrinkToFit="false"/>
      <protection locked="true" hidden="false"/>
    </xf>
    <xf numFmtId="168" fontId="14" fillId="0" borderId="0" xfId="0" applyFont="true" applyBorder="false" applyAlignment="true" applyProtection="true">
      <alignment horizontal="right" vertical="bottom" textRotation="0" wrapText="false" indent="0" shrinkToFit="false"/>
      <protection locked="true" hidden="false"/>
    </xf>
    <xf numFmtId="168" fontId="14" fillId="0" borderId="0" xfId="0" applyFont="true" applyBorder="false" applyAlignment="true" applyProtection="true">
      <alignment horizontal="general" vertical="bottom" textRotation="0" wrapText="false" indent="0" shrinkToFit="false"/>
      <protection locked="true" hidden="false"/>
    </xf>
    <xf numFmtId="174" fontId="8" fillId="0" borderId="0" xfId="0" applyFont="true" applyBorder="false" applyAlignment="true" applyProtection="true">
      <alignment horizontal="right" vertical="bottom" textRotation="0" wrapText="false" indent="0" shrinkToFit="false"/>
      <protection locked="true" hidden="false"/>
    </xf>
    <xf numFmtId="175" fontId="8" fillId="0" borderId="0" xfId="0" applyFont="true" applyBorder="false" applyAlignment="true" applyProtection="true">
      <alignment horizontal="right" vertical="bottom" textRotation="0" wrapText="false" indent="0" shrinkToFit="false"/>
      <protection locked="true" hidden="false"/>
    </xf>
    <xf numFmtId="175" fontId="0" fillId="0" borderId="0" xfId="0" applyFont="true" applyBorder="false" applyAlignment="true" applyProtection="true">
      <alignment horizontal="right"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75" fontId="8" fillId="0" borderId="0" xfId="0" applyFont="true" applyBorder="false" applyAlignment="true" applyProtection="true">
      <alignment horizontal="general" vertical="bottom" textRotation="0" wrapText="false" indent="0" shrinkToFit="false"/>
      <protection locked="true" hidden="false"/>
    </xf>
    <xf numFmtId="168" fontId="14" fillId="0" borderId="1" xfId="0" applyFont="true" applyBorder="true" applyAlignment="true" applyProtection="true">
      <alignment horizontal="left" vertical="bottom" textRotation="0" wrapText="false" indent="0" shrinkToFit="false"/>
      <protection locked="true" hidden="false"/>
    </xf>
    <xf numFmtId="168" fontId="14" fillId="0" borderId="1" xfId="0" applyFont="true" applyBorder="true" applyAlignment="true" applyProtection="true">
      <alignment horizontal="right" vertical="bottom" textRotation="0" wrapText="false" indent="0" shrinkToFit="false"/>
      <protection locked="true" hidden="false"/>
    </xf>
    <xf numFmtId="168" fontId="14" fillId="0" borderId="1" xfId="0" applyFont="true" applyBorder="tru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left" vertical="bottom" textRotation="0" wrapText="false" indent="0" shrinkToFit="false"/>
      <protection locked="true" hidden="false"/>
    </xf>
    <xf numFmtId="165" fontId="0" fillId="0" borderId="0" xfId="0" applyFont="true" applyBorder="false" applyAlignment="true" applyProtection="true">
      <alignment horizontal="right" vertical="bottom" textRotation="0" wrapText="false" indent="0" shrinkToFit="false"/>
      <protection locked="true" hidden="false"/>
    </xf>
    <xf numFmtId="176" fontId="8" fillId="0" borderId="0" xfId="0" applyFont="true" applyBorder="false" applyAlignment="true" applyProtection="true">
      <alignment horizontal="right" vertical="bottom" textRotation="0" wrapText="false" indent="0" shrinkToFit="false"/>
      <protection locked="true" hidden="false"/>
    </xf>
    <xf numFmtId="168" fontId="14" fillId="3" borderId="0" xfId="0" applyFont="true" applyBorder="false" applyAlignment="true" applyProtection="true">
      <alignment horizontal="general" vertical="bottom" textRotation="0" wrapText="false" indent="0" shrinkToFit="false"/>
      <protection locked="true" hidden="false"/>
    </xf>
    <xf numFmtId="177" fontId="0" fillId="0" borderId="0" xfId="0" applyFont="true" applyBorder="false" applyAlignment="true" applyProtection="true">
      <alignment horizontal="left" vertical="bottom" textRotation="0" wrapText="false" indent="0" shrinkToFit="false"/>
      <protection locked="true" hidden="false"/>
    </xf>
    <xf numFmtId="177" fontId="0" fillId="0" borderId="0" xfId="0" applyFont="true" applyBorder="false" applyAlignment="true" applyProtection="true">
      <alignment horizontal="right" vertical="bottom" textRotation="0" wrapText="false" indent="0" shrinkToFit="false"/>
      <protection locked="true" hidden="false"/>
    </xf>
    <xf numFmtId="176" fontId="8" fillId="0" borderId="0" xfId="0" applyFont="true" applyBorder="false" applyAlignment="true" applyProtection="true">
      <alignment horizontal="left" vertical="bottom" textRotation="0" wrapText="false" indent="0" shrinkToFit="false"/>
      <protection locked="true" hidden="false"/>
    </xf>
    <xf numFmtId="165" fontId="9" fillId="0" borderId="0" xfId="0" applyFont="true" applyBorder="false" applyAlignment="true" applyProtection="true">
      <alignment horizontal="general" vertical="bottom" textRotation="0" wrapText="false" indent="0" shrinkToFit="false"/>
      <protection locked="true" hidden="false"/>
    </xf>
    <xf numFmtId="168" fontId="15" fillId="0" borderId="0" xfId="0" applyFont="true" applyBorder="false" applyAlignment="true" applyProtection="true">
      <alignment horizontal="general" vertical="bottom" textRotation="0" wrapText="false" indent="0" shrinkToFit="false"/>
      <protection locked="true" hidden="false"/>
    </xf>
    <xf numFmtId="175" fontId="9" fillId="0" borderId="0" xfId="0" applyFont="true" applyBorder="false" applyAlignment="true" applyProtection="true">
      <alignment horizontal="general" vertical="bottom" textRotation="0" wrapText="false" indent="0" shrinkToFit="false"/>
      <protection locked="true" hidden="false"/>
    </xf>
    <xf numFmtId="170" fontId="0" fillId="0" borderId="0" xfId="0" applyFont="true" applyBorder="false" applyAlignment="true" applyProtection="true">
      <alignment horizontal="general" vertical="bottom" textRotation="0" wrapText="false" indent="0" shrinkToFit="false"/>
      <protection locked="true" hidden="false"/>
    </xf>
    <xf numFmtId="175" fontId="0" fillId="0" borderId="0" xfId="0" applyFont="true" applyBorder="false" applyAlignment="true" applyProtection="true">
      <alignment horizontal="general" vertical="bottom" textRotation="0" wrapText="false" indent="0" shrinkToFit="false"/>
      <protection locked="true" hidden="false"/>
    </xf>
    <xf numFmtId="176" fontId="5" fillId="0" borderId="0" xfId="0" applyFont="true" applyBorder="false" applyAlignment="true" applyProtection="true">
      <alignment horizontal="general" vertical="bottom" textRotation="0" wrapText="false" indent="0" shrinkToFit="false"/>
      <protection locked="true" hidden="false"/>
    </xf>
    <xf numFmtId="176" fontId="8"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true" applyAlignment="true" applyProtection="true">
      <alignment horizontal="center" vertical="center" textRotation="0" wrapText="false" indent="0" shrinkToFit="false"/>
      <protection locked="true" hidden="false"/>
    </xf>
    <xf numFmtId="176" fontId="8" fillId="2" borderId="2" xfId="0" applyFont="true" applyBorder="true" applyAlignment="true" applyProtection="true">
      <alignment horizontal="general" vertical="bottom" textRotation="0" wrapText="false" indent="0" shrinkToFit="false"/>
      <protection locked="true" hidden="false"/>
    </xf>
    <xf numFmtId="170" fontId="0" fillId="2" borderId="3" xfId="0" applyFont="true" applyBorder="true" applyAlignment="true" applyProtection="true">
      <alignment horizontal="general" vertical="bottom" textRotation="0" wrapText="false" indent="0" shrinkToFit="false"/>
      <protection locked="true" hidden="false"/>
    </xf>
    <xf numFmtId="176" fontId="0" fillId="0" borderId="0" xfId="0" applyFont="true" applyBorder="false" applyAlignment="true" applyProtection="true">
      <alignment horizontal="general" vertical="bottom" textRotation="0" wrapText="false" indent="0" shrinkToFit="false"/>
      <protection locked="true" hidden="false"/>
    </xf>
    <xf numFmtId="169" fontId="0" fillId="0" borderId="0" xfId="0" applyFont="true" applyBorder="false" applyAlignment="true" applyProtection="true">
      <alignment horizontal="general" vertical="bottom" textRotation="0" wrapText="false" indent="0" shrinkToFit="false"/>
      <protection locked="true" hidden="false"/>
    </xf>
    <xf numFmtId="176" fontId="8" fillId="4" borderId="4" xfId="0" applyFont="true" applyBorder="true" applyAlignment="true" applyProtection="true">
      <alignment horizontal="general" vertical="bottom" textRotation="0" wrapText="false" indent="0" shrinkToFit="false"/>
      <protection locked="true" hidden="false"/>
    </xf>
    <xf numFmtId="170" fontId="0" fillId="4" borderId="5" xfId="0" applyFont="true" applyBorder="true" applyAlignment="true" applyProtection="true">
      <alignment horizontal="general" vertical="bottom" textRotation="0" wrapText="false" indent="0" shrinkToFit="false"/>
      <protection locked="true" hidden="false"/>
    </xf>
    <xf numFmtId="176" fontId="0" fillId="0" borderId="1" xfId="0" applyFont="true" applyBorder="true" applyAlignment="true" applyProtection="true">
      <alignment horizontal="general" vertical="bottom" textRotation="0" wrapText="false" indent="0" shrinkToFit="false"/>
      <protection locked="true" hidden="false"/>
    </xf>
    <xf numFmtId="169" fontId="0" fillId="0" borderId="1" xfId="0" applyFont="true" applyBorder="true" applyAlignment="true" applyProtection="true">
      <alignment horizontal="general" vertical="bottom" textRotation="0" wrapText="false" indent="0" shrinkToFit="false"/>
      <protection locked="true" hidden="false"/>
    </xf>
    <xf numFmtId="176" fontId="8" fillId="2" borderId="4" xfId="0" applyFont="true" applyBorder="true" applyAlignment="true" applyProtection="true">
      <alignment horizontal="general" vertical="bottom" textRotation="0" wrapText="false" indent="0" shrinkToFit="false"/>
      <protection locked="true" hidden="false"/>
    </xf>
    <xf numFmtId="170" fontId="0" fillId="2" borderId="5" xfId="0" applyFont="true" applyBorder="true" applyAlignment="true" applyProtection="true">
      <alignment horizontal="general" vertical="bottom" textRotation="0" wrapText="false" indent="0" shrinkToFit="false"/>
      <protection locked="true" hidden="false"/>
    </xf>
    <xf numFmtId="169" fontId="8" fillId="0" borderId="0" xfId="0" applyFont="true" applyBorder="false" applyAlignment="true" applyProtection="true">
      <alignment horizontal="general" vertical="bottom" textRotation="0" wrapText="false" indent="0" shrinkToFit="false"/>
      <protection locked="true" hidden="false"/>
    </xf>
    <xf numFmtId="169" fontId="8" fillId="0" borderId="0" xfId="0" applyFont="true" applyBorder="false" applyAlignment="true" applyProtection="true">
      <alignment horizontal="center" vertical="bottom" textRotation="0" wrapText="false" indent="0" shrinkToFit="false"/>
      <protection locked="true" hidden="false"/>
    </xf>
    <xf numFmtId="165" fontId="0" fillId="4" borderId="5" xfId="0" applyFont="true" applyBorder="true" applyAlignment="true" applyProtection="true">
      <alignment horizontal="general" vertical="bottom" textRotation="0" wrapText="false" indent="0" shrinkToFit="false"/>
      <protection locked="true" hidden="false"/>
    </xf>
    <xf numFmtId="172" fontId="8" fillId="0" borderId="0" xfId="0" applyFont="true" applyBorder="false" applyAlignment="true" applyProtection="true">
      <alignment horizontal="general" vertical="bottom" textRotation="0" wrapText="false" indent="0" shrinkToFit="false"/>
      <protection locked="true" hidden="false"/>
    </xf>
    <xf numFmtId="176" fontId="9" fillId="0" borderId="0" xfId="0" applyFont="true" applyBorder="false" applyAlignment="true" applyProtection="true">
      <alignment horizontal="general" vertical="bottom" textRotation="0" wrapText="false" indent="0" shrinkToFit="false"/>
      <protection locked="true" hidden="false"/>
    </xf>
    <xf numFmtId="177" fontId="0" fillId="2" borderId="5" xfId="0" applyFont="true" applyBorder="true" applyAlignment="true" applyProtection="true">
      <alignment horizontal="general" vertical="bottom" textRotation="0" wrapText="false" indent="0" shrinkToFit="false"/>
      <protection locked="true" hidden="false"/>
    </xf>
    <xf numFmtId="176" fontId="5" fillId="4" borderId="6" xfId="0" applyFont="true" applyBorder="true" applyAlignment="true" applyProtection="true">
      <alignment horizontal="general" vertical="bottom" textRotation="0" wrapText="false" indent="0" shrinkToFit="false"/>
      <protection locked="true" hidden="false"/>
    </xf>
    <xf numFmtId="168" fontId="9" fillId="4" borderId="7" xfId="0" applyFont="true" applyBorder="true" applyAlignment="true" applyProtection="true">
      <alignment horizontal="general" vertical="bottom" textRotation="0" wrapText="false" indent="0" shrinkToFit="false"/>
      <protection locked="true" hidden="false"/>
    </xf>
    <xf numFmtId="178" fontId="8" fillId="0" borderId="0" xfId="0" applyFont="true" applyBorder="false" applyAlignment="true" applyProtection="true">
      <alignment horizontal="general" vertical="bottom" textRotation="0" wrapText="false" indent="0" shrinkToFit="false"/>
      <protection locked="true" hidden="false"/>
    </xf>
    <xf numFmtId="178" fontId="0" fillId="0" borderId="0" xfId="0" applyFont="true" applyBorder="false" applyAlignment="true" applyProtection="true">
      <alignment horizontal="general" vertical="bottom" textRotation="0" wrapText="false" indent="0" shrinkToFit="false"/>
      <protection locked="true" hidden="false"/>
    </xf>
    <xf numFmtId="168" fontId="8" fillId="0" borderId="0" xfId="0" applyFont="true" applyBorder="false" applyAlignment="true" applyProtection="true">
      <alignment horizontal="general" vertical="bottom" textRotation="0" wrapText="false" indent="0" shrinkToFit="false"/>
      <protection locked="true" hidden="false"/>
    </xf>
    <xf numFmtId="176" fontId="8" fillId="4" borderId="2" xfId="0" applyFont="true" applyBorder="true" applyAlignment="true" applyProtection="true">
      <alignment horizontal="general" vertical="bottom" textRotation="0" wrapText="false" indent="0" shrinkToFit="false"/>
      <protection locked="true" hidden="false"/>
    </xf>
    <xf numFmtId="170" fontId="0" fillId="4" borderId="3" xfId="0" applyFont="true" applyBorder="true" applyAlignment="true" applyProtection="true">
      <alignment horizontal="general" vertical="bottom" textRotation="0" wrapText="false" indent="0" shrinkToFit="false"/>
      <protection locked="true" hidden="false"/>
    </xf>
    <xf numFmtId="165" fontId="8" fillId="0" borderId="1" xfId="0" applyFont="true" applyBorder="true" applyAlignment="true" applyProtection="true">
      <alignment horizontal="general" vertical="bottom" textRotation="0" wrapText="false" indent="0" shrinkToFit="false"/>
      <protection locked="true" hidden="false"/>
    </xf>
    <xf numFmtId="165" fontId="16" fillId="0" borderId="0" xfId="0" applyFont="true" applyBorder="false" applyAlignment="true" applyProtection="true">
      <alignment horizontal="general" vertical="bottom" textRotation="0" wrapText="false" indent="0" shrinkToFit="false"/>
      <protection locked="true" hidden="false"/>
    </xf>
    <xf numFmtId="165" fontId="0" fillId="5" borderId="0" xfId="0" applyFont="true" applyBorder="false" applyAlignment="true" applyProtection="true">
      <alignment horizontal="general" vertical="bottom" textRotation="0" wrapText="false" indent="0" shrinkToFit="false"/>
      <protection locked="true" hidden="false"/>
    </xf>
    <xf numFmtId="168" fontId="16" fillId="0" borderId="0" xfId="0" applyFont="true" applyBorder="false" applyAlignment="true" applyProtection="true">
      <alignment horizontal="general" vertical="bottom" textRotation="0" wrapText="false" indent="0" shrinkToFit="false"/>
      <protection locked="true" hidden="false"/>
    </xf>
    <xf numFmtId="176" fontId="16"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75" fontId="16"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center" vertical="bottom" textRotation="0" wrapText="false" indent="0" shrinkToFit="false"/>
      <protection locked="true" hidden="false"/>
    </xf>
    <xf numFmtId="179" fontId="0"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79" fontId="0" fillId="2"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79" fontId="18"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00FF00"/>
      <rgbColor rgb="FF0000FF"/>
      <rgbColor rgb="FFFFFF00"/>
      <rgbColor rgb="FFFF00FF"/>
      <rgbColor rgb="FF00FFFF"/>
      <rgbColor rgb="FF7E0021"/>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83CAFF"/>
      <rgbColor rgb="FFFF99CC"/>
      <rgbColor rgb="FFCC99FF"/>
      <rgbColor rgb="FFFFCC99"/>
      <rgbColor rgb="FF3366FF"/>
      <rgbColor rgb="FF33CCCC"/>
      <rgbColor rgb="FFAECF00"/>
      <rgbColor rgb="FFFFD320"/>
      <rgbColor rgb="FFFF950E"/>
      <rgbColor rgb="FFFF420E"/>
      <rgbColor rgb="FF666666"/>
      <rgbColor rgb="FFB3B3B3"/>
      <rgbColor rgb="FF004586"/>
      <rgbColor rgb="FF579D1C"/>
      <rgbColor rgb="FF003300"/>
      <rgbColor rgb="FF314004"/>
      <rgbColor rgb="FF993300"/>
      <rgbColor rgb="FF993366"/>
      <rgbColor rgb="FF4B1F6F"/>
      <rgbColor rgb="FF4B4B4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externalLink" Target="externalLinks/externalLink1.xml"/><Relationship Id="rId8"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lang="en-GB" sz="1300" b="0" u="none" strike="noStrike">
                <a:uFillTx/>
                <a:latin typeface="Arial"/>
              </a:defRPr>
            </a:pPr>
            <a:r>
              <a:rPr lang="en-GB" sz="1300" b="0" u="none" strike="noStrike">
                <a:solidFill>
                  <a:srgbClr val="000000"/>
                </a:solidFill>
                <a:uFillTx/>
                <a:latin typeface="Arial"/>
                <a:ea typeface="DejaVu Sans"/>
              </a:rPr>
              <a:t>Revenues per Region</a:t>
            </a:r>
          </a:p>
        </c:rich>
      </c:tx>
      <c:overlay val="0"/>
      <c:spPr>
        <a:noFill/>
        <a:ln w="0">
          <a:noFill/>
        </a:ln>
      </c:spPr>
    </c:title>
    <c:autoTitleDeleted val="0"/>
    <c:plotArea>
      <c:barChart>
        <c:barDir val="col"/>
        <c:grouping val="clustered"/>
        <c:varyColors val="0"/>
        <c:ser>
          <c:idx val="0"/>
          <c:order val="0"/>
          <c:tx>
            <c:strRef>
              <c:f>Main!$B$72</c:f>
              <c:strCache>
                <c:ptCount val="1"/>
                <c:pt idx="0">
                  <c:v>Q423</c:v>
                </c:pt>
              </c:strCache>
            </c:strRef>
          </c:tx>
          <c:spPr>
            <a:solidFill>
              <a:srgbClr val="004586"/>
            </a:solidFill>
            <a:ln w="0">
              <a:noFill/>
            </a:ln>
          </c:spPr>
          <c:invertIfNegative val="0"/>
          <c:dLbls>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Main!$A$73:$A$76</c:f>
              <c:strCache>
                <c:ptCount val="4"/>
                <c:pt idx="0">
                  <c:v>US Canada</c:v>
                </c:pt>
                <c:pt idx="1">
                  <c:v>Europe</c:v>
                </c:pt>
                <c:pt idx="2">
                  <c:v>Asia Pacific</c:v>
                </c:pt>
                <c:pt idx="3">
                  <c:v>Rest of the World</c:v>
                </c:pt>
              </c:strCache>
            </c:strRef>
          </c:cat>
          <c:val>
            <c:numRef>
              <c:f>Main!$B$73:$B$76</c:f>
              <c:numCache>
                <c:formatCode>#,##0</c:formatCode>
                <c:ptCount val="4"/>
                <c:pt idx="0">
                  <c:v>18585</c:v>
                </c:pt>
                <c:pt idx="1">
                  <c:v>9441</c:v>
                </c:pt>
                <c:pt idx="2">
                  <c:v>7512</c:v>
                </c:pt>
                <c:pt idx="3">
                  <c:v>4573</c:v>
                </c:pt>
              </c:numCache>
            </c:numRef>
          </c:val>
        </c:ser>
        <c:ser>
          <c:idx val="1"/>
          <c:order val="1"/>
          <c:tx>
            <c:strRef>
              <c:f>Main!$C$72</c:f>
              <c:strCache>
                <c:ptCount val="1"/>
                <c:pt idx="0">
                  <c:v>Q124</c:v>
                </c:pt>
              </c:strCache>
            </c:strRef>
          </c:tx>
          <c:spPr>
            <a:solidFill>
              <a:srgbClr val="FF420E"/>
            </a:solidFill>
            <a:ln w="0">
              <a:noFill/>
            </a:ln>
          </c:spPr>
          <c:invertIfNegative val="0"/>
          <c:dLbls>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Main!$A$73:$A$76</c:f>
              <c:strCache>
                <c:ptCount val="4"/>
                <c:pt idx="0">
                  <c:v>US Canada</c:v>
                </c:pt>
                <c:pt idx="1">
                  <c:v>Europe</c:v>
                </c:pt>
                <c:pt idx="2">
                  <c:v>Asia Pacific</c:v>
                </c:pt>
                <c:pt idx="3">
                  <c:v>Rest of the World</c:v>
                </c:pt>
              </c:strCache>
            </c:strRef>
          </c:cat>
          <c:val>
            <c:numRef>
              <c:f>Main!$C$73:$C$76</c:f>
              <c:numCache>
                <c:formatCode>#,##0</c:formatCode>
                <c:ptCount val="4"/>
                <c:pt idx="0">
                  <c:v>15824</c:v>
                </c:pt>
                <c:pt idx="1">
                  <c:v>8483</c:v>
                </c:pt>
                <c:pt idx="2">
                  <c:v>7481</c:v>
                </c:pt>
                <c:pt idx="3">
                  <c:v>4667</c:v>
                </c:pt>
              </c:numCache>
            </c:numRef>
          </c:val>
        </c:ser>
        <c:ser>
          <c:idx val="2"/>
          <c:order val="2"/>
          <c:tx>
            <c:strRef>
              <c:f>Main!$D$72</c:f>
              <c:strCache>
                <c:ptCount val="1"/>
                <c:pt idx="0">
                  <c:v>Q224</c:v>
                </c:pt>
              </c:strCache>
            </c:strRef>
          </c:tx>
          <c:spPr>
            <a:solidFill>
              <a:srgbClr val="FFD320"/>
            </a:solidFill>
            <a:ln w="0">
              <a:noFill/>
            </a:ln>
          </c:spPr>
          <c:invertIfNegative val="0"/>
          <c:dLbls>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Main!$A$73:$A$76</c:f>
              <c:strCache>
                <c:ptCount val="4"/>
                <c:pt idx="0">
                  <c:v>US Canada</c:v>
                </c:pt>
                <c:pt idx="1">
                  <c:v>Europe</c:v>
                </c:pt>
                <c:pt idx="2">
                  <c:v>Asia Pacific</c:v>
                </c:pt>
                <c:pt idx="3">
                  <c:v>Rest of the World</c:v>
                </c:pt>
              </c:strCache>
            </c:strRef>
          </c:cat>
          <c:val>
            <c:numRef>
              <c:f>Main!$D$73:$D$76</c:f>
              <c:numCache>
                <c:formatCode>#,##0</c:formatCode>
                <c:ptCount val="4"/>
                <c:pt idx="0">
                  <c:v>16847</c:v>
                </c:pt>
                <c:pt idx="1">
                  <c:v>9300</c:v>
                </c:pt>
                <c:pt idx="2">
                  <c:v>7888</c:v>
                </c:pt>
                <c:pt idx="3">
                  <c:v>5036</c:v>
                </c:pt>
              </c:numCache>
            </c:numRef>
          </c:val>
        </c:ser>
        <c:ser>
          <c:idx val="3"/>
          <c:order val="3"/>
          <c:tx>
            <c:strRef>
              <c:f>Main!$E$72</c:f>
              <c:strCache>
                <c:ptCount val="1"/>
                <c:pt idx="0">
                  <c:v>Q324</c:v>
                </c:pt>
              </c:strCache>
            </c:strRef>
          </c:tx>
          <c:spPr>
            <a:solidFill>
              <a:srgbClr val="579D1C"/>
            </a:solidFill>
            <a:ln w="0">
              <a:noFill/>
            </a:ln>
          </c:spPr>
          <c:invertIfNegative val="0"/>
          <c:dLbls>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Main!$A$73:$A$76</c:f>
              <c:strCache>
                <c:ptCount val="4"/>
                <c:pt idx="0">
                  <c:v>US Canada</c:v>
                </c:pt>
                <c:pt idx="1">
                  <c:v>Europe</c:v>
                </c:pt>
                <c:pt idx="2">
                  <c:v>Asia Pacific</c:v>
                </c:pt>
                <c:pt idx="3">
                  <c:v>Rest of the World</c:v>
                </c:pt>
              </c:strCache>
            </c:strRef>
          </c:cat>
          <c:val>
            <c:numRef>
              <c:f>Main!$E$73:$E$76</c:f>
              <c:numCache>
                <c:formatCode>#,##0</c:formatCode>
                <c:ptCount val="4"/>
                <c:pt idx="0">
                  <c:v>17609</c:v>
                </c:pt>
                <c:pt idx="1">
                  <c:v>9492</c:v>
                </c:pt>
                <c:pt idx="2">
                  <c:v>8220</c:v>
                </c:pt>
                <c:pt idx="3">
                  <c:v>5268</c:v>
                </c:pt>
              </c:numCache>
            </c:numRef>
          </c:val>
        </c:ser>
        <c:ser>
          <c:idx val="4"/>
          <c:order val="4"/>
          <c:tx>
            <c:strRef>
              <c:f>Main!$F$72</c:f>
              <c:strCache>
                <c:ptCount val="1"/>
                <c:pt idx="0">
                  <c:v>Q424</c:v>
                </c:pt>
              </c:strCache>
            </c:strRef>
          </c:tx>
          <c:spPr>
            <a:solidFill>
              <a:srgbClr val="7E0021"/>
            </a:solidFill>
            <a:ln w="0">
              <a:noFill/>
            </a:ln>
          </c:spPr>
          <c:invertIfNegative val="0"/>
          <c:dLbls>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Main!$A$73:$A$76</c:f>
              <c:strCache>
                <c:ptCount val="4"/>
                <c:pt idx="0">
                  <c:v>US Canada</c:v>
                </c:pt>
                <c:pt idx="1">
                  <c:v>Europe</c:v>
                </c:pt>
                <c:pt idx="2">
                  <c:v>Asia Pacific</c:v>
                </c:pt>
                <c:pt idx="3">
                  <c:v>Rest of the World</c:v>
                </c:pt>
              </c:strCache>
            </c:strRef>
          </c:cat>
          <c:val>
            <c:numRef>
              <c:f>Main!$F$73:$F$76</c:f>
              <c:numCache>
                <c:formatCode>#,##0</c:formatCode>
                <c:ptCount val="4"/>
                <c:pt idx="0">
                  <c:v>21783</c:v>
                </c:pt>
                <c:pt idx="1">
                  <c:v>11503</c:v>
                </c:pt>
                <c:pt idx="2">
                  <c:v>9245</c:v>
                </c:pt>
                <c:pt idx="3">
                  <c:v>5854</c:v>
                </c:pt>
              </c:numCache>
            </c:numRef>
          </c:val>
        </c:ser>
        <c:ser>
          <c:idx val="5"/>
          <c:order val="5"/>
          <c:tx>
            <c:strRef>
              <c:f>Main!$G$72</c:f>
              <c:strCache>
                <c:ptCount val="1"/>
                <c:pt idx="0">
                  <c:v>Q125</c:v>
                </c:pt>
              </c:strCache>
            </c:strRef>
          </c:tx>
          <c:spPr>
            <a:solidFill>
              <a:srgbClr val="83CAFF"/>
            </a:solidFill>
            <a:ln w="0">
              <a:noFill/>
            </a:ln>
          </c:spPr>
          <c:invertIfNegative val="0"/>
          <c:dLbls>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Main!$A$73:$A$76</c:f>
              <c:strCache>
                <c:ptCount val="4"/>
                <c:pt idx="0">
                  <c:v>US Canada</c:v>
                </c:pt>
                <c:pt idx="1">
                  <c:v>Europe</c:v>
                </c:pt>
                <c:pt idx="2">
                  <c:v>Asia Pacific</c:v>
                </c:pt>
                <c:pt idx="3">
                  <c:v>Rest of the World</c:v>
                </c:pt>
              </c:strCache>
            </c:strRef>
          </c:cat>
          <c:val>
            <c:numRef>
              <c:f>Main!$G$73:$G$76</c:f>
              <c:numCache>
                <c:formatCode>#,##0</c:formatCode>
                <c:ptCount val="4"/>
                <c:pt idx="0">
                  <c:v>18605</c:v>
                </c:pt>
                <c:pt idx="1">
                  <c:v>9680</c:v>
                </c:pt>
                <c:pt idx="2">
                  <c:v>8439</c:v>
                </c:pt>
                <c:pt idx="3">
                  <c:v>5590</c:v>
                </c:pt>
              </c:numCache>
            </c:numRef>
          </c:val>
        </c:ser>
        <c:ser>
          <c:idx val="6"/>
          <c:order val="6"/>
          <c:tx>
            <c:strRef>
              <c:f>Main!$H$72</c:f>
              <c:strCache>
                <c:ptCount val="1"/>
                <c:pt idx="0">
                  <c:v>Q225</c:v>
                </c:pt>
              </c:strCache>
            </c:strRef>
          </c:tx>
          <c:spPr>
            <a:solidFill>
              <a:srgbClr val="314004"/>
            </a:solidFill>
            <a:ln w="0">
              <a:noFill/>
            </a:ln>
          </c:spPr>
          <c:invertIfNegative val="0"/>
          <c:dLbls>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Main!$A$73:$A$76</c:f>
              <c:strCache>
                <c:ptCount val="4"/>
                <c:pt idx="0">
                  <c:v>US Canada</c:v>
                </c:pt>
                <c:pt idx="1">
                  <c:v>Europe</c:v>
                </c:pt>
                <c:pt idx="2">
                  <c:v>Asia Pacific</c:v>
                </c:pt>
                <c:pt idx="3">
                  <c:v>Rest of the World</c:v>
                </c:pt>
              </c:strCache>
            </c:strRef>
          </c:cat>
          <c:val>
            <c:numRef>
              <c:f>Main!$H$73:$H$76</c:f>
              <c:numCache>
                <c:formatCode>#,##0</c:formatCode>
                <c:ptCount val="4"/>
                <c:pt idx="0">
                  <c:v>20371</c:v>
                </c:pt>
                <c:pt idx="1">
                  <c:v>11532</c:v>
                </c:pt>
                <c:pt idx="2">
                  <c:v>9366</c:v>
                </c:pt>
                <c:pt idx="3">
                  <c:v>6247</c:v>
                </c:pt>
              </c:numCache>
            </c:numRef>
          </c:val>
        </c:ser>
        <c:ser>
          <c:idx val="7"/>
          <c:order val="7"/>
          <c:tx>
            <c:strRef>
              <c:f>Main!$I$72</c:f>
              <c:strCache>
                <c:ptCount val="1"/>
                <c:pt idx="0">
                  <c:v>Q325</c:v>
                </c:pt>
              </c:strCache>
            </c:strRef>
          </c:tx>
          <c:spPr>
            <a:solidFill>
              <a:srgbClr val="AECF00"/>
            </a:solidFill>
            <a:ln w="0">
              <a:noFill/>
            </a:ln>
          </c:spPr>
          <c:invertIfNegative val="0"/>
          <c:dLbls>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Main!$A$73:$A$76</c:f>
              <c:strCache>
                <c:ptCount val="4"/>
                <c:pt idx="0">
                  <c:v>US Canada</c:v>
                </c:pt>
                <c:pt idx="1">
                  <c:v>Europe</c:v>
                </c:pt>
                <c:pt idx="2">
                  <c:v>Asia Pacific</c:v>
                </c:pt>
                <c:pt idx="3">
                  <c:v>Rest of the World</c:v>
                </c:pt>
              </c:strCache>
            </c:strRef>
          </c:cat>
          <c:val>
            <c:numRef>
              <c:f>Main!$I$73:$I$76</c:f>
              <c:numCache>
                <c:formatCode>#,##0</c:formatCode>
                <c:ptCount val="4"/>
                <c:pt idx="0">
                  <c:v>21751</c:v>
                </c:pt>
                <c:pt idx="1">
                  <c:v>12268</c:v>
                </c:pt>
                <c:pt idx="2">
                  <c:v>10272</c:v>
                </c:pt>
                <c:pt idx="3">
                  <c:v>6951</c:v>
                </c:pt>
              </c:numCache>
            </c:numRef>
          </c:val>
        </c:ser>
        <c:ser>
          <c:idx val="8"/>
          <c:order val="8"/>
          <c:tx>
            <c:strRef>
              <c:f>Main!$J$72</c:f>
              <c:strCache>
                <c:ptCount val="1"/>
                <c:pt idx="0">
                  <c:v>Q425</c:v>
                </c:pt>
              </c:strCache>
            </c:strRef>
          </c:tx>
          <c:spPr>
            <a:solidFill>
              <a:srgbClr val="4B1F6F"/>
            </a:solidFill>
            <a:ln w="0">
              <a:noFill/>
            </a:ln>
          </c:spPr>
          <c:invertIfNegative val="0"/>
          <c:dLbls>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Main!$A$73:$A$76</c:f>
              <c:strCache>
                <c:ptCount val="4"/>
                <c:pt idx="0">
                  <c:v>US Canada</c:v>
                </c:pt>
                <c:pt idx="1">
                  <c:v>Europe</c:v>
                </c:pt>
                <c:pt idx="2">
                  <c:v>Asia Pacific</c:v>
                </c:pt>
                <c:pt idx="3">
                  <c:v>Rest of the World</c:v>
                </c:pt>
              </c:strCache>
            </c:strRef>
          </c:cat>
          <c:val>
            <c:numRef>
              <c:f>Main!$J$73:$J$76</c:f>
              <c:numCache>
                <c:formatCode>#,##0</c:formatCode>
                <c:ptCount val="4"/>
                <c:pt idx="0">
                  <c:v>26472</c:v>
                </c:pt>
                <c:pt idx="1">
                  <c:v>14480</c:v>
                </c:pt>
                <c:pt idx="2">
                  <c:v>11182</c:v>
                </c:pt>
                <c:pt idx="3">
                  <c:v>7759</c:v>
                </c:pt>
              </c:numCache>
            </c:numRef>
          </c:val>
        </c:ser>
        <c:ser>
          <c:idx val="9"/>
          <c:order val="9"/>
          <c:tx>
            <c:strRef>
              <c:f>Main!$K$72</c:f>
              <c:strCache>
                <c:ptCount val="1"/>
                <c:pt idx="0">
                  <c:v>Q126</c:v>
                </c:pt>
              </c:strCache>
            </c:strRef>
          </c:tx>
          <c:spPr>
            <a:solidFill>
              <a:srgbClr val="FF950E"/>
            </a:solidFill>
            <a:ln w="0">
              <a:noFill/>
            </a:ln>
          </c:spPr>
          <c:invertIfNegative val="0"/>
          <c:dLbls>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Main!$A$73:$A$76</c:f>
              <c:strCache>
                <c:ptCount val="4"/>
                <c:pt idx="0">
                  <c:v>US Canada</c:v>
                </c:pt>
                <c:pt idx="1">
                  <c:v>Europe</c:v>
                </c:pt>
                <c:pt idx="2">
                  <c:v>Asia Pacific</c:v>
                </c:pt>
                <c:pt idx="3">
                  <c:v>Rest of the World</c:v>
                </c:pt>
              </c:strCache>
            </c:strRef>
          </c:cat>
          <c:val>
            <c:numRef>
              <c:f>Main!$K$73:$K$76</c:f>
              <c:numCache>
                <c:formatCode>#,##0</c:formatCode>
                <c:ptCount val="4"/>
                <c:pt idx="0">
                  <c:v>24079</c:v>
                </c:pt>
                <c:pt idx="1">
                  <c:v>13500</c:v>
                </c:pt>
                <c:pt idx="2">
                  <c:v>10914</c:v>
                </c:pt>
                <c:pt idx="3">
                  <c:v>7818</c:v>
                </c:pt>
              </c:numCache>
            </c:numRef>
          </c:val>
        </c:ser>
        <c:gapWidth val="100"/>
        <c:overlap val="0"/>
        <c:axId val="71148931"/>
        <c:axId val="22278421"/>
      </c:barChart>
      <c:catAx>
        <c:axId val="71148931"/>
        <c:scaling>
          <c:orientation val="minMax"/>
        </c:scaling>
        <c:delete val="0"/>
        <c:axPos val="b"/>
        <c:numFmt formatCode="General" sourceLinked="0"/>
        <c:majorTickMark val="out"/>
        <c:minorTickMark val="none"/>
        <c:tickLblPos val="nextTo"/>
        <c:spPr>
          <a:ln w="0">
            <a:solidFill>
              <a:srgbClr val="B3B3B3"/>
            </a:solidFill>
          </a:ln>
        </c:spPr>
        <c:txPr>
          <a:bodyPr/>
          <a:lstStyle/>
          <a:p>
            <a:pPr>
              <a:defRPr lang="en-GB" sz="1000" b="0" u="none" strike="noStrike">
                <a:solidFill>
                  <a:srgbClr val="000000"/>
                </a:solidFill>
                <a:uFillTx/>
                <a:latin typeface="Arial"/>
                <a:ea typeface="DejaVu Sans"/>
              </a:defRPr>
            </a:pPr>
          </a:p>
        </c:txPr>
        <c:crossAx val="22278421"/>
        <c:crosses val="autoZero"/>
        <c:auto val="1"/>
        <c:lblAlgn val="ctr"/>
        <c:lblOffset val="100"/>
        <c:noMultiLvlLbl val="0"/>
      </c:catAx>
      <c:valAx>
        <c:axId val="22278421"/>
        <c:scaling>
          <c:orientation val="minMax"/>
        </c:scaling>
        <c:delete val="0"/>
        <c:axPos val="l"/>
        <c:majorGridlines>
          <c:spPr>
            <a:ln w="0">
              <a:solidFill>
                <a:srgbClr val="B3B3B3"/>
              </a:solidFill>
            </a:ln>
          </c:spPr>
        </c:majorGridlines>
        <c:numFmt formatCode="#,##0;\(#,##0\);\-" sourceLinked="0"/>
        <c:majorTickMark val="out"/>
        <c:minorTickMark val="none"/>
        <c:tickLblPos val="nextTo"/>
        <c:spPr>
          <a:ln w="0">
            <a:solidFill>
              <a:srgbClr val="B3B3B3"/>
            </a:solidFill>
          </a:ln>
        </c:spPr>
        <c:txPr>
          <a:bodyPr/>
          <a:lstStyle/>
          <a:p>
            <a:pPr>
              <a:defRPr lang="en-GB" sz="1000" b="0" u="none" strike="noStrike">
                <a:solidFill>
                  <a:srgbClr val="000000"/>
                </a:solidFill>
                <a:uFillTx/>
                <a:latin typeface="Arial"/>
                <a:ea typeface="DejaVu Sans"/>
              </a:defRPr>
            </a:pPr>
          </a:p>
        </c:txPr>
        <c:crossAx val="71148931"/>
        <c:crosses val="autoZero"/>
        <c:crossBetween val="between"/>
      </c:valAx>
      <c:spPr>
        <a:noFill/>
        <a:ln w="0">
          <a:solidFill>
            <a:srgbClr val="B3B3B3"/>
          </a:solidFill>
        </a:ln>
      </c:spPr>
    </c:plotArea>
    <c:plotVisOnly val="1"/>
    <c:dispBlanksAs val="gap"/>
  </c:chart>
  <c:spPr>
    <a:solidFill>
      <a:srgbClr val="FFFFFF"/>
    </a:solidFill>
    <a:ln w="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lang="en-GB" sz="1300" b="0" u="none" strike="noStrike">
                <a:uFillTx/>
                <a:latin typeface="Arial"/>
              </a:defRPr>
            </a:pPr>
            <a:r>
              <a:rPr lang="en-GB" sz="1300" b="0" u="none" strike="noStrike">
                <a:solidFill>
                  <a:srgbClr val="000000"/>
                </a:solidFill>
                <a:uFillTx/>
                <a:latin typeface="Arial"/>
                <a:ea typeface="DejaVu Sans"/>
              </a:rPr>
              <a:t>ADV Revenue per Region</a:t>
            </a:r>
          </a:p>
        </c:rich>
      </c:tx>
      <c:overlay val="0"/>
      <c:spPr>
        <a:noFill/>
        <a:ln w="0">
          <a:noFill/>
        </a:ln>
      </c:spPr>
    </c:title>
    <c:autoTitleDeleted val="0"/>
    <c:plotArea>
      <c:barChart>
        <c:barDir val="col"/>
        <c:grouping val="clustered"/>
        <c:varyColors val="0"/>
        <c:ser>
          <c:idx val="0"/>
          <c:order val="0"/>
          <c:tx>
            <c:strRef>
              <c:f>Main!$Q$72</c:f>
              <c:strCache>
                <c:ptCount val="1"/>
                <c:pt idx="0">
                  <c:v>Q423</c:v>
                </c:pt>
              </c:strCache>
            </c:strRef>
          </c:tx>
          <c:spPr>
            <a:solidFill>
              <a:srgbClr val="004586"/>
            </a:solidFill>
            <a:ln w="0">
              <a:noFill/>
            </a:ln>
          </c:spPr>
          <c:invertIfNegative val="0"/>
          <c:dLbls>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Main!$P$73:$P$76</c:f>
              <c:strCache>
                <c:ptCount val="4"/>
                <c:pt idx="0">
                  <c:v>US Canada</c:v>
                </c:pt>
                <c:pt idx="1">
                  <c:v>Europe</c:v>
                </c:pt>
                <c:pt idx="2">
                  <c:v>Asia Pacific</c:v>
                </c:pt>
                <c:pt idx="3">
                  <c:v>Rest of the World</c:v>
                </c:pt>
              </c:strCache>
            </c:strRef>
          </c:cat>
          <c:val>
            <c:numRef>
              <c:f>Main!$Q$73:$Q$76</c:f>
              <c:numCache>
                <c:formatCode>#,##0</c:formatCode>
                <c:ptCount val="4"/>
                <c:pt idx="0">
                  <c:v>17784</c:v>
                </c:pt>
                <c:pt idx="1">
                  <c:v>9159</c:v>
                </c:pt>
                <c:pt idx="2">
                  <c:v>7316</c:v>
                </c:pt>
                <c:pt idx="3">
                  <c:v>4447</c:v>
                </c:pt>
              </c:numCache>
            </c:numRef>
          </c:val>
        </c:ser>
        <c:ser>
          <c:idx val="1"/>
          <c:order val="1"/>
          <c:tx>
            <c:strRef>
              <c:f>Main!$R$72</c:f>
              <c:strCache>
                <c:ptCount val="1"/>
                <c:pt idx="0">
                  <c:v>Q124</c:v>
                </c:pt>
              </c:strCache>
            </c:strRef>
          </c:tx>
          <c:spPr>
            <a:solidFill>
              <a:srgbClr val="FF420E"/>
            </a:solidFill>
            <a:ln w="0">
              <a:noFill/>
            </a:ln>
          </c:spPr>
          <c:invertIfNegative val="0"/>
          <c:dLbls>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Main!$P$73:$P$76</c:f>
              <c:strCache>
                <c:ptCount val="4"/>
                <c:pt idx="0">
                  <c:v>US Canada</c:v>
                </c:pt>
                <c:pt idx="1">
                  <c:v>Europe</c:v>
                </c:pt>
                <c:pt idx="2">
                  <c:v>Asia Pacific</c:v>
                </c:pt>
                <c:pt idx="3">
                  <c:v>Rest of the World</c:v>
                </c:pt>
              </c:strCache>
            </c:strRef>
          </c:cat>
          <c:val>
            <c:numRef>
              <c:f>Main!$R$73:$R$76</c:f>
              <c:numCache>
                <c:formatCode>#,##0</c:formatCode>
                <c:ptCount val="4"/>
                <c:pt idx="0">
                  <c:v>15451</c:v>
                </c:pt>
                <c:pt idx="1">
                  <c:v>8327</c:v>
                </c:pt>
                <c:pt idx="2">
                  <c:v>7338</c:v>
                </c:pt>
                <c:pt idx="3">
                  <c:v>4519</c:v>
                </c:pt>
              </c:numCache>
            </c:numRef>
          </c:val>
        </c:ser>
        <c:ser>
          <c:idx val="2"/>
          <c:order val="2"/>
          <c:tx>
            <c:strRef>
              <c:f>Main!$S$72</c:f>
              <c:strCache>
                <c:ptCount val="1"/>
                <c:pt idx="0">
                  <c:v>Q224</c:v>
                </c:pt>
              </c:strCache>
            </c:strRef>
          </c:tx>
          <c:spPr>
            <a:solidFill>
              <a:srgbClr val="FFD320"/>
            </a:solidFill>
            <a:ln w="0">
              <a:noFill/>
            </a:ln>
          </c:spPr>
          <c:invertIfNegative val="0"/>
          <c:dLbls>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Main!$P$73:$P$76</c:f>
              <c:strCache>
                <c:ptCount val="4"/>
                <c:pt idx="0">
                  <c:v>US Canada</c:v>
                </c:pt>
                <c:pt idx="1">
                  <c:v>Europe</c:v>
                </c:pt>
                <c:pt idx="2">
                  <c:v>Asia Pacific</c:v>
                </c:pt>
                <c:pt idx="3">
                  <c:v>Rest of the World</c:v>
                </c:pt>
              </c:strCache>
            </c:strRef>
          </c:cat>
          <c:val>
            <c:numRef>
              <c:f>Main!$S$73:$S$76</c:f>
              <c:numCache>
                <c:formatCode>#,##0</c:formatCode>
                <c:ptCount val="4"/>
                <c:pt idx="0">
                  <c:v>16593</c:v>
                </c:pt>
                <c:pt idx="1">
                  <c:v>9135</c:v>
                </c:pt>
                <c:pt idx="2">
                  <c:v>7721</c:v>
                </c:pt>
                <c:pt idx="3">
                  <c:v>4880</c:v>
                </c:pt>
              </c:numCache>
            </c:numRef>
          </c:val>
        </c:ser>
        <c:ser>
          <c:idx val="3"/>
          <c:order val="3"/>
          <c:tx>
            <c:strRef>
              <c:f>Main!$T$72</c:f>
              <c:strCache>
                <c:ptCount val="1"/>
                <c:pt idx="0">
                  <c:v>Q324</c:v>
                </c:pt>
              </c:strCache>
            </c:strRef>
          </c:tx>
          <c:spPr>
            <a:solidFill>
              <a:srgbClr val="579D1C"/>
            </a:solidFill>
            <a:ln w="0">
              <a:noFill/>
            </a:ln>
          </c:spPr>
          <c:invertIfNegative val="0"/>
          <c:dLbls>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Main!$P$73:$P$76</c:f>
              <c:strCache>
                <c:ptCount val="4"/>
                <c:pt idx="0">
                  <c:v>US Canada</c:v>
                </c:pt>
                <c:pt idx="1">
                  <c:v>Europe</c:v>
                </c:pt>
                <c:pt idx="2">
                  <c:v>Asia Pacific</c:v>
                </c:pt>
                <c:pt idx="3">
                  <c:v>Rest of the World</c:v>
                </c:pt>
              </c:strCache>
            </c:strRef>
          </c:cat>
          <c:val>
            <c:numRef>
              <c:f>Main!$T$73:$T$76</c:f>
              <c:numCache>
                <c:formatCode>#,##0</c:formatCode>
                <c:ptCount val="4"/>
                <c:pt idx="0">
                  <c:v>17389</c:v>
                </c:pt>
                <c:pt idx="1">
                  <c:v>9358</c:v>
                </c:pt>
                <c:pt idx="2">
                  <c:v>8050</c:v>
                </c:pt>
                <c:pt idx="3">
                  <c:v>5088</c:v>
                </c:pt>
              </c:numCache>
            </c:numRef>
          </c:val>
        </c:ser>
        <c:ser>
          <c:idx val="4"/>
          <c:order val="4"/>
          <c:tx>
            <c:strRef>
              <c:f>Main!$U$72</c:f>
              <c:strCache>
                <c:ptCount val="1"/>
                <c:pt idx="0">
                  <c:v>Q424</c:v>
                </c:pt>
              </c:strCache>
            </c:strRef>
          </c:tx>
          <c:spPr>
            <a:solidFill>
              <a:srgbClr val="7E0021"/>
            </a:solidFill>
            <a:ln w="0">
              <a:noFill/>
            </a:ln>
          </c:spPr>
          <c:invertIfNegative val="0"/>
          <c:dLbls>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Main!$P$73:$P$76</c:f>
              <c:strCache>
                <c:ptCount val="4"/>
                <c:pt idx="0">
                  <c:v>US Canada</c:v>
                </c:pt>
                <c:pt idx="1">
                  <c:v>Europe</c:v>
                </c:pt>
                <c:pt idx="2">
                  <c:v>Asia Pacific</c:v>
                </c:pt>
                <c:pt idx="3">
                  <c:v>Rest of the World</c:v>
                </c:pt>
              </c:strCache>
            </c:strRef>
          </c:cat>
          <c:val>
            <c:numRef>
              <c:f>Main!$U$73:$U$76</c:f>
              <c:numCache>
                <c:formatCode>#,##0</c:formatCode>
                <c:ptCount val="4"/>
                <c:pt idx="0">
                  <c:v>20982</c:v>
                </c:pt>
                <c:pt idx="1">
                  <c:v>11154</c:v>
                </c:pt>
                <c:pt idx="2">
                  <c:v>9012</c:v>
                </c:pt>
                <c:pt idx="3">
                  <c:v>5635</c:v>
                </c:pt>
              </c:numCache>
            </c:numRef>
          </c:val>
        </c:ser>
        <c:ser>
          <c:idx val="5"/>
          <c:order val="5"/>
          <c:tx>
            <c:strRef>
              <c:f>Main!$V$72</c:f>
              <c:strCache>
                <c:ptCount val="1"/>
                <c:pt idx="0">
                  <c:v>Q125</c:v>
                </c:pt>
              </c:strCache>
            </c:strRef>
          </c:tx>
          <c:spPr>
            <a:solidFill>
              <a:srgbClr val="83CAFF"/>
            </a:solidFill>
            <a:ln w="0">
              <a:noFill/>
            </a:ln>
          </c:spPr>
          <c:invertIfNegative val="0"/>
          <c:dLbls>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Main!$P$73:$P$76</c:f>
              <c:strCache>
                <c:ptCount val="4"/>
                <c:pt idx="0">
                  <c:v>US Canada</c:v>
                </c:pt>
                <c:pt idx="1">
                  <c:v>Europe</c:v>
                </c:pt>
                <c:pt idx="2">
                  <c:v>Asia Pacific</c:v>
                </c:pt>
                <c:pt idx="3">
                  <c:v>Rest of the World</c:v>
                </c:pt>
              </c:strCache>
            </c:strRef>
          </c:cat>
          <c:val>
            <c:numRef>
              <c:f>Main!$V$73:$V$76</c:f>
              <c:numCache>
                <c:formatCode>#,##0</c:formatCode>
                <c:ptCount val="4"/>
                <c:pt idx="0">
                  <c:v>18259</c:v>
                </c:pt>
                <c:pt idx="1">
                  <c:v>9527</c:v>
                </c:pt>
                <c:pt idx="2">
                  <c:v>8224</c:v>
                </c:pt>
                <c:pt idx="3">
                  <c:v>5382</c:v>
                </c:pt>
              </c:numCache>
            </c:numRef>
          </c:val>
        </c:ser>
        <c:ser>
          <c:idx val="6"/>
          <c:order val="6"/>
          <c:tx>
            <c:strRef>
              <c:f>Main!$W$72</c:f>
              <c:strCache>
                <c:ptCount val="1"/>
                <c:pt idx="0">
                  <c:v>Q225</c:v>
                </c:pt>
              </c:strCache>
            </c:strRef>
          </c:tx>
          <c:spPr>
            <a:solidFill>
              <a:srgbClr val="314004"/>
            </a:solidFill>
            <a:ln w="0">
              <a:noFill/>
            </a:ln>
          </c:spPr>
          <c:invertIfNegative val="0"/>
          <c:dLbls>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Main!$P$73:$P$76</c:f>
              <c:strCache>
                <c:ptCount val="4"/>
                <c:pt idx="0">
                  <c:v>US Canada</c:v>
                </c:pt>
                <c:pt idx="1">
                  <c:v>Europe</c:v>
                </c:pt>
                <c:pt idx="2">
                  <c:v>Asia Pacific</c:v>
                </c:pt>
                <c:pt idx="3">
                  <c:v>Rest of the World</c:v>
                </c:pt>
              </c:strCache>
            </c:strRef>
          </c:cat>
          <c:val>
            <c:numRef>
              <c:f>Main!$W$73:$W$76</c:f>
              <c:numCache>
                <c:formatCode>#,##0</c:formatCode>
                <c:ptCount val="4"/>
                <c:pt idx="0">
                  <c:v>20045</c:v>
                </c:pt>
                <c:pt idx="1">
                  <c:v>11366</c:v>
                </c:pt>
                <c:pt idx="2">
                  <c:v>9148</c:v>
                </c:pt>
                <c:pt idx="3">
                  <c:v>6004</c:v>
                </c:pt>
              </c:numCache>
            </c:numRef>
          </c:val>
        </c:ser>
        <c:ser>
          <c:idx val="7"/>
          <c:order val="7"/>
          <c:tx>
            <c:strRef>
              <c:f>Main!$X$72</c:f>
              <c:strCache>
                <c:ptCount val="1"/>
                <c:pt idx="0">
                  <c:v>Q325</c:v>
                </c:pt>
              </c:strCache>
            </c:strRef>
          </c:tx>
          <c:spPr>
            <a:solidFill>
              <a:srgbClr val="AECF00"/>
            </a:solidFill>
            <a:ln w="0">
              <a:noFill/>
            </a:ln>
          </c:spPr>
          <c:invertIfNegative val="0"/>
          <c:dLbls>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Main!$P$73:$P$76</c:f>
              <c:strCache>
                <c:ptCount val="4"/>
                <c:pt idx="0">
                  <c:v>US Canada</c:v>
                </c:pt>
                <c:pt idx="1">
                  <c:v>Europe</c:v>
                </c:pt>
                <c:pt idx="2">
                  <c:v>Asia Pacific</c:v>
                </c:pt>
                <c:pt idx="3">
                  <c:v>Rest of the World</c:v>
                </c:pt>
              </c:strCache>
            </c:strRef>
          </c:cat>
          <c:val>
            <c:numRef>
              <c:f>Main!$X$73:$X$76</c:f>
              <c:numCache>
                <c:formatCode>#,##0</c:formatCode>
                <c:ptCount val="4"/>
                <c:pt idx="0">
                  <c:v>21331</c:v>
                </c:pt>
                <c:pt idx="1">
                  <c:v>12072</c:v>
                </c:pt>
                <c:pt idx="2">
                  <c:v>10020</c:v>
                </c:pt>
                <c:pt idx="3">
                  <c:v>6659</c:v>
                </c:pt>
              </c:numCache>
            </c:numRef>
          </c:val>
        </c:ser>
        <c:ser>
          <c:idx val="8"/>
          <c:order val="8"/>
          <c:tx>
            <c:strRef>
              <c:f>Main!$Y$72</c:f>
              <c:strCache>
                <c:ptCount val="1"/>
                <c:pt idx="0">
                  <c:v>Q425</c:v>
                </c:pt>
              </c:strCache>
            </c:strRef>
          </c:tx>
          <c:spPr>
            <a:solidFill>
              <a:srgbClr val="4B1F6F"/>
            </a:solidFill>
            <a:ln w="0">
              <a:noFill/>
            </a:ln>
          </c:spPr>
          <c:invertIfNegative val="0"/>
          <c:dLbls>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Main!$P$73:$P$76</c:f>
              <c:strCache>
                <c:ptCount val="4"/>
                <c:pt idx="0">
                  <c:v>US Canada</c:v>
                </c:pt>
                <c:pt idx="1">
                  <c:v>Europe</c:v>
                </c:pt>
                <c:pt idx="2">
                  <c:v>Asia Pacific</c:v>
                </c:pt>
                <c:pt idx="3">
                  <c:v>Rest of the World</c:v>
                </c:pt>
              </c:strCache>
            </c:strRef>
          </c:cat>
          <c:val>
            <c:numRef>
              <c:f>Main!$Y$73:$Y$76</c:f>
              <c:numCache>
                <c:formatCode>#,##0</c:formatCode>
                <c:ptCount val="4"/>
                <c:pt idx="0">
                  <c:v>25643</c:v>
                </c:pt>
                <c:pt idx="1">
                  <c:v>14198</c:v>
                </c:pt>
                <c:pt idx="2">
                  <c:v>10893</c:v>
                </c:pt>
                <c:pt idx="3">
                  <c:v>7403</c:v>
                </c:pt>
              </c:numCache>
            </c:numRef>
          </c:val>
        </c:ser>
        <c:ser>
          <c:idx val="9"/>
          <c:order val="9"/>
          <c:tx>
            <c:strRef>
              <c:f>Main!$Z$72</c:f>
              <c:strCache>
                <c:ptCount val="1"/>
                <c:pt idx="0">
                  <c:v>Q126</c:v>
                </c:pt>
              </c:strCache>
            </c:strRef>
          </c:tx>
          <c:spPr>
            <a:solidFill>
              <a:srgbClr val="FF950E"/>
            </a:solidFill>
            <a:ln w="0">
              <a:noFill/>
            </a:ln>
          </c:spPr>
          <c:invertIfNegative val="0"/>
          <c:dLbls>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Main!$P$73:$P$76</c:f>
              <c:strCache>
                <c:ptCount val="4"/>
                <c:pt idx="0">
                  <c:v>US Canada</c:v>
                </c:pt>
                <c:pt idx="1">
                  <c:v>Europe</c:v>
                </c:pt>
                <c:pt idx="2">
                  <c:v>Asia Pacific</c:v>
                </c:pt>
                <c:pt idx="3">
                  <c:v>Rest of the World</c:v>
                </c:pt>
              </c:strCache>
            </c:strRef>
          </c:cat>
          <c:val>
            <c:numRef>
              <c:f>Main!$Z$73:$Z$76</c:f>
              <c:numCache>
                <c:formatCode>#,##0</c:formatCode>
                <c:ptCount val="4"/>
                <c:pt idx="0">
                  <c:v>23667</c:v>
                </c:pt>
                <c:pt idx="1">
                  <c:v>13296</c:v>
                </c:pt>
                <c:pt idx="2">
                  <c:v>10631</c:v>
                </c:pt>
                <c:pt idx="3">
                  <c:v>7430</c:v>
                </c:pt>
              </c:numCache>
            </c:numRef>
          </c:val>
        </c:ser>
        <c:gapWidth val="100"/>
        <c:overlap val="0"/>
        <c:axId val="95733249"/>
        <c:axId val="84390583"/>
      </c:barChart>
      <c:catAx>
        <c:axId val="95733249"/>
        <c:scaling>
          <c:orientation val="minMax"/>
        </c:scaling>
        <c:delete val="0"/>
        <c:axPos val="b"/>
        <c:numFmt formatCode="General" sourceLinked="0"/>
        <c:majorTickMark val="out"/>
        <c:minorTickMark val="none"/>
        <c:tickLblPos val="nextTo"/>
        <c:spPr>
          <a:ln w="0">
            <a:solidFill>
              <a:srgbClr val="B3B3B3"/>
            </a:solidFill>
          </a:ln>
        </c:spPr>
        <c:txPr>
          <a:bodyPr/>
          <a:lstStyle/>
          <a:p>
            <a:pPr>
              <a:defRPr lang="en-GB" sz="1000" b="0" u="none" strike="noStrike">
                <a:solidFill>
                  <a:srgbClr val="000000"/>
                </a:solidFill>
                <a:uFillTx/>
                <a:latin typeface="Arial"/>
                <a:ea typeface="DejaVu Sans"/>
              </a:defRPr>
            </a:pPr>
          </a:p>
        </c:txPr>
        <c:crossAx val="84390583"/>
        <c:crosses val="autoZero"/>
        <c:auto val="1"/>
        <c:lblAlgn val="ctr"/>
        <c:lblOffset val="100"/>
        <c:noMultiLvlLbl val="0"/>
      </c:catAx>
      <c:valAx>
        <c:axId val="84390583"/>
        <c:scaling>
          <c:orientation val="minMax"/>
        </c:scaling>
        <c:delete val="0"/>
        <c:axPos val="l"/>
        <c:majorGridlines>
          <c:spPr>
            <a:ln w="0">
              <a:solidFill>
                <a:srgbClr val="B3B3B3"/>
              </a:solidFill>
            </a:ln>
          </c:spPr>
        </c:majorGridlines>
        <c:numFmt formatCode="#,##0;\(#,##0\);\-" sourceLinked="0"/>
        <c:majorTickMark val="out"/>
        <c:minorTickMark val="none"/>
        <c:tickLblPos val="nextTo"/>
        <c:spPr>
          <a:ln w="0">
            <a:solidFill>
              <a:srgbClr val="B3B3B3"/>
            </a:solidFill>
          </a:ln>
        </c:spPr>
        <c:txPr>
          <a:bodyPr/>
          <a:lstStyle/>
          <a:p>
            <a:pPr>
              <a:defRPr lang="en-GB" sz="1000" b="0" u="none" strike="noStrike">
                <a:solidFill>
                  <a:srgbClr val="000000"/>
                </a:solidFill>
                <a:uFillTx/>
                <a:latin typeface="Arial"/>
                <a:ea typeface="DejaVu Sans"/>
              </a:defRPr>
            </a:pPr>
          </a:p>
        </c:txPr>
        <c:crossAx val="95733249"/>
        <c:crosses val="autoZero"/>
        <c:crossBetween val="between"/>
      </c:valAx>
      <c:spPr>
        <a:noFill/>
        <a:ln w="0">
          <a:solidFill>
            <a:srgbClr val="B3B3B3"/>
          </a:solidFill>
        </a:ln>
      </c:spPr>
    </c:plotArea>
    <c:plotVisOnly val="1"/>
    <c:dispBlanksAs val="gap"/>
  </c:chart>
  <c:spPr>
    <a:solidFill>
      <a:srgbClr val="FFFFFF"/>
    </a:solidFill>
    <a:ln w="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lang="en-GB" sz="1300" b="0" u="none" strike="noStrike">
                <a:uFillTx/>
                <a:latin typeface="Arial"/>
              </a:defRPr>
            </a:pPr>
            <a:r>
              <a:rPr lang="en-GB" sz="1300" b="0" u="none" strike="noStrike">
                <a:solidFill>
                  <a:srgbClr val="000000"/>
                </a:solidFill>
                <a:uFillTx/>
                <a:latin typeface="Arial"/>
                <a:ea typeface="DejaVu Sans"/>
              </a:rPr>
              <a:t>Employees</a:t>
            </a:r>
          </a:p>
        </c:rich>
      </c:tx>
      <c:overlay val="0"/>
      <c:spPr>
        <a:noFill/>
        <a:ln w="0">
          <a:noFill/>
        </a:ln>
      </c:spPr>
    </c:title>
    <c:autoTitleDeleted val="0"/>
    <c:plotArea>
      <c:barChart>
        <c:barDir val="col"/>
        <c:grouping val="clustered"/>
        <c:varyColors val="0"/>
        <c:ser>
          <c:idx val="0"/>
          <c:order val="0"/>
          <c:spPr>
            <a:solidFill>
              <a:srgbClr val="004586"/>
            </a:solidFill>
            <a:ln w="0">
              <a:noFill/>
            </a:ln>
          </c:spPr>
          <c:invertIfNegative val="0"/>
          <c:dLbls>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Model!$AA$2:$AN$2</c:f>
              <c:strCache>
                <c:ptCount val="14"/>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Model!$AA$157:$AN$157</c:f>
              <c:numCache>
                <c:formatCode>#,##0;\(#,##0\);\-</c:formatCode>
                <c:ptCount val="14"/>
                <c:pt idx="0">
                  <c:v>4619</c:v>
                </c:pt>
                <c:pt idx="1">
                  <c:v>6337</c:v>
                </c:pt>
                <c:pt idx="2">
                  <c:v>9199</c:v>
                </c:pt>
                <c:pt idx="3">
                  <c:v>12691</c:v>
                </c:pt>
                <c:pt idx="4">
                  <c:v>17048</c:v>
                </c:pt>
                <c:pt idx="5">
                  <c:v>25105</c:v>
                </c:pt>
                <c:pt idx="6">
                  <c:v>35587</c:v>
                </c:pt>
                <c:pt idx="7">
                  <c:v>44942</c:v>
                </c:pt>
                <c:pt idx="8">
                  <c:v>58604</c:v>
                </c:pt>
                <c:pt idx="9">
                  <c:v>71970</c:v>
                </c:pt>
                <c:pt idx="10">
                  <c:v>86482</c:v>
                </c:pt>
                <c:pt idx="11">
                  <c:v>67317</c:v>
                </c:pt>
                <c:pt idx="12">
                  <c:v>74067</c:v>
                </c:pt>
                <c:pt idx="13">
                  <c:v>78865</c:v>
                </c:pt>
              </c:numCache>
            </c:numRef>
          </c:val>
        </c:ser>
        <c:gapWidth val="100"/>
        <c:overlap val="0"/>
        <c:axId val="63139007"/>
        <c:axId val="48292632"/>
      </c:barChart>
      <c:catAx>
        <c:axId val="63139007"/>
        <c:scaling>
          <c:orientation val="minMax"/>
        </c:scaling>
        <c:delete val="0"/>
        <c:axPos val="b"/>
        <c:numFmt formatCode="General" sourceLinked="0"/>
        <c:majorTickMark val="out"/>
        <c:minorTickMark val="none"/>
        <c:tickLblPos val="nextTo"/>
        <c:spPr>
          <a:ln w="0">
            <a:solidFill>
              <a:srgbClr val="B3B3B3"/>
            </a:solidFill>
          </a:ln>
        </c:spPr>
        <c:txPr>
          <a:bodyPr/>
          <a:lstStyle/>
          <a:p>
            <a:pPr>
              <a:defRPr lang="en-GB" sz="1000" b="0" u="none" strike="noStrike">
                <a:solidFill>
                  <a:srgbClr val="000000"/>
                </a:solidFill>
                <a:uFillTx/>
                <a:latin typeface="Arial"/>
                <a:ea typeface="DejaVu Sans"/>
              </a:defRPr>
            </a:pPr>
          </a:p>
        </c:txPr>
        <c:crossAx val="48292632"/>
        <c:crosses val="autoZero"/>
        <c:auto val="1"/>
        <c:lblAlgn val="ctr"/>
        <c:lblOffset val="100"/>
        <c:noMultiLvlLbl val="0"/>
      </c:catAx>
      <c:valAx>
        <c:axId val="48292632"/>
        <c:scaling>
          <c:orientation val="minMax"/>
        </c:scaling>
        <c:delete val="0"/>
        <c:axPos val="l"/>
        <c:majorGridlines>
          <c:spPr>
            <a:ln w="0">
              <a:solidFill>
                <a:srgbClr val="B3B3B3"/>
              </a:solidFill>
            </a:ln>
          </c:spPr>
        </c:majorGridlines>
        <c:numFmt formatCode="#,##0;\(#,##0\);\-" sourceLinked="0"/>
        <c:majorTickMark val="out"/>
        <c:minorTickMark val="none"/>
        <c:tickLblPos val="nextTo"/>
        <c:spPr>
          <a:ln w="0">
            <a:solidFill>
              <a:srgbClr val="B3B3B3"/>
            </a:solidFill>
          </a:ln>
        </c:spPr>
        <c:txPr>
          <a:bodyPr/>
          <a:lstStyle/>
          <a:p>
            <a:pPr>
              <a:defRPr lang="en-GB" sz="1000" b="0" u="none" strike="noStrike">
                <a:solidFill>
                  <a:srgbClr val="000000"/>
                </a:solidFill>
                <a:uFillTx/>
                <a:latin typeface="Arial"/>
                <a:ea typeface="DejaVu Sans"/>
              </a:defRPr>
            </a:pPr>
          </a:p>
        </c:txPr>
        <c:crossAx val="63139007"/>
        <c:crosses val="autoZero"/>
        <c:crossBetween val="between"/>
      </c:valAx>
      <c:spPr>
        <a:noFill/>
        <a:ln w="0">
          <a:solidFill>
            <a:srgbClr val="B3B3B3"/>
          </a:solidFill>
        </a:ln>
      </c:spPr>
    </c:plotArea>
    <c:plotVisOnly val="1"/>
    <c:dispBlanksAs val="gap"/>
  </c:chart>
  <c:spPr>
    <a:solidFill>
      <a:srgbClr val="FFFFFF"/>
    </a:solidFill>
    <a:ln w="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lang="en-GB" sz="1300" b="0" u="none" strike="noStrike">
                <a:uFillTx/>
                <a:latin typeface="Arial"/>
              </a:defRPr>
            </a:pPr>
            <a:r>
              <a:rPr lang="en-GB" sz="1300" b="0" u="none" strike="noStrike">
                <a:solidFill>
                  <a:srgbClr val="000000"/>
                </a:solidFill>
                <a:uFillTx/>
                <a:latin typeface="Arial"/>
                <a:ea typeface="DejaVu Sans"/>
              </a:rPr>
              <a:t>DAU</a:t>
            </a:r>
          </a:p>
        </c:rich>
      </c:tx>
      <c:overlay val="0"/>
      <c:spPr>
        <a:noFill/>
        <a:ln w="0">
          <a:noFill/>
        </a:ln>
      </c:spPr>
    </c:title>
    <c:autoTitleDeleted val="0"/>
    <c:plotArea>
      <c:barChart>
        <c:barDir val="col"/>
        <c:grouping val="stacked"/>
        <c:varyColors val="0"/>
        <c:ser>
          <c:idx val="0"/>
          <c:order val="0"/>
          <c:spPr>
            <a:solidFill>
              <a:srgbClr val="004586"/>
            </a:solidFill>
            <a:ln w="0">
              <a:noFill/>
            </a:ln>
          </c:spPr>
          <c:invertIfNegative val="0"/>
          <c:dLbls>
            <c:txPr>
              <a:bodyPr wrap="none"/>
              <a:lstStyle/>
              <a:p>
                <a:pPr>
                  <a:defRPr lang="en-GB" sz="1000" b="0" u="none" strike="noStrike">
                    <a:solidFill>
                      <a:srgbClr val="000000"/>
                    </a:solidFill>
                    <a:uFillTx/>
                    <a:latin typeface="Arial"/>
                    <a:ea typeface="DejaVu Sans"/>
                  </a:defRPr>
                </a:pPr>
              </a:p>
            </c:txPr>
            <c:dLblPos val="ct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Model!$Z$2:$AN$2</c:f>
              <c:strCache>
                <c:ptCount val="15"/>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strCache>
            </c:strRef>
          </c:cat>
          <c:val>
            <c:numRef>
              <c:f>Model!$Z$16:$AN$16</c:f>
              <c:numCache>
                <c:formatCode>#,##0;\(#,##0\);\-</c:formatCode>
                <c:ptCount val="15"/>
                <c:pt idx="0">
                  <c:v>483</c:v>
                </c:pt>
                <c:pt idx="1">
                  <c:v>618</c:v>
                </c:pt>
                <c:pt idx="2">
                  <c:v>757</c:v>
                </c:pt>
                <c:pt idx="3">
                  <c:v>890</c:v>
                </c:pt>
                <c:pt idx="4">
                  <c:v>1018</c:v>
                </c:pt>
                <c:pt idx="5">
                  <c:v>1227</c:v>
                </c:pt>
                <c:pt idx="6">
                  <c:v>1401</c:v>
                </c:pt>
                <c:pt idx="7">
                  <c:v>1523</c:v>
                </c:pt>
                <c:pt idx="8">
                  <c:v>1657</c:v>
                </c:pt>
                <c:pt idx="9">
                  <c:v>2540</c:v>
                </c:pt>
                <c:pt idx="10">
                  <c:v>2820</c:v>
                </c:pt>
                <c:pt idx="11">
                  <c:v>2963</c:v>
                </c:pt>
                <c:pt idx="12">
                  <c:v>3190</c:v>
                </c:pt>
                <c:pt idx="13">
                  <c:v>3350</c:v>
                </c:pt>
                <c:pt idx="14">
                  <c:v>3580</c:v>
                </c:pt>
              </c:numCache>
            </c:numRef>
          </c:val>
        </c:ser>
        <c:gapWidth val="100"/>
        <c:overlap val="100"/>
        <c:axId val="49922045"/>
        <c:axId val="23909679"/>
      </c:barChart>
      <c:catAx>
        <c:axId val="49922045"/>
        <c:scaling>
          <c:orientation val="minMax"/>
        </c:scaling>
        <c:delete val="0"/>
        <c:axPos val="b"/>
        <c:numFmt formatCode="General" sourceLinked="0"/>
        <c:majorTickMark val="out"/>
        <c:minorTickMark val="none"/>
        <c:tickLblPos val="nextTo"/>
        <c:spPr>
          <a:ln w="0">
            <a:solidFill>
              <a:srgbClr val="B3B3B3"/>
            </a:solidFill>
          </a:ln>
        </c:spPr>
        <c:txPr>
          <a:bodyPr/>
          <a:lstStyle/>
          <a:p>
            <a:pPr>
              <a:defRPr lang="en-GB" sz="1000" b="0" u="none" strike="noStrike">
                <a:solidFill>
                  <a:srgbClr val="000000"/>
                </a:solidFill>
                <a:uFillTx/>
                <a:latin typeface="Arial"/>
                <a:ea typeface="DejaVu Sans"/>
              </a:defRPr>
            </a:pPr>
          </a:p>
        </c:txPr>
        <c:crossAx val="23909679"/>
        <c:crosses val="autoZero"/>
        <c:auto val="1"/>
        <c:lblAlgn val="ctr"/>
        <c:lblOffset val="100"/>
        <c:noMultiLvlLbl val="0"/>
      </c:catAx>
      <c:valAx>
        <c:axId val="23909679"/>
        <c:scaling>
          <c:orientation val="minMax"/>
        </c:scaling>
        <c:delete val="0"/>
        <c:axPos val="l"/>
        <c:majorGridlines>
          <c:spPr>
            <a:ln w="0">
              <a:solidFill>
                <a:srgbClr val="B3B3B3"/>
              </a:solidFill>
            </a:ln>
          </c:spPr>
        </c:majorGridlines>
        <c:numFmt formatCode="#,##0;\(#,##0\);\-" sourceLinked="0"/>
        <c:majorTickMark val="out"/>
        <c:minorTickMark val="none"/>
        <c:tickLblPos val="nextTo"/>
        <c:spPr>
          <a:ln w="0">
            <a:solidFill>
              <a:srgbClr val="B3B3B3"/>
            </a:solidFill>
          </a:ln>
        </c:spPr>
        <c:txPr>
          <a:bodyPr/>
          <a:lstStyle/>
          <a:p>
            <a:pPr>
              <a:defRPr lang="en-GB" sz="1000" b="0" u="none" strike="noStrike">
                <a:solidFill>
                  <a:srgbClr val="000000"/>
                </a:solidFill>
                <a:uFillTx/>
                <a:latin typeface="Arial"/>
                <a:ea typeface="DejaVu Sans"/>
              </a:defRPr>
            </a:pPr>
          </a:p>
        </c:txPr>
        <c:crossAx val="49922045"/>
        <c:crosses val="autoZero"/>
        <c:crossBetween val="between"/>
      </c:valAx>
      <c:spPr>
        <a:noFill/>
        <a:ln w="0">
          <a:solidFill>
            <a:srgbClr val="B3B3B3"/>
          </a:solidFill>
        </a:ln>
      </c:spPr>
    </c:plotArea>
    <c:plotVisOnly val="1"/>
    <c:dispBlanksAs val="gap"/>
  </c:chart>
  <c:spPr>
    <a:solidFill>
      <a:srgbClr val="FFFFFF"/>
    </a:solidFill>
    <a:ln w="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lang="en-GB" sz="1300" b="0" u="none" strike="noStrike">
                <a:uFillTx/>
                <a:latin typeface="Arial"/>
              </a:defRPr>
            </a:pPr>
            <a:r>
              <a:rPr lang="en-GB" sz="1300" b="0" u="none" strike="noStrike">
                <a:solidFill>
                  <a:srgbClr val="000000"/>
                </a:solidFill>
                <a:uFillTx/>
                <a:latin typeface="Arial"/>
                <a:ea typeface="DejaVu Sans"/>
              </a:rPr>
              <a:t>DAU</a:t>
            </a:r>
          </a:p>
        </c:rich>
      </c:tx>
      <c:overlay val="0"/>
      <c:spPr>
        <a:noFill/>
        <a:ln w="0">
          <a:noFill/>
        </a:ln>
      </c:spPr>
    </c:title>
    <c:autoTitleDeleted val="0"/>
    <c:plotArea>
      <c:barChart>
        <c:barDir val="col"/>
        <c:grouping val="clustered"/>
        <c:varyColors val="0"/>
        <c:ser>
          <c:idx val="0"/>
          <c:order val="0"/>
          <c:spPr>
            <a:solidFill>
              <a:srgbClr val="004586"/>
            </a:solidFill>
            <a:ln w="0">
              <a:noFill/>
            </a:ln>
          </c:spPr>
          <c:invertIfNegative val="0"/>
          <c:dLbls>
            <c:txPr>
              <a:bodyPr wrap="none"/>
              <a:lstStyle/>
              <a:p>
                <a:pPr>
                  <a:defRPr lang="en-GB" sz="1000" b="0" u="none" strike="noStrike">
                    <a:solidFill>
                      <a:srgbClr val="000000"/>
                    </a:solidFill>
                    <a:uFillTx/>
                    <a:latin typeface="Arial"/>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Model!$B$2:$R$2</c:f>
              <c:strCache>
                <c:ptCount val="17"/>
                <c:pt idx="0">
                  <c:v>Q122</c:v>
                </c:pt>
                <c:pt idx="1">
                  <c:v>Q222</c:v>
                </c:pt>
                <c:pt idx="2">
                  <c:v>Q322</c:v>
                </c:pt>
                <c:pt idx="3">
                  <c:v>Q422</c:v>
                </c:pt>
                <c:pt idx="4">
                  <c:v>Q123</c:v>
                </c:pt>
                <c:pt idx="5">
                  <c:v>Q223</c:v>
                </c:pt>
                <c:pt idx="6">
                  <c:v>Q323</c:v>
                </c:pt>
                <c:pt idx="7">
                  <c:v>Q423</c:v>
                </c:pt>
                <c:pt idx="8">
                  <c:v>Q124</c:v>
                </c:pt>
                <c:pt idx="9">
                  <c:v>Q224</c:v>
                </c:pt>
                <c:pt idx="10">
                  <c:v>Q324</c:v>
                </c:pt>
                <c:pt idx="11">
                  <c:v>Q424</c:v>
                </c:pt>
                <c:pt idx="12">
                  <c:v>Q125</c:v>
                </c:pt>
                <c:pt idx="13">
                  <c:v>Q225</c:v>
                </c:pt>
                <c:pt idx="14">
                  <c:v>Q325</c:v>
                </c:pt>
                <c:pt idx="15">
                  <c:v>Q425</c:v>
                </c:pt>
                <c:pt idx="16">
                  <c:v>Q126</c:v>
                </c:pt>
              </c:strCache>
            </c:strRef>
          </c:cat>
          <c:val>
            <c:numRef>
              <c:f>Model!$B$16:$R$16</c:f>
              <c:numCache>
                <c:formatCode>#,##0;\(#,##0\);\-</c:formatCode>
                <c:ptCount val="17"/>
                <c:pt idx="0">
                  <c:v>2870</c:v>
                </c:pt>
                <c:pt idx="1">
                  <c:v>2880</c:v>
                </c:pt>
                <c:pt idx="2">
                  <c:v>2930</c:v>
                </c:pt>
                <c:pt idx="3">
                  <c:v>2963</c:v>
                </c:pt>
                <c:pt idx="4">
                  <c:v>3020</c:v>
                </c:pt>
                <c:pt idx="5">
                  <c:v>3070</c:v>
                </c:pt>
                <c:pt idx="6">
                  <c:v>3140</c:v>
                </c:pt>
                <c:pt idx="7">
                  <c:v>3190</c:v>
                </c:pt>
                <c:pt idx="8">
                  <c:v>3240</c:v>
                </c:pt>
                <c:pt idx="9">
                  <c:v>3270</c:v>
                </c:pt>
                <c:pt idx="10">
                  <c:v>3290</c:v>
                </c:pt>
                <c:pt idx="11">
                  <c:v>3350</c:v>
                </c:pt>
                <c:pt idx="12">
                  <c:v>3430</c:v>
                </c:pt>
                <c:pt idx="13">
                  <c:v>3480</c:v>
                </c:pt>
                <c:pt idx="14">
                  <c:v>3540</c:v>
                </c:pt>
                <c:pt idx="15">
                  <c:v>3580</c:v>
                </c:pt>
                <c:pt idx="16">
                  <c:v>3560</c:v>
                </c:pt>
              </c:numCache>
            </c:numRef>
          </c:val>
        </c:ser>
        <c:gapWidth val="100"/>
        <c:overlap val="0"/>
        <c:axId val="44036026"/>
        <c:axId val="77812815"/>
      </c:barChart>
      <c:catAx>
        <c:axId val="44036026"/>
        <c:scaling>
          <c:orientation val="minMax"/>
        </c:scaling>
        <c:delete val="0"/>
        <c:axPos val="b"/>
        <c:numFmt formatCode="General" sourceLinked="0"/>
        <c:majorTickMark val="out"/>
        <c:minorTickMark val="none"/>
        <c:tickLblPos val="nextTo"/>
        <c:spPr>
          <a:ln w="0">
            <a:solidFill>
              <a:srgbClr val="B3B3B3"/>
            </a:solidFill>
          </a:ln>
        </c:spPr>
        <c:txPr>
          <a:bodyPr/>
          <a:lstStyle/>
          <a:p>
            <a:pPr>
              <a:defRPr lang="en-GB" sz="1000" b="0" u="none" strike="noStrike">
                <a:solidFill>
                  <a:srgbClr val="000000"/>
                </a:solidFill>
                <a:uFillTx/>
                <a:latin typeface="Arial"/>
                <a:ea typeface="DejaVu Sans"/>
              </a:defRPr>
            </a:pPr>
          </a:p>
        </c:txPr>
        <c:crossAx val="77812815"/>
        <c:crosses val="autoZero"/>
        <c:auto val="1"/>
        <c:lblAlgn val="ctr"/>
        <c:lblOffset val="100"/>
        <c:noMultiLvlLbl val="0"/>
      </c:catAx>
      <c:valAx>
        <c:axId val="77812815"/>
        <c:scaling>
          <c:orientation val="minMax"/>
        </c:scaling>
        <c:delete val="0"/>
        <c:axPos val="l"/>
        <c:majorGridlines>
          <c:spPr>
            <a:ln w="0">
              <a:solidFill>
                <a:srgbClr val="B3B3B3"/>
              </a:solidFill>
            </a:ln>
          </c:spPr>
        </c:majorGridlines>
        <c:numFmt formatCode="#,##0;\(#,##0\);\-" sourceLinked="0"/>
        <c:majorTickMark val="out"/>
        <c:minorTickMark val="none"/>
        <c:tickLblPos val="nextTo"/>
        <c:spPr>
          <a:ln w="0">
            <a:solidFill>
              <a:srgbClr val="B3B3B3"/>
            </a:solidFill>
          </a:ln>
        </c:spPr>
        <c:txPr>
          <a:bodyPr/>
          <a:lstStyle/>
          <a:p>
            <a:pPr>
              <a:defRPr lang="en-GB" sz="1000" b="0" u="none" strike="noStrike">
                <a:solidFill>
                  <a:srgbClr val="000000"/>
                </a:solidFill>
                <a:uFillTx/>
                <a:latin typeface="Arial"/>
                <a:ea typeface="DejaVu Sans"/>
              </a:defRPr>
            </a:pPr>
          </a:p>
        </c:txPr>
        <c:crossAx val="44036026"/>
        <c:crosses val="autoZero"/>
        <c:crossBetween val="between"/>
      </c:valAx>
      <c:spPr>
        <a:noFill/>
        <a:ln w="0">
          <a:solidFill>
            <a:srgbClr val="B3B3B3"/>
          </a:solidFill>
        </a:ln>
      </c:spPr>
    </c:plotArea>
    <c:plotVisOnly val="1"/>
    <c:dispBlanksAs val="gap"/>
  </c:chart>
  <c:spPr>
    <a:solidFill>
      <a:srgbClr val="FFFFFF"/>
    </a:solidFill>
    <a:ln w="0">
      <a:noFill/>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37440</xdr:colOff>
      <xdr:row>78</xdr:row>
      <xdr:rowOff>124200</xdr:rowOff>
    </xdr:from>
    <xdr:to>
      <xdr:col>10</xdr:col>
      <xdr:colOff>93600</xdr:colOff>
      <xdr:row>98</xdr:row>
      <xdr:rowOff>98640</xdr:rowOff>
    </xdr:to>
    <xdr:graphicFrame>
      <xdr:nvGraphicFramePr>
        <xdr:cNvPr id="1" name=""/>
        <xdr:cNvGraphicFramePr/>
      </xdr:nvGraphicFramePr>
      <xdr:xfrm>
        <a:off x="2788920" y="13314600"/>
        <a:ext cx="5745600" cy="3225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384120</xdr:colOff>
      <xdr:row>78</xdr:row>
      <xdr:rowOff>140400</xdr:rowOff>
    </xdr:from>
    <xdr:to>
      <xdr:col>21</xdr:col>
      <xdr:colOff>163800</xdr:colOff>
      <xdr:row>98</xdr:row>
      <xdr:rowOff>114840</xdr:rowOff>
    </xdr:to>
    <xdr:graphicFrame>
      <xdr:nvGraphicFramePr>
        <xdr:cNvPr id="2" name=""/>
        <xdr:cNvGraphicFramePr/>
      </xdr:nvGraphicFramePr>
      <xdr:xfrm>
        <a:off x="11838960" y="13330800"/>
        <a:ext cx="5745600" cy="32256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40</xdr:col>
      <xdr:colOff>119520</xdr:colOff>
      <xdr:row>1</xdr:row>
      <xdr:rowOff>43920</xdr:rowOff>
    </xdr:from>
    <xdr:to>
      <xdr:col>40</xdr:col>
      <xdr:colOff>120240</xdr:colOff>
      <xdr:row>154</xdr:row>
      <xdr:rowOff>61560</xdr:rowOff>
    </xdr:to>
    <xdr:sp>
      <xdr:nvSpPr>
        <xdr:cNvPr id="3" name="Vertical line 1"/>
        <xdr:cNvSpPr/>
      </xdr:nvSpPr>
      <xdr:spPr>
        <a:xfrm>
          <a:off x="33162480" y="206640"/>
          <a:ext cx="720" cy="23866920"/>
        </a:xfrm>
        <a:prstGeom prst="line">
          <a:avLst/>
        </a:prstGeom>
        <a:ln w="0">
          <a:solidFill>
            <a:srgbClr val="3465A4"/>
          </a:solidFill>
        </a:ln>
      </xdr:spPr>
      <xdr:style>
        <a:lnRef idx="0"/>
        <a:fillRef idx="0"/>
        <a:effectRef idx="0"/>
        <a:fontRef idx="minor"/>
      </xdr:style>
    </xdr:sp>
    <xdr:clientData/>
  </xdr:twoCellAnchor>
  <xdr:twoCellAnchor editAs="oneCell">
    <xdr:from>
      <xdr:col>19</xdr:col>
      <xdr:colOff>99720</xdr:colOff>
      <xdr:row>0</xdr:row>
      <xdr:rowOff>112680</xdr:rowOff>
    </xdr:from>
    <xdr:to>
      <xdr:col>19</xdr:col>
      <xdr:colOff>101880</xdr:colOff>
      <xdr:row>154</xdr:row>
      <xdr:rowOff>154080</xdr:rowOff>
    </xdr:to>
    <xdr:sp>
      <xdr:nvSpPr>
        <xdr:cNvPr id="4" name="Vertical line 2"/>
        <xdr:cNvSpPr/>
      </xdr:nvSpPr>
      <xdr:spPr>
        <a:xfrm flipH="1">
          <a:off x="16073640" y="112680"/>
          <a:ext cx="2160" cy="24053400"/>
        </a:xfrm>
        <a:prstGeom prst="line">
          <a:avLst/>
        </a:prstGeom>
        <a:ln w="0">
          <a:solidFill>
            <a:srgbClr val="3465A4"/>
          </a:solidFill>
        </a:ln>
      </xdr:spPr>
      <xdr:style>
        <a:lnRef idx="0"/>
        <a:fillRef idx="0"/>
        <a:effectRef idx="0"/>
        <a:fontRef idx="minor"/>
      </xdr:style>
    </xdr:sp>
    <xdr:clientData/>
  </xdr:twoCellAnchor>
  <xdr:twoCellAnchor editAs="oneCell">
    <xdr:from>
      <xdr:col>25</xdr:col>
      <xdr:colOff>349920</xdr:colOff>
      <xdr:row>185</xdr:row>
      <xdr:rowOff>135720</xdr:rowOff>
    </xdr:from>
    <xdr:to>
      <xdr:col>32</xdr:col>
      <xdr:colOff>405720</xdr:colOff>
      <xdr:row>205</xdr:row>
      <xdr:rowOff>110160</xdr:rowOff>
    </xdr:to>
    <xdr:graphicFrame>
      <xdr:nvGraphicFramePr>
        <xdr:cNvPr id="5" name=""/>
        <xdr:cNvGraphicFramePr/>
      </xdr:nvGraphicFramePr>
      <xdr:xfrm>
        <a:off x="21200760" y="29099520"/>
        <a:ext cx="5745600" cy="3225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33</xdr:col>
      <xdr:colOff>10800</xdr:colOff>
      <xdr:row>181</xdr:row>
      <xdr:rowOff>88920</xdr:rowOff>
    </xdr:from>
    <xdr:to>
      <xdr:col>40</xdr:col>
      <xdr:colOff>66600</xdr:colOff>
      <xdr:row>201</xdr:row>
      <xdr:rowOff>63360</xdr:rowOff>
    </xdr:to>
    <xdr:graphicFrame>
      <xdr:nvGraphicFramePr>
        <xdr:cNvPr id="6" name=""/>
        <xdr:cNvGraphicFramePr/>
      </xdr:nvGraphicFramePr>
      <xdr:xfrm>
        <a:off x="27363960" y="28402200"/>
        <a:ext cx="5745600" cy="32256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668880</xdr:colOff>
      <xdr:row>189</xdr:row>
      <xdr:rowOff>143640</xdr:rowOff>
    </xdr:from>
    <xdr:to>
      <xdr:col>17</xdr:col>
      <xdr:colOff>724680</xdr:colOff>
      <xdr:row>209</xdr:row>
      <xdr:rowOff>118080</xdr:rowOff>
    </xdr:to>
    <xdr:graphicFrame>
      <xdr:nvGraphicFramePr>
        <xdr:cNvPr id="7" name=""/>
        <xdr:cNvGraphicFramePr/>
      </xdr:nvGraphicFramePr>
      <xdr:xfrm>
        <a:off x="9327600" y="29757600"/>
        <a:ext cx="5745600" cy="32256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absolute">
    <xdr:from>
      <xdr:col>11</xdr:col>
      <xdr:colOff>25920</xdr:colOff>
      <xdr:row>3</xdr:row>
      <xdr:rowOff>31680</xdr:rowOff>
    </xdr:from>
    <xdr:to>
      <xdr:col>16</xdr:col>
      <xdr:colOff>784440</xdr:colOff>
      <xdr:row>56</xdr:row>
      <xdr:rowOff>86760</xdr:rowOff>
    </xdr:to>
    <xdr:sp>
      <xdr:nvSpPr>
        <xdr:cNvPr id="8" name="Text Frame 1"/>
        <xdr:cNvSpPr/>
      </xdr:nvSpPr>
      <xdr:spPr>
        <a:xfrm rot="4200">
          <a:off x="10001880" y="519480"/>
          <a:ext cx="4822560" cy="8670600"/>
        </a:xfrm>
        <a:prstGeom prst="rect">
          <a:avLst/>
        </a:prstGeom>
        <a:noFill/>
        <a:ln w="0">
          <a:noFill/>
        </a:ln>
      </xdr:spPr>
      <xdr:style>
        <a:lnRef idx="0"/>
        <a:fillRef idx="0"/>
        <a:effectRef idx="0"/>
        <a:fontRef idx="minor"/>
      </xdr:style>
      <xdr:txBody>
        <a:bodyPr lIns="0" tIns="0" rIns="0" bIns="0" anchor="t">
          <a:noAutofit/>
        </a:bodyPr>
        <a:p>
          <a:pPr>
            <a:lnSpc>
              <a:spcPct val="100000"/>
            </a:lnSpc>
          </a:pPr>
          <a:r>
            <a:rPr lang="en-US" sz="1200" b="0" u="none" strike="noStrike">
              <a:solidFill>
                <a:srgbClr val="000000"/>
              </a:solidFill>
              <a:effectLst/>
              <a:uFillTx/>
              <a:latin typeface="Arial"/>
              <a:ea typeface="DejaVu Sans"/>
            </a:rPr>
            <a:t>Since 2020 META has tried to become something more than just an agent between the firms that want to make their product known to more than 3B daily users and the actual users that may want to buy the advertised product. It has failed with the “METAverse” idea but this experience brought them knowledge about what people are looking for. On top of that it’s broadly known that META is not an incredible innovator (Harvard already had it’s own internal chat before Facebook) but it is also true that Mark Zuckerberg is a great innovator, he perfectly knows how to improve an already existing product into something that everyone wants (MZ made Facebook worldwide dwarfing everything that has tried to compete with them). Instagram already existed, FB bought it and made it better, SNAP introduced stories to connect its users, INSTAGRAM took the idea and made it mainstream and now it is the most known feature in social media history. TIKTOK created the swipe mechanic to see videos, INSTAGRAM took it and made the REELS, …</a:t>
          </a:r>
          <a:endParaRPr lang="en-GB" sz="1200" b="0" u="none" strike="noStrike">
            <a:effectLst/>
            <a:uFillTx/>
            <a:latin typeface="Times New Roman"/>
          </a:endParaRPr>
        </a:p>
        <a:p>
          <a:pPr>
            <a:lnSpc>
              <a:spcPct val="100000"/>
            </a:lnSpc>
          </a:pPr>
          <a:endParaRPr lang="en-GB" sz="1200" b="0" u="none" strike="noStrike">
            <a:effectLst/>
            <a:uFillTx/>
            <a:latin typeface="Times New Roman"/>
          </a:endParaRPr>
        </a:p>
        <a:p>
          <a:pPr>
            <a:lnSpc>
              <a:spcPct val="100000"/>
            </a:lnSpc>
          </a:pPr>
          <a:r>
            <a:rPr lang="en-US" sz="1200" b="0" u="none" strike="noStrike">
              <a:solidFill>
                <a:srgbClr val="000000"/>
              </a:solidFill>
              <a:effectLst/>
              <a:uFillTx/>
              <a:latin typeface="Arial"/>
              <a:ea typeface="DejaVu Sans"/>
            </a:rPr>
            <a:t>We are facing a pivotal time where something like that may repeat and for the first time with 2 products at the same time:</a:t>
          </a:r>
          <a:endParaRPr lang="en-GB" sz="1200" b="0" u="none" strike="noStrike">
            <a:effectLst/>
            <a:uFillTx/>
            <a:latin typeface="Times New Roman"/>
          </a:endParaRPr>
        </a:p>
        <a:p>
          <a:pPr>
            <a:lnSpc>
              <a:spcPct val="100000"/>
            </a:lnSpc>
          </a:pPr>
          <a:endParaRPr lang="en-GB" sz="1200" b="0" u="none" strike="noStrike">
            <a:effectLst/>
            <a:uFillTx/>
            <a:latin typeface="Times New Roman"/>
          </a:endParaRPr>
        </a:p>
        <a:p>
          <a:pPr>
            <a:lnSpc>
              <a:spcPct val="100000"/>
            </a:lnSpc>
          </a:pPr>
          <a:r>
            <a:rPr lang="en-US" sz="1200" b="0" u="none" strike="noStrike">
              <a:solidFill>
                <a:srgbClr val="000000"/>
              </a:solidFill>
              <a:effectLst/>
              <a:uFillTx/>
              <a:latin typeface="Arial"/>
              <a:ea typeface="DejaVu Sans"/>
            </a:rPr>
            <a:t>- META glasses, META’s partnership with the world leader in eyewear is a move that will force everyone to create their own glasses or to partner with other less known firms (like what GOOGL and SAMSUNG (005930.KS) are doing together GENTRE MONSTER and WARBY PARKER). And this idea doesn’t come out of the blue, it is an idea created by GOOGL in 2012 (failed project) and an idea that has been carried on by SNAP since 2016 with their camera glasses. META’s glasses were first shown in 2021 and since then they have been the sole customer choice for this kind of product (especially the AAPL’s vision pro fail).</a:t>
          </a:r>
          <a:endParaRPr lang="en-GB" sz="1200" b="0" u="none" strike="noStrike">
            <a:effectLst/>
            <a:uFillTx/>
            <a:latin typeface="Times New Roman"/>
          </a:endParaRPr>
        </a:p>
        <a:p>
          <a:pPr>
            <a:lnSpc>
              <a:spcPct val="100000"/>
            </a:lnSpc>
          </a:pPr>
          <a:endParaRPr lang="en-GB" sz="1200" b="0" u="none" strike="noStrike">
            <a:effectLst/>
            <a:uFillTx/>
            <a:latin typeface="Times New Roman"/>
          </a:endParaRPr>
        </a:p>
        <a:p>
          <a:pPr>
            <a:lnSpc>
              <a:spcPct val="100000"/>
            </a:lnSpc>
          </a:pPr>
          <a:r>
            <a:rPr lang="en-US" sz="1200" b="0" u="none" strike="noStrike">
              <a:solidFill>
                <a:srgbClr val="000000"/>
              </a:solidFill>
              <a:effectLst/>
              <a:uFillTx/>
              <a:latin typeface="Arial"/>
              <a:ea typeface="DejaVu Sans"/>
            </a:rPr>
            <a:t>- AI, META is investing and committing to invest billions of dollars in the new AI industry, this will lead to increase in efficiency, increase in services provided to the users and, which is the most important, will provide a better service to META’s customers that sign contracts with it every day to advertise their products. META’s AI set their main goal to create a personal super-intelligence for all of their users, this , like all other LLM, will create a new paradigm where firms will be willing to spend in order to be a preferred choice of the “personal-assistants”, like UBER for ride hailing or DASH to receive hot food at home or BKNG to book an hotel for the next holiday. This on top of the new additional information that the platform will be able to gather on their users in order to again increase UX and service provided to customers.</a:t>
          </a:r>
          <a:endParaRPr lang="en-GB" sz="1200" b="0" u="none" strike="noStrike">
            <a:effectLst/>
            <a:uFillTx/>
            <a:latin typeface="Times New Roman"/>
          </a:endParaRPr>
        </a:p>
        <a:p>
          <a:pPr>
            <a:lnSpc>
              <a:spcPct val="100000"/>
            </a:lnSpc>
          </a:pPr>
          <a:endParaRPr lang="en-GB" sz="1200" b="0" u="none" strike="noStrike">
            <a:effectLst/>
            <a:uFillTx/>
            <a:latin typeface="Times New Roman"/>
          </a:endParaRPr>
        </a:p>
        <a:p>
          <a:pPr>
            <a:lnSpc>
              <a:spcPct val="100000"/>
            </a:lnSpc>
          </a:pPr>
          <a:r>
            <a:rPr lang="en-US" sz="1200" b="0" u="none" strike="noStrike">
              <a:solidFill>
                <a:srgbClr val="000000"/>
              </a:solidFill>
              <a:effectLst/>
              <a:uFillTx/>
              <a:latin typeface="Arial"/>
              <a:ea typeface="DejaVu Sans"/>
            </a:rPr>
            <a:t>On top of that, previous esperiements with TIKTOK have clearly shown that the “child-safety” practices are not working, like the limited-scrolling mechanic where every now and then the platform asks you if you are sure to keep using the app or stop doing something else. Therefore everything that the governments are trying to increase censorship (aka protect children) won’t affect META’s core business at the current status of the firm.</a:t>
          </a:r>
          <a:endParaRPr lang="en-GB" sz="1200" b="0" u="none" strike="noStrike">
            <a:effectLst/>
            <a:uFillTx/>
            <a:latin typeface="Times New Roman"/>
          </a:endParaRPr>
        </a:p>
      </xdr:txBody>
    </xdr:sp>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Bond%20Analysis.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Main"/>
      <sheetName val="Zero-rate curve US"/>
      <sheetName val="Credit Spread US"/>
      <sheetName val="Zero-rate curve ECB"/>
      <sheetName val="Zero-rate curve BoE"/>
    </sheetNames>
    <sheetDataSet>
      <sheetData sheetId="0"/>
      <sheetData sheetId="1"/>
      <sheetData sheetId="2">
        <row r="6">
          <cell r="J6">
            <v>0.805217391304348</v>
          </cell>
        </row>
      </sheetData>
      <sheetData sheetId="3"/>
      <sheetData sheetId="4"/>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investor.atmeta.com/home/default.aspx"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ETA.ods" TargetMode="External"/><Relationship Id="rId3" Type="http://schemas.openxmlformats.org/officeDocument/2006/relationships/drawing" Target="../drawings/drawing2.xml"/><Relationship Id="rId4"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hyperlink" Target="META.ods" TargetMode="External"/>
</Relationships>
</file>

<file path=xl/worksheets/_rels/sheet4.xml.rels><?xml version="1.0" encoding="UTF-8"?>
<Relationships xmlns="http://schemas.openxmlformats.org/package/2006/relationships"><Relationship Id="rId1" Type="http://schemas.openxmlformats.org/officeDocument/2006/relationships/hyperlink" Target="META.ods" TargetMode="External"/><Relationship Id="rId2"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6"/>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E12" activeCellId="0" sqref="E12"/>
    </sheetView>
  </sheetViews>
  <sheetFormatPr defaultColWidth="11.53515625" defaultRowHeight="12.8" customHeight="false" zeroHeight="false" outlineLevelRow="0" outlineLevelCol="0"/>
  <cols>
    <col collapsed="false" customWidth="true" hidden="false" outlineLevel="0" max="1" min="1" style="1" width="15.72"/>
    <col collapsed="false" customWidth="true" hidden="false" outlineLevel="0" max="3" min="2" style="1" width="11.66"/>
    <col collapsed="false" customWidth="false" hidden="false" outlineLevel="0" max="12" min="4" style="1" width="11.53"/>
    <col collapsed="false" customWidth="true" hidden="false" outlineLevel="0" max="13" min="13" style="1" width="8.16"/>
    <col collapsed="false" customWidth="false" hidden="false" outlineLevel="0" max="15" min="14" style="1" width="11.53"/>
    <col collapsed="false" customWidth="true" hidden="false" outlineLevel="0" max="16" min="16" style="1" width="15.45"/>
    <col collapsed="false" customWidth="false" hidden="false" outlineLevel="0" max="16384" min="17" style="1" width="11.53"/>
  </cols>
  <sheetData>
    <row r="1" customFormat="false" ht="12.8" hidden="false" customHeight="false" outlineLevel="0" collapsed="false">
      <c r="A1" s="2" t="s">
        <v>0</v>
      </c>
      <c r="E1" s="1" t="s">
        <v>1</v>
      </c>
      <c r="F1" s="3" t="n">
        <v>2205.128509</v>
      </c>
      <c r="G1" s="4" t="s">
        <v>2</v>
      </c>
      <c r="I1" s="5"/>
      <c r="L1" s="4" t="s">
        <v>3</v>
      </c>
      <c r="M1" s="6" t="s">
        <v>4</v>
      </c>
    </row>
    <row r="2" customFormat="false" ht="12.8" hidden="false" customHeight="false" outlineLevel="0" collapsed="false">
      <c r="E2" s="1" t="s">
        <v>5</v>
      </c>
      <c r="F2" s="3" t="n">
        <v>342.377716</v>
      </c>
      <c r="G2" s="4" t="s">
        <v>2</v>
      </c>
    </row>
    <row r="3" customFormat="false" ht="12.8" hidden="false" customHeight="false" outlineLevel="0" collapsed="false">
      <c r="E3" s="1" t="s">
        <v>6</v>
      </c>
      <c r="F3" s="3" t="n">
        <v>644</v>
      </c>
      <c r="G3" s="4"/>
      <c r="L3" s="4" t="s">
        <v>3</v>
      </c>
      <c r="M3" s="1" t="s">
        <v>7</v>
      </c>
    </row>
    <row r="4" customFormat="false" ht="12.8" hidden="false" customHeight="false" outlineLevel="0" collapsed="false">
      <c r="E4" s="1" t="s">
        <v>8</v>
      </c>
      <c r="F4" s="3" t="n">
        <f aca="false">+F3*(F2+F1)</f>
        <v>1640594.0089</v>
      </c>
      <c r="G4" s="4"/>
      <c r="L4" s="4" t="s">
        <v>3</v>
      </c>
      <c r="M4" s="1" t="s">
        <v>9</v>
      </c>
    </row>
    <row r="5" customFormat="false" ht="12.8" hidden="false" customHeight="false" outlineLevel="0" collapsed="false">
      <c r="E5" s="1" t="s">
        <v>10</v>
      </c>
      <c r="F5" s="3" t="n">
        <v>90260</v>
      </c>
      <c r="G5" s="4" t="s">
        <v>2</v>
      </c>
      <c r="M5" s="1" t="s">
        <v>11</v>
      </c>
    </row>
    <row r="6" customFormat="false" ht="12.8" hidden="false" customHeight="false" outlineLevel="0" collapsed="false">
      <c r="E6" s="1" t="s">
        <v>12</v>
      </c>
      <c r="F6" s="3" t="n">
        <v>83664</v>
      </c>
      <c r="G6" s="4" t="s">
        <v>2</v>
      </c>
      <c r="L6" s="4" t="s">
        <v>3</v>
      </c>
      <c r="M6" s="1" t="s">
        <v>13</v>
      </c>
    </row>
    <row r="7" customFormat="false" ht="12.8" hidden="false" customHeight="false" outlineLevel="0" collapsed="false">
      <c r="E7" s="1" t="s">
        <v>14</v>
      </c>
      <c r="F7" s="7" t="n">
        <f aca="false">F4-F5+F6</f>
        <v>1633998.0089</v>
      </c>
      <c r="L7" s="4" t="s">
        <v>3</v>
      </c>
      <c r="M7" s="1" t="s">
        <v>15</v>
      </c>
    </row>
    <row r="8" customFormat="false" ht="12.8" hidden="false" customHeight="false" outlineLevel="0" collapsed="false">
      <c r="F8" s="8"/>
      <c r="M8" s="9" t="s">
        <v>3</v>
      </c>
      <c r="N8" s="1" t="s">
        <v>16</v>
      </c>
    </row>
    <row r="9" customFormat="false" ht="12.8" hidden="false" customHeight="false" outlineLevel="0" collapsed="false">
      <c r="F9" s="8"/>
      <c r="L9" s="4" t="s">
        <v>3</v>
      </c>
      <c r="M9" s="10" t="s">
        <v>17</v>
      </c>
    </row>
    <row r="10" customFormat="false" ht="12.8" hidden="false" customHeight="false" outlineLevel="0" collapsed="false">
      <c r="F10" s="8"/>
      <c r="M10" s="1" t="s">
        <v>18</v>
      </c>
    </row>
    <row r="11" customFormat="false" ht="12.8" hidden="false" customHeight="false" outlineLevel="0" collapsed="false">
      <c r="F11" s="8"/>
      <c r="M11" s="1" t="s">
        <v>19</v>
      </c>
    </row>
    <row r="12" customFormat="false" ht="16.15" hidden="false" customHeight="false" outlineLevel="0" collapsed="false">
      <c r="A12" s="11" t="s">
        <v>20</v>
      </c>
      <c r="B12" s="12" t="n">
        <f aca="false">+F4/SUM(Model!P148:S148)</f>
        <v>43.3189891280895</v>
      </c>
      <c r="C12" s="11"/>
      <c r="D12" s="11" t="s">
        <v>21</v>
      </c>
      <c r="E12" s="13" t="n">
        <f aca="false">+(F4/(F4+F6))*B17+(F6/(F4+F6))*B18*(1-0.11)</f>
        <v>0.109154393401509</v>
      </c>
      <c r="F12" s="8"/>
      <c r="G12" s="4"/>
      <c r="H12" s="6" t="s">
        <v>22</v>
      </c>
      <c r="I12" s="14" t="n">
        <v>0.0008</v>
      </c>
      <c r="L12" s="4" t="s">
        <v>3</v>
      </c>
      <c r="M12" s="10" t="s">
        <v>23</v>
      </c>
    </row>
    <row r="13" customFormat="false" ht="16.15" hidden="false" customHeight="false" outlineLevel="0" collapsed="false">
      <c r="A13" s="11" t="s">
        <v>24</v>
      </c>
      <c r="B13" s="12" t="n">
        <f aca="false">+F3/SUM(Model!P54:S54)</f>
        <v>19.6400866457724</v>
      </c>
      <c r="C13" s="11"/>
      <c r="D13" s="15"/>
      <c r="E13" s="15"/>
      <c r="F13" s="8"/>
      <c r="H13" s="1" t="s">
        <v>25</v>
      </c>
      <c r="I13" s="14" t="n">
        <v>0.0248</v>
      </c>
      <c r="L13" s="4"/>
      <c r="M13" s="9" t="s">
        <v>3</v>
      </c>
      <c r="N13" s="1" t="s">
        <v>26</v>
      </c>
    </row>
    <row r="14" customFormat="false" ht="16.15" hidden="false" customHeight="false" outlineLevel="0" collapsed="false">
      <c r="A14" s="11" t="s">
        <v>27</v>
      </c>
      <c r="B14" s="12" t="n">
        <f aca="false">+F7/SUM(Model!P90:S90)</f>
        <v>12.4031091983513</v>
      </c>
      <c r="C14" s="11"/>
      <c r="D14" s="15" t="s">
        <v>28</v>
      </c>
      <c r="E14" s="16" t="n">
        <f aca="false">+B13/11.37</f>
        <v>1.72736030305825</v>
      </c>
      <c r="F14" s="8"/>
      <c r="G14" s="4"/>
      <c r="L14" s="4" t="s">
        <v>3</v>
      </c>
      <c r="M14" s="1" t="s">
        <v>29</v>
      </c>
    </row>
    <row r="15" customFormat="false" ht="16.15" hidden="false" customHeight="false" outlineLevel="0" collapsed="false">
      <c r="A15" s="11" t="s">
        <v>30</v>
      </c>
      <c r="B15" s="12" t="n">
        <f aca="false">+F7/SUM(Model!P148:S148)</f>
        <v>43.144825349154</v>
      </c>
      <c r="C15" s="11"/>
      <c r="D15" s="15"/>
      <c r="E15" s="15"/>
      <c r="G15" s="4"/>
      <c r="L15" s="4" t="s">
        <v>3</v>
      </c>
      <c r="M15" s="1" t="s">
        <v>31</v>
      </c>
    </row>
    <row r="16" customFormat="false" ht="16.15" hidden="false" customHeight="false" outlineLevel="0" collapsed="false">
      <c r="A16" s="11" t="s">
        <v>32</v>
      </c>
      <c r="B16" s="17" t="n">
        <f aca="false">+((Model!S44+Model!R44+Model!Q44+Model!P44)-(Model!O44+Model!N44+Model!M44+Model!L44))/((Model!S30+Model!R30+Model!Q30+Model!P30)-(Model!O30+Model!N30+Model!M30+Model!L30))</f>
        <v>0.166171146572821</v>
      </c>
      <c r="C16" s="15"/>
      <c r="D16" s="15" t="s">
        <v>33</v>
      </c>
      <c r="E16" s="18" t="n">
        <f aca="false">+F3/Model!AO54</f>
        <v>19.1509585565568</v>
      </c>
      <c r="G16" s="4"/>
      <c r="M16" s="10" t="s">
        <v>34</v>
      </c>
    </row>
    <row r="17" customFormat="false" ht="16.15" hidden="false" customHeight="false" outlineLevel="0" collapsed="false">
      <c r="A17" s="11" t="s">
        <v>35</v>
      </c>
      <c r="B17" s="13" t="n">
        <f aca="false">+0.0495+1.24*(0.1-0.0495)</f>
        <v>0.11212</v>
      </c>
      <c r="C17" s="11"/>
      <c r="D17" s="15"/>
      <c r="E17" s="15"/>
      <c r="M17" s="1" t="s">
        <v>36</v>
      </c>
    </row>
    <row r="18" customFormat="false" ht="16.15" hidden="false" customHeight="false" outlineLevel="0" collapsed="false">
      <c r="A18" s="11" t="s">
        <v>37</v>
      </c>
      <c r="B18" s="13" t="n">
        <f aca="false">+0.0495 + (B19/100)</f>
        <v>0.057304347826087</v>
      </c>
      <c r="C18" s="11"/>
      <c r="D18" s="15"/>
      <c r="E18" s="15"/>
      <c r="F18" s="19"/>
      <c r="G18" s="4"/>
      <c r="L18" s="4" t="s">
        <v>3</v>
      </c>
      <c r="M18" s="1" t="s">
        <v>38</v>
      </c>
    </row>
    <row r="19" customFormat="false" ht="16.15" hidden="false" customHeight="false" outlineLevel="0" collapsed="false">
      <c r="A19" s="11" t="s">
        <v>39</v>
      </c>
      <c r="B19" s="20" t="n">
        <f aca="false">+'[1]Credit Spread US'!J6</f>
        <v>0.780434782608696</v>
      </c>
      <c r="C19" s="11"/>
      <c r="D19" s="15"/>
      <c r="E19" s="15"/>
      <c r="G19" s="4"/>
      <c r="L19" s="4" t="s">
        <v>3</v>
      </c>
      <c r="M19" s="1" t="s">
        <v>40</v>
      </c>
    </row>
    <row r="20" customFormat="false" ht="16.15" hidden="false" customHeight="false" outlineLevel="0" collapsed="false">
      <c r="A20" s="11" t="s">
        <v>41</v>
      </c>
      <c r="B20" s="21" t="s">
        <v>42</v>
      </c>
      <c r="C20" s="21" t="s">
        <v>43</v>
      </c>
      <c r="D20" s="15"/>
      <c r="E20" s="15"/>
      <c r="H20" s="9"/>
      <c r="M20" s="1" t="s">
        <v>44</v>
      </c>
    </row>
    <row r="21" customFormat="false" ht="16.15" hidden="false" customHeight="false" outlineLevel="0" collapsed="false">
      <c r="A21" s="11"/>
      <c r="B21" s="21" t="s">
        <v>45</v>
      </c>
      <c r="C21" s="21" t="s">
        <v>46</v>
      </c>
      <c r="D21" s="15"/>
      <c r="E21" s="15"/>
      <c r="F21" s="19"/>
      <c r="L21" s="4" t="s">
        <v>3</v>
      </c>
      <c r="M21" s="1" t="s">
        <v>47</v>
      </c>
    </row>
    <row r="22" customFormat="false" ht="16.15" hidden="false" customHeight="false" outlineLevel="0" collapsed="false">
      <c r="A22" s="11" t="s">
        <v>48</v>
      </c>
      <c r="B22" s="22" t="n">
        <f aca="false">+F7/SUM(Model!P30:S30)</f>
        <v>7.15890245611114</v>
      </c>
      <c r="C22" s="21"/>
      <c r="D22" s="15"/>
      <c r="E22" s="15"/>
      <c r="F22" s="19"/>
      <c r="L22" s="4" t="s">
        <v>3</v>
      </c>
      <c r="M22" s="23" t="s">
        <v>49</v>
      </c>
    </row>
    <row r="23" customFormat="false" ht="16.15" hidden="false" customHeight="false" outlineLevel="0" collapsed="false">
      <c r="A23" s="11" t="s">
        <v>50</v>
      </c>
      <c r="B23" s="24" t="n">
        <f aca="false">+F7/Model!S16</f>
        <v>453.888335805556</v>
      </c>
      <c r="C23" s="21"/>
      <c r="D23" s="15"/>
      <c r="E23" s="15"/>
      <c r="F23" s="19"/>
      <c r="M23" s="1" t="s">
        <v>51</v>
      </c>
    </row>
    <row r="24" customFormat="false" ht="12.8" hidden="false" customHeight="false" outlineLevel="0" collapsed="false">
      <c r="L24" s="4"/>
      <c r="M24" s="1" t="s">
        <v>52</v>
      </c>
    </row>
    <row r="25" customFormat="false" ht="12.8" hidden="false" customHeight="false" outlineLevel="0" collapsed="false">
      <c r="M25" s="23" t="s">
        <v>53</v>
      </c>
    </row>
    <row r="26" customFormat="false" ht="12.8" hidden="false" customHeight="false" outlineLevel="0" collapsed="false">
      <c r="A26" s="10" t="s">
        <v>54</v>
      </c>
      <c r="B26" s="1" t="s">
        <v>55</v>
      </c>
      <c r="M26" s="1" t="s">
        <v>56</v>
      </c>
    </row>
    <row r="28" customFormat="false" ht="12.8" hidden="false" customHeight="false" outlineLevel="0" collapsed="false">
      <c r="A28" s="1" t="s">
        <v>57</v>
      </c>
    </row>
    <row r="29" customFormat="false" ht="12.8" hidden="false" customHeight="false" outlineLevel="0" collapsed="false">
      <c r="B29" s="25" t="s">
        <v>58</v>
      </c>
      <c r="E29" s="10" t="s">
        <v>59</v>
      </c>
      <c r="F29" s="19" t="n">
        <v>41030</v>
      </c>
    </row>
    <row r="30" customFormat="false" ht="12.8" hidden="false" customHeight="false" outlineLevel="0" collapsed="false">
      <c r="B30" s="25" t="s">
        <v>60</v>
      </c>
    </row>
    <row r="31" customFormat="false" ht="12.8" hidden="false" customHeight="false" outlineLevel="0" collapsed="false">
      <c r="B31" s="25" t="s">
        <v>61</v>
      </c>
    </row>
    <row r="32" customFormat="false" ht="12.8" hidden="false" customHeight="false" outlineLevel="0" collapsed="false">
      <c r="B32" s="25" t="s">
        <v>62</v>
      </c>
    </row>
    <row r="33" customFormat="false" ht="12.8" hidden="false" customHeight="false" outlineLevel="0" collapsed="false">
      <c r="B33" s="25" t="s">
        <v>63</v>
      </c>
    </row>
    <row r="34" customFormat="false" ht="12.8" hidden="false" customHeight="false" outlineLevel="0" collapsed="false">
      <c r="B34" s="25" t="s">
        <v>64</v>
      </c>
    </row>
    <row r="35" customFormat="false" ht="12.8" hidden="false" customHeight="false" outlineLevel="0" collapsed="false">
      <c r="B35" s="25" t="s">
        <v>65</v>
      </c>
    </row>
    <row r="36" customFormat="false" ht="12.8" hidden="false" customHeight="false" outlineLevel="0" collapsed="false">
      <c r="B36" s="25" t="s">
        <v>66</v>
      </c>
      <c r="C36" s="9" t="s">
        <v>3</v>
      </c>
      <c r="D36" s="1" t="s">
        <v>67</v>
      </c>
    </row>
    <row r="37" customFormat="false" ht="12.8" hidden="false" customHeight="false" outlineLevel="0" collapsed="false">
      <c r="B37" s="25" t="s">
        <v>68</v>
      </c>
      <c r="C37" s="9" t="s">
        <v>3</v>
      </c>
      <c r="D37" s="1" t="s">
        <v>69</v>
      </c>
    </row>
    <row r="38" customFormat="false" ht="12.8" hidden="false" customHeight="false" outlineLevel="0" collapsed="false">
      <c r="B38" s="25" t="s">
        <v>70</v>
      </c>
      <c r="C38" s="9"/>
    </row>
    <row r="39" customFormat="false" ht="12.8" hidden="false" customHeight="false" outlineLevel="0" collapsed="false">
      <c r="B39" s="26" t="s">
        <v>3</v>
      </c>
      <c r="C39" s="1" t="s">
        <v>71</v>
      </c>
    </row>
    <row r="40" customFormat="false" ht="12.8" hidden="false" customHeight="false" outlineLevel="0" collapsed="false">
      <c r="B40" s="26" t="s">
        <v>3</v>
      </c>
      <c r="C40" s="1" t="s">
        <v>72</v>
      </c>
    </row>
    <row r="41" customFormat="false" ht="12.8" hidden="false" customHeight="false" outlineLevel="0" collapsed="false">
      <c r="B41" s="25"/>
    </row>
    <row r="42" customFormat="false" ht="12.8" hidden="false" customHeight="false" outlineLevel="0" collapsed="false">
      <c r="B42" s="25"/>
    </row>
    <row r="43" customFormat="false" ht="12.8" hidden="false" customHeight="false" outlineLevel="0" collapsed="false">
      <c r="A43" s="1" t="s">
        <v>73</v>
      </c>
    </row>
    <row r="44" customFormat="false" ht="12.8" hidden="false" customHeight="false" outlineLevel="0" collapsed="false">
      <c r="B44" s="1" t="s">
        <v>74</v>
      </c>
    </row>
    <row r="45" customFormat="false" ht="12.8" hidden="false" customHeight="false" outlineLevel="0" collapsed="false">
      <c r="B45" s="1" t="s">
        <v>75</v>
      </c>
      <c r="W45" s="23"/>
    </row>
    <row r="46" customFormat="false" ht="12.8" hidden="false" customHeight="false" outlineLevel="0" collapsed="false">
      <c r="B46" s="1" t="s">
        <v>76</v>
      </c>
      <c r="W46" s="3"/>
    </row>
    <row r="47" customFormat="false" ht="12.8" hidden="false" customHeight="false" outlineLevel="0" collapsed="false">
      <c r="B47" s="1" t="s">
        <v>77</v>
      </c>
      <c r="W47" s="3"/>
    </row>
    <row r="48" customFormat="false" ht="12.8" hidden="false" customHeight="false" outlineLevel="0" collapsed="false">
      <c r="B48" s="1" t="s">
        <v>78</v>
      </c>
      <c r="W48" s="3"/>
    </row>
    <row r="49" customFormat="false" ht="12.8" hidden="false" customHeight="false" outlineLevel="0" collapsed="false">
      <c r="B49" s="26" t="s">
        <v>3</v>
      </c>
      <c r="C49" s="1" t="s">
        <v>79</v>
      </c>
      <c r="G49" s="27"/>
      <c r="H49" s="27"/>
      <c r="I49" s="27"/>
      <c r="J49" s="27"/>
      <c r="K49" s="27"/>
      <c r="M49" s="23"/>
      <c r="N49" s="27"/>
      <c r="O49" s="27"/>
      <c r="P49" s="27"/>
      <c r="Q49" s="27"/>
      <c r="R49" s="27"/>
      <c r="S49" s="27"/>
      <c r="T49" s="27"/>
      <c r="U49" s="27"/>
      <c r="V49" s="27"/>
      <c r="W49" s="27"/>
    </row>
    <row r="50" customFormat="false" ht="12.8" hidden="false" customHeight="false" outlineLevel="0" collapsed="false">
      <c r="B50" s="26" t="s">
        <v>3</v>
      </c>
      <c r="C50" s="1" t="s">
        <v>80</v>
      </c>
      <c r="G50" s="3"/>
      <c r="H50" s="3"/>
      <c r="I50" s="3"/>
      <c r="J50" s="3"/>
      <c r="M50" s="28"/>
      <c r="N50" s="3"/>
      <c r="O50" s="3"/>
      <c r="P50" s="3"/>
      <c r="Q50" s="3"/>
      <c r="R50" s="3"/>
      <c r="S50" s="3"/>
      <c r="T50" s="3"/>
      <c r="U50" s="3"/>
      <c r="V50" s="3"/>
    </row>
    <row r="51" customFormat="false" ht="12.8" hidden="false" customHeight="false" outlineLevel="0" collapsed="false">
      <c r="B51" s="6"/>
      <c r="G51" s="3"/>
      <c r="H51" s="3"/>
      <c r="I51" s="3"/>
      <c r="J51" s="3"/>
      <c r="M51" s="28"/>
      <c r="N51" s="3"/>
      <c r="O51" s="3"/>
      <c r="P51" s="3"/>
      <c r="Q51" s="3"/>
      <c r="R51" s="3"/>
      <c r="S51" s="3"/>
      <c r="T51" s="3"/>
      <c r="U51" s="3"/>
      <c r="V51" s="3"/>
    </row>
    <row r="52" customFormat="false" ht="12.8" hidden="false" customHeight="false" outlineLevel="0" collapsed="false">
      <c r="G52" s="3"/>
      <c r="H52" s="3"/>
      <c r="I52" s="3"/>
      <c r="J52" s="3"/>
      <c r="M52" s="28"/>
      <c r="N52" s="3"/>
      <c r="O52" s="3"/>
      <c r="P52" s="3"/>
      <c r="Q52" s="3"/>
      <c r="R52" s="3"/>
      <c r="S52" s="3"/>
      <c r="T52" s="3"/>
      <c r="U52" s="3"/>
      <c r="V52" s="3"/>
    </row>
    <row r="53" customFormat="false" ht="12.8" hidden="false" customHeight="false" outlineLevel="0" collapsed="false">
      <c r="G53" s="3"/>
      <c r="H53" s="3"/>
      <c r="I53" s="3"/>
      <c r="J53" s="3"/>
      <c r="M53" s="28"/>
      <c r="N53" s="3"/>
      <c r="O53" s="3"/>
      <c r="P53" s="3"/>
      <c r="Q53" s="3"/>
      <c r="R53" s="3"/>
      <c r="S53" s="3"/>
      <c r="T53" s="3"/>
      <c r="U53" s="3"/>
      <c r="V53" s="3"/>
    </row>
    <row r="54" customFormat="false" ht="12.8" hidden="false" customHeight="false" outlineLevel="0" collapsed="false">
      <c r="A54" s="10" t="s">
        <v>81</v>
      </c>
      <c r="B54" s="1" t="s">
        <v>82</v>
      </c>
      <c r="G54" s="3"/>
      <c r="H54" s="3"/>
      <c r="I54" s="3"/>
      <c r="J54" s="3"/>
      <c r="M54" s="28"/>
      <c r="N54" s="3"/>
      <c r="O54" s="3"/>
      <c r="P54" s="3"/>
      <c r="Q54" s="3"/>
      <c r="R54" s="3"/>
      <c r="S54" s="3"/>
      <c r="T54" s="3"/>
      <c r="U54" s="3"/>
      <c r="V54" s="3"/>
    </row>
    <row r="55" customFormat="false" ht="12.8" hidden="false" customHeight="false" outlineLevel="0" collapsed="false">
      <c r="A55" s="10" t="s">
        <v>83</v>
      </c>
      <c r="B55" s="1" t="s">
        <v>84</v>
      </c>
      <c r="F55" s="27"/>
      <c r="M55" s="28"/>
    </row>
    <row r="56" customFormat="false" ht="12.8" hidden="false" customHeight="false" outlineLevel="0" collapsed="false">
      <c r="F56" s="3"/>
    </row>
    <row r="57" s="23" customFormat="true" ht="12.8" hidden="false" customHeight="false" outlineLevel="0" collapsed="false">
      <c r="A57" s="1"/>
      <c r="B57" s="1"/>
      <c r="C57" s="1"/>
      <c r="D57" s="1"/>
      <c r="E57" s="1"/>
      <c r="F57" s="3"/>
      <c r="G57" s="1"/>
      <c r="H57" s="1"/>
      <c r="I57" s="1"/>
      <c r="J57" s="1"/>
      <c r="K57" s="1"/>
      <c r="L57" s="1"/>
      <c r="M57" s="1"/>
      <c r="N57" s="1"/>
      <c r="O57" s="1"/>
      <c r="P57" s="1"/>
      <c r="Q57" s="1"/>
      <c r="R57" s="1"/>
      <c r="S57" s="1"/>
      <c r="T57" s="1"/>
      <c r="U57" s="1"/>
      <c r="V57" s="1"/>
      <c r="W57" s="1"/>
      <c r="X57" s="1"/>
      <c r="Y57" s="1"/>
      <c r="Z57" s="1"/>
    </row>
    <row r="58" s="23" customFormat="true" ht="12.8" hidden="false" customHeight="false" outlineLevel="0" collapsed="false">
      <c r="A58" s="1" t="s">
        <v>85</v>
      </c>
      <c r="B58" s="1" t="s">
        <v>86</v>
      </c>
      <c r="C58" s="1"/>
      <c r="D58" s="1"/>
      <c r="E58" s="1"/>
      <c r="F58" s="3"/>
      <c r="G58" s="1"/>
      <c r="H58" s="1"/>
      <c r="I58" s="1"/>
      <c r="J58" s="1"/>
      <c r="K58" s="1"/>
      <c r="L58" s="1"/>
      <c r="M58" s="1"/>
      <c r="N58" s="1"/>
      <c r="O58" s="1"/>
      <c r="P58" s="1"/>
      <c r="Q58" s="1"/>
      <c r="R58" s="1"/>
      <c r="S58" s="1"/>
      <c r="T58" s="1"/>
      <c r="U58" s="1"/>
      <c r="V58" s="1"/>
      <c r="W58" s="1"/>
      <c r="X58" s="1"/>
      <c r="Y58" s="1"/>
      <c r="Z58" s="1"/>
    </row>
    <row r="59" s="23" customFormat="true" ht="12.8" hidden="false" customHeight="false" outlineLevel="0" collapsed="false">
      <c r="A59" s="1"/>
      <c r="B59" s="1"/>
      <c r="C59" s="1"/>
      <c r="D59" s="1"/>
      <c r="E59" s="1"/>
      <c r="F59" s="3"/>
      <c r="G59" s="1"/>
      <c r="H59" s="1"/>
      <c r="I59" s="1"/>
      <c r="J59" s="1"/>
      <c r="K59" s="1"/>
      <c r="L59" s="1"/>
      <c r="M59" s="1"/>
      <c r="N59" s="1"/>
      <c r="O59" s="1"/>
      <c r="P59" s="1"/>
      <c r="Q59" s="1"/>
      <c r="R59" s="1"/>
      <c r="S59" s="1"/>
      <c r="T59" s="1"/>
      <c r="U59" s="1"/>
      <c r="V59" s="1"/>
      <c r="W59" s="1"/>
      <c r="X59" s="1"/>
      <c r="Y59" s="1"/>
      <c r="Z59" s="1"/>
    </row>
    <row r="60" s="23" customFormat="true" ht="12.8" hidden="false" customHeight="false" outlineLevel="0" collapsed="false">
      <c r="A60" s="1"/>
      <c r="B60" s="1"/>
      <c r="C60" s="1"/>
      <c r="D60" s="1"/>
      <c r="E60" s="1"/>
      <c r="F60" s="3"/>
      <c r="G60" s="1"/>
      <c r="H60" s="1"/>
      <c r="I60" s="1"/>
      <c r="J60" s="1"/>
      <c r="K60" s="1"/>
      <c r="L60" s="1"/>
      <c r="M60" s="1"/>
      <c r="N60" s="1"/>
      <c r="O60" s="1"/>
      <c r="P60" s="1"/>
      <c r="Q60" s="1"/>
      <c r="R60" s="1"/>
      <c r="S60" s="1"/>
      <c r="T60" s="1"/>
      <c r="U60" s="1"/>
      <c r="V60" s="1"/>
      <c r="W60" s="1"/>
      <c r="X60" s="1"/>
      <c r="Y60" s="1"/>
      <c r="Z60" s="1"/>
    </row>
    <row r="61" s="23" customFormat="true" ht="12.8" hidden="false" customHeight="false" outlineLevel="0" collapsed="false">
      <c r="A61" s="1"/>
      <c r="B61" s="1"/>
      <c r="C61" s="1"/>
      <c r="D61" s="1"/>
      <c r="E61" s="1"/>
      <c r="F61" s="3"/>
      <c r="G61" s="1"/>
      <c r="H61" s="1"/>
      <c r="I61" s="1"/>
      <c r="J61" s="1"/>
      <c r="K61" s="1"/>
      <c r="L61" s="1"/>
      <c r="M61" s="1"/>
      <c r="N61" s="1"/>
      <c r="O61" s="1"/>
      <c r="P61" s="1"/>
      <c r="Q61" s="1"/>
      <c r="R61" s="1"/>
      <c r="S61" s="1"/>
      <c r="T61" s="1"/>
      <c r="U61" s="1"/>
      <c r="V61" s="1"/>
      <c r="W61" s="1"/>
      <c r="X61" s="1"/>
      <c r="Y61" s="1"/>
      <c r="Z61" s="1"/>
    </row>
    <row r="62" s="23" customFormat="true" ht="12.8" hidden="false" customHeight="false" outlineLevel="0" collapsed="false">
      <c r="A62" s="1"/>
      <c r="B62" s="1"/>
      <c r="C62" s="1"/>
      <c r="D62" s="1"/>
      <c r="E62" s="1"/>
      <c r="F62" s="3"/>
      <c r="G62" s="1"/>
      <c r="H62" s="1"/>
      <c r="I62" s="1"/>
      <c r="J62" s="1"/>
      <c r="K62" s="1"/>
      <c r="L62" s="1"/>
      <c r="M62" s="1"/>
      <c r="N62" s="1"/>
      <c r="O62" s="1"/>
      <c r="P62" s="1"/>
      <c r="Q62" s="1"/>
      <c r="R62" s="1"/>
      <c r="S62" s="1"/>
      <c r="T62" s="1"/>
      <c r="U62" s="1"/>
      <c r="V62" s="1"/>
      <c r="W62" s="1"/>
      <c r="X62" s="1"/>
      <c r="Y62" s="1"/>
      <c r="Z62" s="1"/>
    </row>
    <row r="63" s="23" customFormat="true" ht="12.8" hidden="false" customHeight="false" outlineLevel="0" collapsed="false">
      <c r="A63" s="1"/>
      <c r="B63" s="1"/>
      <c r="C63" s="1"/>
      <c r="D63" s="1"/>
      <c r="E63" s="1"/>
      <c r="F63" s="3"/>
      <c r="G63" s="1"/>
      <c r="H63" s="1"/>
      <c r="I63" s="1"/>
      <c r="J63" s="1"/>
      <c r="K63" s="1"/>
      <c r="L63" s="1"/>
      <c r="M63" s="1"/>
      <c r="N63" s="1"/>
      <c r="O63" s="1"/>
      <c r="P63" s="1"/>
      <c r="Q63" s="1"/>
      <c r="R63" s="1"/>
      <c r="S63" s="1"/>
      <c r="T63" s="1"/>
      <c r="U63" s="1"/>
      <c r="V63" s="1"/>
      <c r="W63" s="1"/>
      <c r="X63" s="1"/>
      <c r="Y63" s="1"/>
      <c r="Z63" s="1"/>
    </row>
    <row r="64" s="23" customFormat="true" ht="12.8" hidden="false" customHeight="false" outlineLevel="0" collapsed="false">
      <c r="A64" s="1"/>
      <c r="B64" s="1"/>
      <c r="C64" s="1"/>
      <c r="D64" s="1"/>
      <c r="E64" s="1"/>
      <c r="F64" s="3"/>
      <c r="G64" s="1"/>
      <c r="H64" s="1"/>
      <c r="I64" s="1"/>
      <c r="J64" s="1"/>
      <c r="K64" s="1"/>
      <c r="L64" s="1"/>
      <c r="M64" s="1"/>
      <c r="N64" s="1"/>
      <c r="O64" s="1"/>
      <c r="P64" s="1"/>
      <c r="Q64" s="1"/>
      <c r="R64" s="1"/>
      <c r="S64" s="1"/>
      <c r="T64" s="1"/>
      <c r="U64" s="1"/>
      <c r="V64" s="1"/>
      <c r="W64" s="1"/>
      <c r="X64" s="1"/>
      <c r="Y64" s="1"/>
      <c r="Z64" s="1"/>
    </row>
    <row r="65" s="23" customFormat="true" ht="12.8" hidden="false" customHeight="false" outlineLevel="0" collapsed="false">
      <c r="A65" s="1"/>
      <c r="B65" s="1"/>
      <c r="C65" s="1"/>
      <c r="D65" s="1"/>
      <c r="E65" s="1"/>
      <c r="F65" s="3"/>
      <c r="G65" s="1"/>
      <c r="H65" s="1"/>
      <c r="I65" s="1"/>
      <c r="J65" s="1"/>
      <c r="K65" s="1"/>
      <c r="L65" s="1"/>
      <c r="M65" s="1"/>
      <c r="N65" s="1"/>
      <c r="O65" s="1"/>
      <c r="P65" s="1"/>
      <c r="Q65" s="1"/>
      <c r="R65" s="1"/>
      <c r="S65" s="1"/>
      <c r="T65" s="1"/>
      <c r="U65" s="1"/>
      <c r="V65" s="1"/>
      <c r="W65" s="1"/>
      <c r="X65" s="1"/>
      <c r="Y65" s="1"/>
      <c r="Z65" s="1"/>
    </row>
    <row r="66" s="23" customFormat="true" ht="12.8" hidden="false" customHeight="false" outlineLevel="0" collapsed="false">
      <c r="A66" s="1"/>
      <c r="B66" s="1"/>
      <c r="C66" s="1"/>
      <c r="D66" s="1"/>
      <c r="E66" s="1"/>
      <c r="F66" s="3"/>
      <c r="G66" s="1"/>
      <c r="H66" s="1"/>
      <c r="I66" s="1"/>
      <c r="J66" s="1"/>
      <c r="K66" s="1"/>
      <c r="L66" s="1"/>
      <c r="M66" s="1"/>
      <c r="N66" s="1"/>
      <c r="O66" s="1"/>
      <c r="P66" s="1"/>
      <c r="Q66" s="1"/>
      <c r="R66" s="1"/>
      <c r="S66" s="1"/>
      <c r="T66" s="1"/>
      <c r="U66" s="1"/>
      <c r="V66" s="1"/>
      <c r="W66" s="1"/>
      <c r="X66" s="1"/>
      <c r="Y66" s="1"/>
      <c r="Z66" s="1"/>
    </row>
    <row r="67" s="3" customFormat="true" ht="12.8" hidden="false" customHeight="false" outlineLevel="0" collapsed="false">
      <c r="A67" s="1"/>
      <c r="B67" s="1"/>
      <c r="C67" s="1"/>
      <c r="D67" s="1"/>
      <c r="E67" s="1"/>
      <c r="G67" s="1"/>
      <c r="H67" s="1"/>
      <c r="I67" s="1"/>
      <c r="J67" s="1"/>
      <c r="K67" s="1"/>
      <c r="L67" s="1"/>
      <c r="M67" s="1"/>
      <c r="N67" s="1"/>
      <c r="O67" s="1"/>
      <c r="P67" s="1"/>
      <c r="Q67" s="1"/>
      <c r="R67" s="1"/>
      <c r="S67" s="1"/>
      <c r="T67" s="1"/>
      <c r="U67" s="1"/>
      <c r="V67" s="1"/>
      <c r="W67" s="1"/>
      <c r="X67" s="1"/>
      <c r="Y67" s="1"/>
      <c r="Z67" s="1"/>
    </row>
    <row r="68" s="3" customFormat="true" ht="12.8" hidden="false" customHeight="false" outlineLevel="0" collapsed="false">
      <c r="A68" s="1"/>
      <c r="B68" s="1"/>
      <c r="C68" s="1"/>
      <c r="D68" s="1"/>
      <c r="E68" s="1"/>
      <c r="G68" s="1"/>
      <c r="H68" s="1"/>
      <c r="I68" s="1"/>
      <c r="J68" s="1"/>
      <c r="K68" s="1"/>
      <c r="L68" s="1"/>
      <c r="M68" s="1"/>
      <c r="N68" s="1"/>
      <c r="O68" s="1"/>
      <c r="P68" s="1"/>
      <c r="Q68" s="1"/>
      <c r="R68" s="1"/>
      <c r="S68" s="1"/>
      <c r="T68" s="1"/>
      <c r="U68" s="1"/>
      <c r="V68" s="1"/>
      <c r="W68" s="1"/>
      <c r="X68" s="23"/>
      <c r="Y68" s="23"/>
      <c r="Z68" s="23"/>
    </row>
    <row r="69" s="3" customFormat="true" ht="12.8" hidden="false" customHeight="false" outlineLevel="0" collapsed="false">
      <c r="A69" s="1"/>
      <c r="B69" s="1"/>
      <c r="C69" s="1"/>
      <c r="D69" s="1"/>
      <c r="E69" s="1"/>
      <c r="F69" s="1"/>
      <c r="G69" s="1"/>
      <c r="H69" s="1"/>
      <c r="I69" s="1"/>
      <c r="J69" s="1"/>
      <c r="K69" s="1"/>
      <c r="L69" s="1"/>
      <c r="M69" s="1"/>
      <c r="N69" s="1"/>
      <c r="O69" s="1"/>
      <c r="P69" s="1"/>
      <c r="Q69" s="1"/>
      <c r="R69" s="1"/>
      <c r="S69" s="1"/>
      <c r="T69" s="1"/>
      <c r="U69" s="1"/>
      <c r="V69" s="1"/>
      <c r="W69" s="1"/>
    </row>
    <row r="70" s="3" customFormat="true" ht="12.8" hidden="false" customHeight="false" outlineLevel="0" collapsed="false">
      <c r="A70" s="1"/>
      <c r="B70" s="1"/>
      <c r="C70" s="1"/>
      <c r="D70" s="1"/>
      <c r="E70" s="1"/>
      <c r="F70" s="1"/>
      <c r="G70" s="1"/>
      <c r="H70" s="1"/>
      <c r="I70" s="1"/>
      <c r="J70" s="1"/>
      <c r="K70" s="1"/>
      <c r="L70" s="1"/>
      <c r="M70" s="1"/>
      <c r="N70" s="1"/>
      <c r="O70" s="1"/>
      <c r="P70" s="1"/>
      <c r="Q70" s="1"/>
      <c r="R70" s="1"/>
      <c r="S70" s="1"/>
      <c r="T70" s="1"/>
      <c r="U70" s="1"/>
      <c r="V70" s="1"/>
      <c r="W70" s="1"/>
    </row>
    <row r="71" s="5" customFormat="true" ht="12.8" hidden="false" customHeight="false" outlineLevel="0" collapsed="false">
      <c r="A71" s="1"/>
      <c r="B71" s="1"/>
      <c r="C71" s="1"/>
      <c r="D71" s="1"/>
      <c r="E71" s="1"/>
      <c r="F71" s="1"/>
      <c r="G71" s="1"/>
      <c r="H71" s="1"/>
      <c r="I71" s="1"/>
      <c r="J71" s="1"/>
      <c r="K71" s="1"/>
      <c r="L71" s="1"/>
      <c r="M71" s="1"/>
      <c r="N71" s="1"/>
      <c r="O71" s="1"/>
      <c r="P71" s="1"/>
      <c r="Q71" s="1"/>
      <c r="R71" s="1"/>
      <c r="S71" s="1"/>
      <c r="T71" s="1"/>
      <c r="U71" s="1"/>
      <c r="V71" s="1"/>
      <c r="W71" s="1"/>
      <c r="X71" s="3"/>
      <c r="Y71" s="3"/>
      <c r="Z71" s="3"/>
    </row>
    <row r="72" s="5" customFormat="true" ht="12.8" hidden="false" customHeight="false" outlineLevel="0" collapsed="false">
      <c r="A72" s="23" t="s">
        <v>87</v>
      </c>
      <c r="B72" s="27" t="s">
        <v>88</v>
      </c>
      <c r="C72" s="27" t="s">
        <v>89</v>
      </c>
      <c r="D72" s="27" t="s">
        <v>90</v>
      </c>
      <c r="E72" s="27" t="s">
        <v>91</v>
      </c>
      <c r="F72" s="27" t="s">
        <v>92</v>
      </c>
      <c r="G72" s="27" t="s">
        <v>93</v>
      </c>
      <c r="H72" s="27" t="s">
        <v>94</v>
      </c>
      <c r="I72" s="27" t="s">
        <v>95</v>
      </c>
      <c r="J72" s="27" t="s">
        <v>96</v>
      </c>
      <c r="K72" s="27" t="s">
        <v>97</v>
      </c>
      <c r="L72" s="27" t="s">
        <v>2</v>
      </c>
      <c r="M72" s="27" t="s">
        <v>98</v>
      </c>
      <c r="N72" s="27" t="s">
        <v>99</v>
      </c>
      <c r="O72" s="1"/>
      <c r="P72" s="23" t="s">
        <v>100</v>
      </c>
      <c r="Q72" s="27" t="s">
        <v>88</v>
      </c>
      <c r="R72" s="27" t="s">
        <v>89</v>
      </c>
      <c r="S72" s="27" t="s">
        <v>90</v>
      </c>
      <c r="T72" s="27" t="s">
        <v>91</v>
      </c>
      <c r="U72" s="27" t="s">
        <v>92</v>
      </c>
      <c r="V72" s="27" t="s">
        <v>93</v>
      </c>
      <c r="W72" s="27" t="s">
        <v>94</v>
      </c>
      <c r="X72" s="27" t="s">
        <v>95</v>
      </c>
      <c r="Y72" s="27" t="s">
        <v>96</v>
      </c>
      <c r="Z72" s="27" t="s">
        <v>97</v>
      </c>
    </row>
    <row r="73" s="5" customFormat="true" ht="12.8" hidden="false" customHeight="false" outlineLevel="0" collapsed="false">
      <c r="A73" s="29" t="s">
        <v>101</v>
      </c>
      <c r="B73" s="5" t="n">
        <v>18585</v>
      </c>
      <c r="C73" s="5" t="n">
        <v>15824</v>
      </c>
      <c r="D73" s="5" t="n">
        <v>16847</v>
      </c>
      <c r="E73" s="5" t="n">
        <v>17609</v>
      </c>
      <c r="F73" s="5" t="n">
        <v>21783</v>
      </c>
      <c r="G73" s="5" t="n">
        <v>18605</v>
      </c>
      <c r="H73" s="5" t="n">
        <v>20371</v>
      </c>
      <c r="I73" s="5" t="n">
        <v>21751</v>
      </c>
      <c r="J73" s="5" t="n">
        <v>26472</v>
      </c>
      <c r="K73" s="5" t="n">
        <v>24079</v>
      </c>
      <c r="L73" s="5" t="n">
        <v>23863</v>
      </c>
      <c r="P73" s="29" t="s">
        <v>101</v>
      </c>
      <c r="Q73" s="5" t="n">
        <v>17784</v>
      </c>
      <c r="R73" s="5" t="n">
        <v>15451</v>
      </c>
      <c r="S73" s="5" t="n">
        <v>16593</v>
      </c>
      <c r="T73" s="5" t="n">
        <v>17389</v>
      </c>
      <c r="U73" s="5" t="n">
        <v>20982</v>
      </c>
      <c r="V73" s="5" t="n">
        <v>18259</v>
      </c>
      <c r="W73" s="5" t="n">
        <v>20045</v>
      </c>
      <c r="X73" s="5" t="n">
        <v>21331</v>
      </c>
      <c r="Y73" s="5" t="n">
        <v>25643</v>
      </c>
      <c r="Z73" s="5" t="n">
        <v>23667</v>
      </c>
    </row>
    <row r="74" s="5" customFormat="true" ht="12.8" hidden="false" customHeight="false" outlineLevel="0" collapsed="false">
      <c r="A74" s="29" t="s">
        <v>102</v>
      </c>
      <c r="B74" s="5" t="n">
        <v>9441</v>
      </c>
      <c r="C74" s="5" t="n">
        <v>8483</v>
      </c>
      <c r="D74" s="5" t="n">
        <v>9300</v>
      </c>
      <c r="E74" s="5" t="n">
        <v>9492</v>
      </c>
      <c r="F74" s="5" t="n">
        <v>11503</v>
      </c>
      <c r="G74" s="5" t="n">
        <v>9680</v>
      </c>
      <c r="H74" s="5" t="n">
        <v>11532</v>
      </c>
      <c r="I74" s="5" t="n">
        <v>12268</v>
      </c>
      <c r="J74" s="5" t="n">
        <v>14480</v>
      </c>
      <c r="K74" s="5" t="n">
        <v>13500</v>
      </c>
      <c r="L74" s="5" t="n">
        <v>14009</v>
      </c>
      <c r="P74" s="29" t="s">
        <v>102</v>
      </c>
      <c r="Q74" s="5" t="n">
        <v>9159</v>
      </c>
      <c r="R74" s="5" t="n">
        <v>8327</v>
      </c>
      <c r="S74" s="5" t="n">
        <v>9135</v>
      </c>
      <c r="T74" s="5" t="n">
        <v>9358</v>
      </c>
      <c r="U74" s="5" t="n">
        <v>11154</v>
      </c>
      <c r="V74" s="5" t="n">
        <v>9527</v>
      </c>
      <c r="W74" s="5" t="n">
        <v>11366</v>
      </c>
      <c r="X74" s="5" t="n">
        <v>12072</v>
      </c>
      <c r="Y74" s="5" t="n">
        <v>14198</v>
      </c>
      <c r="Z74" s="5" t="n">
        <v>13296</v>
      </c>
    </row>
    <row r="75" customFormat="false" ht="12.8" hidden="false" customHeight="false" outlineLevel="0" collapsed="false">
      <c r="A75" s="29" t="s">
        <v>103</v>
      </c>
      <c r="B75" s="5" t="n">
        <v>7512</v>
      </c>
      <c r="C75" s="5" t="n">
        <v>7481</v>
      </c>
      <c r="D75" s="5" t="n">
        <v>7888</v>
      </c>
      <c r="E75" s="5" t="n">
        <v>8220</v>
      </c>
      <c r="F75" s="5" t="n">
        <v>9245</v>
      </c>
      <c r="G75" s="5" t="n">
        <v>8439</v>
      </c>
      <c r="H75" s="5" t="n">
        <v>9366</v>
      </c>
      <c r="I75" s="5" t="n">
        <v>10272</v>
      </c>
      <c r="J75" s="5" t="n">
        <v>11182</v>
      </c>
      <c r="K75" s="5" t="n">
        <v>10914</v>
      </c>
      <c r="L75" s="5" t="n">
        <v>16073</v>
      </c>
      <c r="M75" s="5"/>
      <c r="N75" s="5"/>
      <c r="O75" s="5"/>
      <c r="P75" s="29" t="s">
        <v>103</v>
      </c>
      <c r="Q75" s="5" t="n">
        <v>7316</v>
      </c>
      <c r="R75" s="5" t="n">
        <v>7338</v>
      </c>
      <c r="S75" s="5" t="n">
        <v>7721</v>
      </c>
      <c r="T75" s="5" t="n">
        <v>8050</v>
      </c>
      <c r="U75" s="5" t="n">
        <v>9012</v>
      </c>
      <c r="V75" s="5" t="n">
        <v>8224</v>
      </c>
      <c r="W75" s="5" t="n">
        <v>9148</v>
      </c>
      <c r="X75" s="5" t="n">
        <v>10020</v>
      </c>
      <c r="Y75" s="5" t="n">
        <v>10893</v>
      </c>
      <c r="Z75" s="5" t="n">
        <v>10631</v>
      </c>
    </row>
    <row r="76" customFormat="false" ht="12.8" hidden="false" customHeight="false" outlineLevel="0" collapsed="false">
      <c r="A76" s="29" t="s">
        <v>104</v>
      </c>
      <c r="B76" s="5" t="n">
        <v>4573</v>
      </c>
      <c r="C76" s="5" t="n">
        <v>4667</v>
      </c>
      <c r="D76" s="5" t="n">
        <v>5036</v>
      </c>
      <c r="E76" s="5" t="n">
        <v>5268</v>
      </c>
      <c r="F76" s="5" t="n">
        <v>5854</v>
      </c>
      <c r="G76" s="5" t="n">
        <v>5590</v>
      </c>
      <c r="H76" s="5" t="n">
        <v>6247</v>
      </c>
      <c r="I76" s="5" t="n">
        <v>6951</v>
      </c>
      <c r="J76" s="5" t="n">
        <v>7759</v>
      </c>
      <c r="K76" s="5" t="n">
        <v>7818</v>
      </c>
      <c r="L76" s="5" t="n">
        <v>6856</v>
      </c>
      <c r="M76" s="5"/>
      <c r="N76" s="5"/>
      <c r="O76" s="5"/>
      <c r="P76" s="29" t="s">
        <v>104</v>
      </c>
      <c r="Q76" s="5" t="n">
        <v>4447</v>
      </c>
      <c r="R76" s="5" t="n">
        <v>4519</v>
      </c>
      <c r="S76" s="5" t="n">
        <v>4880</v>
      </c>
      <c r="T76" s="5" t="n">
        <v>5088</v>
      </c>
      <c r="U76" s="5" t="n">
        <v>5635</v>
      </c>
      <c r="V76" s="5" t="n">
        <v>5382</v>
      </c>
      <c r="W76" s="5" t="n">
        <v>6004</v>
      </c>
      <c r="X76" s="5" t="n">
        <v>6659</v>
      </c>
      <c r="Y76" s="5" t="n">
        <v>7403</v>
      </c>
      <c r="Z76" s="5" t="n">
        <v>7430</v>
      </c>
    </row>
    <row r="77" customFormat="false" ht="12.8" hidden="false" customHeight="false" outlineLevel="0" collapsed="false">
      <c r="B77" s="3"/>
      <c r="C77" s="3"/>
      <c r="E77" s="3"/>
    </row>
    <row r="106" customFormat="false" ht="12.8" hidden="false" customHeight="false" outlineLevel="0" collapsed="false">
      <c r="B106" s="4" t="s">
        <v>3</v>
      </c>
      <c r="C106" s="1" t="s">
        <v>105</v>
      </c>
    </row>
  </sheetData>
  <hyperlinks>
    <hyperlink ref="A1" r:id="rId1" display="META"/>
  </hyperlink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R188"/>
  <sheetViews>
    <sheetView showFormulas="false" showGridLines="false" showRowColHeaders="true" showZeros="true" rightToLeft="false" tabSelected="true" showOutlineSymbols="true" defaultGridColor="true" view="normal" topLeftCell="A1" colorId="64" zoomScale="45" zoomScaleNormal="45" zoomScalePageLayoutView="100" workbookViewId="0">
      <pane xSplit="1" ySplit="2" topLeftCell="AF38" activePane="bottomRight" state="frozen"/>
      <selection pane="topLeft" activeCell="A1" activeCellId="0" sqref="A1"/>
      <selection pane="topRight" activeCell="AF1" activeCellId="0" sqref="AF1"/>
      <selection pane="bottomLeft" activeCell="A38" activeCellId="0" sqref="A38"/>
      <selection pane="bottomRight" activeCell="AF82" activeCellId="0" sqref="AF82"/>
    </sheetView>
  </sheetViews>
  <sheetFormatPr defaultColWidth="11.53515625" defaultRowHeight="12.8" customHeight="false" zeroHeight="false" outlineLevelRow="0" outlineLevelCol="0"/>
  <cols>
    <col collapsed="false" customWidth="true" hidden="false" outlineLevel="0" max="1" min="1" style="3" width="19.06"/>
    <col collapsed="false" customWidth="false" hidden="false" outlineLevel="0" max="43" min="2" style="3" width="11.53"/>
    <col collapsed="false" customWidth="false" hidden="false" outlineLevel="0" max="44" min="44" style="1" width="11.53"/>
    <col collapsed="false" customWidth="false" hidden="false" outlineLevel="0" max="47" min="45" style="3" width="11.53"/>
    <col collapsed="false" customWidth="true" hidden="false" outlineLevel="0" max="48" min="48" style="3" width="13.15"/>
    <col collapsed="false" customWidth="false" hidden="false" outlineLevel="0" max="50" min="49" style="3" width="11.53"/>
    <col collapsed="false" customWidth="true" hidden="false" outlineLevel="0" max="51" min="51" style="3" width="14.36"/>
    <col collapsed="false" customWidth="false" hidden="false" outlineLevel="0" max="52" min="52" style="3" width="11.53"/>
    <col collapsed="false" customWidth="true" hidden="false" outlineLevel="0" max="53" min="53" style="3" width="14.94"/>
    <col collapsed="false" customWidth="false" hidden="false" outlineLevel="0" max="143" min="54" style="3" width="11.53"/>
    <col collapsed="false" customWidth="false" hidden="false" outlineLevel="0" max="16384" min="149" style="3" width="11.53"/>
  </cols>
  <sheetData>
    <row r="1" s="30" customFormat="true" ht="12.8" hidden="false" customHeight="false" outlineLevel="0" collapsed="false">
      <c r="A1" s="30" t="s">
        <v>106</v>
      </c>
      <c r="B1" s="31" t="s">
        <v>107</v>
      </c>
      <c r="C1" s="31" t="s">
        <v>108</v>
      </c>
      <c r="D1" s="31" t="s">
        <v>109</v>
      </c>
      <c r="E1" s="31" t="s">
        <v>110</v>
      </c>
      <c r="F1" s="31" t="s">
        <v>111</v>
      </c>
      <c r="G1" s="31" t="s">
        <v>112</v>
      </c>
      <c r="H1" s="31" t="s">
        <v>113</v>
      </c>
      <c r="I1" s="31" t="s">
        <v>114</v>
      </c>
      <c r="J1" s="31" t="s">
        <v>115</v>
      </c>
      <c r="K1" s="31" t="s">
        <v>116</v>
      </c>
      <c r="L1" s="31" t="s">
        <v>117</v>
      </c>
      <c r="M1" s="31" t="s">
        <v>118</v>
      </c>
      <c r="N1" s="31" t="s">
        <v>119</v>
      </c>
      <c r="O1" s="31" t="s">
        <v>120</v>
      </c>
      <c r="P1" s="31" t="s">
        <v>121</v>
      </c>
      <c r="Q1" s="31" t="s">
        <v>122</v>
      </c>
      <c r="R1" s="31" t="s">
        <v>123</v>
      </c>
      <c r="S1" s="31" t="s">
        <v>124</v>
      </c>
      <c r="T1" s="31" t="s">
        <v>125</v>
      </c>
      <c r="U1" s="31" t="s">
        <v>126</v>
      </c>
      <c r="Z1" s="31" t="s">
        <v>127</v>
      </c>
      <c r="AA1" s="31" t="s">
        <v>128</v>
      </c>
      <c r="AB1" s="31" t="s">
        <v>129</v>
      </c>
      <c r="AC1" s="31" t="s">
        <v>130</v>
      </c>
      <c r="AD1" s="31" t="s">
        <v>131</v>
      </c>
      <c r="AE1" s="31" t="s">
        <v>132</v>
      </c>
      <c r="AF1" s="31" t="s">
        <v>133</v>
      </c>
      <c r="AG1" s="31" t="s">
        <v>134</v>
      </c>
      <c r="AH1" s="31" t="s">
        <v>135</v>
      </c>
      <c r="AI1" s="31" t="s">
        <v>136</v>
      </c>
      <c r="AJ1" s="31" t="s">
        <v>137</v>
      </c>
      <c r="AK1" s="31" t="s">
        <v>110</v>
      </c>
      <c r="AL1" s="31" t="s">
        <v>114</v>
      </c>
      <c r="AM1" s="31" t="s">
        <v>118</v>
      </c>
      <c r="AN1" s="31" t="s">
        <v>122</v>
      </c>
      <c r="AO1" s="31" t="s">
        <v>126</v>
      </c>
      <c r="AP1" s="31" t="s">
        <v>138</v>
      </c>
      <c r="AQ1" s="31" t="s">
        <v>139</v>
      </c>
      <c r="AR1" s="31" t="s">
        <v>140</v>
      </c>
      <c r="AS1" s="31" t="s">
        <v>141</v>
      </c>
      <c r="AT1" s="31" t="s">
        <v>142</v>
      </c>
      <c r="EN1" s="32"/>
      <c r="EO1" s="32"/>
      <c r="EP1" s="32"/>
      <c r="EQ1" s="32"/>
      <c r="ER1" s="32"/>
    </row>
    <row r="2" s="4" customFormat="true" ht="12.8" hidden="false" customHeight="false" outlineLevel="0" collapsed="false">
      <c r="A2" s="33" t="s">
        <v>143</v>
      </c>
      <c r="B2" s="4" t="s">
        <v>144</v>
      </c>
      <c r="C2" s="4" t="s">
        <v>145</v>
      </c>
      <c r="D2" s="4" t="s">
        <v>146</v>
      </c>
      <c r="E2" s="4" t="s">
        <v>147</v>
      </c>
      <c r="F2" s="4" t="s">
        <v>148</v>
      </c>
      <c r="G2" s="4" t="s">
        <v>149</v>
      </c>
      <c r="H2" s="4" t="s">
        <v>150</v>
      </c>
      <c r="I2" s="4" t="s">
        <v>88</v>
      </c>
      <c r="J2" s="4" t="s">
        <v>89</v>
      </c>
      <c r="K2" s="4" t="s">
        <v>90</v>
      </c>
      <c r="L2" s="4" t="s">
        <v>91</v>
      </c>
      <c r="M2" s="4" t="s">
        <v>92</v>
      </c>
      <c r="N2" s="4" t="s">
        <v>93</v>
      </c>
      <c r="O2" s="4" t="s">
        <v>94</v>
      </c>
      <c r="P2" s="4" t="s">
        <v>95</v>
      </c>
      <c r="Q2" s="4" t="s">
        <v>96</v>
      </c>
      <c r="R2" s="4" t="s">
        <v>97</v>
      </c>
      <c r="S2" s="4" t="s">
        <v>2</v>
      </c>
      <c r="T2" s="4" t="s">
        <v>98</v>
      </c>
      <c r="U2" s="4" t="s">
        <v>99</v>
      </c>
      <c r="Z2" s="4" t="n">
        <f aca="false">+AA2-1</f>
        <v>2011</v>
      </c>
      <c r="AA2" s="4" t="n">
        <f aca="false">+AB2-1</f>
        <v>2012</v>
      </c>
      <c r="AB2" s="4" t="n">
        <f aca="false">+AC2-1</f>
        <v>2013</v>
      </c>
      <c r="AC2" s="4" t="n">
        <f aca="false">+AD2-1</f>
        <v>2014</v>
      </c>
      <c r="AD2" s="4" t="n">
        <f aca="false">+AE2-1</f>
        <v>2015</v>
      </c>
      <c r="AE2" s="4" t="n">
        <f aca="false">+AF2-1</f>
        <v>2016</v>
      </c>
      <c r="AF2" s="4" t="n">
        <f aca="false">+AG2-1</f>
        <v>2017</v>
      </c>
      <c r="AG2" s="4" t="n">
        <f aca="false">+AH2-1</f>
        <v>2018</v>
      </c>
      <c r="AH2" s="4" t="n">
        <f aca="false">+AI2-1</f>
        <v>2019</v>
      </c>
      <c r="AI2" s="4" t="n">
        <v>2020</v>
      </c>
      <c r="AJ2" s="4" t="n">
        <f aca="false">+AI2+1</f>
        <v>2021</v>
      </c>
      <c r="AK2" s="4" t="n">
        <f aca="false">+AJ2+1</f>
        <v>2022</v>
      </c>
      <c r="AL2" s="4" t="n">
        <f aca="false">+AK2+1</f>
        <v>2023</v>
      </c>
      <c r="AM2" s="4" t="n">
        <f aca="false">+AL2+1</f>
        <v>2024</v>
      </c>
      <c r="AN2" s="4" t="n">
        <f aca="false">+AM2+1</f>
        <v>2025</v>
      </c>
      <c r="AO2" s="4" t="n">
        <f aca="false">+AN2+1</f>
        <v>2026</v>
      </c>
      <c r="AP2" s="4" t="n">
        <f aca="false">+AO2+1</f>
        <v>2027</v>
      </c>
      <c r="AQ2" s="4" t="n">
        <f aca="false">+AP2+1</f>
        <v>2028</v>
      </c>
      <c r="AR2" s="4" t="n">
        <f aca="false">+AQ2+1</f>
        <v>2029</v>
      </c>
      <c r="AS2" s="4" t="n">
        <f aca="false">+AR2+1</f>
        <v>2030</v>
      </c>
      <c r="AT2" s="4" t="n">
        <f aca="false">+AS2+1</f>
        <v>2031</v>
      </c>
      <c r="AV2" s="4" t="s">
        <v>151</v>
      </c>
      <c r="EN2" s="32"/>
      <c r="EO2" s="32"/>
      <c r="EP2" s="32"/>
      <c r="EQ2" s="32"/>
      <c r="ER2" s="32"/>
    </row>
    <row r="3" s="26" customFormat="true" ht="12.8" hidden="false" customHeight="false" outlineLevel="0" collapsed="false">
      <c r="A3" s="34" t="s">
        <v>152</v>
      </c>
      <c r="B3" s="26" t="n">
        <v>332</v>
      </c>
      <c r="C3" s="26" t="n">
        <v>347</v>
      </c>
      <c r="D3" s="26" t="n">
        <v>363</v>
      </c>
      <c r="E3" s="26" t="n">
        <v>375</v>
      </c>
      <c r="F3" s="26" t="n">
        <v>383</v>
      </c>
      <c r="G3" s="26" t="n">
        <v>397</v>
      </c>
      <c r="H3" s="26" t="n">
        <v>406</v>
      </c>
      <c r="I3" s="35" t="n">
        <v>414</v>
      </c>
      <c r="J3" s="35" t="n">
        <v>422</v>
      </c>
      <c r="K3" s="35" t="n">
        <v>432</v>
      </c>
      <c r="L3" s="35" t="n">
        <v>443</v>
      </c>
      <c r="M3" s="35" t="n">
        <v>453</v>
      </c>
      <c r="N3" s="35" t="n">
        <v>460</v>
      </c>
      <c r="O3" s="35" t="n">
        <v>469</v>
      </c>
      <c r="P3" s="35" t="n">
        <v>477</v>
      </c>
      <c r="Q3" s="35" t="n">
        <v>474</v>
      </c>
      <c r="R3" s="26" t="n">
        <v>483</v>
      </c>
      <c r="S3" s="26" t="n">
        <v>493</v>
      </c>
      <c r="Z3" s="36" t="s">
        <v>153</v>
      </c>
      <c r="AA3" s="36" t="s">
        <v>153</v>
      </c>
      <c r="AB3" s="36" t="s">
        <v>153</v>
      </c>
      <c r="AC3" s="26" t="n">
        <v>71</v>
      </c>
      <c r="AD3" s="26" t="n">
        <v>107</v>
      </c>
      <c r="AE3" s="26" t="n">
        <v>158</v>
      </c>
      <c r="AF3" s="26" t="n">
        <v>187</v>
      </c>
      <c r="AG3" s="26" t="n">
        <v>186</v>
      </c>
      <c r="AH3" s="26" t="n">
        <v>218</v>
      </c>
      <c r="AI3" s="26" t="n">
        <v>265</v>
      </c>
      <c r="AJ3" s="26" t="n">
        <v>319</v>
      </c>
      <c r="AK3" s="26" t="n">
        <v>374</v>
      </c>
      <c r="AL3" s="26" t="n">
        <v>414</v>
      </c>
      <c r="AM3" s="26" t="n">
        <v>453</v>
      </c>
      <c r="AN3" s="26" t="n">
        <v>474</v>
      </c>
      <c r="EN3" s="32"/>
      <c r="EO3" s="32"/>
      <c r="EP3" s="32"/>
      <c r="EQ3" s="32"/>
      <c r="ER3" s="32"/>
    </row>
    <row r="4" s="38" customFormat="true" ht="10.5" hidden="false" customHeight="true" outlineLevel="0" collapsed="false">
      <c r="A4" s="37" t="s">
        <v>154</v>
      </c>
      <c r="F4" s="39" t="n">
        <f aca="false">+F3/B3-1</f>
        <v>0.153614457831325</v>
      </c>
      <c r="G4" s="39" t="n">
        <f aca="false">+G3/C3-1</f>
        <v>0.144092219020173</v>
      </c>
      <c r="H4" s="39" t="n">
        <f aca="false">+H3/D3-1</f>
        <v>0.118457300275482</v>
      </c>
      <c r="I4" s="39" t="n">
        <f aca="false">+I3/E3-1</f>
        <v>0.104</v>
      </c>
      <c r="J4" s="39" t="n">
        <f aca="false">+J3/F3-1</f>
        <v>0.101827676240209</v>
      </c>
      <c r="K4" s="39" t="n">
        <f aca="false">+K3/G3-1</f>
        <v>0.0881612090680102</v>
      </c>
      <c r="L4" s="39" t="n">
        <f aca="false">+L3/H3-1</f>
        <v>0.0911330049261083</v>
      </c>
      <c r="M4" s="39" t="n">
        <f aca="false">+M3/I3-1</f>
        <v>0.0942028985507246</v>
      </c>
      <c r="N4" s="39" t="n">
        <f aca="false">+N3/J3-1</f>
        <v>0.0900473933649288</v>
      </c>
      <c r="O4" s="39" t="n">
        <f aca="false">+O3/K3-1</f>
        <v>0.0856481481481481</v>
      </c>
      <c r="P4" s="39" t="n">
        <f aca="false">+P3/L3-1</f>
        <v>0.0767494356659142</v>
      </c>
      <c r="Q4" s="39" t="n">
        <f aca="false">+Q3/M3-1</f>
        <v>0.0463576158940398</v>
      </c>
      <c r="R4" s="39" t="n">
        <f aca="false">+R3/N3-1</f>
        <v>0.05</v>
      </c>
      <c r="S4" s="39" t="n">
        <f aca="false">+S3/O3-1</f>
        <v>0.0511727078891258</v>
      </c>
      <c r="AD4" s="38" t="n">
        <f aca="false">+AD3/AC3-1</f>
        <v>0.507042253521127</v>
      </c>
      <c r="AE4" s="38" t="n">
        <f aca="false">+AE3/AD3-1</f>
        <v>0.476635514018692</v>
      </c>
      <c r="AF4" s="38" t="n">
        <f aca="false">+AF3/AE3-1</f>
        <v>0.183544303797468</v>
      </c>
      <c r="AG4" s="38" t="n">
        <f aca="false">+AG3/AF3-1</f>
        <v>-0.00534759358288772</v>
      </c>
      <c r="AH4" s="38" t="n">
        <f aca="false">+AH3/AG3-1</f>
        <v>0.172043010752688</v>
      </c>
      <c r="AI4" s="38" t="n">
        <f aca="false">+AI3/AH3-1</f>
        <v>0.215596330275229</v>
      </c>
      <c r="AJ4" s="38" t="n">
        <f aca="false">+AJ3/AI3-1</f>
        <v>0.20377358490566</v>
      </c>
      <c r="AK4" s="38" t="n">
        <f aca="false">+AK3/AJ3-1</f>
        <v>0.172413793103448</v>
      </c>
      <c r="AL4" s="38" t="n">
        <f aca="false">+AL3/AK3-1</f>
        <v>0.106951871657754</v>
      </c>
      <c r="AM4" s="38" t="n">
        <f aca="false">+AM3/AL3-1</f>
        <v>0.0942028985507246</v>
      </c>
      <c r="AN4" s="38" t="n">
        <f aca="false">+AN3/AM3-1</f>
        <v>0.0463576158940398</v>
      </c>
      <c r="EN4" s="32"/>
      <c r="EO4" s="32"/>
      <c r="EP4" s="32"/>
      <c r="EQ4" s="32"/>
      <c r="ER4" s="32"/>
    </row>
    <row r="5" s="26" customFormat="true" ht="12.8" hidden="false" customHeight="false" outlineLevel="0" collapsed="false">
      <c r="A5" s="34" t="s">
        <v>155</v>
      </c>
      <c r="B5" s="26" t="n">
        <v>3.2</v>
      </c>
      <c r="C5" s="26" t="n">
        <v>3.2</v>
      </c>
      <c r="D5" s="26" t="n">
        <v>3.11</v>
      </c>
      <c r="E5" s="26" t="n">
        <v>3.47</v>
      </c>
      <c r="F5" s="40" t="n">
        <v>2.58</v>
      </c>
      <c r="G5" s="40" t="n">
        <v>2.69</v>
      </c>
      <c r="H5" s="40" t="n">
        <v>2.93</v>
      </c>
      <c r="I5" s="40" t="n">
        <v>3.29</v>
      </c>
      <c r="J5" s="40" t="n">
        <v>2.83</v>
      </c>
      <c r="K5" s="40" t="n">
        <v>2.86</v>
      </c>
      <c r="L5" s="40" t="n">
        <v>3.1</v>
      </c>
      <c r="M5" s="40" t="n">
        <v>3.44</v>
      </c>
      <c r="N5" s="40" t="n">
        <v>2.96</v>
      </c>
      <c r="O5" s="40" t="n">
        <v>2.87</v>
      </c>
      <c r="P5" s="40" t="n">
        <v>3.16</v>
      </c>
      <c r="Q5" s="40" t="n">
        <v>3.62</v>
      </c>
      <c r="R5" s="26" t="n">
        <v>3.17</v>
      </c>
      <c r="S5" s="26" t="n">
        <v>3.25</v>
      </c>
      <c r="Z5" s="36" t="s">
        <v>153</v>
      </c>
      <c r="AA5" s="36" t="s">
        <v>153</v>
      </c>
      <c r="AB5" s="36" t="s">
        <v>153</v>
      </c>
      <c r="AC5" s="36" t="s">
        <v>153</v>
      </c>
      <c r="AD5" s="36" t="s">
        <v>153</v>
      </c>
      <c r="AE5" s="26" t="n">
        <f aca="false">+0.32+0.5+0.84+1.05</f>
        <v>2.71</v>
      </c>
      <c r="AF5" s="26" t="n">
        <f aca="false">+0.9+1.05+1.17+1.53</f>
        <v>4.65</v>
      </c>
      <c r="AG5" s="26" t="n">
        <f aca="false">+1.21+1.4+1.6+2.09</f>
        <v>6.3</v>
      </c>
      <c r="AH5" s="26" t="n">
        <f aca="false">+1.68+1.91+2.12+2.58</f>
        <v>8.29</v>
      </c>
      <c r="AI5" s="26" t="n">
        <f aca="false">+2.02+1.91+2.73+3.44</f>
        <v>10.1</v>
      </c>
      <c r="AJ5" s="40" t="n">
        <v>13.65</v>
      </c>
      <c r="AK5" s="40" t="n">
        <v>12.98</v>
      </c>
      <c r="AL5" s="40" t="n">
        <v>11.49</v>
      </c>
      <c r="AM5" s="40" t="n">
        <v>12.23</v>
      </c>
      <c r="AN5" s="40" t="n">
        <v>12.61</v>
      </c>
      <c r="EN5" s="32"/>
      <c r="EO5" s="32"/>
      <c r="EP5" s="32"/>
      <c r="EQ5" s="32"/>
      <c r="ER5" s="32"/>
    </row>
    <row r="6" s="38" customFormat="true" ht="10.5" hidden="false" customHeight="true" outlineLevel="0" collapsed="false">
      <c r="A6" s="37" t="s">
        <v>154</v>
      </c>
      <c r="F6" s="39" t="n">
        <f aca="false">+F5/B5-1</f>
        <v>-0.19375</v>
      </c>
      <c r="G6" s="39" t="n">
        <f aca="false">+G5/C5-1</f>
        <v>-0.159375</v>
      </c>
      <c r="H6" s="39" t="n">
        <f aca="false">+H5/D5-1</f>
        <v>-0.057877813504823</v>
      </c>
      <c r="I6" s="39" t="n">
        <f aca="false">+I5/E5-1</f>
        <v>-0.0518731988472623</v>
      </c>
      <c r="J6" s="39" t="n">
        <f aca="false">+J5/F5-1</f>
        <v>0.0968992248062015</v>
      </c>
      <c r="K6" s="39" t="n">
        <f aca="false">+K5/G5-1</f>
        <v>0.0631970260223047</v>
      </c>
      <c r="L6" s="39" t="n">
        <f aca="false">+L5/H5-1</f>
        <v>0.0580204778156996</v>
      </c>
      <c r="M6" s="39" t="n">
        <f aca="false">+M5/I5-1</f>
        <v>0.0455927051671732</v>
      </c>
      <c r="N6" s="39" t="n">
        <f aca="false">+N5/J5-1</f>
        <v>0.0459363957597172</v>
      </c>
      <c r="O6" s="39" t="n">
        <f aca="false">+O5/K5-1</f>
        <v>0.00349650349650354</v>
      </c>
      <c r="P6" s="39" t="n">
        <f aca="false">+P5/L5-1</f>
        <v>0.0193548387096774</v>
      </c>
      <c r="Q6" s="39" t="n">
        <f aca="false">+Q5/M5-1</f>
        <v>0.0523255813953489</v>
      </c>
      <c r="R6" s="39" t="n">
        <f aca="false">+R5/N5-1</f>
        <v>0.0709459459459458</v>
      </c>
      <c r="S6" s="39" t="n">
        <f aca="false">+S5/O5-1</f>
        <v>0.132404181184669</v>
      </c>
      <c r="AF6" s="38" t="n">
        <f aca="false">+AF5/AE5-1</f>
        <v>0.715867158671587</v>
      </c>
      <c r="AG6" s="38" t="n">
        <f aca="false">+AG5/AF5-1</f>
        <v>0.354838709677419</v>
      </c>
      <c r="AH6" s="38" t="n">
        <f aca="false">+AH5/AG5-1</f>
        <v>0.315873015873016</v>
      </c>
      <c r="AI6" s="38" t="n">
        <f aca="false">+AI5/AH5-1</f>
        <v>0.218335343787696</v>
      </c>
      <c r="AJ6" s="38" t="n">
        <f aca="false">+AJ5/AI5-1</f>
        <v>0.351485148514852</v>
      </c>
      <c r="AK6" s="38" t="n">
        <f aca="false">+AK5/AJ5-1</f>
        <v>-0.0490842490842491</v>
      </c>
      <c r="AL6" s="38" t="n">
        <f aca="false">+AL5/AK5-1</f>
        <v>-0.114791987673344</v>
      </c>
      <c r="AM6" s="38" t="n">
        <f aca="false">+AM5/AL5-1</f>
        <v>0.0644038294168843</v>
      </c>
      <c r="AN6" s="38" t="n">
        <f aca="false">+AN5/AM5-1</f>
        <v>0.0310711365494685</v>
      </c>
      <c r="EN6" s="32"/>
      <c r="EO6" s="32"/>
      <c r="EP6" s="32"/>
      <c r="EQ6" s="32"/>
      <c r="ER6" s="32"/>
    </row>
    <row r="7" s="26" customFormat="true" ht="12.8" hidden="false" customHeight="false" outlineLevel="0" collapsed="false">
      <c r="A7" s="34" t="s">
        <v>156</v>
      </c>
      <c r="B7" s="36" t="s">
        <v>153</v>
      </c>
      <c r="C7" s="36" t="s">
        <v>153</v>
      </c>
      <c r="D7" s="36" t="s">
        <v>153</v>
      </c>
      <c r="E7" s="36" t="s">
        <v>153</v>
      </c>
      <c r="F7" s="35" t="n">
        <v>60.3</v>
      </c>
      <c r="G7" s="35" t="n">
        <v>60.4</v>
      </c>
      <c r="H7" s="35" t="n">
        <v>66</v>
      </c>
      <c r="I7" s="35" t="n">
        <v>73.1</v>
      </c>
      <c r="J7" s="35" t="n">
        <v>82.7</v>
      </c>
      <c r="K7" s="35" t="n">
        <v>91.2</v>
      </c>
      <c r="L7" s="35" t="n">
        <v>97.2</v>
      </c>
      <c r="M7" s="35" t="n">
        <v>101.7</v>
      </c>
      <c r="N7" s="35" t="n">
        <v>108.1</v>
      </c>
      <c r="O7" s="35" t="n">
        <v>110.4</v>
      </c>
      <c r="P7" s="35" t="n">
        <v>116</v>
      </c>
      <c r="Q7" s="35" t="n">
        <v>121.4</v>
      </c>
      <c r="R7" s="26" t="n">
        <v>127</v>
      </c>
      <c r="S7" s="26" t="n">
        <v>130</v>
      </c>
      <c r="Z7" s="36" t="s">
        <v>153</v>
      </c>
      <c r="AA7" s="36" t="s">
        <v>153</v>
      </c>
      <c r="AB7" s="36" t="s">
        <v>153</v>
      </c>
      <c r="AC7" s="36" t="s">
        <v>153</v>
      </c>
      <c r="AD7" s="36" t="s">
        <v>153</v>
      </c>
      <c r="AE7" s="36" t="s">
        <v>153</v>
      </c>
      <c r="AF7" s="36" t="s">
        <v>153</v>
      </c>
      <c r="AG7" s="36" t="s">
        <v>153</v>
      </c>
      <c r="AH7" s="36" t="s">
        <v>153</v>
      </c>
      <c r="AI7" s="36" t="s">
        <v>153</v>
      </c>
      <c r="AJ7" s="36" t="s">
        <v>153</v>
      </c>
      <c r="AK7" s="36" t="s">
        <v>153</v>
      </c>
      <c r="AL7" s="26" t="n">
        <v>73.1</v>
      </c>
      <c r="AM7" s="26" t="n">
        <v>101.7</v>
      </c>
      <c r="AN7" s="26" t="n">
        <v>121</v>
      </c>
      <c r="EN7" s="32"/>
      <c r="EO7" s="32"/>
      <c r="EP7" s="32"/>
      <c r="EQ7" s="32"/>
      <c r="ER7" s="32"/>
    </row>
    <row r="8" s="38" customFormat="true" ht="10.5" hidden="false" customHeight="true" outlineLevel="0" collapsed="false">
      <c r="A8" s="37" t="s">
        <v>154</v>
      </c>
      <c r="J8" s="39" t="n">
        <f aca="false">+J7/F7-1</f>
        <v>0.371475953565506</v>
      </c>
      <c r="K8" s="39" t="n">
        <f aca="false">+K7/G7-1</f>
        <v>0.509933774834437</v>
      </c>
      <c r="L8" s="39" t="n">
        <f aca="false">+L7/H7-1</f>
        <v>0.472727272727273</v>
      </c>
      <c r="M8" s="39" t="n">
        <f aca="false">+M7/I7-1</f>
        <v>0.39124487004104</v>
      </c>
      <c r="N8" s="39" t="n">
        <f aca="false">+N7/J7-1</f>
        <v>0.307134220072551</v>
      </c>
      <c r="O8" s="39" t="n">
        <f aca="false">+O7/K7-1</f>
        <v>0.210526315789474</v>
      </c>
      <c r="P8" s="39" t="n">
        <f aca="false">+P7/L7-1</f>
        <v>0.193415637860082</v>
      </c>
      <c r="Q8" s="39" t="n">
        <f aca="false">+Q7/M7-1</f>
        <v>0.193706981317601</v>
      </c>
      <c r="R8" s="39" t="n">
        <f aca="false">+R7/N7-1</f>
        <v>0.174838112858464</v>
      </c>
      <c r="S8" s="39" t="n">
        <f aca="false">+S7/O7-1</f>
        <v>0.177536231884058</v>
      </c>
      <c r="AM8" s="38" t="n">
        <f aca="false">+AM7/AL7-1</f>
        <v>0.39124487004104</v>
      </c>
      <c r="AN8" s="38" t="n">
        <f aca="false">+AN7/AM7-1</f>
        <v>0.189773844641101</v>
      </c>
      <c r="EN8" s="32"/>
      <c r="EO8" s="32"/>
      <c r="EP8" s="32"/>
      <c r="EQ8" s="32"/>
      <c r="ER8" s="32"/>
    </row>
    <row r="9" s="26" customFormat="true" ht="12.8" hidden="false" customHeight="false" outlineLevel="0" collapsed="false">
      <c r="A9" s="34" t="s">
        <v>157</v>
      </c>
      <c r="B9" s="36" t="s">
        <v>153</v>
      </c>
      <c r="C9" s="36" t="s">
        <v>153</v>
      </c>
      <c r="D9" s="36" t="s">
        <v>153</v>
      </c>
      <c r="E9" s="36" t="s">
        <v>153</v>
      </c>
      <c r="F9" s="41" t="n">
        <v>2.72</v>
      </c>
      <c r="G9" s="41" t="n">
        <v>3.03</v>
      </c>
      <c r="H9" s="41" t="n">
        <v>3.14</v>
      </c>
      <c r="I9" s="41" t="n">
        <v>3.42</v>
      </c>
      <c r="J9" s="41" t="n">
        <v>2.94</v>
      </c>
      <c r="K9" s="41" t="n">
        <v>3.08</v>
      </c>
      <c r="L9" s="41" t="n">
        <v>3.58</v>
      </c>
      <c r="M9" s="41" t="n">
        <v>4.21</v>
      </c>
      <c r="N9" s="41" t="n">
        <v>3.63</v>
      </c>
      <c r="O9" s="41" t="n">
        <v>4.53</v>
      </c>
      <c r="P9" s="41" t="n">
        <v>5.04</v>
      </c>
      <c r="Q9" s="41" t="n">
        <v>5.98</v>
      </c>
      <c r="R9" s="42" t="n">
        <v>5.23</v>
      </c>
      <c r="S9" s="42" t="n">
        <v>6.18</v>
      </c>
      <c r="Z9" s="36" t="s">
        <v>153</v>
      </c>
      <c r="AA9" s="36" t="s">
        <v>153</v>
      </c>
      <c r="AB9" s="36" t="s">
        <v>153</v>
      </c>
      <c r="AC9" s="36" t="s">
        <v>153</v>
      </c>
      <c r="AD9" s="36" t="s">
        <v>153</v>
      </c>
      <c r="AE9" s="36" t="s">
        <v>153</v>
      </c>
      <c r="AF9" s="36" t="s">
        <v>153</v>
      </c>
      <c r="AG9" s="36" t="s">
        <v>153</v>
      </c>
      <c r="AH9" s="36" t="s">
        <v>153</v>
      </c>
      <c r="AI9" s="36" t="s">
        <v>153</v>
      </c>
      <c r="AJ9" s="36" t="s">
        <v>153</v>
      </c>
      <c r="AK9" s="36" t="s">
        <v>153</v>
      </c>
      <c r="AL9" s="26" t="n">
        <v>3.42</v>
      </c>
      <c r="AM9" s="26" t="n">
        <v>4.21</v>
      </c>
      <c r="AN9" s="26" t="n">
        <v>5.98</v>
      </c>
      <c r="EN9" s="32"/>
      <c r="EO9" s="32"/>
      <c r="EP9" s="32"/>
      <c r="EQ9" s="32"/>
      <c r="ER9" s="32"/>
    </row>
    <row r="10" s="38" customFormat="true" ht="10.5" hidden="false" customHeight="true" outlineLevel="0" collapsed="false">
      <c r="A10" s="37" t="s">
        <v>154</v>
      </c>
      <c r="J10" s="39" t="n">
        <f aca="false">+J9/F9-1</f>
        <v>0.0808823529411764</v>
      </c>
      <c r="K10" s="39" t="n">
        <f aca="false">+K9/G9-1</f>
        <v>0.0165016501650166</v>
      </c>
      <c r="L10" s="39" t="n">
        <f aca="false">+L9/H9-1</f>
        <v>0.140127388535032</v>
      </c>
      <c r="M10" s="39" t="n">
        <f aca="false">+M9/I9-1</f>
        <v>0.230994152046784</v>
      </c>
      <c r="N10" s="39" t="n">
        <f aca="false">+N9/J9-1</f>
        <v>0.23469387755102</v>
      </c>
      <c r="O10" s="39" t="n">
        <f aca="false">+O9/K9-1</f>
        <v>0.470779220779221</v>
      </c>
      <c r="P10" s="39" t="n">
        <f aca="false">+P9/L9-1</f>
        <v>0.407821229050279</v>
      </c>
      <c r="Q10" s="39" t="n">
        <f aca="false">+Q9/M9-1</f>
        <v>0.420427553444181</v>
      </c>
      <c r="R10" s="39" t="n">
        <f aca="false">+R9/N9-1</f>
        <v>0.440771349862259</v>
      </c>
      <c r="S10" s="39" t="n">
        <f aca="false">+S9/O9-1</f>
        <v>0.364238410596026</v>
      </c>
      <c r="AM10" s="38" t="n">
        <f aca="false">+AM9/AL9-1</f>
        <v>0.230994152046784</v>
      </c>
      <c r="AN10" s="38" t="n">
        <f aca="false">+AN9/AM9-1</f>
        <v>0.420427553444181</v>
      </c>
      <c r="EN10" s="32"/>
      <c r="EO10" s="32"/>
      <c r="EP10" s="32"/>
      <c r="EQ10" s="32"/>
      <c r="ER10" s="32"/>
    </row>
    <row r="11" s="25" customFormat="true" ht="12.8" hidden="false" customHeight="false" outlineLevel="0" collapsed="false">
      <c r="A11" s="43" t="s">
        <v>158</v>
      </c>
      <c r="B11" s="43" t="n">
        <v>433</v>
      </c>
      <c r="C11" s="43" t="n">
        <v>433</v>
      </c>
      <c r="D11" s="43" t="n">
        <v>445</v>
      </c>
      <c r="E11" s="43" t="n">
        <v>450</v>
      </c>
      <c r="F11" s="43" t="n">
        <v>463</v>
      </c>
      <c r="G11" s="43" t="n">
        <v>465</v>
      </c>
      <c r="H11" s="43" t="n">
        <v>482</v>
      </c>
      <c r="I11" s="43" t="n">
        <v>498</v>
      </c>
      <c r="J11" s="43" t="n">
        <v>518</v>
      </c>
      <c r="K11" s="43" t="n">
        <v>522</v>
      </c>
      <c r="L11" s="43" t="n">
        <v>537</v>
      </c>
      <c r="M11" s="43" t="n">
        <v>553</v>
      </c>
      <c r="N11" s="43" t="n">
        <v>570</v>
      </c>
      <c r="O11" s="43" t="n">
        <v>578</v>
      </c>
      <c r="P11" s="43" t="n">
        <v>600</v>
      </c>
      <c r="Q11" s="43" t="n">
        <v>619</v>
      </c>
      <c r="R11" s="43" t="n">
        <v>631</v>
      </c>
      <c r="S11" s="43" t="n">
        <v>640</v>
      </c>
      <c r="T11" s="43"/>
      <c r="U11" s="43"/>
      <c r="V11" s="43"/>
      <c r="W11" s="43"/>
      <c r="X11" s="43"/>
      <c r="Y11" s="43"/>
      <c r="Z11" s="36" t="s">
        <v>153</v>
      </c>
      <c r="AA11" s="36" t="s">
        <v>153</v>
      </c>
      <c r="AB11" s="36" t="s">
        <v>153</v>
      </c>
      <c r="AC11" s="36" t="s">
        <v>153</v>
      </c>
      <c r="AD11" s="36" t="s">
        <v>153</v>
      </c>
      <c r="AE11" s="36" t="s">
        <v>153</v>
      </c>
      <c r="AF11" s="36" t="s">
        <v>153</v>
      </c>
      <c r="AG11" s="43" t="n">
        <v>265</v>
      </c>
      <c r="AH11" s="43" t="n">
        <v>335</v>
      </c>
      <c r="AI11" s="43" t="n">
        <v>459</v>
      </c>
      <c r="AJ11" s="43" t="n">
        <v>431</v>
      </c>
      <c r="AK11" s="26" t="n">
        <v>450</v>
      </c>
      <c r="AL11" s="26" t="n">
        <v>498</v>
      </c>
      <c r="AM11" s="43" t="n">
        <v>553</v>
      </c>
      <c r="AN11" s="43" t="n">
        <v>619</v>
      </c>
      <c r="AO11" s="43"/>
      <c r="AP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3"/>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3"/>
      <c r="CX11" s="43"/>
      <c r="CY11" s="43"/>
      <c r="CZ11" s="43"/>
      <c r="DA11" s="43"/>
      <c r="DB11" s="43"/>
      <c r="DC11" s="43"/>
      <c r="DD11" s="43"/>
      <c r="DE11" s="43"/>
      <c r="DF11" s="43"/>
      <c r="DG11" s="43"/>
      <c r="DH11" s="43"/>
      <c r="DI11" s="43"/>
      <c r="DJ11" s="43"/>
      <c r="DK11" s="43"/>
      <c r="DL11" s="43"/>
      <c r="DM11" s="43"/>
      <c r="DN11" s="43"/>
      <c r="DO11" s="43"/>
      <c r="DP11" s="43"/>
      <c r="DQ11" s="43"/>
      <c r="DR11" s="43"/>
      <c r="DS11" s="43"/>
      <c r="DT11" s="43"/>
      <c r="DU11" s="43"/>
      <c r="DV11" s="43"/>
      <c r="DW11" s="43"/>
      <c r="DX11" s="43"/>
      <c r="DY11" s="43"/>
      <c r="DZ11" s="43"/>
      <c r="EA11" s="43"/>
      <c r="EB11" s="43"/>
      <c r="EC11" s="43"/>
      <c r="EN11" s="32"/>
      <c r="EO11" s="32"/>
      <c r="EP11" s="32"/>
      <c r="EQ11" s="32"/>
      <c r="ER11" s="32"/>
    </row>
    <row r="12" s="39" customFormat="true" ht="10.5" hidden="false" customHeight="true" outlineLevel="0" collapsed="false">
      <c r="A12" s="37" t="s">
        <v>154</v>
      </c>
      <c r="F12" s="39" t="n">
        <f aca="false">+F11/B11-1</f>
        <v>0.0692840646651269</v>
      </c>
      <c r="G12" s="39" t="n">
        <f aca="false">+G11/C11-1</f>
        <v>0.0739030023094689</v>
      </c>
      <c r="H12" s="39" t="n">
        <f aca="false">+H11/D11-1</f>
        <v>0.0831460674157303</v>
      </c>
      <c r="I12" s="39" t="n">
        <f aca="false">+I11/E11-1</f>
        <v>0.106666666666667</v>
      </c>
      <c r="J12" s="39" t="n">
        <f aca="false">+J11/F11-1</f>
        <v>0.118790496760259</v>
      </c>
      <c r="K12" s="39" t="n">
        <f aca="false">+K11/G11-1</f>
        <v>0.12258064516129</v>
      </c>
      <c r="L12" s="39" t="n">
        <f aca="false">+L11/H11-1</f>
        <v>0.114107883817427</v>
      </c>
      <c r="M12" s="39" t="n">
        <f aca="false">+M11/I11-1</f>
        <v>0.110441767068273</v>
      </c>
      <c r="N12" s="39" t="n">
        <f aca="false">+N11/J11-1</f>
        <v>0.1003861003861</v>
      </c>
      <c r="O12" s="39" t="n">
        <f aca="false">+O11/K11-1</f>
        <v>0.10727969348659</v>
      </c>
      <c r="P12" s="39" t="n">
        <f aca="false">+P11/L11-1</f>
        <v>0.11731843575419</v>
      </c>
      <c r="Q12" s="39" t="n">
        <f aca="false">+Q11/M11-1</f>
        <v>0.119349005424955</v>
      </c>
      <c r="R12" s="39" t="n">
        <f aca="false">+R11/N11-1</f>
        <v>0.107017543859649</v>
      </c>
      <c r="S12" s="39" t="n">
        <f aca="false">+S11/O11-1</f>
        <v>0.107266435986159</v>
      </c>
      <c r="AH12" s="39" t="n">
        <f aca="false">+AH11/AG11-1</f>
        <v>0.264150943396226</v>
      </c>
      <c r="AI12" s="39" t="n">
        <f aca="false">+AI11/AH11-1</f>
        <v>0.370149253731343</v>
      </c>
      <c r="AJ12" s="39" t="n">
        <f aca="false">+AJ11/AI11-1</f>
        <v>-0.0610021786492375</v>
      </c>
      <c r="AK12" s="39" t="n">
        <f aca="false">+AK11/AJ11-1</f>
        <v>0.0440835266821347</v>
      </c>
      <c r="AL12" s="39" t="n">
        <f aca="false">+AL11/AK11-1</f>
        <v>0.106666666666667</v>
      </c>
      <c r="AM12" s="39" t="n">
        <f aca="false">+AM11/AL11-1</f>
        <v>0.110441767068273</v>
      </c>
      <c r="AN12" s="39" t="n">
        <f aca="false">+AN11/AM11-1</f>
        <v>0.119349005424955</v>
      </c>
      <c r="EN12" s="32"/>
      <c r="EO12" s="32"/>
      <c r="EP12" s="32"/>
      <c r="EQ12" s="32"/>
      <c r="ER12" s="32"/>
    </row>
    <row r="13" s="25" customFormat="true" ht="12.8" hidden="false" customHeight="false" outlineLevel="0" collapsed="false">
      <c r="A13" s="44" t="s">
        <v>159</v>
      </c>
      <c r="B13" s="44" t="n">
        <v>1.33</v>
      </c>
      <c r="C13" s="44" t="n">
        <v>1.54</v>
      </c>
      <c r="D13" s="44" t="n">
        <v>1.56</v>
      </c>
      <c r="E13" s="44" t="n">
        <v>1.96</v>
      </c>
      <c r="F13" s="44" t="n">
        <v>1.32</v>
      </c>
      <c r="G13" s="44" t="n">
        <v>1.53</v>
      </c>
      <c r="H13" s="44" t="n">
        <v>1.61</v>
      </c>
      <c r="I13" s="44" t="n">
        <v>2</v>
      </c>
      <c r="J13" s="44" t="n">
        <v>1.46</v>
      </c>
      <c r="K13" s="44" t="n">
        <v>1.64</v>
      </c>
      <c r="L13" s="44" t="n">
        <v>1.7</v>
      </c>
      <c r="M13" s="44" t="n">
        <v>2.12</v>
      </c>
      <c r="N13" s="44" t="n">
        <v>1.52</v>
      </c>
      <c r="O13" s="44" t="n">
        <v>1.74</v>
      </c>
      <c r="P13" s="44" t="n">
        <v>1.78</v>
      </c>
      <c r="Q13" s="44" t="n">
        <v>2.16</v>
      </c>
      <c r="R13" s="44" t="n">
        <v>1.61</v>
      </c>
      <c r="S13" s="44" t="n">
        <v>1.86</v>
      </c>
      <c r="T13" s="44"/>
      <c r="U13" s="44"/>
      <c r="V13" s="44"/>
      <c r="W13" s="44"/>
      <c r="X13" s="44"/>
      <c r="Y13" s="44"/>
      <c r="Z13" s="36" t="s">
        <v>153</v>
      </c>
      <c r="AA13" s="36" t="s">
        <v>153</v>
      </c>
      <c r="AB13" s="36" t="s">
        <v>153</v>
      </c>
      <c r="AC13" s="36" t="s">
        <v>153</v>
      </c>
      <c r="AD13" s="36" t="s">
        <v>153</v>
      </c>
      <c r="AE13" s="36" t="s">
        <v>153</v>
      </c>
      <c r="AF13" s="36" t="s">
        <v>153</v>
      </c>
      <c r="AG13" s="44" t="n">
        <v>1.06</v>
      </c>
      <c r="AH13" s="44" t="n">
        <v>1.22</v>
      </c>
      <c r="AI13" s="44" t="n">
        <v>1.57</v>
      </c>
      <c r="AJ13" s="44" t="n">
        <v>1.93</v>
      </c>
      <c r="AK13" s="44" t="n">
        <v>1.96</v>
      </c>
      <c r="AL13" s="44" t="n">
        <v>2</v>
      </c>
      <c r="AM13" s="44" t="n">
        <v>2.12</v>
      </c>
      <c r="AN13" s="44" t="n">
        <v>2.16</v>
      </c>
      <c r="AO13" s="44"/>
      <c r="AP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c r="CY13" s="44"/>
      <c r="CZ13" s="44"/>
      <c r="DA13" s="44"/>
      <c r="DB13" s="44"/>
      <c r="DC13" s="44"/>
      <c r="DD13" s="44"/>
      <c r="DE13" s="44"/>
      <c r="DF13" s="44"/>
      <c r="DG13" s="44"/>
      <c r="DH13" s="44"/>
      <c r="DI13" s="44"/>
      <c r="DJ13" s="44"/>
      <c r="DK13" s="44"/>
      <c r="DL13" s="44"/>
      <c r="DM13" s="44"/>
      <c r="DN13" s="44"/>
      <c r="DO13" s="44"/>
      <c r="DP13" s="44"/>
      <c r="DQ13" s="44"/>
      <c r="DR13" s="44"/>
      <c r="DS13" s="44"/>
      <c r="DT13" s="44"/>
      <c r="DU13" s="44"/>
      <c r="DV13" s="44"/>
      <c r="DW13" s="44"/>
      <c r="DX13" s="44"/>
      <c r="DY13" s="44"/>
      <c r="DZ13" s="44"/>
      <c r="EA13" s="44"/>
      <c r="EB13" s="44"/>
      <c r="EC13" s="44"/>
      <c r="EN13" s="32"/>
      <c r="EO13" s="32"/>
      <c r="EP13" s="32"/>
      <c r="EQ13" s="32"/>
      <c r="ER13" s="32"/>
    </row>
    <row r="14" s="46" customFormat="true" ht="10.5" hidden="false" customHeight="true" outlineLevel="0" collapsed="false">
      <c r="A14" s="45" t="s">
        <v>154</v>
      </c>
      <c r="F14" s="47" t="n">
        <f aca="false">+F13/B13-1</f>
        <v>-0.00751879699248126</v>
      </c>
      <c r="G14" s="47" t="n">
        <f aca="false">+G13/C13-1</f>
        <v>-0.00649350649350655</v>
      </c>
      <c r="H14" s="47" t="n">
        <f aca="false">+H13/D13-1</f>
        <v>0.0320512820512822</v>
      </c>
      <c r="I14" s="47" t="n">
        <f aca="false">+I13/E13-1</f>
        <v>0.0204081632653061</v>
      </c>
      <c r="J14" s="47" t="n">
        <f aca="false">+J13/F13-1</f>
        <v>0.106060606060606</v>
      </c>
      <c r="K14" s="47" t="n">
        <f aca="false">+K13/G13-1</f>
        <v>0.0718954248366013</v>
      </c>
      <c r="L14" s="47" t="n">
        <f aca="false">+L13/H13-1</f>
        <v>0.0559006211180124</v>
      </c>
      <c r="M14" s="47" t="n">
        <f aca="false">+M13/I13-1</f>
        <v>0.0600000000000001</v>
      </c>
      <c r="N14" s="47" t="n">
        <f aca="false">+N13/J13-1</f>
        <v>0.0410958904109588</v>
      </c>
      <c r="O14" s="47" t="n">
        <f aca="false">+O13/K13-1</f>
        <v>0.0609756097560976</v>
      </c>
      <c r="P14" s="47" t="n">
        <f aca="false">+P13/L13-1</f>
        <v>0.0470588235294118</v>
      </c>
      <c r="Q14" s="47" t="n">
        <f aca="false">+Q13/M13-1</f>
        <v>0.0188679245283019</v>
      </c>
      <c r="R14" s="47" t="n">
        <f aca="false">+R13/N13-1</f>
        <v>0.0592105263157896</v>
      </c>
      <c r="S14" s="47" t="n">
        <f aca="false">+S13/O13-1</f>
        <v>0.0689655172413795</v>
      </c>
      <c r="AH14" s="47" t="n">
        <f aca="false">+AH13/AG13-1</f>
        <v>0.150943396226415</v>
      </c>
      <c r="AI14" s="47" t="n">
        <f aca="false">+AI13/AH13-1</f>
        <v>0.286885245901639</v>
      </c>
      <c r="AJ14" s="47" t="n">
        <f aca="false">+AJ13/AI13-1</f>
        <v>0.229299363057325</v>
      </c>
      <c r="AK14" s="47" t="n">
        <f aca="false">+AK13/AJ13-1</f>
        <v>0.0155440414507773</v>
      </c>
      <c r="AL14" s="47" t="n">
        <f aca="false">+AL13/AK13-1</f>
        <v>0.0204081632653061</v>
      </c>
      <c r="AM14" s="47" t="n">
        <f aca="false">+AM13/AL13-1</f>
        <v>0.0600000000000001</v>
      </c>
      <c r="AN14" s="47" t="n">
        <f aca="false">+AN13/AM13-1</f>
        <v>0.0188679245283019</v>
      </c>
      <c r="EN14" s="32"/>
      <c r="EO14" s="32"/>
      <c r="EP14" s="32"/>
      <c r="EQ14" s="32"/>
      <c r="ER14" s="32"/>
    </row>
    <row r="15" s="4" customFormat="true" ht="12.8" hidden="false" customHeight="false" outlineLevel="0" collapsed="false">
      <c r="EN15" s="32"/>
      <c r="EO15" s="32"/>
      <c r="EP15" s="32"/>
      <c r="EQ15" s="32"/>
      <c r="ER15" s="32"/>
    </row>
    <row r="16" s="50" customFormat="true" ht="12.8" hidden="false" customHeight="false" outlineLevel="0" collapsed="false">
      <c r="A16" s="48" t="s">
        <v>81</v>
      </c>
      <c r="B16" s="49" t="n">
        <v>2870</v>
      </c>
      <c r="C16" s="49" t="n">
        <v>2880</v>
      </c>
      <c r="D16" s="49" t="n">
        <v>2930</v>
      </c>
      <c r="E16" s="49" t="n">
        <v>2963</v>
      </c>
      <c r="F16" s="49" t="n">
        <v>3020</v>
      </c>
      <c r="G16" s="49" t="n">
        <v>3070</v>
      </c>
      <c r="H16" s="49" t="n">
        <v>3140</v>
      </c>
      <c r="I16" s="49" t="n">
        <v>3190</v>
      </c>
      <c r="J16" s="49" t="n">
        <v>3240</v>
      </c>
      <c r="K16" s="49" t="n">
        <v>3270</v>
      </c>
      <c r="L16" s="49" t="n">
        <v>3290</v>
      </c>
      <c r="M16" s="49" t="n">
        <v>3350</v>
      </c>
      <c r="N16" s="49" t="n">
        <v>3430</v>
      </c>
      <c r="O16" s="49" t="n">
        <v>3480</v>
      </c>
      <c r="P16" s="49" t="n">
        <v>3540</v>
      </c>
      <c r="Q16" s="49" t="n">
        <v>3580</v>
      </c>
      <c r="R16" s="49" t="n">
        <v>3560</v>
      </c>
      <c r="S16" s="49" t="n">
        <v>3600</v>
      </c>
      <c r="T16" s="49" t="n">
        <f aca="false">+S16*1.01</f>
        <v>3636</v>
      </c>
      <c r="U16" s="49" t="n">
        <f aca="false">+T16*1.01</f>
        <v>3672.36</v>
      </c>
      <c r="V16" s="49"/>
      <c r="W16" s="49"/>
      <c r="X16" s="49"/>
      <c r="Y16" s="49"/>
      <c r="Z16" s="49" t="n">
        <v>483</v>
      </c>
      <c r="AA16" s="49" t="n">
        <v>618</v>
      </c>
      <c r="AB16" s="49" t="n">
        <v>757</v>
      </c>
      <c r="AC16" s="49" t="n">
        <v>890</v>
      </c>
      <c r="AD16" s="49" t="n">
        <v>1018</v>
      </c>
      <c r="AE16" s="49" t="n">
        <v>1227</v>
      </c>
      <c r="AF16" s="49" t="n">
        <v>1401</v>
      </c>
      <c r="AG16" s="49" t="n">
        <v>1523</v>
      </c>
      <c r="AH16" s="49" t="n">
        <v>1657</v>
      </c>
      <c r="AI16" s="49" t="n">
        <v>2540</v>
      </c>
      <c r="AJ16" s="49" t="n">
        <v>2820</v>
      </c>
      <c r="AK16" s="49" t="n">
        <v>2963</v>
      </c>
      <c r="AL16" s="49" t="n">
        <v>3190</v>
      </c>
      <c r="AM16" s="49" t="n">
        <v>3350</v>
      </c>
      <c r="AN16" s="49" t="n">
        <v>3580</v>
      </c>
      <c r="AO16" s="49" t="n">
        <f aca="false">+AN16*1.03</f>
        <v>3687.4</v>
      </c>
      <c r="AP16" s="49" t="n">
        <f aca="false">+AO16*1.04</f>
        <v>3834.896</v>
      </c>
      <c r="AQ16" s="49" t="n">
        <f aca="false">+AP16*1.04</f>
        <v>3988.29184</v>
      </c>
      <c r="AR16" s="49" t="n">
        <f aca="false">+AQ16*1.04</f>
        <v>4147.8235136</v>
      </c>
      <c r="AS16" s="49"/>
      <c r="AT16" s="49"/>
      <c r="AU16" s="49"/>
      <c r="AV16" s="49"/>
      <c r="AW16" s="49"/>
      <c r="AX16" s="49"/>
      <c r="AY16" s="49"/>
      <c r="AZ16" s="49"/>
      <c r="BA16" s="49"/>
      <c r="BB16" s="49"/>
      <c r="BC16" s="49"/>
      <c r="BD16" s="49"/>
      <c r="BE16" s="49"/>
      <c r="BF16" s="49"/>
      <c r="BG16" s="49"/>
      <c r="BH16" s="49"/>
      <c r="BI16" s="49"/>
      <c r="BJ16" s="49"/>
      <c r="BK16" s="49"/>
      <c r="BL16" s="49"/>
      <c r="BM16" s="49"/>
      <c r="BN16" s="49"/>
      <c r="BO16" s="49"/>
      <c r="BP16" s="49"/>
      <c r="BQ16" s="49"/>
      <c r="BR16" s="49"/>
      <c r="BS16" s="49"/>
      <c r="BT16" s="49"/>
      <c r="BU16" s="49"/>
      <c r="BV16" s="49"/>
      <c r="BW16" s="49"/>
      <c r="BX16" s="49"/>
      <c r="BY16" s="49"/>
      <c r="BZ16" s="49"/>
      <c r="CA16" s="49"/>
      <c r="CB16" s="49"/>
      <c r="CC16" s="49"/>
      <c r="CD16" s="49"/>
      <c r="CE16" s="49"/>
      <c r="CF16" s="49"/>
      <c r="CG16" s="49"/>
      <c r="CH16" s="49"/>
      <c r="CI16" s="49"/>
      <c r="CJ16" s="49"/>
      <c r="CK16" s="49"/>
      <c r="CL16" s="49"/>
      <c r="CM16" s="49"/>
      <c r="CN16" s="49"/>
      <c r="CO16" s="49"/>
      <c r="CP16" s="49"/>
      <c r="CQ16" s="49"/>
      <c r="CR16" s="49"/>
      <c r="CS16" s="49"/>
      <c r="CT16" s="49"/>
      <c r="CU16" s="49"/>
      <c r="CV16" s="49"/>
      <c r="CW16" s="49"/>
      <c r="CX16" s="49"/>
      <c r="CY16" s="49"/>
      <c r="CZ16" s="49"/>
      <c r="DA16" s="49"/>
      <c r="DB16" s="49"/>
      <c r="DC16" s="49"/>
      <c r="DD16" s="49"/>
      <c r="DE16" s="49"/>
      <c r="DF16" s="49"/>
      <c r="DG16" s="49"/>
      <c r="DH16" s="49"/>
      <c r="DI16" s="49"/>
      <c r="DJ16" s="49"/>
      <c r="DK16" s="49"/>
      <c r="DL16" s="49"/>
      <c r="DM16" s="49"/>
      <c r="DN16" s="49"/>
      <c r="DO16" s="49"/>
      <c r="DP16" s="49"/>
      <c r="DQ16" s="49"/>
      <c r="DR16" s="49"/>
      <c r="DS16" s="49"/>
      <c r="DT16" s="49"/>
      <c r="DU16" s="49"/>
      <c r="DV16" s="49"/>
      <c r="DW16" s="49"/>
      <c r="DX16" s="49"/>
      <c r="DY16" s="49"/>
      <c r="DZ16" s="49"/>
      <c r="EA16" s="49"/>
      <c r="EB16" s="49"/>
      <c r="EC16" s="49"/>
      <c r="ED16" s="49"/>
      <c r="EE16" s="49"/>
      <c r="EF16" s="49"/>
      <c r="EG16" s="49"/>
      <c r="EH16" s="49"/>
      <c r="EI16" s="49"/>
      <c r="EJ16" s="49"/>
      <c r="EK16" s="49"/>
      <c r="EL16" s="49"/>
      <c r="EM16" s="49"/>
      <c r="EN16" s="32"/>
      <c r="EO16" s="32"/>
      <c r="EP16" s="32"/>
      <c r="EQ16" s="32"/>
      <c r="ER16" s="32"/>
    </row>
    <row r="17" s="39" customFormat="true" ht="10.5" hidden="false" customHeight="true" outlineLevel="0" collapsed="false">
      <c r="A17" s="37" t="s">
        <v>154</v>
      </c>
      <c r="B17" s="39" t="n">
        <v>0</v>
      </c>
      <c r="C17" s="39" t="n">
        <v>0</v>
      </c>
      <c r="D17" s="39" t="n">
        <v>0</v>
      </c>
      <c r="E17" s="39" t="n">
        <v>0</v>
      </c>
      <c r="F17" s="38" t="n">
        <f aca="false">+F16/B16-1</f>
        <v>0.0522648083623694</v>
      </c>
      <c r="G17" s="38" t="n">
        <f aca="false">+G16/C16-1</f>
        <v>0.0659722222222223</v>
      </c>
      <c r="H17" s="38" t="n">
        <f aca="false">+H16/D16-1</f>
        <v>0.0716723549488054</v>
      </c>
      <c r="I17" s="38" t="n">
        <f aca="false">+I16/E16-1</f>
        <v>0.0766115423557205</v>
      </c>
      <c r="J17" s="38" t="n">
        <f aca="false">+J16/F16-1</f>
        <v>0.0728476821192052</v>
      </c>
      <c r="K17" s="38" t="n">
        <f aca="false">+K16/G16-1</f>
        <v>0.0651465798045603</v>
      </c>
      <c r="L17" s="38" t="n">
        <f aca="false">+L16/H16-1</f>
        <v>0.0477707006369428</v>
      </c>
      <c r="M17" s="38" t="n">
        <f aca="false">+M16/I16-1</f>
        <v>0.0501567398119123</v>
      </c>
      <c r="N17" s="38" t="n">
        <f aca="false">+N16/J16-1</f>
        <v>0.058641975308642</v>
      </c>
      <c r="O17" s="38" t="n">
        <f aca="false">+O16/K16-1</f>
        <v>0.0642201834862386</v>
      </c>
      <c r="P17" s="38" t="n">
        <f aca="false">+P16/L16-1</f>
        <v>0.0759878419452889</v>
      </c>
      <c r="Q17" s="38" t="n">
        <f aca="false">+Q16/M16-1</f>
        <v>0.0686567164179104</v>
      </c>
      <c r="R17" s="38" t="n">
        <f aca="false">+R16/N16-1</f>
        <v>0.0379008746355685</v>
      </c>
      <c r="S17" s="38" t="n">
        <f aca="false">+S16/O16-1</f>
        <v>0.0344827586206897</v>
      </c>
      <c r="T17" s="38" t="n">
        <f aca="false">+T16/P16-1</f>
        <v>0.0271186440677966</v>
      </c>
      <c r="U17" s="38" t="n">
        <f aca="false">+U16/Q16-1</f>
        <v>0.0257988826815643</v>
      </c>
      <c r="V17" s="38"/>
      <c r="W17" s="38"/>
      <c r="X17" s="38"/>
      <c r="Y17" s="38"/>
      <c r="Z17" s="38"/>
      <c r="AA17" s="38" t="n">
        <f aca="false">AA16/Z16-1</f>
        <v>0.279503105590062</v>
      </c>
      <c r="AB17" s="38" t="n">
        <f aca="false">AB16/AA16-1</f>
        <v>0.224919093851133</v>
      </c>
      <c r="AC17" s="38" t="n">
        <f aca="false">AC16/AB16-1</f>
        <v>0.175693527080581</v>
      </c>
      <c r="AD17" s="38" t="n">
        <f aca="false">AD16/AC16-1</f>
        <v>0.143820224719101</v>
      </c>
      <c r="AE17" s="38" t="n">
        <f aca="false">AE16/AD16-1</f>
        <v>0.205304518664047</v>
      </c>
      <c r="AF17" s="38" t="n">
        <f aca="false">AF16/AE16-1</f>
        <v>0.141809290953545</v>
      </c>
      <c r="AG17" s="38" t="n">
        <f aca="false">AG16/AF16-1</f>
        <v>0.0870806566738045</v>
      </c>
      <c r="AH17" s="38" t="n">
        <f aca="false">AH16/AG16-1</f>
        <v>0.0879842416283652</v>
      </c>
      <c r="AI17" s="38" t="n">
        <f aca="false">AI16/AH16-1</f>
        <v>0.532890766445383</v>
      </c>
      <c r="AJ17" s="38" t="n">
        <f aca="false">AJ16/AI16-1</f>
        <v>0.110236220472441</v>
      </c>
      <c r="AK17" s="38" t="n">
        <f aca="false">AK16/AJ16-1</f>
        <v>0.050709219858156</v>
      </c>
      <c r="AL17" s="38" t="n">
        <f aca="false">AL16/AK16-1</f>
        <v>0.0766115423557205</v>
      </c>
      <c r="AM17" s="38" t="n">
        <f aca="false">AM16/AL16-1</f>
        <v>0.0501567398119123</v>
      </c>
      <c r="AN17" s="38" t="n">
        <f aca="false">AN16/AM16-1</f>
        <v>0.0686567164179104</v>
      </c>
      <c r="AO17" s="38" t="n">
        <f aca="false">AO16/AN16-1</f>
        <v>0.03</v>
      </c>
      <c r="AP17" s="38" t="n">
        <f aca="false">AP16/AO16-1</f>
        <v>0.04</v>
      </c>
      <c r="AQ17" s="38" t="n">
        <f aca="false">AQ16/AP16-1</f>
        <v>0.04</v>
      </c>
      <c r="AR17" s="38" t="n">
        <f aca="false">AR16/AQ16-1</f>
        <v>0.04</v>
      </c>
      <c r="AS17" s="38"/>
      <c r="AT17" s="38"/>
      <c r="AU17" s="38"/>
      <c r="AV17" s="38"/>
      <c r="AW17" s="38"/>
      <c r="AX17" s="38"/>
      <c r="AY17" s="38"/>
      <c r="AZ17" s="38"/>
      <c r="BA17" s="38"/>
      <c r="BB17" s="38"/>
      <c r="BC17" s="38"/>
      <c r="BD17" s="38"/>
      <c r="BE17" s="38"/>
      <c r="BF17" s="38"/>
      <c r="BG17" s="38"/>
      <c r="BH17" s="38"/>
      <c r="BI17" s="38"/>
      <c r="BJ17" s="38"/>
      <c r="BK17" s="38"/>
      <c r="BL17" s="38"/>
      <c r="BM17" s="38"/>
      <c r="BN17" s="38"/>
      <c r="BO17" s="38"/>
      <c r="BP17" s="38"/>
      <c r="BQ17" s="38"/>
      <c r="BR17" s="38"/>
      <c r="BS17" s="38"/>
      <c r="BT17" s="38"/>
      <c r="BU17" s="38"/>
      <c r="BV17" s="38"/>
      <c r="BW17" s="38"/>
      <c r="BX17" s="38"/>
      <c r="BY17" s="38"/>
      <c r="BZ17" s="38"/>
      <c r="CA17" s="38"/>
      <c r="CB17" s="38"/>
      <c r="CC17" s="38"/>
      <c r="CD17" s="38"/>
      <c r="CE17" s="38"/>
      <c r="CF17" s="38"/>
      <c r="CG17" s="38"/>
      <c r="CH17" s="38"/>
      <c r="CI17" s="38"/>
      <c r="CJ17" s="38"/>
      <c r="CK17" s="38"/>
      <c r="CL17" s="38"/>
      <c r="CM17" s="38"/>
      <c r="CN17" s="38"/>
      <c r="CO17" s="38"/>
      <c r="CP17" s="38"/>
      <c r="CQ17" s="38"/>
      <c r="CR17" s="38"/>
      <c r="CS17" s="38"/>
      <c r="CT17" s="38"/>
      <c r="CU17" s="38"/>
      <c r="CV17" s="38"/>
      <c r="CW17" s="38"/>
      <c r="CX17" s="38"/>
      <c r="CY17" s="38"/>
      <c r="CZ17" s="38"/>
      <c r="DA17" s="38"/>
      <c r="DB17" s="38"/>
      <c r="DC17" s="38"/>
      <c r="DD17" s="38"/>
      <c r="DE17" s="38"/>
      <c r="DF17" s="38"/>
      <c r="DG17" s="38"/>
      <c r="DH17" s="38"/>
      <c r="DI17" s="38"/>
      <c r="DJ17" s="38"/>
      <c r="DK17" s="38"/>
      <c r="DL17" s="38"/>
      <c r="DM17" s="38"/>
      <c r="DN17" s="38"/>
      <c r="DO17" s="38"/>
      <c r="DP17" s="38"/>
      <c r="DQ17" s="38"/>
      <c r="DR17" s="38"/>
      <c r="DS17" s="38"/>
      <c r="DT17" s="38"/>
      <c r="DU17" s="38"/>
      <c r="DV17" s="38"/>
      <c r="DW17" s="38"/>
      <c r="DX17" s="38"/>
      <c r="DY17" s="38"/>
      <c r="DZ17" s="38"/>
      <c r="EA17" s="38"/>
      <c r="EB17" s="38"/>
      <c r="EC17" s="38"/>
      <c r="ED17" s="38"/>
      <c r="EE17" s="38"/>
      <c r="EF17" s="38"/>
      <c r="EG17" s="38"/>
      <c r="EH17" s="38"/>
      <c r="EI17" s="38"/>
      <c r="EJ17" s="38"/>
      <c r="EK17" s="38"/>
      <c r="EL17" s="38"/>
      <c r="EM17" s="38"/>
      <c r="EN17" s="32"/>
      <c r="EO17" s="32"/>
      <c r="EP17" s="32"/>
      <c r="EQ17" s="32"/>
      <c r="ER17" s="32"/>
    </row>
    <row r="18" s="39" customFormat="true" ht="10.5" hidden="false" customHeight="true" outlineLevel="0" collapsed="false">
      <c r="A18" s="37" t="s">
        <v>160</v>
      </c>
      <c r="C18" s="39" t="n">
        <f aca="false">+C16/B16-1</f>
        <v>0.00348432055749126</v>
      </c>
      <c r="D18" s="39" t="n">
        <f aca="false">+D16/C16-1</f>
        <v>0.0173611111111112</v>
      </c>
      <c r="E18" s="39" t="n">
        <f aca="false">+E16/D16-1</f>
        <v>0.0112627986348124</v>
      </c>
      <c r="F18" s="39" t="n">
        <f aca="false">+F16/E16-1</f>
        <v>0.0192372595342558</v>
      </c>
      <c r="G18" s="39" t="n">
        <f aca="false">+G16/F16-1</f>
        <v>0.0165562913907285</v>
      </c>
      <c r="H18" s="39" t="n">
        <f aca="false">+H16/G16-1</f>
        <v>0.0228013029315961</v>
      </c>
      <c r="I18" s="39" t="n">
        <f aca="false">+I16/H16-1</f>
        <v>0.015923566878981</v>
      </c>
      <c r="J18" s="39" t="n">
        <f aca="false">+J16/I16-1</f>
        <v>0.0156739811912225</v>
      </c>
      <c r="K18" s="39" t="n">
        <f aca="false">+K16/J16-1</f>
        <v>0.0092592592592593</v>
      </c>
      <c r="L18" s="39" t="n">
        <f aca="false">+L16/K16-1</f>
        <v>0.00611620795107037</v>
      </c>
      <c r="M18" s="39" t="n">
        <f aca="false">+M16/L16-1</f>
        <v>0.0182370820668694</v>
      </c>
      <c r="N18" s="39" t="n">
        <f aca="false">+N16/M16-1</f>
        <v>0.0238805970149254</v>
      </c>
      <c r="O18" s="39" t="n">
        <f aca="false">+O16/N16-1</f>
        <v>0.0145772594752187</v>
      </c>
      <c r="P18" s="39" t="n">
        <f aca="false">+P16/O16-1</f>
        <v>0.0172413793103448</v>
      </c>
      <c r="Q18" s="39" t="n">
        <f aca="false">+Q16/P16-1</f>
        <v>0.0112994350282485</v>
      </c>
      <c r="R18" s="51" t="n">
        <f aca="false">+R16/Q16-1</f>
        <v>-0.005586592178771</v>
      </c>
      <c r="S18" s="39" t="n">
        <f aca="false">+S16/R16-1</f>
        <v>0.0112359550561798</v>
      </c>
      <c r="T18" s="39" t="n">
        <f aca="false">+T16/S16-1</f>
        <v>0.01</v>
      </c>
      <c r="U18" s="39" t="n">
        <f aca="false">+U16/T16-1</f>
        <v>0.01</v>
      </c>
      <c r="V18" s="38"/>
      <c r="W18" s="38"/>
      <c r="X18" s="38"/>
      <c r="Y18" s="38"/>
      <c r="Z18" s="38"/>
      <c r="AA18" s="38"/>
      <c r="AB18" s="38"/>
      <c r="AC18" s="38"/>
      <c r="AD18" s="38"/>
      <c r="AE18" s="38"/>
      <c r="AF18" s="38"/>
      <c r="AG18" s="38"/>
      <c r="AH18" s="38"/>
      <c r="AI18" s="38"/>
      <c r="AJ18" s="38"/>
      <c r="AK18" s="38"/>
      <c r="AL18" s="38"/>
      <c r="AM18" s="38"/>
      <c r="AN18" s="38"/>
      <c r="AO18" s="38"/>
      <c r="AP18" s="38"/>
      <c r="AQ18" s="38"/>
      <c r="AS18" s="38"/>
      <c r="AT18" s="38"/>
      <c r="AU18" s="38"/>
      <c r="AV18" s="38"/>
      <c r="AW18" s="38"/>
      <c r="AX18" s="38"/>
      <c r="AY18" s="38"/>
      <c r="AZ18" s="38"/>
      <c r="BA18" s="38"/>
      <c r="BB18" s="38"/>
      <c r="BC18" s="38"/>
      <c r="BD18" s="38"/>
      <c r="BE18" s="38"/>
      <c r="BF18" s="38"/>
      <c r="BG18" s="38"/>
      <c r="BH18" s="38"/>
      <c r="BI18" s="38"/>
      <c r="BJ18" s="38"/>
      <c r="BK18" s="38"/>
      <c r="BL18" s="38"/>
      <c r="BM18" s="38"/>
      <c r="BN18" s="38"/>
      <c r="BO18" s="38"/>
      <c r="BP18" s="38"/>
      <c r="BQ18" s="38"/>
      <c r="BR18" s="38"/>
      <c r="BS18" s="38"/>
      <c r="BT18" s="38"/>
      <c r="BU18" s="38"/>
      <c r="BV18" s="38"/>
      <c r="BW18" s="38"/>
      <c r="BX18" s="38"/>
      <c r="BY18" s="38"/>
      <c r="BZ18" s="38"/>
      <c r="CA18" s="38"/>
      <c r="CB18" s="38"/>
      <c r="CC18" s="38"/>
      <c r="CD18" s="38"/>
      <c r="CE18" s="38"/>
      <c r="CF18" s="38"/>
      <c r="CG18" s="38"/>
      <c r="CH18" s="38"/>
      <c r="CI18" s="38"/>
      <c r="CJ18" s="38"/>
      <c r="CK18" s="38"/>
      <c r="CL18" s="38"/>
      <c r="CM18" s="38"/>
      <c r="CN18" s="38"/>
      <c r="CO18" s="38"/>
      <c r="CP18" s="38"/>
      <c r="CQ18" s="38"/>
      <c r="CR18" s="38"/>
      <c r="CS18" s="38"/>
      <c r="CT18" s="38"/>
      <c r="CU18" s="38"/>
      <c r="CV18" s="38"/>
      <c r="CW18" s="38"/>
      <c r="CX18" s="38"/>
      <c r="CY18" s="38"/>
      <c r="CZ18" s="38"/>
      <c r="DA18" s="38"/>
      <c r="DB18" s="38"/>
      <c r="DC18" s="38"/>
      <c r="DD18" s="38"/>
      <c r="DE18" s="38"/>
      <c r="DF18" s="38"/>
      <c r="DG18" s="38"/>
      <c r="DH18" s="38"/>
      <c r="DI18" s="38"/>
      <c r="DJ18" s="38"/>
      <c r="DK18" s="38"/>
      <c r="DL18" s="38"/>
      <c r="DM18" s="38"/>
      <c r="DN18" s="38"/>
      <c r="DO18" s="38"/>
      <c r="DP18" s="38"/>
      <c r="DQ18" s="38"/>
      <c r="DR18" s="38"/>
      <c r="DS18" s="38"/>
      <c r="DT18" s="38"/>
      <c r="DU18" s="38"/>
      <c r="DV18" s="38"/>
      <c r="DW18" s="38"/>
      <c r="DX18" s="38"/>
      <c r="DY18" s="38"/>
      <c r="DZ18" s="38"/>
      <c r="EA18" s="38"/>
      <c r="EB18" s="38"/>
      <c r="EC18" s="38"/>
      <c r="ED18" s="38"/>
      <c r="EE18" s="38"/>
      <c r="EF18" s="38"/>
      <c r="EG18" s="38"/>
      <c r="EH18" s="38"/>
      <c r="EI18" s="38"/>
      <c r="EJ18" s="38"/>
      <c r="EK18" s="38"/>
      <c r="EL18" s="38"/>
      <c r="EM18" s="38"/>
      <c r="EN18" s="32"/>
      <c r="EO18" s="32"/>
      <c r="EP18" s="32"/>
      <c r="EQ18" s="32"/>
      <c r="ER18" s="32"/>
    </row>
    <row r="19" s="50" customFormat="true" ht="12.8" hidden="false" customHeight="false" outlineLevel="0" collapsed="false">
      <c r="A19" s="52" t="s">
        <v>83</v>
      </c>
      <c r="B19" s="53" t="n">
        <v>9.57</v>
      </c>
      <c r="C19" s="53" t="n">
        <v>9.87</v>
      </c>
      <c r="D19" s="53" t="n">
        <v>9.44</v>
      </c>
      <c r="E19" s="53" t="n">
        <v>10.68</v>
      </c>
      <c r="F19" s="53" t="n">
        <v>9.47</v>
      </c>
      <c r="G19" s="53" t="n">
        <v>10.42</v>
      </c>
      <c r="H19" s="53" t="n">
        <v>10.93</v>
      </c>
      <c r="I19" s="53" t="n">
        <v>12.33</v>
      </c>
      <c r="J19" s="53" t="n">
        <v>11.2</v>
      </c>
      <c r="K19" s="53" t="n">
        <v>11.89</v>
      </c>
      <c r="L19" s="53" t="n">
        <v>12.29</v>
      </c>
      <c r="M19" s="53" t="n">
        <v>14.25</v>
      </c>
      <c r="N19" s="53" t="n">
        <v>12.36</v>
      </c>
      <c r="O19" s="53" t="n">
        <v>13.65</v>
      </c>
      <c r="P19" s="53" t="n">
        <v>14.46</v>
      </c>
      <c r="Q19" s="53" t="n">
        <v>16.56</v>
      </c>
      <c r="R19" s="53" t="n">
        <v>15.66</v>
      </c>
      <c r="S19" s="53" t="n">
        <v>16.86</v>
      </c>
      <c r="T19" s="53" t="n">
        <f aca="false">+P19*1.2</f>
        <v>17.352</v>
      </c>
      <c r="U19" s="53" t="n">
        <f aca="false">+Q19*1.2</f>
        <v>19.872</v>
      </c>
      <c r="V19" s="53"/>
      <c r="W19" s="53"/>
      <c r="X19" s="53"/>
      <c r="Y19" s="53"/>
      <c r="Z19" s="53" t="n">
        <f aca="false">+AA19*0.94</f>
        <v>5.0008</v>
      </c>
      <c r="AA19" s="53" t="n">
        <v>5.32</v>
      </c>
      <c r="AB19" s="53" t="n">
        <v>6.81</v>
      </c>
      <c r="AC19" s="53" t="n">
        <v>9.45</v>
      </c>
      <c r="AD19" s="53" t="n">
        <v>11.96</v>
      </c>
      <c r="AE19" s="53" t="n">
        <v>15.98</v>
      </c>
      <c r="AF19" s="53" t="n">
        <v>20.21</v>
      </c>
      <c r="AG19" s="53" t="n">
        <v>24.96</v>
      </c>
      <c r="AH19" s="53" t="n">
        <v>29.25</v>
      </c>
      <c r="AI19" s="53" t="n">
        <v>27.51</v>
      </c>
      <c r="AJ19" s="53" t="n">
        <v>33.68</v>
      </c>
      <c r="AK19" s="53" t="n">
        <v>31.79</v>
      </c>
      <c r="AL19" s="53" t="n">
        <v>34.72</v>
      </c>
      <c r="AM19" s="53" t="n">
        <v>49.63</v>
      </c>
      <c r="AN19" s="53" t="n">
        <v>57.03</v>
      </c>
      <c r="AO19" s="53" t="n">
        <f aca="false">+AN19*1.2</f>
        <v>68.436</v>
      </c>
      <c r="AP19" s="53" t="n">
        <f aca="false">+AO19*1.1</f>
        <v>75.2796</v>
      </c>
      <c r="AQ19" s="53" t="n">
        <f aca="false">+AP19*1.1</f>
        <v>82.80756</v>
      </c>
      <c r="AR19" s="53" t="n">
        <f aca="false">+AQ19*1.1</f>
        <v>91.088316</v>
      </c>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c r="CJ19" s="53"/>
      <c r="CK19" s="53"/>
      <c r="CL19" s="53"/>
      <c r="CM19" s="53"/>
      <c r="CN19" s="53"/>
      <c r="CO19" s="53"/>
      <c r="CP19" s="53"/>
      <c r="CQ19" s="53"/>
      <c r="CR19" s="53"/>
      <c r="CS19" s="53"/>
      <c r="CT19" s="53"/>
      <c r="CU19" s="53"/>
      <c r="CV19" s="53"/>
      <c r="CW19" s="53"/>
      <c r="CX19" s="53"/>
      <c r="CY19" s="53"/>
      <c r="CZ19" s="53"/>
      <c r="DA19" s="53"/>
      <c r="DB19" s="53"/>
      <c r="DC19" s="53"/>
      <c r="DD19" s="53"/>
      <c r="DE19" s="53"/>
      <c r="DF19" s="53"/>
      <c r="DG19" s="53"/>
      <c r="DH19" s="53"/>
      <c r="DI19" s="53"/>
      <c r="DJ19" s="53"/>
      <c r="DK19" s="53"/>
      <c r="DL19" s="53"/>
      <c r="DM19" s="53"/>
      <c r="DN19" s="53"/>
      <c r="DO19" s="53"/>
      <c r="DP19" s="53"/>
      <c r="DQ19" s="53"/>
      <c r="DR19" s="53"/>
      <c r="DS19" s="53"/>
      <c r="DT19" s="53"/>
      <c r="DU19" s="53"/>
      <c r="DV19" s="53"/>
      <c r="DW19" s="53"/>
      <c r="DX19" s="53"/>
      <c r="DY19" s="53"/>
      <c r="DZ19" s="53"/>
      <c r="EA19" s="53"/>
      <c r="EB19" s="53"/>
      <c r="EC19" s="53"/>
      <c r="ED19" s="53"/>
      <c r="EE19" s="53"/>
      <c r="EF19" s="53"/>
      <c r="EG19" s="53"/>
      <c r="EH19" s="53"/>
      <c r="EI19" s="53"/>
      <c r="EJ19" s="53"/>
      <c r="EK19" s="53"/>
      <c r="EL19" s="53"/>
      <c r="EM19" s="53"/>
      <c r="EN19" s="32"/>
      <c r="EO19" s="32"/>
      <c r="EP19" s="32"/>
      <c r="EQ19" s="32"/>
      <c r="ER19" s="32"/>
    </row>
    <row r="20" s="39" customFormat="true" ht="10.5" hidden="false" customHeight="true" outlineLevel="0" collapsed="false">
      <c r="A20" s="37" t="s">
        <v>154</v>
      </c>
      <c r="B20" s="38" t="n">
        <v>0</v>
      </c>
      <c r="C20" s="38" t="n">
        <v>0</v>
      </c>
      <c r="D20" s="38" t="n">
        <v>0</v>
      </c>
      <c r="E20" s="38" t="n">
        <v>0</v>
      </c>
      <c r="F20" s="38" t="n">
        <f aca="false">+F19/B19-1</f>
        <v>-0.0104493207941484</v>
      </c>
      <c r="G20" s="38" t="n">
        <f aca="false">+G19/C19-1</f>
        <v>0.0557244174265452</v>
      </c>
      <c r="H20" s="38" t="n">
        <f aca="false">+H19/D19-1</f>
        <v>0.157838983050848</v>
      </c>
      <c r="I20" s="38" t="n">
        <f aca="false">+I19/E19-1</f>
        <v>0.154494382022472</v>
      </c>
      <c r="J20" s="38" t="n">
        <f aca="false">+J19/F19-1</f>
        <v>0.182682154171066</v>
      </c>
      <c r="K20" s="38" t="n">
        <f aca="false">+K19/G19-1</f>
        <v>0.141074856046065</v>
      </c>
      <c r="L20" s="38" t="n">
        <f aca="false">+L19/H19-1</f>
        <v>0.124428179322964</v>
      </c>
      <c r="M20" s="38" t="n">
        <f aca="false">+M19/I19-1</f>
        <v>0.155717761557178</v>
      </c>
      <c r="N20" s="38" t="n">
        <f aca="false">+N19/J19-1</f>
        <v>0.103571428571429</v>
      </c>
      <c r="O20" s="38" t="n">
        <f aca="false">+O19/K19-1</f>
        <v>0.148023549201009</v>
      </c>
      <c r="P20" s="38" t="n">
        <f aca="false">+P19/L19-1</f>
        <v>0.176566314076485</v>
      </c>
      <c r="Q20" s="38" t="n">
        <f aca="false">+Q19/M19-1</f>
        <v>0.162105263157895</v>
      </c>
      <c r="R20" s="38" t="n">
        <f aca="false">+R19/N19-1</f>
        <v>0.266990291262136</v>
      </c>
      <c r="S20" s="38" t="n">
        <f aca="false">+S19/O19-1</f>
        <v>0.235164835164835</v>
      </c>
      <c r="T20" s="38" t="n">
        <f aca="false">+T19/P19-1</f>
        <v>0.2</v>
      </c>
      <c r="U20" s="38" t="n">
        <f aca="false">+U19/Q19-1</f>
        <v>0.2</v>
      </c>
      <c r="V20" s="38"/>
      <c r="W20" s="38"/>
      <c r="X20" s="38"/>
      <c r="Y20" s="38"/>
      <c r="Z20" s="38"/>
      <c r="AA20" s="38" t="n">
        <f aca="false">+AA19/Z19</f>
        <v>1.06382978723404</v>
      </c>
      <c r="AB20" s="38" t="n">
        <f aca="false">+AB19/AA19-1</f>
        <v>0.280075187969925</v>
      </c>
      <c r="AC20" s="38" t="n">
        <f aca="false">+AC19/AB19-1</f>
        <v>0.387665198237885</v>
      </c>
      <c r="AD20" s="38" t="n">
        <f aca="false">+AD19/AC19-1</f>
        <v>0.265608465608466</v>
      </c>
      <c r="AE20" s="38" t="n">
        <f aca="false">+AE19/AD19-1</f>
        <v>0.336120401337793</v>
      </c>
      <c r="AF20" s="38" t="n">
        <f aca="false">+AF19/AE19-1</f>
        <v>0.264705882352941</v>
      </c>
      <c r="AG20" s="38" t="n">
        <f aca="false">+AG19/AF19-1</f>
        <v>0.235032162295893</v>
      </c>
      <c r="AH20" s="38" t="n">
        <f aca="false">+AH19/AG19-1</f>
        <v>0.171875</v>
      </c>
      <c r="AI20" s="38" t="n">
        <f aca="false">+AI19/AH19-1</f>
        <v>-0.0594871794871794</v>
      </c>
      <c r="AJ20" s="38" t="n">
        <f aca="false">+AJ19/AI19-1</f>
        <v>0.224282079243911</v>
      </c>
      <c r="AK20" s="38" t="n">
        <f aca="false">+AK19/AJ19-1</f>
        <v>-0.0561163895486936</v>
      </c>
      <c r="AL20" s="38" t="n">
        <f aca="false">+AL19/AK19-1</f>
        <v>0.0921673482227114</v>
      </c>
      <c r="AM20" s="38" t="n">
        <f aca="false">+AM19/AL19-1</f>
        <v>0.429435483870968</v>
      </c>
      <c r="AN20" s="38" t="n">
        <f aca="false">+AN19/AM19-1</f>
        <v>0.149103364900262</v>
      </c>
      <c r="AO20" s="38" t="n">
        <f aca="false">+AO19/AN19-1</f>
        <v>0.2</v>
      </c>
      <c r="AP20" s="38" t="n">
        <f aca="false">+AP19/AO19-1</f>
        <v>0.1</v>
      </c>
      <c r="AQ20" s="38" t="n">
        <f aca="false">+AQ19/AP19-1</f>
        <v>0.1</v>
      </c>
      <c r="AR20" s="38" t="n">
        <f aca="false">+AR19/AQ19-1</f>
        <v>0.1</v>
      </c>
      <c r="AS20" s="38"/>
      <c r="AT20" s="38"/>
      <c r="AU20" s="38"/>
      <c r="AV20" s="38"/>
      <c r="AW20" s="38"/>
      <c r="AX20" s="38"/>
      <c r="AY20" s="38"/>
      <c r="AZ20" s="38"/>
      <c r="BA20" s="38"/>
      <c r="BB20" s="38"/>
      <c r="BC20" s="38"/>
      <c r="BD20" s="38"/>
      <c r="BE20" s="38"/>
      <c r="BF20" s="38"/>
      <c r="BG20" s="38"/>
      <c r="BH20" s="38"/>
      <c r="BI20" s="38"/>
      <c r="BJ20" s="38"/>
      <c r="BK20" s="38"/>
      <c r="BL20" s="38"/>
      <c r="BM20" s="38"/>
      <c r="BN20" s="38"/>
      <c r="BO20" s="38"/>
      <c r="BP20" s="38"/>
      <c r="BQ20" s="38"/>
      <c r="BR20" s="38"/>
      <c r="BS20" s="38"/>
      <c r="BT20" s="38"/>
      <c r="BU20" s="38"/>
      <c r="BV20" s="38"/>
      <c r="BW20" s="38"/>
      <c r="BX20" s="38"/>
      <c r="BY20" s="38"/>
      <c r="BZ20" s="38"/>
      <c r="CA20" s="38"/>
      <c r="CB20" s="38"/>
      <c r="CC20" s="38"/>
      <c r="CD20" s="38"/>
      <c r="CE20" s="38"/>
      <c r="CF20" s="38"/>
      <c r="CG20" s="38"/>
      <c r="CH20" s="38"/>
      <c r="CI20" s="38"/>
      <c r="CJ20" s="38"/>
      <c r="CK20" s="38"/>
      <c r="CL20" s="38"/>
      <c r="CM20" s="38"/>
      <c r="CN20" s="38"/>
      <c r="CO20" s="38"/>
      <c r="CP20" s="38"/>
      <c r="CQ20" s="38"/>
      <c r="CR20" s="38"/>
      <c r="CS20" s="38"/>
      <c r="CT20" s="38"/>
      <c r="CU20" s="38"/>
      <c r="CV20" s="38"/>
      <c r="CW20" s="38"/>
      <c r="CX20" s="38"/>
      <c r="CY20" s="38"/>
      <c r="CZ20" s="38"/>
      <c r="DA20" s="38"/>
      <c r="DB20" s="38"/>
      <c r="DC20" s="38"/>
      <c r="DD20" s="38"/>
      <c r="DE20" s="38"/>
      <c r="DF20" s="38"/>
      <c r="DG20" s="38"/>
      <c r="DH20" s="38"/>
      <c r="DI20" s="38"/>
      <c r="DJ20" s="38"/>
      <c r="DK20" s="38"/>
      <c r="DL20" s="38"/>
      <c r="DM20" s="38"/>
      <c r="DN20" s="38"/>
      <c r="DO20" s="38"/>
      <c r="DP20" s="38"/>
      <c r="DQ20" s="38"/>
      <c r="DR20" s="38"/>
      <c r="DS20" s="38"/>
      <c r="DT20" s="38"/>
      <c r="DU20" s="38"/>
      <c r="DV20" s="38"/>
      <c r="DW20" s="38"/>
      <c r="DX20" s="38"/>
      <c r="DY20" s="38"/>
      <c r="DZ20" s="38"/>
      <c r="EA20" s="38"/>
      <c r="EB20" s="38"/>
      <c r="EC20" s="38"/>
      <c r="ED20" s="38"/>
      <c r="EE20" s="38"/>
      <c r="EF20" s="38"/>
      <c r="EG20" s="38"/>
      <c r="EH20" s="38"/>
      <c r="EI20" s="38"/>
      <c r="EJ20" s="38"/>
      <c r="EK20" s="38"/>
      <c r="EL20" s="38"/>
      <c r="EM20" s="38"/>
      <c r="EN20" s="32"/>
      <c r="EO20" s="32"/>
      <c r="EP20" s="32"/>
      <c r="EQ20" s="32"/>
      <c r="ER20" s="32"/>
    </row>
    <row r="21" s="49" customFormat="true" ht="12.8" hidden="false" customHeight="false" outlineLevel="0" collapsed="false">
      <c r="A21" s="54" t="s">
        <v>161</v>
      </c>
      <c r="B21" s="49" t="n">
        <f aca="false">+B19*B16</f>
        <v>27465.9</v>
      </c>
      <c r="C21" s="49" t="n">
        <f aca="false">+C19*C16</f>
        <v>28425.6</v>
      </c>
      <c r="D21" s="49" t="n">
        <f aca="false">+D19*D16</f>
        <v>27659.2</v>
      </c>
      <c r="E21" s="49" t="n">
        <f aca="false">+E19*E16</f>
        <v>31644.84</v>
      </c>
      <c r="F21" s="49" t="n">
        <f aca="false">+F19*F16</f>
        <v>28599.4</v>
      </c>
      <c r="G21" s="49" t="n">
        <f aca="false">+G19*G16</f>
        <v>31989.4</v>
      </c>
      <c r="H21" s="49" t="n">
        <f aca="false">+H19*H16</f>
        <v>34320.2</v>
      </c>
      <c r="I21" s="49" t="n">
        <f aca="false">+I19*I16</f>
        <v>39332.7</v>
      </c>
      <c r="J21" s="49" t="n">
        <f aca="false">+J19*J16</f>
        <v>36288</v>
      </c>
      <c r="K21" s="49" t="n">
        <f aca="false">+K19*K16</f>
        <v>38880.3</v>
      </c>
      <c r="L21" s="49" t="n">
        <f aca="false">+L19*L16</f>
        <v>40434.1</v>
      </c>
      <c r="M21" s="49" t="n">
        <f aca="false">+M19*M16</f>
        <v>47737.5</v>
      </c>
      <c r="N21" s="49" t="n">
        <f aca="false">+N19*N16</f>
        <v>42394.8</v>
      </c>
      <c r="O21" s="49" t="n">
        <f aca="false">+O19*O16</f>
        <v>47502</v>
      </c>
      <c r="P21" s="49" t="n">
        <f aca="false">+P19*P16</f>
        <v>51188.4</v>
      </c>
      <c r="Q21" s="49" t="n">
        <f aca="false">+Q19*Q16</f>
        <v>59284.8</v>
      </c>
      <c r="R21" s="49" t="n">
        <f aca="false">+R19*R16</f>
        <v>55749.6</v>
      </c>
      <c r="S21" s="49" t="n">
        <f aca="false">+S19*S16</f>
        <v>60696</v>
      </c>
      <c r="T21" s="49" t="n">
        <f aca="false">+T19*T16</f>
        <v>63091.872</v>
      </c>
      <c r="U21" s="49" t="n">
        <f aca="false">+U19*U16</f>
        <v>72977.13792</v>
      </c>
      <c r="V21" s="50"/>
      <c r="W21" s="50"/>
      <c r="X21" s="50"/>
      <c r="Y21" s="50"/>
      <c r="Z21" s="49" t="n">
        <f aca="false">+Z19*Z16</f>
        <v>2415.3864</v>
      </c>
      <c r="AA21" s="49" t="n">
        <f aca="false">+AA19*AA16</f>
        <v>3287.76</v>
      </c>
      <c r="AB21" s="49" t="n">
        <f aca="false">+AB19*AB16</f>
        <v>5155.17</v>
      </c>
      <c r="AC21" s="49" t="n">
        <f aca="false">+AC19*AC16</f>
        <v>8410.5</v>
      </c>
      <c r="AD21" s="49" t="n">
        <f aca="false">+AD19*AD16</f>
        <v>12175.28</v>
      </c>
      <c r="AE21" s="49" t="n">
        <f aca="false">+AE19*AE16</f>
        <v>19607.46</v>
      </c>
      <c r="AF21" s="49" t="n">
        <f aca="false">+AF19*AF16</f>
        <v>28314.21</v>
      </c>
      <c r="AG21" s="49" t="n">
        <f aca="false">+AG19*AG16</f>
        <v>38014.08</v>
      </c>
      <c r="AH21" s="49" t="n">
        <f aca="false">+AH19*AH16</f>
        <v>48467.25</v>
      </c>
      <c r="AI21" s="49" t="n">
        <f aca="false">+AI19*AI16</f>
        <v>69875.4</v>
      </c>
      <c r="AJ21" s="49" t="n">
        <f aca="false">+AJ19*AJ16</f>
        <v>94977.6</v>
      </c>
      <c r="AK21" s="49" t="n">
        <f aca="false">+AK19*AK16</f>
        <v>94193.77</v>
      </c>
      <c r="AL21" s="49" t="n">
        <f aca="false">+AL19*AL16</f>
        <v>110756.8</v>
      </c>
      <c r="AM21" s="49" t="n">
        <f aca="false">+AM19*AM16</f>
        <v>166260.5</v>
      </c>
      <c r="AN21" s="49" t="n">
        <f aca="false">+AN19*AN16</f>
        <v>204167.4</v>
      </c>
      <c r="AO21" s="49" t="n">
        <f aca="false">+AO19*AO16</f>
        <v>252350.9064</v>
      </c>
      <c r="AP21" s="49" t="n">
        <f aca="false">+AP19*AP16</f>
        <v>288689.4369216</v>
      </c>
      <c r="AQ21" s="49" t="n">
        <f aca="false">+AQ19*AQ16</f>
        <v>330260.715838311</v>
      </c>
      <c r="AR21" s="49" t="n">
        <f aca="false">+AR19*AR16</f>
        <v>377818.258919027</v>
      </c>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0"/>
      <c r="BR21" s="50"/>
      <c r="BS21" s="50"/>
      <c r="BT21" s="50"/>
      <c r="BU21" s="50"/>
      <c r="BV21" s="50"/>
      <c r="BW21" s="50"/>
      <c r="BX21" s="50"/>
      <c r="BY21" s="50"/>
      <c r="BZ21" s="50"/>
      <c r="CA21" s="50"/>
      <c r="CB21" s="50"/>
      <c r="CC21" s="50"/>
      <c r="CD21" s="50"/>
      <c r="CE21" s="50"/>
      <c r="CF21" s="50"/>
      <c r="CG21" s="50"/>
      <c r="CH21" s="50"/>
      <c r="CI21" s="50"/>
      <c r="CJ21" s="50"/>
      <c r="CK21" s="50"/>
      <c r="CL21" s="50"/>
      <c r="CM21" s="50"/>
      <c r="CN21" s="50"/>
      <c r="CO21" s="50"/>
      <c r="CP21" s="50"/>
      <c r="CQ21" s="50"/>
      <c r="CR21" s="50"/>
      <c r="CS21" s="50"/>
      <c r="CT21" s="50"/>
      <c r="CU21" s="50"/>
      <c r="CV21" s="50"/>
      <c r="CW21" s="50"/>
      <c r="CX21" s="50"/>
      <c r="CY21" s="50"/>
      <c r="CZ21" s="50"/>
      <c r="DA21" s="50"/>
      <c r="DB21" s="50"/>
      <c r="DC21" s="50"/>
      <c r="DD21" s="50"/>
      <c r="DE21" s="50"/>
      <c r="DF21" s="50"/>
      <c r="DG21" s="50"/>
      <c r="DH21" s="50"/>
      <c r="DI21" s="50"/>
      <c r="DJ21" s="50"/>
      <c r="DK21" s="50"/>
      <c r="DL21" s="50"/>
      <c r="DM21" s="50"/>
      <c r="DN21" s="50"/>
      <c r="DO21" s="50"/>
      <c r="DP21" s="50"/>
      <c r="DQ21" s="50"/>
      <c r="DR21" s="50"/>
      <c r="DS21" s="50"/>
      <c r="DT21" s="50"/>
      <c r="DU21" s="50"/>
      <c r="DV21" s="50"/>
      <c r="DW21" s="50"/>
      <c r="DX21" s="50"/>
      <c r="DY21" s="50"/>
      <c r="DZ21" s="50"/>
      <c r="EA21" s="50"/>
      <c r="EB21" s="50"/>
      <c r="EC21" s="50"/>
      <c r="ED21" s="50"/>
      <c r="EE21" s="50"/>
      <c r="EF21" s="50"/>
      <c r="EG21" s="50"/>
      <c r="EH21" s="50"/>
      <c r="EI21" s="50"/>
      <c r="EJ21" s="50"/>
      <c r="EK21" s="50"/>
      <c r="EL21" s="50"/>
      <c r="EM21" s="50"/>
      <c r="EN21" s="32"/>
      <c r="EO21" s="32"/>
      <c r="EP21" s="32"/>
      <c r="EQ21" s="32"/>
      <c r="ER21" s="32"/>
    </row>
    <row r="22" s="39" customFormat="true" ht="10.5" hidden="false" customHeight="true" outlineLevel="0" collapsed="false">
      <c r="A22" s="37"/>
      <c r="B22" s="38" t="n">
        <f aca="false">+B21/B30</f>
        <v>0.984158664182313</v>
      </c>
      <c r="C22" s="38" t="n">
        <f aca="false">+C21/C30</f>
        <v>0.986246617167441</v>
      </c>
      <c r="D22" s="38" t="n">
        <f aca="false">+D21/D30</f>
        <v>0.998022660027423</v>
      </c>
      <c r="E22" s="38" t="n">
        <f aca="false">+E21/E30</f>
        <v>0.983828384890409</v>
      </c>
      <c r="F22" s="38" t="n">
        <f aca="false">+F21/F30</f>
        <v>0.998408099144702</v>
      </c>
      <c r="G22" s="38" t="n">
        <f aca="false">+G21/G30</f>
        <v>0.999699990624707</v>
      </c>
      <c r="H22" s="38" t="n">
        <f aca="false">+H21/H30</f>
        <v>1.0051016224448</v>
      </c>
      <c r="I22" s="38" t="n">
        <f aca="false">+I21/I30</f>
        <v>0.98059634514223</v>
      </c>
      <c r="J22" s="38" t="n">
        <f aca="false">+J21/J30</f>
        <v>0.995419009738033</v>
      </c>
      <c r="K22" s="38" t="n">
        <f aca="false">+K21/K30</f>
        <v>0.995119142074685</v>
      </c>
      <c r="L22" s="38" t="n">
        <f aca="false">+L21/L30</f>
        <v>0.996183695089803</v>
      </c>
      <c r="M22" s="38" t="n">
        <f aca="false">+M21/M30</f>
        <v>0.986617753435982</v>
      </c>
      <c r="N22" s="38" t="n">
        <f aca="false">+N21/N30</f>
        <v>1.00190953348773</v>
      </c>
      <c r="O22" s="38" t="n">
        <f aca="false">+O21/O30</f>
        <v>0.999705362404243</v>
      </c>
      <c r="P22" s="38" t="n">
        <f aca="false">+P21/P30</f>
        <v>0.998953983060771</v>
      </c>
      <c r="Q22" s="38" t="n">
        <f aca="false">+Q21/Q30</f>
        <v>0.989845223982769</v>
      </c>
      <c r="R22" s="38" t="n">
        <f aca="false">+R21/R30</f>
        <v>0.990030367068601</v>
      </c>
      <c r="S22" s="38" t="n">
        <f aca="false">+S21/S30</f>
        <v>0.998273054719495</v>
      </c>
      <c r="T22" s="38" t="n">
        <f aca="false">+T21/T30</f>
        <v>0.992946058613713</v>
      </c>
      <c r="U22" s="38" t="n">
        <f aca="false">+U21/U30</f>
        <v>0.959416180903188</v>
      </c>
      <c r="V22" s="38"/>
      <c r="W22" s="38"/>
      <c r="X22" s="38"/>
      <c r="Y22" s="38"/>
      <c r="Z22" s="38" t="n">
        <f aca="false">+Z21/Z30</f>
        <v>0.650872109943412</v>
      </c>
      <c r="AA22" s="38" t="n">
        <f aca="false">+AA21/AA30</f>
        <v>0.6460522696011</v>
      </c>
      <c r="AB22" s="38" t="n">
        <f aca="false">+AB21/AB30</f>
        <v>0.654874237804878</v>
      </c>
      <c r="AC22" s="38" t="n">
        <f aca="false">+AC21/AC30</f>
        <v>0.674675116316381</v>
      </c>
      <c r="AD22" s="38" t="n">
        <f aca="false">+AD21/AD30</f>
        <v>0.679120928157073</v>
      </c>
      <c r="AE22" s="38" t="n">
        <f aca="false">+AE21/AE30</f>
        <v>0.709438454302048</v>
      </c>
      <c r="AF22" s="38" t="n">
        <f aca="false">+AF21/AF30</f>
        <v>0.69648513024869</v>
      </c>
      <c r="AG22" s="38" t="n">
        <f aca="false">+AG21/AG30</f>
        <v>0.680792291987535</v>
      </c>
      <c r="AH22" s="38" t="n">
        <f aca="false">+AH21/AH30</f>
        <v>0.685563036621073</v>
      </c>
      <c r="AI22" s="38" t="n">
        <f aca="false">+AI21/AI30</f>
        <v>0.812835456290351</v>
      </c>
      <c r="AJ22" s="38" t="n">
        <f aca="false">+AJ21/AJ30</f>
        <v>0.805379508009056</v>
      </c>
      <c r="AK22" s="38" t="n">
        <f aca="false">+AK21/AK30</f>
        <v>0.807774442796011</v>
      </c>
      <c r="AL22" s="38" t="n">
        <f aca="false">+AL21/AL30</f>
        <v>0.82101673807653</v>
      </c>
      <c r="AM22" s="38" t="n">
        <f aca="false">+AM21/AM30</f>
        <v>1.01069598361104</v>
      </c>
      <c r="AN22" s="38" t="n">
        <f aca="false">+AN21/AN30</f>
        <v>1.01593005782073</v>
      </c>
      <c r="AO22" s="38" t="n">
        <f aca="false">+AO21/AO30</f>
        <v>0.981007462083138</v>
      </c>
      <c r="AP22" s="38" t="n">
        <f aca="false">+AP21/AP30</f>
        <v>0.935227113852592</v>
      </c>
      <c r="AQ22" s="38" t="n">
        <f aca="false">+AQ21/AQ30</f>
        <v>0.930347668041189</v>
      </c>
      <c r="AR22" s="38" t="n">
        <f aca="false">+AR21/AR30</f>
        <v>0.933612045823788</v>
      </c>
      <c r="AS22" s="38"/>
      <c r="AT22" s="38"/>
      <c r="AU22" s="38"/>
      <c r="AV22" s="38"/>
      <c r="AW22" s="38"/>
      <c r="AX22" s="38"/>
      <c r="AY22" s="38"/>
      <c r="AZ22" s="38"/>
      <c r="BA22" s="38"/>
      <c r="BB22" s="38"/>
      <c r="BC22" s="38"/>
      <c r="BD22" s="38"/>
      <c r="BE22" s="38"/>
      <c r="BF22" s="38"/>
      <c r="BG22" s="38"/>
      <c r="BH22" s="38"/>
      <c r="BI22" s="38"/>
      <c r="BJ22" s="38"/>
      <c r="BK22" s="38"/>
      <c r="BL22" s="38"/>
      <c r="BM22" s="38"/>
      <c r="BN22" s="38"/>
      <c r="BO22" s="38"/>
      <c r="BP22" s="38"/>
      <c r="BQ22" s="38"/>
      <c r="BR22" s="38"/>
      <c r="BS22" s="38"/>
      <c r="BT22" s="38"/>
      <c r="BU22" s="38"/>
      <c r="BV22" s="38"/>
      <c r="BW22" s="38"/>
      <c r="BX22" s="38"/>
      <c r="BY22" s="38"/>
      <c r="BZ22" s="38"/>
      <c r="CA22" s="38"/>
      <c r="CB22" s="38"/>
      <c r="CC22" s="38"/>
      <c r="CD22" s="38"/>
      <c r="CE22" s="38"/>
      <c r="CF22" s="38"/>
      <c r="CG22" s="38"/>
      <c r="CH22" s="38"/>
      <c r="CI22" s="38"/>
      <c r="CJ22" s="38"/>
      <c r="CK22" s="38"/>
      <c r="CL22" s="38"/>
      <c r="CM22" s="38"/>
      <c r="CN22" s="38"/>
      <c r="CO22" s="38"/>
      <c r="CP22" s="38"/>
      <c r="CQ22" s="38"/>
      <c r="CR22" s="38"/>
      <c r="CS22" s="38"/>
      <c r="CT22" s="38"/>
      <c r="CU22" s="38"/>
      <c r="CV22" s="38"/>
      <c r="CW22" s="38"/>
      <c r="CX22" s="38"/>
      <c r="CY22" s="38"/>
      <c r="CZ22" s="38"/>
      <c r="DA22" s="38"/>
      <c r="DB22" s="38"/>
      <c r="DC22" s="38"/>
      <c r="DD22" s="38"/>
      <c r="DE22" s="38"/>
      <c r="DF22" s="38"/>
      <c r="DG22" s="38"/>
      <c r="DH22" s="38"/>
      <c r="DI22" s="38"/>
      <c r="DJ22" s="38"/>
      <c r="DK22" s="38"/>
      <c r="DL22" s="38"/>
      <c r="DM22" s="38"/>
      <c r="DN22" s="38"/>
      <c r="DO22" s="38"/>
      <c r="DP22" s="38"/>
      <c r="DQ22" s="38"/>
      <c r="DR22" s="38"/>
      <c r="DS22" s="38"/>
      <c r="DT22" s="38"/>
      <c r="DU22" s="38"/>
      <c r="DV22" s="38"/>
      <c r="DW22" s="38"/>
      <c r="DX22" s="38"/>
      <c r="DY22" s="38"/>
      <c r="DZ22" s="38"/>
      <c r="EA22" s="38"/>
      <c r="EB22" s="38"/>
      <c r="EC22" s="38"/>
      <c r="ED22" s="38"/>
      <c r="EE22" s="38"/>
      <c r="EF22" s="38"/>
      <c r="EG22" s="38"/>
      <c r="EH22" s="38"/>
      <c r="EI22" s="38"/>
      <c r="EJ22" s="38"/>
      <c r="EK22" s="38"/>
      <c r="EL22" s="38"/>
      <c r="EM22" s="38"/>
      <c r="EN22" s="32"/>
      <c r="EO22" s="32"/>
      <c r="EP22" s="32"/>
      <c r="EQ22" s="32"/>
      <c r="ER22" s="32"/>
    </row>
    <row r="23" customFormat="false" ht="12.8" hidden="false" customHeight="false" outlineLevel="0" collapsed="false">
      <c r="A23" s="48"/>
      <c r="B23" s="49"/>
      <c r="C23" s="49"/>
      <c r="D23" s="49"/>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c r="BH23" s="49"/>
      <c r="BI23" s="49"/>
      <c r="BJ23" s="49"/>
      <c r="BK23" s="49"/>
      <c r="BL23" s="49"/>
      <c r="BM23" s="49"/>
      <c r="BN23" s="49"/>
      <c r="BO23" s="49"/>
      <c r="BP23" s="49"/>
      <c r="BQ23" s="49"/>
      <c r="BR23" s="49"/>
      <c r="BS23" s="49"/>
      <c r="BT23" s="49"/>
      <c r="BU23" s="49"/>
      <c r="BV23" s="49"/>
      <c r="BW23" s="49"/>
      <c r="BX23" s="49"/>
      <c r="BY23" s="49"/>
      <c r="BZ23" s="49"/>
      <c r="CA23" s="49"/>
      <c r="CB23" s="49"/>
      <c r="CC23" s="49"/>
      <c r="CD23" s="49"/>
      <c r="CE23" s="49"/>
      <c r="CF23" s="49"/>
      <c r="CG23" s="49"/>
      <c r="CH23" s="49"/>
      <c r="CI23" s="49"/>
      <c r="CJ23" s="49"/>
      <c r="CK23" s="49"/>
      <c r="CL23" s="49"/>
      <c r="CM23" s="49"/>
      <c r="CN23" s="49"/>
      <c r="CO23" s="49"/>
      <c r="CP23" s="49"/>
      <c r="CQ23" s="49"/>
      <c r="CR23" s="49"/>
      <c r="CS23" s="49"/>
      <c r="CT23" s="49"/>
      <c r="CU23" s="49"/>
      <c r="CV23" s="49"/>
      <c r="CW23" s="49"/>
      <c r="CX23" s="49"/>
      <c r="CY23" s="49"/>
      <c r="CZ23" s="49"/>
      <c r="DA23" s="49"/>
      <c r="DB23" s="49"/>
      <c r="DC23" s="49"/>
      <c r="DD23" s="49"/>
      <c r="DE23" s="49"/>
      <c r="DF23" s="49"/>
      <c r="DG23" s="49"/>
      <c r="DH23" s="49"/>
      <c r="DI23" s="49"/>
      <c r="DJ23" s="49"/>
      <c r="DK23" s="49"/>
      <c r="DL23" s="49"/>
      <c r="DM23" s="49"/>
      <c r="DN23" s="49"/>
      <c r="DO23" s="49"/>
      <c r="DP23" s="49"/>
      <c r="DQ23" s="49"/>
      <c r="DR23" s="49"/>
      <c r="DS23" s="49"/>
      <c r="DT23" s="49"/>
      <c r="DU23" s="49"/>
      <c r="DV23" s="49"/>
      <c r="DW23" s="49"/>
      <c r="DX23" s="49"/>
      <c r="DY23" s="49"/>
      <c r="DZ23" s="49"/>
      <c r="EA23" s="49"/>
      <c r="EB23" s="49"/>
      <c r="EC23" s="49"/>
      <c r="ED23" s="49"/>
      <c r="EE23" s="49"/>
      <c r="EF23" s="49"/>
      <c r="EG23" s="49"/>
      <c r="EH23" s="49"/>
      <c r="EI23" s="49"/>
      <c r="EJ23" s="49"/>
      <c r="EK23" s="49"/>
      <c r="EL23" s="49"/>
      <c r="EM23" s="49"/>
    </row>
    <row r="24" customFormat="false" ht="12.8" hidden="false" customHeight="false" outlineLevel="0" collapsed="false">
      <c r="A24" s="3" t="s">
        <v>162</v>
      </c>
      <c r="B24" s="3" t="n">
        <v>26998</v>
      </c>
      <c r="C24" s="3" t="n">
        <v>28152</v>
      </c>
      <c r="D24" s="3" t="n">
        <v>27237</v>
      </c>
      <c r="E24" s="3" t="n">
        <v>31254</v>
      </c>
      <c r="F24" s="3" t="n">
        <v>28101</v>
      </c>
      <c r="G24" s="3" t="n">
        <v>31498</v>
      </c>
      <c r="H24" s="3" t="n">
        <v>33643</v>
      </c>
      <c r="I24" s="3" t="n">
        <v>38706</v>
      </c>
      <c r="J24" s="3" t="n">
        <v>35635</v>
      </c>
      <c r="K24" s="3" t="n">
        <v>38329</v>
      </c>
      <c r="L24" s="3" t="n">
        <v>39885</v>
      </c>
      <c r="M24" s="3" t="n">
        <v>46783</v>
      </c>
      <c r="N24" s="3" t="n">
        <v>41392</v>
      </c>
      <c r="O24" s="3" t="n">
        <v>46563</v>
      </c>
      <c r="P24" s="3" t="n">
        <v>50082</v>
      </c>
      <c r="Q24" s="3" t="n">
        <v>58137</v>
      </c>
      <c r="R24" s="3" t="n">
        <v>55024</v>
      </c>
      <c r="S24" s="3" t="n">
        <v>59363</v>
      </c>
      <c r="Z24" s="3" t="n">
        <v>3711</v>
      </c>
      <c r="AA24" s="3" t="n">
        <v>5089</v>
      </c>
      <c r="AB24" s="3" t="n">
        <v>6986</v>
      </c>
      <c r="AC24" s="3" t="n">
        <v>11492</v>
      </c>
      <c r="AD24" s="3" t="n">
        <v>17079</v>
      </c>
      <c r="AE24" s="3" t="n">
        <v>26885</v>
      </c>
      <c r="AF24" s="3" t="n">
        <v>39942</v>
      </c>
      <c r="AG24" s="3" t="n">
        <v>55013</v>
      </c>
      <c r="AH24" s="3" t="n">
        <v>69655</v>
      </c>
      <c r="AI24" s="3" t="n">
        <v>84169</v>
      </c>
      <c r="AJ24" s="3" t="n">
        <v>114934</v>
      </c>
      <c r="AK24" s="3" t="n">
        <v>113642</v>
      </c>
      <c r="AL24" s="3" t="n">
        <v>131948</v>
      </c>
      <c r="AM24" s="3" t="n">
        <v>160633</v>
      </c>
      <c r="AN24" s="3" t="n">
        <v>196175</v>
      </c>
      <c r="AO24" s="3" t="n">
        <f aca="false">+AO30-AO26</f>
        <v>253360.48</v>
      </c>
      <c r="AP24" s="3" t="n">
        <f aca="false">+AP30-AP26</f>
        <v>303838.776</v>
      </c>
      <c r="AQ24" s="3" t="n">
        <f aca="false">+AQ30-AQ26</f>
        <v>349414.5924</v>
      </c>
      <c r="AR24" s="3" t="n">
        <f aca="false">+AR30-AR26</f>
        <v>398332.635336</v>
      </c>
      <c r="AS24" s="3" t="n">
        <f aca="false">+AS30-AS26</f>
        <v>450115.87792968</v>
      </c>
      <c r="AT24" s="3" t="n">
        <f aca="false">+AT30-AT26</f>
        <v>504058.007997742</v>
      </c>
    </row>
    <row r="25" s="39" customFormat="true" ht="10.5" hidden="false" customHeight="true" outlineLevel="0" collapsed="false">
      <c r="F25" s="39" t="n">
        <f aca="false">+F24/B24-1</f>
        <v>0.0408548781391214</v>
      </c>
      <c r="G25" s="39" t="n">
        <f aca="false">+G24/C24-1</f>
        <v>0.118854788292128</v>
      </c>
      <c r="H25" s="39" t="n">
        <f aca="false">+H24/D24-1</f>
        <v>0.235194771817748</v>
      </c>
      <c r="I25" s="39" t="n">
        <f aca="false">+I24/E24-1</f>
        <v>0.238433480514494</v>
      </c>
      <c r="J25" s="39" t="n">
        <f aca="false">+J24/F24-1</f>
        <v>0.268104337923917</v>
      </c>
      <c r="K25" s="39" t="n">
        <f aca="false">+K24/G24-1</f>
        <v>0.216870912438885</v>
      </c>
      <c r="L25" s="39" t="n">
        <f aca="false">+L24/H24-1</f>
        <v>0.185536367149184</v>
      </c>
      <c r="M25" s="39" t="n">
        <f aca="false">+M24/I24-1</f>
        <v>0.208675657520798</v>
      </c>
      <c r="N25" s="39" t="n">
        <f aca="false">+N24/J24-1</f>
        <v>0.161554651325944</v>
      </c>
      <c r="O25" s="39" t="n">
        <f aca="false">+O24/K24-1</f>
        <v>0.214824284484333</v>
      </c>
      <c r="P25" s="39" t="n">
        <f aca="false">+P24/L24-1</f>
        <v>0.255660022564874</v>
      </c>
      <c r="Q25" s="39" t="n">
        <f aca="false">+Q24/M24-1</f>
        <v>0.242694996045572</v>
      </c>
      <c r="R25" s="39" t="n">
        <f aca="false">+R24/N24-1</f>
        <v>0.329339002705837</v>
      </c>
      <c r="S25" s="39" t="n">
        <f aca="false">+S24/O24-1</f>
        <v>0.274896376951657</v>
      </c>
      <c r="AA25" s="39" t="n">
        <f aca="false">+AA24/Z24-1</f>
        <v>0.371328482888709</v>
      </c>
      <c r="AB25" s="39" t="n">
        <f aca="false">+AB24/AA24-1</f>
        <v>0.372764786795048</v>
      </c>
      <c r="AC25" s="39" t="n">
        <f aca="false">+AC24/AB24-1</f>
        <v>0.645004294302892</v>
      </c>
      <c r="AD25" s="39" t="n">
        <f aca="false">+AD24/AC24-1</f>
        <v>0.486164288200487</v>
      </c>
      <c r="AE25" s="39" t="n">
        <f aca="false">+AE24/AD24-1</f>
        <v>0.57415539551496</v>
      </c>
      <c r="AF25" s="39" t="n">
        <f aca="false">+AF24/AE24-1</f>
        <v>0.48566114933978</v>
      </c>
      <c r="AG25" s="39" t="n">
        <f aca="false">+AG24/AF24-1</f>
        <v>0.377322117069751</v>
      </c>
      <c r="AH25" s="39" t="n">
        <f aca="false">+AH24/AG24-1</f>
        <v>0.266155272390162</v>
      </c>
      <c r="AI25" s="39" t="n">
        <f aca="false">+AI24/AH24-1</f>
        <v>0.208369822697581</v>
      </c>
      <c r="AJ25" s="39" t="n">
        <f aca="false">+AJ24/AI24-1</f>
        <v>0.36551461939669</v>
      </c>
      <c r="AK25" s="39" t="n">
        <f aca="false">+AK24/AJ24-1</f>
        <v>-0.0112412340995702</v>
      </c>
      <c r="AL25" s="39" t="n">
        <f aca="false">+AL24/AK24-1</f>
        <v>0.161084810193414</v>
      </c>
      <c r="AM25" s="39" t="n">
        <f aca="false">+AM24/AL24-1</f>
        <v>0.217396247006396</v>
      </c>
      <c r="AN25" s="39" t="n">
        <f aca="false">+AN24/AM24-1</f>
        <v>0.221262131691496</v>
      </c>
      <c r="AO25" s="39" t="n">
        <f aca="false">+AO24/AO$30</f>
        <v>0.984932152702447</v>
      </c>
      <c r="AP25" s="39" t="n">
        <f aca="false">+AP24/AP$30</f>
        <v>0.984304325731716</v>
      </c>
      <c r="AQ25" s="39" t="n">
        <f aca="false">+AQ24/AQ$30</f>
        <v>0.984304325731716</v>
      </c>
      <c r="AR25" s="39" t="n">
        <f aca="false">+AR24/AR$30</f>
        <v>0.984304325731716</v>
      </c>
      <c r="AS25" s="39" t="n">
        <f aca="false">+AS24/AS$30</f>
        <v>0.984304325731716</v>
      </c>
      <c r="AT25" s="39" t="n">
        <f aca="false">+AT24/AT$30</f>
        <v>0.984164185782892</v>
      </c>
      <c r="EN25" s="32"/>
      <c r="EO25" s="32"/>
      <c r="EP25" s="32"/>
      <c r="EQ25" s="32"/>
      <c r="ER25" s="32"/>
    </row>
    <row r="26" customFormat="false" ht="12.8" hidden="false" customHeight="false" outlineLevel="0" collapsed="false">
      <c r="A26" s="3" t="s">
        <v>163</v>
      </c>
      <c r="B26" s="3" t="n">
        <v>215</v>
      </c>
      <c r="C26" s="3" t="n">
        <v>218</v>
      </c>
      <c r="D26" s="3" t="n">
        <v>192</v>
      </c>
      <c r="E26" s="3" t="n">
        <v>184</v>
      </c>
      <c r="F26" s="3" t="n">
        <v>205</v>
      </c>
      <c r="G26" s="3" t="n">
        <v>225</v>
      </c>
      <c r="H26" s="3" t="n">
        <v>293</v>
      </c>
      <c r="I26" s="3" t="n">
        <v>334</v>
      </c>
      <c r="J26" s="3" t="n">
        <v>380</v>
      </c>
      <c r="K26" s="3" t="n">
        <v>389</v>
      </c>
      <c r="L26" s="3" t="n">
        <v>434</v>
      </c>
      <c r="M26" s="3" t="n">
        <v>519</v>
      </c>
      <c r="N26" s="3" t="n">
        <v>510</v>
      </c>
      <c r="O26" s="3" t="n">
        <v>583</v>
      </c>
      <c r="P26" s="3" t="n">
        <v>690</v>
      </c>
      <c r="Q26" s="3" t="n">
        <v>801</v>
      </c>
      <c r="R26" s="3" t="n">
        <v>885</v>
      </c>
      <c r="S26" s="3" t="n">
        <v>1007</v>
      </c>
      <c r="Z26" s="3" t="n">
        <v>0</v>
      </c>
      <c r="AA26" s="3" t="n">
        <v>0</v>
      </c>
      <c r="AB26" s="3" t="n">
        <v>886</v>
      </c>
      <c r="AC26" s="3" t="n">
        <v>974</v>
      </c>
      <c r="AD26" s="3" t="n">
        <v>849</v>
      </c>
      <c r="AE26" s="3" t="n">
        <v>753</v>
      </c>
      <c r="AF26" s="3" t="n">
        <v>711</v>
      </c>
      <c r="AG26" s="3" t="n">
        <v>825</v>
      </c>
      <c r="AH26" s="3" t="n">
        <v>1042</v>
      </c>
      <c r="AI26" s="3" t="n">
        <v>657</v>
      </c>
      <c r="AJ26" s="3" t="n">
        <v>721</v>
      </c>
      <c r="AK26" s="3" t="n">
        <v>808</v>
      </c>
      <c r="AL26" s="3" t="n">
        <v>1058</v>
      </c>
      <c r="AM26" s="3" t="n">
        <v>1722</v>
      </c>
      <c r="AN26" s="3" t="n">
        <v>2584</v>
      </c>
      <c r="AO26" s="3" t="n">
        <f aca="false">+AN26*1.5</f>
        <v>3876</v>
      </c>
      <c r="AP26" s="3" t="n">
        <f aca="false">+AO26*1.25</f>
        <v>4845</v>
      </c>
      <c r="AQ26" s="3" t="n">
        <f aca="false">+AP26*1.15</f>
        <v>5571.75</v>
      </c>
      <c r="AR26" s="3" t="n">
        <f aca="false">+AQ26*1.14</f>
        <v>6351.795</v>
      </c>
      <c r="AS26" s="3" t="n">
        <f aca="false">+AR26*1.13</f>
        <v>7177.52835</v>
      </c>
      <c r="AT26" s="3" t="n">
        <f aca="false">+AS26*1.13</f>
        <v>8110.6070355</v>
      </c>
    </row>
    <row r="27" s="39" customFormat="true" ht="10.5" hidden="false" customHeight="true" outlineLevel="0" collapsed="false">
      <c r="F27" s="39" t="n">
        <f aca="false">+F26/B26-1</f>
        <v>-0.0465116279069767</v>
      </c>
      <c r="G27" s="39" t="n">
        <f aca="false">+G26/C26-1</f>
        <v>0.0321100917431192</v>
      </c>
      <c r="H27" s="39" t="n">
        <f aca="false">+H26/D26-1</f>
        <v>0.526041666666667</v>
      </c>
      <c r="I27" s="39" t="n">
        <f aca="false">+I26/E26-1</f>
        <v>0.815217391304348</v>
      </c>
      <c r="J27" s="39" t="n">
        <f aca="false">+J26/F26-1</f>
        <v>0.853658536585366</v>
      </c>
      <c r="K27" s="39" t="n">
        <f aca="false">+K26/G26-1</f>
        <v>0.728888888888889</v>
      </c>
      <c r="L27" s="39" t="n">
        <f aca="false">+L26/H26-1</f>
        <v>0.48122866894198</v>
      </c>
      <c r="M27" s="39" t="n">
        <f aca="false">+M26/I26-1</f>
        <v>0.553892215568862</v>
      </c>
      <c r="N27" s="39" t="n">
        <f aca="false">+N26/J26-1</f>
        <v>0.342105263157895</v>
      </c>
      <c r="O27" s="39" t="n">
        <f aca="false">+O26/K26-1</f>
        <v>0.498714652956298</v>
      </c>
      <c r="P27" s="39" t="n">
        <f aca="false">+P26/L26-1</f>
        <v>0.589861751152074</v>
      </c>
      <c r="Q27" s="39" t="n">
        <f aca="false">+Q26/M26-1</f>
        <v>0.543352601156069</v>
      </c>
      <c r="R27" s="39" t="n">
        <f aca="false">+R26/N26-1</f>
        <v>0.735294117647059</v>
      </c>
      <c r="S27" s="39" t="n">
        <f aca="false">+S26/O26-1</f>
        <v>0.727272727272727</v>
      </c>
      <c r="AC27" s="39" t="n">
        <f aca="false">+AC26/AB26-1</f>
        <v>0.0993227990970655</v>
      </c>
      <c r="AD27" s="39" t="n">
        <f aca="false">+AD26/AC26-1</f>
        <v>-0.128336755646817</v>
      </c>
      <c r="AE27" s="39" t="n">
        <f aca="false">+AE26/AD26-1</f>
        <v>-0.113074204946996</v>
      </c>
      <c r="AF27" s="39" t="n">
        <f aca="false">+AF26/AE26-1</f>
        <v>-0.0557768924302788</v>
      </c>
      <c r="AG27" s="39" t="n">
        <f aca="false">+AG26/AF26-1</f>
        <v>0.160337552742616</v>
      </c>
      <c r="AH27" s="39" t="n">
        <f aca="false">+AH26/AG26-1</f>
        <v>0.263030303030303</v>
      </c>
      <c r="AI27" s="39" t="n">
        <f aca="false">+AI26/AH26-1</f>
        <v>-0.369481765834933</v>
      </c>
      <c r="AJ27" s="39" t="n">
        <f aca="false">+AJ26/AI26-1</f>
        <v>0.0974124809741248</v>
      </c>
      <c r="AK27" s="39" t="n">
        <f aca="false">+AK26/AJ26-1</f>
        <v>0.120665742024965</v>
      </c>
      <c r="AL27" s="39" t="n">
        <f aca="false">+AL26/AK26-1</f>
        <v>0.309405940594059</v>
      </c>
      <c r="AM27" s="39" t="n">
        <f aca="false">+AM26/AL26-1</f>
        <v>0.627599243856333</v>
      </c>
      <c r="AN27" s="39" t="n">
        <f aca="false">+AN26/AM26-1</f>
        <v>0.500580720092915</v>
      </c>
      <c r="AO27" s="39" t="n">
        <f aca="false">+AO26/AO$30</f>
        <v>0.0150678472975528</v>
      </c>
      <c r="AP27" s="39" t="n">
        <f aca="false">+AP26/AP$30</f>
        <v>0.0156956742682842</v>
      </c>
      <c r="AQ27" s="39" t="n">
        <f aca="false">+AQ26/AQ$30</f>
        <v>0.0156956742682842</v>
      </c>
      <c r="AR27" s="39" t="n">
        <f aca="false">+AR26/AR$30</f>
        <v>0.0156956742682842</v>
      </c>
      <c r="AS27" s="39" t="n">
        <f aca="false">+AS26/AS$30</f>
        <v>0.0156956742682842</v>
      </c>
      <c r="AT27" s="39" t="n">
        <f aca="false">+AT26/AT$30</f>
        <v>0.0158358142171081</v>
      </c>
      <c r="EN27" s="32"/>
      <c r="EO27" s="32"/>
      <c r="EP27" s="32"/>
      <c r="EQ27" s="32"/>
      <c r="ER27" s="32"/>
    </row>
    <row r="28" s="55" customFormat="true" ht="12.8" hidden="false" customHeight="false" outlineLevel="0" collapsed="false">
      <c r="A28" s="3" t="s">
        <v>164</v>
      </c>
      <c r="B28" s="3" t="n">
        <v>695</v>
      </c>
      <c r="C28" s="3" t="n">
        <v>452</v>
      </c>
      <c r="D28" s="3" t="n">
        <v>285</v>
      </c>
      <c r="E28" s="3" t="n">
        <v>727</v>
      </c>
      <c r="F28" s="3" t="n">
        <v>339</v>
      </c>
      <c r="G28" s="3" t="n">
        <v>276</v>
      </c>
      <c r="H28" s="3" t="n">
        <v>210</v>
      </c>
      <c r="I28" s="3" t="n">
        <v>1071</v>
      </c>
      <c r="J28" s="3" t="n">
        <v>440</v>
      </c>
      <c r="K28" s="3" t="n">
        <v>353</v>
      </c>
      <c r="L28" s="3" t="n">
        <v>270</v>
      </c>
      <c r="M28" s="3" t="n">
        <v>1083</v>
      </c>
      <c r="N28" s="3" t="n">
        <v>412</v>
      </c>
      <c r="O28" s="3" t="n">
        <v>370</v>
      </c>
      <c r="P28" s="3" t="n">
        <v>470</v>
      </c>
      <c r="Q28" s="3" t="n">
        <v>955</v>
      </c>
      <c r="R28" s="3" t="n">
        <v>402</v>
      </c>
      <c r="S28" s="3" t="n">
        <v>431</v>
      </c>
      <c r="T28" s="3"/>
      <c r="U28" s="3"/>
      <c r="V28" s="3"/>
      <c r="W28" s="3"/>
      <c r="X28" s="3"/>
      <c r="Y28" s="3"/>
      <c r="Z28" s="3"/>
      <c r="AA28" s="3"/>
      <c r="AB28" s="3"/>
      <c r="AC28" s="3"/>
      <c r="AD28" s="3"/>
      <c r="AE28" s="3"/>
      <c r="AF28" s="3"/>
      <c r="AG28" s="3"/>
      <c r="AH28" s="3"/>
      <c r="AI28" s="3" t="n">
        <v>1139</v>
      </c>
      <c r="AJ28" s="3" t="n">
        <v>2274</v>
      </c>
      <c r="AK28" s="3" t="n">
        <v>2159</v>
      </c>
      <c r="AL28" s="3" t="n">
        <v>1896</v>
      </c>
      <c r="AM28" s="3" t="n">
        <v>2146</v>
      </c>
      <c r="AN28" s="3" t="n">
        <v>2207</v>
      </c>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2"/>
      <c r="EO28" s="32"/>
      <c r="EP28" s="32"/>
      <c r="EQ28" s="32"/>
      <c r="ER28" s="32"/>
    </row>
    <row r="29" s="39" customFormat="true" ht="10.5" hidden="false" customHeight="true" outlineLevel="0" collapsed="false">
      <c r="F29" s="39" t="n">
        <f aca="false">+F28/B28-1</f>
        <v>-0.512230215827338</v>
      </c>
      <c r="G29" s="39" t="n">
        <f aca="false">+G28/C28-1</f>
        <v>-0.389380530973451</v>
      </c>
      <c r="H29" s="39" t="n">
        <f aca="false">+H28/D28-1</f>
        <v>-0.263157894736842</v>
      </c>
      <c r="I29" s="39" t="n">
        <f aca="false">+I28/E28-1</f>
        <v>0.473177441540578</v>
      </c>
      <c r="J29" s="39" t="n">
        <f aca="false">+J28/F28-1</f>
        <v>0.297935103244838</v>
      </c>
      <c r="K29" s="39" t="n">
        <f aca="false">+K28/G28-1</f>
        <v>0.278985507246377</v>
      </c>
      <c r="L29" s="39" t="n">
        <f aca="false">+L28/H28-1</f>
        <v>0.285714285714286</v>
      </c>
      <c r="M29" s="39" t="n">
        <f aca="false">+M28/I28-1</f>
        <v>0.011204481792717</v>
      </c>
      <c r="N29" s="39" t="n">
        <f aca="false">+N28/J28-1</f>
        <v>-0.0636363636363636</v>
      </c>
      <c r="O29" s="39" t="n">
        <f aca="false">+O28/K28-1</f>
        <v>0.048158640226629</v>
      </c>
      <c r="P29" s="39" t="n">
        <f aca="false">+P28/L28-1</f>
        <v>0.740740740740741</v>
      </c>
      <c r="Q29" s="39" t="n">
        <f aca="false">+Q28/M28-1</f>
        <v>-0.118190212373038</v>
      </c>
      <c r="R29" s="39" t="n">
        <f aca="false">+R28/N28-1</f>
        <v>-0.0242718446601942</v>
      </c>
      <c r="S29" s="39" t="n">
        <f aca="false">+S28/O28-1</f>
        <v>0.164864864864865</v>
      </c>
      <c r="AJ29" s="39" t="n">
        <f aca="false">+AJ28/AI28-1</f>
        <v>0.996488147497805</v>
      </c>
      <c r="AK29" s="39" t="n">
        <f aca="false">+AK28/AJ28-1</f>
        <v>-0.0505716798592788</v>
      </c>
      <c r="AL29" s="39" t="n">
        <f aca="false">+AL28/AK28-1</f>
        <v>-0.121815655396017</v>
      </c>
      <c r="AM29" s="39" t="n">
        <f aca="false">+AM28/AL28-1</f>
        <v>0.131856540084388</v>
      </c>
      <c r="AN29" s="39" t="n">
        <f aca="false">+AN28/AM28-1</f>
        <v>0.0284249767008389</v>
      </c>
      <c r="EN29" s="32"/>
      <c r="EO29" s="32"/>
      <c r="EP29" s="32"/>
      <c r="EQ29" s="32"/>
      <c r="ER29" s="32"/>
    </row>
    <row r="30" customFormat="false" ht="12.8" hidden="false" customHeight="false" outlineLevel="0" collapsed="false">
      <c r="A30" s="55" t="s">
        <v>165</v>
      </c>
      <c r="B30" s="55" t="n">
        <f aca="false">+B24+B26+B28</f>
        <v>27908</v>
      </c>
      <c r="C30" s="55" t="n">
        <f aca="false">+C24+C26+C28</f>
        <v>28822</v>
      </c>
      <c r="D30" s="55" t="n">
        <f aca="false">+D24+D26+D28</f>
        <v>27714</v>
      </c>
      <c r="E30" s="55" t="n">
        <f aca="false">+E24+E26+E28</f>
        <v>32165</v>
      </c>
      <c r="F30" s="55" t="n">
        <f aca="false">+F24+F26+F28</f>
        <v>28645</v>
      </c>
      <c r="G30" s="55" t="n">
        <f aca="false">+G24+G26+G28</f>
        <v>31999</v>
      </c>
      <c r="H30" s="55" t="n">
        <f aca="false">+H24+H26+H28</f>
        <v>34146</v>
      </c>
      <c r="I30" s="55" t="n">
        <f aca="false">+I24+I26+I28</f>
        <v>40111</v>
      </c>
      <c r="J30" s="55" t="n">
        <f aca="false">+J24+J26+J28</f>
        <v>36455</v>
      </c>
      <c r="K30" s="55" t="n">
        <f aca="false">+K24+K26+K28</f>
        <v>39071</v>
      </c>
      <c r="L30" s="55" t="n">
        <f aca="false">+L24+L26+L28</f>
        <v>40589</v>
      </c>
      <c r="M30" s="55" t="n">
        <f aca="false">+M24+M26+M28</f>
        <v>48385</v>
      </c>
      <c r="N30" s="55" t="n">
        <f aca="false">+N24+N26+N28</f>
        <v>42314</v>
      </c>
      <c r="O30" s="55" t="n">
        <f aca="false">+O24+O26+O28</f>
        <v>47516</v>
      </c>
      <c r="P30" s="55" t="n">
        <f aca="false">+P24+P26+P28</f>
        <v>51242</v>
      </c>
      <c r="Q30" s="55" t="n">
        <f aca="false">+Q24+Q26+Q28</f>
        <v>59893</v>
      </c>
      <c r="R30" s="55" t="n">
        <v>56311</v>
      </c>
      <c r="S30" s="55" t="n">
        <v>60801</v>
      </c>
      <c r="T30" s="55" t="n">
        <f aca="false">+P30*1.24</f>
        <v>63540.08</v>
      </c>
      <c r="U30" s="55" t="n">
        <f aca="false">+Q30*1.27</f>
        <v>76064.11</v>
      </c>
      <c r="V30" s="55"/>
      <c r="W30" s="55"/>
      <c r="X30" s="55"/>
      <c r="Y30" s="55"/>
      <c r="Z30" s="55" t="n">
        <f aca="false">+Z24+Z26+Z28</f>
        <v>3711</v>
      </c>
      <c r="AA30" s="55" t="n">
        <f aca="false">+AA24+AA26+AA28</f>
        <v>5089</v>
      </c>
      <c r="AB30" s="55" t="n">
        <f aca="false">+AB24+AB26+AB28</f>
        <v>7872</v>
      </c>
      <c r="AC30" s="55" t="n">
        <f aca="false">+AC24+AC26+AC28</f>
        <v>12466</v>
      </c>
      <c r="AD30" s="55" t="n">
        <f aca="false">+AD24+AD26+AD28</f>
        <v>17928</v>
      </c>
      <c r="AE30" s="55" t="n">
        <f aca="false">+AE24+AE26+AE28</f>
        <v>27638</v>
      </c>
      <c r="AF30" s="55" t="n">
        <f aca="false">+AF24+AF26+AF28</f>
        <v>40653</v>
      </c>
      <c r="AG30" s="55" t="n">
        <f aca="false">+AG24+AG26+AG28</f>
        <v>55838</v>
      </c>
      <c r="AH30" s="55" t="n">
        <f aca="false">+AH24+AH26+AH28</f>
        <v>70697</v>
      </c>
      <c r="AI30" s="55" t="n">
        <f aca="false">+AI24+AI26+AI28</f>
        <v>85965</v>
      </c>
      <c r="AJ30" s="55" t="n">
        <f aca="false">+AJ24+AJ26+AJ28</f>
        <v>117929</v>
      </c>
      <c r="AK30" s="55" t="n">
        <f aca="false">+AK24+AK26+AK28</f>
        <v>116609</v>
      </c>
      <c r="AL30" s="55" t="n">
        <f aca="false">+AL24+AL26+AL28</f>
        <v>134902</v>
      </c>
      <c r="AM30" s="55" t="n">
        <f aca="false">+AM24+AM26+AM28</f>
        <v>164501</v>
      </c>
      <c r="AN30" s="55" t="n">
        <f aca="false">+AN24+AN26+AN28</f>
        <v>200966</v>
      </c>
      <c r="AO30" s="55" t="n">
        <f aca="false">+AN30*1.28</f>
        <v>257236.48</v>
      </c>
      <c r="AP30" s="55" t="n">
        <f aca="false">+AO30*1.2</f>
        <v>308683.776</v>
      </c>
      <c r="AQ30" s="55" t="n">
        <f aca="false">+AP30*1.15</f>
        <v>354986.3424</v>
      </c>
      <c r="AR30" s="55" t="n">
        <f aca="false">+AQ30*1.14</f>
        <v>404684.430336</v>
      </c>
      <c r="AS30" s="55" t="n">
        <f aca="false">+AR30*1.13</f>
        <v>457293.40627968</v>
      </c>
      <c r="AT30" s="55" t="n">
        <f aca="false">+AS30*1.12</f>
        <v>512168.615033242</v>
      </c>
      <c r="AU30" s="55"/>
      <c r="AV30" s="32"/>
      <c r="AW30" s="55"/>
      <c r="AX30" s="55"/>
      <c r="AY30" s="55"/>
      <c r="AZ30" s="55"/>
      <c r="BA30" s="55"/>
      <c r="BB30" s="55"/>
      <c r="BC30" s="55"/>
      <c r="BD30" s="55"/>
      <c r="BE30" s="55"/>
      <c r="BF30" s="55"/>
      <c r="BG30" s="55"/>
      <c r="BH30" s="55"/>
      <c r="BI30" s="55"/>
      <c r="BJ30" s="55"/>
      <c r="BK30" s="55"/>
      <c r="BL30" s="55"/>
      <c r="BM30" s="55"/>
      <c r="BN30" s="55"/>
      <c r="BO30" s="55"/>
      <c r="BP30" s="55"/>
      <c r="BQ30" s="55"/>
      <c r="BR30" s="55"/>
      <c r="BS30" s="55"/>
      <c r="BT30" s="55"/>
      <c r="BU30" s="55"/>
      <c r="BV30" s="55"/>
      <c r="BW30" s="55"/>
      <c r="BX30" s="55"/>
      <c r="BY30" s="55"/>
      <c r="BZ30" s="55"/>
      <c r="CA30" s="55"/>
      <c r="CB30" s="55"/>
      <c r="CC30" s="55"/>
      <c r="CD30" s="55"/>
      <c r="CE30" s="55"/>
      <c r="CF30" s="55"/>
      <c r="CG30" s="55"/>
      <c r="CH30" s="55"/>
      <c r="CI30" s="55"/>
      <c r="CJ30" s="55"/>
      <c r="CK30" s="55"/>
      <c r="CL30" s="55"/>
      <c r="CM30" s="55"/>
      <c r="CN30" s="55"/>
      <c r="CO30" s="55"/>
      <c r="CP30" s="55"/>
      <c r="CQ30" s="55"/>
      <c r="CR30" s="55"/>
      <c r="CS30" s="55"/>
      <c r="CT30" s="55"/>
      <c r="CU30" s="55"/>
      <c r="CV30" s="55"/>
      <c r="CW30" s="55"/>
      <c r="CX30" s="55"/>
      <c r="CY30" s="55"/>
      <c r="CZ30" s="55"/>
      <c r="DA30" s="55"/>
      <c r="DB30" s="55"/>
      <c r="DC30" s="55"/>
      <c r="DD30" s="55"/>
      <c r="DE30" s="55"/>
      <c r="DF30" s="55"/>
      <c r="DG30" s="55"/>
      <c r="DH30" s="55"/>
      <c r="DI30" s="55"/>
      <c r="DJ30" s="55"/>
      <c r="DK30" s="55"/>
      <c r="DL30" s="55"/>
      <c r="DM30" s="55"/>
      <c r="DN30" s="55"/>
      <c r="DO30" s="55"/>
      <c r="DP30" s="55"/>
      <c r="DQ30" s="55"/>
      <c r="DR30" s="55"/>
      <c r="DS30" s="55"/>
      <c r="DT30" s="55"/>
      <c r="DU30" s="55"/>
      <c r="DV30" s="55"/>
      <c r="DW30" s="55"/>
      <c r="DX30" s="55"/>
      <c r="DY30" s="55"/>
      <c r="DZ30" s="55"/>
      <c r="EA30" s="55"/>
      <c r="EB30" s="55"/>
      <c r="EC30" s="55"/>
      <c r="ED30" s="55"/>
      <c r="EE30" s="55"/>
      <c r="EF30" s="55"/>
      <c r="EG30" s="55"/>
      <c r="EH30" s="55"/>
      <c r="EI30" s="55"/>
      <c r="EJ30" s="55"/>
      <c r="EK30" s="55"/>
      <c r="EL30" s="55"/>
      <c r="EM30" s="55"/>
    </row>
    <row r="31" s="39" customFormat="true" ht="10.5" hidden="false" customHeight="true" outlineLevel="0" collapsed="false">
      <c r="F31" s="39" t="n">
        <f aca="false">+F30/B30-1</f>
        <v>0.02640819836606</v>
      </c>
      <c r="G31" s="39" t="n">
        <f aca="false">+G30/C30-1</f>
        <v>0.110228297828048</v>
      </c>
      <c r="H31" s="39" t="n">
        <f aca="false">+H30/D30-1</f>
        <v>0.232084866854297</v>
      </c>
      <c r="I31" s="39" t="n">
        <f aca="false">+I30/E30-1</f>
        <v>0.247038706668739</v>
      </c>
      <c r="J31" s="39" t="n">
        <f aca="false">+J30/F30-1</f>
        <v>0.272647931576191</v>
      </c>
      <c r="K31" s="39" t="n">
        <f aca="false">+K30/G30-1</f>
        <v>0.221006906465827</v>
      </c>
      <c r="L31" s="39" t="n">
        <f aca="false">+L30/H30-1</f>
        <v>0.188689744040297</v>
      </c>
      <c r="M31" s="39" t="n">
        <f aca="false">+M30/I30-1</f>
        <v>0.206277579716287</v>
      </c>
      <c r="N31" s="39" t="n">
        <f aca="false">+N30/J30-1</f>
        <v>0.16071869428062</v>
      </c>
      <c r="O31" s="39" t="n">
        <f aca="false">+O30/K30-1</f>
        <v>0.216144966855212</v>
      </c>
      <c r="P31" s="39" t="n">
        <f aca="false">+P30/L30-1</f>
        <v>0.26246027248762</v>
      </c>
      <c r="Q31" s="39" t="n">
        <f aca="false">+Q30/M30-1</f>
        <v>0.237842306499948</v>
      </c>
      <c r="R31" s="39" t="n">
        <f aca="false">+R30/N30-1</f>
        <v>0.3307888642057</v>
      </c>
      <c r="S31" s="39" t="n">
        <f aca="false">+S30/O30-1</f>
        <v>0.279590032831046</v>
      </c>
      <c r="T31" s="39" t="n">
        <f aca="false">+T30/P30-1</f>
        <v>0.24</v>
      </c>
      <c r="U31" s="39" t="n">
        <f aca="false">+U30/Q30-1</f>
        <v>0.27</v>
      </c>
      <c r="AA31" s="39" t="n">
        <f aca="false">+AA30/Z30-1</f>
        <v>0.371328482888709</v>
      </c>
      <c r="AB31" s="39" t="n">
        <f aca="false">+AB30/AA30-1</f>
        <v>0.546865788956573</v>
      </c>
      <c r="AC31" s="39" t="n">
        <f aca="false">+AC30/AB30-1</f>
        <v>0.583587398373984</v>
      </c>
      <c r="AD31" s="39" t="n">
        <f aca="false">+AD30/AC30-1</f>
        <v>0.438151772822076</v>
      </c>
      <c r="AE31" s="39" t="n">
        <f aca="false">+AE30/AD30-1</f>
        <v>0.54161088799643</v>
      </c>
      <c r="AF31" s="39" t="n">
        <f aca="false">+AF30/AE30-1</f>
        <v>0.470909617193719</v>
      </c>
      <c r="AG31" s="39" t="n">
        <f aca="false">+AG30/AF30-1</f>
        <v>0.37352716896662</v>
      </c>
      <c r="AH31" s="39" t="n">
        <f aca="false">+AH30/AG30-1</f>
        <v>0.266109101328844</v>
      </c>
      <c r="AI31" s="39" t="n">
        <f aca="false">+AI30/AH30-1</f>
        <v>0.215963902287226</v>
      </c>
      <c r="AJ31" s="39" t="n">
        <f aca="false">+AJ30/AI30-1</f>
        <v>0.371825743034956</v>
      </c>
      <c r="AK31" s="39" t="n">
        <f aca="false">+AK30/AJ30-1</f>
        <v>-0.0111931755547829</v>
      </c>
      <c r="AL31" s="39" t="n">
        <f aca="false">+AL30/AK30-1</f>
        <v>0.156874683772265</v>
      </c>
      <c r="AM31" s="39" t="n">
        <f aca="false">+AM30/AL30-1</f>
        <v>0.219411128078161</v>
      </c>
      <c r="AN31" s="39" t="n">
        <f aca="false">+AN30/AM30-1</f>
        <v>0.221670384982462</v>
      </c>
      <c r="AO31" s="39" t="n">
        <f aca="false">+AO30/AN30-1</f>
        <v>0.28</v>
      </c>
      <c r="AP31" s="39" t="n">
        <f aca="false">+AP30/AO30-1</f>
        <v>0.2</v>
      </c>
      <c r="AQ31" s="39" t="n">
        <f aca="false">+AQ30/AP30-1</f>
        <v>0.15</v>
      </c>
      <c r="AR31" s="39" t="n">
        <f aca="false">+AR30/AQ30-1</f>
        <v>0.14</v>
      </c>
      <c r="AS31" s="39" t="n">
        <f aca="false">+AS30/AR30-1</f>
        <v>0.13</v>
      </c>
      <c r="AT31" s="39" t="n">
        <f aca="false">+AT30/AS30-1</f>
        <v>0.12</v>
      </c>
      <c r="AV31" s="39" t="n">
        <f aca="false">+(AT30/AO30)^(1/(AT2-AO2))-1</f>
        <v>0.147667493254459</v>
      </c>
      <c r="EN31" s="32"/>
      <c r="EO31" s="32"/>
      <c r="EP31" s="32"/>
      <c r="EQ31" s="32"/>
      <c r="ER31" s="32"/>
    </row>
    <row r="32" s="43" customFormat="true" ht="12.8" hidden="false" customHeight="false" outlineLevel="0" collapsed="false">
      <c r="A32" s="3" t="s">
        <v>166</v>
      </c>
      <c r="B32" s="3" t="n">
        <v>6005</v>
      </c>
      <c r="C32" s="3" t="n">
        <v>5192</v>
      </c>
      <c r="D32" s="3" t="n">
        <v>5716</v>
      </c>
      <c r="E32" s="3" t="n">
        <v>8336</v>
      </c>
      <c r="F32" s="3" t="n">
        <v>6108</v>
      </c>
      <c r="G32" s="3" t="n">
        <v>5945</v>
      </c>
      <c r="H32" s="3" t="n">
        <v>6210</v>
      </c>
      <c r="I32" s="3" t="n">
        <v>7695</v>
      </c>
      <c r="J32" s="3" t="n">
        <v>6640</v>
      </c>
      <c r="K32" s="3" t="n">
        <v>7308</v>
      </c>
      <c r="L32" s="3" t="n">
        <v>7375</v>
      </c>
      <c r="M32" s="3" t="n">
        <v>8839</v>
      </c>
      <c r="N32" s="3" t="n">
        <v>7572</v>
      </c>
      <c r="O32" s="3" t="n">
        <v>8491</v>
      </c>
      <c r="P32" s="3" t="n">
        <v>9206</v>
      </c>
      <c r="Q32" s="3" t="n">
        <v>10905</v>
      </c>
      <c r="R32" s="3" t="n">
        <v>10218</v>
      </c>
      <c r="S32" s="3" t="n">
        <v>11330</v>
      </c>
      <c r="T32" s="3" t="n">
        <f aca="false">+T30-T34</f>
        <v>11500.75448</v>
      </c>
      <c r="U32" s="3" t="n">
        <f aca="false">+U30-U34</f>
        <v>13767.60391</v>
      </c>
      <c r="V32" s="3"/>
      <c r="W32" s="3"/>
      <c r="X32" s="3"/>
      <c r="Y32" s="3"/>
      <c r="Z32" s="3" t="n">
        <v>860</v>
      </c>
      <c r="AA32" s="3" t="n">
        <v>1364</v>
      </c>
      <c r="AB32" s="3" t="n">
        <v>1875</v>
      </c>
      <c r="AC32" s="3" t="n">
        <v>2153</v>
      </c>
      <c r="AD32" s="3" t="n">
        <v>2867</v>
      </c>
      <c r="AE32" s="3" t="n">
        <v>3789</v>
      </c>
      <c r="AF32" s="3" t="n">
        <v>5454</v>
      </c>
      <c r="AG32" s="3" t="n">
        <v>9355</v>
      </c>
      <c r="AH32" s="3" t="n">
        <v>12770</v>
      </c>
      <c r="AI32" s="3" t="n">
        <v>16692</v>
      </c>
      <c r="AJ32" s="3" t="n">
        <v>22649</v>
      </c>
      <c r="AK32" s="3" t="n">
        <v>25249</v>
      </c>
      <c r="AL32" s="3" t="n">
        <v>25959</v>
      </c>
      <c r="AM32" s="3" t="n">
        <v>30161</v>
      </c>
      <c r="AN32" s="3" t="n">
        <v>36175</v>
      </c>
      <c r="AO32" s="3" t="n">
        <f aca="false">+AO30-AO34</f>
        <v>46302.5664</v>
      </c>
      <c r="AP32" s="3" t="n">
        <f aca="false">+AP30-AP34</f>
        <v>55563.07968</v>
      </c>
      <c r="AQ32" s="3" t="n">
        <f aca="false">+AQ30-AQ34</f>
        <v>60347.678208</v>
      </c>
      <c r="AR32" s="3" t="n">
        <f aca="false">+AR30-AR34</f>
        <v>68796.35315712</v>
      </c>
      <c r="AS32" s="3" t="n">
        <f aca="false">+AS30-AS34</f>
        <v>73166.9450047488</v>
      </c>
      <c r="AT32" s="3" t="n">
        <f aca="false">+AT30-AT34</f>
        <v>81946.9784053186</v>
      </c>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2"/>
      <c r="EO32" s="32"/>
      <c r="EP32" s="32"/>
      <c r="EQ32" s="32"/>
      <c r="ER32" s="32"/>
    </row>
    <row r="33" s="39" customFormat="true" ht="10.5" hidden="false" customHeight="true" outlineLevel="0" collapsed="false">
      <c r="B33" s="39" t="n">
        <f aca="false">+B32/B$30</f>
        <v>0.215171277053175</v>
      </c>
      <c r="C33" s="39" t="n">
        <f aca="false">+C32/C$30</f>
        <v>0.180140170702935</v>
      </c>
      <c r="D33" s="39" t="n">
        <f aca="false">+D32/D$30</f>
        <v>0.206249548964422</v>
      </c>
      <c r="E33" s="39" t="n">
        <f aca="false">+E32/E$30</f>
        <v>0.259163687237681</v>
      </c>
      <c r="F33" s="39" t="n">
        <f aca="false">+F32/F$30</f>
        <v>0.213230930354338</v>
      </c>
      <c r="G33" s="39" t="n">
        <f aca="false">+G32/G$30</f>
        <v>0.185787055845495</v>
      </c>
      <c r="H33" s="39" t="n">
        <f aca="false">+H32/H$30</f>
        <v>0.181866104375329</v>
      </c>
      <c r="I33" s="39" t="n">
        <f aca="false">+I32/I$30</f>
        <v>0.191842636683204</v>
      </c>
      <c r="J33" s="39" t="n">
        <f aca="false">+J32/J$30</f>
        <v>0.182142367302153</v>
      </c>
      <c r="K33" s="39" t="n">
        <f aca="false">+K32/K$30</f>
        <v>0.187044099204013</v>
      </c>
      <c r="L33" s="39" t="n">
        <f aca="false">+L32/L$30</f>
        <v>0.181699475227278</v>
      </c>
      <c r="M33" s="39" t="n">
        <f aca="false">+M32/M$30</f>
        <v>0.182680582825256</v>
      </c>
      <c r="N33" s="39" t="n">
        <f aca="false">+N32/N$30</f>
        <v>0.17894786595453</v>
      </c>
      <c r="O33" s="39" t="n">
        <f aca="false">+O32/O$30</f>
        <v>0.178697701826753</v>
      </c>
      <c r="P33" s="39" t="n">
        <f aca="false">+P32/P$30</f>
        <v>0.179657312360954</v>
      </c>
      <c r="Q33" s="39" t="n">
        <f aca="false">+Q32/Q$30</f>
        <v>0.182074699881455</v>
      </c>
      <c r="R33" s="39" t="n">
        <f aca="false">+R32/R$30</f>
        <v>0.181456553781677</v>
      </c>
      <c r="S33" s="39" t="n">
        <f aca="false">+S32/S$30</f>
        <v>0.186345619315472</v>
      </c>
      <c r="T33" s="39" t="n">
        <f aca="false">+T32/T$30</f>
        <v>0.181</v>
      </c>
      <c r="U33" s="39" t="n">
        <f aca="false">+U32/U$30</f>
        <v>0.181</v>
      </c>
      <c r="Z33" s="39" t="n">
        <f aca="false">+Z32/Z$30</f>
        <v>0.231743465373215</v>
      </c>
      <c r="AA33" s="39" t="n">
        <f aca="false">+AA32/AA$30</f>
        <v>0.268029082334447</v>
      </c>
      <c r="AB33" s="39" t="n">
        <f aca="false">+AB32/AB$30</f>
        <v>0.238185975609756</v>
      </c>
      <c r="AC33" s="39" t="n">
        <f aca="false">+AC32/AC$30</f>
        <v>0.172709770575967</v>
      </c>
      <c r="AD33" s="39" t="n">
        <f aca="false">+AD32/AD$30</f>
        <v>0.15991744756805</v>
      </c>
      <c r="AE33" s="39" t="n">
        <f aca="false">+AE32/AE$30</f>
        <v>0.137093856284825</v>
      </c>
      <c r="AF33" s="39" t="n">
        <f aca="false">+AF32/AF$30</f>
        <v>0.13415984060217</v>
      </c>
      <c r="AG33" s="39" t="n">
        <f aca="false">+AG32/AG$30</f>
        <v>0.167538235610158</v>
      </c>
      <c r="AH33" s="39" t="n">
        <f aca="false">+AH32/AH$30</f>
        <v>0.180630012588936</v>
      </c>
      <c r="AI33" s="39" t="n">
        <f aca="false">+AI32/AI$30</f>
        <v>0.194172046763218</v>
      </c>
      <c r="AJ33" s="39" t="n">
        <f aca="false">+AJ32/AJ$30</f>
        <v>0.192056237227484</v>
      </c>
      <c r="AK33" s="39" t="n">
        <f aca="false">+AK32/AK$30</f>
        <v>0.216527026215815</v>
      </c>
      <c r="AL33" s="39" t="n">
        <f aca="false">+AL32/AL$30</f>
        <v>0.19242857778239</v>
      </c>
      <c r="AM33" s="39" t="n">
        <f aca="false">+AM32/AM$30</f>
        <v>0.18334842949283</v>
      </c>
      <c r="AN33" s="39" t="n">
        <f aca="false">+AN32/AN$30</f>
        <v>0.180005573082014</v>
      </c>
      <c r="AO33" s="39" t="n">
        <f aca="false">+AO32/AO$30</f>
        <v>0.18</v>
      </c>
      <c r="AP33" s="39" t="n">
        <f aca="false">+AP32/AP$30</f>
        <v>0.18</v>
      </c>
      <c r="AQ33" s="39" t="n">
        <f aca="false">+AQ32/AQ$30</f>
        <v>0.17</v>
      </c>
      <c r="AR33" s="39" t="n">
        <f aca="false">+AR32/AR$30</f>
        <v>0.17</v>
      </c>
      <c r="AS33" s="39" t="n">
        <f aca="false">+AS32/AS$30</f>
        <v>0.16</v>
      </c>
      <c r="AT33" s="39" t="n">
        <f aca="false">+AT32/AT$30</f>
        <v>0.16</v>
      </c>
      <c r="EN33" s="32"/>
      <c r="EO33" s="32"/>
      <c r="EP33" s="32"/>
      <c r="EQ33" s="32"/>
      <c r="ER33" s="32"/>
    </row>
    <row r="34" customFormat="false" ht="12.8" hidden="false" customHeight="false" outlineLevel="0" collapsed="false">
      <c r="A34" s="43" t="s">
        <v>167</v>
      </c>
      <c r="B34" s="43" t="n">
        <f aca="false">B30-B32</f>
        <v>21903</v>
      </c>
      <c r="C34" s="43" t="n">
        <f aca="false">C30-C32</f>
        <v>23630</v>
      </c>
      <c r="D34" s="43" t="n">
        <f aca="false">D30-D32</f>
        <v>21998</v>
      </c>
      <c r="E34" s="43" t="n">
        <f aca="false">E30-E32</f>
        <v>23829</v>
      </c>
      <c r="F34" s="43" t="n">
        <f aca="false">F30-F32</f>
        <v>22537</v>
      </c>
      <c r="G34" s="43" t="n">
        <f aca="false">G30-G32</f>
        <v>26054</v>
      </c>
      <c r="H34" s="43" t="n">
        <f aca="false">H30-H32</f>
        <v>27936</v>
      </c>
      <c r="I34" s="43" t="n">
        <f aca="false">I30-I32</f>
        <v>32416</v>
      </c>
      <c r="J34" s="43" t="n">
        <f aca="false">J30-J32</f>
        <v>29815</v>
      </c>
      <c r="K34" s="43" t="n">
        <f aca="false">K30-K32</f>
        <v>31763</v>
      </c>
      <c r="L34" s="43" t="n">
        <f aca="false">L30-L32</f>
        <v>33214</v>
      </c>
      <c r="M34" s="43" t="n">
        <f aca="false">M30-M32</f>
        <v>39546</v>
      </c>
      <c r="N34" s="43" t="n">
        <f aca="false">N30-N32</f>
        <v>34742</v>
      </c>
      <c r="O34" s="43" t="n">
        <f aca="false">O30-O32</f>
        <v>39025</v>
      </c>
      <c r="P34" s="43" t="n">
        <f aca="false">P30-P32</f>
        <v>42036</v>
      </c>
      <c r="Q34" s="43" t="n">
        <f aca="false">Q30-Q32</f>
        <v>48988</v>
      </c>
      <c r="R34" s="43" t="n">
        <f aca="false">R30-R32</f>
        <v>46093</v>
      </c>
      <c r="S34" s="43" t="n">
        <f aca="false">S30-S32</f>
        <v>49471</v>
      </c>
      <c r="T34" s="43" t="n">
        <f aca="false">+T30*0.819</f>
        <v>52039.32552</v>
      </c>
      <c r="U34" s="43" t="n">
        <f aca="false">+U30*0.819</f>
        <v>62296.50609</v>
      </c>
      <c r="V34" s="43"/>
      <c r="W34" s="43"/>
      <c r="X34" s="43"/>
      <c r="Y34" s="43"/>
      <c r="Z34" s="43" t="n">
        <f aca="false">Z30-Z32</f>
        <v>2851</v>
      </c>
      <c r="AA34" s="43" t="n">
        <f aca="false">AA30-AA32</f>
        <v>3725</v>
      </c>
      <c r="AB34" s="43" t="n">
        <f aca="false">AB30-AB32</f>
        <v>5997</v>
      </c>
      <c r="AC34" s="43" t="n">
        <f aca="false">AC30-AC32</f>
        <v>10313</v>
      </c>
      <c r="AD34" s="43" t="n">
        <f aca="false">AD30-AD32</f>
        <v>15061</v>
      </c>
      <c r="AE34" s="43" t="n">
        <f aca="false">AE30-AE32</f>
        <v>23849</v>
      </c>
      <c r="AF34" s="43" t="n">
        <f aca="false">AF30-AF32</f>
        <v>35199</v>
      </c>
      <c r="AG34" s="43" t="n">
        <f aca="false">AG30-AG32</f>
        <v>46483</v>
      </c>
      <c r="AH34" s="43" t="n">
        <f aca="false">AH30-AH32</f>
        <v>57927</v>
      </c>
      <c r="AI34" s="43" t="n">
        <f aca="false">AI30-AI32</f>
        <v>69273</v>
      </c>
      <c r="AJ34" s="43" t="n">
        <f aca="false">AJ30-AJ32</f>
        <v>95280</v>
      </c>
      <c r="AK34" s="43" t="n">
        <f aca="false">AK30-AK32</f>
        <v>91360</v>
      </c>
      <c r="AL34" s="43" t="n">
        <f aca="false">AL30-AL32</f>
        <v>108943</v>
      </c>
      <c r="AM34" s="43" t="n">
        <f aca="false">AM30-AM32</f>
        <v>134340</v>
      </c>
      <c r="AN34" s="43" t="n">
        <f aca="false">AN30-AN32</f>
        <v>164791</v>
      </c>
      <c r="AO34" s="43" t="n">
        <f aca="false">+AO30*0.82</f>
        <v>210933.9136</v>
      </c>
      <c r="AP34" s="43" t="n">
        <f aca="false">+AP30*0.82</f>
        <v>253120.69632</v>
      </c>
      <c r="AQ34" s="43" t="n">
        <f aca="false">+AQ30*0.83</f>
        <v>294638.664192</v>
      </c>
      <c r="AR34" s="43" t="n">
        <f aca="false">+AR30*0.83</f>
        <v>335888.07717888</v>
      </c>
      <c r="AS34" s="43" t="n">
        <f aca="false">+AS30*0.84</f>
        <v>384126.461274931</v>
      </c>
      <c r="AT34" s="43" t="n">
        <f aca="false">+AT30*0.84</f>
        <v>430221.636627923</v>
      </c>
      <c r="AU34" s="43"/>
      <c r="AV34" s="43"/>
      <c r="AW34" s="43"/>
      <c r="AX34" s="43"/>
      <c r="AY34" s="43"/>
      <c r="AZ34" s="43"/>
      <c r="BA34" s="43"/>
      <c r="BB34" s="43"/>
      <c r="BC34" s="43"/>
      <c r="BD34" s="43"/>
      <c r="BE34" s="43"/>
      <c r="BF34" s="43"/>
      <c r="BG34" s="43"/>
      <c r="BH34" s="43"/>
      <c r="BI34" s="43"/>
      <c r="BJ34" s="43"/>
      <c r="BK34" s="43"/>
      <c r="BL34" s="43"/>
      <c r="BM34" s="43"/>
      <c r="BN34" s="43"/>
      <c r="BO34" s="43"/>
      <c r="BP34" s="43"/>
      <c r="BQ34" s="43"/>
      <c r="BR34" s="43"/>
      <c r="BS34" s="43"/>
      <c r="BT34" s="43"/>
      <c r="BU34" s="43"/>
      <c r="BV34" s="43"/>
      <c r="BW34" s="43"/>
      <c r="BX34" s="43"/>
      <c r="BY34" s="43"/>
      <c r="BZ34" s="43"/>
      <c r="CA34" s="43"/>
      <c r="CB34" s="43"/>
      <c r="CC34" s="43"/>
      <c r="CD34" s="43"/>
      <c r="CE34" s="43"/>
      <c r="CF34" s="43"/>
      <c r="CG34" s="43"/>
      <c r="CH34" s="43"/>
      <c r="CI34" s="43"/>
      <c r="CJ34" s="43"/>
      <c r="CK34" s="43"/>
      <c r="CL34" s="43"/>
      <c r="CM34" s="43"/>
      <c r="CN34" s="43"/>
      <c r="CO34" s="43"/>
      <c r="CP34" s="43"/>
      <c r="CQ34" s="43"/>
      <c r="CR34" s="43"/>
      <c r="CS34" s="43"/>
      <c r="CT34" s="43"/>
      <c r="CU34" s="43"/>
      <c r="CV34" s="43"/>
      <c r="CW34" s="43"/>
      <c r="CX34" s="43"/>
      <c r="CY34" s="43"/>
      <c r="CZ34" s="43"/>
      <c r="DA34" s="43"/>
      <c r="DB34" s="43"/>
      <c r="DC34" s="43"/>
      <c r="DD34" s="43"/>
      <c r="DE34" s="43"/>
      <c r="DF34" s="43"/>
      <c r="DG34" s="43"/>
      <c r="DH34" s="43"/>
      <c r="DI34" s="43"/>
      <c r="DJ34" s="43"/>
      <c r="DK34" s="43"/>
      <c r="DL34" s="43"/>
      <c r="DM34" s="43"/>
      <c r="DN34" s="43"/>
      <c r="DO34" s="43"/>
      <c r="DP34" s="43"/>
      <c r="DQ34" s="43"/>
      <c r="DR34" s="43"/>
      <c r="DS34" s="43"/>
      <c r="DT34" s="43"/>
      <c r="DU34" s="43"/>
      <c r="DV34" s="43"/>
      <c r="DW34" s="43"/>
      <c r="DX34" s="43"/>
      <c r="DY34" s="43"/>
      <c r="DZ34" s="43"/>
      <c r="EA34" s="43"/>
      <c r="EB34" s="43"/>
      <c r="EC34" s="43"/>
      <c r="ED34" s="43"/>
      <c r="EE34" s="43"/>
      <c r="EF34" s="43"/>
      <c r="EG34" s="43"/>
      <c r="EH34" s="43"/>
      <c r="EI34" s="43"/>
      <c r="EJ34" s="43"/>
      <c r="EK34" s="43"/>
      <c r="EL34" s="43"/>
      <c r="EM34" s="43"/>
    </row>
    <row r="35" s="39" customFormat="true" ht="10.5" hidden="false" customHeight="true" outlineLevel="0" collapsed="false">
      <c r="B35" s="39" t="n">
        <f aca="false">+B34/B$30</f>
        <v>0.784828722946825</v>
      </c>
      <c r="C35" s="39" t="n">
        <f aca="false">+C34/C$30</f>
        <v>0.819859829297065</v>
      </c>
      <c r="D35" s="39" t="n">
        <f aca="false">+D34/D$30</f>
        <v>0.793750451035578</v>
      </c>
      <c r="E35" s="39" t="n">
        <f aca="false">+E34/E$30</f>
        <v>0.740836312762319</v>
      </c>
      <c r="F35" s="39" t="n">
        <f aca="false">+F34/F$30</f>
        <v>0.786769069645662</v>
      </c>
      <c r="G35" s="39" t="n">
        <f aca="false">+G34/G$30</f>
        <v>0.814212944154505</v>
      </c>
      <c r="H35" s="39" t="n">
        <f aca="false">+H34/H$30</f>
        <v>0.818133895624671</v>
      </c>
      <c r="I35" s="39" t="n">
        <f aca="false">+I34/I$30</f>
        <v>0.808157363316796</v>
      </c>
      <c r="J35" s="39" t="n">
        <f aca="false">+J34/J$30</f>
        <v>0.817857632697847</v>
      </c>
      <c r="K35" s="39" t="n">
        <f aca="false">+K34/K$30</f>
        <v>0.812955900795987</v>
      </c>
      <c r="L35" s="39" t="n">
        <f aca="false">+L34/L$30</f>
        <v>0.818300524772722</v>
      </c>
      <c r="M35" s="39" t="n">
        <f aca="false">+M34/M$30</f>
        <v>0.817319417174744</v>
      </c>
      <c r="N35" s="39" t="n">
        <f aca="false">+N34/N$30</f>
        <v>0.82105213404547</v>
      </c>
      <c r="O35" s="39" t="n">
        <f aca="false">+O34/O$30</f>
        <v>0.821302298173247</v>
      </c>
      <c r="P35" s="39" t="n">
        <f aca="false">+P34/P$30</f>
        <v>0.820342687639046</v>
      </c>
      <c r="Q35" s="39" t="n">
        <f aca="false">+Q34/Q$30</f>
        <v>0.817925300118545</v>
      </c>
      <c r="R35" s="39" t="n">
        <f aca="false">+R34/R$30</f>
        <v>0.818543446218323</v>
      </c>
      <c r="S35" s="39" t="n">
        <f aca="false">+S34/S$30</f>
        <v>0.813654380684528</v>
      </c>
      <c r="T35" s="39" t="n">
        <f aca="false">+T34/T$30</f>
        <v>0.819</v>
      </c>
      <c r="U35" s="39" t="n">
        <f aca="false">+U34/U$30</f>
        <v>0.819</v>
      </c>
      <c r="Z35" s="39" t="n">
        <f aca="false">+Z34/Z$30</f>
        <v>0.768256534626785</v>
      </c>
      <c r="AA35" s="39" t="n">
        <f aca="false">+AA34/AA$30</f>
        <v>0.731970917665553</v>
      </c>
      <c r="AB35" s="39" t="n">
        <f aca="false">+AB34/AB$30</f>
        <v>0.761814024390244</v>
      </c>
      <c r="AC35" s="39" t="n">
        <f aca="false">+AC34/AC$30</f>
        <v>0.827290229424033</v>
      </c>
      <c r="AD35" s="39" t="n">
        <f aca="false">+AD34/AD$30</f>
        <v>0.84008255243195</v>
      </c>
      <c r="AE35" s="39" t="n">
        <f aca="false">+AE34/AE$30</f>
        <v>0.862906143715175</v>
      </c>
      <c r="AF35" s="39" t="n">
        <f aca="false">+AF34/AF$30</f>
        <v>0.86584015939783</v>
      </c>
      <c r="AG35" s="39" t="n">
        <f aca="false">+AG34/AG$30</f>
        <v>0.832461764389842</v>
      </c>
      <c r="AH35" s="39" t="n">
        <f aca="false">+AH34/AH$30</f>
        <v>0.819369987411064</v>
      </c>
      <c r="AI35" s="39" t="n">
        <f aca="false">+AI34/AI$30</f>
        <v>0.805827953236782</v>
      </c>
      <c r="AJ35" s="39" t="n">
        <f aca="false">+AJ34/AJ$30</f>
        <v>0.807943762772516</v>
      </c>
      <c r="AK35" s="39" t="n">
        <f aca="false">+AK34/AK$30</f>
        <v>0.783472973784185</v>
      </c>
      <c r="AL35" s="39" t="n">
        <f aca="false">+AL34/AL$30</f>
        <v>0.80757142221761</v>
      </c>
      <c r="AM35" s="39" t="n">
        <f aca="false">+AM34/AM$30</f>
        <v>0.81665157050717</v>
      </c>
      <c r="AN35" s="39" t="n">
        <f aca="false">+AN34/AN$30</f>
        <v>0.819994426917986</v>
      </c>
      <c r="AO35" s="39" t="n">
        <f aca="false">+AO34/AO$30</f>
        <v>0.82</v>
      </c>
      <c r="AP35" s="39" t="n">
        <f aca="false">+AP34/AP$30</f>
        <v>0.82</v>
      </c>
      <c r="AQ35" s="39" t="n">
        <f aca="false">+AQ34/AQ$30</f>
        <v>0.83</v>
      </c>
      <c r="AR35" s="39" t="n">
        <f aca="false">+AR34/AR$30</f>
        <v>0.83</v>
      </c>
      <c r="AS35" s="39" t="n">
        <f aca="false">+AS34/AS$30</f>
        <v>0.839999999999999</v>
      </c>
      <c r="AT35" s="39" t="n">
        <f aca="false">+AT34/AT$30</f>
        <v>0.84</v>
      </c>
      <c r="EN35" s="32"/>
      <c r="EO35" s="32"/>
      <c r="EP35" s="32"/>
      <c r="EQ35" s="32"/>
      <c r="ER35" s="32"/>
    </row>
    <row r="36" customFormat="false" ht="12.8" hidden="false" customHeight="false" outlineLevel="0" collapsed="false">
      <c r="A36" s="3" t="s">
        <v>168</v>
      </c>
      <c r="B36" s="3" t="n">
        <v>7707</v>
      </c>
      <c r="C36" s="3" t="n">
        <v>8690</v>
      </c>
      <c r="D36" s="3" t="n">
        <v>9170</v>
      </c>
      <c r="E36" s="3" t="n">
        <v>9771</v>
      </c>
      <c r="F36" s="3" t="n">
        <v>9381</v>
      </c>
      <c r="G36" s="3" t="n">
        <v>9344</v>
      </c>
      <c r="H36" s="3" t="n">
        <v>9241</v>
      </c>
      <c r="I36" s="3" t="n">
        <v>10517</v>
      </c>
      <c r="J36" s="3" t="n">
        <v>9978</v>
      </c>
      <c r="K36" s="3" t="n">
        <v>10537</v>
      </c>
      <c r="L36" s="3" t="n">
        <v>11177</v>
      </c>
      <c r="M36" s="3" t="n">
        <v>12180</v>
      </c>
      <c r="N36" s="3" t="n">
        <v>12150</v>
      </c>
      <c r="O36" s="3" t="n">
        <v>12942</v>
      </c>
      <c r="P36" s="3" t="n">
        <v>15144</v>
      </c>
      <c r="Q36" s="3" t="n">
        <v>17136</v>
      </c>
      <c r="R36" s="3" t="n">
        <v>17699</v>
      </c>
      <c r="S36" s="3" t="n">
        <v>21656</v>
      </c>
      <c r="T36" s="3" t="n">
        <f aca="false">+P36*1.35</f>
        <v>20444.4</v>
      </c>
      <c r="U36" s="3" t="n">
        <f aca="false">+Q36*1.35</f>
        <v>23133.6</v>
      </c>
      <c r="Z36" s="3" t="n">
        <v>388</v>
      </c>
      <c r="AA36" s="3" t="n">
        <v>1399</v>
      </c>
      <c r="AB36" s="3" t="n">
        <v>1415</v>
      </c>
      <c r="AC36" s="3" t="n">
        <v>2666</v>
      </c>
      <c r="AD36" s="3" t="n">
        <v>4816</v>
      </c>
      <c r="AE36" s="3" t="n">
        <v>5919</v>
      </c>
      <c r="AF36" s="3" t="n">
        <v>7754</v>
      </c>
      <c r="AG36" s="3" t="n">
        <v>10273</v>
      </c>
      <c r="AH36" s="3" t="n">
        <v>13600</v>
      </c>
      <c r="AI36" s="3" t="n">
        <v>18447</v>
      </c>
      <c r="AJ36" s="3" t="n">
        <v>24655</v>
      </c>
      <c r="AK36" s="3" t="n">
        <v>35338</v>
      </c>
      <c r="AL36" s="3" t="n">
        <v>38483</v>
      </c>
      <c r="AM36" s="3" t="n">
        <v>43873</v>
      </c>
      <c r="AN36" s="3" t="n">
        <v>57372</v>
      </c>
      <c r="AO36" s="3" t="n">
        <f aca="false">+AO30*0.27</f>
        <v>69453.8496</v>
      </c>
      <c r="AP36" s="3" t="n">
        <f aca="false">+AP30*0.27</f>
        <v>83344.61952</v>
      </c>
      <c r="AQ36" s="3" t="n">
        <f aca="false">+AQ30*0.27</f>
        <v>95846.312448</v>
      </c>
      <c r="AR36" s="3" t="n">
        <f aca="false">+AR30*0.27</f>
        <v>109264.79619072</v>
      </c>
      <c r="AS36" s="3" t="n">
        <f aca="false">+AS30*0.27</f>
        <v>123469.219695514</v>
      </c>
      <c r="AT36" s="3" t="n">
        <f aca="false">+AT30*0.25</f>
        <v>128042.153758311</v>
      </c>
    </row>
    <row r="37" s="39" customFormat="true" ht="10.5" hidden="false" customHeight="true" outlineLevel="0" collapsed="false">
      <c r="B37" s="39" t="n">
        <f aca="false">+B36/B$30</f>
        <v>0.276157374229612</v>
      </c>
      <c r="C37" s="39" t="n">
        <f aca="false">+C36/C$30</f>
        <v>0.301505794184998</v>
      </c>
      <c r="D37" s="39" t="n">
        <f aca="false">+D36/D$30</f>
        <v>0.33087969979072</v>
      </c>
      <c r="E37" s="39" t="n">
        <f aca="false">+E36/E$30</f>
        <v>0.303777397792632</v>
      </c>
      <c r="F37" s="39" t="n">
        <f aca="false">+F36/F$30</f>
        <v>0.327491708849712</v>
      </c>
      <c r="G37" s="39" t="n">
        <f aca="false">+G36/G$30</f>
        <v>0.292009125285165</v>
      </c>
      <c r="H37" s="39" t="n">
        <f aca="false">+H36/H$30</f>
        <v>0.270631992034206</v>
      </c>
      <c r="I37" s="39" t="n">
        <f aca="false">+I36/I$30</f>
        <v>0.26219740220887</v>
      </c>
      <c r="J37" s="39" t="n">
        <f aca="false">+J36/J$30</f>
        <v>0.273707310382664</v>
      </c>
      <c r="K37" s="39" t="n">
        <f aca="false">+K36/K$30</f>
        <v>0.269688515778967</v>
      </c>
      <c r="L37" s="39" t="n">
        <f aca="false">+L36/L$30</f>
        <v>0.275370174185124</v>
      </c>
      <c r="M37" s="39" t="n">
        <f aca="false">+M36/M$30</f>
        <v>0.251730908339361</v>
      </c>
      <c r="N37" s="39" t="n">
        <f aca="false">+N36/N$30</f>
        <v>0.287139008366025</v>
      </c>
      <c r="O37" s="39" t="n">
        <f aca="false">+O36/O$30</f>
        <v>0.272371411734995</v>
      </c>
      <c r="P37" s="39" t="n">
        <f aca="false">+P36/P$30</f>
        <v>0.295538815815152</v>
      </c>
      <c r="Q37" s="39" t="n">
        <f aca="false">+Q36/Q$30</f>
        <v>0.286110229910006</v>
      </c>
      <c r="R37" s="39" t="n">
        <f aca="false">+R36/R$30</f>
        <v>0.314308039281846</v>
      </c>
      <c r="S37" s="39" t="n">
        <f aca="false">+S36/S$30</f>
        <v>0.356178352329731</v>
      </c>
      <c r="T37" s="39" t="n">
        <f aca="false">+T36/T$30</f>
        <v>0.321755968831012</v>
      </c>
      <c r="U37" s="39" t="n">
        <f aca="false">+U36/U$30</f>
        <v>0.304132921557881</v>
      </c>
      <c r="Z37" s="39" t="n">
        <f aca="false">+Z36/Z$30</f>
        <v>0.104554028563729</v>
      </c>
      <c r="AA37" s="39" t="n">
        <f aca="false">+AA36/AA$30</f>
        <v>0.274906661426606</v>
      </c>
      <c r="AB37" s="39" t="n">
        <f aca="false">+AB36/AB$30</f>
        <v>0.179751016260163</v>
      </c>
      <c r="AC37" s="39" t="n">
        <f aca="false">+AC36/AC$30</f>
        <v>0.21386170383443</v>
      </c>
      <c r="AD37" s="39" t="n">
        <f aca="false">+AD36/AD$30</f>
        <v>0.268630075858992</v>
      </c>
      <c r="AE37" s="39" t="n">
        <f aca="false">+AE36/AE$30</f>
        <v>0.21416166148057</v>
      </c>
      <c r="AF37" s="39" t="n">
        <f aca="false">+AF36/AF$30</f>
        <v>0.19073623102846</v>
      </c>
      <c r="AG37" s="39" t="n">
        <f aca="false">+AG36/AG$30</f>
        <v>0.183978652530535</v>
      </c>
      <c r="AH37" s="39" t="n">
        <f aca="false">+AH36/AH$30</f>
        <v>0.192370256163628</v>
      </c>
      <c r="AI37" s="39" t="n">
        <f aca="false">+AI36/AI$30</f>
        <v>0.214587332053743</v>
      </c>
      <c r="AJ37" s="39" t="n">
        <f aca="false">+AJ36/AJ$30</f>
        <v>0.209066472199374</v>
      </c>
      <c r="AK37" s="39" t="n">
        <f aca="false">+AK36/AK$30</f>
        <v>0.303046934627687</v>
      </c>
      <c r="AL37" s="39" t="n">
        <f aca="false">+AL36/AL$30</f>
        <v>0.285266341492343</v>
      </c>
      <c r="AM37" s="39" t="n">
        <f aca="false">+AM36/AM$30</f>
        <v>0.266703545875101</v>
      </c>
      <c r="AN37" s="39" t="n">
        <f aca="false">+AN36/AN$30</f>
        <v>0.285481126160644</v>
      </c>
      <c r="AO37" s="39" t="n">
        <f aca="false">+AO36/AO$30</f>
        <v>0.27</v>
      </c>
      <c r="AP37" s="39" t="n">
        <f aca="false">+AP36/AP$30</f>
        <v>0.27</v>
      </c>
      <c r="AQ37" s="39" t="n">
        <f aca="false">+AQ36/AQ$30</f>
        <v>0.27</v>
      </c>
      <c r="AR37" s="39" t="n">
        <f aca="false">+AR36/AR$30</f>
        <v>0.27</v>
      </c>
      <c r="AS37" s="39" t="n">
        <f aca="false">+AS36/AS$30</f>
        <v>0.27</v>
      </c>
      <c r="AT37" s="39" t="n">
        <f aca="false">+AT36/AT$30</f>
        <v>0.25</v>
      </c>
      <c r="EN37" s="32"/>
      <c r="EO37" s="32"/>
      <c r="EP37" s="32"/>
      <c r="EQ37" s="32"/>
      <c r="ER37" s="32"/>
    </row>
    <row r="38" customFormat="false" ht="12.8" hidden="false" customHeight="false" outlineLevel="0" collapsed="false">
      <c r="A38" s="3" t="s">
        <v>169</v>
      </c>
      <c r="B38" s="3" t="n">
        <v>3312</v>
      </c>
      <c r="C38" s="3" t="n">
        <v>3595</v>
      </c>
      <c r="D38" s="3" t="n">
        <v>3780</v>
      </c>
      <c r="E38" s="3" t="n">
        <v>4574</v>
      </c>
      <c r="F38" s="3" t="n">
        <v>3044</v>
      </c>
      <c r="G38" s="3" t="n">
        <v>3154</v>
      </c>
      <c r="H38" s="3" t="n">
        <v>2877</v>
      </c>
      <c r="I38" s="3" t="n">
        <v>3226</v>
      </c>
      <c r="J38" s="3" t="n">
        <v>2564</v>
      </c>
      <c r="K38" s="3" t="n">
        <v>2721</v>
      </c>
      <c r="L38" s="3" t="n">
        <v>2822</v>
      </c>
      <c r="M38" s="3" t="n">
        <v>3240</v>
      </c>
      <c r="N38" s="3" t="n">
        <v>2757</v>
      </c>
      <c r="O38" s="3" t="n">
        <v>2979</v>
      </c>
      <c r="P38" s="3" t="n">
        <v>2845</v>
      </c>
      <c r="Q38" s="3" t="n">
        <v>3410</v>
      </c>
      <c r="R38" s="3" t="n">
        <v>2908</v>
      </c>
      <c r="S38" s="3" t="n">
        <v>3431</v>
      </c>
      <c r="T38" s="3" t="n">
        <f aca="false">+T30*0.055</f>
        <v>3494.7044</v>
      </c>
      <c r="U38" s="3" t="n">
        <f aca="false">+U30*0.055</f>
        <v>4183.52605</v>
      </c>
      <c r="Z38" s="3" t="n">
        <v>393</v>
      </c>
      <c r="AA38" s="3" t="n">
        <v>896</v>
      </c>
      <c r="AB38" s="3" t="n">
        <v>997</v>
      </c>
      <c r="AC38" s="3" t="n">
        <v>1680</v>
      </c>
      <c r="AD38" s="3" t="n">
        <v>2725</v>
      </c>
      <c r="AE38" s="3" t="n">
        <v>3772</v>
      </c>
      <c r="AF38" s="3" t="n">
        <v>4725</v>
      </c>
      <c r="AG38" s="3" t="n">
        <v>7846</v>
      </c>
      <c r="AH38" s="3" t="n">
        <v>9876</v>
      </c>
      <c r="AI38" s="3" t="n">
        <v>11591</v>
      </c>
      <c r="AJ38" s="3" t="n">
        <v>14043</v>
      </c>
      <c r="AK38" s="3" t="n">
        <v>15262</v>
      </c>
      <c r="AL38" s="3" t="n">
        <v>12301</v>
      </c>
      <c r="AM38" s="3" t="n">
        <v>11347</v>
      </c>
      <c r="AN38" s="3" t="n">
        <v>11991</v>
      </c>
      <c r="AO38" s="3" t="n">
        <f aca="false">+AO30*0.07</f>
        <v>18006.5536</v>
      </c>
      <c r="AP38" s="3" t="n">
        <f aca="false">+AP30*0.07</f>
        <v>21607.86432</v>
      </c>
      <c r="AQ38" s="3" t="n">
        <f aca="false">+AQ30*0.07</f>
        <v>24849.043968</v>
      </c>
      <c r="AR38" s="3" t="n">
        <f aca="false">+AR30*0.07</f>
        <v>28327.91012352</v>
      </c>
      <c r="AS38" s="3" t="n">
        <f aca="false">+AS30*0.07</f>
        <v>32010.5384395776</v>
      </c>
      <c r="AT38" s="3" t="n">
        <f aca="false">+AT30*0.05</f>
        <v>25608.4307516621</v>
      </c>
    </row>
    <row r="39" s="39" customFormat="true" ht="10.5" hidden="false" customHeight="true" outlineLevel="0" collapsed="false">
      <c r="B39" s="39" t="n">
        <f aca="false">+B38/B$30</f>
        <v>0.118675648559553</v>
      </c>
      <c r="C39" s="39" t="n">
        <f aca="false">+C38/C$30</f>
        <v>0.12473110818125</v>
      </c>
      <c r="D39" s="39" t="n">
        <f aca="false">+D38/D$30</f>
        <v>0.136393158692358</v>
      </c>
      <c r="E39" s="39" t="n">
        <f aca="false">+E38/E$30</f>
        <v>0.142204259288046</v>
      </c>
      <c r="F39" s="39" t="n">
        <f aca="false">+F38/F$30</f>
        <v>0.106266364112411</v>
      </c>
      <c r="G39" s="39" t="n">
        <f aca="false">+G38/G$30</f>
        <v>0.0985655801743805</v>
      </c>
      <c r="H39" s="39" t="n">
        <f aca="false">+H38/H$30</f>
        <v>0.0842558425584256</v>
      </c>
      <c r="I39" s="39" t="n">
        <f aca="false">+I38/I$30</f>
        <v>0.0804268155867468</v>
      </c>
      <c r="J39" s="39" t="n">
        <f aca="false">+J38/J$30</f>
        <v>0.0703332876148677</v>
      </c>
      <c r="K39" s="39" t="n">
        <f aca="false">+K38/K$30</f>
        <v>0.0696424458037931</v>
      </c>
      <c r="L39" s="39" t="n">
        <f aca="false">+L38/L$30</f>
        <v>0.0695262263174752</v>
      </c>
      <c r="M39" s="39" t="n">
        <f aca="false">+M38/M$30</f>
        <v>0.0669629017257414</v>
      </c>
      <c r="N39" s="39" t="n">
        <f aca="false">+N38/N$30</f>
        <v>0.0651557404168833</v>
      </c>
      <c r="O39" s="39" t="n">
        <f aca="false">+O38/O$30</f>
        <v>0.0626946712686253</v>
      </c>
      <c r="P39" s="39" t="n">
        <f aca="false">+P38/P$30</f>
        <v>0.0555208617930604</v>
      </c>
      <c r="Q39" s="39" t="n">
        <f aca="false">+Q38/Q$30</f>
        <v>0.056934867179804</v>
      </c>
      <c r="R39" s="39" t="n">
        <f aca="false">+R38/R$30</f>
        <v>0.0516417751416242</v>
      </c>
      <c r="S39" s="39" t="n">
        <f aca="false">+S38/S$30</f>
        <v>0.0564299929277479</v>
      </c>
      <c r="T39" s="39" t="n">
        <f aca="false">+T38/T$30</f>
        <v>0.055</v>
      </c>
      <c r="U39" s="39" t="n">
        <f aca="false">+U38/U$30</f>
        <v>0.055</v>
      </c>
      <c r="Z39" s="39" t="n">
        <f aca="false">+Z38/Z$30</f>
        <v>0.105901374292644</v>
      </c>
      <c r="AA39" s="39" t="n">
        <f aca="false">+AA38/AA$30</f>
        <v>0.176066024759285</v>
      </c>
      <c r="AB39" s="39" t="n">
        <f aca="false">+AB38/AB$30</f>
        <v>0.126651422764228</v>
      </c>
      <c r="AC39" s="39" t="n">
        <f aca="false">+AC38/AC$30</f>
        <v>0.134766565056955</v>
      </c>
      <c r="AD39" s="39" t="n">
        <f aca="false">+AD38/AD$30</f>
        <v>0.151996876394467</v>
      </c>
      <c r="AE39" s="39" t="n">
        <f aca="false">+AE38/AE$30</f>
        <v>0.136478761125986</v>
      </c>
      <c r="AF39" s="39" t="n">
        <f aca="false">+AF38/AF$30</f>
        <v>0.116227584680097</v>
      </c>
      <c r="AG39" s="39" t="n">
        <f aca="false">+AG38/AG$30</f>
        <v>0.14051362871163</v>
      </c>
      <c r="AH39" s="39" t="n">
        <f aca="false">+AH38/AH$30</f>
        <v>0.139694753667058</v>
      </c>
      <c r="AI39" s="39" t="n">
        <f aca="false">+AI38/AI$30</f>
        <v>0.134833944046996</v>
      </c>
      <c r="AJ39" s="39" t="n">
        <f aca="false">+AJ38/AJ$30</f>
        <v>0.11908012448168</v>
      </c>
      <c r="AK39" s="39" t="n">
        <f aca="false">+AK38/AK$30</f>
        <v>0.130881835878877</v>
      </c>
      <c r="AL39" s="39" t="n">
        <f aca="false">+AL38/AL$30</f>
        <v>0.0911847118649093</v>
      </c>
      <c r="AM39" s="39" t="n">
        <f aca="false">+AM38/AM$30</f>
        <v>0.0689783040832579</v>
      </c>
      <c r="AN39" s="39" t="n">
        <f aca="false">+AN38/AN$30</f>
        <v>0.0596668093110277</v>
      </c>
      <c r="AO39" s="39" t="n">
        <f aca="false">+AO38/AO$30</f>
        <v>0.07</v>
      </c>
      <c r="AP39" s="39" t="n">
        <f aca="false">+AP38/AP$30</f>
        <v>0.07</v>
      </c>
      <c r="AQ39" s="39" t="n">
        <f aca="false">+AQ38/AQ$30</f>
        <v>0.07</v>
      </c>
      <c r="AR39" s="39" t="n">
        <f aca="false">+AR38/AR$30</f>
        <v>0.07</v>
      </c>
      <c r="AS39" s="39" t="n">
        <f aca="false">+AS38/AS$30</f>
        <v>0.07</v>
      </c>
      <c r="AT39" s="39" t="n">
        <f aca="false">+AT38/AT$30</f>
        <v>0.05</v>
      </c>
      <c r="EN39" s="32"/>
      <c r="EO39" s="32"/>
      <c r="EP39" s="32"/>
      <c r="EQ39" s="32"/>
      <c r="ER39" s="32"/>
    </row>
    <row r="40" customFormat="false" ht="12.8" hidden="false" customHeight="false" outlineLevel="0" collapsed="false">
      <c r="A40" s="3" t="s">
        <v>170</v>
      </c>
      <c r="B40" s="3" t="n">
        <v>2360</v>
      </c>
      <c r="C40" s="3" t="n">
        <v>2987</v>
      </c>
      <c r="D40" s="3" t="n">
        <v>3384</v>
      </c>
      <c r="E40" s="3" t="n">
        <v>3085</v>
      </c>
      <c r="F40" s="3" t="n">
        <v>2885</v>
      </c>
      <c r="G40" s="3" t="n">
        <v>4164</v>
      </c>
      <c r="H40" s="3" t="n">
        <v>2070</v>
      </c>
      <c r="I40" s="3" t="n">
        <v>2289</v>
      </c>
      <c r="J40" s="3" t="n">
        <v>3455</v>
      </c>
      <c r="K40" s="3" t="n">
        <v>3658</v>
      </c>
      <c r="L40" s="3" t="n">
        <v>1865</v>
      </c>
      <c r="M40" s="3" t="n">
        <v>761</v>
      </c>
      <c r="N40" s="3" t="n">
        <v>2280</v>
      </c>
      <c r="O40" s="3" t="n">
        <v>2663</v>
      </c>
      <c r="P40" s="3" t="n">
        <v>3512</v>
      </c>
      <c r="Q40" s="3" t="n">
        <v>3697</v>
      </c>
      <c r="R40" s="3" t="n">
        <v>2614</v>
      </c>
      <c r="S40" s="3" t="n">
        <v>5609</v>
      </c>
      <c r="T40" s="3" t="n">
        <f aca="false">+T30*0.06</f>
        <v>3812.4048</v>
      </c>
      <c r="U40" s="3" t="n">
        <f aca="false">+U30*0.06</f>
        <v>4563.8466</v>
      </c>
      <c r="Z40" s="3" t="n">
        <v>314</v>
      </c>
      <c r="AA40" s="3" t="n">
        <v>892</v>
      </c>
      <c r="AB40" s="3" t="n">
        <v>781</v>
      </c>
      <c r="AC40" s="3" t="n">
        <v>973</v>
      </c>
      <c r="AD40" s="3" t="n">
        <v>1295</v>
      </c>
      <c r="AE40" s="3" t="n">
        <v>1731</v>
      </c>
      <c r="AF40" s="3" t="n">
        <v>2517</v>
      </c>
      <c r="AG40" s="3" t="n">
        <v>3451</v>
      </c>
      <c r="AH40" s="3" t="n">
        <v>10465</v>
      </c>
      <c r="AI40" s="3" t="n">
        <v>6564</v>
      </c>
      <c r="AJ40" s="3" t="n">
        <v>9829</v>
      </c>
      <c r="AK40" s="3" t="n">
        <v>11816</v>
      </c>
      <c r="AL40" s="3" t="n">
        <v>11408</v>
      </c>
      <c r="AM40" s="3" t="n">
        <v>9740</v>
      </c>
      <c r="AN40" s="3" t="n">
        <v>12152</v>
      </c>
      <c r="AO40" s="3" t="n">
        <f aca="false">+AO30*0.06</f>
        <v>15434.1888</v>
      </c>
      <c r="AP40" s="3" t="n">
        <f aca="false">+AP30*0.06</f>
        <v>18521.02656</v>
      </c>
      <c r="AQ40" s="3" t="n">
        <f aca="false">+AQ30*0.06</f>
        <v>21299.180544</v>
      </c>
      <c r="AR40" s="3" t="n">
        <f aca="false">+AR30*0.06</f>
        <v>24281.06582016</v>
      </c>
      <c r="AS40" s="3" t="n">
        <f aca="false">+AS30*0.06</f>
        <v>27437.6043767808</v>
      </c>
      <c r="AT40" s="3" t="n">
        <f aca="false">+AT30*0.06</f>
        <v>30730.1169019945</v>
      </c>
    </row>
    <row r="41" s="39" customFormat="true" ht="10.5" hidden="false" customHeight="true" outlineLevel="0" collapsed="false">
      <c r="B41" s="39" t="n">
        <f aca="false">+B40/B$30</f>
        <v>0.0845635660025799</v>
      </c>
      <c r="C41" s="39" t="n">
        <f aca="false">+C40/C$30</f>
        <v>0.103636111303865</v>
      </c>
      <c r="D41" s="39" t="n">
        <f aca="false">+D40/D$30</f>
        <v>0.122104351591254</v>
      </c>
      <c r="E41" s="39" t="n">
        <f aca="false">+E40/E$30</f>
        <v>0.0959117052697031</v>
      </c>
      <c r="F41" s="39" t="n">
        <f aca="false">+F40/F$30</f>
        <v>0.100715657182754</v>
      </c>
      <c r="G41" s="39" t="n">
        <f aca="false">+G40/G$30</f>
        <v>0.130129066533329</v>
      </c>
      <c r="H41" s="39" t="n">
        <f aca="false">+H40/H$30</f>
        <v>0.0606220347917765</v>
      </c>
      <c r="I41" s="39" t="n">
        <f aca="false">+I40/I$30</f>
        <v>0.0570666400737952</v>
      </c>
      <c r="J41" s="39" t="n">
        <f aca="false">+J40/J$30</f>
        <v>0.0947743793718283</v>
      </c>
      <c r="K41" s="39" t="n">
        <f aca="false">+K40/K$30</f>
        <v>0.0936244273246142</v>
      </c>
      <c r="L41" s="39" t="n">
        <f aca="false">+L40/L$30</f>
        <v>0.0459484096676439</v>
      </c>
      <c r="M41" s="39" t="n">
        <f aca="false">+M40/M$30</f>
        <v>0.0157280148806448</v>
      </c>
      <c r="N41" s="39" t="n">
        <f aca="false">+N40/N$30</f>
        <v>0.0538828756439949</v>
      </c>
      <c r="O41" s="39" t="n">
        <f aca="false">+O40/O$30</f>
        <v>0.0560442798215338</v>
      </c>
      <c r="P41" s="39" t="n">
        <f aca="false">+P40/P$30</f>
        <v>0.068537527809219</v>
      </c>
      <c r="Q41" s="39" t="n">
        <f aca="false">+Q40/Q$30</f>
        <v>0.0617267460304209</v>
      </c>
      <c r="R41" s="39" t="n">
        <f aca="false">+R40/R$30</f>
        <v>0.0464207703645824</v>
      </c>
      <c r="S41" s="39" t="n">
        <f aca="false">+S40/S$30</f>
        <v>0.0922517721747998</v>
      </c>
      <c r="T41" s="39" t="n">
        <f aca="false">+T40/T$30</f>
        <v>0.06</v>
      </c>
      <c r="U41" s="39" t="n">
        <f aca="false">+U40/U$30</f>
        <v>0.06</v>
      </c>
      <c r="Z41" s="39" t="n">
        <f aca="false">+Z40/Z$30</f>
        <v>0.0846133117758017</v>
      </c>
      <c r="AA41" s="39" t="n">
        <f aca="false">+AA40/AA$30</f>
        <v>0.175280015720181</v>
      </c>
      <c r="AB41" s="39" t="n">
        <f aca="false">+AB40/AB$30</f>
        <v>0.0992123983739837</v>
      </c>
      <c r="AC41" s="39" t="n">
        <f aca="false">+AC40/AC$30</f>
        <v>0.0780523022621531</v>
      </c>
      <c r="AD41" s="39" t="n">
        <f aca="false">+AD40/AD$30</f>
        <v>0.0722333779562695</v>
      </c>
      <c r="AE41" s="39" t="n">
        <f aca="false">+AE40/AE$30</f>
        <v>0.0626311599971054</v>
      </c>
      <c r="AF41" s="39" t="n">
        <f aca="false">+AF40/AF$30</f>
        <v>0.0619142498708582</v>
      </c>
      <c r="AG41" s="39" t="n">
        <f aca="false">+AG40/AG$30</f>
        <v>0.0618037895340091</v>
      </c>
      <c r="AH41" s="39" t="n">
        <f aca="false">+AH40/AH$30</f>
        <v>0.148026083143556</v>
      </c>
      <c r="AI41" s="39" t="n">
        <f aca="false">+AI40/AI$30</f>
        <v>0.0763566567789217</v>
      </c>
      <c r="AJ41" s="39" t="n">
        <f aca="false">+AJ40/AJ$30</f>
        <v>0.0833467594908801</v>
      </c>
      <c r="AK41" s="39" t="n">
        <f aca="false">+AK40/AK$30</f>
        <v>0.101330086013944</v>
      </c>
      <c r="AL41" s="39" t="n">
        <f aca="false">+AL40/AL$30</f>
        <v>0.0845650916961943</v>
      </c>
      <c r="AM41" s="39" t="n">
        <f aca="false">+AM40/AM$30</f>
        <v>0.0592093665084103</v>
      </c>
      <c r="AN41" s="39" t="n">
        <f aca="false">+AN40/AN$30</f>
        <v>0.060467939850522</v>
      </c>
      <c r="AO41" s="39" t="n">
        <f aca="false">+AO40/AO$30</f>
        <v>0.06</v>
      </c>
      <c r="AP41" s="39" t="n">
        <f aca="false">+AP40/AP$30</f>
        <v>0.06</v>
      </c>
      <c r="AQ41" s="39" t="n">
        <f aca="false">+AQ40/AQ$30</f>
        <v>0.06</v>
      </c>
      <c r="AR41" s="39" t="n">
        <f aca="false">+AR40/AR$30</f>
        <v>0.06</v>
      </c>
      <c r="AS41" s="39" t="n">
        <f aca="false">+AS40/AS$30</f>
        <v>0.06</v>
      </c>
      <c r="AT41" s="39" t="n">
        <f aca="false">+AT40/AT$30</f>
        <v>0.06</v>
      </c>
      <c r="EN41" s="32"/>
      <c r="EO41" s="32"/>
      <c r="EP41" s="32"/>
      <c r="EQ41" s="32"/>
      <c r="ER41" s="32"/>
    </row>
    <row r="42" customFormat="false" ht="12.8" hidden="false" customHeight="false" outlineLevel="0" collapsed="false">
      <c r="A42" s="3" t="s">
        <v>171</v>
      </c>
      <c r="B42" s="3" t="n">
        <f aca="false">+B40+B38+B36</f>
        <v>13379</v>
      </c>
      <c r="C42" s="3" t="n">
        <f aca="false">+C40+C38+C36</f>
        <v>15272</v>
      </c>
      <c r="D42" s="3" t="n">
        <f aca="false">+D40+D38+D36</f>
        <v>16334</v>
      </c>
      <c r="E42" s="3" t="n">
        <f aca="false">+E40+E38+E36</f>
        <v>17430</v>
      </c>
      <c r="F42" s="3" t="n">
        <f aca="false">+F40+F38+F36</f>
        <v>15310</v>
      </c>
      <c r="G42" s="3" t="n">
        <f aca="false">+G40+G38+G36</f>
        <v>16662</v>
      </c>
      <c r="H42" s="3" t="n">
        <f aca="false">+H40+H38+H36</f>
        <v>14188</v>
      </c>
      <c r="I42" s="3" t="n">
        <f aca="false">+I40+I38+I36</f>
        <v>16032</v>
      </c>
      <c r="J42" s="3" t="n">
        <f aca="false">+J40+J38+J36</f>
        <v>15997</v>
      </c>
      <c r="K42" s="3" t="n">
        <f aca="false">+K40+K38+K36</f>
        <v>16916</v>
      </c>
      <c r="L42" s="3" t="n">
        <f aca="false">+L40+L38+L36</f>
        <v>15864</v>
      </c>
      <c r="M42" s="3" t="n">
        <f aca="false">+M40+M38+M36</f>
        <v>16181</v>
      </c>
      <c r="N42" s="3" t="n">
        <f aca="false">+N40+N38+N36</f>
        <v>17187</v>
      </c>
      <c r="O42" s="3" t="n">
        <f aca="false">+O40+O38+O36</f>
        <v>18584</v>
      </c>
      <c r="P42" s="3" t="n">
        <f aca="false">+P40+P38+P36</f>
        <v>21501</v>
      </c>
      <c r="Q42" s="3" t="n">
        <f aca="false">+Q40+Q38+Q36</f>
        <v>24243</v>
      </c>
      <c r="R42" s="3" t="n">
        <f aca="false">+R40+R38+R36</f>
        <v>23221</v>
      </c>
      <c r="S42" s="3" t="n">
        <f aca="false">+S40+S38+S36</f>
        <v>30696</v>
      </c>
      <c r="T42" s="3" t="n">
        <f aca="false">+T40+T38+T36</f>
        <v>27751.5092</v>
      </c>
      <c r="U42" s="3" t="n">
        <f aca="false">+U40+U38+U36</f>
        <v>31880.97265</v>
      </c>
      <c r="Z42" s="3" t="n">
        <f aca="false">+Z40+Z38+Z36</f>
        <v>1095</v>
      </c>
      <c r="AA42" s="3" t="n">
        <f aca="false">+AA40+AA38+AA36</f>
        <v>3187</v>
      </c>
      <c r="AB42" s="3" t="n">
        <f aca="false">+AB40+AB38+AB36</f>
        <v>3193</v>
      </c>
      <c r="AC42" s="3" t="n">
        <f aca="false">+AC40+AC38+AC36</f>
        <v>5319</v>
      </c>
      <c r="AD42" s="3" t="n">
        <f aca="false">+AD40+AD38+AD36</f>
        <v>8836</v>
      </c>
      <c r="AE42" s="3" t="n">
        <f aca="false">+AE40+AE38+AE36</f>
        <v>11422</v>
      </c>
      <c r="AF42" s="3" t="n">
        <f aca="false">+AF40+AF38+AF36</f>
        <v>14996</v>
      </c>
      <c r="AG42" s="3" t="n">
        <f aca="false">+AG40+AG38+AG36</f>
        <v>21570</v>
      </c>
      <c r="AH42" s="3" t="n">
        <f aca="false">+AH40+AH38+AH36</f>
        <v>33941</v>
      </c>
      <c r="AI42" s="3" t="n">
        <f aca="false">+AI40+AI38+AI36</f>
        <v>36602</v>
      </c>
      <c r="AJ42" s="3" t="n">
        <f aca="false">+AJ40+AJ38+AJ36</f>
        <v>48527</v>
      </c>
      <c r="AK42" s="3" t="n">
        <f aca="false">+AK40+AK38+AK36</f>
        <v>62416</v>
      </c>
      <c r="AL42" s="3" t="n">
        <f aca="false">+AL40+AL38+AL36</f>
        <v>62192</v>
      </c>
      <c r="AM42" s="3" t="n">
        <f aca="false">+AM40+AM38+AM36</f>
        <v>64960</v>
      </c>
      <c r="AN42" s="3" t="n">
        <f aca="false">+AN40+AN38+AN36</f>
        <v>81515</v>
      </c>
      <c r="AO42" s="3" t="n">
        <f aca="false">+AO40+AO38+AO36</f>
        <v>102894.592</v>
      </c>
      <c r="AP42" s="3" t="n">
        <f aca="false">+AP40+AP38+AP36</f>
        <v>123473.5104</v>
      </c>
      <c r="AQ42" s="3" t="n">
        <f aca="false">+AQ40+AQ38+AQ36</f>
        <v>141994.53696</v>
      </c>
      <c r="AR42" s="3" t="n">
        <f aca="false">+AR40+AR38+AR36</f>
        <v>161873.7721344</v>
      </c>
      <c r="AS42" s="3" t="n">
        <f aca="false">+AS40+AS38+AS36</f>
        <v>182917.362511872</v>
      </c>
      <c r="AT42" s="3" t="n">
        <f aca="false">+AT40+AT38+AT36</f>
        <v>184380.701411967</v>
      </c>
    </row>
    <row r="43" s="39" customFormat="true" ht="10.5" hidden="false" customHeight="true" outlineLevel="0" collapsed="false">
      <c r="B43" s="39" t="n">
        <f aca="false">+B42/B$30</f>
        <v>0.479396588791744</v>
      </c>
      <c r="C43" s="39" t="n">
        <f aca="false">+C42/C$30</f>
        <v>0.529873013670113</v>
      </c>
      <c r="D43" s="39" t="n">
        <f aca="false">+D42/D$30</f>
        <v>0.589377210074331</v>
      </c>
      <c r="E43" s="39" t="n">
        <f aca="false">+E42/E$30</f>
        <v>0.541893362350381</v>
      </c>
      <c r="F43" s="39" t="n">
        <f aca="false">+F42/F$30</f>
        <v>0.534473730144877</v>
      </c>
      <c r="G43" s="39" t="n">
        <f aca="false">+G42/G$30</f>
        <v>0.520703771992875</v>
      </c>
      <c r="H43" s="39" t="n">
        <f aca="false">+H42/H$30</f>
        <v>0.415509869384408</v>
      </c>
      <c r="I43" s="39" t="n">
        <f aca="false">+I42/I$30</f>
        <v>0.399690857869412</v>
      </c>
      <c r="J43" s="39" t="n">
        <f aca="false">+J42/J$30</f>
        <v>0.43881497736936</v>
      </c>
      <c r="K43" s="39" t="n">
        <f aca="false">+K42/K$30</f>
        <v>0.432955388907374</v>
      </c>
      <c r="L43" s="39" t="n">
        <f aca="false">+L42/L$30</f>
        <v>0.390844810170243</v>
      </c>
      <c r="M43" s="39" t="n">
        <f aca="false">+M42/M$30</f>
        <v>0.334421824945748</v>
      </c>
      <c r="N43" s="39" t="n">
        <f aca="false">+N42/N$30</f>
        <v>0.406177624426904</v>
      </c>
      <c r="O43" s="39" t="n">
        <f aca="false">+O42/O$30</f>
        <v>0.391110362825154</v>
      </c>
      <c r="P43" s="39" t="n">
        <f aca="false">+P42/P$30</f>
        <v>0.419597205417431</v>
      </c>
      <c r="Q43" s="39" t="n">
        <f aca="false">+Q42/Q$30</f>
        <v>0.404771843120231</v>
      </c>
      <c r="R43" s="39" t="n">
        <f aca="false">+R42/R$30</f>
        <v>0.412370584788052</v>
      </c>
      <c r="S43" s="39" t="n">
        <f aca="false">+S42/S$30</f>
        <v>0.504860117432279</v>
      </c>
      <c r="T43" s="39" t="n">
        <f aca="false">+T42/T$30</f>
        <v>0.436755968831012</v>
      </c>
      <c r="U43" s="39" t="n">
        <f aca="false">+U42/U$30</f>
        <v>0.419132921557881</v>
      </c>
      <c r="Z43" s="39" t="n">
        <f aca="false">+Z42/Z$30</f>
        <v>0.295068714632175</v>
      </c>
      <c r="AA43" s="39" t="n">
        <f aca="false">+AA42/AA$30</f>
        <v>0.626252701906072</v>
      </c>
      <c r="AB43" s="39" t="n">
        <f aca="false">+AB42/AB$30</f>
        <v>0.405614837398374</v>
      </c>
      <c r="AC43" s="39" t="n">
        <f aca="false">+AC42/AC$30</f>
        <v>0.426680571153538</v>
      </c>
      <c r="AD43" s="39" t="n">
        <f aca="false">+AD42/AD$30</f>
        <v>0.492860330209728</v>
      </c>
      <c r="AE43" s="39" t="n">
        <f aca="false">+AE42/AE$30</f>
        <v>0.413271582603662</v>
      </c>
      <c r="AF43" s="39" t="n">
        <f aca="false">+AF42/AF$30</f>
        <v>0.368878065579416</v>
      </c>
      <c r="AG43" s="39" t="n">
        <f aca="false">+AG42/AG$30</f>
        <v>0.386296070776174</v>
      </c>
      <c r="AH43" s="39" t="n">
        <f aca="false">+AH42/AH$30</f>
        <v>0.480091092974242</v>
      </c>
      <c r="AI43" s="39" t="n">
        <f aca="false">+AI42/AI$30</f>
        <v>0.42577793287966</v>
      </c>
      <c r="AJ43" s="39" t="n">
        <f aca="false">+AJ42/AJ$30</f>
        <v>0.411493356171934</v>
      </c>
      <c r="AK43" s="39" t="n">
        <f aca="false">+AK42/AK$30</f>
        <v>0.535258856520509</v>
      </c>
      <c r="AL43" s="39" t="n">
        <f aca="false">+AL42/AL$30</f>
        <v>0.461016145053446</v>
      </c>
      <c r="AM43" s="39" t="n">
        <f aca="false">+AM42/AM$30</f>
        <v>0.394891216466769</v>
      </c>
      <c r="AN43" s="39" t="n">
        <f aca="false">+AN42/AN$30</f>
        <v>0.405615875322194</v>
      </c>
      <c r="AO43" s="39" t="n">
        <f aca="false">+AO42/AO$30</f>
        <v>0.4</v>
      </c>
      <c r="AP43" s="39" t="n">
        <f aca="false">+AP42/AP$30</f>
        <v>0.4</v>
      </c>
      <c r="AQ43" s="39" t="n">
        <f aca="false">+AQ42/AQ$30</f>
        <v>0.4</v>
      </c>
      <c r="AR43" s="39" t="n">
        <f aca="false">+AR42/AR$30</f>
        <v>0.4</v>
      </c>
      <c r="AS43" s="39" t="n">
        <f aca="false">+AS42/AS$30</f>
        <v>0.4</v>
      </c>
      <c r="AT43" s="39" t="n">
        <f aca="false">+AT42/AT$30</f>
        <v>0.36</v>
      </c>
      <c r="EN43" s="32"/>
      <c r="EO43" s="32"/>
      <c r="EP43" s="32"/>
      <c r="EQ43" s="32"/>
      <c r="ER43" s="32"/>
    </row>
    <row r="44" customFormat="false" ht="12.8" hidden="false" customHeight="false" outlineLevel="0" collapsed="false">
      <c r="A44" s="3" t="s">
        <v>172</v>
      </c>
      <c r="B44" s="3" t="n">
        <f aca="false">B34-B42</f>
        <v>8524</v>
      </c>
      <c r="C44" s="3" t="n">
        <f aca="false">C34-C42</f>
        <v>8358</v>
      </c>
      <c r="D44" s="3" t="n">
        <f aca="false">D34-D42</f>
        <v>5664</v>
      </c>
      <c r="E44" s="3" t="n">
        <f aca="false">E34-E42</f>
        <v>6399</v>
      </c>
      <c r="F44" s="3" t="n">
        <f aca="false">F34-F42</f>
        <v>7227</v>
      </c>
      <c r="G44" s="3" t="n">
        <f aca="false">G34-G42</f>
        <v>9392</v>
      </c>
      <c r="H44" s="3" t="n">
        <f aca="false">H34-H42</f>
        <v>13748</v>
      </c>
      <c r="I44" s="3" t="n">
        <f aca="false">I34-I42</f>
        <v>16384</v>
      </c>
      <c r="J44" s="3" t="n">
        <f aca="false">J34-J42</f>
        <v>13818</v>
      </c>
      <c r="K44" s="3" t="n">
        <f aca="false">K34-K42</f>
        <v>14847</v>
      </c>
      <c r="L44" s="3" t="n">
        <f aca="false">L34-L42</f>
        <v>17350</v>
      </c>
      <c r="M44" s="3" t="n">
        <f aca="false">M34-M42</f>
        <v>23365</v>
      </c>
      <c r="N44" s="3" t="n">
        <f aca="false">N34-N42</f>
        <v>17555</v>
      </c>
      <c r="O44" s="3" t="n">
        <f aca="false">O34-O42</f>
        <v>20441</v>
      </c>
      <c r="P44" s="3" t="n">
        <f aca="false">P34-P42</f>
        <v>20535</v>
      </c>
      <c r="Q44" s="3" t="n">
        <f aca="false">Q34-Q42</f>
        <v>24745</v>
      </c>
      <c r="R44" s="3" t="n">
        <f aca="false">R34-R42</f>
        <v>22872</v>
      </c>
      <c r="S44" s="3" t="n">
        <f aca="false">S34-S42</f>
        <v>18775</v>
      </c>
      <c r="T44" s="3" t="n">
        <f aca="false">T34-T42</f>
        <v>24287.81632</v>
      </c>
      <c r="U44" s="3" t="n">
        <f aca="false">U34-U42</f>
        <v>30415.53344</v>
      </c>
      <c r="Z44" s="3" t="n">
        <f aca="false">Z34-Z42</f>
        <v>1756</v>
      </c>
      <c r="AA44" s="3" t="n">
        <f aca="false">AA34-AA42</f>
        <v>538</v>
      </c>
      <c r="AB44" s="3" t="n">
        <f aca="false">AB34-AB42</f>
        <v>2804</v>
      </c>
      <c r="AC44" s="3" t="n">
        <f aca="false">AC34-AC42</f>
        <v>4994</v>
      </c>
      <c r="AD44" s="3" t="n">
        <f aca="false">AD34-AD42</f>
        <v>6225</v>
      </c>
      <c r="AE44" s="3" t="n">
        <f aca="false">AE34-AE42</f>
        <v>12427</v>
      </c>
      <c r="AF44" s="3" t="n">
        <f aca="false">AF34-AF42</f>
        <v>20203</v>
      </c>
      <c r="AG44" s="3" t="n">
        <f aca="false">AG34-AG42</f>
        <v>24913</v>
      </c>
      <c r="AH44" s="3" t="n">
        <f aca="false">AH34-AH42</f>
        <v>23986</v>
      </c>
      <c r="AI44" s="3" t="n">
        <f aca="false">AI34-AI42</f>
        <v>32671</v>
      </c>
      <c r="AJ44" s="3" t="n">
        <f aca="false">AJ34-AJ42</f>
        <v>46753</v>
      </c>
      <c r="AK44" s="3" t="n">
        <f aca="false">AK34-AK42</f>
        <v>28944</v>
      </c>
      <c r="AL44" s="3" t="n">
        <f aca="false">AL34-AL42</f>
        <v>46751</v>
      </c>
      <c r="AM44" s="3" t="n">
        <f aca="false">AM34-AM42</f>
        <v>69380</v>
      </c>
      <c r="AN44" s="3" t="n">
        <f aca="false">AN34-AN42</f>
        <v>83276</v>
      </c>
      <c r="AO44" s="3" t="n">
        <f aca="false">AO34-AO42</f>
        <v>108039.3216</v>
      </c>
      <c r="AP44" s="3" t="n">
        <f aca="false">AP34-AP42</f>
        <v>129647.18592</v>
      </c>
      <c r="AQ44" s="3" t="n">
        <f aca="false">AQ34-AQ42</f>
        <v>152644.127232</v>
      </c>
      <c r="AR44" s="3" t="n">
        <f aca="false">AR34-AR42</f>
        <v>174014.30504448</v>
      </c>
      <c r="AS44" s="3" t="n">
        <f aca="false">AS34-AS42</f>
        <v>201209.098763059</v>
      </c>
      <c r="AT44" s="3" t="n">
        <f aca="false">AT34-AT42</f>
        <v>245840.935215956</v>
      </c>
    </row>
    <row r="45" s="39" customFormat="true" ht="10.5" hidden="false" customHeight="true" outlineLevel="0" collapsed="false">
      <c r="B45" s="39" t="n">
        <f aca="false">+B44/B$30</f>
        <v>0.305432134155081</v>
      </c>
      <c r="C45" s="39" t="n">
        <f aca="false">+C44/C$30</f>
        <v>0.289986815626952</v>
      </c>
      <c r="D45" s="39" t="n">
        <f aca="false">+D44/D$30</f>
        <v>0.204373240961247</v>
      </c>
      <c r="E45" s="39" t="n">
        <f aca="false">+E44/E$30</f>
        <v>0.198942950411938</v>
      </c>
      <c r="F45" s="39" t="n">
        <f aca="false">+F44/F$30</f>
        <v>0.252295339500786</v>
      </c>
      <c r="G45" s="39" t="n">
        <f aca="false">+G44/G$30</f>
        <v>0.29350917216163</v>
      </c>
      <c r="H45" s="39" t="n">
        <f aca="false">+H44/H$30</f>
        <v>0.402624026240262</v>
      </c>
      <c r="I45" s="39" t="n">
        <f aca="false">+I44/I$30</f>
        <v>0.408466505447384</v>
      </c>
      <c r="J45" s="39" t="n">
        <f aca="false">+J44/J$30</f>
        <v>0.379042655328487</v>
      </c>
      <c r="K45" s="39" t="n">
        <f aca="false">+K44/K$30</f>
        <v>0.380000511888613</v>
      </c>
      <c r="L45" s="39" t="n">
        <f aca="false">+L44/L$30</f>
        <v>0.427455714602479</v>
      </c>
      <c r="M45" s="39" t="n">
        <f aca="false">+M44/M$30</f>
        <v>0.482897592228997</v>
      </c>
      <c r="N45" s="39" t="n">
        <f aca="false">+N44/N$30</f>
        <v>0.414874509618566</v>
      </c>
      <c r="O45" s="39" t="n">
        <f aca="false">+O44/O$30</f>
        <v>0.430191935348093</v>
      </c>
      <c r="P45" s="39" t="n">
        <f aca="false">+P44/P$30</f>
        <v>0.400745482221615</v>
      </c>
      <c r="Q45" s="39" t="n">
        <f aca="false">+Q44/Q$30</f>
        <v>0.413153456998314</v>
      </c>
      <c r="R45" s="39" t="n">
        <f aca="false">+R44/R$30</f>
        <v>0.406172861430271</v>
      </c>
      <c r="S45" s="39" t="n">
        <f aca="false">+S44/S$30</f>
        <v>0.308794263252249</v>
      </c>
      <c r="T45" s="39" t="n">
        <f aca="false">+T44/T$30</f>
        <v>0.382244031168988</v>
      </c>
      <c r="U45" s="39" t="n">
        <f aca="false">+U44/U$30</f>
        <v>0.399867078442119</v>
      </c>
      <c r="Z45" s="39" t="n">
        <f aca="false">+Z44/Z$30</f>
        <v>0.473187819994611</v>
      </c>
      <c r="AA45" s="39" t="n">
        <f aca="false">+AA44/AA$30</f>
        <v>0.105718215759481</v>
      </c>
      <c r="AB45" s="39" t="n">
        <f aca="false">+AB44/AB$30</f>
        <v>0.35619918699187</v>
      </c>
      <c r="AC45" s="39" t="n">
        <f aca="false">+AC44/AC$30</f>
        <v>0.400609658270496</v>
      </c>
      <c r="AD45" s="39" t="n">
        <f aca="false">+AD44/AD$30</f>
        <v>0.347222222222222</v>
      </c>
      <c r="AE45" s="39" t="n">
        <f aca="false">+AE44/AE$30</f>
        <v>0.449634561111513</v>
      </c>
      <c r="AF45" s="39" t="n">
        <f aca="false">+AF44/AF$30</f>
        <v>0.496962093818414</v>
      </c>
      <c r="AG45" s="39" t="n">
        <f aca="false">+AG44/AG$30</f>
        <v>0.446165693613668</v>
      </c>
      <c r="AH45" s="39" t="n">
        <f aca="false">+AH44/AH$30</f>
        <v>0.339278894436822</v>
      </c>
      <c r="AI45" s="39" t="n">
        <f aca="false">+AI44/AI$30</f>
        <v>0.380050020357122</v>
      </c>
      <c r="AJ45" s="39" t="n">
        <f aca="false">+AJ44/AJ$30</f>
        <v>0.396450406600582</v>
      </c>
      <c r="AK45" s="39" t="n">
        <f aca="false">+AK44/AK$30</f>
        <v>0.248214117263676</v>
      </c>
      <c r="AL45" s="39" t="n">
        <f aca="false">+AL44/AL$30</f>
        <v>0.346555277164164</v>
      </c>
      <c r="AM45" s="39" t="n">
        <f aca="false">+AM44/AM$30</f>
        <v>0.421760354040401</v>
      </c>
      <c r="AN45" s="39" t="n">
        <f aca="false">+AN44/AN$30</f>
        <v>0.414378551595792</v>
      </c>
      <c r="AO45" s="39" t="n">
        <f aca="false">+AO44/AO$30</f>
        <v>0.42</v>
      </c>
      <c r="AP45" s="39" t="n">
        <f aca="false">+AP44/AP$30</f>
        <v>0.42</v>
      </c>
      <c r="AQ45" s="39" t="n">
        <f aca="false">+AQ44/AQ$30</f>
        <v>0.43</v>
      </c>
      <c r="AR45" s="39" t="n">
        <f aca="false">+AR44/AR$30</f>
        <v>0.43</v>
      </c>
      <c r="AS45" s="39" t="n">
        <f aca="false">+AS44/AS$30</f>
        <v>0.439999999999999</v>
      </c>
      <c r="AT45" s="39" t="n">
        <f aca="false">+AT44/AT$30</f>
        <v>0.48</v>
      </c>
      <c r="EN45" s="32"/>
      <c r="EO45" s="32"/>
      <c r="EP45" s="32"/>
      <c r="EQ45" s="32"/>
      <c r="ER45" s="32"/>
    </row>
    <row r="46" customFormat="false" ht="12.8" hidden="false" customHeight="false" outlineLevel="0" collapsed="false">
      <c r="A46" s="3" t="s">
        <v>173</v>
      </c>
      <c r="B46" s="3" t="n">
        <v>384</v>
      </c>
      <c r="C46" s="3" t="n">
        <v>-172</v>
      </c>
      <c r="D46" s="3" t="n">
        <v>-88</v>
      </c>
      <c r="E46" s="3" t="n">
        <v>-250</v>
      </c>
      <c r="F46" s="3" t="n">
        <v>80</v>
      </c>
      <c r="G46" s="3" t="n">
        <v>-99</v>
      </c>
      <c r="H46" s="3" t="n">
        <v>272</v>
      </c>
      <c r="I46" s="3" t="n">
        <v>424</v>
      </c>
      <c r="J46" s="3" t="n">
        <v>365</v>
      </c>
      <c r="K46" s="3" t="n">
        <v>259</v>
      </c>
      <c r="L46" s="3" t="n">
        <v>472</v>
      </c>
      <c r="M46" s="3" t="n">
        <v>188</v>
      </c>
      <c r="N46" s="3" t="n">
        <v>827</v>
      </c>
      <c r="O46" s="3" t="n">
        <f aca="false">+93+343</f>
        <v>436</v>
      </c>
      <c r="P46" s="3" t="n">
        <f aca="false">+1128-954</f>
        <v>174</v>
      </c>
      <c r="Q46" s="3" t="n">
        <v>609</v>
      </c>
      <c r="R46" s="3" t="n">
        <f aca="false">-1120+1076</f>
        <v>-44</v>
      </c>
      <c r="S46" s="3" t="n">
        <v>-19</v>
      </c>
      <c r="T46" s="3" t="n">
        <f aca="false">-20-10000</f>
        <v>-10020</v>
      </c>
      <c r="U46" s="3" t="n">
        <v>-20</v>
      </c>
      <c r="Z46" s="3" t="n">
        <v>-61</v>
      </c>
      <c r="AA46" s="3" t="n">
        <v>-44</v>
      </c>
      <c r="AB46" s="3" t="n">
        <v>-50</v>
      </c>
      <c r="AC46" s="3" t="n">
        <v>-84</v>
      </c>
      <c r="AD46" s="3" t="n">
        <v>-31</v>
      </c>
      <c r="AE46" s="3" t="n">
        <v>91</v>
      </c>
      <c r="AF46" s="3" t="n">
        <v>391</v>
      </c>
      <c r="AG46" s="3" t="n">
        <v>448</v>
      </c>
      <c r="AH46" s="3" t="n">
        <v>826</v>
      </c>
      <c r="AI46" s="3" t="n">
        <v>509</v>
      </c>
      <c r="AJ46" s="3" t="n">
        <v>531</v>
      </c>
      <c r="AK46" s="3" t="n">
        <v>-125</v>
      </c>
      <c r="AL46" s="3" t="n">
        <v>677</v>
      </c>
      <c r="AM46" s="3" t="n">
        <v>1283</v>
      </c>
      <c r="AN46" s="3" t="n">
        <v>2656</v>
      </c>
      <c r="AO46" s="3" t="n">
        <f aca="false">+AN91*$AW$68-10000</f>
        <v>-9543.04</v>
      </c>
      <c r="AP46" s="3" t="n">
        <f aca="false">+AO91*$AW$68</f>
        <v>2170.79529984</v>
      </c>
      <c r="AQ46" s="3" t="n">
        <f aca="false">+AP91*$AW$68</f>
        <v>4464.42817306522</v>
      </c>
      <c r="AR46" s="3" t="n">
        <f aca="false">+AQ91*$AW$68</f>
        <v>7198.11703711335</v>
      </c>
      <c r="AS46" s="3" t="n">
        <f aca="false">+AR91*$AW$68</f>
        <v>10351.2131813331</v>
      </c>
      <c r="AT46" s="3" t="n">
        <f aca="false">+AS91*$AW$68</f>
        <v>14032.3626091655</v>
      </c>
    </row>
    <row r="47" s="39" customFormat="true" ht="10.5" hidden="false" customHeight="true" outlineLevel="0" collapsed="false">
      <c r="B47" s="39" t="n">
        <f aca="false">+B46/B$30</f>
        <v>0.0137594954851655</v>
      </c>
      <c r="C47" s="39" t="n">
        <f aca="false">+C46/C$30</f>
        <v>-0.00596766359031296</v>
      </c>
      <c r="D47" s="39" t="n">
        <f aca="false">+D46/D$30</f>
        <v>-0.00317529046691203</v>
      </c>
      <c r="E47" s="39" t="n">
        <f aca="false">+E46/E$30</f>
        <v>-0.0077724234416291</v>
      </c>
      <c r="F47" s="39" t="n">
        <f aca="false">+F46/F$30</f>
        <v>0.00279280851806598</v>
      </c>
      <c r="G47" s="39" t="n">
        <f aca="false">+G46/G$30</f>
        <v>-0.00309384668270883</v>
      </c>
      <c r="H47" s="39" t="n">
        <f aca="false">+H46/H$30</f>
        <v>0.00796579394365372</v>
      </c>
      <c r="I47" s="39" t="n">
        <f aca="false">+I46/I$30</f>
        <v>0.010570666400738</v>
      </c>
      <c r="J47" s="39" t="n">
        <f aca="false">+J46/J$30</f>
        <v>0.0100123439857358</v>
      </c>
      <c r="K47" s="39" t="n">
        <f aca="false">+K46/K$30</f>
        <v>0.00662895753883955</v>
      </c>
      <c r="L47" s="39" t="n">
        <f aca="false">+L46/L$30</f>
        <v>0.0116287664145458</v>
      </c>
      <c r="M47" s="39" t="n">
        <f aca="false">+M46/M$30</f>
        <v>0.00388550170507389</v>
      </c>
      <c r="N47" s="39" t="n">
        <f aca="false">+N46/N$30</f>
        <v>0.0195443588410455</v>
      </c>
      <c r="O47" s="39" t="n">
        <f aca="false">+O46/O$30</f>
        <v>0.00917585655358195</v>
      </c>
      <c r="P47" s="39" t="n">
        <f aca="false">+P46/P$30</f>
        <v>0.00339565200421529</v>
      </c>
      <c r="Q47" s="39" t="n">
        <f aca="false">+Q46/Q$30</f>
        <v>0.0101681331708213</v>
      </c>
      <c r="R47" s="39" t="n">
        <f aca="false">+R46/R$30</f>
        <v>-0.000781374864591288</v>
      </c>
      <c r="S47" s="39" t="n">
        <f aca="false">+S46/S$30</f>
        <v>-0.000312494860281903</v>
      </c>
      <c r="T47" s="39" t="n">
        <f aca="false">+T46/T$30</f>
        <v>-0.157695741018897</v>
      </c>
      <c r="U47" s="39" t="n">
        <f aca="false">+U46/U$30</f>
        <v>-0.000262936094302556</v>
      </c>
      <c r="Z47" s="39" t="n">
        <f aca="false">+Z46/Z$30</f>
        <v>-0.0164376178927513</v>
      </c>
      <c r="AA47" s="39" t="n">
        <f aca="false">+AA46/AA$30</f>
        <v>-0.00864609943014345</v>
      </c>
      <c r="AB47" s="39" t="n">
        <f aca="false">+AB46/AB$30</f>
        <v>-0.00635162601626016</v>
      </c>
      <c r="AC47" s="39" t="n">
        <f aca="false">+AC46/AC$30</f>
        <v>-0.00673832825284775</v>
      </c>
      <c r="AD47" s="39" t="n">
        <f aca="false">+AD46/AD$30</f>
        <v>-0.00172913877733155</v>
      </c>
      <c r="AE47" s="39" t="n">
        <f aca="false">+AE46/AE$30</f>
        <v>0.0032925682031985</v>
      </c>
      <c r="AF47" s="39" t="n">
        <f aca="false">+AF46/AF$30</f>
        <v>0.00961798637246944</v>
      </c>
      <c r="AG47" s="39" t="n">
        <f aca="false">+AG46/AG$30</f>
        <v>0.00802321000035818</v>
      </c>
      <c r="AH47" s="39" t="n">
        <f aca="false">+AH46/AH$30</f>
        <v>0.011683664087585</v>
      </c>
      <c r="AI47" s="39" t="n">
        <f aca="false">+AI46/AI$30</f>
        <v>0.00592101436631187</v>
      </c>
      <c r="AJ47" s="39" t="n">
        <f aca="false">+AJ46/AJ$30</f>
        <v>0.00450270925726496</v>
      </c>
      <c r="AK47" s="39" t="n">
        <f aca="false">+AK46/AK$30</f>
        <v>-0.00107195842516444</v>
      </c>
      <c r="AL47" s="39" t="n">
        <f aca="false">+AL46/AL$30</f>
        <v>0.00501845784347156</v>
      </c>
      <c r="AM47" s="39" t="n">
        <f aca="false">+AM46/AM$30</f>
        <v>0.00779934468483474</v>
      </c>
      <c r="AN47" s="39" t="n">
        <f aca="false">+AN46/AN$30</f>
        <v>0.0132161659186131</v>
      </c>
      <c r="AO47" s="39" t="n">
        <f aca="false">+AO46/AO$30</f>
        <v>-0.037098315137884</v>
      </c>
      <c r="AP47" s="39" t="n">
        <f aca="false">+AP46/AP$30</f>
        <v>0.00703242434043569</v>
      </c>
      <c r="AQ47" s="39" t="n">
        <f aca="false">+AQ46/AQ$30</f>
        <v>0.0125763378469211</v>
      </c>
      <c r="AR47" s="39" t="n">
        <f aca="false">+AR46/AR$30</f>
        <v>0.0177869878293487</v>
      </c>
      <c r="AS47" s="39" t="n">
        <f aca="false">+AS46/AS$30</f>
        <v>0.0226358242633446</v>
      </c>
      <c r="AT47" s="39" t="n">
        <f aca="false">+AT46/AT$30</f>
        <v>0.0273979353620775</v>
      </c>
      <c r="EN47" s="32"/>
      <c r="EO47" s="32"/>
      <c r="EP47" s="32"/>
      <c r="EQ47" s="32"/>
      <c r="ER47" s="32"/>
    </row>
    <row r="48" customFormat="false" ht="12.8" hidden="false" customHeight="false" outlineLevel="0" collapsed="false">
      <c r="A48" s="3" t="s">
        <v>174</v>
      </c>
      <c r="B48" s="3" t="n">
        <f aca="false">B44+B46</f>
        <v>8908</v>
      </c>
      <c r="C48" s="3" t="n">
        <f aca="false">C44+C46</f>
        <v>8186</v>
      </c>
      <c r="D48" s="3" t="n">
        <f aca="false">D44+D46</f>
        <v>5576</v>
      </c>
      <c r="E48" s="3" t="n">
        <f aca="false">E44+E46</f>
        <v>6149</v>
      </c>
      <c r="F48" s="3" t="n">
        <f aca="false">F44+F46</f>
        <v>7307</v>
      </c>
      <c r="G48" s="3" t="n">
        <f aca="false">G44+G46</f>
        <v>9293</v>
      </c>
      <c r="H48" s="3" t="n">
        <f aca="false">H44+H46</f>
        <v>14020</v>
      </c>
      <c r="I48" s="3" t="n">
        <f aca="false">I44+I46</f>
        <v>16808</v>
      </c>
      <c r="J48" s="3" t="n">
        <f aca="false">J44+J46</f>
        <v>14183</v>
      </c>
      <c r="K48" s="3" t="n">
        <f aca="false">K44+K46</f>
        <v>15106</v>
      </c>
      <c r="L48" s="3" t="n">
        <f aca="false">L44+L46</f>
        <v>17822</v>
      </c>
      <c r="M48" s="3" t="n">
        <f aca="false">M44+M46</f>
        <v>23553</v>
      </c>
      <c r="N48" s="3" t="n">
        <f aca="false">N44+N46</f>
        <v>18382</v>
      </c>
      <c r="O48" s="3" t="n">
        <f aca="false">O44+O46</f>
        <v>20877</v>
      </c>
      <c r="P48" s="3" t="n">
        <f aca="false">P44+P46</f>
        <v>20709</v>
      </c>
      <c r="Q48" s="3" t="n">
        <f aca="false">Q44+Q46</f>
        <v>25354</v>
      </c>
      <c r="R48" s="3" t="n">
        <f aca="false">R44+R46</f>
        <v>22828</v>
      </c>
      <c r="S48" s="3" t="n">
        <f aca="false">S44+S46</f>
        <v>18756</v>
      </c>
      <c r="T48" s="3" t="n">
        <f aca="false">T44+T46</f>
        <v>14267.81632</v>
      </c>
      <c r="U48" s="3" t="n">
        <f aca="false">U44+U46</f>
        <v>30395.53344</v>
      </c>
      <c r="Z48" s="3" t="n">
        <f aca="false">Z44+Z46</f>
        <v>1695</v>
      </c>
      <c r="AA48" s="3" t="n">
        <f aca="false">AA44+AA46</f>
        <v>494</v>
      </c>
      <c r="AB48" s="3" t="n">
        <f aca="false">AB44+AB46</f>
        <v>2754</v>
      </c>
      <c r="AC48" s="3" t="n">
        <f aca="false">AC44+AC46</f>
        <v>4910</v>
      </c>
      <c r="AD48" s="3" t="n">
        <f aca="false">AD44+AD46</f>
        <v>6194</v>
      </c>
      <c r="AE48" s="3" t="n">
        <f aca="false">AE44+AE46</f>
        <v>12518</v>
      </c>
      <c r="AF48" s="3" t="n">
        <f aca="false">AF44+AF46</f>
        <v>20594</v>
      </c>
      <c r="AG48" s="3" t="n">
        <f aca="false">AG44+AG46</f>
        <v>25361</v>
      </c>
      <c r="AH48" s="3" t="n">
        <f aca="false">AH44+AH46</f>
        <v>24812</v>
      </c>
      <c r="AI48" s="3" t="n">
        <f aca="false">AI44+AI46</f>
        <v>33180</v>
      </c>
      <c r="AJ48" s="3" t="n">
        <f aca="false">AJ44+AJ46</f>
        <v>47284</v>
      </c>
      <c r="AK48" s="3" t="n">
        <f aca="false">AK44+AK46</f>
        <v>28819</v>
      </c>
      <c r="AL48" s="3" t="n">
        <f aca="false">AL44+AL46</f>
        <v>47428</v>
      </c>
      <c r="AM48" s="3" t="n">
        <f aca="false">AM44+AM46</f>
        <v>70663</v>
      </c>
      <c r="AN48" s="3" t="n">
        <f aca="false">AN44+AN46</f>
        <v>85932</v>
      </c>
      <c r="AO48" s="3" t="n">
        <f aca="false">AO44+AO46</f>
        <v>98496.2816</v>
      </c>
      <c r="AP48" s="3" t="n">
        <f aca="false">AP44+AP46</f>
        <v>131817.98121984</v>
      </c>
      <c r="AQ48" s="3" t="n">
        <f aca="false">AQ44+AQ46</f>
        <v>157108.555405065</v>
      </c>
      <c r="AR48" s="3" t="n">
        <f aca="false">AR44+AR46</f>
        <v>181212.422081593</v>
      </c>
      <c r="AS48" s="3" t="n">
        <f aca="false">AS44+AS46</f>
        <v>211560.311944392</v>
      </c>
      <c r="AT48" s="3" t="n">
        <f aca="false">AT44+AT46</f>
        <v>259873.297825122</v>
      </c>
    </row>
    <row r="49" s="39" customFormat="true" ht="10.5" hidden="false" customHeight="true" outlineLevel="0" collapsed="false">
      <c r="B49" s="39" t="n">
        <f aca="false">+B48/B$30</f>
        <v>0.319191629640247</v>
      </c>
      <c r="C49" s="39" t="n">
        <f aca="false">+C48/C$30</f>
        <v>0.284019152036639</v>
      </c>
      <c r="D49" s="39" t="n">
        <f aca="false">+D48/D$30</f>
        <v>0.201197950494335</v>
      </c>
      <c r="E49" s="39" t="n">
        <f aca="false">+E48/E$30</f>
        <v>0.191170526970309</v>
      </c>
      <c r="F49" s="39" t="n">
        <f aca="false">+F48/F$30</f>
        <v>0.255088148018851</v>
      </c>
      <c r="G49" s="39" t="n">
        <f aca="false">+G48/G$30</f>
        <v>0.290415325478921</v>
      </c>
      <c r="H49" s="39" t="n">
        <f aca="false">+H48/H$30</f>
        <v>0.410589820183916</v>
      </c>
      <c r="I49" s="39" t="n">
        <f aca="false">+I48/I$30</f>
        <v>0.419037171848121</v>
      </c>
      <c r="J49" s="39" t="n">
        <f aca="false">+J48/J$30</f>
        <v>0.389054999314223</v>
      </c>
      <c r="K49" s="39" t="n">
        <f aca="false">+K48/K$30</f>
        <v>0.386629469427453</v>
      </c>
      <c r="L49" s="39" t="n">
        <f aca="false">+L48/L$30</f>
        <v>0.439084481017024</v>
      </c>
      <c r="M49" s="39" t="n">
        <f aca="false">+M48/M$30</f>
        <v>0.486783093934071</v>
      </c>
      <c r="N49" s="39" t="n">
        <f aca="false">+N48/N$30</f>
        <v>0.434418868459612</v>
      </c>
      <c r="O49" s="39" t="n">
        <f aca="false">+O48/O$30</f>
        <v>0.439367791901675</v>
      </c>
      <c r="P49" s="39" t="n">
        <f aca="false">+P48/P$30</f>
        <v>0.40414113422583</v>
      </c>
      <c r="Q49" s="39" t="n">
        <f aca="false">+Q48/Q$30</f>
        <v>0.423321590169135</v>
      </c>
      <c r="R49" s="39" t="n">
        <f aca="false">+R48/R$30</f>
        <v>0.40539148656568</v>
      </c>
      <c r="S49" s="39" t="n">
        <f aca="false">+S48/S$30</f>
        <v>0.308481768391967</v>
      </c>
      <c r="T49" s="39" t="n">
        <f aca="false">+T48/T$30</f>
        <v>0.224548290150091</v>
      </c>
      <c r="U49" s="39" t="n">
        <f aca="false">+U48/U$30</f>
        <v>0.399604142347817</v>
      </c>
      <c r="Z49" s="39" t="n">
        <f aca="false">+Z48/Z$30</f>
        <v>0.456750202101859</v>
      </c>
      <c r="AA49" s="39" t="n">
        <f aca="false">+AA48/AA$30</f>
        <v>0.0970721163293378</v>
      </c>
      <c r="AB49" s="39" t="n">
        <f aca="false">+AB48/AB$30</f>
        <v>0.34984756097561</v>
      </c>
      <c r="AC49" s="39" t="n">
        <f aca="false">+AC48/AC$30</f>
        <v>0.393871330017648</v>
      </c>
      <c r="AD49" s="39" t="n">
        <f aca="false">+AD48/AD$30</f>
        <v>0.345493083444891</v>
      </c>
      <c r="AE49" s="39" t="n">
        <f aca="false">+AE48/AE$30</f>
        <v>0.452927129314712</v>
      </c>
      <c r="AF49" s="39" t="n">
        <f aca="false">+AF48/AF$30</f>
        <v>0.506580080190884</v>
      </c>
      <c r="AG49" s="39" t="n">
        <f aca="false">+AG48/AG$30</f>
        <v>0.454188903614026</v>
      </c>
      <c r="AH49" s="39" t="n">
        <f aca="false">+AH48/AH$30</f>
        <v>0.350962558524407</v>
      </c>
      <c r="AI49" s="39" t="n">
        <f aca="false">+AI48/AI$30</f>
        <v>0.385971034723434</v>
      </c>
      <c r="AJ49" s="39" t="n">
        <f aca="false">+AJ48/AJ$30</f>
        <v>0.400953115857847</v>
      </c>
      <c r="AK49" s="39" t="n">
        <f aca="false">+AK48/AK$30</f>
        <v>0.247142158838512</v>
      </c>
      <c r="AL49" s="39" t="n">
        <f aca="false">+AL48/AL$30</f>
        <v>0.351573735007635</v>
      </c>
      <c r="AM49" s="39" t="n">
        <f aca="false">+AM48/AM$30</f>
        <v>0.429559698725236</v>
      </c>
      <c r="AN49" s="39" t="n">
        <f aca="false">+AN48/AN$30</f>
        <v>0.427594717514405</v>
      </c>
      <c r="AO49" s="39" t="n">
        <f aca="false">+AO48/AO$30</f>
        <v>0.382901684862116</v>
      </c>
      <c r="AP49" s="39" t="n">
        <f aca="false">+AP48/AP$30</f>
        <v>0.427032424340436</v>
      </c>
      <c r="AQ49" s="39" t="n">
        <f aca="false">+AQ48/AQ$30</f>
        <v>0.442576337846921</v>
      </c>
      <c r="AR49" s="39" t="n">
        <f aca="false">+AR48/AR$30</f>
        <v>0.447786987829349</v>
      </c>
      <c r="AS49" s="39" t="n">
        <f aca="false">+AS48/AS$30</f>
        <v>0.462635824263344</v>
      </c>
      <c r="AT49" s="39" t="n">
        <f aca="false">+AT48/AT$30</f>
        <v>0.507397935362077</v>
      </c>
      <c r="EN49" s="32"/>
      <c r="EO49" s="32"/>
      <c r="EP49" s="32"/>
      <c r="EQ49" s="32"/>
      <c r="ER49" s="32"/>
    </row>
    <row r="50" s="55" customFormat="true" ht="12.8" hidden="false" customHeight="false" outlineLevel="0" collapsed="false">
      <c r="A50" s="3" t="s">
        <v>175</v>
      </c>
      <c r="B50" s="3" t="n">
        <v>1443</v>
      </c>
      <c r="C50" s="3" t="n">
        <v>1499</v>
      </c>
      <c r="D50" s="3" t="n">
        <v>1181</v>
      </c>
      <c r="E50" s="3" t="n">
        <v>1497</v>
      </c>
      <c r="F50" s="3" t="n">
        <v>1598</v>
      </c>
      <c r="G50" s="3" t="n">
        <v>1505</v>
      </c>
      <c r="H50" s="3" t="n">
        <v>2437</v>
      </c>
      <c r="I50" s="3" t="n">
        <v>2791</v>
      </c>
      <c r="J50" s="3" t="n">
        <v>1814</v>
      </c>
      <c r="K50" s="3" t="n">
        <v>1641</v>
      </c>
      <c r="L50" s="3" t="n">
        <v>2134</v>
      </c>
      <c r="M50" s="3" t="n">
        <v>2715</v>
      </c>
      <c r="N50" s="3" t="n">
        <v>1738</v>
      </c>
      <c r="O50" s="3" t="n">
        <v>2197</v>
      </c>
      <c r="P50" s="3" t="n">
        <f aca="false">+18954-15930</f>
        <v>3024</v>
      </c>
      <c r="Q50" s="3" t="n">
        <v>2586</v>
      </c>
      <c r="R50" s="3" t="n">
        <v>-5021</v>
      </c>
      <c r="S50" s="3" t="n">
        <v>2908</v>
      </c>
      <c r="T50" s="3" t="n">
        <f aca="false">+T48*0.14</f>
        <v>1997.4942848</v>
      </c>
      <c r="U50" s="3" t="n">
        <f aca="false">+U48*0.14</f>
        <v>4255.3746816</v>
      </c>
      <c r="V50" s="3"/>
      <c r="W50" s="3"/>
      <c r="X50" s="3"/>
      <c r="Y50" s="3"/>
      <c r="Z50" s="3" t="n">
        <v>695</v>
      </c>
      <c r="AA50" s="3" t="n">
        <v>441</v>
      </c>
      <c r="AB50" s="3" t="n">
        <v>1254</v>
      </c>
      <c r="AC50" s="3" t="n">
        <v>1970</v>
      </c>
      <c r="AD50" s="3" t="n">
        <v>2506</v>
      </c>
      <c r="AE50" s="3" t="n">
        <v>2301</v>
      </c>
      <c r="AF50" s="3" t="n">
        <v>4660</v>
      </c>
      <c r="AG50" s="3" t="n">
        <v>3249</v>
      </c>
      <c r="AH50" s="3" t="n">
        <v>6327</v>
      </c>
      <c r="AI50" s="3" t="n">
        <v>4034</v>
      </c>
      <c r="AJ50" s="3" t="n">
        <v>7914</v>
      </c>
      <c r="AK50" s="3" t="n">
        <v>5619</v>
      </c>
      <c r="AL50" s="3" t="n">
        <v>8330</v>
      </c>
      <c r="AM50" s="3" t="n">
        <v>8303</v>
      </c>
      <c r="AN50" s="3" t="n">
        <v>25474</v>
      </c>
      <c r="AO50" s="3" t="n">
        <f aca="false">+AO48*0.13</f>
        <v>12804.516608</v>
      </c>
      <c r="AP50" s="3" t="n">
        <f aca="false">+AP48*0.13</f>
        <v>17136.3375585792</v>
      </c>
      <c r="AQ50" s="3" t="n">
        <f aca="false">+AQ48*0.13</f>
        <v>20424.1122026585</v>
      </c>
      <c r="AR50" s="3" t="n">
        <f aca="false">+AR48*0.13</f>
        <v>23557.6148706071</v>
      </c>
      <c r="AS50" s="3" t="n">
        <f aca="false">+AS48*0.13</f>
        <v>27502.840552771</v>
      </c>
      <c r="AT50" s="3" t="n">
        <f aca="false">+AT48*0.13</f>
        <v>33783.5287172658</v>
      </c>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2"/>
      <c r="EO50" s="32"/>
      <c r="EP50" s="32"/>
      <c r="EQ50" s="32"/>
      <c r="ER50" s="32"/>
    </row>
    <row r="51" s="56" customFormat="true" ht="10.5" hidden="false" customHeight="true" outlineLevel="0" collapsed="false">
      <c r="A51" s="39"/>
      <c r="B51" s="39" t="n">
        <f aca="false">+B50/B$30</f>
        <v>0.0517056041278486</v>
      </c>
      <c r="C51" s="39" t="n">
        <f aca="false">+C50/C$30</f>
        <v>0.0520088821039484</v>
      </c>
      <c r="D51" s="39" t="n">
        <f aca="false">+D50/D$30</f>
        <v>0.042613841379808</v>
      </c>
      <c r="E51" s="39" t="n">
        <f aca="false">+E50/E$30</f>
        <v>0.0465412715684751</v>
      </c>
      <c r="F51" s="39" t="n">
        <f aca="false">+F50/F$30</f>
        <v>0.055786350148368</v>
      </c>
      <c r="G51" s="39" t="n">
        <f aca="false">+G50/G$30</f>
        <v>0.0470327197724929</v>
      </c>
      <c r="H51" s="39" t="n">
        <f aca="false">+H50/H$30</f>
        <v>0.0713699994142799</v>
      </c>
      <c r="I51" s="39" t="n">
        <f aca="false">+I50/I$30</f>
        <v>0.0695819101991972</v>
      </c>
      <c r="J51" s="39" t="n">
        <f aca="false">+J50/J$30</f>
        <v>0.0497599780551365</v>
      </c>
      <c r="K51" s="39" t="n">
        <f aca="false">+K50/K$30</f>
        <v>0.0420004606997517</v>
      </c>
      <c r="L51" s="39" t="n">
        <f aca="false">+L50/L$30</f>
        <v>0.0525758210352559</v>
      </c>
      <c r="M51" s="39" t="n">
        <f aca="false">+M50/M$30</f>
        <v>0.0561124315387</v>
      </c>
      <c r="N51" s="39" t="n">
        <f aca="false">+N50/N$30</f>
        <v>0.0410738762584487</v>
      </c>
      <c r="O51" s="39" t="n">
        <f aca="false">+O50/O$30</f>
        <v>0.0462370569913292</v>
      </c>
      <c r="P51" s="39" t="n">
        <f aca="false">+P50/P$30</f>
        <v>0.0590140900042934</v>
      </c>
      <c r="Q51" s="39" t="n">
        <f aca="false">+Q50/Q$30</f>
        <v>0.043176998981517</v>
      </c>
      <c r="R51" s="39" t="n">
        <f aca="false">+R50/R$30</f>
        <v>-0.0891655271616558</v>
      </c>
      <c r="S51" s="39" t="n">
        <f aca="false">+S50/S$30</f>
        <v>0.0478281607210408</v>
      </c>
      <c r="T51" s="39" t="n">
        <f aca="false">+T50/T$30</f>
        <v>0.0314367606210128</v>
      </c>
      <c r="U51" s="39" t="n">
        <f aca="false">+U50/U$30</f>
        <v>0.0559445799286944</v>
      </c>
      <c r="V51" s="39"/>
      <c r="W51" s="39"/>
      <c r="X51" s="39"/>
      <c r="Y51" s="39"/>
      <c r="Z51" s="39" t="n">
        <f aca="false">+Z50/Z$30</f>
        <v>0.187281056319051</v>
      </c>
      <c r="AA51" s="39" t="n">
        <f aca="false">+AA50/AA$30</f>
        <v>0.0866574965612105</v>
      </c>
      <c r="AB51" s="39" t="n">
        <f aca="false">+AB50/AB$30</f>
        <v>0.159298780487805</v>
      </c>
      <c r="AC51" s="39" t="n">
        <f aca="false">+AC50/AC$30</f>
        <v>0.158029841167977</v>
      </c>
      <c r="AD51" s="39" t="n">
        <f aca="false">+AD50/AD$30</f>
        <v>0.139781347612673</v>
      </c>
      <c r="AE51" s="39" t="n">
        <f aca="false">+AE50/AE$30</f>
        <v>0.0832549388523048</v>
      </c>
      <c r="AF51" s="39" t="n">
        <f aca="false">+AF50/AF$30</f>
        <v>0.114628686689789</v>
      </c>
      <c r="AG51" s="39" t="n">
        <f aca="false">+AG50/AG$30</f>
        <v>0.0581861814534905</v>
      </c>
      <c r="AH51" s="39" t="n">
        <f aca="false">+AH50/AH$30</f>
        <v>0.0894946037314172</v>
      </c>
      <c r="AI51" s="39" t="n">
        <f aca="false">+AI50/AI$30</f>
        <v>0.04692607456523</v>
      </c>
      <c r="AJ51" s="39" t="n">
        <f aca="false">+AJ50/AJ$30</f>
        <v>0.0671081752579942</v>
      </c>
      <c r="AK51" s="39" t="n">
        <f aca="false">+AK50/AK$30</f>
        <v>0.0481866751279918</v>
      </c>
      <c r="AL51" s="39" t="n">
        <f aca="false">+AL50/AL$30</f>
        <v>0.0617485285614743</v>
      </c>
      <c r="AM51" s="39" t="n">
        <f aca="false">+AM50/AM$30</f>
        <v>0.0504738573017793</v>
      </c>
      <c r="AN51" s="39" t="n">
        <f aca="false">+AN50/AN$30</f>
        <v>0.126757760019108</v>
      </c>
      <c r="AO51" s="39" t="n">
        <f aca="false">+AO50/AO$30</f>
        <v>0.0497772190320751</v>
      </c>
      <c r="AP51" s="39" t="n">
        <f aca="false">+AP50/AP$30</f>
        <v>0.0555142151642566</v>
      </c>
      <c r="AQ51" s="39" t="n">
        <f aca="false">+AQ50/AQ$30</f>
        <v>0.0575349239200997</v>
      </c>
      <c r="AR51" s="39" t="n">
        <f aca="false">+AR50/AR$30</f>
        <v>0.0582123084178153</v>
      </c>
      <c r="AS51" s="39" t="n">
        <f aca="false">+AS50/AS$30</f>
        <v>0.0601426571542347</v>
      </c>
      <c r="AT51" s="39" t="n">
        <f aca="false">+AT50/AT$30</f>
        <v>0.06596173159707</v>
      </c>
      <c r="AU51" s="39"/>
      <c r="AV51" s="39"/>
      <c r="AW51" s="39"/>
      <c r="AX51" s="39"/>
      <c r="AY51" s="39"/>
      <c r="AZ51" s="39"/>
      <c r="BA51" s="39"/>
      <c r="BB51" s="39"/>
      <c r="BC51" s="39"/>
      <c r="BD51" s="39"/>
      <c r="BE51" s="39"/>
      <c r="BF51" s="39"/>
      <c r="BG51" s="39"/>
      <c r="BH51" s="39"/>
      <c r="BI51" s="39"/>
      <c r="BJ51" s="39"/>
      <c r="BK51" s="39"/>
      <c r="BL51" s="39"/>
      <c r="BM51" s="39"/>
      <c r="BN51" s="39"/>
      <c r="BO51" s="39"/>
      <c r="BP51" s="39"/>
      <c r="BQ51" s="39"/>
      <c r="BR51" s="39"/>
      <c r="BS51" s="39"/>
      <c r="BT51" s="39"/>
      <c r="BU51" s="39"/>
      <c r="BV51" s="39"/>
      <c r="BW51" s="39"/>
      <c r="BX51" s="39"/>
      <c r="BY51" s="39"/>
      <c r="BZ51" s="39"/>
      <c r="CA51" s="39"/>
      <c r="CB51" s="39"/>
      <c r="CC51" s="39"/>
      <c r="CD51" s="39"/>
      <c r="CE51" s="39"/>
      <c r="CF51" s="39"/>
      <c r="CG51" s="39"/>
      <c r="CH51" s="39"/>
      <c r="CI51" s="39"/>
      <c r="CJ51" s="39"/>
      <c r="CK51" s="39"/>
      <c r="CL51" s="39"/>
      <c r="CM51" s="39"/>
      <c r="CN51" s="39"/>
      <c r="CO51" s="39"/>
      <c r="CP51" s="39"/>
      <c r="CQ51" s="39"/>
      <c r="CR51" s="39"/>
      <c r="CS51" s="39"/>
      <c r="CT51" s="39"/>
      <c r="CU51" s="39"/>
      <c r="CV51" s="39"/>
      <c r="CW51" s="39"/>
      <c r="CX51" s="39"/>
      <c r="CY51" s="39"/>
      <c r="CZ51" s="39"/>
      <c r="DA51" s="39"/>
      <c r="DB51" s="39"/>
      <c r="DC51" s="39"/>
      <c r="DD51" s="39"/>
      <c r="DE51" s="39"/>
      <c r="DF51" s="39"/>
      <c r="DG51" s="39"/>
      <c r="DH51" s="39"/>
      <c r="DI51" s="39"/>
      <c r="DJ51" s="39"/>
      <c r="DK51" s="39"/>
      <c r="DL51" s="39"/>
      <c r="DM51" s="39"/>
      <c r="DN51" s="39"/>
      <c r="DO51" s="39"/>
      <c r="DP51" s="39"/>
      <c r="DQ51" s="39"/>
      <c r="DR51" s="39"/>
      <c r="DS51" s="39"/>
      <c r="DT51" s="39"/>
      <c r="DU51" s="39"/>
      <c r="DV51" s="39"/>
      <c r="DW51" s="39"/>
      <c r="DX51" s="39"/>
      <c r="DY51" s="39"/>
      <c r="DZ51" s="39"/>
      <c r="EA51" s="39"/>
      <c r="EB51" s="39"/>
      <c r="EC51" s="39"/>
      <c r="ED51" s="39"/>
      <c r="EE51" s="39"/>
      <c r="EF51" s="39"/>
      <c r="EG51" s="39"/>
      <c r="EH51" s="39"/>
      <c r="EI51" s="39"/>
      <c r="EJ51" s="39"/>
      <c r="EK51" s="39"/>
      <c r="EL51" s="39"/>
      <c r="EM51" s="39"/>
      <c r="EN51" s="32"/>
      <c r="EO51" s="32"/>
      <c r="EP51" s="32"/>
      <c r="EQ51" s="32"/>
      <c r="ER51" s="32"/>
    </row>
    <row r="52" s="32" customFormat="true" ht="12.8" hidden="false" customHeight="false" outlineLevel="0" collapsed="false">
      <c r="A52" s="55" t="s">
        <v>176</v>
      </c>
      <c r="B52" s="55" t="n">
        <f aca="false">B48-B50</f>
        <v>7465</v>
      </c>
      <c r="C52" s="55" t="n">
        <f aca="false">C48-C50</f>
        <v>6687</v>
      </c>
      <c r="D52" s="55" t="n">
        <f aca="false">D48-D50</f>
        <v>4395</v>
      </c>
      <c r="E52" s="55" t="n">
        <f aca="false">E48-E50</f>
        <v>4652</v>
      </c>
      <c r="F52" s="55" t="n">
        <f aca="false">F48-F50</f>
        <v>5709</v>
      </c>
      <c r="G52" s="55" t="n">
        <f aca="false">G48-G50</f>
        <v>7788</v>
      </c>
      <c r="H52" s="55" t="n">
        <f aca="false">H48-H50</f>
        <v>11583</v>
      </c>
      <c r="I52" s="55" t="n">
        <f aca="false">I48-I50</f>
        <v>14017</v>
      </c>
      <c r="J52" s="55" t="n">
        <f aca="false">J48-J50</f>
        <v>12369</v>
      </c>
      <c r="K52" s="55" t="n">
        <f aca="false">K48-K50</f>
        <v>13465</v>
      </c>
      <c r="L52" s="55" t="n">
        <f aca="false">L48-L50</f>
        <v>15688</v>
      </c>
      <c r="M52" s="55" t="n">
        <f aca="false">M48-M50</f>
        <v>20838</v>
      </c>
      <c r="N52" s="55" t="n">
        <f aca="false">N48-N50</f>
        <v>16644</v>
      </c>
      <c r="O52" s="55" t="n">
        <f aca="false">O48-O50</f>
        <v>18680</v>
      </c>
      <c r="P52" s="55" t="n">
        <f aca="false">P48-P50</f>
        <v>17685</v>
      </c>
      <c r="Q52" s="55" t="n">
        <f aca="false">Q48-Q50</f>
        <v>22768</v>
      </c>
      <c r="R52" s="55" t="n">
        <f aca="false">R48-R50</f>
        <v>27849</v>
      </c>
      <c r="S52" s="55" t="n">
        <f aca="false">S48-S50</f>
        <v>15848</v>
      </c>
      <c r="T52" s="55" t="n">
        <f aca="false">T48-T50</f>
        <v>12270.3220352</v>
      </c>
      <c r="U52" s="55" t="n">
        <f aca="false">U48-U50</f>
        <v>26140.1587584</v>
      </c>
      <c r="V52" s="55"/>
      <c r="W52" s="55"/>
      <c r="X52" s="55"/>
      <c r="Y52" s="55"/>
      <c r="Z52" s="55" t="n">
        <f aca="false">Z48-Z50</f>
        <v>1000</v>
      </c>
      <c r="AA52" s="55" t="n">
        <f aca="false">AA48-AA50</f>
        <v>53</v>
      </c>
      <c r="AB52" s="55" t="n">
        <f aca="false">AB48-AB50</f>
        <v>1500</v>
      </c>
      <c r="AC52" s="55" t="n">
        <f aca="false">AC48-AC50</f>
        <v>2940</v>
      </c>
      <c r="AD52" s="55" t="n">
        <f aca="false">AD48-AD50</f>
        <v>3688</v>
      </c>
      <c r="AE52" s="55" t="n">
        <f aca="false">AE48-AE50</f>
        <v>10217</v>
      </c>
      <c r="AF52" s="55" t="n">
        <f aca="false">AF48-AF50</f>
        <v>15934</v>
      </c>
      <c r="AG52" s="55" t="n">
        <f aca="false">AG48-AG50</f>
        <v>22112</v>
      </c>
      <c r="AH52" s="55" t="n">
        <f aca="false">AH48-AH50</f>
        <v>18485</v>
      </c>
      <c r="AI52" s="55" t="n">
        <f aca="false">AI48-AI50</f>
        <v>29146</v>
      </c>
      <c r="AJ52" s="55" t="n">
        <f aca="false">AJ48-AJ50</f>
        <v>39370</v>
      </c>
      <c r="AK52" s="55" t="n">
        <f aca="false">AK48-AK50</f>
        <v>23200</v>
      </c>
      <c r="AL52" s="55" t="n">
        <f aca="false">AL48-AL50</f>
        <v>39098</v>
      </c>
      <c r="AM52" s="55" t="n">
        <f aca="false">AM48-AM50</f>
        <v>62360</v>
      </c>
      <c r="AN52" s="55" t="n">
        <f aca="false">AN48-AN50</f>
        <v>60458</v>
      </c>
      <c r="AO52" s="55" t="n">
        <f aca="false">AO48-AO50</f>
        <v>85691.764992</v>
      </c>
      <c r="AP52" s="55" t="n">
        <f aca="false">AP48-AP50</f>
        <v>114681.643661261</v>
      </c>
      <c r="AQ52" s="55" t="n">
        <f aca="false">AQ48-AQ50</f>
        <v>136684.443202407</v>
      </c>
      <c r="AR52" s="55" t="n">
        <f aca="false">AR48-AR50</f>
        <v>157654.807210986</v>
      </c>
      <c r="AS52" s="55" t="n">
        <f aca="false">AS48-AS50</f>
        <v>184057.471391621</v>
      </c>
      <c r="AT52" s="55" t="n">
        <f aca="false">AT48-AT50</f>
        <v>226089.769107856</v>
      </c>
      <c r="AU52" s="55" t="n">
        <f aca="false">+AT52*(1+$AW$66)</f>
        <v>230611.564490013</v>
      </c>
      <c r="AV52" s="55" t="n">
        <f aca="false">+AU52*(1+$AW$66)</f>
        <v>235223.795779813</v>
      </c>
      <c r="AW52" s="55" t="n">
        <f aca="false">+AV52*(1+$AW$66)</f>
        <v>239928.271695409</v>
      </c>
      <c r="AX52" s="55" t="n">
        <f aca="false">+AW52*(1+$AW$66)</f>
        <v>244726.837129318</v>
      </c>
      <c r="AY52" s="55" t="n">
        <f aca="false">+AX52*(1+$AW$66)</f>
        <v>249621.373871904</v>
      </c>
      <c r="AZ52" s="55" t="n">
        <f aca="false">+AY52*(1+$AW$66)</f>
        <v>254613.801349342</v>
      </c>
      <c r="BA52" s="55" t="n">
        <f aca="false">+AZ52*(1+$AW$66)</f>
        <v>259706.077376329</v>
      </c>
      <c r="BB52" s="55" t="n">
        <f aca="false">+BA52*(1+$AW$66)</f>
        <v>264900.198923855</v>
      </c>
      <c r="BC52" s="55" t="n">
        <f aca="false">+BB52*(1+$AW$66)</f>
        <v>270198.202902333</v>
      </c>
      <c r="BD52" s="55" t="n">
        <f aca="false">+BC52*(1+$AW$66)</f>
        <v>275602.166960379</v>
      </c>
      <c r="BE52" s="55" t="n">
        <f aca="false">+BD52*(1+$AW$66)</f>
        <v>281114.210299587</v>
      </c>
      <c r="BF52" s="55" t="n">
        <f aca="false">+BE52*(1+$AW$66)</f>
        <v>286736.494505578</v>
      </c>
      <c r="BG52" s="55" t="n">
        <f aca="false">+BF52*(1+$AW$66)</f>
        <v>292471.22439569</v>
      </c>
      <c r="BH52" s="55" t="n">
        <f aca="false">+BG52*(1+$AW$66)</f>
        <v>298320.648883604</v>
      </c>
      <c r="BI52" s="55" t="n">
        <f aca="false">+BH52*(1+$AW$66)</f>
        <v>304287.061861276</v>
      </c>
      <c r="BJ52" s="55" t="n">
        <f aca="false">+BI52*(1+$AW$66)</f>
        <v>310372.803098501</v>
      </c>
      <c r="BK52" s="55" t="n">
        <f aca="false">+BJ52*(1+$AW$66)</f>
        <v>316580.259160471</v>
      </c>
      <c r="BL52" s="55" t="n">
        <f aca="false">+BK52*(1+$AW$66)</f>
        <v>322911.864343681</v>
      </c>
      <c r="BM52" s="55" t="n">
        <f aca="false">+BL52*(1+$AW$66)</f>
        <v>329370.101630555</v>
      </c>
      <c r="BN52" s="55" t="n">
        <f aca="false">+BM52*(1+$AW$66)</f>
        <v>335957.503663166</v>
      </c>
      <c r="BO52" s="55" t="n">
        <f aca="false">+BN52*(1+$AW$66)</f>
        <v>342676.653736429</v>
      </c>
      <c r="BP52" s="55" t="n">
        <f aca="false">+BO52*(1+$AW$66)</f>
        <v>349530.186811157</v>
      </c>
      <c r="BQ52" s="55" t="n">
        <f aca="false">+BP52*(1+$AW$66)</f>
        <v>356520.790547381</v>
      </c>
      <c r="BR52" s="55" t="n">
        <f aca="false">+BQ52*(1+$AW$66)</f>
        <v>363651.206358328</v>
      </c>
      <c r="BS52" s="55" t="n">
        <f aca="false">+BR52*(1+$AW$66)</f>
        <v>370924.230485495</v>
      </c>
      <c r="BT52" s="55" t="n">
        <f aca="false">+BS52*(1+$AW$66)</f>
        <v>378342.715095205</v>
      </c>
      <c r="BU52" s="55" t="n">
        <f aca="false">+BT52*(1+$AW$66)</f>
        <v>385909.569397109</v>
      </c>
      <c r="BV52" s="55" t="n">
        <f aca="false">+BU52*(1+$AW$66)</f>
        <v>393627.760785051</v>
      </c>
      <c r="BW52" s="55" t="n">
        <f aca="false">+BV52*(1+$AW$66)</f>
        <v>401500.316000752</v>
      </c>
      <c r="BX52" s="55" t="n">
        <f aca="false">+BW52*(1+$AW$66)</f>
        <v>409530.322320767</v>
      </c>
      <c r="BY52" s="55" t="n">
        <f aca="false">+BX52*(1+$AW$66)</f>
        <v>417720.928767182</v>
      </c>
      <c r="BZ52" s="55" t="n">
        <f aca="false">+BY52*(1+$AW$66)</f>
        <v>426075.347342526</v>
      </c>
      <c r="CA52" s="55" t="n">
        <f aca="false">+BZ52*(1+$AW$66)</f>
        <v>434596.854289377</v>
      </c>
      <c r="CB52" s="55" t="n">
        <f aca="false">+CA52*(1+$AW$66)</f>
        <v>443288.791375164</v>
      </c>
      <c r="CC52" s="55" t="n">
        <f aca="false">+CB52*(1+$AW$66)</f>
        <v>452154.567202667</v>
      </c>
      <c r="CD52" s="55" t="n">
        <f aca="false">+CC52*(1+$AW$66)</f>
        <v>461197.658546721</v>
      </c>
      <c r="CE52" s="55" t="n">
        <f aca="false">+CD52*(1+$AW$66)</f>
        <v>470421.611717655</v>
      </c>
      <c r="CF52" s="55" t="n">
        <f aca="false">+CE52*(1+$AW$66)</f>
        <v>479830.043952008</v>
      </c>
      <c r="CG52" s="55" t="n">
        <f aca="false">+CF52*(1+$AW$66)</f>
        <v>489426.644831048</v>
      </c>
      <c r="CH52" s="55" t="n">
        <f aca="false">+CG52*(1+$AW$66)</f>
        <v>499215.177727669</v>
      </c>
      <c r="CI52" s="55" t="n">
        <f aca="false">+CH52*(1+$AW$66)</f>
        <v>509199.481282223</v>
      </c>
      <c r="CJ52" s="55" t="n">
        <f aca="false">+CI52*(1+$AW$66)</f>
        <v>519383.470907867</v>
      </c>
      <c r="CK52" s="55" t="n">
        <f aca="false">+CJ52*(1+$AW$66)</f>
        <v>529771.140326025</v>
      </c>
      <c r="CL52" s="55" t="n">
        <f aca="false">+CK52*(1+$AW$66)</f>
        <v>540366.563132545</v>
      </c>
      <c r="CM52" s="55" t="n">
        <f aca="false">+CL52*(1+$AW$66)</f>
        <v>551173.894395196</v>
      </c>
      <c r="CN52" s="55" t="n">
        <f aca="false">+CM52*(1+$AW$66)</f>
        <v>562197.3722831</v>
      </c>
      <c r="CO52" s="55" t="n">
        <f aca="false">+CN52*(1+$AW$66)</f>
        <v>573441.319728762</v>
      </c>
      <c r="CP52" s="55" t="n">
        <f aca="false">+CO52*(1+$AW$66)</f>
        <v>584910.146123337</v>
      </c>
      <c r="CQ52" s="55" t="n">
        <f aca="false">+CP52*(1+$AW$66)</f>
        <v>596608.349045804</v>
      </c>
      <c r="CR52" s="55" t="n">
        <f aca="false">+CQ52*(1+$AW$66)</f>
        <v>608540.51602672</v>
      </c>
      <c r="CS52" s="55" t="n">
        <f aca="false">+CR52*(1+$AW$66)</f>
        <v>620711.326347254</v>
      </c>
      <c r="CT52" s="55" t="n">
        <f aca="false">+CS52*(1+$AW$66)</f>
        <v>633125.5528742</v>
      </c>
      <c r="CU52" s="55" t="n">
        <f aca="false">+CT52*(1+$AW$66)</f>
        <v>645788.063931684</v>
      </c>
      <c r="CV52" s="55" t="n">
        <f aca="false">+CU52*(1+$AW$66)</f>
        <v>658703.825210317</v>
      </c>
      <c r="CW52" s="55" t="n">
        <f aca="false">+CV52*(1+$AW$66)</f>
        <v>671877.901714524</v>
      </c>
      <c r="CX52" s="55" t="n">
        <f aca="false">+CW52*(1+$AW$66)</f>
        <v>685315.459748814</v>
      </c>
      <c r="CY52" s="55" t="n">
        <f aca="false">+CX52*(1+$AW$66)</f>
        <v>699021.768943791</v>
      </c>
      <c r="CZ52" s="55" t="n">
        <f aca="false">+CY52*(1+$AW$66)</f>
        <v>713002.204322666</v>
      </c>
      <c r="DA52" s="55" t="n">
        <f aca="false">+CZ52*(1+$AW$66)</f>
        <v>727262.24840912</v>
      </c>
      <c r="DB52" s="55" t="n">
        <f aca="false">+DA52*(1+$AW$66)</f>
        <v>741807.493377302</v>
      </c>
      <c r="DC52" s="55" t="n">
        <f aca="false">+DB52*(1+$AW$66)</f>
        <v>756643.643244848</v>
      </c>
      <c r="DD52" s="55" t="n">
        <f aca="false">+DC52*(1+$AW$66)</f>
        <v>771776.516109745</v>
      </c>
      <c r="DE52" s="55" t="n">
        <f aca="false">+DD52*(1+$AW$66)</f>
        <v>787212.04643194</v>
      </c>
      <c r="DF52" s="55" t="n">
        <f aca="false">+DE52*(1+$AW$66)</f>
        <v>802956.287360579</v>
      </c>
      <c r="DG52" s="55" t="n">
        <f aca="false">+DF52*(1+$AW$66)</f>
        <v>819015.413107791</v>
      </c>
      <c r="DH52" s="55" t="n">
        <f aca="false">+DG52*(1+$AW$66)</f>
        <v>835395.721369946</v>
      </c>
      <c r="DI52" s="55" t="n">
        <f aca="false">+DH52*(1+$AW$66)</f>
        <v>852103.635797345</v>
      </c>
      <c r="DJ52" s="55" t="n">
        <f aca="false">+DI52*(1+$AW$66)</f>
        <v>869145.708513292</v>
      </c>
      <c r="DK52" s="55" t="n">
        <f aca="false">+DJ52*(1+$AW$66)</f>
        <v>886528.622683558</v>
      </c>
      <c r="DL52" s="55" t="n">
        <f aca="false">+DK52*(1+$AW$66)</f>
        <v>904259.195137229</v>
      </c>
      <c r="DM52" s="55" t="n">
        <f aca="false">+DL52*(1+$AW$66)</f>
        <v>922344.379039974</v>
      </c>
      <c r="DN52" s="55" t="n">
        <f aca="false">+DM52*(1+$AW$66)</f>
        <v>940791.266620773</v>
      </c>
      <c r="DO52" s="55" t="n">
        <f aca="false">+DN52*(1+$AW$66)</f>
        <v>959607.091953189</v>
      </c>
      <c r="DP52" s="55" t="n">
        <f aca="false">+DO52*(1+$AW$66)</f>
        <v>978799.233792253</v>
      </c>
      <c r="DQ52" s="55" t="n">
        <f aca="false">+DP52*(1+$AW$66)</f>
        <v>998375.218468098</v>
      </c>
      <c r="DR52" s="55" t="n">
        <f aca="false">+DQ52*(1+$AW$66)</f>
        <v>1018342.72283746</v>
      </c>
      <c r="DS52" s="55" t="n">
        <f aca="false">+DR52*(1+$AW$66)</f>
        <v>1038709.57729421</v>
      </c>
      <c r="DT52" s="55" t="n">
        <f aca="false">+DS52*(1+$AW$66)</f>
        <v>1059483.76884009</v>
      </c>
      <c r="DU52" s="55" t="n">
        <f aca="false">+DT52*(1+$AW$66)</f>
        <v>1080673.4442169</v>
      </c>
      <c r="DV52" s="55" t="n">
        <f aca="false">+DU52*(1+$AW$66)</f>
        <v>1102286.91310123</v>
      </c>
      <c r="DW52" s="55" t="n">
        <f aca="false">+DV52*(1+$AW$66)</f>
        <v>1124332.65136326</v>
      </c>
      <c r="DX52" s="55" t="n">
        <f aca="false">+DW52*(1+$AW$66)</f>
        <v>1146819.30439052</v>
      </c>
      <c r="DY52" s="55" t="n">
        <f aca="false">+DX52*(1+$AW$66)</f>
        <v>1169755.69047833</v>
      </c>
      <c r="DZ52" s="55" t="n">
        <f aca="false">+DY52*(1+$AW$66)</f>
        <v>1193150.8042879</v>
      </c>
      <c r="EA52" s="55" t="n">
        <f aca="false">+DZ52*(1+$AW$66)</f>
        <v>1217013.82037366</v>
      </c>
      <c r="EB52" s="55" t="n">
        <f aca="false">+EA52*(1+$AW$66)</f>
        <v>1241354.09678113</v>
      </c>
      <c r="EC52" s="55" t="n">
        <f aca="false">+EB52*(1+$AW$66)</f>
        <v>1266181.17871675</v>
      </c>
      <c r="ED52" s="55" t="n">
        <f aca="false">+EC52*(1+$AW$66)</f>
        <v>1291504.80229109</v>
      </c>
      <c r="EE52" s="55" t="n">
        <f aca="false">+ED52*(1+$AW$66)</f>
        <v>1317334.89833691</v>
      </c>
      <c r="EF52" s="55" t="n">
        <f aca="false">+EE52*(1+$AW$66)</f>
        <v>1343681.59630365</v>
      </c>
      <c r="EG52" s="55" t="n">
        <f aca="false">+EF52*(1+$AW$66)</f>
        <v>1370555.22822972</v>
      </c>
      <c r="EH52" s="55" t="n">
        <f aca="false">+EG52*(1+$AW$66)</f>
        <v>1397966.33279432</v>
      </c>
      <c r="EI52" s="55" t="n">
        <f aca="false">+EH52*(1+$AW$66)</f>
        <v>1425925.6594502</v>
      </c>
      <c r="EJ52" s="55" t="n">
        <f aca="false">+EI52*(1+$AW$66)</f>
        <v>1454444.17263921</v>
      </c>
      <c r="EK52" s="55" t="n">
        <f aca="false">+EJ52*(1+$AW$66)</f>
        <v>1483533.05609199</v>
      </c>
      <c r="EL52" s="55"/>
      <c r="EM52" s="55"/>
    </row>
    <row r="53" s="39" customFormat="true" ht="10.5" hidden="false" customHeight="true" outlineLevel="0" collapsed="false">
      <c r="A53" s="56"/>
      <c r="B53" s="39" t="n">
        <f aca="false">+B52/B$30</f>
        <v>0.267486025512398</v>
      </c>
      <c r="C53" s="39" t="n">
        <f aca="false">+C52/C$30</f>
        <v>0.23201026993269</v>
      </c>
      <c r="D53" s="39" t="n">
        <f aca="false">+D52/D$30</f>
        <v>0.158584109114527</v>
      </c>
      <c r="E53" s="39" t="n">
        <f aca="false">+E52/E$30</f>
        <v>0.144629255401834</v>
      </c>
      <c r="F53" s="39" t="n">
        <f aca="false">+F52/F$30</f>
        <v>0.199301797870484</v>
      </c>
      <c r="G53" s="39" t="n">
        <f aca="false">+G52/G$30</f>
        <v>0.243382605706428</v>
      </c>
      <c r="H53" s="39" t="n">
        <f aca="false">+H52/H$30</f>
        <v>0.339219820769636</v>
      </c>
      <c r="I53" s="39" t="n">
        <f aca="false">+I52/I$30</f>
        <v>0.349455261648924</v>
      </c>
      <c r="J53" s="39" t="n">
        <f aca="false">+J52/J$30</f>
        <v>0.339295021259087</v>
      </c>
      <c r="K53" s="39" t="n">
        <f aca="false">+K52/K$30</f>
        <v>0.344629008727701</v>
      </c>
      <c r="L53" s="39" t="n">
        <f aca="false">+L52/L$30</f>
        <v>0.386508659981769</v>
      </c>
      <c r="M53" s="39" t="n">
        <f aca="false">+M52/M$30</f>
        <v>0.43067066239537</v>
      </c>
      <c r="N53" s="39" t="n">
        <f aca="false">+N52/N$30</f>
        <v>0.393344992201163</v>
      </c>
      <c r="O53" s="39" t="n">
        <f aca="false">+O52/O$30</f>
        <v>0.393130734910346</v>
      </c>
      <c r="P53" s="39" t="n">
        <f aca="false">+P52/P$30</f>
        <v>0.345127044221537</v>
      </c>
      <c r="Q53" s="39" t="n">
        <f aca="false">+Q52/Q$30</f>
        <v>0.380144591187618</v>
      </c>
      <c r="R53" s="39" t="n">
        <f aca="false">+R52/R$30</f>
        <v>0.494557013727336</v>
      </c>
      <c r="S53" s="39" t="n">
        <f aca="false">+S52/S$30</f>
        <v>0.260653607670927</v>
      </c>
      <c r="T53" s="39" t="n">
        <f aca="false">+T52/T$30</f>
        <v>0.193111529529078</v>
      </c>
      <c r="U53" s="39" t="n">
        <f aca="false">+U52/U$30</f>
        <v>0.343659562419123</v>
      </c>
      <c r="V53" s="56"/>
      <c r="W53" s="56"/>
      <c r="X53" s="56"/>
      <c r="Y53" s="56"/>
      <c r="Z53" s="39" t="n">
        <f aca="false">+Z52/Z$30</f>
        <v>0.269469145782808</v>
      </c>
      <c r="AA53" s="39" t="n">
        <f aca="false">+AA52/AA$30</f>
        <v>0.0104146197681273</v>
      </c>
      <c r="AB53" s="39" t="n">
        <f aca="false">+AB52/AB$30</f>
        <v>0.190548780487805</v>
      </c>
      <c r="AC53" s="39" t="n">
        <f aca="false">+AC52/AC$30</f>
        <v>0.235841488849671</v>
      </c>
      <c r="AD53" s="39" t="n">
        <f aca="false">+AD52/AD$30</f>
        <v>0.205711735832218</v>
      </c>
      <c r="AE53" s="39" t="n">
        <f aca="false">+AE52/AE$30</f>
        <v>0.369672190462407</v>
      </c>
      <c r="AF53" s="39" t="n">
        <f aca="false">+AF52/AF$30</f>
        <v>0.391951393501095</v>
      </c>
      <c r="AG53" s="39" t="n">
        <f aca="false">+AG52/AG$30</f>
        <v>0.396002722160536</v>
      </c>
      <c r="AH53" s="39" t="n">
        <f aca="false">+AH52/AH$30</f>
        <v>0.26146795479299</v>
      </c>
      <c r="AI53" s="39" t="n">
        <f aca="false">+AI52/AI$30</f>
        <v>0.339044960158204</v>
      </c>
      <c r="AJ53" s="39" t="n">
        <f aca="false">+AJ52/AJ$30</f>
        <v>0.333844940599853</v>
      </c>
      <c r="AK53" s="39" t="n">
        <f aca="false">+AK52/AK$30</f>
        <v>0.19895548371052</v>
      </c>
      <c r="AL53" s="39" t="n">
        <f aca="false">+AL52/AL$30</f>
        <v>0.289825206446161</v>
      </c>
      <c r="AM53" s="39" t="n">
        <f aca="false">+AM52/AM$30</f>
        <v>0.379085841423456</v>
      </c>
      <c r="AN53" s="39" t="n">
        <f aca="false">+AN52/AN$30</f>
        <v>0.300836957495298</v>
      </c>
      <c r="AO53" s="39" t="n">
        <f aca="false">+AO52/AO$30</f>
        <v>0.333124465830041</v>
      </c>
      <c r="AP53" s="39" t="n">
        <f aca="false">+AP52/AP$30</f>
        <v>0.371518209176179</v>
      </c>
      <c r="AQ53" s="39" t="n">
        <f aca="false">+AQ52/AQ$30</f>
        <v>0.385041413926821</v>
      </c>
      <c r="AR53" s="39" t="n">
        <f aca="false">+AR52/AR$30</f>
        <v>0.389574679411533</v>
      </c>
      <c r="AS53" s="39" t="n">
        <f aca="false">+AS52/AS$30</f>
        <v>0.402493167109109</v>
      </c>
      <c r="AT53" s="39" t="n">
        <f aca="false">+AT52/AT$30</f>
        <v>0.441436203765007</v>
      </c>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32"/>
      <c r="EO53" s="32"/>
      <c r="EP53" s="32"/>
      <c r="EQ53" s="32"/>
      <c r="ER53" s="32"/>
    </row>
    <row r="54" customFormat="false" ht="12.8" hidden="false" customHeight="false" outlineLevel="0" collapsed="false">
      <c r="A54" s="57" t="s">
        <v>177</v>
      </c>
      <c r="B54" s="57" t="n">
        <f aca="false">B52/B56</f>
        <v>2.72246535375638</v>
      </c>
      <c r="C54" s="57" t="n">
        <f aca="false">C52/C56</f>
        <v>2.46479911537044</v>
      </c>
      <c r="D54" s="57" t="n">
        <f aca="false">D52/D56</f>
        <v>1.63565314477112</v>
      </c>
      <c r="E54" s="57" t="n">
        <f aca="false">E52/E56</f>
        <v>1.76212121212121</v>
      </c>
      <c r="F54" s="57" t="n">
        <f aca="false">F52/F56</f>
        <v>2.19915254237288</v>
      </c>
      <c r="G54" s="57" t="n">
        <f aca="false">G52/G56</f>
        <v>2.98162327718224</v>
      </c>
      <c r="H54" s="57" t="n">
        <f aca="false">H52/H56</f>
        <v>4.38583869746308</v>
      </c>
      <c r="I54" s="57" t="n">
        <f aca="false">I52/I56</f>
        <v>5.32965779467681</v>
      </c>
      <c r="J54" s="57" t="n">
        <f aca="false">J52/J56</f>
        <v>4.712</v>
      </c>
      <c r="K54" s="57" t="n">
        <f aca="false">K52/K56</f>
        <v>5.15900383141763</v>
      </c>
      <c r="L54" s="57" t="n">
        <f aca="false">L52/L56</f>
        <v>6.03384615384615</v>
      </c>
      <c r="M54" s="57" t="n">
        <f aca="false">M52/M56</f>
        <v>8.01769911504425</v>
      </c>
      <c r="N54" s="57" t="n">
        <f aca="false">N52/N56</f>
        <v>6.42625482625483</v>
      </c>
      <c r="O54" s="57" t="n">
        <f aca="false">O52/O56</f>
        <v>7.26848249027237</v>
      </c>
      <c r="P54" s="57" t="n">
        <f aca="false">P52/P56</f>
        <v>6.87597200622084</v>
      </c>
      <c r="Q54" s="57" t="n">
        <f aca="false">Q52/Q56</f>
        <v>8.87641325536063</v>
      </c>
      <c r="R54" s="57" t="n">
        <f aca="false">R52/R56</f>
        <v>10.8615444617785</v>
      </c>
      <c r="S54" s="57" t="n">
        <f aca="false">S52/S56</f>
        <v>6.17614964925955</v>
      </c>
      <c r="T54" s="57" t="n">
        <f aca="false">T52/T56</f>
        <v>4.81892094946353</v>
      </c>
      <c r="U54" s="57" t="n">
        <f aca="false">U52/U56</f>
        <v>10.2940353863784</v>
      </c>
      <c r="V54" s="57"/>
      <c r="W54" s="57"/>
      <c r="X54" s="57"/>
      <c r="Y54" s="57"/>
      <c r="Z54" s="57" t="n">
        <f aca="false">Z52/Z56</f>
        <v>0.663129973474801</v>
      </c>
      <c r="AA54" s="57" t="n">
        <f aca="false">AA52/AA56</f>
        <v>0.0244690674053555</v>
      </c>
      <c r="AB54" s="57" t="n">
        <f aca="false">AB52/AB56</f>
        <v>0.595947556615018</v>
      </c>
      <c r="AC54" s="57" t="n">
        <f aca="false">AC52/AC56</f>
        <v>1.1036036036036</v>
      </c>
      <c r="AD54" s="57" t="n">
        <f aca="false">AD52/AD56</f>
        <v>1.29267437784788</v>
      </c>
      <c r="AE54" s="57" t="n">
        <f aca="false">AE52/AE56</f>
        <v>3.49299145299145</v>
      </c>
      <c r="AF54" s="57" t="n">
        <f aca="false">AF52/AF56</f>
        <v>5.39039242219215</v>
      </c>
      <c r="AG54" s="57" t="n">
        <f aca="false">AG52/AG56</f>
        <v>7.57001027045532</v>
      </c>
      <c r="AH54" s="57" t="n">
        <f aca="false">AH52/AH56</f>
        <v>6.42732962447844</v>
      </c>
      <c r="AI54" s="57" t="n">
        <f aca="false">AI52/AI56</f>
        <v>10.0921052631579</v>
      </c>
      <c r="AJ54" s="57" t="n">
        <f aca="false">AJ52/AJ56</f>
        <v>13.770549143057</v>
      </c>
      <c r="AK54" s="57" t="n">
        <f aca="false">AK52/AK56</f>
        <v>8.58623242042931</v>
      </c>
      <c r="AL54" s="57" t="n">
        <f aca="false">AL52/AL56</f>
        <v>14.8718143780905</v>
      </c>
      <c r="AM54" s="57" t="n">
        <f aca="false">AM52/AM56</f>
        <v>23.8561591430757</v>
      </c>
      <c r="AN54" s="57" t="n">
        <f aca="false">AN52/AN56</f>
        <v>23.4879564879565</v>
      </c>
      <c r="AO54" s="57" t="n">
        <f aca="false">AO52/AO56</f>
        <v>33.6275595865414</v>
      </c>
      <c r="AP54" s="57" t="n">
        <f aca="false">AP52/AP56</f>
        <v>45.4584870077165</v>
      </c>
      <c r="AQ54" s="57" t="n">
        <f aca="false">AQ52/AQ56</f>
        <v>54.7274183381559</v>
      </c>
      <c r="AR54" s="57" t="n">
        <f aca="false">AR52/AR56</f>
        <v>63.7614077227137</v>
      </c>
      <c r="AS54" s="57" t="n">
        <f aca="false">AS52/AS56</f>
        <v>75.1915323925451</v>
      </c>
      <c r="AT54" s="57" t="n">
        <f aca="false">AT52/AT56</f>
        <v>93.295608187012</v>
      </c>
      <c r="AU54" s="57"/>
      <c r="AV54" s="57"/>
      <c r="AW54" s="57"/>
      <c r="AX54" s="57"/>
      <c r="AY54" s="57"/>
      <c r="AZ54" s="57"/>
      <c r="BA54" s="57"/>
      <c r="BB54" s="57"/>
      <c r="BC54" s="57"/>
      <c r="BD54" s="57"/>
      <c r="BE54" s="57"/>
      <c r="BF54" s="57"/>
      <c r="BG54" s="57"/>
      <c r="BH54" s="57"/>
      <c r="BI54" s="57"/>
      <c r="BJ54" s="57"/>
      <c r="BK54" s="57"/>
      <c r="BL54" s="57"/>
      <c r="BM54" s="57"/>
      <c r="BN54" s="57"/>
      <c r="BO54" s="57"/>
      <c r="BP54" s="57"/>
      <c r="BQ54" s="57"/>
      <c r="BR54" s="57"/>
      <c r="BS54" s="57"/>
      <c r="BT54" s="57"/>
      <c r="BU54" s="57"/>
      <c r="BV54" s="57"/>
      <c r="BW54" s="57"/>
      <c r="BX54" s="57"/>
      <c r="BY54" s="57"/>
      <c r="BZ54" s="57"/>
      <c r="CA54" s="57"/>
      <c r="CB54" s="57"/>
      <c r="CC54" s="57"/>
      <c r="CD54" s="57"/>
      <c r="CE54" s="57"/>
      <c r="CF54" s="57"/>
      <c r="CG54" s="57"/>
      <c r="CH54" s="57"/>
      <c r="CI54" s="57"/>
      <c r="CJ54" s="57"/>
      <c r="CK54" s="57"/>
      <c r="CL54" s="57"/>
      <c r="CM54" s="57"/>
      <c r="CN54" s="57"/>
      <c r="CO54" s="57"/>
      <c r="CP54" s="57"/>
      <c r="CQ54" s="57"/>
      <c r="CR54" s="57"/>
      <c r="CS54" s="57"/>
      <c r="CT54" s="57"/>
      <c r="CU54" s="57"/>
      <c r="CV54" s="57"/>
      <c r="CW54" s="57"/>
      <c r="CX54" s="57"/>
      <c r="CY54" s="57"/>
      <c r="CZ54" s="57"/>
      <c r="DA54" s="57"/>
      <c r="DB54" s="57"/>
      <c r="DC54" s="57"/>
      <c r="DD54" s="57"/>
      <c r="DE54" s="57"/>
      <c r="DF54" s="57"/>
      <c r="DG54" s="57"/>
      <c r="DH54" s="57"/>
      <c r="DI54" s="57"/>
      <c r="DJ54" s="57"/>
      <c r="DK54" s="57"/>
      <c r="DL54" s="57"/>
      <c r="DM54" s="57"/>
      <c r="DN54" s="57"/>
      <c r="DO54" s="57"/>
      <c r="DP54" s="57"/>
      <c r="DQ54" s="57"/>
      <c r="DR54" s="57"/>
      <c r="DS54" s="57"/>
      <c r="DT54" s="57"/>
      <c r="DU54" s="57"/>
      <c r="DV54" s="57"/>
      <c r="DW54" s="57"/>
      <c r="DX54" s="57"/>
      <c r="DY54" s="57"/>
      <c r="DZ54" s="57"/>
      <c r="EA54" s="57"/>
      <c r="EB54" s="57"/>
      <c r="EC54" s="57"/>
      <c r="ED54" s="57"/>
      <c r="EE54" s="57"/>
      <c r="EF54" s="57"/>
      <c r="EG54" s="57"/>
      <c r="EH54" s="57"/>
      <c r="EI54" s="57"/>
      <c r="EJ54" s="57"/>
      <c r="EK54" s="57"/>
      <c r="EL54" s="57"/>
      <c r="EM54" s="57"/>
    </row>
    <row r="55" s="39" customFormat="true" ht="10.5" hidden="false" customHeight="true" outlineLevel="0" collapsed="false">
      <c r="A55" s="56"/>
      <c r="F55" s="39" t="n">
        <f aca="false">+F54/B54-1</f>
        <v>-0.192220191401682</v>
      </c>
      <c r="G55" s="39" t="n">
        <f aca="false">+G54/C54-1</f>
        <v>0.209682062359116</v>
      </c>
      <c r="H55" s="39" t="n">
        <f aca="false">+H54/D54-1</f>
        <v>1.68139899433067</v>
      </c>
      <c r="I55" s="39" t="n">
        <f aca="false">+I54/E54-1</f>
        <v>2.02456934177704</v>
      </c>
      <c r="J55" s="39" t="n">
        <f aca="false">+J54/F54-1</f>
        <v>1.14264354527938</v>
      </c>
      <c r="K55" s="39" t="n">
        <f aca="false">+K54/G54-1</f>
        <v>0.7302668217338</v>
      </c>
      <c r="L55" s="39" t="n">
        <f aca="false">+L54/H54-1</f>
        <v>0.375756513192411</v>
      </c>
      <c r="M55" s="39" t="n">
        <f aca="false">+M54/I54-1</f>
        <v>0.504355330852991</v>
      </c>
      <c r="N55" s="39" t="n">
        <f aca="false">+N54/J54-1</f>
        <v>0.36380620251588</v>
      </c>
      <c r="O55" s="39" t="n">
        <f aca="false">+O54/K54-1</f>
        <v>0.408892632722681</v>
      </c>
      <c r="P55" s="39" t="n">
        <f aca="false">+P54/L54-1</f>
        <v>0.139567007660262</v>
      </c>
      <c r="Q55" s="39" t="n">
        <f aca="false">+Q54/M54-1</f>
        <v>0.107102315514073</v>
      </c>
      <c r="R55" s="39" t="n">
        <f aca="false">+R54/N54-1</f>
        <v>0.690182657774948</v>
      </c>
      <c r="S55" s="39" t="n">
        <f aca="false">+S54/O54-1</f>
        <v>-0.150283479732493</v>
      </c>
      <c r="T55" s="39" t="n">
        <f aca="false">+T54/P54-1</f>
        <v>-0.29916512965676</v>
      </c>
      <c r="U55" s="39" t="n">
        <f aca="false">+U54/Q54-1</f>
        <v>0.159706639408845</v>
      </c>
      <c r="V55" s="56"/>
      <c r="W55" s="56"/>
      <c r="X55" s="56"/>
      <c r="Y55" s="56"/>
      <c r="AA55" s="39" t="n">
        <f aca="false">+AA54/Z54-1</f>
        <v>-0.963100646352724</v>
      </c>
      <c r="AB55" s="39" t="n">
        <f aca="false">+AB54/AA54-1</f>
        <v>23.3551397665685</v>
      </c>
      <c r="AC55" s="39" t="n">
        <f aca="false">+AC54/AB54-1</f>
        <v>0.851846846846847</v>
      </c>
      <c r="AD55" s="39" t="n">
        <f aca="false">+AD54/AC54-1</f>
        <v>0.171321272988691</v>
      </c>
      <c r="AE55" s="39" t="n">
        <f aca="false">+AE54/AD54-1</f>
        <v>1.70214333388954</v>
      </c>
      <c r="AF55" s="39" t="n">
        <f aca="false">+AF54/AE54-1</f>
        <v>0.543202293717534</v>
      </c>
      <c r="AG55" s="39" t="n">
        <f aca="false">+AG54/AF54-1</f>
        <v>0.404352350914142</v>
      </c>
      <c r="AH55" s="39" t="n">
        <f aca="false">+AH54/AG54-1</f>
        <v>-0.15094836138289</v>
      </c>
      <c r="AI55" s="39" t="n">
        <f aca="false">+AI54/AH54-1</f>
        <v>0.570186353088564</v>
      </c>
      <c r="AJ55" s="39" t="n">
        <f aca="false">+AJ54/AI54-1</f>
        <v>0.364487268412429</v>
      </c>
      <c r="AK55" s="39" t="n">
        <f aca="false">+AK54/AJ54-1</f>
        <v>-0.376478575310963</v>
      </c>
      <c r="AL55" s="39" t="n">
        <f aca="false">+AL54/AK54-1</f>
        <v>0.732053553862095</v>
      </c>
      <c r="AM55" s="39" t="n">
        <f aca="false">+AM54/AL54-1</f>
        <v>0.604118941816618</v>
      </c>
      <c r="AN55" s="39" t="n">
        <f aca="false">+AN54/AM54-1</f>
        <v>-0.0154342806363332</v>
      </c>
      <c r="AO55" s="39" t="n">
        <f aca="false">+AO54/AN54-1</f>
        <v>0.431693710935815</v>
      </c>
      <c r="AP55" s="39" t="n">
        <f aca="false">+AP54/AO54-1</f>
        <v>0.351822361379746</v>
      </c>
      <c r="AQ55" s="39" t="n">
        <f aca="false">+AQ54/AP54-1</f>
        <v>0.203898808353784</v>
      </c>
      <c r="AR55" s="39" t="n">
        <f aca="false">+AR54/AQ54-1</f>
        <v>0.165072456528785</v>
      </c>
      <c r="AS55" s="39" t="n">
        <f aca="false">+AS54/AR54-1</f>
        <v>0.179263994915841</v>
      </c>
      <c r="AT55" s="39" t="n">
        <f aca="false">+AT54/AS54-1</f>
        <v>0.240772800053505</v>
      </c>
      <c r="AU55" s="56"/>
      <c r="AV55" s="39" t="n">
        <f aca="false">+(AT54/AO54)^(1/(AT2-AO2))-1</f>
        <v>0.226402902980472</v>
      </c>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32"/>
      <c r="EO55" s="32"/>
      <c r="EP55" s="32"/>
      <c r="EQ55" s="32"/>
      <c r="ER55" s="32"/>
    </row>
    <row r="56" s="58" customFormat="true" ht="12.8" hidden="false" customHeight="false" outlineLevel="0" collapsed="false">
      <c r="A56" s="3" t="s">
        <v>178</v>
      </c>
      <c r="B56" s="3" t="n">
        <v>2742</v>
      </c>
      <c r="C56" s="3" t="n">
        <v>2713</v>
      </c>
      <c r="D56" s="3" t="n">
        <v>2687</v>
      </c>
      <c r="E56" s="3" t="n">
        <v>2640</v>
      </c>
      <c r="F56" s="3" t="n">
        <v>2596</v>
      </c>
      <c r="G56" s="3" t="n">
        <v>2612</v>
      </c>
      <c r="H56" s="3" t="n">
        <v>2641</v>
      </c>
      <c r="I56" s="3" t="n">
        <v>2630</v>
      </c>
      <c r="J56" s="3" t="n">
        <v>2625</v>
      </c>
      <c r="K56" s="3" t="n">
        <v>2610</v>
      </c>
      <c r="L56" s="3" t="n">
        <v>2600</v>
      </c>
      <c r="M56" s="3" t="n">
        <v>2599</v>
      </c>
      <c r="N56" s="3" t="n">
        <v>2590</v>
      </c>
      <c r="O56" s="3" t="n">
        <v>2570</v>
      </c>
      <c r="P56" s="3" t="n">
        <v>2572</v>
      </c>
      <c r="Q56" s="3" t="n">
        <v>2565</v>
      </c>
      <c r="R56" s="3" t="n">
        <v>2564</v>
      </c>
      <c r="S56" s="3" t="n">
        <v>2566</v>
      </c>
      <c r="T56" s="3" t="n">
        <f aca="false">+P56*0.99</f>
        <v>2546.28</v>
      </c>
      <c r="U56" s="3" t="n">
        <f aca="false">+Q56*0.99</f>
        <v>2539.35</v>
      </c>
      <c r="V56" s="3"/>
      <c r="W56" s="3"/>
      <c r="X56" s="3"/>
      <c r="Y56" s="3"/>
      <c r="Z56" s="3" t="n">
        <v>1508</v>
      </c>
      <c r="AA56" s="3" t="n">
        <v>2166</v>
      </c>
      <c r="AB56" s="3" t="n">
        <v>2517</v>
      </c>
      <c r="AC56" s="3" t="n">
        <v>2664</v>
      </c>
      <c r="AD56" s="3" t="n">
        <v>2853</v>
      </c>
      <c r="AE56" s="3" t="n">
        <v>2925</v>
      </c>
      <c r="AF56" s="3" t="n">
        <v>2956</v>
      </c>
      <c r="AG56" s="3" t="n">
        <v>2921</v>
      </c>
      <c r="AH56" s="3" t="n">
        <v>2876</v>
      </c>
      <c r="AI56" s="3" t="n">
        <v>2888</v>
      </c>
      <c r="AJ56" s="3" t="n">
        <v>2859</v>
      </c>
      <c r="AK56" s="3" t="n">
        <v>2702</v>
      </c>
      <c r="AL56" s="3" t="n">
        <v>2629</v>
      </c>
      <c r="AM56" s="3" t="n">
        <v>2614</v>
      </c>
      <c r="AN56" s="3" t="n">
        <v>2574</v>
      </c>
      <c r="AO56" s="3" t="n">
        <f aca="false">+AN56*0.99</f>
        <v>2548.26</v>
      </c>
      <c r="AP56" s="3" t="n">
        <f aca="false">+AO56*0.99</f>
        <v>2522.7774</v>
      </c>
      <c r="AQ56" s="3" t="n">
        <f aca="false">+AP56*0.99</f>
        <v>2497.549626</v>
      </c>
      <c r="AR56" s="3" t="n">
        <f aca="false">+AQ56*0.99</f>
        <v>2472.57412974</v>
      </c>
      <c r="AS56" s="3" t="n">
        <f aca="false">+AR56*0.99</f>
        <v>2447.8483884426</v>
      </c>
      <c r="AT56" s="3" t="n">
        <f aca="false">+AS56*0.99</f>
        <v>2423.36990455817</v>
      </c>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2"/>
      <c r="EO56" s="32"/>
      <c r="EP56" s="32"/>
      <c r="EQ56" s="32"/>
      <c r="ER56" s="32"/>
    </row>
    <row r="57" s="59" customFormat="true" ht="10.5" hidden="false" customHeight="true" outlineLevel="0" collapsed="false">
      <c r="A57" s="39"/>
      <c r="B57" s="39"/>
      <c r="C57" s="39" t="n">
        <f aca="false">+C56/B56-1</f>
        <v>-0.0105762217359592</v>
      </c>
      <c r="D57" s="39" t="n">
        <f aca="false">+D56/C56-1</f>
        <v>-0.00958348691485444</v>
      </c>
      <c r="E57" s="39" t="n">
        <f aca="false">+E56/D56-1</f>
        <v>-0.0174916263490882</v>
      </c>
      <c r="F57" s="39" t="n">
        <f aca="false">+F56/E56-1</f>
        <v>-0.0166666666666667</v>
      </c>
      <c r="G57" s="39" t="n">
        <f aca="false">+G56/F56-1</f>
        <v>0.00616332819722643</v>
      </c>
      <c r="H57" s="39" t="n">
        <f aca="false">+H56/G56-1</f>
        <v>0.0111026033690658</v>
      </c>
      <c r="I57" s="39" t="n">
        <f aca="false">+I56/H56-1</f>
        <v>-0.00416508898144641</v>
      </c>
      <c r="J57" s="39" t="n">
        <f aca="false">+J56/I56-1</f>
        <v>-0.00190114068441061</v>
      </c>
      <c r="K57" s="39" t="n">
        <f aca="false">+K56/J56-1</f>
        <v>-0.00571428571428567</v>
      </c>
      <c r="L57" s="39" t="n">
        <f aca="false">+L56/K56-1</f>
        <v>-0.00383141762452111</v>
      </c>
      <c r="M57" s="39" t="n">
        <f aca="false">+M56/L56-1</f>
        <v>-0.000384615384615428</v>
      </c>
      <c r="N57" s="39" t="n">
        <f aca="false">+N56/M56-1</f>
        <v>-0.00346287033474413</v>
      </c>
      <c r="O57" s="39" t="n">
        <f aca="false">+O56/N56-1</f>
        <v>-0.00772200772200771</v>
      </c>
      <c r="P57" s="39" t="n">
        <f aca="false">+P56/O56-1</f>
        <v>0.000778210116731515</v>
      </c>
      <c r="Q57" s="39" t="n">
        <f aca="false">+Q56/P56-1</f>
        <v>-0.00272161741835153</v>
      </c>
      <c r="R57" s="39" t="n">
        <f aca="false">+R56/Q56-1</f>
        <v>-0.000389863547758274</v>
      </c>
      <c r="S57" s="39" t="n">
        <f aca="false">+S56/R56-1</f>
        <v>0.000780031201248033</v>
      </c>
      <c r="T57" s="39" t="n">
        <f aca="false">+T56/S56-1</f>
        <v>-0.00768511301636776</v>
      </c>
      <c r="U57" s="39" t="n">
        <f aca="false">+U56/T56-1</f>
        <v>-0.00272161741835164</v>
      </c>
      <c r="V57" s="39"/>
      <c r="W57" s="39"/>
      <c r="X57" s="39"/>
      <c r="Y57" s="39"/>
      <c r="Z57" s="39"/>
      <c r="AA57" s="39" t="n">
        <f aca="false">+AA56/Z56-1</f>
        <v>0.436339522546419</v>
      </c>
      <c r="AB57" s="39" t="n">
        <f aca="false">+AB56/AA56-1</f>
        <v>0.162049861495845</v>
      </c>
      <c r="AC57" s="39" t="n">
        <f aca="false">+AC56/AB56-1</f>
        <v>0.0584028605482718</v>
      </c>
      <c r="AD57" s="39" t="n">
        <f aca="false">+AD56/AC56-1</f>
        <v>0.0709459459459461</v>
      </c>
      <c r="AE57" s="39" t="n">
        <f aca="false">+AE56/AD56-1</f>
        <v>0.025236593059937</v>
      </c>
      <c r="AF57" s="39" t="n">
        <f aca="false">+AF56/AE56-1</f>
        <v>0.0105982905982907</v>
      </c>
      <c r="AG57" s="39" t="n">
        <f aca="false">+AG56/AF56-1</f>
        <v>-0.0118403247631935</v>
      </c>
      <c r="AH57" s="39" t="n">
        <f aca="false">+AH56/AG56-1</f>
        <v>-0.015405682985279</v>
      </c>
      <c r="AI57" s="39" t="n">
        <f aca="false">+AI56/AH56-1</f>
        <v>0.00417246175243391</v>
      </c>
      <c r="AJ57" s="39" t="n">
        <f aca="false">+AJ56/AI56-1</f>
        <v>-0.0100415512465374</v>
      </c>
      <c r="AK57" s="39" t="n">
        <f aca="false">+AK56/AJ56-1</f>
        <v>-0.0549143057012942</v>
      </c>
      <c r="AL57" s="39" t="n">
        <f aca="false">+AL56/AK56-1</f>
        <v>-0.0270170244263509</v>
      </c>
      <c r="AM57" s="39" t="n">
        <f aca="false">+AM56/AL56-1</f>
        <v>-0.00570559147965011</v>
      </c>
      <c r="AN57" s="39" t="n">
        <f aca="false">+AN56/AM56-1</f>
        <v>-0.0153022188217291</v>
      </c>
      <c r="AO57" s="39" t="n">
        <f aca="false">+AO56/AN56-1</f>
        <v>-0.0099999999999999</v>
      </c>
      <c r="AP57" s="39" t="n">
        <f aca="false">+AP56/AO56-1</f>
        <v>-0.0100000000000001</v>
      </c>
      <c r="AQ57" s="39" t="n">
        <f aca="false">+AQ56/AP56-1</f>
        <v>-0.01</v>
      </c>
      <c r="AR57" s="39" t="n">
        <f aca="false">+AR56/AQ56-1</f>
        <v>-0.01</v>
      </c>
      <c r="AS57" s="39" t="n">
        <f aca="false">+AS56/AR56-1</f>
        <v>-0.01</v>
      </c>
      <c r="AT57" s="39" t="n">
        <f aca="false">+AT56/AS56-1</f>
        <v>-0.0100000000000016</v>
      </c>
      <c r="AU57" s="39"/>
      <c r="AV57" s="32"/>
      <c r="AW57" s="39"/>
      <c r="AX57" s="39"/>
      <c r="AY57" s="39"/>
      <c r="AZ57" s="39"/>
      <c r="BA57" s="39"/>
      <c r="BB57" s="39"/>
      <c r="BC57" s="39"/>
      <c r="BD57" s="39"/>
      <c r="BE57" s="39"/>
      <c r="BF57" s="39"/>
      <c r="BG57" s="39"/>
      <c r="BH57" s="39"/>
      <c r="BI57" s="39"/>
      <c r="BJ57" s="39"/>
      <c r="BK57" s="39"/>
      <c r="BL57" s="39"/>
      <c r="BM57" s="39"/>
      <c r="BN57" s="39"/>
      <c r="BO57" s="39"/>
      <c r="BP57" s="39"/>
      <c r="BQ57" s="39"/>
      <c r="BR57" s="39"/>
      <c r="BS57" s="39"/>
      <c r="BT57" s="39"/>
      <c r="BU57" s="39"/>
      <c r="BV57" s="39"/>
      <c r="BW57" s="39"/>
      <c r="BX57" s="39"/>
      <c r="BY57" s="39"/>
      <c r="BZ57" s="39"/>
      <c r="CA57" s="39"/>
      <c r="CB57" s="39"/>
      <c r="CC57" s="39"/>
      <c r="CD57" s="39"/>
      <c r="CE57" s="39"/>
      <c r="CF57" s="39"/>
      <c r="CG57" s="39"/>
      <c r="CH57" s="39"/>
      <c r="CI57" s="39"/>
      <c r="CJ57" s="39"/>
      <c r="CK57" s="39"/>
      <c r="CL57" s="39"/>
      <c r="CM57" s="39"/>
      <c r="CN57" s="39"/>
      <c r="CO57" s="39"/>
      <c r="CP57" s="39"/>
      <c r="CQ57" s="39"/>
      <c r="CR57" s="39"/>
      <c r="CS57" s="39"/>
      <c r="CT57" s="39"/>
      <c r="CU57" s="39"/>
      <c r="CV57" s="39"/>
      <c r="CW57" s="39"/>
      <c r="CX57" s="39"/>
      <c r="CY57" s="39"/>
      <c r="CZ57" s="39"/>
      <c r="DA57" s="39"/>
      <c r="DB57" s="39"/>
      <c r="DC57" s="39"/>
      <c r="DD57" s="39"/>
      <c r="DE57" s="39"/>
      <c r="DF57" s="39"/>
      <c r="DG57" s="39"/>
      <c r="DH57" s="39"/>
      <c r="DI57" s="39"/>
      <c r="DJ57" s="39"/>
      <c r="DK57" s="39"/>
      <c r="DL57" s="39"/>
      <c r="DM57" s="39"/>
      <c r="DN57" s="39"/>
      <c r="DO57" s="39"/>
      <c r="DP57" s="39"/>
      <c r="DQ57" s="39"/>
      <c r="DR57" s="39"/>
      <c r="DS57" s="39"/>
      <c r="DT57" s="39"/>
      <c r="DU57" s="39"/>
      <c r="DV57" s="39"/>
      <c r="DW57" s="39"/>
      <c r="DX57" s="39"/>
      <c r="DY57" s="39"/>
      <c r="DZ57" s="39"/>
      <c r="EA57" s="39"/>
      <c r="EB57" s="39"/>
      <c r="EC57" s="39"/>
      <c r="ED57" s="39"/>
      <c r="EE57" s="39"/>
      <c r="EF57" s="39"/>
      <c r="EG57" s="39"/>
      <c r="EH57" s="39"/>
      <c r="EI57" s="39"/>
      <c r="EJ57" s="39"/>
      <c r="EK57" s="39"/>
      <c r="EL57" s="39"/>
      <c r="EM57" s="39"/>
      <c r="EN57" s="32"/>
      <c r="EO57" s="32"/>
      <c r="EP57" s="32"/>
      <c r="EQ57" s="32"/>
      <c r="ER57" s="32"/>
    </row>
    <row r="58" s="39" customFormat="true" ht="12.8" hidden="false" customHeight="fals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1"/>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2"/>
      <c r="EO58" s="32"/>
      <c r="EP58" s="32"/>
      <c r="EQ58" s="32"/>
      <c r="ER58" s="32"/>
    </row>
    <row r="59" s="58" customFormat="true" ht="12.8" hidden="false" customHeight="true" outlineLevel="0" collapsed="false">
      <c r="A59" s="59" t="s">
        <v>179</v>
      </c>
      <c r="B59" s="59"/>
      <c r="C59" s="59"/>
      <c r="D59" s="59"/>
      <c r="E59" s="59"/>
      <c r="F59" s="59"/>
      <c r="G59" s="59"/>
      <c r="H59" s="59"/>
      <c r="I59" s="59"/>
      <c r="J59" s="59" t="n">
        <v>0.5</v>
      </c>
      <c r="K59" s="59" t="n">
        <v>0.5</v>
      </c>
      <c r="L59" s="59" t="n">
        <v>0.5</v>
      </c>
      <c r="M59" s="59" t="n">
        <v>0.5</v>
      </c>
      <c r="N59" s="59" t="n">
        <v>0.525</v>
      </c>
      <c r="O59" s="59" t="n">
        <v>0.525</v>
      </c>
      <c r="P59" s="59" t="n">
        <v>0.525</v>
      </c>
      <c r="Q59" s="59" t="n">
        <v>0.525</v>
      </c>
      <c r="R59" s="59" t="n">
        <v>0.525</v>
      </c>
      <c r="S59" s="59" t="n">
        <v>0.525</v>
      </c>
      <c r="T59" s="59" t="n">
        <v>0.525</v>
      </c>
      <c r="U59" s="59"/>
      <c r="V59" s="59"/>
      <c r="W59" s="59"/>
      <c r="X59" s="59"/>
      <c r="Y59" s="59"/>
      <c r="Z59" s="59"/>
      <c r="AA59" s="59"/>
      <c r="AB59" s="59"/>
      <c r="AC59" s="59"/>
      <c r="AD59" s="59"/>
      <c r="AE59" s="59"/>
      <c r="AF59" s="59"/>
      <c r="AG59" s="59"/>
      <c r="AH59" s="59"/>
      <c r="AI59" s="59"/>
      <c r="AJ59" s="59"/>
      <c r="AK59" s="59"/>
      <c r="AL59" s="59"/>
      <c r="AM59" s="59" t="n">
        <f aca="false">+SUM(J59:M59)</f>
        <v>2</v>
      </c>
      <c r="AN59" s="59" t="n">
        <f aca="false">+SUM(N59:Q59)</f>
        <v>2.1</v>
      </c>
      <c r="AO59" s="59" t="n">
        <f aca="false">+SUM(O59:R59)</f>
        <v>2.1</v>
      </c>
      <c r="AP59" s="59"/>
      <c r="AQ59" s="59"/>
      <c r="AR59" s="59"/>
      <c r="AS59" s="59"/>
      <c r="AT59" s="59"/>
      <c r="AU59" s="59"/>
      <c r="AV59" s="59"/>
      <c r="AW59" s="59"/>
      <c r="AX59" s="59"/>
      <c r="AY59" s="59"/>
      <c r="AZ59" s="59"/>
      <c r="BA59" s="59"/>
      <c r="BB59" s="59"/>
      <c r="BC59" s="59"/>
      <c r="BD59" s="59"/>
      <c r="BE59" s="59"/>
      <c r="BF59" s="59"/>
      <c r="BG59" s="59"/>
      <c r="BH59" s="59"/>
      <c r="BI59" s="59"/>
      <c r="BJ59" s="59"/>
      <c r="BK59" s="59"/>
      <c r="BL59" s="59"/>
      <c r="BM59" s="59"/>
      <c r="BN59" s="59"/>
      <c r="BO59" s="59"/>
      <c r="BP59" s="59"/>
      <c r="BQ59" s="59"/>
      <c r="BR59" s="59"/>
      <c r="BS59" s="59"/>
      <c r="BT59" s="59"/>
      <c r="BU59" s="59"/>
      <c r="BV59" s="59"/>
      <c r="BW59" s="59"/>
      <c r="BX59" s="59"/>
      <c r="BY59" s="59"/>
      <c r="BZ59" s="59"/>
      <c r="CA59" s="59"/>
      <c r="CB59" s="59"/>
      <c r="CC59" s="59"/>
      <c r="CD59" s="59"/>
      <c r="CE59" s="59"/>
      <c r="CF59" s="59"/>
      <c r="CG59" s="59"/>
      <c r="CH59" s="59"/>
      <c r="CI59" s="59"/>
      <c r="CJ59" s="59"/>
      <c r="CK59" s="59"/>
      <c r="CL59" s="59"/>
      <c r="CM59" s="59"/>
      <c r="CN59" s="59"/>
      <c r="CO59" s="59"/>
      <c r="CP59" s="59"/>
      <c r="CQ59" s="59"/>
      <c r="CR59" s="59"/>
      <c r="CS59" s="59"/>
      <c r="CT59" s="59"/>
      <c r="CU59" s="59"/>
      <c r="CV59" s="59"/>
      <c r="CW59" s="59"/>
      <c r="CX59" s="59"/>
      <c r="CY59" s="59"/>
      <c r="CZ59" s="59"/>
      <c r="DA59" s="59"/>
      <c r="DB59" s="59"/>
      <c r="DC59" s="59"/>
      <c r="DD59" s="59"/>
      <c r="DE59" s="59"/>
      <c r="DF59" s="59"/>
      <c r="DG59" s="59"/>
      <c r="DH59" s="59"/>
      <c r="DI59" s="59"/>
      <c r="DJ59" s="59"/>
      <c r="DK59" s="59"/>
      <c r="DL59" s="59"/>
      <c r="DM59" s="59"/>
      <c r="DN59" s="59"/>
      <c r="DO59" s="59"/>
      <c r="DP59" s="59"/>
      <c r="DQ59" s="59"/>
      <c r="DR59" s="59"/>
      <c r="DS59" s="59"/>
      <c r="DT59" s="59"/>
      <c r="DU59" s="59"/>
      <c r="DV59" s="59"/>
      <c r="DW59" s="59"/>
      <c r="DX59" s="59"/>
      <c r="DY59" s="59"/>
      <c r="DZ59" s="59"/>
      <c r="EA59" s="59"/>
      <c r="EB59" s="59"/>
      <c r="EC59" s="59"/>
      <c r="ED59" s="59"/>
      <c r="EE59" s="59"/>
      <c r="EF59" s="59"/>
      <c r="EG59" s="59"/>
      <c r="EH59" s="59"/>
      <c r="EI59" s="59"/>
      <c r="EJ59" s="59"/>
      <c r="EK59" s="59"/>
      <c r="EL59" s="59"/>
      <c r="EM59" s="59"/>
      <c r="EN59" s="32"/>
      <c r="EO59" s="32"/>
      <c r="EP59" s="32"/>
      <c r="EQ59" s="32"/>
      <c r="ER59" s="32"/>
    </row>
    <row r="60" customFormat="false" ht="10.5" hidden="false" customHeight="true" outlineLevel="0" collapsed="false">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t="n">
        <f aca="false">+AN59/AM59-1</f>
        <v>0.05</v>
      </c>
      <c r="AO60" s="39" t="n">
        <f aca="false">+AO59/AN59-1</f>
        <v>0</v>
      </c>
      <c r="AP60" s="39"/>
      <c r="AQ60" s="39"/>
      <c r="AR60" s="39"/>
      <c r="AS60" s="39"/>
      <c r="AT60" s="39"/>
      <c r="AU60" s="39"/>
      <c r="AV60" s="39"/>
      <c r="AW60" s="39"/>
      <c r="AX60" s="39"/>
      <c r="AY60" s="39"/>
      <c r="AZ60" s="39"/>
      <c r="BA60" s="39"/>
      <c r="BB60" s="39"/>
      <c r="BC60" s="39"/>
      <c r="BD60" s="39"/>
      <c r="BE60" s="39"/>
      <c r="BF60" s="39"/>
      <c r="BG60" s="39"/>
      <c r="BH60" s="39"/>
      <c r="BI60" s="39"/>
      <c r="BJ60" s="39"/>
      <c r="BK60" s="39"/>
      <c r="BL60" s="39"/>
      <c r="BM60" s="39"/>
      <c r="BN60" s="39"/>
      <c r="BO60" s="39"/>
      <c r="BP60" s="39"/>
      <c r="BQ60" s="39"/>
      <c r="BR60" s="39"/>
      <c r="BS60" s="39"/>
      <c r="BT60" s="39"/>
      <c r="BU60" s="39"/>
      <c r="BV60" s="39"/>
      <c r="BW60" s="39"/>
      <c r="BX60" s="39"/>
      <c r="BY60" s="39"/>
      <c r="BZ60" s="39"/>
      <c r="CA60" s="39"/>
      <c r="CB60" s="39"/>
      <c r="CC60" s="39"/>
      <c r="CD60" s="39"/>
      <c r="CE60" s="39"/>
      <c r="CF60" s="39"/>
      <c r="CG60" s="39"/>
      <c r="CH60" s="39"/>
      <c r="CI60" s="39"/>
      <c r="CJ60" s="39"/>
      <c r="CK60" s="39"/>
      <c r="CL60" s="39"/>
      <c r="CM60" s="39"/>
      <c r="CN60" s="39"/>
      <c r="CO60" s="39"/>
      <c r="CP60" s="39"/>
      <c r="CQ60" s="39"/>
      <c r="CR60" s="39"/>
      <c r="CS60" s="39"/>
      <c r="CT60" s="39"/>
      <c r="CU60" s="39"/>
      <c r="CV60" s="39"/>
      <c r="CW60" s="39"/>
      <c r="CX60" s="39"/>
      <c r="CY60" s="39"/>
      <c r="CZ60" s="39"/>
      <c r="DA60" s="39"/>
      <c r="DB60" s="39"/>
      <c r="DC60" s="39"/>
      <c r="DD60" s="39"/>
      <c r="DE60" s="39"/>
      <c r="DF60" s="39"/>
      <c r="DG60" s="39"/>
      <c r="DH60" s="39"/>
      <c r="DI60" s="39"/>
      <c r="DJ60" s="39"/>
      <c r="DK60" s="39"/>
      <c r="DL60" s="39"/>
      <c r="DM60" s="39"/>
      <c r="DN60" s="39"/>
      <c r="DO60" s="39"/>
      <c r="DP60" s="39"/>
      <c r="DQ60" s="39"/>
      <c r="DR60" s="39"/>
      <c r="DS60" s="39"/>
      <c r="DT60" s="39"/>
      <c r="DU60" s="39"/>
      <c r="DV60" s="39"/>
      <c r="DW60" s="39"/>
      <c r="DX60" s="39"/>
      <c r="DY60" s="39"/>
      <c r="DZ60" s="39"/>
      <c r="EA60" s="39"/>
      <c r="EB60" s="39"/>
      <c r="EC60" s="39"/>
      <c r="ED60" s="39"/>
      <c r="EE60" s="39"/>
      <c r="EF60" s="39"/>
      <c r="EG60" s="39"/>
      <c r="EH60" s="39"/>
      <c r="EI60" s="39"/>
      <c r="EJ60" s="39"/>
      <c r="EK60" s="39"/>
      <c r="EL60" s="39"/>
      <c r="EM60" s="39"/>
    </row>
    <row r="62" s="60" customFormat="true" ht="12.8" hidden="false" customHeight="false" outlineLevel="0" collapsed="false">
      <c r="A62" s="58" t="s">
        <v>180</v>
      </c>
      <c r="B62" s="58"/>
      <c r="C62" s="58"/>
      <c r="D62" s="58"/>
      <c r="E62" s="58"/>
      <c r="F62" s="58"/>
      <c r="G62" s="58"/>
      <c r="H62" s="58"/>
      <c r="I62" s="58" t="n">
        <v>0.21</v>
      </c>
      <c r="J62" s="58" t="n">
        <v>0.2</v>
      </c>
      <c r="K62" s="58" t="n">
        <v>0.1</v>
      </c>
      <c r="L62" s="58" t="n">
        <v>0.07</v>
      </c>
      <c r="M62" s="58" t="n">
        <v>0.06</v>
      </c>
      <c r="N62" s="58" t="n">
        <v>0.05</v>
      </c>
      <c r="O62" s="58" t="n">
        <v>0.11</v>
      </c>
      <c r="P62" s="58" t="n">
        <v>0.14</v>
      </c>
      <c r="Q62" s="58" t="n">
        <v>0.18</v>
      </c>
      <c r="R62" s="58" t="n">
        <v>0.19</v>
      </c>
      <c r="S62" s="58" t="n">
        <v>0.14</v>
      </c>
      <c r="T62" s="58"/>
      <c r="U62" s="58"/>
      <c r="V62" s="58"/>
      <c r="W62" s="58"/>
      <c r="X62" s="58"/>
      <c r="Y62" s="58"/>
      <c r="Z62" s="58"/>
      <c r="AA62" s="58"/>
      <c r="AB62" s="58"/>
      <c r="AC62" s="58"/>
      <c r="AD62" s="58"/>
      <c r="AE62" s="58" t="n">
        <v>0.5</v>
      </c>
      <c r="AF62" s="58" t="n">
        <v>0.33</v>
      </c>
      <c r="AG62" s="58" t="n">
        <v>0.33</v>
      </c>
      <c r="AH62" s="58" t="n">
        <v>0.33</v>
      </c>
      <c r="AI62" s="58" t="n">
        <v>0.34</v>
      </c>
      <c r="AJ62" s="58" t="n">
        <v>0.1</v>
      </c>
      <c r="AK62" s="58" t="n">
        <v>0.18</v>
      </c>
      <c r="AL62" s="58" t="n">
        <v>0.28</v>
      </c>
      <c r="AM62" s="58" t="n">
        <v>0.11</v>
      </c>
      <c r="AN62" s="58" t="n">
        <v>0.12</v>
      </c>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c r="BR62" s="58"/>
      <c r="BS62" s="58"/>
      <c r="BT62" s="58"/>
      <c r="BU62" s="58"/>
      <c r="BV62" s="58"/>
      <c r="BW62" s="58"/>
      <c r="BX62" s="58"/>
      <c r="BY62" s="58"/>
      <c r="BZ62" s="58"/>
      <c r="CA62" s="58"/>
      <c r="CB62" s="58"/>
      <c r="CC62" s="58"/>
      <c r="CD62" s="58"/>
      <c r="CE62" s="58"/>
      <c r="CF62" s="58"/>
      <c r="CG62" s="58"/>
      <c r="CH62" s="58"/>
      <c r="CI62" s="58"/>
      <c r="CJ62" s="58"/>
      <c r="CK62" s="58"/>
      <c r="CL62" s="58"/>
      <c r="CM62" s="58"/>
      <c r="CN62" s="58"/>
      <c r="CO62" s="58"/>
      <c r="CP62" s="58"/>
      <c r="CQ62" s="58"/>
      <c r="CR62" s="58"/>
      <c r="CS62" s="58"/>
      <c r="CT62" s="58"/>
      <c r="CU62" s="58"/>
      <c r="CV62" s="58"/>
      <c r="CW62" s="58"/>
      <c r="CX62" s="58"/>
      <c r="CY62" s="58"/>
      <c r="CZ62" s="58"/>
      <c r="DA62" s="58"/>
      <c r="DB62" s="58"/>
      <c r="DC62" s="58"/>
      <c r="DD62" s="58"/>
      <c r="DE62" s="58"/>
      <c r="DF62" s="58"/>
      <c r="DG62" s="58"/>
      <c r="DH62" s="58"/>
      <c r="DI62" s="58"/>
      <c r="DJ62" s="58"/>
      <c r="DK62" s="58"/>
      <c r="DL62" s="58"/>
      <c r="DM62" s="58"/>
      <c r="DN62" s="58"/>
      <c r="DO62" s="58"/>
      <c r="DP62" s="58"/>
      <c r="DQ62" s="58"/>
      <c r="DR62" s="58"/>
      <c r="DS62" s="58"/>
      <c r="DT62" s="58"/>
      <c r="DU62" s="58"/>
      <c r="DV62" s="58"/>
      <c r="DW62" s="58"/>
      <c r="DX62" s="58"/>
      <c r="DY62" s="58"/>
      <c r="DZ62" s="58"/>
      <c r="EA62" s="58"/>
      <c r="EB62" s="58"/>
      <c r="EC62" s="58"/>
      <c r="ED62" s="58"/>
      <c r="EE62" s="58"/>
      <c r="EF62" s="58"/>
      <c r="EG62" s="58"/>
      <c r="EH62" s="58"/>
      <c r="EI62" s="58"/>
      <c r="EJ62" s="58"/>
      <c r="EK62" s="58"/>
      <c r="EL62" s="58"/>
      <c r="EM62" s="58"/>
      <c r="EN62" s="32"/>
      <c r="EO62" s="32"/>
      <c r="EP62" s="32"/>
      <c r="EQ62" s="32"/>
      <c r="ER62" s="32"/>
    </row>
    <row r="63" s="61" customFormat="true" ht="12.8" hidden="false" customHeight="false" outlineLevel="0" collapsed="false">
      <c r="A63" s="58" t="s">
        <v>181</v>
      </c>
      <c r="B63" s="58"/>
      <c r="C63" s="58"/>
      <c r="D63" s="58"/>
      <c r="E63" s="58"/>
      <c r="F63" s="58"/>
      <c r="G63" s="58"/>
      <c r="H63" s="58"/>
      <c r="I63" s="58" t="n">
        <v>0.02</v>
      </c>
      <c r="J63" s="58" t="n">
        <v>0.06</v>
      </c>
      <c r="K63" s="58" t="n">
        <v>0.1</v>
      </c>
      <c r="L63" s="58" t="n">
        <v>0.11</v>
      </c>
      <c r="M63" s="58" t="n">
        <v>0.14</v>
      </c>
      <c r="N63" s="58" t="n">
        <v>0.1</v>
      </c>
      <c r="O63" s="58" t="n">
        <v>0.09</v>
      </c>
      <c r="P63" s="58" t="n">
        <v>0.1</v>
      </c>
      <c r="Q63" s="58" t="n">
        <v>0.06</v>
      </c>
      <c r="R63" s="58" t="n">
        <v>0.12</v>
      </c>
      <c r="S63" s="58" t="n">
        <v>0.12</v>
      </c>
      <c r="T63" s="58"/>
      <c r="U63" s="58"/>
      <c r="V63" s="58"/>
      <c r="W63" s="58"/>
      <c r="X63" s="58"/>
      <c r="Y63" s="58"/>
      <c r="Z63" s="58"/>
      <c r="AA63" s="58"/>
      <c r="AB63" s="58"/>
      <c r="AC63" s="58"/>
      <c r="AD63" s="58"/>
      <c r="AE63" s="58" t="n">
        <v>0.05</v>
      </c>
      <c r="AF63" s="58" t="n">
        <v>0.14</v>
      </c>
      <c r="AG63" s="58" t="n">
        <v>0.13</v>
      </c>
      <c r="AH63" s="58" t="n">
        <v>0.05</v>
      </c>
      <c r="AI63" s="58" t="n">
        <v>-0.05</v>
      </c>
      <c r="AJ63" s="58" t="n">
        <v>0.24</v>
      </c>
      <c r="AK63" s="58" t="n">
        <v>-0.16</v>
      </c>
      <c r="AL63" s="58" t="n">
        <v>-0.09</v>
      </c>
      <c r="AM63" s="58" t="n">
        <v>0.1</v>
      </c>
      <c r="AN63" s="58" t="n">
        <v>0.09</v>
      </c>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c r="BR63" s="58"/>
      <c r="BS63" s="58"/>
      <c r="BT63" s="58"/>
      <c r="BU63" s="58"/>
      <c r="BV63" s="58"/>
      <c r="BW63" s="58"/>
      <c r="BX63" s="58"/>
      <c r="BY63" s="58"/>
      <c r="BZ63" s="58"/>
      <c r="CA63" s="58"/>
      <c r="CB63" s="58"/>
      <c r="CC63" s="58"/>
      <c r="CD63" s="58"/>
      <c r="CE63" s="58"/>
      <c r="CF63" s="58"/>
      <c r="CG63" s="58"/>
      <c r="CH63" s="58"/>
      <c r="CI63" s="58"/>
      <c r="CJ63" s="58"/>
      <c r="CK63" s="58"/>
      <c r="CL63" s="58"/>
      <c r="CM63" s="58"/>
      <c r="CN63" s="58"/>
      <c r="CO63" s="58"/>
      <c r="CP63" s="58"/>
      <c r="CQ63" s="58"/>
      <c r="CR63" s="58"/>
      <c r="CS63" s="58"/>
      <c r="CT63" s="58"/>
      <c r="CU63" s="58"/>
      <c r="CV63" s="58"/>
      <c r="CW63" s="58"/>
      <c r="CX63" s="58"/>
      <c r="CY63" s="58"/>
      <c r="CZ63" s="58"/>
      <c r="DA63" s="58"/>
      <c r="DB63" s="58"/>
      <c r="DC63" s="58"/>
      <c r="DD63" s="58"/>
      <c r="DE63" s="58"/>
      <c r="DF63" s="58"/>
      <c r="DG63" s="58"/>
      <c r="DH63" s="58"/>
      <c r="DI63" s="58"/>
      <c r="DJ63" s="58"/>
      <c r="DK63" s="58"/>
      <c r="DL63" s="58"/>
      <c r="DM63" s="58"/>
      <c r="DN63" s="58"/>
      <c r="DO63" s="58"/>
      <c r="DP63" s="58"/>
      <c r="DQ63" s="58"/>
      <c r="DR63" s="58"/>
      <c r="DS63" s="58"/>
      <c r="DT63" s="58"/>
      <c r="DU63" s="58"/>
      <c r="DV63" s="58"/>
      <c r="DW63" s="58"/>
      <c r="DX63" s="58"/>
      <c r="DY63" s="58"/>
      <c r="DZ63" s="58"/>
      <c r="EA63" s="58"/>
      <c r="EB63" s="58"/>
      <c r="EC63" s="58"/>
      <c r="ED63" s="58"/>
      <c r="EE63" s="58"/>
      <c r="EF63" s="58"/>
      <c r="EG63" s="58"/>
      <c r="EH63" s="58"/>
      <c r="EI63" s="58"/>
      <c r="EJ63" s="58"/>
      <c r="EK63" s="58"/>
      <c r="EL63" s="58"/>
      <c r="EM63" s="58"/>
      <c r="EN63" s="32"/>
      <c r="EO63" s="32"/>
      <c r="EP63" s="32"/>
      <c r="EQ63" s="32"/>
      <c r="ER63" s="32"/>
    </row>
    <row r="64" s="61" customFormat="true" ht="12.8" hidden="false" customHeight="false" outlineLevel="0" collapsed="false">
      <c r="A64" s="3" t="s">
        <v>182</v>
      </c>
      <c r="B64" s="3"/>
      <c r="C64" s="3"/>
      <c r="D64" s="3"/>
      <c r="E64" s="3"/>
      <c r="F64" s="3"/>
      <c r="G64" s="3"/>
      <c r="H64" s="3"/>
      <c r="I64" s="3"/>
      <c r="J64" s="3"/>
      <c r="K64" s="3"/>
      <c r="L64" s="3"/>
      <c r="M64" s="3"/>
      <c r="N64" s="3"/>
      <c r="O64" s="3"/>
      <c r="P64" s="3"/>
      <c r="Q64" s="3"/>
      <c r="R64" s="3"/>
      <c r="S64" s="3" t="n">
        <v>349310</v>
      </c>
      <c r="T64" s="3"/>
      <c r="U64" s="3"/>
      <c r="V64" s="3"/>
      <c r="W64" s="3"/>
      <c r="X64" s="3"/>
      <c r="Y64" s="3"/>
      <c r="Z64" s="3"/>
      <c r="AA64" s="3"/>
      <c r="AB64" s="3"/>
      <c r="AC64" s="3"/>
      <c r="AD64" s="3"/>
      <c r="AE64" s="3"/>
      <c r="AF64" s="3"/>
      <c r="AG64" s="3"/>
      <c r="AH64" s="3"/>
      <c r="AI64" s="3"/>
      <c r="AJ64" s="3"/>
      <c r="AK64" s="3"/>
      <c r="AL64" s="3"/>
      <c r="AM64" s="3"/>
      <c r="AN64" s="3" t="n">
        <v>131050</v>
      </c>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2"/>
      <c r="EO64" s="32"/>
      <c r="EP64" s="32"/>
      <c r="EQ64" s="32"/>
      <c r="ER64" s="32"/>
    </row>
    <row r="65" s="61" customFormat="true" ht="12.8" hidden="false" customHeight="fals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1"/>
      <c r="AS65" s="3"/>
      <c r="AT65" s="3"/>
      <c r="AU65" s="3"/>
      <c r="AV65" s="3"/>
      <c r="AW65" s="3"/>
      <c r="AX65" s="3"/>
      <c r="AY65" s="32"/>
      <c r="AZ65" s="32"/>
      <c r="BA65" s="62" t="s">
        <v>183</v>
      </c>
      <c r="BB65" s="62"/>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2"/>
      <c r="EO65" s="32"/>
      <c r="EP65" s="32"/>
      <c r="EQ65" s="32"/>
      <c r="ER65" s="32"/>
    </row>
    <row r="66" s="65" customFormat="true" ht="12.8" hidden="false" customHeight="false" outlineLevel="0" collapsed="false">
      <c r="A66" s="61" t="s">
        <v>184</v>
      </c>
      <c r="B66" s="61" t="n">
        <f aca="false">B34/B30</f>
        <v>0.784828722946825</v>
      </c>
      <c r="C66" s="61" t="n">
        <f aca="false">C34/C30</f>
        <v>0.819859829297065</v>
      </c>
      <c r="D66" s="61" t="n">
        <f aca="false">D34/D30</f>
        <v>0.793750451035578</v>
      </c>
      <c r="E66" s="61" t="n">
        <f aca="false">E34/E30</f>
        <v>0.740836312762319</v>
      </c>
      <c r="F66" s="61" t="n">
        <f aca="false">F34/F30</f>
        <v>0.786769069645662</v>
      </c>
      <c r="G66" s="61" t="n">
        <f aca="false">G34/G30</f>
        <v>0.814212944154505</v>
      </c>
      <c r="H66" s="61" t="n">
        <f aca="false">H34/H30</f>
        <v>0.818133895624671</v>
      </c>
      <c r="I66" s="61" t="n">
        <f aca="false">I34/I30</f>
        <v>0.808157363316796</v>
      </c>
      <c r="J66" s="61" t="n">
        <f aca="false">J34/J30</f>
        <v>0.817857632697847</v>
      </c>
      <c r="K66" s="61" t="n">
        <f aca="false">K34/K30</f>
        <v>0.812955900795987</v>
      </c>
      <c r="L66" s="61" t="n">
        <f aca="false">L34/L30</f>
        <v>0.818300524772722</v>
      </c>
      <c r="M66" s="61" t="n">
        <f aca="false">M34/M30</f>
        <v>0.817319417174744</v>
      </c>
      <c r="N66" s="61" t="n">
        <f aca="false">N34/N30</f>
        <v>0.82105213404547</v>
      </c>
      <c r="O66" s="61" t="n">
        <f aca="false">O34/O30</f>
        <v>0.821302298173247</v>
      </c>
      <c r="P66" s="61" t="n">
        <f aca="false">P34/P30</f>
        <v>0.820342687639046</v>
      </c>
      <c r="Q66" s="61" t="n">
        <f aca="false">Q34/Q30</f>
        <v>0.817925300118545</v>
      </c>
      <c r="R66" s="61" t="n">
        <f aca="false">R34/R30</f>
        <v>0.818543446218323</v>
      </c>
      <c r="S66" s="61" t="n">
        <f aca="false">S34/S30</f>
        <v>0.813654380684528</v>
      </c>
      <c r="T66" s="61" t="n">
        <f aca="false">T34/T30</f>
        <v>0.819</v>
      </c>
      <c r="U66" s="61" t="n">
        <f aca="false">U34/U30</f>
        <v>0.819</v>
      </c>
      <c r="V66" s="61"/>
      <c r="W66" s="61"/>
      <c r="X66" s="61"/>
      <c r="Y66" s="61"/>
      <c r="Z66" s="61" t="n">
        <f aca="false">Z34/Z30</f>
        <v>0.768256534626785</v>
      </c>
      <c r="AA66" s="61" t="n">
        <f aca="false">AA34/AA30</f>
        <v>0.731970917665553</v>
      </c>
      <c r="AB66" s="61" t="n">
        <f aca="false">AB34/AB30</f>
        <v>0.761814024390244</v>
      </c>
      <c r="AC66" s="61" t="n">
        <f aca="false">AC34/AC30</f>
        <v>0.827290229424033</v>
      </c>
      <c r="AD66" s="61" t="n">
        <f aca="false">AD34/AD30</f>
        <v>0.84008255243195</v>
      </c>
      <c r="AE66" s="61" t="n">
        <f aca="false">AE34/AE30</f>
        <v>0.862906143715175</v>
      </c>
      <c r="AF66" s="61" t="n">
        <f aca="false">AF34/AF30</f>
        <v>0.86584015939783</v>
      </c>
      <c r="AG66" s="61" t="n">
        <f aca="false">AG34/AG30</f>
        <v>0.832461764389842</v>
      </c>
      <c r="AH66" s="61" t="n">
        <f aca="false">AH34/AH30</f>
        <v>0.819369987411064</v>
      </c>
      <c r="AI66" s="61" t="n">
        <f aca="false">AI34/AI30</f>
        <v>0.805827953236782</v>
      </c>
      <c r="AJ66" s="61" t="n">
        <f aca="false">AJ34/AJ30</f>
        <v>0.807943762772516</v>
      </c>
      <c r="AK66" s="61" t="n">
        <f aca="false">AK34/AK30</f>
        <v>0.783472973784185</v>
      </c>
      <c r="AL66" s="61" t="n">
        <f aca="false">AL34/AL30</f>
        <v>0.80757142221761</v>
      </c>
      <c r="AM66" s="61" t="n">
        <f aca="false">AM34/AM30</f>
        <v>0.81665157050717</v>
      </c>
      <c r="AN66" s="61" t="n">
        <f aca="false">AN34/AN30</f>
        <v>0.819994426917986</v>
      </c>
      <c r="AO66" s="61" t="n">
        <f aca="false">AO34/AO30</f>
        <v>0.82</v>
      </c>
      <c r="AP66" s="61" t="n">
        <f aca="false">AP34/AP30</f>
        <v>0.82</v>
      </c>
      <c r="AQ66" s="61" t="n">
        <f aca="false">AQ34/AQ30</f>
        <v>0.83</v>
      </c>
      <c r="AR66" s="61" t="n">
        <f aca="false">AR34/AR30</f>
        <v>0.83</v>
      </c>
      <c r="AS66" s="61" t="n">
        <f aca="false">AS34/AS30</f>
        <v>0.84</v>
      </c>
      <c r="AT66" s="61" t="n">
        <f aca="false">AT34/AT30</f>
        <v>0.84</v>
      </c>
      <c r="AU66" s="60"/>
      <c r="AV66" s="63" t="s">
        <v>185</v>
      </c>
      <c r="AW66" s="64" t="n">
        <v>0.02</v>
      </c>
      <c r="AX66" s="60"/>
      <c r="AY66" s="32"/>
      <c r="AZ66" s="32"/>
      <c r="BA66" s="61" t="s">
        <v>186</v>
      </c>
      <c r="BB66" s="61" t="n">
        <f aca="false">+(1-BB67)*AN80</f>
        <v>0.225370099263172</v>
      </c>
      <c r="BC66" s="61"/>
      <c r="BD66" s="65" t="s">
        <v>14</v>
      </c>
      <c r="BE66" s="66" t="n">
        <f aca="false">+BB68</f>
        <v>1945094.42244225</v>
      </c>
      <c r="BF66" s="61"/>
      <c r="BG66" s="61"/>
      <c r="BH66" s="61"/>
      <c r="BI66" s="61"/>
      <c r="BJ66" s="61"/>
      <c r="BK66" s="61"/>
      <c r="BL66" s="61"/>
      <c r="BM66" s="61"/>
      <c r="BN66" s="61"/>
      <c r="BO66" s="61"/>
      <c r="BP66" s="61"/>
      <c r="BQ66" s="61"/>
      <c r="BR66" s="61"/>
      <c r="BS66" s="61"/>
      <c r="BT66" s="61"/>
      <c r="BU66" s="61"/>
      <c r="BV66" s="61"/>
      <c r="BW66" s="61"/>
      <c r="BX66" s="61"/>
      <c r="BY66" s="61"/>
      <c r="BZ66" s="61"/>
      <c r="CA66" s="61"/>
      <c r="CB66" s="61"/>
      <c r="CC66" s="61"/>
      <c r="CD66" s="61"/>
      <c r="CE66" s="61"/>
      <c r="CF66" s="61"/>
      <c r="CG66" s="61"/>
      <c r="CH66" s="61"/>
      <c r="CI66" s="61"/>
      <c r="CJ66" s="61"/>
      <c r="CK66" s="61"/>
      <c r="CL66" s="61"/>
      <c r="CM66" s="61"/>
      <c r="CN66" s="61"/>
      <c r="CO66" s="61"/>
      <c r="CP66" s="61"/>
      <c r="CQ66" s="61"/>
      <c r="CR66" s="61"/>
      <c r="CS66" s="61"/>
      <c r="CT66" s="61"/>
      <c r="CU66" s="61"/>
      <c r="CV66" s="61"/>
      <c r="CW66" s="61"/>
      <c r="CX66" s="61"/>
      <c r="CY66" s="61"/>
      <c r="CZ66" s="61"/>
      <c r="DA66" s="61"/>
      <c r="DB66" s="61"/>
      <c r="DC66" s="61"/>
      <c r="DD66" s="61"/>
      <c r="DE66" s="61"/>
      <c r="DF66" s="61"/>
      <c r="DG66" s="61"/>
      <c r="DH66" s="61"/>
      <c r="DI66" s="61"/>
      <c r="DJ66" s="61"/>
      <c r="DK66" s="61"/>
      <c r="DL66" s="61"/>
      <c r="DM66" s="61"/>
      <c r="DN66" s="61"/>
      <c r="DO66" s="61"/>
      <c r="DP66" s="61"/>
      <c r="DQ66" s="61"/>
      <c r="DR66" s="61"/>
      <c r="DS66" s="61"/>
      <c r="DT66" s="61"/>
      <c r="DU66" s="61"/>
      <c r="DV66" s="61"/>
      <c r="DW66" s="61"/>
      <c r="DX66" s="61"/>
      <c r="DY66" s="61"/>
      <c r="DZ66" s="61"/>
      <c r="EA66" s="61"/>
      <c r="EB66" s="61"/>
      <c r="EC66" s="61"/>
      <c r="ED66" s="61"/>
      <c r="EE66" s="61"/>
      <c r="EF66" s="61"/>
      <c r="EG66" s="61"/>
      <c r="EH66" s="61"/>
      <c r="EI66" s="61"/>
      <c r="EJ66" s="61"/>
      <c r="EK66" s="61"/>
      <c r="EL66" s="61"/>
      <c r="EM66" s="61"/>
      <c r="EN66" s="32"/>
      <c r="EO66" s="32"/>
      <c r="EP66" s="32"/>
      <c r="EQ66" s="32"/>
      <c r="ER66" s="32"/>
    </row>
    <row r="67" s="61" customFormat="true" ht="12.8" hidden="false" customHeight="false" outlineLevel="0" collapsed="false">
      <c r="A67" s="61" t="s">
        <v>187</v>
      </c>
      <c r="B67" s="61" t="n">
        <f aca="false">B44/B30</f>
        <v>0.305432134155081</v>
      </c>
      <c r="C67" s="61" t="n">
        <f aca="false">C44/C30</f>
        <v>0.289986815626952</v>
      </c>
      <c r="D67" s="61" t="n">
        <f aca="false">D44/D30</f>
        <v>0.204373240961247</v>
      </c>
      <c r="E67" s="61" t="n">
        <f aca="false">E44/E30</f>
        <v>0.198942950411938</v>
      </c>
      <c r="F67" s="61" t="n">
        <f aca="false">F44/F30</f>
        <v>0.252295339500786</v>
      </c>
      <c r="G67" s="61" t="n">
        <f aca="false">G44/G30</f>
        <v>0.29350917216163</v>
      </c>
      <c r="H67" s="61" t="n">
        <f aca="false">H44/H30</f>
        <v>0.402624026240262</v>
      </c>
      <c r="I67" s="61" t="n">
        <f aca="false">I44/I30</f>
        <v>0.408466505447384</v>
      </c>
      <c r="J67" s="61" t="n">
        <f aca="false">J44/J30</f>
        <v>0.379042655328487</v>
      </c>
      <c r="K67" s="61" t="n">
        <f aca="false">K44/K30</f>
        <v>0.380000511888613</v>
      </c>
      <c r="L67" s="61" t="n">
        <f aca="false">L44/L30</f>
        <v>0.427455714602479</v>
      </c>
      <c r="M67" s="61" t="n">
        <f aca="false">M44/M30</f>
        <v>0.482897592228997</v>
      </c>
      <c r="N67" s="61" t="n">
        <f aca="false">N44/N30</f>
        <v>0.414874509618566</v>
      </c>
      <c r="O67" s="61" t="n">
        <f aca="false">O44/O30</f>
        <v>0.430191935348093</v>
      </c>
      <c r="P67" s="61" t="n">
        <f aca="false">P44/P30</f>
        <v>0.400745482221615</v>
      </c>
      <c r="Q67" s="61" t="n">
        <f aca="false">Q44/Q30</f>
        <v>0.413153456998314</v>
      </c>
      <c r="R67" s="61" t="n">
        <f aca="false">R44/R30</f>
        <v>0.406172861430271</v>
      </c>
      <c r="S67" s="61" t="n">
        <f aca="false">S44/S30</f>
        <v>0.308794263252249</v>
      </c>
      <c r="T67" s="61" t="n">
        <f aca="false">T44/T30</f>
        <v>0.382244031168988</v>
      </c>
      <c r="U67" s="61" t="n">
        <f aca="false">U44/U30</f>
        <v>0.399867078442119</v>
      </c>
      <c r="Z67" s="61" t="n">
        <f aca="false">Z44/Z30</f>
        <v>0.473187819994611</v>
      </c>
      <c r="AA67" s="61" t="n">
        <f aca="false">AA44/AA30</f>
        <v>0.105718215759481</v>
      </c>
      <c r="AB67" s="61" t="n">
        <f aca="false">AB44/AB30</f>
        <v>0.35619918699187</v>
      </c>
      <c r="AC67" s="61" t="n">
        <f aca="false">AC44/AC30</f>
        <v>0.400609658270496</v>
      </c>
      <c r="AD67" s="61" t="n">
        <f aca="false">AD44/AD30</f>
        <v>0.347222222222222</v>
      </c>
      <c r="AE67" s="61" t="n">
        <f aca="false">AE44/AE30</f>
        <v>0.449634561111513</v>
      </c>
      <c r="AF67" s="61" t="n">
        <f aca="false">AF44/AF30</f>
        <v>0.496962093818414</v>
      </c>
      <c r="AG67" s="61" t="n">
        <f aca="false">AG44/AG30</f>
        <v>0.446165693613668</v>
      </c>
      <c r="AH67" s="61" t="n">
        <f aca="false">AH44/AH30</f>
        <v>0.339278894436822</v>
      </c>
      <c r="AI67" s="61" t="n">
        <f aca="false">AI44/AI30</f>
        <v>0.380050020357122</v>
      </c>
      <c r="AJ67" s="61" t="n">
        <f aca="false">AJ44/AJ30</f>
        <v>0.396450406600582</v>
      </c>
      <c r="AK67" s="61" t="n">
        <f aca="false">AK44/AK30</f>
        <v>0.248214117263676</v>
      </c>
      <c r="AL67" s="61" t="n">
        <f aca="false">AL44/AL30</f>
        <v>0.346555277164164</v>
      </c>
      <c r="AM67" s="61" t="n">
        <f aca="false">AM44/AM30</f>
        <v>0.421760354040401</v>
      </c>
      <c r="AN67" s="61" t="n">
        <f aca="false">AN44/AN30</f>
        <v>0.414378551595792</v>
      </c>
      <c r="AO67" s="61" t="n">
        <f aca="false">AO44/AO30</f>
        <v>0.42</v>
      </c>
      <c r="AP67" s="61" t="n">
        <f aca="false">AP44/AP30</f>
        <v>0.42</v>
      </c>
      <c r="AQ67" s="61" t="n">
        <f aca="false">AQ44/AQ30</f>
        <v>0.43</v>
      </c>
      <c r="AR67" s="61" t="n">
        <f aca="false">AR44/AR30</f>
        <v>0.43</v>
      </c>
      <c r="AS67" s="61" t="n">
        <f aca="false">AS44/AS30</f>
        <v>0.439999999999999</v>
      </c>
      <c r="AT67" s="61" t="n">
        <f aca="false">AT44/AT30</f>
        <v>0.48</v>
      </c>
      <c r="AV67" s="67" t="s">
        <v>188</v>
      </c>
      <c r="AW67" s="68" t="n">
        <f aca="false">+Main!E12</f>
        <v>0.109154393401509</v>
      </c>
      <c r="AY67" s="32"/>
      <c r="AZ67" s="32"/>
      <c r="BA67" s="61" t="s">
        <v>189</v>
      </c>
      <c r="BB67" s="61" t="n">
        <f aca="false">+(SUM(T173:W173)+SUM(T174:W174))/SUM(P52:S52)</f>
        <v>0.254680974450386</v>
      </c>
      <c r="BD67" s="69" t="s">
        <v>178</v>
      </c>
      <c r="BE67" s="70" t="n">
        <f aca="false">+SUM(Main!F1:F2)</f>
        <v>2547.506225</v>
      </c>
      <c r="EN67" s="32"/>
      <c r="EO67" s="32"/>
      <c r="EP67" s="32"/>
      <c r="EQ67" s="32"/>
      <c r="ER67" s="32"/>
    </row>
    <row r="68" s="61" customFormat="true" ht="12.8" hidden="false" customHeight="false" outlineLevel="0" collapsed="false">
      <c r="A68" s="61" t="s">
        <v>190</v>
      </c>
      <c r="B68" s="61" t="n">
        <f aca="false">B52/B30</f>
        <v>0.267486025512398</v>
      </c>
      <c r="C68" s="61" t="n">
        <f aca="false">C52/C30</f>
        <v>0.23201026993269</v>
      </c>
      <c r="D68" s="61" t="n">
        <f aca="false">D52/D30</f>
        <v>0.158584109114527</v>
      </c>
      <c r="E68" s="61" t="n">
        <f aca="false">E52/E30</f>
        <v>0.144629255401834</v>
      </c>
      <c r="F68" s="61" t="n">
        <f aca="false">F52/F30</f>
        <v>0.199301797870484</v>
      </c>
      <c r="G68" s="61" t="n">
        <f aca="false">G52/G30</f>
        <v>0.243382605706428</v>
      </c>
      <c r="H68" s="61" t="n">
        <f aca="false">H52/H30</f>
        <v>0.339219820769636</v>
      </c>
      <c r="I68" s="61" t="n">
        <f aca="false">I52/I30</f>
        <v>0.349455261648924</v>
      </c>
      <c r="J68" s="61" t="n">
        <f aca="false">J52/J30</f>
        <v>0.339295021259087</v>
      </c>
      <c r="K68" s="61" t="n">
        <f aca="false">K52/K30</f>
        <v>0.344629008727701</v>
      </c>
      <c r="L68" s="61" t="n">
        <f aca="false">L52/L30</f>
        <v>0.386508659981769</v>
      </c>
      <c r="M68" s="61" t="n">
        <f aca="false">M52/M30</f>
        <v>0.43067066239537</v>
      </c>
      <c r="N68" s="61" t="n">
        <f aca="false">N52/N30</f>
        <v>0.393344992201163</v>
      </c>
      <c r="O68" s="61" t="n">
        <f aca="false">O52/O30</f>
        <v>0.393130734910346</v>
      </c>
      <c r="P68" s="61" t="n">
        <f aca="false">P52/P30</f>
        <v>0.345127044221537</v>
      </c>
      <c r="Q68" s="61" t="n">
        <f aca="false">Q52/Q30</f>
        <v>0.380144591187618</v>
      </c>
      <c r="R68" s="61" t="n">
        <f aca="false">R52/R30</f>
        <v>0.494557013727336</v>
      </c>
      <c r="S68" s="61" t="n">
        <f aca="false">S52/S30</f>
        <v>0.260653607670927</v>
      </c>
      <c r="T68" s="61" t="n">
        <f aca="false">T52/T30</f>
        <v>0.193111529529078</v>
      </c>
      <c r="U68" s="61" t="n">
        <f aca="false">U52/U30</f>
        <v>0.343659562419123</v>
      </c>
      <c r="Z68" s="61" t="n">
        <f aca="false">Z52/Z30</f>
        <v>0.269469145782808</v>
      </c>
      <c r="AA68" s="61" t="n">
        <f aca="false">AA52/AA30</f>
        <v>0.0104146197681273</v>
      </c>
      <c r="AB68" s="61" t="n">
        <f aca="false">AB52/AB30</f>
        <v>0.190548780487805</v>
      </c>
      <c r="AC68" s="61" t="n">
        <f aca="false">AC52/AC30</f>
        <v>0.235841488849671</v>
      </c>
      <c r="AD68" s="61" t="n">
        <f aca="false">AD52/AD30</f>
        <v>0.205711735832218</v>
      </c>
      <c r="AE68" s="61" t="n">
        <f aca="false">AE52/AE30</f>
        <v>0.369672190462407</v>
      </c>
      <c r="AF68" s="61" t="n">
        <f aca="false">AF52/AF30</f>
        <v>0.391951393501095</v>
      </c>
      <c r="AG68" s="61" t="n">
        <f aca="false">AG52/AG30</f>
        <v>0.396002722160536</v>
      </c>
      <c r="AH68" s="61" t="n">
        <f aca="false">AH52/AH30</f>
        <v>0.26146795479299</v>
      </c>
      <c r="AI68" s="61" t="n">
        <f aca="false">AI52/AI30</f>
        <v>0.339044960158204</v>
      </c>
      <c r="AJ68" s="61" t="n">
        <f aca="false">AJ52/AJ30</f>
        <v>0.333844940599853</v>
      </c>
      <c r="AK68" s="61" t="n">
        <f aca="false">AK52/AK30</f>
        <v>0.19895548371052</v>
      </c>
      <c r="AL68" s="61" t="n">
        <f aca="false">AL52/AL30</f>
        <v>0.289825206446161</v>
      </c>
      <c r="AM68" s="61" t="n">
        <f aca="false">AM52/AM30</f>
        <v>0.379085841423456</v>
      </c>
      <c r="AN68" s="61" t="n">
        <f aca="false">AN52/AN30</f>
        <v>0.300836957495298</v>
      </c>
      <c r="AO68" s="61" t="n">
        <f aca="false">AO52/AO30</f>
        <v>0.333124465830041</v>
      </c>
      <c r="AP68" s="61" t="n">
        <f aca="false">AP52/AP30</f>
        <v>0.371518209176179</v>
      </c>
      <c r="AQ68" s="61" t="n">
        <f aca="false">AQ52/AQ30</f>
        <v>0.385041413926821</v>
      </c>
      <c r="AR68" s="61" t="n">
        <f aca="false">AR52/AR30</f>
        <v>0.389574679411533</v>
      </c>
      <c r="AS68" s="61" t="n">
        <f aca="false">AS52/AS30</f>
        <v>0.402493167109109</v>
      </c>
      <c r="AT68" s="61" t="n">
        <f aca="false">AT52/AT30</f>
        <v>0.441436203765007</v>
      </c>
      <c r="AV68" s="71" t="s">
        <v>191</v>
      </c>
      <c r="AW68" s="72" t="n">
        <v>0.02</v>
      </c>
      <c r="AY68" s="32"/>
      <c r="AZ68" s="32"/>
      <c r="BA68" s="61" t="s">
        <v>192</v>
      </c>
      <c r="BB68" s="73" t="n">
        <f aca="false">+(SUM(T180:W180)*(1+0.1))/(Main!B17-0.1)</f>
        <v>1945094.42244225</v>
      </c>
      <c r="BC68" s="74"/>
      <c r="BD68" s="65" t="s">
        <v>6</v>
      </c>
      <c r="BE68" s="66" t="n">
        <f aca="false">+BE66/BE67</f>
        <v>763.528820206218</v>
      </c>
      <c r="EN68" s="32"/>
      <c r="EO68" s="32"/>
      <c r="EP68" s="32"/>
      <c r="EQ68" s="32"/>
      <c r="ER68" s="32"/>
    </row>
    <row r="69" s="61" customFormat="true" ht="12.8" hidden="false" customHeight="false" outlineLevel="0" collapsed="false">
      <c r="A69" s="61" t="s">
        <v>193</v>
      </c>
      <c r="B69" s="61" t="n">
        <f aca="false">B50/B48</f>
        <v>0.161989223170184</v>
      </c>
      <c r="C69" s="61" t="n">
        <f aca="false">C50/C48</f>
        <v>0.183117517713169</v>
      </c>
      <c r="D69" s="61" t="n">
        <f aca="false">D50/D48</f>
        <v>0.211800573888092</v>
      </c>
      <c r="E69" s="61" t="n">
        <f aca="false">E50/E48</f>
        <v>0.243454220198406</v>
      </c>
      <c r="F69" s="61" t="n">
        <f aca="false">F50/F48</f>
        <v>0.218694402627617</v>
      </c>
      <c r="G69" s="61" t="n">
        <f aca="false">G50/G48</f>
        <v>0.161949854729366</v>
      </c>
      <c r="H69" s="61" t="n">
        <f aca="false">H50/H48</f>
        <v>0.173823109843081</v>
      </c>
      <c r="I69" s="61" t="n">
        <f aca="false">I50/I48</f>
        <v>0.166051880057116</v>
      </c>
      <c r="J69" s="61" t="n">
        <f aca="false">J50/J48</f>
        <v>0.127899598110414</v>
      </c>
      <c r="K69" s="61" t="n">
        <f aca="false">K50/K48</f>
        <v>0.108632331523898</v>
      </c>
      <c r="L69" s="61" t="n">
        <f aca="false">L50/L48</f>
        <v>0.119739647626529</v>
      </c>
      <c r="M69" s="61" t="n">
        <f aca="false">M50/M48</f>
        <v>0.11527193988027</v>
      </c>
      <c r="N69" s="61" t="n">
        <f aca="false">N50/N48</f>
        <v>0.0945490153410946</v>
      </c>
      <c r="O69" s="61" t="n">
        <f aca="false">O50/O48</f>
        <v>0.10523542654596</v>
      </c>
      <c r="P69" s="61" t="n">
        <f aca="false">P50/P48</f>
        <v>0.146023468057366</v>
      </c>
      <c r="Q69" s="61" t="n">
        <f aca="false">Q50/Q48</f>
        <v>0.10199574031711</v>
      </c>
      <c r="R69" s="61" t="n">
        <f aca="false">R50/R48</f>
        <v>-0.219949185211144</v>
      </c>
      <c r="S69" s="61" t="n">
        <f aca="false">S50/S48</f>
        <v>0.155043719343144</v>
      </c>
      <c r="T69" s="61" t="n">
        <f aca="false">T50/T48</f>
        <v>0.14</v>
      </c>
      <c r="U69" s="61" t="n">
        <f aca="false">U50/U48</f>
        <v>0.14</v>
      </c>
      <c r="Z69" s="61" t="n">
        <f aca="false">Z50/Z48</f>
        <v>0.410029498525074</v>
      </c>
      <c r="AA69" s="61" t="n">
        <f aca="false">AA50/AA48</f>
        <v>0.892712550607288</v>
      </c>
      <c r="AB69" s="61" t="n">
        <f aca="false">AB50/AB48</f>
        <v>0.455337690631808</v>
      </c>
      <c r="AC69" s="61" t="n">
        <f aca="false">AC50/AC48</f>
        <v>0.40122199592668</v>
      </c>
      <c r="AD69" s="61" t="n">
        <f aca="false">AD50/AD48</f>
        <v>0.404585082337746</v>
      </c>
      <c r="AE69" s="61" t="n">
        <f aca="false">AE50/AE48</f>
        <v>0.183815305959418</v>
      </c>
      <c r="AF69" s="61" t="n">
        <f aca="false">AF50/AF48</f>
        <v>0.22627949888317</v>
      </c>
      <c r="AG69" s="61" t="n">
        <f aca="false">AG50/AG48</f>
        <v>0.128110090296124</v>
      </c>
      <c r="AH69" s="61" t="n">
        <f aca="false">AH50/AH48</f>
        <v>0.254997581815251</v>
      </c>
      <c r="AI69" s="61" t="n">
        <f aca="false">AI50/AI48</f>
        <v>0.121579264617239</v>
      </c>
      <c r="AJ69" s="61" t="n">
        <f aca="false">AJ50/AJ48</f>
        <v>0.167371626765925</v>
      </c>
      <c r="AK69" s="61" t="n">
        <f aca="false">AK50/AK48</f>
        <v>0.194975536972136</v>
      </c>
      <c r="AL69" s="61" t="n">
        <f aca="false">AL50/AL48</f>
        <v>0.175634646200557</v>
      </c>
      <c r="AM69" s="61" t="n">
        <f aca="false">AM50/AM48</f>
        <v>0.117501379788574</v>
      </c>
      <c r="AN69" s="61" t="n">
        <f aca="false">AN50/AN48</f>
        <v>0.296443699669506</v>
      </c>
      <c r="AO69" s="61" t="n">
        <f aca="false">AO50/AO48</f>
        <v>0.13</v>
      </c>
      <c r="AP69" s="61" t="n">
        <f aca="false">AP50/AP48</f>
        <v>0.13</v>
      </c>
      <c r="AQ69" s="61" t="n">
        <f aca="false">AQ50/AQ48</f>
        <v>0.13</v>
      </c>
      <c r="AR69" s="61" t="n">
        <f aca="false">AR50/AR48</f>
        <v>0.13</v>
      </c>
      <c r="AS69" s="61" t="n">
        <f aca="false">AS50/AS48</f>
        <v>0.13</v>
      </c>
      <c r="AT69" s="61" t="n">
        <f aca="false">AT50/AT48</f>
        <v>0.13</v>
      </c>
      <c r="AV69" s="67" t="s">
        <v>194</v>
      </c>
      <c r="AW69" s="75" t="n">
        <f aca="false">NPV(AW67,AO52:EK52)+Main!F5-Main!F6</f>
        <v>2001276.29072075</v>
      </c>
      <c r="AY69" s="32"/>
      <c r="AZ69" s="32"/>
      <c r="BA69" s="61" t="s">
        <v>195</v>
      </c>
      <c r="BB69" s="76" t="n">
        <f aca="false">+(BB67*(1+0.1))/(Main!B17-0.1)</f>
        <v>23.1146098923618</v>
      </c>
      <c r="BD69" s="65"/>
      <c r="BE69" s="65" t="n">
        <f aca="false">+BE68/Main!F3-1</f>
        <v>0.185603758084189</v>
      </c>
      <c r="EN69" s="32"/>
      <c r="EO69" s="32"/>
      <c r="EP69" s="32"/>
      <c r="EQ69" s="32"/>
      <c r="ER69" s="32"/>
    </row>
    <row r="70" s="61" customFormat="true" ht="12.8" hidden="false" customHeight="false" outlineLevel="0" collapsed="false">
      <c r="A70" s="77" t="s">
        <v>196</v>
      </c>
      <c r="B70" s="77"/>
      <c r="C70" s="77"/>
      <c r="D70" s="77"/>
      <c r="E70" s="77"/>
      <c r="F70" s="77" t="n">
        <f aca="false">+F31+F67</f>
        <v>0.278703537866846</v>
      </c>
      <c r="G70" s="77" t="n">
        <f aca="false">+G31+G67</f>
        <v>0.403737469989678</v>
      </c>
      <c r="H70" s="77" t="n">
        <f aca="false">+H31+H67</f>
        <v>0.634708893094559</v>
      </c>
      <c r="I70" s="77" t="n">
        <f aca="false">+I31+I67</f>
        <v>0.655505212116122</v>
      </c>
      <c r="J70" s="77" t="n">
        <f aca="false">+J31+J67</f>
        <v>0.651690586904678</v>
      </c>
      <c r="K70" s="77" t="n">
        <f aca="false">+K31+K67</f>
        <v>0.60100741835444</v>
      </c>
      <c r="L70" s="77" t="n">
        <f aca="false">+L31+L67</f>
        <v>0.616145458642776</v>
      </c>
      <c r="M70" s="77" t="n">
        <f aca="false">+M31+M67</f>
        <v>0.689175171945284</v>
      </c>
      <c r="N70" s="77" t="n">
        <f aca="false">+N31+N67</f>
        <v>0.575593203899186</v>
      </c>
      <c r="O70" s="77" t="n">
        <f aca="false">+O31+O67</f>
        <v>0.646336902203305</v>
      </c>
      <c r="P70" s="77" t="n">
        <f aca="false">+P31+P67</f>
        <v>0.663205754709235</v>
      </c>
      <c r="Q70" s="77" t="n">
        <f aca="false">+Q31+Q67</f>
        <v>0.650995763498262</v>
      </c>
      <c r="R70" s="77" t="n">
        <f aca="false">+R31+R67</f>
        <v>0.736961725635971</v>
      </c>
      <c r="S70" s="77" t="n">
        <f aca="false">+S31+S67</f>
        <v>0.588384296083295</v>
      </c>
      <c r="T70" s="77" t="n">
        <f aca="false">+T31+T67</f>
        <v>0.622244031168988</v>
      </c>
      <c r="U70" s="77" t="n">
        <f aca="false">+U31+U67</f>
        <v>0.66986707844212</v>
      </c>
      <c r="V70" s="77"/>
      <c r="W70" s="77"/>
      <c r="X70" s="77"/>
      <c r="Y70" s="77"/>
      <c r="Z70" s="77" t="n">
        <f aca="false">+Z31+Z67</f>
        <v>0.473187819994611</v>
      </c>
      <c r="AA70" s="77" t="n">
        <f aca="false">+AA31+AA67</f>
        <v>0.47704669864819</v>
      </c>
      <c r="AB70" s="77" t="n">
        <f aca="false">+AB31+AB67</f>
        <v>0.903064975948443</v>
      </c>
      <c r="AC70" s="77" t="n">
        <f aca="false">+AC31+AC67</f>
        <v>0.98419705664448</v>
      </c>
      <c r="AD70" s="77" t="n">
        <f aca="false">+AD31+AD67</f>
        <v>0.785373995044298</v>
      </c>
      <c r="AE70" s="77" t="n">
        <f aca="false">+AE31+AE67</f>
        <v>0.991245449107943</v>
      </c>
      <c r="AF70" s="77" t="n">
        <f aca="false">+AF31+AF67</f>
        <v>0.967871711012133</v>
      </c>
      <c r="AG70" s="77" t="n">
        <f aca="false">+AG31+AG67</f>
        <v>0.819692862580288</v>
      </c>
      <c r="AH70" s="77" t="n">
        <f aca="false">+AH31+AH67</f>
        <v>0.605387995765666</v>
      </c>
      <c r="AI70" s="77" t="n">
        <f aca="false">+AI31+AI67</f>
        <v>0.596013922644348</v>
      </c>
      <c r="AJ70" s="77" t="n">
        <f aca="false">+AJ31+AJ67</f>
        <v>0.768276149635538</v>
      </c>
      <c r="AK70" s="77" t="n">
        <f aca="false">+AK31+AK67</f>
        <v>0.237020941708893</v>
      </c>
      <c r="AL70" s="77" t="n">
        <f aca="false">+AL31+AL67</f>
        <v>0.503429960936429</v>
      </c>
      <c r="AM70" s="77" t="n">
        <f aca="false">+AM31+AM67</f>
        <v>0.641171482118562</v>
      </c>
      <c r="AN70" s="77" t="n">
        <f aca="false">+AN31+AN67</f>
        <v>0.636048936578254</v>
      </c>
      <c r="AO70" s="77" t="n">
        <f aca="false">+AO31+AO67</f>
        <v>0.7</v>
      </c>
      <c r="AP70" s="77" t="n">
        <f aca="false">+AP31+AP67</f>
        <v>0.62</v>
      </c>
      <c r="AQ70" s="77" t="n">
        <f aca="false">+AQ31+AQ67</f>
        <v>0.58</v>
      </c>
      <c r="AR70" s="77" t="n">
        <f aca="false">+AR31+AR67</f>
        <v>0.57</v>
      </c>
      <c r="AS70" s="77" t="n">
        <f aca="false">+AS31+AS67</f>
        <v>0.569999999999999</v>
      </c>
      <c r="AT70" s="77" t="n">
        <f aca="false">+AT31+AT67</f>
        <v>0.599999999999999</v>
      </c>
      <c r="AV70" s="71" t="s">
        <v>197</v>
      </c>
      <c r="AW70" s="78" t="n">
        <f aca="false">+AW69/Main!F1</f>
        <v>907.555402124071</v>
      </c>
      <c r="AY70" s="32"/>
      <c r="AZ70" s="32"/>
      <c r="BB70" s="76"/>
      <c r="EN70" s="32"/>
      <c r="EO70" s="32"/>
      <c r="EP70" s="32"/>
      <c r="EQ70" s="32"/>
      <c r="ER70" s="32"/>
    </row>
    <row r="71" s="61" customFormat="true" ht="12.8" hidden="false" customHeight="false" outlineLevel="0" collapsed="false">
      <c r="A71" s="61" t="s">
        <v>32</v>
      </c>
      <c r="F71" s="61" t="n">
        <f aca="false">+(F44-B44)/(F30-B30)</f>
        <v>-1.75983717774763</v>
      </c>
      <c r="G71" s="61" t="n">
        <f aca="false">+(G44-C44)/(G30-C30)</f>
        <v>0.325464274472773</v>
      </c>
      <c r="H71" s="61" t="n">
        <f aca="false">+(H44-D44)/(H30-D30)</f>
        <v>1.2568407960199</v>
      </c>
      <c r="I71" s="61" t="n">
        <f aca="false">+(I44-E44)/(I30-E30)</f>
        <v>1.2566070979109</v>
      </c>
      <c r="J71" s="61" t="n">
        <f aca="false">+(J44-F44)/(J30-F30)</f>
        <v>0.843918053777209</v>
      </c>
      <c r="K71" s="61" t="n">
        <f aca="false">+(K44-G44)/(K30-G30)</f>
        <v>0.771351809954751</v>
      </c>
      <c r="L71" s="61" t="n">
        <f aca="false">+(L44-H44)/(L30-H30)</f>
        <v>0.559056340214186</v>
      </c>
      <c r="M71" s="61" t="n">
        <f aca="false">+(M44-I44)/(M30-I30)</f>
        <v>0.843727338651197</v>
      </c>
      <c r="N71" s="61" t="n">
        <f aca="false">+(N44-J44)/(N30-J30)</f>
        <v>0.637822153951186</v>
      </c>
      <c r="O71" s="61" t="n">
        <f aca="false">+(O44-K44)/(O30-K30)</f>
        <v>0.662403789224393</v>
      </c>
      <c r="P71" s="61" t="n">
        <f aca="false">+(P44-L44)/(P30-L30)</f>
        <v>0.298976814042993</v>
      </c>
      <c r="Q71" s="61" t="n">
        <f aca="false">+(Q44-M44)/(Q30-M30)</f>
        <v>0.119916579770594</v>
      </c>
      <c r="R71" s="61" t="n">
        <f aca="false">+(R44-N44)/(R30-N30)</f>
        <v>0.379867114381653</v>
      </c>
      <c r="S71" s="61" t="n">
        <f aca="false">+(S44-O44)/(S30-O30)</f>
        <v>-0.125404591644712</v>
      </c>
      <c r="T71" s="61" t="n">
        <f aca="false">+(T44-P44)/(T30-P30)</f>
        <v>0.305154651783042</v>
      </c>
      <c r="U71" s="61" t="n">
        <f aca="false">+(U44-Q44)/(U30-Q30)</f>
        <v>0.350658268974734</v>
      </c>
      <c r="Z71" s="61" t="n">
        <v>0</v>
      </c>
      <c r="AA71" s="61" t="n">
        <f aca="false">+(AA44-Z44)/(AA30-Z30)</f>
        <v>-0.88388969521045</v>
      </c>
      <c r="AB71" s="61" t="n">
        <f aca="false">+(AB44-AA44)/(AB30-AA30)</f>
        <v>0.814229249011858</v>
      </c>
      <c r="AC71" s="61" t="n">
        <f aca="false">+(AC44-AB44)/(AC30-AB30)</f>
        <v>0.476708750544188</v>
      </c>
      <c r="AD71" s="61" t="n">
        <f aca="false">+(AD44-AC44)/(AD30-AC30)</f>
        <v>0.22537532039546</v>
      </c>
      <c r="AE71" s="61" t="n">
        <f aca="false">+(AE44-AD44)/(AE30-AD30)</f>
        <v>0.638722966014418</v>
      </c>
      <c r="AF71" s="61" t="n">
        <f aca="false">+(AF44-AE44)/(AF30-AE30)</f>
        <v>0.597464464079908</v>
      </c>
      <c r="AG71" s="61" t="n">
        <f aca="false">+(AG44-AF44)/(AG30-AF30)</f>
        <v>0.310174514323345</v>
      </c>
      <c r="AH71" s="61" t="n">
        <f aca="false">+(AH44-AG44)/(AH30-AG30)</f>
        <v>-0.0623864324651726</v>
      </c>
      <c r="AI71" s="61" t="n">
        <f aca="false">+(AI44-AH44)/(AI30-AH30)</f>
        <v>0.568836782813728</v>
      </c>
      <c r="AJ71" s="61" t="n">
        <f aca="false">+(AJ44-AI44)/(AJ30-AI30)</f>
        <v>0.440558127893881</v>
      </c>
      <c r="AK71" s="61" t="n">
        <f aca="false">+(AK44-AJ44)/(AK30-AJ30)</f>
        <v>13.4916666666667</v>
      </c>
      <c r="AL71" s="61" t="n">
        <f aca="false">+(AL44-AK44)/(AL30-AK30)</f>
        <v>0.973432460504018</v>
      </c>
      <c r="AM71" s="61" t="n">
        <f aca="false">+(AM44-AL44)/(AM30-AL30)</f>
        <v>0.764519071590256</v>
      </c>
      <c r="AN71" s="61" t="n">
        <f aca="false">+(AN44-AM44)/(AN30-AM30)</f>
        <v>0.381077745783628</v>
      </c>
      <c r="AO71" s="61" t="n">
        <f aca="false">+(AO44-AN44)/(AO30-AN30)</f>
        <v>0.440076601443599</v>
      </c>
      <c r="AP71" s="61" t="n">
        <f aca="false">+(AP44-AO44)/(AP30-AO30)</f>
        <v>0.42</v>
      </c>
      <c r="AQ71" s="61" t="n">
        <f aca="false">+(AQ44-AP44)/(AQ30-AP30)</f>
        <v>0.496666666666667</v>
      </c>
      <c r="AR71" s="61" t="n">
        <f aca="false">+(AR44-AQ44)/(AR30-AQ30)</f>
        <v>0.43</v>
      </c>
      <c r="AS71" s="61" t="n">
        <f aca="false">+(AS44-AR44)/(AS30-AR30)</f>
        <v>0.516923076923072</v>
      </c>
      <c r="AT71" s="61" t="n">
        <f aca="false">+(AT44-AS44)/(AT30-AS30)</f>
        <v>0.813333333333331</v>
      </c>
      <c r="AU71" s="77"/>
      <c r="AV71" s="79" t="s">
        <v>198</v>
      </c>
      <c r="AW71" s="80" t="n">
        <f aca="false">+AW70/Main!F3-1</f>
        <v>0.409247518826197</v>
      </c>
      <c r="AX71" s="77"/>
      <c r="AY71" s="32"/>
      <c r="AZ71" s="32"/>
      <c r="BA71" s="65" t="s">
        <v>199</v>
      </c>
      <c r="BB71" s="65" t="n">
        <f aca="false">+SUM(P59:S59)/SUM(P54:S54)</f>
        <v>0.0640437608014316</v>
      </c>
      <c r="BC71" s="65"/>
      <c r="BD71" s="65"/>
      <c r="BE71" s="65"/>
      <c r="BF71" s="65"/>
      <c r="BG71" s="65"/>
      <c r="BH71" s="65"/>
      <c r="BI71" s="65"/>
      <c r="BJ71" s="65"/>
      <c r="BK71" s="65"/>
      <c r="BL71" s="65"/>
      <c r="BM71" s="65"/>
      <c r="BN71" s="65"/>
      <c r="BO71" s="65"/>
      <c r="BP71" s="65"/>
      <c r="BQ71" s="65"/>
      <c r="BR71" s="65"/>
      <c r="BS71" s="65"/>
      <c r="BT71" s="65"/>
      <c r="BU71" s="65"/>
      <c r="BV71" s="65"/>
      <c r="BW71" s="65"/>
      <c r="BX71" s="65"/>
      <c r="BY71" s="65"/>
      <c r="BZ71" s="65"/>
      <c r="CA71" s="65"/>
      <c r="CB71" s="65"/>
      <c r="CC71" s="65"/>
      <c r="CD71" s="65"/>
      <c r="CE71" s="65"/>
      <c r="CF71" s="65"/>
      <c r="CG71" s="65"/>
      <c r="CH71" s="65"/>
      <c r="CI71" s="65"/>
      <c r="CJ71" s="65"/>
      <c r="CK71" s="65"/>
      <c r="CL71" s="65"/>
      <c r="CM71" s="65"/>
      <c r="CN71" s="65"/>
      <c r="CO71" s="65"/>
      <c r="CP71" s="65"/>
      <c r="CQ71" s="65"/>
      <c r="CR71" s="65"/>
      <c r="CS71" s="65"/>
      <c r="CT71" s="65"/>
      <c r="CU71" s="65"/>
      <c r="CV71" s="65"/>
      <c r="CW71" s="65"/>
      <c r="CX71" s="65"/>
      <c r="CY71" s="65"/>
      <c r="CZ71" s="65"/>
      <c r="DA71" s="65"/>
      <c r="DB71" s="65"/>
      <c r="DC71" s="65"/>
      <c r="DD71" s="65"/>
      <c r="DE71" s="65"/>
      <c r="DF71" s="65"/>
      <c r="DG71" s="65"/>
      <c r="DH71" s="65"/>
      <c r="DI71" s="65"/>
      <c r="DJ71" s="65"/>
      <c r="DK71" s="65"/>
      <c r="DL71" s="65"/>
      <c r="DM71" s="65"/>
      <c r="DN71" s="65"/>
      <c r="DO71" s="65"/>
      <c r="DP71" s="65"/>
      <c r="DQ71" s="65"/>
      <c r="DR71" s="65"/>
      <c r="DS71" s="65"/>
      <c r="DT71" s="65"/>
      <c r="DU71" s="65"/>
      <c r="DV71" s="65"/>
      <c r="DW71" s="65"/>
      <c r="DX71" s="65"/>
      <c r="DY71" s="65"/>
      <c r="DZ71" s="65"/>
      <c r="EA71" s="65"/>
      <c r="EB71" s="65"/>
      <c r="EC71" s="65"/>
      <c r="ED71" s="65"/>
      <c r="EE71" s="65"/>
      <c r="EF71" s="65"/>
      <c r="EG71" s="65"/>
      <c r="EH71" s="65"/>
      <c r="EI71" s="65"/>
      <c r="EJ71" s="65"/>
      <c r="EK71" s="65"/>
      <c r="EL71" s="65"/>
      <c r="EM71" s="65"/>
      <c r="EN71" s="32"/>
      <c r="EO71" s="32"/>
      <c r="EP71" s="32"/>
      <c r="EQ71" s="32"/>
      <c r="ER71" s="32"/>
    </row>
    <row r="72" s="61" customFormat="true" ht="12.8" hidden="false" customHeight="false" outlineLevel="0" collapsed="false">
      <c r="AR72" s="1"/>
      <c r="AV72" s="61" t="s">
        <v>14</v>
      </c>
      <c r="AW72" s="73" t="n">
        <f aca="false">+AW70*(Main!F1+Main!F2)</f>
        <v>2312003.03644345</v>
      </c>
      <c r="AY72" s="32"/>
      <c r="AZ72" s="32"/>
      <c r="BA72" s="61" t="s">
        <v>200</v>
      </c>
      <c r="BB72" s="73" t="n">
        <f aca="false">+(S116-S99)/SUM(P88:S88)</f>
        <v>0.621963230466185</v>
      </c>
      <c r="EN72" s="32"/>
      <c r="EO72" s="32"/>
      <c r="EP72" s="32"/>
      <c r="EQ72" s="32"/>
      <c r="ER72" s="32"/>
    </row>
    <row r="73" s="61" customFormat="true" ht="12.8" hidden="false" customHeight="false" outlineLevel="0" collapsed="false">
      <c r="AR73" s="1"/>
      <c r="AY73" s="32"/>
      <c r="AZ73" s="32"/>
      <c r="EN73" s="32"/>
      <c r="EO73" s="32"/>
      <c r="EP73" s="32"/>
      <c r="EQ73" s="32"/>
      <c r="ER73" s="32"/>
    </row>
    <row r="74" s="61" customFormat="true" ht="12.8" hidden="false" customHeight="false" outlineLevel="0" collapsed="false">
      <c r="A74" s="61" t="s">
        <v>201</v>
      </c>
      <c r="B74" s="61" t="n">
        <f aca="false">+B24/B$30</f>
        <v>0.967392862261717</v>
      </c>
      <c r="C74" s="61" t="n">
        <f aca="false">+C24/C$30</f>
        <v>0.976753868572618</v>
      </c>
      <c r="D74" s="61" t="n">
        <f aca="false">+D24/D$30</f>
        <v>0.982788482355488</v>
      </c>
      <c r="E74" s="61" t="n">
        <f aca="false">+E24/E$30</f>
        <v>0.971677288978704</v>
      </c>
      <c r="F74" s="61" t="n">
        <f aca="false">+F24/F$30</f>
        <v>0.981008902077151</v>
      </c>
      <c r="G74" s="61" t="n">
        <f aca="false">+G24/G$30</f>
        <v>0.984343260726898</v>
      </c>
      <c r="H74" s="61" t="n">
        <f aca="false">+H24/H$30</f>
        <v>0.98526913840567</v>
      </c>
      <c r="I74" s="61" t="n">
        <f aca="false">+I24/I$30</f>
        <v>0.964972202139064</v>
      </c>
      <c r="J74" s="61" t="n">
        <f aca="false">+J24/J$30</f>
        <v>0.977506514881361</v>
      </c>
      <c r="K74" s="61" t="n">
        <f aca="false">+K24/K$30</f>
        <v>0.981008932456298</v>
      </c>
      <c r="L74" s="61" t="n">
        <f aca="false">+L24/L$30</f>
        <v>0.982655399246101</v>
      </c>
      <c r="M74" s="61" t="n">
        <f aca="false">+M24/M$30</f>
        <v>0.966890565257828</v>
      </c>
      <c r="N74" s="61" t="n">
        <f aca="false">+N24/N$30</f>
        <v>0.978210521340455</v>
      </c>
      <c r="O74" s="61" t="n">
        <f aca="false">+O24/O$30</f>
        <v>0.979943597945955</v>
      </c>
      <c r="P74" s="61" t="n">
        <f aca="false">+P24/P$30</f>
        <v>0.977362319971898</v>
      </c>
      <c r="Q74" s="61" t="n">
        <f aca="false">+Q24/Q$30</f>
        <v>0.970681047868699</v>
      </c>
      <c r="R74" s="61" t="n">
        <f aca="false">+R24/R$30</f>
        <v>0.977144785210705</v>
      </c>
      <c r="S74" s="61" t="n">
        <f aca="false">+S24/S$30</f>
        <v>0.976349073206033</v>
      </c>
      <c r="Z74" s="61" t="n">
        <f aca="false">+Z24/Z$30</f>
        <v>1</v>
      </c>
      <c r="AA74" s="61" t="n">
        <f aca="false">+AA24/AA$30</f>
        <v>1</v>
      </c>
      <c r="AB74" s="61" t="n">
        <f aca="false">+AB24/AB$30</f>
        <v>0.88744918699187</v>
      </c>
      <c r="AC74" s="61" t="n">
        <f aca="false">+AC24/AC$30</f>
        <v>0.921867479544361</v>
      </c>
      <c r="AD74" s="61" t="n">
        <f aca="false">+AD24/AD$30</f>
        <v>0.95264390896921</v>
      </c>
      <c r="AE74" s="61" t="n">
        <f aca="false">+AE24/AE$30</f>
        <v>0.972754902670237</v>
      </c>
      <c r="AF74" s="61" t="n">
        <f aca="false">+AF24/AF$30</f>
        <v>0.98251051582909</v>
      </c>
      <c r="AG74" s="61" t="n">
        <f aca="false">+AG24/AG$30</f>
        <v>0.985225115512733</v>
      </c>
      <c r="AH74" s="61" t="n">
        <f aca="false">+AH24/AH$30</f>
        <v>0.98526104360864</v>
      </c>
      <c r="AI74" s="61" t="n">
        <f aca="false">+AI24/AI$30</f>
        <v>0.979107776420636</v>
      </c>
      <c r="AJ74" s="61" t="n">
        <f aca="false">+AJ24/AJ$30</f>
        <v>0.974603363040474</v>
      </c>
      <c r="AK74" s="61" t="n">
        <f aca="false">+AK24/AK$30</f>
        <v>0.974555994820297</v>
      </c>
      <c r="AL74" s="61" t="n">
        <f aca="false">+AL24/AL$30</f>
        <v>0.978102622644587</v>
      </c>
      <c r="AM74" s="61" t="n">
        <f aca="false">+AM24/AM$30</f>
        <v>0.976486465127872</v>
      </c>
      <c r="AN74" s="61" t="n">
        <f aca="false">+AN24/AN$30</f>
        <v>0.976160146492442</v>
      </c>
      <c r="AO74" s="61" t="n">
        <f aca="false">+AO24/AO$30</f>
        <v>0.984932152702447</v>
      </c>
      <c r="AP74" s="61" t="n">
        <f aca="false">+AP24/AP$30</f>
        <v>0.984304325731716</v>
      </c>
      <c r="AQ74" s="61" t="n">
        <f aca="false">+AQ24/AQ$30</f>
        <v>0.984304325731716</v>
      </c>
      <c r="AR74" s="61" t="n">
        <f aca="false">+AR24/AR$30</f>
        <v>0.984304325731716</v>
      </c>
      <c r="AS74" s="61" t="n">
        <f aca="false">+AS24/AS$30</f>
        <v>0.984304325731716</v>
      </c>
      <c r="AT74" s="61" t="n">
        <f aca="false">+AT24/AT$30</f>
        <v>0.984164185782892</v>
      </c>
      <c r="AY74" s="32"/>
      <c r="AZ74" s="32"/>
      <c r="EN74" s="32"/>
      <c r="EO74" s="32"/>
      <c r="EP74" s="32"/>
      <c r="EQ74" s="32"/>
      <c r="ER74" s="32"/>
    </row>
    <row r="75" s="61" customFormat="true" ht="12.8" hidden="false" customHeight="false" outlineLevel="0" collapsed="false">
      <c r="A75" s="61" t="s">
        <v>202</v>
      </c>
      <c r="B75" s="61" t="n">
        <f aca="false">+B28/B$30</f>
        <v>0.0249032535473699</v>
      </c>
      <c r="C75" s="61" t="n">
        <f aca="false">+C28/C$30</f>
        <v>0.0156824647838457</v>
      </c>
      <c r="D75" s="61" t="n">
        <f aca="false">+D28/D$30</f>
        <v>0.0102836111712492</v>
      </c>
      <c r="E75" s="61" t="n">
        <f aca="false">+E28/E$30</f>
        <v>0.0226022073682574</v>
      </c>
      <c r="F75" s="61" t="n">
        <f aca="false">+F28/F$30</f>
        <v>0.0118345260953046</v>
      </c>
      <c r="G75" s="61" t="n">
        <f aca="false">+G28/G$30</f>
        <v>0.00862526953967312</v>
      </c>
      <c r="H75" s="61" t="n">
        <f aca="false">+H28/H$30</f>
        <v>0.00615006150061501</v>
      </c>
      <c r="I75" s="61" t="n">
        <f aca="false">+I28/I$30</f>
        <v>0.0267009049886565</v>
      </c>
      <c r="J75" s="61" t="n">
        <f aca="false">+J28/J$30</f>
        <v>0.012069674941709</v>
      </c>
      <c r="K75" s="61" t="n">
        <f aca="false">+K28/K$30</f>
        <v>0.00903483402011722</v>
      </c>
      <c r="L75" s="61" t="n">
        <f aca="false">+L28/L$30</f>
        <v>0.00665204858459188</v>
      </c>
      <c r="M75" s="61" t="n">
        <f aca="false">+M28/M$30</f>
        <v>0.0223829699286969</v>
      </c>
      <c r="N75" s="61" t="n">
        <f aca="false">+N28/N$30</f>
        <v>0.00973673016023066</v>
      </c>
      <c r="O75" s="61" t="n">
        <f aca="false">+O28/O$30</f>
        <v>0.00778685074501221</v>
      </c>
      <c r="P75" s="61" t="n">
        <f aca="false">+P28/P$30</f>
        <v>0.009172163459662</v>
      </c>
      <c r="Q75" s="61" t="n">
        <f aca="false">+Q28/Q$30</f>
        <v>0.0159451020987428</v>
      </c>
      <c r="R75" s="61" t="n">
        <f aca="false">+R28/R$30</f>
        <v>0.0071389248992204</v>
      </c>
      <c r="S75" s="61" t="n">
        <f aca="false">+S28/S$30</f>
        <v>0.00708869919902633</v>
      </c>
      <c r="Z75" s="61" t="n">
        <f aca="false">+Z28/Z$30</f>
        <v>0</v>
      </c>
      <c r="AA75" s="61" t="n">
        <f aca="false">+AA28/AA$30</f>
        <v>0</v>
      </c>
      <c r="AB75" s="61" t="n">
        <f aca="false">+AB28/AB$30</f>
        <v>0</v>
      </c>
      <c r="AC75" s="61" t="n">
        <f aca="false">+AC28/AC$30</f>
        <v>0</v>
      </c>
      <c r="AD75" s="61" t="n">
        <f aca="false">+AD28/AD$30</f>
        <v>0</v>
      </c>
      <c r="AE75" s="61" t="n">
        <f aca="false">+AE28/AE$30</f>
        <v>0</v>
      </c>
      <c r="AF75" s="61" t="n">
        <f aca="false">+AF28/AF$30</f>
        <v>0</v>
      </c>
      <c r="AG75" s="61" t="n">
        <f aca="false">+AG28/AG$30</f>
        <v>0</v>
      </c>
      <c r="AH75" s="61" t="n">
        <f aca="false">+AH28/AH$30</f>
        <v>0</v>
      </c>
      <c r="AI75" s="61" t="n">
        <f aca="false">+AI28/AI$30</f>
        <v>0.0132495783167568</v>
      </c>
      <c r="AJ75" s="61" t="n">
        <f aca="false">+AJ28/AJ$30</f>
        <v>0.0192827887966488</v>
      </c>
      <c r="AK75" s="61" t="n">
        <f aca="false">+AK28/AK$30</f>
        <v>0.0185148659194402</v>
      </c>
      <c r="AL75" s="61" t="n">
        <f aca="false">+AL28/AL$30</f>
        <v>0.0140546470771375</v>
      </c>
      <c r="AM75" s="61" t="n">
        <f aca="false">+AM28/AM$30</f>
        <v>0.0130455134011343</v>
      </c>
      <c r="AN75" s="61" t="n">
        <f aca="false">+AN28/AN$30</f>
        <v>0.0109819571469801</v>
      </c>
      <c r="AO75" s="61" t="n">
        <f aca="false">+AO28/AO$30</f>
        <v>0</v>
      </c>
      <c r="AP75" s="61" t="n">
        <f aca="false">+AP28/AP$30</f>
        <v>0</v>
      </c>
      <c r="AQ75" s="61" t="n">
        <f aca="false">+AQ28/AQ$30</f>
        <v>0</v>
      </c>
      <c r="AR75" s="61" t="n">
        <f aca="false">+AR28/AR$30</f>
        <v>0</v>
      </c>
      <c r="AS75" s="61" t="n">
        <f aca="false">+AS28/AS$30</f>
        <v>0</v>
      </c>
      <c r="AT75" s="61" t="n">
        <f aca="false">+AT28/AT$30</f>
        <v>0</v>
      </c>
      <c r="AY75" s="32"/>
      <c r="AZ75" s="32"/>
      <c r="EN75" s="32"/>
      <c r="EO75" s="32"/>
      <c r="EP75" s="32"/>
      <c r="EQ75" s="32"/>
      <c r="ER75" s="32"/>
    </row>
    <row r="76" s="43" customFormat="true" ht="12.8" hidden="false" customHeight="false" outlineLevel="0" collapsed="false">
      <c r="A76" s="61" t="s">
        <v>203</v>
      </c>
      <c r="B76" s="61" t="n">
        <f aca="false">+B26/B$30</f>
        <v>0.007703884190913</v>
      </c>
      <c r="C76" s="61" t="n">
        <f aca="false">+C26/C$30</f>
        <v>0.00756366664353619</v>
      </c>
      <c r="D76" s="61" t="n">
        <f aca="false">+D26/D$30</f>
        <v>0.00692790647326261</v>
      </c>
      <c r="E76" s="61" t="n">
        <f aca="false">+E26/E$30</f>
        <v>0.00572050365303902</v>
      </c>
      <c r="F76" s="61" t="n">
        <f aca="false">+F26/F$30</f>
        <v>0.00715657182754407</v>
      </c>
      <c r="G76" s="61" t="n">
        <f aca="false">+G26/G$30</f>
        <v>0.00703146973342917</v>
      </c>
      <c r="H76" s="61" t="n">
        <f aca="false">+H26/H$30</f>
        <v>0.00858080009371522</v>
      </c>
      <c r="I76" s="61" t="n">
        <f aca="false">+I26/I$30</f>
        <v>0.00832689287227943</v>
      </c>
      <c r="J76" s="61" t="n">
        <f aca="false">+J26/J$30</f>
        <v>0.0104238101769305</v>
      </c>
      <c r="K76" s="61" t="n">
        <f aca="false">+K26/K$30</f>
        <v>0.00995623352358527</v>
      </c>
      <c r="L76" s="61" t="n">
        <f aca="false">+L26/L$30</f>
        <v>0.010692552169307</v>
      </c>
      <c r="M76" s="61" t="n">
        <f aca="false">+M26/M$30</f>
        <v>0.0107264648134753</v>
      </c>
      <c r="N76" s="61" t="n">
        <f aca="false">+N26/N$30</f>
        <v>0.0120527484993146</v>
      </c>
      <c r="O76" s="61" t="n">
        <f aca="false">+O26/O$30</f>
        <v>0.0122695513090327</v>
      </c>
      <c r="P76" s="61" t="n">
        <f aca="false">+P26/P$30</f>
        <v>0.01346551656844</v>
      </c>
      <c r="Q76" s="61" t="n">
        <f aca="false">+Q26/Q$30</f>
        <v>0.0133738500325581</v>
      </c>
      <c r="R76" s="61" t="n">
        <f aca="false">+R26/R$30</f>
        <v>0.0157162898900748</v>
      </c>
      <c r="S76" s="61" t="n">
        <f aca="false">+S26/S$30</f>
        <v>0.0165622275949409</v>
      </c>
      <c r="T76" s="61"/>
      <c r="U76" s="61"/>
      <c r="V76" s="61"/>
      <c r="W76" s="61"/>
      <c r="X76" s="61"/>
      <c r="Y76" s="61"/>
      <c r="Z76" s="61" t="n">
        <f aca="false">+Z26/Z$30</f>
        <v>0</v>
      </c>
      <c r="AA76" s="61" t="n">
        <f aca="false">+AA26/AA$30</f>
        <v>0</v>
      </c>
      <c r="AB76" s="61" t="n">
        <f aca="false">+AB26/AB$30</f>
        <v>0.11255081300813</v>
      </c>
      <c r="AC76" s="61" t="n">
        <f aca="false">+AC26/AC$30</f>
        <v>0.0781325204556393</v>
      </c>
      <c r="AD76" s="61" t="n">
        <f aca="false">+AD26/AD$30</f>
        <v>0.0473560910307898</v>
      </c>
      <c r="AE76" s="61" t="n">
        <f aca="false">+AE26/AE$30</f>
        <v>0.0272450973297634</v>
      </c>
      <c r="AF76" s="61" t="n">
        <f aca="false">+AF26/AF$30</f>
        <v>0.0174894841709099</v>
      </c>
      <c r="AG76" s="61" t="n">
        <f aca="false">+AG26/AG$30</f>
        <v>0.0147748844872667</v>
      </c>
      <c r="AH76" s="61" t="n">
        <f aca="false">+AH26/AH$30</f>
        <v>0.0147389563913603</v>
      </c>
      <c r="AI76" s="61" t="n">
        <f aca="false">+AI26/AI$30</f>
        <v>0.00764264526260688</v>
      </c>
      <c r="AJ76" s="61" t="n">
        <f aca="false">+AJ26/AJ$30</f>
        <v>0.00611384816287766</v>
      </c>
      <c r="AK76" s="61" t="n">
        <f aca="false">+AK26/AK$30</f>
        <v>0.00692913926026293</v>
      </c>
      <c r="AL76" s="61" t="n">
        <f aca="false">+AL26/AL$30</f>
        <v>0.00784273027827608</v>
      </c>
      <c r="AM76" s="61" t="n">
        <f aca="false">+AM26/AM$30</f>
        <v>0.0104680214709941</v>
      </c>
      <c r="AN76" s="61" t="n">
        <f aca="false">+AN26/AN$30</f>
        <v>0.0128578963605784</v>
      </c>
      <c r="AO76" s="61" t="n">
        <f aca="false">+AO26/AO$30</f>
        <v>0.0150678472975528</v>
      </c>
      <c r="AP76" s="61" t="n">
        <f aca="false">+AP26/AP$30</f>
        <v>0.0156956742682842</v>
      </c>
      <c r="AQ76" s="61" t="n">
        <f aca="false">+AQ26/AQ$30</f>
        <v>0.0156956742682842</v>
      </c>
      <c r="AR76" s="61" t="n">
        <f aca="false">+AR26/AR$30</f>
        <v>0.0156956742682842</v>
      </c>
      <c r="AS76" s="61" t="n">
        <f aca="false">+AS26/AS$30</f>
        <v>0.0156956742682842</v>
      </c>
      <c r="AT76" s="61" t="n">
        <f aca="false">+AT26/AT$30</f>
        <v>0.0158358142171081</v>
      </c>
      <c r="AU76" s="61"/>
      <c r="AV76" s="61"/>
      <c r="AW76" s="61"/>
      <c r="AX76" s="61"/>
      <c r="AY76" s="32"/>
      <c r="AZ76" s="32"/>
      <c r="BA76" s="61"/>
      <c r="BB76" s="61"/>
      <c r="BC76" s="61"/>
      <c r="BD76" s="61"/>
      <c r="BE76" s="61"/>
      <c r="BF76" s="61"/>
      <c r="BG76" s="61"/>
      <c r="BH76" s="61"/>
      <c r="BI76" s="61"/>
      <c r="BJ76" s="61"/>
      <c r="BK76" s="61"/>
      <c r="BL76" s="61"/>
      <c r="BM76" s="61"/>
      <c r="BN76" s="61"/>
      <c r="BO76" s="61"/>
      <c r="BP76" s="61"/>
      <c r="BQ76" s="61"/>
      <c r="BR76" s="61"/>
      <c r="BS76" s="61"/>
      <c r="BT76" s="61"/>
      <c r="BU76" s="61"/>
      <c r="BV76" s="61"/>
      <c r="BW76" s="61"/>
      <c r="BX76" s="61"/>
      <c r="BY76" s="61"/>
      <c r="BZ76" s="61"/>
      <c r="CA76" s="61"/>
      <c r="CB76" s="61"/>
      <c r="CC76" s="61"/>
      <c r="CD76" s="61"/>
      <c r="CE76" s="61"/>
      <c r="CF76" s="61"/>
      <c r="CG76" s="61"/>
      <c r="CH76" s="61"/>
      <c r="CI76" s="61"/>
      <c r="CJ76" s="61"/>
      <c r="CK76" s="61"/>
      <c r="CL76" s="61"/>
      <c r="CM76" s="61"/>
      <c r="CN76" s="61"/>
      <c r="CO76" s="61"/>
      <c r="CP76" s="61"/>
      <c r="CQ76" s="61"/>
      <c r="CR76" s="61"/>
      <c r="CS76" s="61"/>
      <c r="CT76" s="61"/>
      <c r="CU76" s="61"/>
      <c r="CV76" s="61"/>
      <c r="CW76" s="61"/>
      <c r="CX76" s="61"/>
      <c r="CY76" s="61"/>
      <c r="CZ76" s="61"/>
      <c r="DA76" s="61"/>
      <c r="DB76" s="61"/>
      <c r="DC76" s="61"/>
      <c r="DD76" s="61"/>
      <c r="DE76" s="61"/>
      <c r="DF76" s="61"/>
      <c r="DG76" s="61"/>
      <c r="DH76" s="61"/>
      <c r="DI76" s="61"/>
      <c r="DJ76" s="61"/>
      <c r="DK76" s="61"/>
      <c r="DL76" s="61"/>
      <c r="DM76" s="61"/>
      <c r="DN76" s="61"/>
      <c r="DO76" s="61"/>
      <c r="DP76" s="61"/>
      <c r="DQ76" s="61"/>
      <c r="DR76" s="61"/>
      <c r="DS76" s="61"/>
      <c r="DT76" s="61"/>
      <c r="DU76" s="61"/>
      <c r="DV76" s="61"/>
      <c r="DW76" s="61"/>
      <c r="DX76" s="61"/>
      <c r="DY76" s="61"/>
      <c r="DZ76" s="61"/>
      <c r="EA76" s="61"/>
      <c r="EB76" s="61"/>
      <c r="EC76" s="61"/>
      <c r="ED76" s="61"/>
      <c r="EE76" s="61"/>
      <c r="EF76" s="61"/>
      <c r="EG76" s="61"/>
      <c r="EH76" s="61"/>
      <c r="EI76" s="61"/>
      <c r="EJ76" s="61"/>
      <c r="EK76" s="61"/>
      <c r="EL76" s="61"/>
      <c r="EM76" s="61"/>
      <c r="EN76" s="32"/>
      <c r="EO76" s="32"/>
      <c r="EP76" s="32"/>
      <c r="EQ76" s="32"/>
      <c r="ER76" s="32"/>
    </row>
    <row r="77" s="43" customFormat="true" ht="12.8" hidden="false" customHeight="false" outlineLevel="0" collapsed="false">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c r="AK77" s="61"/>
      <c r="AL77" s="61"/>
      <c r="AM77" s="61"/>
      <c r="AN77" s="61"/>
      <c r="AO77" s="61"/>
      <c r="AP77" s="61"/>
      <c r="AQ77" s="61"/>
      <c r="AR77" s="1"/>
      <c r="AS77" s="61"/>
      <c r="AT77" s="61"/>
      <c r="AU77" s="61"/>
      <c r="AV77" s="61"/>
      <c r="AW77" s="61"/>
      <c r="AX77" s="61"/>
      <c r="AY77" s="32"/>
      <c r="AZ77" s="32"/>
      <c r="BA77" s="61"/>
      <c r="BB77" s="61"/>
      <c r="BC77" s="61"/>
      <c r="BD77" s="61"/>
      <c r="BE77" s="61"/>
      <c r="BF77" s="61"/>
      <c r="BG77" s="61"/>
      <c r="BH77" s="61"/>
      <c r="BI77" s="61"/>
      <c r="BJ77" s="61"/>
      <c r="BK77" s="61"/>
      <c r="BL77" s="61"/>
      <c r="BM77" s="61"/>
      <c r="BN77" s="61"/>
      <c r="BO77" s="61"/>
      <c r="BP77" s="61"/>
      <c r="BQ77" s="61"/>
      <c r="BR77" s="61"/>
      <c r="BS77" s="61"/>
      <c r="BT77" s="61"/>
      <c r="BU77" s="61"/>
      <c r="BV77" s="61"/>
      <c r="BW77" s="61"/>
      <c r="BX77" s="61"/>
      <c r="BY77" s="61"/>
      <c r="BZ77" s="61"/>
      <c r="CA77" s="61"/>
      <c r="CB77" s="61"/>
      <c r="CC77" s="61"/>
      <c r="CD77" s="61"/>
      <c r="CE77" s="61"/>
      <c r="CF77" s="61"/>
      <c r="CG77" s="61"/>
      <c r="CH77" s="61"/>
      <c r="CI77" s="61"/>
      <c r="CJ77" s="61"/>
      <c r="CK77" s="61"/>
      <c r="CL77" s="61"/>
      <c r="CM77" s="61"/>
      <c r="CN77" s="61"/>
      <c r="CO77" s="61"/>
      <c r="CP77" s="61"/>
      <c r="CQ77" s="61"/>
      <c r="CR77" s="61"/>
      <c r="CS77" s="61"/>
      <c r="CT77" s="61"/>
      <c r="CU77" s="61"/>
      <c r="CV77" s="61"/>
      <c r="CW77" s="61"/>
      <c r="CX77" s="61"/>
      <c r="CY77" s="61"/>
      <c r="CZ77" s="61"/>
      <c r="DA77" s="61"/>
      <c r="DB77" s="61"/>
      <c r="DC77" s="61"/>
      <c r="DD77" s="61"/>
      <c r="DE77" s="61"/>
      <c r="DF77" s="61"/>
      <c r="DG77" s="61"/>
      <c r="DH77" s="61"/>
      <c r="DI77" s="61"/>
      <c r="DJ77" s="61"/>
      <c r="DK77" s="61"/>
      <c r="DL77" s="61"/>
      <c r="DM77" s="61"/>
      <c r="DN77" s="61"/>
      <c r="DO77" s="61"/>
      <c r="DP77" s="61"/>
      <c r="DQ77" s="61"/>
      <c r="DR77" s="61"/>
      <c r="DS77" s="61"/>
      <c r="DT77" s="61"/>
      <c r="DU77" s="61"/>
      <c r="DV77" s="61"/>
      <c r="DW77" s="61"/>
      <c r="DX77" s="61"/>
      <c r="DY77" s="61"/>
      <c r="DZ77" s="61"/>
      <c r="EA77" s="61"/>
      <c r="EB77" s="61"/>
      <c r="EC77" s="61"/>
      <c r="ED77" s="61"/>
      <c r="EE77" s="61"/>
      <c r="EF77" s="61"/>
      <c r="EG77" s="61"/>
      <c r="EH77" s="61"/>
      <c r="EI77" s="61"/>
      <c r="EJ77" s="61"/>
      <c r="EK77" s="61"/>
      <c r="EL77" s="61"/>
      <c r="EM77" s="61"/>
      <c r="EN77" s="32"/>
      <c r="EO77" s="32"/>
      <c r="EP77" s="32"/>
      <c r="EQ77" s="32"/>
      <c r="ER77" s="32"/>
    </row>
    <row r="78" s="43" customFormat="true" ht="12.8" hidden="false" customHeight="false" outlineLevel="0" collapsed="false">
      <c r="A78" s="61" t="s">
        <v>204</v>
      </c>
      <c r="B78" s="61"/>
      <c r="C78" s="61" t="n">
        <f aca="false">+(C30*4)/AVERAGE(B109:C109)</f>
        <v>0.690352926109042</v>
      </c>
      <c r="D78" s="61" t="n">
        <f aca="false">+(D30*4)/AVERAGE(C109:D109)</f>
        <v>0.63587312601851</v>
      </c>
      <c r="E78" s="61" t="n">
        <f aca="false">+(E30*4)/AVERAGE(D109:E109)</f>
        <v>0.705718396529951</v>
      </c>
      <c r="F78" s="61" t="n">
        <f aca="false">+(F30*4)/AVERAGE(E109:F109)</f>
        <v>0.618986139801018</v>
      </c>
      <c r="G78" s="61" t="n">
        <f aca="false">+(G30*4)/AVERAGE(F109:G109)</f>
        <v>0.654410985591971</v>
      </c>
      <c r="H78" s="61" t="n">
        <f aca="false">+(H30*4)/AVERAGE(G109:H109)</f>
        <v>0.645844888525295</v>
      </c>
      <c r="I78" s="61" t="n">
        <f aca="false">+(I30*4)/AVERAGE(H109:I109)</f>
        <v>0.719645660526436</v>
      </c>
      <c r="J78" s="61" t="n">
        <f aca="false">+(J30*4)/AVERAGE(I109:J109)</f>
        <v>0.644555011118237</v>
      </c>
      <c r="K78" s="61" t="n">
        <f aca="false">+(K30*4)/AVERAGE(J109:K109)</f>
        <v>0.689870399970623</v>
      </c>
      <c r="L78" s="61" t="n">
        <f aca="false">+(L30*4)/AVERAGE(K109:L109)</f>
        <v>0.667244453764622</v>
      </c>
      <c r="M78" s="61" t="n">
        <f aca="false">+(M30*4)/AVERAGE(L109:M109)</f>
        <v>0.727823491641277</v>
      </c>
      <c r="N78" s="61" t="n">
        <f aca="false">+(N30*4)/AVERAGE(M109:N109)</f>
        <v>0.609232025815679</v>
      </c>
      <c r="O78" s="61" t="n">
        <f aca="false">+(O30*4)/AVERAGE(N109:O109)</f>
        <v>0.661141225263248</v>
      </c>
      <c r="P78" s="61" t="n">
        <f aca="false">+(P30*4)/AVERAGE(O109:P109)</f>
        <v>0.684837825262811</v>
      </c>
      <c r="Q78" s="61" t="n">
        <f aca="false">+(Q30*4)/AVERAGE(P109:Q109)</f>
        <v>0.715284054749477</v>
      </c>
      <c r="R78" s="61" t="n">
        <f aca="false">+(R30*4)/AVERAGE(Q109:R109)</f>
        <v>0.591757482508739</v>
      </c>
      <c r="S78" s="61" t="n">
        <f aca="false">+(S30*4)/AVERAGE(R109:S109)</f>
        <v>0.575490186980569</v>
      </c>
      <c r="T78" s="61"/>
      <c r="U78" s="61"/>
      <c r="V78" s="61"/>
      <c r="W78" s="61"/>
      <c r="X78" s="61"/>
      <c r="Y78" s="61"/>
      <c r="Z78" s="61"/>
      <c r="AA78" s="61" t="n">
        <f aca="false">+SUM(AA30)/AVERAGE(Z109:AA109)</f>
        <v>0.47485009731015</v>
      </c>
      <c r="AB78" s="61" t="n">
        <f aca="false">+SUM(AB30)/AVERAGE(AA109:AB109)</f>
        <v>0.47711764048062</v>
      </c>
      <c r="AC78" s="61" t="n">
        <f aca="false">+SUM(AC30)/AVERAGE(AB109:AC109)</f>
        <v>0.43089398789978</v>
      </c>
      <c r="AD78" s="61" t="n">
        <f aca="false">+SUM(AD30)/AVERAGE(AC109:AD109)</f>
        <v>0.401194642038362</v>
      </c>
      <c r="AE78" s="61" t="n">
        <f aca="false">+SUM(AE30)/AVERAGE(AD109:AE109)</f>
        <v>0.483316709776862</v>
      </c>
      <c r="AF78" s="61" t="n">
        <f aca="false">+SUM(AF30)/AVERAGE(AE109:AF109)</f>
        <v>0.543907197915049</v>
      </c>
      <c r="AG78" s="61" t="n">
        <f aca="false">+SUM(AG30)/AVERAGE(AF109:AG109)</f>
        <v>0.614083323404497</v>
      </c>
      <c r="AH78" s="61" t="n">
        <f aca="false">+SUM(AH30)/AVERAGE(AG109:AH109)</f>
        <v>0.612864481033938</v>
      </c>
      <c r="AI78" s="61" t="n">
        <f aca="false">+SUM(AI30)/AVERAGE(AH109:AI109)</f>
        <v>0.587409182151859</v>
      </c>
      <c r="AJ78" s="61" t="n">
        <f aca="false">+SUM(AJ30)/AVERAGE(AI109:AJ109)</f>
        <v>0.725040812592256</v>
      </c>
      <c r="AK78" s="61" t="n">
        <f aca="false">+SUM(AK30)/AVERAGE(AJ109:AK109)</f>
        <v>0.663089736485069</v>
      </c>
      <c r="AL78" s="61" t="n">
        <f aca="false">+SUM(AL30)/AVERAGE(AK109:AL109)</f>
        <v>0.649582164345801</v>
      </c>
      <c r="AM78" s="61" t="n">
        <f aca="false">+SUM(AM30)/AVERAGE(AL109:AM109)</f>
        <v>0.650616818637052</v>
      </c>
      <c r="AN78" s="61" t="n">
        <f aca="false">+SUM(AN30)/AVERAGE(AM109:AN109)</f>
        <v>0.625989108976736</v>
      </c>
      <c r="AO78" s="61"/>
      <c r="AP78" s="61"/>
      <c r="AQ78" s="61"/>
      <c r="AR78" s="1"/>
      <c r="AS78" s="61"/>
      <c r="AT78" s="61"/>
      <c r="AU78" s="61"/>
      <c r="AV78" s="61"/>
      <c r="AW78" s="61"/>
      <c r="AX78" s="61"/>
      <c r="AY78" s="32"/>
      <c r="AZ78" s="32"/>
      <c r="BA78" s="61"/>
      <c r="BB78" s="61"/>
      <c r="BC78" s="61"/>
      <c r="BD78" s="61"/>
      <c r="BE78" s="61"/>
      <c r="BF78" s="61"/>
      <c r="BG78" s="61"/>
      <c r="BH78" s="61"/>
      <c r="BI78" s="61"/>
      <c r="BJ78" s="61"/>
      <c r="BK78" s="61"/>
      <c r="BL78" s="61"/>
      <c r="BM78" s="61"/>
      <c r="BN78" s="61"/>
      <c r="BO78" s="61"/>
      <c r="BP78" s="61"/>
      <c r="BQ78" s="61"/>
      <c r="BR78" s="61"/>
      <c r="BS78" s="61"/>
      <c r="BT78" s="61"/>
      <c r="BU78" s="61"/>
      <c r="BV78" s="61"/>
      <c r="BW78" s="61"/>
      <c r="BX78" s="61"/>
      <c r="BY78" s="61"/>
      <c r="BZ78" s="61"/>
      <c r="CA78" s="61"/>
      <c r="CB78" s="61"/>
      <c r="CC78" s="61"/>
      <c r="CD78" s="61"/>
      <c r="CE78" s="61"/>
      <c r="CF78" s="61"/>
      <c r="CG78" s="61"/>
      <c r="CH78" s="61"/>
      <c r="CI78" s="61"/>
      <c r="CJ78" s="61"/>
      <c r="CK78" s="61"/>
      <c r="CL78" s="61"/>
      <c r="CM78" s="61"/>
      <c r="CN78" s="61"/>
      <c r="CO78" s="61"/>
      <c r="CP78" s="61"/>
      <c r="CQ78" s="61"/>
      <c r="CR78" s="61"/>
      <c r="CS78" s="61"/>
      <c r="CT78" s="61"/>
      <c r="CU78" s="61"/>
      <c r="CV78" s="61"/>
      <c r="CW78" s="61"/>
      <c r="CX78" s="61"/>
      <c r="CY78" s="61"/>
      <c r="CZ78" s="61"/>
      <c r="DA78" s="61"/>
      <c r="DB78" s="61"/>
      <c r="DC78" s="61"/>
      <c r="DD78" s="61"/>
      <c r="DE78" s="61"/>
      <c r="DF78" s="61"/>
      <c r="DG78" s="61"/>
      <c r="DH78" s="61"/>
      <c r="DI78" s="61"/>
      <c r="DJ78" s="61"/>
      <c r="DK78" s="61"/>
      <c r="DL78" s="61"/>
      <c r="DM78" s="61"/>
      <c r="DN78" s="61"/>
      <c r="DO78" s="61"/>
      <c r="DP78" s="61"/>
      <c r="DQ78" s="61"/>
      <c r="DR78" s="61"/>
      <c r="DS78" s="61"/>
      <c r="DT78" s="61"/>
      <c r="DU78" s="61"/>
      <c r="DV78" s="61"/>
      <c r="DW78" s="61"/>
      <c r="DX78" s="61"/>
      <c r="DY78" s="61"/>
      <c r="DZ78" s="61"/>
      <c r="EA78" s="61"/>
      <c r="EB78" s="61"/>
      <c r="EC78" s="61"/>
      <c r="ED78" s="61"/>
      <c r="EE78" s="61"/>
      <c r="EF78" s="61"/>
      <c r="EG78" s="61"/>
      <c r="EH78" s="61"/>
      <c r="EI78" s="61"/>
      <c r="EJ78" s="61"/>
      <c r="EK78" s="61"/>
      <c r="EL78" s="61"/>
      <c r="EM78" s="61"/>
      <c r="EN78" s="32"/>
      <c r="EO78" s="32"/>
      <c r="EP78" s="32"/>
      <c r="EQ78" s="32"/>
      <c r="ER78" s="32"/>
    </row>
    <row r="79" s="44" customFormat="true" ht="12.8" hidden="false" customHeight="false" outlineLevel="0" collapsed="false">
      <c r="A79" s="61" t="s">
        <v>205</v>
      </c>
      <c r="B79" s="61"/>
      <c r="C79" s="61" t="n">
        <f aca="false">+(C52*4)/AVERAGE(B109:C109)</f>
        <v>0.160168968735381</v>
      </c>
      <c r="D79" s="61" t="n">
        <f aca="false">+(D52*4)/AVERAGE(C109:D109)</f>
        <v>0.100839373199515</v>
      </c>
      <c r="E79" s="61" t="n">
        <f aca="false">+(E52*4)/AVERAGE(D109:E109)</f>
        <v>0.102067526213503</v>
      </c>
      <c r="F79" s="61" t="n">
        <f aca="false">+(F52*4)/AVERAGE(E109:F109)</f>
        <v>0.123365050519253</v>
      </c>
      <c r="G79" s="61" t="n">
        <f aca="false">+(G52*4)/AVERAGE(F109:G109)</f>
        <v>0.159272250876286</v>
      </c>
      <c r="H79" s="61" t="n">
        <f aca="false">+(H52*4)/AVERAGE(G109:H109)</f>
        <v>0.219083387330536</v>
      </c>
      <c r="I79" s="61" t="n">
        <f aca="false">+(I52*4)/AVERAGE(H109:I109)</f>
        <v>0.251483962593779</v>
      </c>
      <c r="J79" s="61" t="n">
        <f aca="false">+(J52*4)/AVERAGE(I109:J109)</f>
        <v>0.218694306200013</v>
      </c>
      <c r="K79" s="61" t="n">
        <f aca="false">+(K52*4)/AVERAGE(J109:K109)</f>
        <v>0.237749352092458</v>
      </c>
      <c r="L79" s="61" t="n">
        <f aca="false">+(L52*4)/AVERAGE(K109:L109)</f>
        <v>0.257895759704831</v>
      </c>
      <c r="M79" s="61" t="n">
        <f aca="false">+(M52*4)/AVERAGE(L109:M109)</f>
        <v>0.31345222525206</v>
      </c>
      <c r="N79" s="61" t="n">
        <f aca="false">+(N52*4)/AVERAGE(M109:N109)</f>
        <v>0.239638366443167</v>
      </c>
      <c r="O79" s="61" t="n">
        <f aca="false">+(O52*4)/AVERAGE(N109:O109)</f>
        <v>0.259914935767267</v>
      </c>
      <c r="P79" s="61" t="n">
        <f aca="false">+(P52*4)/AVERAGE(O109:P109)</f>
        <v>0.236356054404059</v>
      </c>
      <c r="Q79" s="61" t="n">
        <f aca="false">+(Q52*4)/AVERAGE(P109:Q109)</f>
        <v>0.271911364575762</v>
      </c>
      <c r="R79" s="61" t="n">
        <f aca="false">+(R52*4)/AVERAGE(Q109:R109)</f>
        <v>0.292657813400328</v>
      </c>
      <c r="S79" s="61" t="n">
        <f aca="false">+(S52*4)/AVERAGE(R109:S109)</f>
        <v>0.150003593415701</v>
      </c>
      <c r="T79" s="61"/>
      <c r="U79" s="61"/>
      <c r="V79" s="61"/>
      <c r="W79" s="61"/>
      <c r="X79" s="61"/>
      <c r="Y79" s="61"/>
      <c r="Z79" s="61"/>
      <c r="AA79" s="61" t="n">
        <f aca="false">+SUM(AA52)/AVERAGE(Z109:AA109)</f>
        <v>0.00494538321034347</v>
      </c>
      <c r="AB79" s="61" t="n">
        <f aca="false">+SUM(AB52)/AVERAGE(AA109:AB109)</f>
        <v>0.090914184542801</v>
      </c>
      <c r="AC79" s="61" t="n">
        <f aca="false">+SUM(AC52)/AVERAGE(AB109:AC109)</f>
        <v>0.101622679642656</v>
      </c>
      <c r="AD79" s="61" t="n">
        <f aca="false">+SUM(AD52)/AVERAGE(AC109:AD109)</f>
        <v>0.0825304462202968</v>
      </c>
      <c r="AE79" s="61" t="n">
        <f aca="false">+SUM(AE52)/AVERAGE(AD109:AE109)</f>
        <v>0.178668746790296</v>
      </c>
      <c r="AF79" s="61" t="n">
        <f aca="false">+SUM(AF52)/AVERAGE(AE109:AF109)</f>
        <v>0.213185184158079</v>
      </c>
      <c r="AG79" s="61" t="n">
        <f aca="false">+SUM(AG52)/AVERAGE(AF109:AG109)</f>
        <v>0.24317866770157</v>
      </c>
      <c r="AH79" s="61" t="n">
        <f aca="false">+SUM(AH52)/AVERAGE(AG109:AH109)</f>
        <v>0.160244422421211</v>
      </c>
      <c r="AI79" s="61" t="n">
        <f aca="false">+SUM(AI52)/AVERAGE(AH109:AI109)</f>
        <v>0.19915812275924</v>
      </c>
      <c r="AJ79" s="61" t="n">
        <f aca="false">+SUM(AJ52)/AVERAGE(AI109:AJ109)</f>
        <v>0.242051207012331</v>
      </c>
      <c r="AK79" s="61" t="n">
        <f aca="false">+SUM(AK52)/AVERAGE(AJ109:AK109)</f>
        <v>0.131925339265868</v>
      </c>
      <c r="AL79" s="61" t="n">
        <f aca="false">+SUM(AL52)/AVERAGE(AK109:AL109)</f>
        <v>0.188265284885266</v>
      </c>
      <c r="AM79" s="61" t="n">
        <f aca="false">+SUM(AM52)/AVERAGE(AL109:AM109)</f>
        <v>0.246639624137279</v>
      </c>
      <c r="AN79" s="61" t="n">
        <f aca="false">+SUM(AN52)/AVERAGE(AM109:AN109)</f>
        <v>0.188320658969754</v>
      </c>
      <c r="AO79" s="61"/>
      <c r="AP79" s="61"/>
      <c r="AQ79" s="61"/>
      <c r="AR79" s="1"/>
      <c r="AS79" s="61"/>
      <c r="AT79" s="61"/>
      <c r="AU79" s="61"/>
      <c r="AV79" s="61"/>
      <c r="AW79" s="61"/>
      <c r="AX79" s="61"/>
      <c r="AY79" s="32"/>
      <c r="AZ79" s="32"/>
      <c r="BA79" s="61"/>
      <c r="BB79" s="61"/>
      <c r="BC79" s="61"/>
      <c r="BD79" s="61"/>
      <c r="BE79" s="61"/>
      <c r="BF79" s="61"/>
      <c r="BG79" s="61"/>
      <c r="BH79" s="61"/>
      <c r="BI79" s="61"/>
      <c r="BJ79" s="61"/>
      <c r="BK79" s="61"/>
      <c r="BL79" s="61"/>
      <c r="BM79" s="61"/>
      <c r="BN79" s="61"/>
      <c r="BO79" s="61"/>
      <c r="BP79" s="61"/>
      <c r="BQ79" s="61"/>
      <c r="BR79" s="61"/>
      <c r="BS79" s="61"/>
      <c r="BT79" s="61"/>
      <c r="BU79" s="61"/>
      <c r="BV79" s="61"/>
      <c r="BW79" s="61"/>
      <c r="BX79" s="61"/>
      <c r="BY79" s="61"/>
      <c r="BZ79" s="61"/>
      <c r="CA79" s="61"/>
      <c r="CB79" s="61"/>
      <c r="CC79" s="61"/>
      <c r="CD79" s="61"/>
      <c r="CE79" s="61"/>
      <c r="CF79" s="61"/>
      <c r="CG79" s="61"/>
      <c r="CH79" s="61"/>
      <c r="CI79" s="61"/>
      <c r="CJ79" s="61"/>
      <c r="CK79" s="61"/>
      <c r="CL79" s="61"/>
      <c r="CM79" s="61"/>
      <c r="CN79" s="61"/>
      <c r="CO79" s="61"/>
      <c r="CP79" s="61"/>
      <c r="CQ79" s="61"/>
      <c r="CR79" s="61"/>
      <c r="CS79" s="61"/>
      <c r="CT79" s="61"/>
      <c r="CU79" s="61"/>
      <c r="CV79" s="61"/>
      <c r="CW79" s="61"/>
      <c r="CX79" s="61"/>
      <c r="CY79" s="61"/>
      <c r="CZ79" s="61"/>
      <c r="DA79" s="61"/>
      <c r="DB79" s="61"/>
      <c r="DC79" s="61"/>
      <c r="DD79" s="61"/>
      <c r="DE79" s="61"/>
      <c r="DF79" s="61"/>
      <c r="DG79" s="61"/>
      <c r="DH79" s="61"/>
      <c r="DI79" s="61"/>
      <c r="DJ79" s="61"/>
      <c r="DK79" s="61"/>
      <c r="DL79" s="61"/>
      <c r="DM79" s="61"/>
      <c r="DN79" s="61"/>
      <c r="DO79" s="61"/>
      <c r="DP79" s="61"/>
      <c r="DQ79" s="61"/>
      <c r="DR79" s="61"/>
      <c r="DS79" s="61"/>
      <c r="DT79" s="61"/>
      <c r="DU79" s="61"/>
      <c r="DV79" s="61"/>
      <c r="DW79" s="61"/>
      <c r="DX79" s="61"/>
      <c r="DY79" s="61"/>
      <c r="DZ79" s="61"/>
      <c r="EA79" s="61"/>
      <c r="EB79" s="61"/>
      <c r="EC79" s="61"/>
      <c r="ED79" s="61"/>
      <c r="EE79" s="61"/>
      <c r="EF79" s="61"/>
      <c r="EG79" s="61"/>
      <c r="EH79" s="61"/>
      <c r="EI79" s="61"/>
      <c r="EJ79" s="61"/>
      <c r="EK79" s="61"/>
      <c r="EL79" s="61"/>
      <c r="EM79" s="61"/>
      <c r="EN79" s="32"/>
      <c r="EO79" s="32"/>
      <c r="EP79" s="32"/>
      <c r="EQ79" s="32"/>
      <c r="ER79" s="32"/>
    </row>
    <row r="80" s="43" customFormat="true" ht="12.8" hidden="false" customHeight="false" outlineLevel="0" collapsed="false">
      <c r="A80" s="61" t="s">
        <v>206</v>
      </c>
      <c r="B80" s="61"/>
      <c r="C80" s="61" t="n">
        <f aca="false">+C81*C78*C68</f>
        <v>0.214847687704572</v>
      </c>
      <c r="D80" s="61" t="n">
        <f aca="false">+D81*D78*D68</f>
        <v>0.140718239341074</v>
      </c>
      <c r="E80" s="61" t="n">
        <f aca="false">+E81*E78*E68</f>
        <v>0.148979011797107</v>
      </c>
      <c r="F80" s="61" t="n">
        <f aca="false">+F81*F78*F68</f>
        <v>0.18231753077746</v>
      </c>
      <c r="G80" s="61" t="n">
        <f aca="false">+G81*G78*G68</f>
        <v>0.240715842180908</v>
      </c>
      <c r="H80" s="61" t="n">
        <f aca="false">+H81*H78*H68</f>
        <v>0.334640636172564</v>
      </c>
      <c r="I80" s="61" t="n">
        <f aca="false">+I81*I78*I68</f>
        <v>0.378785370945241</v>
      </c>
      <c r="J80" s="61" t="n">
        <f aca="false">+J81*J78*J68</f>
        <v>0.326901158584327</v>
      </c>
      <c r="K80" s="61" t="n">
        <f aca="false">+K81*K78*K68</f>
        <v>0.351690543664216</v>
      </c>
      <c r="L80" s="61" t="n">
        <f aca="false">+L81*L78*L68</f>
        <v>0.390622860201935</v>
      </c>
      <c r="M80" s="61" t="n">
        <f aca="false">+M81*M78*M68</f>
        <v>0.480185271599177</v>
      </c>
      <c r="N80" s="61" t="n">
        <f aca="false">+N81*N78*N68</f>
        <v>0.362154781785642</v>
      </c>
      <c r="O80" s="61" t="n">
        <f aca="false">+O81*O78*O68</f>
        <v>0.393160729178451</v>
      </c>
      <c r="P80" s="61" t="n">
        <f aca="false">+P81*P78*P68</f>
        <v>0.363574688540767</v>
      </c>
      <c r="Q80" s="61" t="n">
        <f aca="false">+Q81*Q78*Q68</f>
        <v>0.442839811431308</v>
      </c>
      <c r="R80" s="61" t="n">
        <f aca="false">+R81*R78*R68</f>
        <v>0.48335951263115</v>
      </c>
      <c r="S80" s="61" t="n">
        <f aca="false">+S81*S78*S68</f>
        <v>0.251106155253891</v>
      </c>
      <c r="T80" s="61"/>
      <c r="U80" s="61"/>
      <c r="V80" s="61"/>
      <c r="W80" s="61"/>
      <c r="X80" s="61"/>
      <c r="Y80" s="61"/>
      <c r="Z80" s="61"/>
      <c r="AA80" s="61" t="n">
        <f aca="false">+AA81*AA78*AA68</f>
        <v>0.00660889082860528</v>
      </c>
      <c r="AB80" s="61" t="n">
        <f aca="false">+AB81*AB78*AB68</f>
        <v>0.110192837465565</v>
      </c>
      <c r="AC80" s="61" t="n">
        <f aca="false">+AC81*AC78*AC68</f>
        <v>0.114028623511616</v>
      </c>
      <c r="AD80" s="61" t="n">
        <f aca="false">+AD81*AD78*AD68</f>
        <v>0.091839529845357</v>
      </c>
      <c r="AE80" s="61" t="n">
        <f aca="false">+AE81*AE78*AE68</f>
        <v>0.197597957683828</v>
      </c>
      <c r="AF80" s="61" t="n">
        <f aca="false">+AF81*AF78*AF68</f>
        <v>0.23863832081533</v>
      </c>
      <c r="AG80" s="61" t="n">
        <f aca="false">+AG81*AG78*AG68</f>
        <v>0.279061549528629</v>
      </c>
      <c r="AH80" s="61" t="n">
        <f aca="false">+AH81*AH78*AH68</f>
        <v>0.199642511920769</v>
      </c>
      <c r="AI80" s="61" t="n">
        <f aca="false">+AI81*AI78*AI68</f>
        <v>0.254168410771592</v>
      </c>
      <c r="AJ80" s="61" t="n">
        <f aca="false">+AJ81*AJ78*AJ68</f>
        <v>0.311017541642144</v>
      </c>
      <c r="AK80" s="61" t="n">
        <f aca="false">+AK81*AK78*AK68</f>
        <v>0.185161537479249</v>
      </c>
      <c r="AL80" s="61" t="n">
        <f aca="false">+AL81*AL78*AL68</f>
        <v>0.280391995152054</v>
      </c>
      <c r="AM80" s="61" t="n">
        <f aca="false">+AM81*AM78*AM68</f>
        <v>0.371406024329596</v>
      </c>
      <c r="AN80" s="61" t="n">
        <f aca="false">+AN81*AN78*AN68</f>
        <v>0.302380714214264</v>
      </c>
      <c r="AO80" s="61"/>
      <c r="AP80" s="61"/>
      <c r="AQ80" s="61"/>
      <c r="AR80" s="1"/>
      <c r="AS80" s="61"/>
      <c r="AT80" s="61"/>
      <c r="AU80" s="61"/>
      <c r="AV80" s="61"/>
      <c r="AW80" s="61"/>
      <c r="AX80" s="61"/>
      <c r="AY80" s="32"/>
      <c r="AZ80" s="32"/>
      <c r="BA80" s="61"/>
      <c r="BB80" s="61"/>
      <c r="BC80" s="61"/>
      <c r="BD80" s="61"/>
      <c r="BE80" s="61"/>
      <c r="BF80" s="61"/>
      <c r="BG80" s="61"/>
      <c r="BH80" s="61"/>
      <c r="BI80" s="61"/>
      <c r="BJ80" s="61"/>
      <c r="BK80" s="61"/>
      <c r="BL80" s="61"/>
      <c r="BM80" s="61"/>
      <c r="BN80" s="61"/>
      <c r="BO80" s="61"/>
      <c r="BP80" s="61"/>
      <c r="BQ80" s="61"/>
      <c r="BR80" s="61"/>
      <c r="BS80" s="61"/>
      <c r="BT80" s="61"/>
      <c r="BU80" s="61"/>
      <c r="BV80" s="61"/>
      <c r="BW80" s="61"/>
      <c r="BX80" s="61"/>
      <c r="BY80" s="61"/>
      <c r="BZ80" s="61"/>
      <c r="CA80" s="61"/>
      <c r="CB80" s="61"/>
      <c r="CC80" s="61"/>
      <c r="CD80" s="61"/>
      <c r="CE80" s="61"/>
      <c r="CF80" s="61"/>
      <c r="CG80" s="61"/>
      <c r="CH80" s="61"/>
      <c r="CI80" s="61"/>
      <c r="CJ80" s="61"/>
      <c r="CK80" s="61"/>
      <c r="CL80" s="61"/>
      <c r="CM80" s="61"/>
      <c r="CN80" s="61"/>
      <c r="CO80" s="61"/>
      <c r="CP80" s="61"/>
      <c r="CQ80" s="61"/>
      <c r="CR80" s="61"/>
      <c r="CS80" s="61"/>
      <c r="CT80" s="61"/>
      <c r="CU80" s="61"/>
      <c r="CV80" s="61"/>
      <c r="CW80" s="61"/>
      <c r="CX80" s="61"/>
      <c r="CY80" s="61"/>
      <c r="CZ80" s="61"/>
      <c r="DA80" s="61"/>
      <c r="DB80" s="61"/>
      <c r="DC80" s="61"/>
      <c r="DD80" s="61"/>
      <c r="DE80" s="61"/>
      <c r="DF80" s="61"/>
      <c r="DG80" s="61"/>
      <c r="DH80" s="61"/>
      <c r="DI80" s="61"/>
      <c r="DJ80" s="61"/>
      <c r="DK80" s="61"/>
      <c r="DL80" s="61"/>
      <c r="DM80" s="61"/>
      <c r="DN80" s="61"/>
      <c r="DO80" s="61"/>
      <c r="DP80" s="61"/>
      <c r="DQ80" s="61"/>
      <c r="DR80" s="61"/>
      <c r="DS80" s="61"/>
      <c r="DT80" s="61"/>
      <c r="DU80" s="61"/>
      <c r="DV80" s="61"/>
      <c r="DW80" s="61"/>
      <c r="DX80" s="61"/>
      <c r="DY80" s="61"/>
      <c r="DZ80" s="61"/>
      <c r="EA80" s="61"/>
      <c r="EB80" s="61"/>
      <c r="EC80" s="61"/>
      <c r="ED80" s="61"/>
      <c r="EE80" s="61"/>
      <c r="EF80" s="61"/>
      <c r="EG80" s="61"/>
      <c r="EH80" s="61"/>
      <c r="EI80" s="61"/>
      <c r="EJ80" s="61"/>
      <c r="EK80" s="61"/>
      <c r="EL80" s="61"/>
      <c r="EM80" s="61"/>
      <c r="EN80" s="32"/>
      <c r="EO80" s="32"/>
      <c r="EP80" s="32"/>
      <c r="EQ80" s="32"/>
      <c r="ER80" s="32"/>
    </row>
    <row r="81" s="43" customFormat="true" ht="12.8" hidden="false" customHeight="false" outlineLevel="0" collapsed="false">
      <c r="A81" s="44" t="s">
        <v>207</v>
      </c>
      <c r="B81" s="44"/>
      <c r="C81" s="44" t="n">
        <f aca="false">+AVERAGE(B109:C109)/AVERAGE(B124:C124)</f>
        <v>1.34138147608059</v>
      </c>
      <c r="D81" s="44" t="n">
        <f aca="false">+AVERAGE(C109:D109)/AVERAGE(C124:D124)</f>
        <v>1.39546919894729</v>
      </c>
      <c r="E81" s="44" t="n">
        <f aca="false">+AVERAGE(D109:E109)/AVERAGE(D124:E124)</f>
        <v>1.45961225204455</v>
      </c>
      <c r="F81" s="44" t="n">
        <f aca="false">+AVERAGE(E109:F109)/AVERAGE(E124:F124)</f>
        <v>1.47787019103118</v>
      </c>
      <c r="G81" s="44" t="n">
        <f aca="false">+AVERAGE(F109:G109)/AVERAGE(F124:G124)</f>
        <v>1.51134827853901</v>
      </c>
      <c r="H81" s="44" t="n">
        <f aca="false">+AVERAGE(G109:H109)/AVERAGE(G124:H124)</f>
        <v>1.52745783352201</v>
      </c>
      <c r="I81" s="44" t="n">
        <f aca="false">+AVERAGE(H109:I109)/AVERAGE(H124:I124)</f>
        <v>1.50620090060014</v>
      </c>
      <c r="J81" s="44" t="n">
        <f aca="false">+AVERAGE(I109:J109)/AVERAGE(I124:J124)</f>
        <v>1.49478586920937</v>
      </c>
      <c r="K81" s="44" t="n">
        <f aca="false">+AVERAGE(J109:K109)/AVERAGE(J124:K124)</f>
        <v>1.47924922010911</v>
      </c>
      <c r="L81" s="44" t="n">
        <f aca="false">+AVERAGE(K109:L109)/AVERAGE(K124:L124)</f>
        <v>1.51465406274618</v>
      </c>
      <c r="M81" s="44" t="n">
        <f aca="false">+AVERAGE(L109:M109)/AVERAGE(L124:M124)</f>
        <v>1.53192490885346</v>
      </c>
      <c r="N81" s="44" t="n">
        <f aca="false">+AVERAGE(M109:N109)/AVERAGE(M124:N124)</f>
        <v>1.51125542692068</v>
      </c>
      <c r="O81" s="44" t="n">
        <f aca="false">+AVERAGE(N109:O109)/AVERAGE(N124:O124)</f>
        <v>1.51265154508279</v>
      </c>
      <c r="P81" s="44" t="n">
        <f aca="false">+AVERAGE(O109:P109)/AVERAGE(O124:P124)</f>
        <v>1.53824994861026</v>
      </c>
      <c r="Q81" s="44" t="n">
        <f aca="false">+AVERAGE(P109:Q109)/AVERAGE(P124:Q124)</f>
        <v>1.62861825257738</v>
      </c>
      <c r="R81" s="44" t="n">
        <f aca="false">+AVERAGE(Q109:R109)/AVERAGE(Q124:R124)</f>
        <v>1.65162005078593</v>
      </c>
      <c r="S81" s="44" t="n">
        <f aca="false">+AVERAGE(R109:S109)/AVERAGE(R124:S124)</f>
        <v>1.67400093248437</v>
      </c>
      <c r="T81" s="44"/>
      <c r="U81" s="44"/>
      <c r="V81" s="44"/>
      <c r="W81" s="44"/>
      <c r="X81" s="44"/>
      <c r="Y81" s="44"/>
      <c r="Z81" s="44"/>
      <c r="AA81" s="44" t="n">
        <f aca="false">+AVERAGE(Z109:AA109)/AVERAGE(Z124:AA124)</f>
        <v>1.33637587776464</v>
      </c>
      <c r="AB81" s="44" t="n">
        <f aca="false">+AVERAGE(AA109:AB109)/AVERAGE(AA124:AB124)</f>
        <v>1.21205330081015</v>
      </c>
      <c r="AC81" s="44" t="n">
        <f aca="false">+AVERAGE(AB109:AC109)/AVERAGE(AB124:AC124)</f>
        <v>1.12207849579035</v>
      </c>
      <c r="AD81" s="44" t="n">
        <f aca="false">+AVERAGE(AC109:AD109)/AVERAGE(AC124:AD124)</f>
        <v>1.11279575055503</v>
      </c>
      <c r="AE81" s="44" t="n">
        <f aca="false">+AVERAGE(AD109:AE109)/AVERAGE(AD124:AE124)</f>
        <v>1.10594584242397</v>
      </c>
      <c r="AF81" s="44" t="n">
        <f aca="false">+AVERAGE(AE109:AF109)/AVERAGE(AE124:AF124)</f>
        <v>1.11939449149701</v>
      </c>
      <c r="AG81" s="44" t="n">
        <f aca="false">+AVERAGE(AF109:AG109)/AVERAGE(AF124:AG124)</f>
        <v>1.14755768738356</v>
      </c>
      <c r="AH81" s="44" t="n">
        <f aca="false">+AVERAGE(AG109:AH109)/AVERAGE(AG124:AH124)</f>
        <v>1.24586246999598</v>
      </c>
      <c r="AI81" s="44" t="n">
        <f aca="false">+AVERAGE(AH109:AI109)/AVERAGE(AH124:AI124)</f>
        <v>1.27621413201837</v>
      </c>
      <c r="AJ81" s="44" t="n">
        <f aca="false">+AVERAGE(AI109:AJ109)/AVERAGE(AI124:AJ124)</f>
        <v>1.28492456402541</v>
      </c>
      <c r="AK81" s="44" t="n">
        <f aca="false">+AVERAGE(AJ109:AK109)/AVERAGE(AJ124:AK124)</f>
        <v>1.40353277474689</v>
      </c>
      <c r="AL81" s="44" t="n">
        <f aca="false">+AVERAGE(AK109:AL109)/AVERAGE(AK124:AL124)</f>
        <v>1.48934518290471</v>
      </c>
      <c r="AM81" s="44" t="n">
        <f aca="false">+AVERAGE(AL109:AM109)/AVERAGE(AL124:AM124)</f>
        <v>1.50586518945906</v>
      </c>
      <c r="AN81" s="44" t="n">
        <f aca="false">+AVERAGE(AM109:AN109)/AVERAGE(AM124:AN124)</f>
        <v>1.60566937195579</v>
      </c>
      <c r="AO81" s="44"/>
      <c r="AP81" s="44"/>
      <c r="AQ81" s="44"/>
      <c r="AR81" s="59"/>
      <c r="AS81" s="44"/>
      <c r="AT81" s="44"/>
      <c r="AU81" s="61"/>
      <c r="AV81" s="61"/>
      <c r="AW81" s="61"/>
      <c r="AX81" s="61"/>
      <c r="AY81" s="32"/>
      <c r="AZ81" s="32"/>
      <c r="BA81" s="61"/>
      <c r="BB81" s="61"/>
      <c r="BC81" s="61"/>
      <c r="BD81" s="61"/>
      <c r="BE81" s="61"/>
      <c r="BF81" s="61"/>
      <c r="BG81" s="61"/>
      <c r="BH81" s="61"/>
      <c r="BI81" s="61"/>
      <c r="BJ81" s="61"/>
      <c r="BK81" s="61"/>
      <c r="BL81" s="61"/>
      <c r="BM81" s="61"/>
      <c r="BN81" s="61"/>
      <c r="BO81" s="61"/>
      <c r="BP81" s="61"/>
      <c r="BQ81" s="61"/>
      <c r="BR81" s="61"/>
      <c r="BS81" s="61"/>
      <c r="BT81" s="61"/>
      <c r="BU81" s="61"/>
      <c r="BV81" s="61"/>
      <c r="BW81" s="61"/>
      <c r="BX81" s="61"/>
      <c r="BY81" s="61"/>
      <c r="BZ81" s="61"/>
      <c r="CA81" s="61"/>
      <c r="CB81" s="61"/>
      <c r="CC81" s="61"/>
      <c r="CD81" s="61"/>
      <c r="CE81" s="61"/>
      <c r="CF81" s="61"/>
      <c r="CG81" s="61"/>
      <c r="CH81" s="61"/>
      <c r="CI81" s="61"/>
      <c r="CJ81" s="61"/>
      <c r="CK81" s="61"/>
      <c r="CL81" s="61"/>
      <c r="CM81" s="61"/>
      <c r="CN81" s="61"/>
      <c r="CO81" s="61"/>
      <c r="CP81" s="61"/>
      <c r="CQ81" s="61"/>
      <c r="CR81" s="61"/>
      <c r="CS81" s="61"/>
      <c r="CT81" s="61"/>
      <c r="CU81" s="61"/>
      <c r="CV81" s="61"/>
      <c r="CW81" s="61"/>
      <c r="CX81" s="61"/>
      <c r="CY81" s="61"/>
      <c r="CZ81" s="61"/>
      <c r="DA81" s="61"/>
      <c r="DB81" s="61"/>
      <c r="DC81" s="61"/>
      <c r="DD81" s="61"/>
      <c r="DE81" s="61"/>
      <c r="DF81" s="61"/>
      <c r="DG81" s="61"/>
      <c r="DH81" s="61"/>
      <c r="DI81" s="61"/>
      <c r="DJ81" s="61"/>
      <c r="DK81" s="61"/>
      <c r="DL81" s="61"/>
      <c r="DM81" s="61"/>
      <c r="DN81" s="61"/>
      <c r="DO81" s="61"/>
      <c r="DP81" s="61"/>
      <c r="DQ81" s="61"/>
      <c r="DR81" s="61"/>
      <c r="DS81" s="61"/>
      <c r="DT81" s="61"/>
      <c r="DU81" s="61"/>
      <c r="DV81" s="61"/>
      <c r="DW81" s="61"/>
      <c r="DX81" s="61"/>
      <c r="DY81" s="61"/>
      <c r="DZ81" s="61"/>
      <c r="EA81" s="61"/>
      <c r="EB81" s="61"/>
      <c r="EC81" s="61"/>
      <c r="ED81" s="61"/>
      <c r="EE81" s="61"/>
      <c r="EF81" s="61"/>
      <c r="EG81" s="61"/>
      <c r="EH81" s="61"/>
      <c r="EI81" s="61"/>
      <c r="EJ81" s="61"/>
      <c r="EK81" s="61"/>
      <c r="EL81" s="61"/>
      <c r="EM81" s="61"/>
      <c r="EN81" s="32"/>
      <c r="EO81" s="32"/>
      <c r="EP81" s="32"/>
      <c r="EQ81" s="32"/>
      <c r="ER81" s="32"/>
    </row>
    <row r="82" s="81" customFormat="true" ht="12.8" hidden="false" customHeight="false" outlineLevel="0" collapsed="false">
      <c r="A82" s="61" t="s">
        <v>208</v>
      </c>
      <c r="B82" s="61"/>
      <c r="C82" s="61" t="n">
        <f aca="false">+C80-C79</f>
        <v>0.054678718969191</v>
      </c>
      <c r="D82" s="61" t="n">
        <f aca="false">+D80-D79</f>
        <v>0.0398788661415589</v>
      </c>
      <c r="E82" s="61" t="n">
        <f aca="false">+E80-E79</f>
        <v>0.0469114855836041</v>
      </c>
      <c r="F82" s="61" t="n">
        <f aca="false">+F80-F79</f>
        <v>0.0589524802582068</v>
      </c>
      <c r="G82" s="61" t="n">
        <f aca="false">+G80-G79</f>
        <v>0.081443591304622</v>
      </c>
      <c r="H82" s="61" t="n">
        <f aca="false">+H80-H79</f>
        <v>0.115557248842028</v>
      </c>
      <c r="I82" s="61" t="n">
        <f aca="false">+I80-I79</f>
        <v>0.127301408351462</v>
      </c>
      <c r="J82" s="61" t="n">
        <f aca="false">+J80-J79</f>
        <v>0.108206852384314</v>
      </c>
      <c r="K82" s="61" t="n">
        <f aca="false">+K80-K79</f>
        <v>0.113941191571758</v>
      </c>
      <c r="L82" s="61" t="n">
        <f aca="false">+L80-L79</f>
        <v>0.132727100497104</v>
      </c>
      <c r="M82" s="61" t="n">
        <f aca="false">+M80-M79</f>
        <v>0.166733046347117</v>
      </c>
      <c r="N82" s="61" t="n">
        <f aca="false">+N80-N79</f>
        <v>0.122516415342476</v>
      </c>
      <c r="O82" s="61" t="n">
        <f aca="false">+O80-O79</f>
        <v>0.133245793411184</v>
      </c>
      <c r="P82" s="61" t="n">
        <f aca="false">+P80-P79</f>
        <v>0.127218634136708</v>
      </c>
      <c r="Q82" s="61" t="n">
        <f aca="false">+Q80-Q79</f>
        <v>0.170928446855546</v>
      </c>
      <c r="R82" s="61" t="n">
        <f aca="false">+R80-R79</f>
        <v>0.190701699230822</v>
      </c>
      <c r="S82" s="61" t="n">
        <f aca="false">+S80-S79</f>
        <v>0.10110256183819</v>
      </c>
      <c r="T82" s="61"/>
      <c r="U82" s="61"/>
      <c r="V82" s="61"/>
      <c r="W82" s="61"/>
      <c r="X82" s="61"/>
      <c r="Y82" s="61"/>
      <c r="Z82" s="61"/>
      <c r="AA82" s="61" t="n">
        <f aca="false">+AA80-AA79</f>
        <v>0.0016635076182618</v>
      </c>
      <c r="AB82" s="61" t="n">
        <f aca="false">+AB80-AB79</f>
        <v>0.0192786529227637</v>
      </c>
      <c r="AC82" s="61" t="n">
        <f aca="false">+AC80-AC79</f>
        <v>0.01240594386896</v>
      </c>
      <c r="AD82" s="61" t="n">
        <f aca="false">+AD80-AD79</f>
        <v>0.00930908362506018</v>
      </c>
      <c r="AE82" s="61" t="n">
        <f aca="false">+AE80-AE79</f>
        <v>0.018929210893532</v>
      </c>
      <c r="AF82" s="61" t="n">
        <f aca="false">+AF80-AF79</f>
        <v>0.0254531366572509</v>
      </c>
      <c r="AG82" s="61" t="n">
        <f aca="false">+AG80-AG79</f>
        <v>0.0358828818270598</v>
      </c>
      <c r="AH82" s="61" t="n">
        <f aca="false">+AH80-AH79</f>
        <v>0.0393980894995586</v>
      </c>
      <c r="AI82" s="61" t="n">
        <f aca="false">+AI80-AI79</f>
        <v>0.0550102880123516</v>
      </c>
      <c r="AJ82" s="61" t="n">
        <f aca="false">+AJ80-AJ79</f>
        <v>0.0689663346298137</v>
      </c>
      <c r="AK82" s="61" t="n">
        <f aca="false">+AK80-AK79</f>
        <v>0.0532361982133812</v>
      </c>
      <c r="AL82" s="61" t="n">
        <f aca="false">+AL80-AL79</f>
        <v>0.0921267102667883</v>
      </c>
      <c r="AM82" s="61" t="n">
        <f aca="false">+AM80-AM79</f>
        <v>0.124766400192317</v>
      </c>
      <c r="AN82" s="61" t="n">
        <f aca="false">+AN80-AN79</f>
        <v>0.114060055244511</v>
      </c>
      <c r="AO82" s="61"/>
      <c r="AP82" s="61"/>
      <c r="AQ82" s="61"/>
      <c r="AR82" s="1"/>
      <c r="AS82" s="61"/>
      <c r="AT82" s="61"/>
      <c r="AU82" s="61"/>
      <c r="AV82" s="61"/>
      <c r="AW82" s="61"/>
      <c r="AX82" s="61"/>
      <c r="AY82" s="32"/>
      <c r="AZ82" s="32"/>
      <c r="BA82" s="61"/>
      <c r="BB82" s="61"/>
      <c r="BC82" s="61"/>
      <c r="BD82" s="61"/>
      <c r="BE82" s="61"/>
      <c r="BF82" s="61"/>
      <c r="BG82" s="61"/>
      <c r="BH82" s="61"/>
      <c r="BI82" s="61"/>
      <c r="BJ82" s="61"/>
      <c r="BK82" s="61"/>
      <c r="BL82" s="61"/>
      <c r="BM82" s="61"/>
      <c r="BN82" s="61"/>
      <c r="BO82" s="61"/>
      <c r="BP82" s="61"/>
      <c r="BQ82" s="61"/>
      <c r="BR82" s="61"/>
      <c r="BS82" s="61"/>
      <c r="BT82" s="61"/>
      <c r="BU82" s="61"/>
      <c r="BV82" s="61"/>
      <c r="BW82" s="61"/>
      <c r="BX82" s="61"/>
      <c r="BY82" s="61"/>
      <c r="BZ82" s="61"/>
      <c r="CA82" s="61"/>
      <c r="CB82" s="61"/>
      <c r="CC82" s="61"/>
      <c r="CD82" s="61"/>
      <c r="CE82" s="61"/>
      <c r="CF82" s="61"/>
      <c r="CG82" s="61"/>
      <c r="CH82" s="61"/>
      <c r="CI82" s="61"/>
      <c r="CJ82" s="61"/>
      <c r="CK82" s="61"/>
      <c r="CL82" s="61"/>
      <c r="CM82" s="61"/>
      <c r="CN82" s="61"/>
      <c r="CO82" s="61"/>
      <c r="CP82" s="61"/>
      <c r="CQ82" s="61"/>
      <c r="CR82" s="61"/>
      <c r="CS82" s="61"/>
      <c r="CT82" s="61"/>
      <c r="CU82" s="61"/>
      <c r="CV82" s="61"/>
      <c r="CW82" s="61"/>
      <c r="CX82" s="61"/>
      <c r="CY82" s="61"/>
      <c r="CZ82" s="61"/>
      <c r="DA82" s="61"/>
      <c r="DB82" s="61"/>
      <c r="DC82" s="61"/>
      <c r="DD82" s="61"/>
      <c r="DE82" s="61"/>
      <c r="DF82" s="61"/>
      <c r="DG82" s="61"/>
      <c r="DH82" s="61"/>
      <c r="DI82" s="61"/>
      <c r="DJ82" s="61"/>
      <c r="DK82" s="61"/>
      <c r="DL82" s="61"/>
      <c r="DM82" s="61"/>
      <c r="DN82" s="61"/>
      <c r="DO82" s="61"/>
      <c r="DP82" s="61"/>
      <c r="DQ82" s="61"/>
      <c r="DR82" s="61"/>
      <c r="DS82" s="61"/>
      <c r="DT82" s="61"/>
      <c r="DU82" s="61"/>
      <c r="DV82" s="61"/>
      <c r="DW82" s="61"/>
      <c r="DX82" s="61"/>
      <c r="DY82" s="61"/>
      <c r="DZ82" s="61"/>
      <c r="EA82" s="61"/>
      <c r="EB82" s="61"/>
      <c r="EC82" s="61"/>
      <c r="ED82" s="61"/>
      <c r="EE82" s="61"/>
      <c r="EF82" s="61"/>
      <c r="EG82" s="61"/>
      <c r="EH82" s="61"/>
      <c r="EI82" s="61"/>
      <c r="EJ82" s="61"/>
      <c r="EK82" s="61"/>
      <c r="EL82" s="61"/>
      <c r="EM82" s="61"/>
      <c r="EN82" s="32"/>
      <c r="EO82" s="32"/>
      <c r="EP82" s="32"/>
      <c r="EQ82" s="32"/>
      <c r="ER82" s="32"/>
    </row>
    <row r="83" s="43" customFormat="true" ht="12.8" hidden="false" customHeight="false" outlineLevel="0" collapsed="false">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c r="AG83" s="61"/>
      <c r="AH83" s="61"/>
      <c r="AI83" s="61"/>
      <c r="AJ83" s="61"/>
      <c r="AK83" s="61"/>
      <c r="AL83" s="61"/>
      <c r="AM83" s="61"/>
      <c r="AN83" s="61"/>
      <c r="AO83" s="61"/>
      <c r="AP83" s="61"/>
      <c r="AQ83" s="61"/>
      <c r="AR83" s="1"/>
      <c r="AS83" s="61"/>
      <c r="AT83" s="61"/>
      <c r="AU83" s="44"/>
      <c r="AV83" s="44"/>
      <c r="AW83" s="44"/>
      <c r="AX83" s="44"/>
      <c r="AY83" s="32"/>
      <c r="AZ83" s="32"/>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c r="CY83" s="44"/>
      <c r="CZ83" s="44"/>
      <c r="DA83" s="44"/>
      <c r="DB83" s="44"/>
      <c r="DC83" s="44"/>
      <c r="DD83" s="44"/>
      <c r="DE83" s="44"/>
      <c r="DF83" s="44"/>
      <c r="DG83" s="44"/>
      <c r="DH83" s="44"/>
      <c r="DI83" s="44"/>
      <c r="DJ83" s="44"/>
      <c r="DK83" s="44"/>
      <c r="DL83" s="44"/>
      <c r="DM83" s="44"/>
      <c r="DN83" s="44"/>
      <c r="DO83" s="44"/>
      <c r="DP83" s="44"/>
      <c r="DQ83" s="44"/>
      <c r="DR83" s="44"/>
      <c r="DS83" s="44"/>
      <c r="DT83" s="44"/>
      <c r="DU83" s="44"/>
      <c r="DV83" s="44"/>
      <c r="DW83" s="44"/>
      <c r="DX83" s="44"/>
      <c r="DY83" s="44"/>
      <c r="DZ83" s="44"/>
      <c r="EA83" s="44"/>
      <c r="EB83" s="44"/>
      <c r="EC83" s="44"/>
      <c r="ED83" s="44"/>
      <c r="EE83" s="44"/>
      <c r="EF83" s="44"/>
      <c r="EG83" s="44"/>
      <c r="EH83" s="44"/>
      <c r="EI83" s="44"/>
      <c r="EJ83" s="44"/>
      <c r="EK83" s="44"/>
      <c r="EL83" s="44"/>
      <c r="EM83" s="44"/>
      <c r="EN83" s="32"/>
      <c r="EO83" s="32"/>
      <c r="EP83" s="32"/>
      <c r="EQ83" s="32"/>
      <c r="ER83" s="32"/>
    </row>
    <row r="84" s="83" customFormat="true" ht="12.8" hidden="false" customHeight="false" outlineLevel="0" collapsed="false">
      <c r="A84" s="81" t="s">
        <v>209</v>
      </c>
      <c r="B84" s="81" t="n">
        <f aca="false">+B124/B56</f>
        <v>44.9409190371991</v>
      </c>
      <c r="C84" s="81" t="n">
        <f aca="false">+C124/C56</f>
        <v>46.3571691854036</v>
      </c>
      <c r="D84" s="81" t="n">
        <f aca="false">+D124/D56</f>
        <v>46.1831038332713</v>
      </c>
      <c r="E84" s="81" t="n">
        <f aca="false">+E124/E56</f>
        <v>47.6185606060606</v>
      </c>
      <c r="F84" s="81" t="n">
        <f aca="false">+F124/F56</f>
        <v>48.0720338983051</v>
      </c>
      <c r="G84" s="81" t="n">
        <f aca="false">+G124/G56</f>
        <v>51.3143185298622</v>
      </c>
      <c r="H84" s="81" t="n">
        <f aca="false">+H124/H56</f>
        <v>54.0980689132904</v>
      </c>
      <c r="I84" s="81" t="n">
        <f aca="false">+I124/I56</f>
        <v>58.238783269962</v>
      </c>
      <c r="J84" s="81" t="n">
        <f aca="false">+J124/J56</f>
        <v>56.9634285714286</v>
      </c>
      <c r="K84" s="81" t="n">
        <f aca="false">+K124/K56</f>
        <v>60.0624521072797</v>
      </c>
      <c r="L84" s="81" t="n">
        <f aca="false">+L124/L56</f>
        <v>63.2803846153846</v>
      </c>
      <c r="M84" s="81" t="n">
        <f aca="false">+M124/M56</f>
        <v>70.2720277029627</v>
      </c>
      <c r="N84" s="81" t="n">
        <f aca="false">+N124/N56</f>
        <v>71.4397683397683</v>
      </c>
      <c r="O84" s="81" t="n">
        <f aca="false">+O124/O56</f>
        <v>75.9027237354086</v>
      </c>
      <c r="P84" s="81" t="n">
        <f aca="false">+P124/P56</f>
        <v>75.4533437013997</v>
      </c>
      <c r="Q84" s="81" t="n">
        <f aca="false">+Q124/Q56</f>
        <v>84.695126705653</v>
      </c>
      <c r="R84" s="81" t="n">
        <f aca="false">+R124/R56</f>
        <v>95.039391575663</v>
      </c>
      <c r="S84" s="81" t="n">
        <f aca="false">+S124/S56</f>
        <v>101.800857365549</v>
      </c>
      <c r="T84" s="81"/>
      <c r="U84" s="81"/>
      <c r="V84" s="81"/>
      <c r="W84" s="81"/>
      <c r="X84" s="81"/>
      <c r="Y84" s="81"/>
      <c r="Z84" s="81" t="n">
        <f aca="false">+Z124/Z56</f>
        <v>2.84084880636605</v>
      </c>
      <c r="AA84" s="81" t="n">
        <f aca="false">+AA124/AA56</f>
        <v>5.42705447830102</v>
      </c>
      <c r="AB84" s="81" t="n">
        <f aca="false">+AB124/AB56</f>
        <v>6.14620580055622</v>
      </c>
      <c r="AC84" s="81" t="n">
        <f aca="false">+AC124/AC56</f>
        <v>13.5495495495496</v>
      </c>
      <c r="AD84" s="81" t="n">
        <f aca="false">+AD124/AD56</f>
        <v>15.4987732211707</v>
      </c>
      <c r="AE84" s="81" t="n">
        <f aca="false">+AE124/AE56</f>
        <v>20.237264957265</v>
      </c>
      <c r="AF84" s="81" t="n">
        <f aca="false">+AF124/AF56</f>
        <v>25.1512178619756</v>
      </c>
      <c r="AG84" s="81" t="n">
        <f aca="false">+AG124/AG56</f>
        <v>28.8007531667237</v>
      </c>
      <c r="AH84" s="81" t="n">
        <f aca="false">+AH124/AH56</f>
        <v>35.1369958275383</v>
      </c>
      <c r="AI84" s="81" t="n">
        <f aca="false">+AI124/AI56</f>
        <v>44.4217451523546</v>
      </c>
      <c r="AJ84" s="81" t="n">
        <f aca="false">+AJ124/AJ56</f>
        <v>43.6792584819867</v>
      </c>
      <c r="AK84" s="81" t="n">
        <f aca="false">+AK124/AK56</f>
        <v>46.5259067357513</v>
      </c>
      <c r="AL84" s="81" t="n">
        <f aca="false">+AL124/AL56</f>
        <v>58.2609357170027</v>
      </c>
      <c r="AM84" s="81" t="n">
        <f aca="false">+AM124/AM56</f>
        <v>69.8687834736037</v>
      </c>
      <c r="AN84" s="81" t="n">
        <f aca="false">+AN124/AN56</f>
        <v>84.3989898989899</v>
      </c>
      <c r="AO84" s="81"/>
      <c r="AP84" s="81"/>
      <c r="AQ84" s="81"/>
      <c r="AR84" s="82"/>
      <c r="AS84" s="81"/>
      <c r="AT84" s="81"/>
      <c r="AU84" s="81"/>
      <c r="AV84" s="81"/>
      <c r="AW84" s="81"/>
      <c r="AX84" s="81"/>
      <c r="AY84" s="32"/>
      <c r="AZ84" s="32"/>
      <c r="BA84" s="81"/>
      <c r="BB84" s="81"/>
      <c r="BC84" s="81"/>
      <c r="BD84" s="81"/>
      <c r="BE84" s="81"/>
      <c r="BF84" s="81"/>
      <c r="BG84" s="81"/>
      <c r="BH84" s="81"/>
      <c r="BI84" s="81"/>
      <c r="BJ84" s="81"/>
      <c r="BK84" s="81"/>
      <c r="BL84" s="81"/>
      <c r="BM84" s="81"/>
      <c r="BN84" s="81"/>
      <c r="BO84" s="81"/>
      <c r="BP84" s="81"/>
      <c r="BQ84" s="81"/>
      <c r="BR84" s="81"/>
      <c r="BS84" s="81"/>
      <c r="BT84" s="81"/>
      <c r="BU84" s="81"/>
      <c r="BV84" s="81"/>
      <c r="BW84" s="81"/>
      <c r="BX84" s="81"/>
      <c r="BY84" s="81"/>
      <c r="BZ84" s="81"/>
      <c r="CA84" s="81"/>
      <c r="CB84" s="81"/>
      <c r="CC84" s="81"/>
      <c r="CD84" s="81"/>
      <c r="CE84" s="81"/>
      <c r="CF84" s="81"/>
      <c r="CG84" s="81"/>
      <c r="CH84" s="81"/>
      <c r="CI84" s="81"/>
      <c r="CJ84" s="81"/>
      <c r="CK84" s="81"/>
      <c r="CL84" s="81"/>
      <c r="CM84" s="81"/>
      <c r="CN84" s="81"/>
      <c r="CO84" s="81"/>
      <c r="CP84" s="81"/>
      <c r="CQ84" s="81"/>
      <c r="CR84" s="81"/>
      <c r="CS84" s="81"/>
      <c r="CT84" s="81"/>
      <c r="CU84" s="81"/>
      <c r="CV84" s="81"/>
      <c r="CW84" s="81"/>
      <c r="CX84" s="81"/>
      <c r="CY84" s="81"/>
      <c r="CZ84" s="81"/>
      <c r="DA84" s="81"/>
      <c r="DB84" s="81"/>
      <c r="DC84" s="81"/>
      <c r="DD84" s="81"/>
      <c r="DE84" s="81"/>
      <c r="DF84" s="81"/>
      <c r="DG84" s="81"/>
      <c r="DH84" s="81"/>
      <c r="DI84" s="81"/>
      <c r="DJ84" s="81"/>
      <c r="DK84" s="81"/>
      <c r="DL84" s="81"/>
      <c r="DM84" s="81"/>
      <c r="DN84" s="81"/>
      <c r="DO84" s="81"/>
      <c r="DP84" s="81"/>
      <c r="DQ84" s="81"/>
      <c r="DR84" s="81"/>
      <c r="DS84" s="81"/>
      <c r="DT84" s="81"/>
      <c r="DU84" s="81"/>
      <c r="DV84" s="81"/>
      <c r="DW84" s="81"/>
      <c r="DX84" s="81"/>
      <c r="DY84" s="81"/>
      <c r="DZ84" s="81"/>
      <c r="EA84" s="81"/>
      <c r="EB84" s="81"/>
      <c r="EC84" s="81"/>
      <c r="ED84" s="81"/>
      <c r="EE84" s="81"/>
      <c r="EF84" s="81"/>
      <c r="EG84" s="81"/>
      <c r="EH84" s="81"/>
      <c r="EI84" s="81"/>
      <c r="EJ84" s="81"/>
      <c r="EK84" s="81"/>
      <c r="EL84" s="81"/>
      <c r="EM84" s="81"/>
      <c r="EN84" s="32"/>
      <c r="EO84" s="32"/>
      <c r="EP84" s="32"/>
      <c r="EQ84" s="32"/>
      <c r="ER84" s="32"/>
    </row>
    <row r="85" s="43" customFormat="true" ht="12.8" hidden="false" customHeight="false" outlineLevel="0" collapsed="false">
      <c r="A85" s="61" t="s">
        <v>210</v>
      </c>
      <c r="B85" s="61"/>
      <c r="C85" s="73" t="n">
        <f aca="false">+(C44-B44)/(C36-B36)</f>
        <v>-0.168870803662258</v>
      </c>
      <c r="D85" s="73" t="n">
        <f aca="false">+(D44-C44)/(D36-C36)</f>
        <v>-5.6125</v>
      </c>
      <c r="E85" s="73" t="n">
        <f aca="false">+(E44-D44)/(E36-D36)</f>
        <v>1.22296173044925</v>
      </c>
      <c r="F85" s="73" t="n">
        <f aca="false">+(F44-E44)/(F36-E36)</f>
        <v>-2.12307692307692</v>
      </c>
      <c r="G85" s="73" t="n">
        <f aca="false">+(G44-F44)/(G36-F36)</f>
        <v>-58.5135135135135</v>
      </c>
      <c r="H85" s="73" t="n">
        <f aca="false">+(H44-G44)/(H36-G36)</f>
        <v>-42.2912621359223</v>
      </c>
      <c r="I85" s="73" t="n">
        <f aca="false">+(I44-H44)/(I36-H36)</f>
        <v>2.06583072100313</v>
      </c>
      <c r="J85" s="73" t="n">
        <f aca="false">+(J44-I44)/(J36-I36)</f>
        <v>4.76066790352505</v>
      </c>
      <c r="K85" s="73" t="n">
        <f aca="false">+(K44-J44)/(K36-J36)</f>
        <v>1.84078711985689</v>
      </c>
      <c r="L85" s="73" t="n">
        <f aca="false">+(L44-K44)/(L36-K36)</f>
        <v>3.9109375</v>
      </c>
      <c r="M85" s="73" t="n">
        <f aca="false">+(M44-L44)/(M36-L36)</f>
        <v>5.99700897308076</v>
      </c>
      <c r="N85" s="73" t="n">
        <f aca="false">+(N44-M44)/(N36-M36)</f>
        <v>193.666666666667</v>
      </c>
      <c r="O85" s="73" t="n">
        <f aca="false">+(O44-N44)/(O36-N36)</f>
        <v>3.64393939393939</v>
      </c>
      <c r="P85" s="73" t="n">
        <f aca="false">+(P44-O44)/(P36-O36)</f>
        <v>0.0426884650317893</v>
      </c>
      <c r="Q85" s="73" t="n">
        <f aca="false">+(Q44-P44)/(Q36-P36)</f>
        <v>2.11345381526104</v>
      </c>
      <c r="R85" s="73" t="n">
        <f aca="false">+(R44-Q44)/(R36-Q36)</f>
        <v>-3.32682060390764</v>
      </c>
      <c r="S85" s="73" t="n">
        <f aca="false">+(S44-R44)/(S36-R36)</f>
        <v>-1.03538033864038</v>
      </c>
      <c r="T85" s="61"/>
      <c r="U85" s="61"/>
      <c r="V85" s="61"/>
      <c r="W85" s="61"/>
      <c r="X85" s="61"/>
      <c r="Y85" s="61"/>
      <c r="Z85" s="61"/>
      <c r="AA85" s="73" t="n">
        <f aca="false">+(AA44-Z44)/(AA36-Z36)</f>
        <v>-1.20474777448071</v>
      </c>
      <c r="AB85" s="73" t="n">
        <f aca="false">+(AB44-AA44)/(AB36-AA36)</f>
        <v>141.625</v>
      </c>
      <c r="AC85" s="73" t="n">
        <f aca="false">+(AC44-AB44)/(AC36-AB36)</f>
        <v>1.75059952038369</v>
      </c>
      <c r="AD85" s="73" t="n">
        <f aca="false">+(AD44-AC44)/(AD36-AC36)</f>
        <v>0.572558139534884</v>
      </c>
      <c r="AE85" s="73" t="n">
        <f aca="false">+(AE44-AD44)/(AE36-AD36)</f>
        <v>5.62284678150499</v>
      </c>
      <c r="AF85" s="73" t="n">
        <f aca="false">+(AF44-AE44)/(AF36-AE36)</f>
        <v>4.23760217983651</v>
      </c>
      <c r="AG85" s="73" t="n">
        <f aca="false">+(AG44-AF44)/(AG36-AF36)</f>
        <v>1.86978959904724</v>
      </c>
      <c r="AH85" s="73" t="n">
        <f aca="false">+(AH44-AG44)/(AH36-AG36)</f>
        <v>-0.278629395852119</v>
      </c>
      <c r="AI85" s="73" t="n">
        <f aca="false">+(AI44-AH44)/(AI36-AH36)</f>
        <v>1.79182999793687</v>
      </c>
      <c r="AJ85" s="73" t="n">
        <f aca="false">+(AJ44-AI44)/(AJ36-AI36)</f>
        <v>2.26836340206186</v>
      </c>
      <c r="AK85" s="73" t="n">
        <f aca="false">+(AK44-AJ44)/(AK36-AJ36)</f>
        <v>-1.66704109332584</v>
      </c>
      <c r="AL85" s="73" t="n">
        <f aca="false">+(AL44-AK44)/(AL36-AK36)</f>
        <v>5.66200317965024</v>
      </c>
      <c r="AM85" s="73" t="n">
        <f aca="false">+(AM44-AL44)/(AM36-AL36)</f>
        <v>4.19833024118738</v>
      </c>
      <c r="AN85" s="73" t="n">
        <f aca="false">+(AN44-AM44)/(AN36-AM36)</f>
        <v>1.02940958589525</v>
      </c>
      <c r="AO85" s="61"/>
      <c r="AP85" s="61"/>
      <c r="AQ85" s="61"/>
      <c r="AR85" s="1"/>
      <c r="AS85" s="61"/>
      <c r="AT85" s="61"/>
      <c r="AU85" s="44"/>
      <c r="AV85" s="44"/>
      <c r="AW85" s="44"/>
      <c r="AX85" s="44"/>
      <c r="AY85" s="32"/>
      <c r="AZ85" s="32"/>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c r="CY85" s="44"/>
      <c r="CZ85" s="44"/>
      <c r="DA85" s="44"/>
      <c r="DB85" s="44"/>
      <c r="DC85" s="44"/>
      <c r="DD85" s="44"/>
      <c r="DE85" s="44"/>
      <c r="DF85" s="44"/>
      <c r="DG85" s="44"/>
      <c r="DH85" s="44"/>
      <c r="DI85" s="44"/>
      <c r="DJ85" s="44"/>
      <c r="DK85" s="44"/>
      <c r="DL85" s="44"/>
      <c r="DM85" s="44"/>
      <c r="DN85" s="44"/>
      <c r="DO85" s="44"/>
      <c r="DP85" s="44"/>
      <c r="DQ85" s="44"/>
      <c r="DR85" s="44"/>
      <c r="DS85" s="44"/>
      <c r="DT85" s="44"/>
      <c r="DU85" s="44"/>
      <c r="DV85" s="44"/>
      <c r="DW85" s="44"/>
      <c r="DX85" s="44"/>
      <c r="DY85" s="44"/>
      <c r="DZ85" s="44"/>
      <c r="EA85" s="44"/>
      <c r="EB85" s="44"/>
      <c r="EC85" s="44"/>
      <c r="ED85" s="44"/>
      <c r="EE85" s="44"/>
      <c r="EF85" s="44"/>
      <c r="EG85" s="44"/>
      <c r="EH85" s="44"/>
      <c r="EI85" s="44"/>
      <c r="EJ85" s="44"/>
      <c r="EK85" s="44"/>
      <c r="EL85" s="44"/>
      <c r="EM85" s="44"/>
      <c r="EN85" s="32"/>
      <c r="EO85" s="32"/>
      <c r="EP85" s="32"/>
      <c r="EQ85" s="32"/>
      <c r="ER85" s="32"/>
    </row>
    <row r="86" s="43" customFormat="true" ht="12.8" hidden="false" customHeight="false" outlineLevel="0" collapsed="false">
      <c r="A86" s="83" t="s">
        <v>211</v>
      </c>
      <c r="B86" s="83"/>
      <c r="C86" s="83" t="n">
        <f aca="false">+(C52-B52)/(C105-B105)</f>
        <v>-0.12953712953713</v>
      </c>
      <c r="D86" s="83" t="n">
        <f aca="false">+(D52-C52)/(D105-C105)</f>
        <v>-0.372682926829268</v>
      </c>
      <c r="E86" s="83" t="n">
        <f aca="false">+(E52-D52)/(E105-D105)</f>
        <v>0.0444636678200692</v>
      </c>
      <c r="F86" s="83" t="n">
        <f aca="false">+(F52-E52)/(F105-E105)</f>
        <v>0.227899956877965</v>
      </c>
      <c r="G86" s="83" t="n">
        <f aca="false">+(G52-F52)/(G105-F105)</f>
        <v>0.548114948589507</v>
      </c>
      <c r="H86" s="83" t="n">
        <f aca="false">+(H52-G52)/(H105-G105)</f>
        <v>0.992675908972012</v>
      </c>
      <c r="I86" s="83" t="n">
        <f aca="false">+(I52-H52)/(I105-H105)</f>
        <v>0.505503634475597</v>
      </c>
      <c r="J86" s="83" t="n">
        <f aca="false">+(J52-I52)/(J105-I105)</f>
        <v>-0.710038776389487</v>
      </c>
      <c r="K86" s="83" t="n">
        <f aca="false">+(K52-J52)/(K105-J105)</f>
        <v>0.270550481362627</v>
      </c>
      <c r="L86" s="83" t="n">
        <f aca="false">+(L52-K52)/(L105-K105)</f>
        <v>0.241551667934369</v>
      </c>
      <c r="M86" s="83" t="n">
        <f aca="false">+(M52-L52)/(M105-L105)</f>
        <v>0.560757839721254</v>
      </c>
      <c r="N86" s="83" t="n">
        <f aca="false">+(N52-M52)/(N105-M105)</f>
        <v>-0.343179772522707</v>
      </c>
      <c r="O86" s="83" t="n">
        <f aca="false">+(O52-N52)/(O105-N105)</f>
        <v>0.151128266033254</v>
      </c>
      <c r="P86" s="83" t="n">
        <f aca="false">+(P52-O52)/(P105-O105)</f>
        <v>-0.0752021767062202</v>
      </c>
      <c r="Q86" s="83" t="n">
        <f aca="false">+(Q52-P52)/(Q105-P105)</f>
        <v>0.315127092374458</v>
      </c>
      <c r="R86" s="83" t="n">
        <f aca="false">+(R52-Q52)/(R105-Q105)</f>
        <v>0.276501959077057</v>
      </c>
      <c r="S86" s="83" t="n">
        <f aca="false">+(S52-R52)/(S105-R105)</f>
        <v>-0.387779501098617</v>
      </c>
      <c r="T86" s="83"/>
      <c r="U86" s="83"/>
      <c r="V86" s="83"/>
      <c r="W86" s="83"/>
      <c r="X86" s="83"/>
      <c r="Y86" s="83"/>
      <c r="Z86" s="83"/>
      <c r="AA86" s="83" t="n">
        <f aca="false">+(AA52-Z52)/(AA105-Z105)</f>
        <v>-1.03384279475983</v>
      </c>
      <c r="AB86" s="83" t="n">
        <f aca="false">+(AB52-AA52)/(AB105-AA105)</f>
        <v>2.94704684317719</v>
      </c>
      <c r="AC86" s="83" t="n">
        <f aca="false">+(AC52-AB52)/(AC105-AB105)</f>
        <v>1.32718894009217</v>
      </c>
      <c r="AD86" s="83" t="n">
        <f aca="false">+(AD52-AC52)/(AD105-AC105)</f>
        <v>0.434883720930233</v>
      </c>
      <c r="AE86" s="83" t="n">
        <f aca="false">+(AE52-AD52)/(AE105-AD105)</f>
        <v>2.2482782369146</v>
      </c>
      <c r="AF86" s="83" t="n">
        <f aca="false">+(AF52-AE52)/(AF105-AE105)</f>
        <v>1.11442495126706</v>
      </c>
      <c r="AG86" s="83" t="n">
        <f aca="false">+(AG52-AF52)/(AG105-AF105)</f>
        <v>0.563583287721219</v>
      </c>
      <c r="AH86" s="83" t="n">
        <f aca="false">+(AH52-AG52)/(AH105-AG105)</f>
        <v>-0.340883458646617</v>
      </c>
      <c r="AI86" s="83" t="n">
        <f aca="false">+(AI52-AH52)/(AI105-AH105)</f>
        <v>1.03404461687682</v>
      </c>
      <c r="AJ86" s="83" t="n">
        <f aca="false">+(AJ52-AI52)/(AJ105-AI105)</f>
        <v>0.839684625492773</v>
      </c>
      <c r="AK86" s="83" t="n">
        <f aca="false">+(AK52-AJ52)/(AK105-AJ105)</f>
        <v>-0.744852365378415</v>
      </c>
      <c r="AL86" s="83" t="n">
        <f aca="false">+(AL52-AK52)/(AL105-AK105)</f>
        <v>0.931396098189701</v>
      </c>
      <c r="AM86" s="83" t="n">
        <f aca="false">+(AM52-AL52)/(AM105-AL105)</f>
        <v>0.939537138010421</v>
      </c>
      <c r="AN86" s="83" t="n">
        <f aca="false">+(AN52-AM52)/(AN105-AM105)</f>
        <v>-0.0345478984269989</v>
      </c>
      <c r="AO86" s="83"/>
      <c r="AP86" s="83"/>
      <c r="AQ86" s="83"/>
      <c r="AR86" s="14"/>
      <c r="AS86" s="83"/>
      <c r="AT86" s="83"/>
      <c r="AU86" s="83"/>
      <c r="AV86" s="83"/>
      <c r="AW86" s="83"/>
      <c r="AX86" s="83"/>
      <c r="AY86" s="32"/>
      <c r="AZ86" s="32"/>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83"/>
      <c r="EJ86" s="83"/>
      <c r="EK86" s="83"/>
      <c r="EL86" s="83"/>
      <c r="EM86" s="83"/>
      <c r="EN86" s="32"/>
      <c r="EO86" s="32"/>
      <c r="EP86" s="32"/>
      <c r="EQ86" s="32"/>
      <c r="ER86" s="32"/>
    </row>
    <row r="87" s="39" customFormat="true" ht="12.8" hidden="false" customHeight="false" outlineLevel="0" collapsed="false">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c r="AG87" s="61"/>
      <c r="AH87" s="61"/>
      <c r="AI87" s="61"/>
      <c r="AJ87" s="61"/>
      <c r="AK87" s="61"/>
      <c r="AL87" s="61"/>
      <c r="AM87" s="61"/>
      <c r="AN87" s="61"/>
      <c r="AO87" s="61"/>
      <c r="AP87" s="61"/>
      <c r="AQ87" s="61"/>
      <c r="AR87" s="1"/>
      <c r="AS87" s="61"/>
      <c r="AT87" s="61"/>
      <c r="AU87" s="44"/>
      <c r="AV87" s="44"/>
      <c r="AW87" s="44"/>
      <c r="AX87" s="44"/>
      <c r="AY87" s="32"/>
      <c r="AZ87" s="32"/>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c r="CY87" s="44"/>
      <c r="CZ87" s="44"/>
      <c r="DA87" s="44"/>
      <c r="DB87" s="44"/>
      <c r="DC87" s="44"/>
      <c r="DD87" s="44"/>
      <c r="DE87" s="44"/>
      <c r="DF87" s="44"/>
      <c r="DG87" s="44"/>
      <c r="DH87" s="44"/>
      <c r="DI87" s="44"/>
      <c r="DJ87" s="44"/>
      <c r="DK87" s="44"/>
      <c r="DL87" s="44"/>
      <c r="DM87" s="44"/>
      <c r="DN87" s="44"/>
      <c r="DO87" s="44"/>
      <c r="DP87" s="44"/>
      <c r="DQ87" s="44"/>
      <c r="DR87" s="44"/>
      <c r="DS87" s="44"/>
      <c r="DT87" s="44"/>
      <c r="DU87" s="44"/>
      <c r="DV87" s="44"/>
      <c r="DW87" s="44"/>
      <c r="DX87" s="44"/>
      <c r="DY87" s="44"/>
      <c r="DZ87" s="44"/>
      <c r="EA87" s="44"/>
      <c r="EB87" s="44"/>
      <c r="EC87" s="44"/>
      <c r="ED87" s="44"/>
      <c r="EE87" s="44"/>
      <c r="EF87" s="44"/>
      <c r="EG87" s="44"/>
      <c r="EH87" s="44"/>
      <c r="EI87" s="44"/>
      <c r="EJ87" s="44"/>
      <c r="EK87" s="44"/>
      <c r="EL87" s="44"/>
      <c r="EM87" s="44"/>
      <c r="EN87" s="32"/>
      <c r="EO87" s="32"/>
      <c r="EP87" s="32"/>
      <c r="EQ87" s="32"/>
      <c r="ER87" s="32"/>
    </row>
    <row r="88" customFormat="false" ht="12.8" hidden="false" customHeight="false" outlineLevel="0" collapsed="false">
      <c r="A88" s="43" t="s">
        <v>212</v>
      </c>
      <c r="B88" s="43" t="n">
        <f aca="false">+B44+B129</f>
        <v>10680</v>
      </c>
      <c r="C88" s="43" t="n">
        <f aca="false">+C44+C129</f>
        <v>10337</v>
      </c>
      <c r="D88" s="43" t="n">
        <f aca="false">+D44+D129</f>
        <v>7839</v>
      </c>
      <c r="E88" s="43" t="n">
        <f aca="false">+E44+E129</f>
        <v>8775</v>
      </c>
      <c r="F88" s="43" t="n">
        <f aca="false">+F44+F129</f>
        <v>9751</v>
      </c>
      <c r="G88" s="43" t="n">
        <f aca="false">+G44+G129</f>
        <v>12015</v>
      </c>
      <c r="H88" s="43" t="n">
        <f aca="false">+H44+H129</f>
        <v>16606</v>
      </c>
      <c r="I88" s="43" t="n">
        <f aca="false">+I44+I129</f>
        <v>19556</v>
      </c>
      <c r="J88" s="43" t="n">
        <f aca="false">+J44+J129</f>
        <v>17192</v>
      </c>
      <c r="K88" s="43" t="n">
        <f aca="false">+K44+K129</f>
        <v>18484</v>
      </c>
      <c r="L88" s="43" t="n">
        <f aca="false">+L44+L129</f>
        <v>21377</v>
      </c>
      <c r="M88" s="43" t="n">
        <f aca="false">+M44+M129</f>
        <v>27825</v>
      </c>
      <c r="N88" s="43" t="n">
        <f aca="false">+N44+N129</f>
        <v>21455</v>
      </c>
      <c r="O88" s="43" t="n">
        <f aca="false">+O44+O129</f>
        <v>24783</v>
      </c>
      <c r="P88" s="43" t="n">
        <f aca="false">+P44+P129</f>
        <v>25498</v>
      </c>
      <c r="Q88" s="43" t="n">
        <f aca="false">+Q44+Q129</f>
        <v>30156</v>
      </c>
      <c r="R88" s="43" t="n">
        <f aca="false">+R44+R129</f>
        <v>28871</v>
      </c>
      <c r="S88" s="43" t="n">
        <f aca="false">+S44+S129</f>
        <v>25131</v>
      </c>
      <c r="T88" s="43"/>
      <c r="U88" s="43"/>
      <c r="V88" s="43"/>
      <c r="W88" s="43"/>
      <c r="X88" s="43"/>
      <c r="Y88" s="43"/>
      <c r="Z88" s="43" t="n">
        <f aca="false">+Z44+Z129</f>
        <v>2079</v>
      </c>
      <c r="AA88" s="43" t="n">
        <f aca="false">+AA44+AA129</f>
        <v>1187</v>
      </c>
      <c r="AB88" s="43" t="n">
        <f aca="false">+AB44+AB129</f>
        <v>3815</v>
      </c>
      <c r="AC88" s="43" t="n">
        <f aca="false">+AC44+AC129</f>
        <v>6237</v>
      </c>
      <c r="AD88" s="43" t="n">
        <f aca="false">+AD44+AD129</f>
        <v>8170</v>
      </c>
      <c r="AE88" s="43" t="n">
        <f aca="false">+AE44+AE129</f>
        <v>14769</v>
      </c>
      <c r="AF88" s="43" t="n">
        <f aca="false">+AF44+AF129</f>
        <v>23228</v>
      </c>
      <c r="AG88" s="43" t="n">
        <f aca="false">+AG44+AG129</f>
        <v>29228</v>
      </c>
      <c r="AH88" s="43" t="n">
        <f aca="false">+AH44+AH129</f>
        <v>29727</v>
      </c>
      <c r="AI88" s="43" t="n">
        <f aca="false">+AI44+AI129</f>
        <v>39533</v>
      </c>
      <c r="AJ88" s="43" t="n">
        <f aca="false">+AJ44+AJ129</f>
        <v>54720</v>
      </c>
      <c r="AK88" s="43" t="n">
        <f aca="false">+AK44+AK129</f>
        <v>37630</v>
      </c>
      <c r="AL88" s="43" t="n">
        <f aca="false">+AL44+AL129</f>
        <v>57929</v>
      </c>
      <c r="AM88" s="43" t="n">
        <f aca="false">+AM44+AM129</f>
        <v>84878</v>
      </c>
      <c r="AN88" s="43" t="n">
        <f aca="false">+AN44+AN129</f>
        <v>101892</v>
      </c>
      <c r="AO88" s="43" t="n">
        <f aca="false">+AO44+AO129</f>
        <v>131190.6048</v>
      </c>
      <c r="AP88" s="43" t="n">
        <f aca="false">+AP44+AP129</f>
        <v>160515.56352</v>
      </c>
      <c r="AQ88" s="43" t="n">
        <f aca="false">+AQ44+AQ129</f>
        <v>188142.761472</v>
      </c>
      <c r="AR88" s="43" t="n">
        <f aca="false">+AR44+AR129</f>
        <v>214482.74807808</v>
      </c>
      <c r="AS88" s="43" t="n">
        <f aca="false">+AS44+AS129</f>
        <v>246938.439391027</v>
      </c>
      <c r="AT88" s="43" t="n">
        <f aca="false">+AT44+AT129</f>
        <v>297057.79671928</v>
      </c>
      <c r="AU88" s="61"/>
      <c r="AV88" s="61"/>
      <c r="AW88" s="61"/>
      <c r="AX88" s="61"/>
      <c r="AY88" s="32"/>
      <c r="AZ88" s="32"/>
      <c r="BA88" s="61"/>
      <c r="BB88" s="61"/>
      <c r="BC88" s="61"/>
      <c r="BD88" s="61"/>
      <c r="BE88" s="61"/>
      <c r="BF88" s="61"/>
      <c r="BG88" s="61"/>
      <c r="BH88" s="61"/>
      <c r="BI88" s="61"/>
      <c r="BJ88" s="61"/>
      <c r="BK88" s="61"/>
      <c r="BL88" s="61"/>
      <c r="BM88" s="61"/>
      <c r="BN88" s="61"/>
      <c r="BO88" s="61"/>
      <c r="BP88" s="61"/>
      <c r="BQ88" s="61"/>
      <c r="BR88" s="61"/>
      <c r="BS88" s="61"/>
      <c r="BT88" s="61"/>
      <c r="BU88" s="61"/>
      <c r="BV88" s="61"/>
      <c r="BW88" s="61"/>
      <c r="BX88" s="61"/>
      <c r="BY88" s="61"/>
      <c r="BZ88" s="61"/>
      <c r="CA88" s="61"/>
      <c r="CB88" s="61"/>
      <c r="CC88" s="61"/>
      <c r="CD88" s="61"/>
      <c r="CE88" s="61"/>
      <c r="CF88" s="61"/>
      <c r="CG88" s="61"/>
      <c r="CH88" s="61"/>
      <c r="CI88" s="61"/>
      <c r="CJ88" s="61"/>
      <c r="CK88" s="61"/>
      <c r="CL88" s="61"/>
      <c r="CM88" s="61"/>
      <c r="CN88" s="61"/>
      <c r="CO88" s="61"/>
      <c r="CP88" s="61"/>
      <c r="CQ88" s="61"/>
      <c r="CR88" s="61"/>
      <c r="CS88" s="61"/>
      <c r="CT88" s="61"/>
      <c r="CU88" s="61"/>
      <c r="CV88" s="61"/>
      <c r="CW88" s="61"/>
      <c r="CX88" s="61"/>
      <c r="CY88" s="61"/>
      <c r="CZ88" s="61"/>
      <c r="DA88" s="61"/>
      <c r="DB88" s="61"/>
      <c r="DC88" s="61"/>
      <c r="DD88" s="61"/>
      <c r="DE88" s="61"/>
      <c r="DF88" s="61"/>
      <c r="DG88" s="61"/>
      <c r="DH88" s="61"/>
      <c r="DI88" s="61"/>
      <c r="DJ88" s="61"/>
      <c r="DK88" s="61"/>
      <c r="DL88" s="61"/>
      <c r="DM88" s="61"/>
      <c r="DN88" s="61"/>
      <c r="DO88" s="61"/>
      <c r="DP88" s="61"/>
      <c r="DQ88" s="61"/>
      <c r="DR88" s="61"/>
      <c r="DS88" s="61"/>
      <c r="DT88" s="61"/>
      <c r="DU88" s="61"/>
      <c r="DV88" s="61"/>
      <c r="DW88" s="61"/>
      <c r="DX88" s="61"/>
      <c r="DY88" s="61"/>
      <c r="DZ88" s="61"/>
      <c r="EA88" s="61"/>
      <c r="EB88" s="61"/>
      <c r="EC88" s="61"/>
      <c r="ED88" s="61"/>
      <c r="EE88" s="61"/>
      <c r="EF88" s="61"/>
      <c r="EG88" s="61"/>
      <c r="EH88" s="61"/>
      <c r="EI88" s="61"/>
      <c r="EJ88" s="61"/>
      <c r="EK88" s="61"/>
      <c r="EL88" s="61"/>
      <c r="EM88" s="61"/>
    </row>
    <row r="89" customFormat="false" ht="10.5" hidden="false" customHeight="true" outlineLevel="0" collapsed="false">
      <c r="A89" s="39"/>
      <c r="B89" s="39"/>
      <c r="C89" s="39"/>
      <c r="D89" s="39"/>
      <c r="E89" s="39"/>
      <c r="F89" s="39" t="n">
        <f aca="false">+F88/B88-1</f>
        <v>-0.0869850187265918</v>
      </c>
      <c r="G89" s="39" t="n">
        <f aca="false">+G88/C88-1</f>
        <v>0.162329495985295</v>
      </c>
      <c r="H89" s="39" t="n">
        <f aca="false">+H88/D88-1</f>
        <v>1.11838244674066</v>
      </c>
      <c r="I89" s="39" t="n">
        <f aca="false">+I88/E88-1</f>
        <v>1.22860398860399</v>
      </c>
      <c r="J89" s="39" t="n">
        <f aca="false">+J88/F88-1</f>
        <v>0.763101220387653</v>
      </c>
      <c r="K89" s="39" t="n">
        <f aca="false">+K88/G88-1</f>
        <v>0.538410320432792</v>
      </c>
      <c r="L89" s="39" t="n">
        <f aca="false">+L88/H88-1</f>
        <v>0.287305793086836</v>
      </c>
      <c r="M89" s="39" t="n">
        <f aca="false">+M88/I88-1</f>
        <v>0.422836980977705</v>
      </c>
      <c r="N89" s="39" t="n">
        <f aca="false">+N88/J88-1</f>
        <v>0.247964169381107</v>
      </c>
      <c r="O89" s="39" t="n">
        <f aca="false">+O88/K88-1</f>
        <v>0.340781216186973</v>
      </c>
      <c r="P89" s="39" t="n">
        <f aca="false">+P88/L88-1</f>
        <v>0.192777283996819</v>
      </c>
      <c r="Q89" s="39" t="n">
        <f aca="false">+Q88/M88-1</f>
        <v>0.0837735849056605</v>
      </c>
      <c r="R89" s="39" t="n">
        <f aca="false">+R88/N88-1</f>
        <v>0.345653693777674</v>
      </c>
      <c r="S89" s="39" t="n">
        <f aca="false">+S88/O88-1</f>
        <v>0.0140418835492071</v>
      </c>
      <c r="T89" s="39"/>
      <c r="U89" s="39"/>
      <c r="V89" s="39"/>
      <c r="W89" s="39"/>
      <c r="X89" s="39"/>
      <c r="Y89" s="39"/>
      <c r="Z89" s="39"/>
      <c r="AA89" s="39" t="n">
        <f aca="false">+AA88/Z88-1</f>
        <v>-0.429052429052429</v>
      </c>
      <c r="AB89" s="39" t="n">
        <f aca="false">+AB88/AA88-1</f>
        <v>2.2139848357203</v>
      </c>
      <c r="AC89" s="39" t="n">
        <f aca="false">+AC88/AB88-1</f>
        <v>0.634862385321101</v>
      </c>
      <c r="AD89" s="39" t="n">
        <f aca="false">+AD88/AC88-1</f>
        <v>0.309924643257977</v>
      </c>
      <c r="AE89" s="39" t="n">
        <f aca="false">+AE88/AD88-1</f>
        <v>0.807711138310894</v>
      </c>
      <c r="AF89" s="39" t="n">
        <f aca="false">+AF88/AE88-1</f>
        <v>0.572753740943869</v>
      </c>
      <c r="AG89" s="39" t="n">
        <f aca="false">+AG88/AF88-1</f>
        <v>0.258308937489237</v>
      </c>
      <c r="AH89" s="39" t="n">
        <f aca="false">+AH88/AG88-1</f>
        <v>0.0170726700424251</v>
      </c>
      <c r="AI89" s="39" t="n">
        <f aca="false">+AI88/AH88-1</f>
        <v>0.329868469741313</v>
      </c>
      <c r="AJ89" s="39" t="n">
        <f aca="false">+AJ88/AI88-1</f>
        <v>0.384160068803278</v>
      </c>
      <c r="AK89" s="39" t="n">
        <f aca="false">+AK88/AJ88-1</f>
        <v>-0.312317251461988</v>
      </c>
      <c r="AL89" s="39" t="n">
        <f aca="false">+AL88/AK88-1</f>
        <v>0.53943661971831</v>
      </c>
      <c r="AM89" s="39" t="n">
        <f aca="false">+AM88/AL88-1</f>
        <v>0.465207409069723</v>
      </c>
      <c r="AN89" s="39" t="n">
        <f aca="false">+AN88/AM88-1</f>
        <v>0.200452414053111</v>
      </c>
      <c r="AO89" s="39" t="n">
        <f aca="false">+AO88/AN88-1</f>
        <v>0.287545683665057</v>
      </c>
      <c r="AP89" s="39" t="n">
        <f aca="false">+AP88/AO88-1</f>
        <v>0.223529411764706</v>
      </c>
      <c r="AQ89" s="39" t="n">
        <f aca="false">+AQ88/AP88-1</f>
        <v>0.172115384615385</v>
      </c>
      <c r="AR89" s="39" t="n">
        <f aca="false">+AR88/AQ88-1</f>
        <v>0.14</v>
      </c>
      <c r="AS89" s="39" t="n">
        <f aca="false">+AS88/AR88-1</f>
        <v>0.15132075471698</v>
      </c>
      <c r="AT89" s="39" t="n">
        <f aca="false">+AT88/AS88-1</f>
        <v>0.202962962962964</v>
      </c>
      <c r="AU89" s="39"/>
      <c r="AV89" s="39"/>
      <c r="AW89" s="39"/>
      <c r="AX89" s="39"/>
      <c r="AY89" s="32"/>
      <c r="AZ89" s="32"/>
      <c r="BA89" s="39"/>
      <c r="BB89" s="39"/>
      <c r="BC89" s="39"/>
      <c r="BD89" s="39"/>
      <c r="BE89" s="39"/>
      <c r="BF89" s="39"/>
      <c r="BG89" s="39"/>
      <c r="BH89" s="39"/>
      <c r="BI89" s="39"/>
      <c r="BJ89" s="39"/>
      <c r="BK89" s="39"/>
      <c r="BL89" s="39"/>
      <c r="BM89" s="39"/>
      <c r="BN89" s="39"/>
      <c r="BO89" s="39"/>
      <c r="BP89" s="39"/>
      <c r="BQ89" s="39"/>
      <c r="BR89" s="39"/>
      <c r="BS89" s="39"/>
      <c r="BT89" s="39"/>
      <c r="BU89" s="39"/>
      <c r="BV89" s="39"/>
      <c r="BW89" s="39"/>
      <c r="BX89" s="39"/>
      <c r="BY89" s="39"/>
      <c r="BZ89" s="39"/>
      <c r="CA89" s="39"/>
      <c r="CB89" s="39"/>
      <c r="CC89" s="39"/>
      <c r="CD89" s="39"/>
      <c r="CE89" s="39"/>
      <c r="CF89" s="39"/>
      <c r="CG89" s="39"/>
      <c r="CH89" s="39"/>
      <c r="CI89" s="39"/>
      <c r="CJ89" s="39"/>
      <c r="CK89" s="39"/>
      <c r="CL89" s="39"/>
      <c r="CM89" s="39"/>
      <c r="CN89" s="39"/>
      <c r="CO89" s="39"/>
      <c r="CP89" s="39"/>
      <c r="CQ89" s="39"/>
      <c r="CR89" s="39"/>
      <c r="CS89" s="39"/>
      <c r="CT89" s="39"/>
      <c r="CU89" s="39"/>
      <c r="CV89" s="39"/>
      <c r="CW89" s="39"/>
      <c r="CX89" s="39"/>
      <c r="CY89" s="39"/>
      <c r="CZ89" s="39"/>
      <c r="DA89" s="39"/>
      <c r="DB89" s="39"/>
      <c r="DC89" s="39"/>
      <c r="DD89" s="39"/>
      <c r="DE89" s="39"/>
      <c r="DF89" s="39"/>
      <c r="DG89" s="39"/>
      <c r="DH89" s="39"/>
      <c r="DI89" s="39"/>
      <c r="DJ89" s="39"/>
      <c r="DK89" s="39"/>
      <c r="DL89" s="39"/>
      <c r="DM89" s="39"/>
      <c r="DN89" s="39"/>
      <c r="DO89" s="39"/>
      <c r="DP89" s="39"/>
      <c r="DQ89" s="39"/>
      <c r="DR89" s="39"/>
      <c r="DS89" s="39"/>
      <c r="DT89" s="39"/>
      <c r="DU89" s="39"/>
      <c r="DV89" s="39"/>
      <c r="DW89" s="39"/>
      <c r="DX89" s="39"/>
      <c r="DY89" s="39"/>
      <c r="DZ89" s="39"/>
      <c r="EA89" s="39"/>
      <c r="EB89" s="39"/>
      <c r="EC89" s="39"/>
      <c r="ED89" s="39"/>
      <c r="EE89" s="39"/>
      <c r="EF89" s="39"/>
      <c r="EG89" s="39"/>
      <c r="EH89" s="39"/>
      <c r="EI89" s="39"/>
      <c r="EJ89" s="39"/>
      <c r="EK89" s="39"/>
      <c r="EL89" s="39"/>
      <c r="EM89" s="39"/>
    </row>
    <row r="90" s="65" customFormat="true" ht="12.8" hidden="false" customHeight="false" outlineLevel="0" collapsed="false">
      <c r="A90" s="43" t="s">
        <v>213</v>
      </c>
      <c r="B90" s="43" t="n">
        <f aca="false">+B44+B129+B132+B133+B134+B135</f>
        <v>9896</v>
      </c>
      <c r="C90" s="43" t="n">
        <f aca="false">+C44+C129+C132+C133+C134+C135</f>
        <v>10073</v>
      </c>
      <c r="D90" s="43" t="n">
        <f aca="false">+D44+D129+D132+D133+D134+D135</f>
        <v>7259</v>
      </c>
      <c r="E90" s="43" t="n">
        <f aca="false">+E44+E129+E132+E133+E134+E135</f>
        <v>11320</v>
      </c>
      <c r="F90" s="43" t="n">
        <f aca="false">+F44+F129+F132+F133+F134+F135</f>
        <v>9894</v>
      </c>
      <c r="G90" s="43" t="n">
        <f aca="false">+G44+G129+G132+G133+G134+G135</f>
        <v>11322</v>
      </c>
      <c r="H90" s="43" t="n">
        <f aca="false">+H44+H129+H132+H133+H134+H135</f>
        <v>20070</v>
      </c>
      <c r="I90" s="43" t="n">
        <f aca="false">+I44+I129+I132+I133+I134+I135</f>
        <v>19617</v>
      </c>
      <c r="J90" s="43" t="n">
        <f aca="false">+J44+J129+J132+J133+J134+J135</f>
        <v>16910</v>
      </c>
      <c r="K90" s="43" t="n">
        <f aca="false">+K44+K129+K132+K133+K134+K135</f>
        <v>16876</v>
      </c>
      <c r="L90" s="43" t="n">
        <f aca="false">+L44+L129+L132+L133+L134+L135</f>
        <v>20066</v>
      </c>
      <c r="M90" s="43" t="n">
        <f aca="false">+M44+M129+M132+M133+M134+M135</f>
        <v>26756</v>
      </c>
      <c r="N90" s="43" t="n">
        <f aca="false">+N44+N129+N132+N133+N134+N135</f>
        <v>20231</v>
      </c>
      <c r="O90" s="43" t="n">
        <f aca="false">+O44+O129+O132+O133+O134+O135</f>
        <v>23788</v>
      </c>
      <c r="P90" s="43" t="n">
        <f aca="false">+P44+P129+P132+P133+P134+P135</f>
        <v>44421</v>
      </c>
      <c r="Q90" s="43" t="n">
        <f aca="false">+Q44+Q129+Q132+Q133+Q134+Q135</f>
        <v>30637</v>
      </c>
      <c r="R90" s="43" t="n">
        <f aca="false">+R44+R129+R132+R133+R134+R135</f>
        <v>30052</v>
      </c>
      <c r="S90" s="43" t="n">
        <f aca="false">+S44+S129+S132+S133+S134+S135</f>
        <v>26631</v>
      </c>
      <c r="T90" s="43"/>
      <c r="U90" s="43"/>
      <c r="V90" s="43"/>
      <c r="W90" s="43"/>
      <c r="X90" s="43"/>
      <c r="Y90" s="43"/>
      <c r="Z90" s="43" t="n">
        <f aca="false">+Z44+Z129+Z132+Z133+Z134+Z135</f>
        <v>2053</v>
      </c>
      <c r="AA90" s="43" t="n">
        <f aca="false">+AA44+AA129+AA132+AA133+AA134+AA135</f>
        <v>1024</v>
      </c>
      <c r="AB90" s="43" t="n">
        <f aca="false">+AB44+AB129+AB132+AB133+AB134+AB135</f>
        <v>3944</v>
      </c>
      <c r="AC90" s="43" t="n">
        <f aca="false">+AC44+AC129+AC132+AC133+AC134+AC135</f>
        <v>5987</v>
      </c>
      <c r="AD90" s="43" t="n">
        <f aca="false">+AD44+AD129+AD132+AD133+AD134+AD135</f>
        <v>7392</v>
      </c>
      <c r="AE90" s="43" t="n">
        <f aca="false">+AE44+AE129+AE132+AE133+AE134+AE135</f>
        <v>14342</v>
      </c>
      <c r="AF90" s="43" t="n">
        <f aca="false">+AF44+AF129+AF132+AF133+AF134+AF135</f>
        <v>22875</v>
      </c>
      <c r="AG90" s="43" t="n">
        <f aca="false">+AG44+AG129+AG132+AG133+AG134+AG135</f>
        <v>29450</v>
      </c>
      <c r="AH90" s="43" t="n">
        <f aca="false">+AH44+AH129+AH132+AH133+AH134+AH135</f>
        <v>29729</v>
      </c>
      <c r="AI90" s="43" t="n">
        <f aca="false">+AI44+AI129+AI132+AI133+AI134+AI135</f>
        <v>38459</v>
      </c>
      <c r="AJ90" s="43" t="n">
        <f aca="false">+AJ44+AJ129+AJ132+AJ133+AJ134+AJ135</f>
        <v>55202</v>
      </c>
      <c r="AK90" s="43" t="n">
        <f aca="false">+AK44+AK129+AK132+AK133+AK134+AK135</f>
        <v>38544</v>
      </c>
      <c r="AL90" s="43" t="n">
        <f aca="false">+AL44+AL129+AL132+AL133+AL134+AL135</f>
        <v>60903</v>
      </c>
      <c r="AM90" s="43" t="n">
        <f aca="false">+AM44+AM129+AM132+AM133+AM134+AM135</f>
        <v>80610</v>
      </c>
      <c r="AN90" s="43" t="n">
        <f aca="false">+AN44+AN129+AN132+AN133+AN134+AN135</f>
        <v>119076</v>
      </c>
      <c r="AO90" s="43"/>
      <c r="AP90" s="43"/>
      <c r="AQ90" s="43"/>
      <c r="AR90" s="3"/>
      <c r="AS90" s="43"/>
      <c r="AT90" s="43"/>
      <c r="AU90" s="61"/>
      <c r="AV90" s="61"/>
      <c r="AW90" s="61"/>
      <c r="AX90" s="61"/>
      <c r="AY90" s="32"/>
      <c r="AZ90" s="32"/>
      <c r="BA90" s="61"/>
      <c r="BB90" s="61"/>
      <c r="BC90" s="61"/>
      <c r="BD90" s="61"/>
      <c r="BE90" s="61"/>
      <c r="BF90" s="61"/>
      <c r="BG90" s="61"/>
      <c r="BH90" s="61"/>
      <c r="BI90" s="61"/>
      <c r="BJ90" s="61"/>
      <c r="BK90" s="61"/>
      <c r="BL90" s="61"/>
      <c r="BM90" s="61"/>
      <c r="BN90" s="61"/>
      <c r="BO90" s="61"/>
      <c r="BP90" s="61"/>
      <c r="BQ90" s="61"/>
      <c r="BR90" s="61"/>
      <c r="BS90" s="61"/>
      <c r="BT90" s="61"/>
      <c r="BU90" s="61"/>
      <c r="BV90" s="61"/>
      <c r="BW90" s="61"/>
      <c r="BX90" s="61"/>
      <c r="BY90" s="61"/>
      <c r="BZ90" s="61"/>
      <c r="CA90" s="61"/>
      <c r="CB90" s="61"/>
      <c r="CC90" s="61"/>
      <c r="CD90" s="61"/>
      <c r="CE90" s="61"/>
      <c r="CF90" s="61"/>
      <c r="CG90" s="61"/>
      <c r="CH90" s="61"/>
      <c r="CI90" s="61"/>
      <c r="CJ90" s="61"/>
      <c r="CK90" s="61"/>
      <c r="CL90" s="61"/>
      <c r="CM90" s="61"/>
      <c r="CN90" s="61"/>
      <c r="CO90" s="61"/>
      <c r="CP90" s="61"/>
      <c r="CQ90" s="61"/>
      <c r="CR90" s="61"/>
      <c r="CS90" s="61"/>
      <c r="CT90" s="61"/>
      <c r="CU90" s="61"/>
      <c r="CV90" s="61"/>
      <c r="CW90" s="61"/>
      <c r="CX90" s="61"/>
      <c r="CY90" s="61"/>
      <c r="CZ90" s="61"/>
      <c r="DA90" s="61"/>
      <c r="DB90" s="61"/>
      <c r="DC90" s="61"/>
      <c r="DD90" s="61"/>
      <c r="DE90" s="61"/>
      <c r="DF90" s="61"/>
      <c r="DG90" s="61"/>
      <c r="DH90" s="61"/>
      <c r="DI90" s="61"/>
      <c r="DJ90" s="61"/>
      <c r="DK90" s="61"/>
      <c r="DL90" s="61"/>
      <c r="DM90" s="61"/>
      <c r="DN90" s="61"/>
      <c r="DO90" s="61"/>
      <c r="DP90" s="61"/>
      <c r="DQ90" s="61"/>
      <c r="DR90" s="61"/>
      <c r="DS90" s="61"/>
      <c r="DT90" s="61"/>
      <c r="DU90" s="61"/>
      <c r="DV90" s="61"/>
      <c r="DW90" s="61"/>
      <c r="DX90" s="61"/>
      <c r="DY90" s="61"/>
      <c r="DZ90" s="61"/>
      <c r="EA90" s="61"/>
      <c r="EB90" s="61"/>
      <c r="EC90" s="61"/>
      <c r="ED90" s="61"/>
      <c r="EE90" s="61"/>
      <c r="EF90" s="61"/>
      <c r="EG90" s="61"/>
      <c r="EH90" s="61"/>
      <c r="EI90" s="61"/>
      <c r="EJ90" s="61"/>
      <c r="EK90" s="61"/>
      <c r="EL90" s="61"/>
      <c r="EM90" s="61"/>
      <c r="EN90" s="32"/>
      <c r="EO90" s="32"/>
      <c r="EP90" s="32"/>
      <c r="EQ90" s="32"/>
      <c r="ER90" s="32"/>
    </row>
    <row r="91" customFormat="false" ht="12.8" hidden="false" customHeight="false" outlineLevel="0" collapsed="false">
      <c r="A91" s="43" t="s">
        <v>214</v>
      </c>
      <c r="B91" s="43"/>
      <c r="C91" s="43"/>
      <c r="D91" s="43"/>
      <c r="E91" s="43"/>
      <c r="F91" s="43"/>
      <c r="G91" s="43"/>
      <c r="H91" s="43"/>
      <c r="I91" s="43"/>
      <c r="J91" s="43"/>
      <c r="K91" s="43"/>
      <c r="L91" s="43"/>
      <c r="M91" s="43"/>
      <c r="N91" s="43"/>
      <c r="O91" s="43"/>
      <c r="P91" s="43"/>
      <c r="Q91" s="43"/>
      <c r="R91" s="43"/>
      <c r="S91" s="43"/>
      <c r="T91" s="43"/>
      <c r="U91" s="43"/>
      <c r="V91" s="43"/>
      <c r="W91" s="43"/>
      <c r="X91" s="43"/>
      <c r="Y91" s="43"/>
      <c r="Z91" s="43" t="n">
        <f aca="false">+Z99+Z100-Z116</f>
        <v>3293</v>
      </c>
      <c r="AA91" s="43" t="n">
        <f aca="false">+AA99+AA100-AA116</f>
        <v>8126</v>
      </c>
      <c r="AB91" s="43" t="n">
        <f aca="false">+AB99+AB100-AB116</f>
        <v>11449</v>
      </c>
      <c r="AC91" s="43" t="n">
        <f aca="false">+AC99+AC100-AC116</f>
        <v>11199</v>
      </c>
      <c r="AD91" s="43" t="n">
        <f aca="false">+AD99+AD100-AD116</f>
        <v>18434</v>
      </c>
      <c r="AE91" s="43" t="n">
        <f aca="false">+AE99+AE100-AE116</f>
        <v>29449</v>
      </c>
      <c r="AF91" s="43" t="n">
        <f aca="false">+AF99+AF100-AF116</f>
        <v>41711</v>
      </c>
      <c r="AG91" s="43" t="n">
        <f aca="false">+AG99+AG100-AG116</f>
        <v>41114</v>
      </c>
      <c r="AH91" s="43" t="n">
        <f aca="false">+AH99+AH100-AH116</f>
        <v>54855</v>
      </c>
      <c r="AI91" s="43" t="n">
        <f aca="false">+AI99+AI100-AI116</f>
        <v>61954</v>
      </c>
      <c r="AJ91" s="43" t="n">
        <f aca="false">+AJ99+AJ100-AJ116</f>
        <v>47998</v>
      </c>
      <c r="AK91" s="43" t="n">
        <f aca="false">+AK99+AK100-AK116</f>
        <v>30815</v>
      </c>
      <c r="AL91" s="43" t="n">
        <f aca="false">+AL99+AL100-AL116</f>
        <v>47018</v>
      </c>
      <c r="AM91" s="43" t="n">
        <f aca="false">+AM99+AM100-AM116</f>
        <v>48989</v>
      </c>
      <c r="AN91" s="43" t="n">
        <f aca="false">+AN99+AN100-AN116</f>
        <v>22848</v>
      </c>
      <c r="AO91" s="43" t="n">
        <f aca="false">+AN91+AO52</f>
        <v>108539.764992</v>
      </c>
      <c r="AP91" s="43" t="n">
        <f aca="false">+AO91+AP52</f>
        <v>223221.408653261</v>
      </c>
      <c r="AQ91" s="43" t="n">
        <f aca="false">+AP91+AQ52</f>
        <v>359905.851855668</v>
      </c>
      <c r="AR91" s="43" t="n">
        <f aca="false">+AQ91+AR52</f>
        <v>517560.659066654</v>
      </c>
      <c r="AS91" s="43" t="n">
        <f aca="false">+AR91+AS52</f>
        <v>701618.130458275</v>
      </c>
      <c r="AT91" s="43" t="n">
        <f aca="false">+AS91+AT52</f>
        <v>927707.899566131</v>
      </c>
      <c r="AU91" s="43"/>
      <c r="AV91" s="43"/>
      <c r="AW91" s="43"/>
      <c r="AX91" s="43"/>
      <c r="AY91" s="32"/>
      <c r="AZ91" s="32"/>
      <c r="BA91" s="43"/>
      <c r="BB91" s="43"/>
      <c r="BC91" s="43"/>
      <c r="BD91" s="43"/>
      <c r="BE91" s="43"/>
      <c r="BF91" s="43"/>
      <c r="BG91" s="43"/>
      <c r="BH91" s="43"/>
      <c r="BI91" s="43"/>
      <c r="BJ91" s="43"/>
      <c r="BK91" s="43"/>
      <c r="BL91" s="43"/>
      <c r="BM91" s="43"/>
      <c r="BN91" s="43"/>
      <c r="BO91" s="43"/>
      <c r="BP91" s="43"/>
      <c r="BQ91" s="43"/>
      <c r="BR91" s="43"/>
      <c r="BS91" s="43"/>
      <c r="BT91" s="43"/>
      <c r="BU91" s="43"/>
      <c r="BV91" s="43"/>
      <c r="BW91" s="43"/>
      <c r="BX91" s="43"/>
      <c r="BY91" s="43"/>
      <c r="BZ91" s="43"/>
      <c r="CA91" s="43"/>
      <c r="CB91" s="43"/>
      <c r="CC91" s="43"/>
      <c r="CD91" s="43"/>
      <c r="CE91" s="43"/>
      <c r="CF91" s="43"/>
      <c r="CG91" s="43"/>
      <c r="CH91" s="43"/>
      <c r="CI91" s="43"/>
      <c r="CJ91" s="43"/>
      <c r="CK91" s="43"/>
      <c r="CL91" s="43"/>
      <c r="CM91" s="43"/>
      <c r="CN91" s="43"/>
      <c r="CO91" s="43"/>
      <c r="CP91" s="43"/>
      <c r="CQ91" s="43"/>
      <c r="CR91" s="43"/>
      <c r="CS91" s="43"/>
      <c r="CT91" s="43"/>
      <c r="CU91" s="43"/>
      <c r="CV91" s="43"/>
      <c r="CW91" s="43"/>
      <c r="CX91" s="43"/>
      <c r="CY91" s="43"/>
      <c r="CZ91" s="43"/>
      <c r="DA91" s="43"/>
      <c r="DB91" s="43"/>
      <c r="DC91" s="43"/>
      <c r="DD91" s="43"/>
      <c r="DE91" s="43"/>
      <c r="DF91" s="43"/>
      <c r="DG91" s="43"/>
      <c r="DH91" s="43"/>
      <c r="DI91" s="43"/>
      <c r="DJ91" s="43"/>
      <c r="DK91" s="43"/>
      <c r="DL91" s="43"/>
      <c r="DM91" s="43"/>
      <c r="DN91" s="43"/>
      <c r="DO91" s="43"/>
      <c r="DP91" s="43"/>
      <c r="DQ91" s="43"/>
      <c r="DR91" s="43"/>
      <c r="DS91" s="43"/>
      <c r="DT91" s="43"/>
      <c r="DU91" s="43"/>
      <c r="DV91" s="43"/>
      <c r="DW91" s="43"/>
      <c r="DX91" s="43"/>
      <c r="DY91" s="43"/>
      <c r="DZ91" s="43"/>
      <c r="EA91" s="43"/>
      <c r="EB91" s="43"/>
      <c r="EC91" s="43"/>
      <c r="ED91" s="43"/>
      <c r="EE91" s="43"/>
      <c r="EF91" s="43"/>
      <c r="EG91" s="43"/>
      <c r="EH91" s="43"/>
      <c r="EI91" s="43"/>
      <c r="EJ91" s="43"/>
      <c r="EK91" s="43"/>
      <c r="EL91" s="43"/>
      <c r="EM91" s="43"/>
    </row>
    <row r="92" customFormat="false" ht="12.8" hidden="false" customHeight="false" outlineLevel="0" collapsed="false">
      <c r="A92" s="65"/>
      <c r="B92" s="65"/>
      <c r="C92" s="65"/>
      <c r="D92" s="65"/>
      <c r="E92" s="65"/>
      <c r="F92" s="65"/>
      <c r="G92" s="65"/>
      <c r="H92" s="65"/>
      <c r="I92" s="65"/>
      <c r="J92" s="65"/>
      <c r="K92" s="65"/>
      <c r="L92" s="65"/>
      <c r="M92" s="65"/>
      <c r="N92" s="65"/>
      <c r="O92" s="65"/>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43"/>
      <c r="AV92" s="43"/>
      <c r="AW92" s="43"/>
      <c r="AX92" s="43"/>
      <c r="AY92" s="32"/>
      <c r="AZ92" s="32"/>
      <c r="BA92" s="43" t="s">
        <v>14</v>
      </c>
      <c r="BB92" s="43" t="n">
        <f aca="false">+AW95</f>
        <v>1609695.44470881</v>
      </c>
      <c r="BC92" s="43"/>
      <c r="BD92" s="43"/>
      <c r="BE92" s="43"/>
      <c r="BF92" s="43"/>
      <c r="BG92" s="43"/>
      <c r="BH92" s="43"/>
      <c r="BI92" s="43"/>
      <c r="BJ92" s="43"/>
      <c r="BK92" s="43"/>
      <c r="BL92" s="43"/>
      <c r="BM92" s="43"/>
      <c r="BN92" s="43"/>
      <c r="BO92" s="43"/>
      <c r="BP92" s="43"/>
      <c r="BQ92" s="43"/>
      <c r="BR92" s="43"/>
      <c r="BS92" s="43"/>
      <c r="BT92" s="43"/>
      <c r="BU92" s="43"/>
      <c r="BV92" s="43"/>
      <c r="BW92" s="43"/>
      <c r="BX92" s="43"/>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43"/>
      <c r="DQ92" s="43"/>
      <c r="DR92" s="43"/>
      <c r="DS92" s="43"/>
      <c r="DT92" s="43"/>
      <c r="DU92" s="43"/>
      <c r="DV92" s="43"/>
      <c r="DW92" s="43"/>
      <c r="DX92" s="43"/>
      <c r="DY92" s="43"/>
      <c r="DZ92" s="43"/>
      <c r="EA92" s="43"/>
      <c r="EB92" s="43"/>
      <c r="EC92" s="43"/>
      <c r="ED92" s="43"/>
      <c r="EE92" s="43"/>
      <c r="EF92" s="43"/>
      <c r="EG92" s="43"/>
      <c r="EH92" s="43"/>
      <c r="EI92" s="43"/>
      <c r="EJ92" s="43"/>
      <c r="EK92" s="43"/>
      <c r="EL92" s="43"/>
      <c r="EM92" s="43"/>
    </row>
    <row r="93" customFormat="false" ht="12.8" hidden="false" customHeight="false" outlineLevel="0" collapsed="false">
      <c r="A93" s="3" t="s">
        <v>215</v>
      </c>
      <c r="B93" s="3" t="n">
        <f aca="false">+B44*(1-B69)</f>
        <v>7143.20386169735</v>
      </c>
      <c r="C93" s="3" t="n">
        <f aca="false">+C44*(1-C69)</f>
        <v>6827.50378695333</v>
      </c>
      <c r="D93" s="3" t="n">
        <f aca="false">+D44*(1-D69)</f>
        <v>4464.36154949785</v>
      </c>
      <c r="E93" s="3" t="n">
        <f aca="false">+E44*(1-E69)</f>
        <v>4841.1364449504</v>
      </c>
      <c r="F93" s="3" t="n">
        <f aca="false">+F44*(1-F69)</f>
        <v>5646.49555221021</v>
      </c>
      <c r="G93" s="3" t="n">
        <f aca="false">+G44*(1-G69)</f>
        <v>7870.96696438179</v>
      </c>
      <c r="H93" s="3" t="n">
        <f aca="false">+H44*(1-H69)</f>
        <v>11358.2798858773</v>
      </c>
      <c r="I93" s="3" t="n">
        <f aca="false">+I44*(1-I69)</f>
        <v>13663.4059971442</v>
      </c>
      <c r="J93" s="3" t="n">
        <f aca="false">+J44*(1-J69)</f>
        <v>12050.6833533103</v>
      </c>
      <c r="K93" s="3" t="n">
        <f aca="false">+K44*(1-K69)</f>
        <v>13234.1357738647</v>
      </c>
      <c r="L93" s="3" t="n">
        <f aca="false">+L44*(1-L69)</f>
        <v>15272.5171136797</v>
      </c>
      <c r="M93" s="3" t="n">
        <f aca="false">+M44*(1-M69)</f>
        <v>20671.6711246975</v>
      </c>
      <c r="N93" s="3" t="n">
        <f aca="false">+N44*(1-N69)</f>
        <v>15895.1920356871</v>
      </c>
      <c r="O93" s="3" t="n">
        <f aca="false">+O44*(1-O69)</f>
        <v>18289.882645974</v>
      </c>
      <c r="P93" s="3" t="n">
        <f aca="false">+P44*(1-P69)</f>
        <v>17536.408083442</v>
      </c>
      <c r="Q93" s="3" t="n">
        <f aca="false">+Q44*(1-Q69)</f>
        <v>22221.1154058531</v>
      </c>
      <c r="R93" s="3" t="n">
        <f aca="false">+R44*(1-R69)</f>
        <v>27902.6777641493</v>
      </c>
      <c r="S93" s="3" t="n">
        <f aca="false">+S44*(1-S69)</f>
        <v>15864.0541693325</v>
      </c>
      <c r="Z93" s="3" t="n">
        <f aca="false">+Z44*(1-Z69)</f>
        <v>1035.98820058997</v>
      </c>
      <c r="AA93" s="3" t="n">
        <f aca="false">+AA44*(1-AA69)</f>
        <v>57.7206477732793</v>
      </c>
      <c r="AB93" s="3" t="n">
        <f aca="false">+AB44*(1-AB69)</f>
        <v>1527.23311546841</v>
      </c>
      <c r="AC93" s="3" t="n">
        <f aca="false">+AC44*(1-AC69)</f>
        <v>2990.29735234216</v>
      </c>
      <c r="AD93" s="3" t="n">
        <f aca="false">+AD44*(1-AD69)</f>
        <v>3706.45786244753</v>
      </c>
      <c r="AE93" s="3" t="n">
        <f aca="false">+AE44*(1-AE69)</f>
        <v>10142.7271928423</v>
      </c>
      <c r="AF93" s="3" t="n">
        <f aca="false">+AF44*(1-AF69)</f>
        <v>15631.4752840633</v>
      </c>
      <c r="AG93" s="3" t="n">
        <f aca="false">+AG44*(1-AG69)</f>
        <v>21721.3933204527</v>
      </c>
      <c r="AH93" s="3" t="n">
        <f aca="false">+AH44*(1-AH69)</f>
        <v>17869.6280025794</v>
      </c>
      <c r="AI93" s="3" t="n">
        <f aca="false">+AI44*(1-AI69)</f>
        <v>28698.8838456902</v>
      </c>
      <c r="AJ93" s="3" t="n">
        <f aca="false">+AJ44*(1-AJ69)</f>
        <v>38927.8743338127</v>
      </c>
      <c r="AK93" s="3" t="n">
        <f aca="false">+AK44*(1-AK69)</f>
        <v>23300.6280578785</v>
      </c>
      <c r="AL93" s="3" t="n">
        <f aca="false">+AL44*(1-AL69)</f>
        <v>38539.9046554778</v>
      </c>
      <c r="AM93" s="3" t="n">
        <f aca="false">+AM44*(1-AM69)</f>
        <v>61227.7542702687</v>
      </c>
      <c r="AN93" s="3" t="n">
        <f aca="false">+AN44*(1-AN69)</f>
        <v>58589.3544663222</v>
      </c>
      <c r="AO93" s="3" t="n">
        <f aca="false">+AO44*(1-AO69)</f>
        <v>93994.209792</v>
      </c>
      <c r="AP93" s="3" t="n">
        <f aca="false">+AP44*(1-AP69)</f>
        <v>112793.0517504</v>
      </c>
      <c r="AQ93" s="3" t="n">
        <f aca="false">+AQ44*(1-AQ69)</f>
        <v>132800.39069184</v>
      </c>
      <c r="AR93" s="3" t="n">
        <f aca="false">+AR44*(1-AR69)</f>
        <v>151392.445388698</v>
      </c>
      <c r="AS93" s="3" t="n">
        <f aca="false">+AS44*(1-AS69)</f>
        <v>175051.915923861</v>
      </c>
      <c r="AT93" s="3" t="n">
        <f aca="false">+AT44*(1-AT69)</f>
        <v>213881.613637882</v>
      </c>
      <c r="AU93" s="43"/>
      <c r="AV93" s="84" t="s">
        <v>185</v>
      </c>
      <c r="AW93" s="85" t="n">
        <v>0.02</v>
      </c>
      <c r="AX93" s="43"/>
      <c r="AY93" s="32"/>
      <c r="AZ93" s="32"/>
      <c r="BA93" s="43" t="s">
        <v>216</v>
      </c>
      <c r="BB93" s="43" t="n">
        <f aca="false">+Main!F6</f>
        <v>83664</v>
      </c>
      <c r="BC93" s="43"/>
      <c r="BD93" s="43"/>
      <c r="BE93" s="43"/>
      <c r="BF93" s="43"/>
      <c r="BG93" s="43"/>
      <c r="BH93" s="43"/>
      <c r="BI93" s="43"/>
      <c r="BJ93" s="43"/>
      <c r="BK93" s="43"/>
      <c r="BL93" s="43"/>
      <c r="BM93" s="43"/>
      <c r="BN93" s="43"/>
      <c r="BO93" s="43"/>
      <c r="BP93" s="43"/>
      <c r="BQ93" s="43"/>
      <c r="BR93" s="43"/>
      <c r="BS93" s="43"/>
      <c r="BT93" s="43"/>
      <c r="BU93" s="43"/>
      <c r="BV93" s="43"/>
      <c r="BW93" s="43"/>
      <c r="BX93" s="43"/>
      <c r="BY93" s="43"/>
      <c r="BZ93" s="43"/>
      <c r="CA93" s="43"/>
      <c r="CB93" s="43"/>
      <c r="CC93" s="43"/>
      <c r="CD93" s="43"/>
      <c r="CE93" s="43"/>
      <c r="CF93" s="43"/>
      <c r="CG93" s="43"/>
      <c r="CH93" s="43"/>
      <c r="CI93" s="43"/>
      <c r="CJ93" s="43"/>
      <c r="CK93" s="43"/>
      <c r="CL93" s="43"/>
      <c r="CM93" s="43"/>
      <c r="CN93" s="43"/>
      <c r="CO93" s="43"/>
      <c r="CP93" s="43"/>
      <c r="CQ93" s="43"/>
      <c r="CR93" s="43"/>
      <c r="CS93" s="43"/>
      <c r="CT93" s="43"/>
      <c r="CU93" s="43"/>
      <c r="CV93" s="43"/>
      <c r="CW93" s="43"/>
      <c r="CX93" s="43"/>
      <c r="CY93" s="43"/>
      <c r="CZ93" s="43"/>
      <c r="DA93" s="43"/>
      <c r="DB93" s="43"/>
      <c r="DC93" s="43"/>
      <c r="DD93" s="43"/>
      <c r="DE93" s="43"/>
      <c r="DF93" s="43"/>
      <c r="DG93" s="43"/>
      <c r="DH93" s="43"/>
      <c r="DI93" s="43"/>
      <c r="DJ93" s="43"/>
      <c r="DK93" s="43"/>
      <c r="DL93" s="43"/>
      <c r="DM93" s="43"/>
      <c r="DN93" s="43"/>
      <c r="DO93" s="43"/>
      <c r="DP93" s="43"/>
      <c r="DQ93" s="43"/>
      <c r="DR93" s="43"/>
      <c r="DS93" s="43"/>
      <c r="DT93" s="43"/>
      <c r="DU93" s="43"/>
      <c r="DV93" s="43"/>
      <c r="DW93" s="43"/>
      <c r="DX93" s="43"/>
      <c r="DY93" s="43"/>
      <c r="DZ93" s="43"/>
      <c r="EA93" s="43"/>
      <c r="EB93" s="43"/>
      <c r="EC93" s="43"/>
      <c r="ED93" s="43"/>
      <c r="EE93" s="43"/>
      <c r="EF93" s="43"/>
      <c r="EG93" s="43"/>
      <c r="EH93" s="43"/>
      <c r="EI93" s="43"/>
      <c r="EJ93" s="43"/>
      <c r="EK93" s="43"/>
      <c r="EL93" s="43"/>
      <c r="EM93" s="43"/>
    </row>
    <row r="94" customFormat="false" ht="12.8" hidden="false" customHeight="false" outlineLevel="0" collapsed="false">
      <c r="A94" s="3" t="s">
        <v>217</v>
      </c>
      <c r="B94" s="3" t="n">
        <f aca="false">+SUM(B100,B101,B102)-SUM(B111,B112,B114)</f>
        <v>11854</v>
      </c>
      <c r="C94" s="3" t="n">
        <f aca="false">+SUM(C100,C101,C102)-SUM(C111,C112,C114)</f>
        <v>7811</v>
      </c>
      <c r="D94" s="3" t="n">
        <f aca="false">+SUM(D100,D101,D102)-SUM(D111,D112,D114)</f>
        <v>8122</v>
      </c>
      <c r="E94" s="3" t="n">
        <f aca="false">+SUM(E100,E101,E102)-SUM(E111,E112,E114)</f>
        <v>3658</v>
      </c>
      <c r="F94" s="3" t="n">
        <f aca="false">+SUM(F100,F101,F102)-SUM(F111,F112,F114)</f>
        <v>265</v>
      </c>
      <c r="G94" s="3" t="n">
        <f aca="false">+SUM(G100,G101,G102)-SUM(G111,G112,G114)</f>
        <v>-4814</v>
      </c>
      <c r="H94" s="3" t="n">
        <f aca="false">+SUM(H100,H101,H102)-SUM(H111,H112,H114)</f>
        <v>-4647</v>
      </c>
      <c r="I94" s="3" t="n">
        <f aca="false">+SUM(I100,I101,I102)-SUM(I111,I112,I114)</f>
        <v>-5683</v>
      </c>
      <c r="J94" s="3" t="n">
        <f aca="false">+SUM(J100,J101,J102)-SUM(J111,J112,J114)</f>
        <v>-2648</v>
      </c>
      <c r="K94" s="3" t="n">
        <f aca="false">+SUM(K100,K101,K102)-SUM(K111,K112,K114)</f>
        <v>-303</v>
      </c>
      <c r="L94" s="3" t="n">
        <f aca="false">+SUM(L100,L101,L102)-SUM(L111,L112,L114)</f>
        <v>-4323</v>
      </c>
      <c r="M94" s="3" t="n">
        <f aca="false">+SUM(M100,M101,M102)-SUM(M111,M112,M114)</f>
        <v>3638</v>
      </c>
      <c r="N94" s="3" t="n">
        <f aca="false">+SUM(N100,N101,N102)-SUM(N111,N112,N114)</f>
        <v>8873</v>
      </c>
      <c r="O94" s="3" t="n">
        <f aca="false">+SUM(O100,O101,O102)-SUM(O111,O112,O114)</f>
        <v>5552</v>
      </c>
      <c r="P94" s="3" t="n">
        <f aca="false">+SUM(P100,P101,P102)-SUM(P111,P112,P114)</f>
        <v>5860</v>
      </c>
      <c r="Q94" s="3" t="n">
        <f aca="false">+SUM(Q100,Q101,Q102)-SUM(Q111,Q112,Q114)</f>
        <v>8073</v>
      </c>
      <c r="R94" s="3" t="n">
        <f aca="false">+SUM(R100,R101,R102)-SUM(R111,R112,R114)</f>
        <v>13979</v>
      </c>
      <c r="S94" s="3" t="n">
        <f aca="false">+SUM(S100,S101,S102)-SUM(S111,S112,S114)</f>
        <v>27405</v>
      </c>
      <c r="Z94" s="3" t="n">
        <f aca="false">+SUM(Z100,Z101,Z102)-SUM(Z111,Z112,Z114)</f>
        <v>2056</v>
      </c>
      <c r="AA94" s="3" t="n">
        <f aca="false">+SUM(AA100,AA101,AA102)-SUM(AA111,AA112,AA114)</f>
        <v>7088</v>
      </c>
      <c r="AB94" s="3" t="n">
        <f aca="false">+SUM(AB100,AB101,AB102)-SUM(AB111,AB112,AB114)</f>
        <v>8578</v>
      </c>
      <c r="AC94" s="3" t="n">
        <f aca="false">+SUM(AC100,AC101,AC102)-SUM(AC111,AC112,AC114)</f>
        <v>7800</v>
      </c>
      <c r="AD94" s="3" t="n">
        <f aca="false">+SUM(AD100,AD101,AD102)-SUM(AD111,AD112,AD114)</f>
        <v>14986</v>
      </c>
      <c r="AE94" s="3" t="n">
        <f aca="false">+SUM(AE100,AE101,AE102)-SUM(AE111,AE112,AE114)</f>
        <v>22993</v>
      </c>
      <c r="AF94" s="3" t="n">
        <f aca="false">+SUM(AF100,AF101,AF102)-SUM(AF111,AF112,AF114)</f>
        <v>37212</v>
      </c>
      <c r="AG94" s="3" t="n">
        <f aca="false">+SUM(AG100,AG101,AG102)-SUM(AG111,AG112,AG114)</f>
        <v>34132</v>
      </c>
      <c r="AH94" s="3" t="n">
        <f aca="false">+SUM(AH100,AH101,AH102)-SUM(AH111,AH112,AH114)</f>
        <v>23724</v>
      </c>
      <c r="AI94" s="3" t="n">
        <f aca="false">+SUM(AI100,AI101,AI102)-SUM(AI111,AI112,AI114)</f>
        <v>34957</v>
      </c>
      <c r="AJ94" s="3" t="n">
        <f aca="false">+SUM(AJ100,AJ101,AJ102)-SUM(AJ111,AJ112,AJ114)</f>
        <v>17236</v>
      </c>
      <c r="AK94" s="3" t="n">
        <f aca="false">+SUM(AK100,AK101,AK102)-SUM(AK111,AK112,AK114)</f>
        <v>3658</v>
      </c>
      <c r="AL94" s="3" t="n">
        <f aca="false">+SUM(AL100,AL101,AL102)-SUM(AL111,AL112,AL114)</f>
        <v>-5683</v>
      </c>
      <c r="AM94" s="3" t="n">
        <f aca="false">+SUM(AM100,AM101,AM102)-SUM(AM111,AM112,AM114)</f>
        <v>4268</v>
      </c>
      <c r="AN94" s="3" t="n">
        <f aca="false">+SUM(AN100,AN101,AN102)-SUM(AN111,AN112,AN114)</f>
        <v>8073</v>
      </c>
      <c r="AO94" s="3" t="n">
        <f aca="false">+SUM(AO101,AO102)-SUM(AO111,AO112,AO114)</f>
        <v>-42209.3130422128</v>
      </c>
      <c r="AP94" s="3" t="n">
        <f aca="false">+SUM(AP101,AP102)-SUM(AP111,AP112,AP114)</f>
        <v>-51801.3398571211</v>
      </c>
      <c r="AQ94" s="3" t="n">
        <f aca="false">+SUM(AQ101,AQ102)-SUM(AQ111,AQ112,AQ114)</f>
        <v>-59049.7612209407</v>
      </c>
      <c r="AR94" s="3" t="n">
        <f aca="false">+SUM(AR101,AR102)-SUM(AR111,AR112,AR114)</f>
        <v>-68802.4185772155</v>
      </c>
      <c r="AS94" s="3" t="n">
        <f aca="false">+SUM(AS101,AS102)-SUM(AS111,AS112,AS114)</f>
        <v>-76999.4049736939</v>
      </c>
      <c r="AT94" s="3" t="n">
        <f aca="false">+SUM(AT101,AT102)-SUM(AT111,AT112,AT114)</f>
        <v>-88091.5597947669</v>
      </c>
      <c r="AU94" s="43"/>
      <c r="AV94" s="71" t="s">
        <v>188</v>
      </c>
      <c r="AW94" s="72" t="n">
        <f aca="false">+Main!E12</f>
        <v>0.109154393401509</v>
      </c>
      <c r="AX94" s="43"/>
      <c r="AY94" s="32"/>
      <c r="AZ94" s="32"/>
      <c r="BA94" s="86" t="s">
        <v>218</v>
      </c>
      <c r="BB94" s="86" t="n">
        <f aca="false">+Main!F5</f>
        <v>90260</v>
      </c>
      <c r="BC94" s="43"/>
      <c r="BD94" s="43"/>
      <c r="BE94" s="43"/>
      <c r="BF94" s="43"/>
      <c r="BG94" s="43"/>
      <c r="BH94" s="43"/>
      <c r="BI94" s="43"/>
      <c r="BJ94" s="43"/>
      <c r="BK94" s="43"/>
      <c r="BL94" s="43"/>
      <c r="BM94" s="43"/>
      <c r="BN94" s="43"/>
      <c r="BO94" s="43"/>
      <c r="BP94" s="43"/>
      <c r="BQ94" s="43"/>
      <c r="BR94" s="43"/>
      <c r="BS94" s="43"/>
      <c r="BT94" s="43"/>
      <c r="BU94" s="43"/>
      <c r="BV94" s="43"/>
      <c r="BW94" s="43"/>
      <c r="BX94" s="43"/>
      <c r="BY94" s="43"/>
      <c r="BZ94" s="43"/>
      <c r="CA94" s="43"/>
      <c r="CB94" s="43"/>
      <c r="CC94" s="43"/>
      <c r="CD94" s="43"/>
      <c r="CE94" s="43"/>
      <c r="CF94" s="43"/>
      <c r="CG94" s="43"/>
      <c r="CH94" s="43"/>
      <c r="CI94" s="43"/>
      <c r="CJ94" s="43"/>
      <c r="CK94" s="43"/>
      <c r="CL94" s="43"/>
      <c r="CM94" s="43"/>
      <c r="CN94" s="43"/>
      <c r="CO94" s="43"/>
      <c r="CP94" s="43"/>
      <c r="CQ94" s="43"/>
      <c r="CR94" s="43"/>
      <c r="CS94" s="43"/>
      <c r="CT94" s="43"/>
      <c r="CU94" s="43"/>
      <c r="CV94" s="43"/>
      <c r="CW94" s="43"/>
      <c r="CX94" s="43"/>
      <c r="CY94" s="43"/>
      <c r="CZ94" s="43"/>
      <c r="DA94" s="43"/>
      <c r="DB94" s="43"/>
      <c r="DC94" s="43"/>
      <c r="DD94" s="43"/>
      <c r="DE94" s="43"/>
      <c r="DF94" s="43"/>
      <c r="DG94" s="43"/>
      <c r="DH94" s="43"/>
      <c r="DI94" s="43"/>
      <c r="DJ94" s="43"/>
      <c r="DK94" s="43"/>
      <c r="DL94" s="43"/>
      <c r="DM94" s="43"/>
      <c r="DN94" s="43"/>
      <c r="DO94" s="43"/>
      <c r="DP94" s="43"/>
      <c r="DQ94" s="43"/>
      <c r="DR94" s="43"/>
      <c r="DS94" s="43"/>
      <c r="DT94" s="43"/>
      <c r="DU94" s="43"/>
      <c r="DV94" s="43"/>
      <c r="DW94" s="43"/>
      <c r="DX94" s="43"/>
      <c r="DY94" s="43"/>
      <c r="DZ94" s="43"/>
      <c r="EA94" s="43"/>
      <c r="EB94" s="43"/>
      <c r="EC94" s="43"/>
      <c r="ED94" s="43"/>
      <c r="EE94" s="43"/>
      <c r="EF94" s="43"/>
      <c r="EG94" s="43"/>
      <c r="EH94" s="43"/>
      <c r="EI94" s="43"/>
      <c r="EJ94" s="43"/>
      <c r="EK94" s="43"/>
      <c r="EL94" s="43"/>
      <c r="EM94" s="43"/>
    </row>
    <row r="95" customFormat="false" ht="12.8" hidden="false" customHeight="false" outlineLevel="0" collapsed="false">
      <c r="A95" s="3" t="s">
        <v>219</v>
      </c>
      <c r="C95" s="3" t="n">
        <f aca="false">+C93+C129-C144-(C94-B94)</f>
        <v>5277.50378695333</v>
      </c>
      <c r="D95" s="3" t="n">
        <f aca="false">+D93+D129-D144-(D94-C94)</f>
        <v>-3046.63845050215</v>
      </c>
      <c r="E95" s="3" t="n">
        <f aca="false">+E93+E129-E144-(E94-D94)</f>
        <v>2638.1364449504</v>
      </c>
      <c r="F95" s="3" t="n">
        <f aca="false">+F93+F129-F144-(F94-E94)</f>
        <v>4740.49555221021</v>
      </c>
      <c r="G95" s="3" t="n">
        <f aca="false">+G93+G129-G144-(G94-F94)</f>
        <v>9438.96696438179</v>
      </c>
      <c r="H95" s="3" t="n">
        <f aca="false">+H93+H129-H144-(H94-G94)</f>
        <v>7553.27988587732</v>
      </c>
      <c r="I95" s="3" t="n">
        <f aca="false">+I93+I129-I144-(I94-H94)</f>
        <v>10279.4059971442</v>
      </c>
      <c r="J95" s="3" t="n">
        <f aca="false">+J93+J129-J144-(J94-I94)</f>
        <v>5989.6833533103</v>
      </c>
      <c r="K95" s="3" t="n">
        <f aca="false">+K93+K129-K144-(K94-J94)</f>
        <v>6353.13577386469</v>
      </c>
      <c r="L95" s="3" t="n">
        <f aca="false">+L93+L129-L144-(L94-K94)</f>
        <v>15061.5171136797</v>
      </c>
      <c r="M95" s="3" t="n">
        <f aca="false">+M93+M129-M144-(M94-L94)</f>
        <v>2745.67112469749</v>
      </c>
      <c r="N95" s="3" t="n">
        <f aca="false">+N93+N129-N144-(N94-M94)</f>
        <v>1619.19203568708</v>
      </c>
      <c r="O95" s="3" t="n">
        <f aca="false">+O93+O129-O144-(O94-N94)</f>
        <v>9414.88264597404</v>
      </c>
      <c r="P95" s="3" t="n">
        <f aca="false">+P93+P129-P144-(P94-O94)</f>
        <v>3362.40808344198</v>
      </c>
      <c r="Q95" s="3" t="n">
        <f aca="false">+Q93+Q129-Q144-(Q94-P94)</f>
        <v>4036.11540585312</v>
      </c>
      <c r="R95" s="3" t="n">
        <f aca="false">+R93+R129-R144-(R94-Q94)</f>
        <v>8998.67776414929</v>
      </c>
      <c r="S95" s="3" t="n">
        <f aca="false">+S93+S129-S144-(S94-R94)</f>
        <v>-21321.9458306675</v>
      </c>
      <c r="AA95" s="3" t="n">
        <f aca="false">+AA93+AA129-AA144-(AA94-Z94)</f>
        <v>-5560.27935222672</v>
      </c>
      <c r="AB95" s="3" t="n">
        <f aca="false">+AB93+AB129-AB144-(AB94-AA94)</f>
        <v>-313.76688453159</v>
      </c>
      <c r="AC95" s="3" t="n">
        <f aca="false">+AC93+AC129-AC144-(AC94-AB94)</f>
        <v>3180.29735234216</v>
      </c>
      <c r="AD95" s="3" t="n">
        <f aca="false">+AD93+AD129-AD144-(AD94-AC94)</f>
        <v>-4057.54213755247</v>
      </c>
      <c r="AE95" s="3" t="n">
        <f aca="false">+AE93+AE129-AE144-(AE94-AD94)</f>
        <v>-13.272807157693</v>
      </c>
      <c r="AF95" s="3" t="n">
        <f aca="false">+AF93+AF129-AF144-(AF94-AE94)</f>
        <v>-2295.52471593668</v>
      </c>
      <c r="AG95" s="3" t="n">
        <f aca="false">+AG93+AG129-AG144-(AG94-AF94)</f>
        <v>15201.3933204527</v>
      </c>
      <c r="AH95" s="3" t="n">
        <f aca="false">+AH93+AH129-AH144-(AH94-AG94)</f>
        <v>18916.6280025794</v>
      </c>
      <c r="AI95" s="3" t="n">
        <f aca="false">+AI93+AI129-AI144-(AI94-AH94)</f>
        <v>9164.88384569017</v>
      </c>
      <c r="AJ95" s="3" t="n">
        <f aca="false">+AJ93+AJ129-AJ144-(AJ94-AI94)</f>
        <v>45925.8743338127</v>
      </c>
      <c r="AK95" s="3" t="n">
        <f aca="false">+AK93+AK129-AK144-(AK94-AJ94)</f>
        <v>14133.6280578785</v>
      </c>
      <c r="AL95" s="3" t="n">
        <f aca="false">+AL93+AL129-AL144-(AL94-AK94)</f>
        <v>32013.9046554778</v>
      </c>
      <c r="AM95" s="3" t="n">
        <f aca="false">+AM93+AM129-AM144-(AM94-AL94)</f>
        <v>29518.7542702688</v>
      </c>
      <c r="AN95" s="3" t="n">
        <f aca="false">+AN93+AN129-AN144-(AN94-AM94)</f>
        <v>3709.3544663222</v>
      </c>
      <c r="AO95" s="3" t="n">
        <f aca="false">+AO93+AO129-AO144-(AO94-AN94)</f>
        <v>427.806034212801</v>
      </c>
      <c r="AP95" s="3" t="n">
        <f aca="false">+AP93+AP129-AP144-(AP94-AO94)</f>
        <v>60648.3233653083</v>
      </c>
      <c r="AQ95" s="3" t="n">
        <f aca="false">+AQ93+AQ129-AQ144-(AQ94-AP94)</f>
        <v>104550.17781566</v>
      </c>
      <c r="AR95" s="3" t="n">
        <f aca="false">+AR93+AR129-AR144-(AR94-AQ94)</f>
        <v>120676.659711372</v>
      </c>
      <c r="AS95" s="3" t="n">
        <f aca="false">+AS93+AS129-AS144-(AS94-AR94)</f>
        <v>160384.232006356</v>
      </c>
      <c r="AT95" s="3" t="n">
        <f aca="false">+AT93+AT129-AT144-(AT94-AS94)</f>
        <v>199365.337707293</v>
      </c>
      <c r="AU95" s="43"/>
      <c r="AV95" s="67" t="s">
        <v>14</v>
      </c>
      <c r="AW95" s="75" t="n">
        <f aca="false">+NPV(AW94,AO95:AT95,AT95+AW96)</f>
        <v>1609695.44470881</v>
      </c>
      <c r="AX95" s="43"/>
      <c r="AY95" s="32"/>
      <c r="AZ95" s="32"/>
      <c r="BA95" s="43" t="s">
        <v>192</v>
      </c>
      <c r="BB95" s="43" t="n">
        <f aca="false">+BB92-BB93+BB94</f>
        <v>1616291.44470881</v>
      </c>
      <c r="BC95" s="43"/>
      <c r="BD95" s="43"/>
      <c r="BE95" s="43"/>
      <c r="BF95" s="43"/>
      <c r="BG95" s="43"/>
      <c r="BH95" s="43"/>
      <c r="BI95" s="43"/>
      <c r="BJ95" s="43"/>
      <c r="BK95" s="43"/>
      <c r="BL95" s="43"/>
      <c r="BM95" s="43"/>
      <c r="BN95" s="43"/>
      <c r="BO95" s="43"/>
      <c r="BP95" s="43"/>
      <c r="BQ95" s="43"/>
      <c r="BR95" s="43"/>
      <c r="BS95" s="43"/>
      <c r="BT95" s="43"/>
      <c r="BU95" s="43"/>
      <c r="BV95" s="43"/>
      <c r="BW95" s="43"/>
      <c r="BX95" s="43"/>
      <c r="BY95" s="43"/>
      <c r="BZ95" s="43"/>
      <c r="CA95" s="43"/>
      <c r="CB95" s="43"/>
      <c r="CC95" s="43"/>
      <c r="CD95" s="43"/>
      <c r="CE95" s="43"/>
      <c r="CF95" s="43"/>
      <c r="CG95" s="43"/>
      <c r="CH95" s="43"/>
      <c r="CI95" s="43"/>
      <c r="CJ95" s="43"/>
      <c r="CK95" s="43"/>
      <c r="CL95" s="43"/>
      <c r="CM95" s="43"/>
      <c r="CN95" s="43"/>
      <c r="CO95" s="43"/>
      <c r="CP95" s="43"/>
      <c r="CQ95" s="43"/>
      <c r="CR95" s="43"/>
      <c r="CS95" s="43"/>
      <c r="CT95" s="43"/>
      <c r="CU95" s="43"/>
      <c r="CV95" s="43"/>
      <c r="CW95" s="43"/>
      <c r="CX95" s="43"/>
      <c r="CY95" s="43"/>
      <c r="CZ95" s="43"/>
      <c r="DA95" s="43"/>
      <c r="DB95" s="43"/>
      <c r="DC95" s="43"/>
      <c r="DD95" s="43"/>
      <c r="DE95" s="43"/>
      <c r="DF95" s="43"/>
      <c r="DG95" s="43"/>
      <c r="DH95" s="43"/>
      <c r="DI95" s="43"/>
      <c r="DJ95" s="43"/>
      <c r="DK95" s="43"/>
      <c r="DL95" s="43"/>
      <c r="DM95" s="43"/>
      <c r="DN95" s="43"/>
      <c r="DO95" s="43"/>
      <c r="DP95" s="43"/>
      <c r="DQ95" s="43"/>
      <c r="DR95" s="43"/>
      <c r="DS95" s="43"/>
      <c r="DT95" s="43"/>
      <c r="DU95" s="43"/>
      <c r="DV95" s="43"/>
      <c r="DW95" s="43"/>
      <c r="DX95" s="43"/>
      <c r="DY95" s="43"/>
      <c r="DZ95" s="43"/>
      <c r="EA95" s="43"/>
      <c r="EB95" s="43"/>
      <c r="EC95" s="43"/>
      <c r="ED95" s="43"/>
      <c r="EE95" s="43"/>
      <c r="EF95" s="43"/>
      <c r="EG95" s="43"/>
      <c r="EH95" s="43"/>
      <c r="EI95" s="43"/>
      <c r="EJ95" s="43"/>
      <c r="EK95" s="43"/>
      <c r="EL95" s="43"/>
      <c r="EM95" s="43"/>
    </row>
    <row r="96" s="87" customFormat="true" ht="12.8" hidden="false" customHeight="false" outlineLevel="0" collapsed="false">
      <c r="A96" s="14" t="s">
        <v>191</v>
      </c>
      <c r="B96" s="14"/>
      <c r="C96" s="14" t="n">
        <f aca="false">+(C93*4)/(AVERAGE(B116:C116)+AVERAGE(B124:C124))</f>
        <v>0.219361956246618</v>
      </c>
      <c r="D96" s="14" t="n">
        <f aca="false">+(D93*4)/(AVERAGE(C116:D116)+AVERAGE(C124:D124))</f>
        <v>0.137479713437688</v>
      </c>
      <c r="E96" s="14" t="n">
        <f aca="false">+(E93*4)/(AVERAGE(D116:E116)+AVERAGE(D124:E124))</f>
        <v>0.143626198061217</v>
      </c>
      <c r="F96" s="14" t="n">
        <f aca="false">+(F93*4)/(AVERAGE(E116:F116)+AVERAGE(E124:F124))</f>
        <v>0.167083269532327</v>
      </c>
      <c r="G96" s="14" t="n">
        <f aca="false">+(G93*4)/(AVERAGE(F116:G116)+AVERAGE(F124:G124))</f>
        <v>0.219296622547075</v>
      </c>
      <c r="H96" s="14" t="n">
        <f aca="false">+(H93*4)/(AVERAGE(G116:H116)+AVERAGE(G124:H124))</f>
        <v>0.289686452005504</v>
      </c>
      <c r="I96" s="14" t="n">
        <f aca="false">+(I93*4)/(AVERAGE(H116:I116)+AVERAGE(H124:I124))</f>
        <v>0.328438377499268</v>
      </c>
      <c r="J96" s="14" t="n">
        <f aca="false">+(J93*4)/(AVERAGE(I116:J116)+AVERAGE(I124:J124))</f>
        <v>0.28398901468612</v>
      </c>
      <c r="K96" s="14" t="n">
        <f aca="false">+(K93*4)/(AVERAGE(J116:K116)+AVERAGE(J124:K124))</f>
        <v>0.308606708264593</v>
      </c>
      <c r="L96" s="14" t="n">
        <f aca="false">+(L93*4)/(AVERAGE(K116:L116)+AVERAGE(K124:L124))</f>
        <v>0.331557152458149</v>
      </c>
      <c r="M96" s="14" t="n">
        <f aca="false">+(M93*4)/(AVERAGE(L116:M116)+AVERAGE(L124:M124))</f>
        <v>0.408515912200832</v>
      </c>
      <c r="N96" s="14" t="n">
        <f aca="false">+(N93*4)/(AVERAGE(M116:N116)+AVERAGE(M124:N124))</f>
        <v>0.298977798616802</v>
      </c>
      <c r="O96" s="14" t="n">
        <f aca="false">+(O93*4)/(AVERAGE(N116:O116)+AVERAGE(N124:O124))</f>
        <v>0.334244931395724</v>
      </c>
      <c r="P96" s="14" t="n">
        <f aca="false">+(P93*4)/(AVERAGE(O116:P116)+AVERAGE(O124:P124))</f>
        <v>0.31398978667852</v>
      </c>
      <c r="Q96" s="14" t="n">
        <f aca="false">+(Q93*4)/(AVERAGE(P116:Q116)+AVERAGE(P124:Q124))</f>
        <v>0.356331039387326</v>
      </c>
      <c r="R96" s="14" t="n">
        <f aca="false">+(R93*4)/(AVERAGE(Q116:R116)+AVERAGE(Q124:R124))</f>
        <v>0.385918477554553</v>
      </c>
      <c r="S96" s="14" t="n">
        <f aca="false">+(S93*4)/(AVERAGE(R116:S116)+AVERAGE(R124:S124))</f>
        <v>0.196060078037336</v>
      </c>
      <c r="T96" s="14"/>
      <c r="U96" s="14"/>
      <c r="V96" s="14"/>
      <c r="W96" s="14"/>
      <c r="X96" s="14"/>
      <c r="Y96" s="14"/>
      <c r="Z96" s="14"/>
      <c r="AA96" s="14" t="n">
        <f aca="false">+AA93/(AVERAGE(Z116:AA116)+AVERAGE(Z124:AA124))</f>
        <v>0.0063590005258653</v>
      </c>
      <c r="AB96" s="14" t="n">
        <f aca="false">+AB93/(AVERAGE(AA116:AB116)+AVERAGE(AA124:AB124))</f>
        <v>0.106334768701021</v>
      </c>
      <c r="AC96" s="14" t="n">
        <f aca="false">+AC93/(AVERAGE(AB116:AC116)+AVERAGE(AB124:AC124))</f>
        <v>0.115979418700002</v>
      </c>
      <c r="AD96" s="14" t="n">
        <f aca="false">+AD93/(AVERAGE(AC116:AD116)+AVERAGE(AC124:AD124))</f>
        <v>0.092299172309872</v>
      </c>
      <c r="AE96" s="14" t="n">
        <f aca="false">+AE93/(AVERAGE(AD116:AE116)+AVERAGE(AD124:AE124))</f>
        <v>0.196161513032188</v>
      </c>
      <c r="AF96" s="14" t="n">
        <f aca="false">+AF93/(AVERAGE(AE116:AF116)+AVERAGE(AE124:AF124))</f>
        <v>0.234107506819079</v>
      </c>
      <c r="AG96" s="14" t="n">
        <f aca="false">+AG93/(AVERAGE(AF116:AG116)+AVERAGE(AF124:AG124))</f>
        <v>0.274131949978579</v>
      </c>
      <c r="AH96" s="14" t="n">
        <f aca="false">+AH93/(AVERAGE(AG116:AH116)+AVERAGE(AG124:AH124))</f>
        <v>0.192996344145235</v>
      </c>
      <c r="AI96" s="14" t="n">
        <f aca="false">+AI93/(AVERAGE(AH116:AI116)+AVERAGE(AH124:AI124))</f>
        <v>0.25026932333691</v>
      </c>
      <c r="AJ96" s="14" t="n">
        <f aca="false">+AJ93/(AVERAGE(AI116:AJ116)+AVERAGE(AI124:AJ124))</f>
        <v>0.307524810176702</v>
      </c>
      <c r="AK96" s="14" t="n">
        <f aca="false">+AK93/(AVERAGE(AJ116:AK116)+AVERAGE(AJ124:AK124))</f>
        <v>0.178881277913966</v>
      </c>
      <c r="AL96" s="14" t="n">
        <f aca="false">+AL93/(AVERAGE(AK116:AL116)+AVERAGE(AK124:AL124))</f>
        <v>0.250919822360031</v>
      </c>
      <c r="AM96" s="14" t="n">
        <f aca="false">+AM93/(AVERAGE(AL116:AM116)+AVERAGE(AL124:AM124))</f>
        <v>0.319713820155131</v>
      </c>
      <c r="AN96" s="14" t="n">
        <f aca="false">+AN93/(AVERAGE(AM116:AN116)+AVERAGE(AM124:AN124))</f>
        <v>0.240391237937521</v>
      </c>
      <c r="AO96" s="14"/>
      <c r="AP96" s="14"/>
      <c r="AQ96" s="14"/>
      <c r="AR96" s="14"/>
      <c r="AS96" s="14"/>
      <c r="AT96" s="14"/>
      <c r="AU96" s="43"/>
      <c r="AV96" s="71" t="s">
        <v>220</v>
      </c>
      <c r="AW96" s="78" t="n">
        <f aca="false">+AT95*(1+AW93)/(AW94-AW93)</f>
        <v>2280904.35819171</v>
      </c>
      <c r="AX96" s="43" t="n">
        <f aca="false">+AT88*23</f>
        <v>6832329.32454344</v>
      </c>
      <c r="AY96" s="4" t="s">
        <v>221</v>
      </c>
      <c r="AZ96" s="32"/>
      <c r="BA96" s="86" t="s">
        <v>178</v>
      </c>
      <c r="BB96" s="86" t="n">
        <f aca="false">+SUM(Main!F1:F2)</f>
        <v>2547.506225</v>
      </c>
      <c r="BC96" s="43"/>
      <c r="BD96" s="43"/>
      <c r="BE96" s="43"/>
      <c r="BF96" s="43"/>
      <c r="BG96" s="43"/>
      <c r="BH96" s="43"/>
      <c r="BI96" s="43"/>
      <c r="BJ96" s="43"/>
      <c r="BK96" s="43"/>
      <c r="BL96" s="43"/>
      <c r="BM96" s="43"/>
      <c r="BN96" s="43"/>
      <c r="BO96" s="43"/>
      <c r="BP96" s="43"/>
      <c r="BQ96" s="43"/>
      <c r="BR96" s="43"/>
      <c r="BS96" s="43"/>
      <c r="BT96" s="43"/>
      <c r="BU96" s="43"/>
      <c r="BV96" s="43"/>
      <c r="BW96" s="43"/>
      <c r="BX96" s="43"/>
      <c r="BY96" s="43"/>
      <c r="BZ96" s="43"/>
      <c r="CA96" s="43"/>
      <c r="CB96" s="43"/>
      <c r="CC96" s="43"/>
      <c r="CD96" s="43"/>
      <c r="CE96" s="43"/>
      <c r="CF96" s="43"/>
      <c r="CG96" s="43"/>
      <c r="CH96" s="43"/>
      <c r="CI96" s="43"/>
      <c r="CJ96" s="43"/>
      <c r="CK96" s="43"/>
      <c r="CL96" s="43"/>
      <c r="CM96" s="43"/>
      <c r="CN96" s="43"/>
      <c r="CO96" s="43"/>
      <c r="CP96" s="43"/>
      <c r="CQ96" s="43"/>
      <c r="CR96" s="43"/>
      <c r="CS96" s="43"/>
      <c r="CT96" s="43"/>
      <c r="CU96" s="43"/>
      <c r="CV96" s="43"/>
      <c r="CW96" s="43"/>
      <c r="CX96" s="43"/>
      <c r="CY96" s="43"/>
      <c r="CZ96" s="43"/>
      <c r="DA96" s="43"/>
      <c r="DB96" s="43"/>
      <c r="DC96" s="43"/>
      <c r="DD96" s="43"/>
      <c r="DE96" s="43"/>
      <c r="DF96" s="43"/>
      <c r="DG96" s="43"/>
      <c r="DH96" s="43"/>
      <c r="DI96" s="43"/>
      <c r="DJ96" s="43"/>
      <c r="DK96" s="43"/>
      <c r="DL96" s="43"/>
      <c r="DM96" s="43"/>
      <c r="DN96" s="43"/>
      <c r="DO96" s="43"/>
      <c r="DP96" s="43"/>
      <c r="DQ96" s="43"/>
      <c r="DR96" s="43"/>
      <c r="DS96" s="43"/>
      <c r="DT96" s="43"/>
      <c r="DU96" s="43"/>
      <c r="DV96" s="43"/>
      <c r="DW96" s="43"/>
      <c r="DX96" s="43"/>
      <c r="DY96" s="43"/>
      <c r="DZ96" s="43"/>
      <c r="EA96" s="43"/>
      <c r="EB96" s="43"/>
      <c r="EC96" s="43"/>
      <c r="ED96" s="43"/>
      <c r="EE96" s="43"/>
      <c r="EF96" s="43"/>
      <c r="EG96" s="43"/>
      <c r="EH96" s="43"/>
      <c r="EI96" s="43"/>
      <c r="EJ96" s="43"/>
      <c r="EK96" s="43"/>
      <c r="EL96" s="43"/>
      <c r="EM96" s="43"/>
      <c r="EN96" s="32"/>
      <c r="EO96" s="32"/>
      <c r="EP96" s="32"/>
      <c r="EQ96" s="32"/>
      <c r="ER96" s="32"/>
    </row>
    <row r="97" s="39" customFormat="true" ht="12.8" hidden="false" customHeight="fals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43"/>
      <c r="AV97" s="79" t="s">
        <v>198</v>
      </c>
      <c r="AW97" s="80" t="n">
        <f aca="false">+AW95/Main!F7-1</f>
        <v>-0.0148730684240874</v>
      </c>
      <c r="AX97" s="43" t="n">
        <f aca="false">+AT88*29</f>
        <v>8614676.10485913</v>
      </c>
      <c r="AY97" s="4" t="s">
        <v>222</v>
      </c>
      <c r="AZ97" s="32"/>
      <c r="BA97" s="43" t="s">
        <v>6</v>
      </c>
      <c r="BB97" s="43" t="n">
        <f aca="false">+BB95/BB96</f>
        <v>634.460253265449</v>
      </c>
      <c r="BC97" s="43"/>
      <c r="BD97" s="43"/>
      <c r="BE97" s="43"/>
      <c r="BF97" s="43"/>
      <c r="BG97" s="43"/>
      <c r="BH97" s="43"/>
      <c r="BI97" s="43"/>
      <c r="BJ97" s="43"/>
      <c r="BK97" s="43"/>
      <c r="BL97" s="43"/>
      <c r="BM97" s="43"/>
      <c r="BN97" s="43"/>
      <c r="BO97" s="43"/>
      <c r="BP97" s="43"/>
      <c r="BQ97" s="43"/>
      <c r="BR97" s="43"/>
      <c r="BS97" s="43"/>
      <c r="BT97" s="43"/>
      <c r="BU97" s="43"/>
      <c r="BV97" s="43"/>
      <c r="BW97" s="43"/>
      <c r="BX97" s="43"/>
      <c r="BY97" s="43"/>
      <c r="BZ97" s="43"/>
      <c r="CA97" s="43"/>
      <c r="CB97" s="43"/>
      <c r="CC97" s="43"/>
      <c r="CD97" s="43"/>
      <c r="CE97" s="43"/>
      <c r="CF97" s="43"/>
      <c r="CG97" s="43"/>
      <c r="CH97" s="43"/>
      <c r="CI97" s="43"/>
      <c r="CJ97" s="43"/>
      <c r="CK97" s="43"/>
      <c r="CL97" s="43"/>
      <c r="CM97" s="43"/>
      <c r="CN97" s="43"/>
      <c r="CO97" s="43"/>
      <c r="CP97" s="43"/>
      <c r="CQ97" s="43"/>
      <c r="CR97" s="43"/>
      <c r="CS97" s="43"/>
      <c r="CT97" s="43"/>
      <c r="CU97" s="43"/>
      <c r="CV97" s="43"/>
      <c r="CW97" s="43"/>
      <c r="CX97" s="43"/>
      <c r="CY97" s="43"/>
      <c r="CZ97" s="43"/>
      <c r="DA97" s="43"/>
      <c r="DB97" s="43"/>
      <c r="DC97" s="43"/>
      <c r="DD97" s="43"/>
      <c r="DE97" s="43"/>
      <c r="DF97" s="43"/>
      <c r="DG97" s="43"/>
      <c r="DH97" s="43"/>
      <c r="DI97" s="43"/>
      <c r="DJ97" s="43"/>
      <c r="DK97" s="43"/>
      <c r="DL97" s="43"/>
      <c r="DM97" s="43"/>
      <c r="DN97" s="43"/>
      <c r="DO97" s="43"/>
      <c r="DP97" s="43"/>
      <c r="DQ97" s="43"/>
      <c r="DR97" s="43"/>
      <c r="DS97" s="43"/>
      <c r="DT97" s="43"/>
      <c r="DU97" s="43"/>
      <c r="DV97" s="43"/>
      <c r="DW97" s="43"/>
      <c r="DX97" s="43"/>
      <c r="DY97" s="43"/>
      <c r="DZ97" s="43"/>
      <c r="EA97" s="43"/>
      <c r="EB97" s="43"/>
      <c r="EC97" s="43"/>
      <c r="ED97" s="43"/>
      <c r="EE97" s="43"/>
      <c r="EF97" s="43"/>
      <c r="EG97" s="43"/>
      <c r="EH97" s="43"/>
      <c r="EI97" s="43"/>
      <c r="EJ97" s="43"/>
      <c r="EK97" s="43"/>
      <c r="EL97" s="43"/>
      <c r="EM97" s="43"/>
      <c r="EN97" s="32"/>
      <c r="EO97" s="32"/>
      <c r="EP97" s="32"/>
      <c r="EQ97" s="32"/>
      <c r="ER97" s="32"/>
    </row>
    <row r="98" customFormat="false" ht="12.8" hidden="false" customHeight="false" outlineLevel="0" collapsed="false">
      <c r="AU98" s="65"/>
      <c r="AV98" s="87"/>
      <c r="AW98" s="87"/>
      <c r="AX98" s="65"/>
      <c r="AY98" s="32"/>
      <c r="AZ98" s="32"/>
      <c r="BA98" s="65"/>
      <c r="BB98" s="65" t="n">
        <f aca="false">+BB97/Main!F3-1</f>
        <v>-0.0148132713269428</v>
      </c>
      <c r="BC98" s="65"/>
      <c r="BD98" s="65"/>
      <c r="BE98" s="65"/>
      <c r="BF98" s="65"/>
      <c r="BG98" s="65"/>
      <c r="BH98" s="65"/>
      <c r="BI98" s="65"/>
      <c r="BJ98" s="65"/>
      <c r="BK98" s="65"/>
      <c r="BL98" s="65"/>
      <c r="BM98" s="65"/>
      <c r="BN98" s="65"/>
      <c r="BO98" s="65"/>
      <c r="BP98" s="65"/>
      <c r="BQ98" s="65"/>
      <c r="BR98" s="65"/>
      <c r="BS98" s="65"/>
      <c r="BT98" s="65"/>
      <c r="BU98" s="65"/>
      <c r="BV98" s="65"/>
      <c r="BW98" s="65"/>
      <c r="BX98" s="65"/>
      <c r="BY98" s="65"/>
      <c r="BZ98" s="65"/>
      <c r="CA98" s="65"/>
      <c r="CB98" s="65"/>
      <c r="CC98" s="65"/>
      <c r="CD98" s="65"/>
      <c r="CE98" s="65"/>
      <c r="CF98" s="65"/>
      <c r="CG98" s="65"/>
      <c r="CH98" s="65"/>
      <c r="CI98" s="65"/>
      <c r="CJ98" s="65"/>
      <c r="CK98" s="65"/>
      <c r="CL98" s="65"/>
      <c r="CM98" s="65"/>
      <c r="CN98" s="65"/>
      <c r="CO98" s="65"/>
      <c r="CP98" s="65"/>
      <c r="CQ98" s="65"/>
      <c r="CR98" s="65"/>
      <c r="CS98" s="65"/>
      <c r="CT98" s="65"/>
      <c r="CU98" s="65"/>
      <c r="CV98" s="65"/>
      <c r="CW98" s="65"/>
      <c r="CX98" s="65"/>
      <c r="CY98" s="65"/>
      <c r="CZ98" s="65"/>
      <c r="DA98" s="65"/>
      <c r="DB98" s="65"/>
      <c r="DC98" s="65"/>
      <c r="DD98" s="65"/>
      <c r="DE98" s="65"/>
      <c r="DF98" s="65"/>
      <c r="DG98" s="65"/>
      <c r="DH98" s="65"/>
      <c r="DI98" s="65"/>
      <c r="DJ98" s="65"/>
      <c r="DK98" s="65"/>
      <c r="DL98" s="65"/>
      <c r="DM98" s="65"/>
      <c r="DN98" s="65"/>
      <c r="DO98" s="65"/>
      <c r="DP98" s="65"/>
      <c r="DQ98" s="65"/>
      <c r="DR98" s="65"/>
      <c r="DS98" s="65"/>
      <c r="DT98" s="65"/>
      <c r="DU98" s="65"/>
      <c r="DV98" s="65"/>
      <c r="DW98" s="65"/>
      <c r="DX98" s="65"/>
      <c r="DY98" s="65"/>
      <c r="DZ98" s="65"/>
      <c r="EA98" s="65"/>
      <c r="EB98" s="65"/>
      <c r="EC98" s="65"/>
      <c r="ED98" s="65"/>
      <c r="EE98" s="65"/>
      <c r="EF98" s="65"/>
      <c r="EG98" s="65"/>
      <c r="EH98" s="65"/>
      <c r="EI98" s="65"/>
      <c r="EJ98" s="65"/>
      <c r="EK98" s="65"/>
      <c r="EL98" s="65"/>
      <c r="EM98" s="65"/>
    </row>
    <row r="99" customFormat="false" ht="12.8" hidden="false" customHeight="false" outlineLevel="0" collapsed="false">
      <c r="A99" s="3" t="s">
        <v>10</v>
      </c>
      <c r="B99" s="3" t="n">
        <v>14886</v>
      </c>
      <c r="C99" s="3" t="n">
        <v>12681</v>
      </c>
      <c r="D99" s="3" t="n">
        <v>14308</v>
      </c>
      <c r="E99" s="3" t="n">
        <v>14681</v>
      </c>
      <c r="F99" s="3" t="n">
        <v>11551</v>
      </c>
      <c r="G99" s="3" t="n">
        <v>28785</v>
      </c>
      <c r="H99" s="3" t="n">
        <v>36890</v>
      </c>
      <c r="I99" s="3" t="n">
        <v>41862</v>
      </c>
      <c r="J99" s="3" t="n">
        <v>32307</v>
      </c>
      <c r="K99" s="3" t="n">
        <v>32045</v>
      </c>
      <c r="L99" s="3" t="n">
        <v>43852</v>
      </c>
      <c r="M99" s="3" t="n">
        <v>43889</v>
      </c>
      <c r="N99" s="3" t="n">
        <v>28750</v>
      </c>
      <c r="O99" s="3" t="n">
        <v>12005</v>
      </c>
      <c r="P99" s="3" t="n">
        <v>10187</v>
      </c>
      <c r="Q99" s="3" t="n">
        <v>35873</v>
      </c>
      <c r="R99" s="3" t="n">
        <v>23426</v>
      </c>
      <c r="S99" s="3" t="n">
        <v>15462</v>
      </c>
      <c r="Z99" s="3" t="n">
        <v>1512</v>
      </c>
      <c r="AA99" s="3" t="n">
        <v>2384</v>
      </c>
      <c r="AB99" s="3" t="n">
        <v>3323</v>
      </c>
      <c r="AC99" s="3" t="n">
        <v>4315</v>
      </c>
      <c r="AD99" s="3" t="n">
        <v>4907</v>
      </c>
      <c r="AE99" s="3" t="n">
        <v>8903</v>
      </c>
      <c r="AF99" s="3" t="n">
        <v>8079</v>
      </c>
      <c r="AG99" s="3" t="n">
        <v>10019</v>
      </c>
      <c r="AH99" s="3" t="n">
        <v>19079</v>
      </c>
      <c r="AI99" s="3" t="n">
        <v>17576</v>
      </c>
      <c r="AJ99" s="3" t="n">
        <v>16601</v>
      </c>
      <c r="AK99" s="3" t="n">
        <v>14681</v>
      </c>
      <c r="AL99" s="3" t="n">
        <v>41862</v>
      </c>
      <c r="AM99" s="3" t="n">
        <v>43889</v>
      </c>
      <c r="AN99" s="3" t="n">
        <v>35873</v>
      </c>
      <c r="AV99" s="39"/>
      <c r="AW99" s="39"/>
    </row>
    <row r="100" customFormat="false" ht="12.8" hidden="false" customHeight="false" outlineLevel="0" collapsed="false">
      <c r="A100" s="3" t="s">
        <v>223</v>
      </c>
      <c r="B100" s="3" t="n">
        <v>29004</v>
      </c>
      <c r="C100" s="3" t="n">
        <v>27808</v>
      </c>
      <c r="D100" s="3" t="n">
        <v>27468</v>
      </c>
      <c r="E100" s="3" t="n">
        <v>26057</v>
      </c>
      <c r="F100" s="3" t="n">
        <v>25888</v>
      </c>
      <c r="G100" s="3" t="n">
        <v>24661</v>
      </c>
      <c r="H100" s="3" t="n">
        <v>24233</v>
      </c>
      <c r="I100" s="3" t="n">
        <v>23541</v>
      </c>
      <c r="J100" s="3" t="n">
        <v>25813</v>
      </c>
      <c r="K100" s="3" t="n">
        <v>26035</v>
      </c>
      <c r="L100" s="3" t="n">
        <v>27048</v>
      </c>
      <c r="M100" s="3" t="n">
        <v>33296</v>
      </c>
      <c r="N100" s="3" t="n">
        <v>41480</v>
      </c>
      <c r="O100" s="3" t="n">
        <v>35066</v>
      </c>
      <c r="P100" s="3" t="n">
        <v>34261</v>
      </c>
      <c r="Q100" s="3" t="n">
        <v>45719</v>
      </c>
      <c r="R100" s="3" t="n">
        <v>57754</v>
      </c>
      <c r="S100" s="3" t="n">
        <v>74798</v>
      </c>
      <c r="Z100" s="3" t="n">
        <v>2396</v>
      </c>
      <c r="AA100" s="3" t="n">
        <v>7242</v>
      </c>
      <c r="AB100" s="3" t="n">
        <v>8126</v>
      </c>
      <c r="AC100" s="3" t="n">
        <v>6884</v>
      </c>
      <c r="AD100" s="3" t="n">
        <v>13527</v>
      </c>
      <c r="AE100" s="3" t="n">
        <v>20546</v>
      </c>
      <c r="AF100" s="3" t="n">
        <v>33632</v>
      </c>
      <c r="AG100" s="3" t="n">
        <v>31095</v>
      </c>
      <c r="AH100" s="3" t="n">
        <v>35776</v>
      </c>
      <c r="AI100" s="3" t="n">
        <v>44378</v>
      </c>
      <c r="AJ100" s="3" t="n">
        <v>31397</v>
      </c>
      <c r="AK100" s="3" t="n">
        <v>26057</v>
      </c>
      <c r="AL100" s="3" t="n">
        <v>23541</v>
      </c>
      <c r="AM100" s="3" t="n">
        <v>33926</v>
      </c>
      <c r="AN100" s="3" t="n">
        <v>45719</v>
      </c>
      <c r="AR100" s="3"/>
    </row>
    <row r="101" customFormat="false" ht="12.8" hidden="false" customHeight="false" outlineLevel="0" collapsed="false">
      <c r="A101" s="3" t="s">
        <v>224</v>
      </c>
      <c r="B101" s="3" t="n">
        <v>11390</v>
      </c>
      <c r="C101" s="3" t="n">
        <v>11525</v>
      </c>
      <c r="D101" s="3" t="n">
        <v>11227</v>
      </c>
      <c r="E101" s="3" t="n">
        <v>13466</v>
      </c>
      <c r="F101" s="3" t="n">
        <v>11044</v>
      </c>
      <c r="G101" s="3" t="n">
        <v>12511</v>
      </c>
      <c r="H101" s="3" t="n">
        <v>12944</v>
      </c>
      <c r="I101" s="3" t="n">
        <v>16169</v>
      </c>
      <c r="J101" s="3" t="n">
        <v>13430</v>
      </c>
      <c r="K101" s="3" t="n">
        <v>14505</v>
      </c>
      <c r="L101" s="3" t="n">
        <v>14700</v>
      </c>
      <c r="M101" s="3" t="n">
        <v>16994</v>
      </c>
      <c r="N101" s="3" t="n">
        <v>14514</v>
      </c>
      <c r="O101" s="3" t="n">
        <v>16561</v>
      </c>
      <c r="P101" s="3" t="n">
        <v>17297</v>
      </c>
      <c r="Q101" s="3" t="n">
        <v>19769</v>
      </c>
      <c r="R101" s="3" t="n">
        <v>17470</v>
      </c>
      <c r="S101" s="3" t="n">
        <v>21752</v>
      </c>
      <c r="Z101" s="3" t="n">
        <v>547</v>
      </c>
      <c r="AA101" s="3" t="n">
        <v>719</v>
      </c>
      <c r="AB101" s="3" t="n">
        <v>1109</v>
      </c>
      <c r="AC101" s="3" t="n">
        <v>1678</v>
      </c>
      <c r="AD101" s="3" t="n">
        <v>2559</v>
      </c>
      <c r="AE101" s="3" t="n">
        <v>3993</v>
      </c>
      <c r="AF101" s="3" t="n">
        <v>5832</v>
      </c>
      <c r="AG101" s="3" t="n">
        <v>7587</v>
      </c>
      <c r="AH101" s="3" t="n">
        <v>9518</v>
      </c>
      <c r="AI101" s="3" t="n">
        <v>11335</v>
      </c>
      <c r="AJ101" s="3" t="n">
        <v>14039</v>
      </c>
      <c r="AK101" s="3" t="n">
        <v>13466</v>
      </c>
      <c r="AL101" s="3" t="n">
        <v>16169</v>
      </c>
      <c r="AM101" s="3" t="n">
        <v>16994</v>
      </c>
      <c r="AN101" s="3" t="n">
        <v>19769</v>
      </c>
      <c r="AO101" s="3" t="n">
        <f aca="false">+(AO161/365)*AO30</f>
        <v>23961.7543013699</v>
      </c>
      <c r="AP101" s="3" t="n">
        <f aca="false">+(AP161/365)*AP30</f>
        <v>27908.3961863014</v>
      </c>
      <c r="AQ101" s="3" t="n">
        <f aca="false">+(AQ161/365)*AQ30</f>
        <v>32094.6556142466</v>
      </c>
      <c r="AR101" s="3" t="n">
        <f aca="false">+(AR161/365)*AR30</f>
        <v>35479.1829335671</v>
      </c>
      <c r="AS101" s="3" t="n">
        <f aca="false">+(AS161/365)*AS30</f>
        <v>40091.4767149308</v>
      </c>
      <c r="AT101" s="3" t="n">
        <f aca="false">+(AT161/365)*AT30</f>
        <v>43499.2522357</v>
      </c>
    </row>
    <row r="102" customFormat="false" ht="12.8" hidden="false" customHeight="false" outlineLevel="0" collapsed="false">
      <c r="A102" s="3" t="s">
        <v>225</v>
      </c>
      <c r="B102" s="3" t="n">
        <v>3985</v>
      </c>
      <c r="C102" s="3" t="n">
        <v>3973</v>
      </c>
      <c r="D102" s="3" t="n">
        <v>5312</v>
      </c>
      <c r="E102" s="3" t="n">
        <v>5345</v>
      </c>
      <c r="F102" s="3" t="n">
        <v>4000</v>
      </c>
      <c r="G102" s="3" t="n">
        <v>3603</v>
      </c>
      <c r="H102" s="3" t="n">
        <v>4311</v>
      </c>
      <c r="I102" s="3" t="n">
        <v>3793</v>
      </c>
      <c r="J102" s="3" t="n">
        <v>3780</v>
      </c>
      <c r="K102" s="3" t="n">
        <v>3846</v>
      </c>
      <c r="L102" s="3" t="n">
        <v>5467</v>
      </c>
      <c r="M102" s="3" t="n">
        <v>5236</v>
      </c>
      <c r="N102" s="3" t="n">
        <v>5483</v>
      </c>
      <c r="O102" s="3" t="n">
        <v>9981</v>
      </c>
      <c r="P102" s="3" t="n">
        <v>11373</v>
      </c>
      <c r="Q102" s="3" t="n">
        <v>7361</v>
      </c>
      <c r="R102" s="3" t="n">
        <v>11115</v>
      </c>
      <c r="S102" s="3" t="n">
        <v>13463</v>
      </c>
      <c r="Z102" s="3" t="n">
        <v>149</v>
      </c>
      <c r="AA102" s="3" t="n">
        <v>471</v>
      </c>
      <c r="AB102" s="3" t="n">
        <v>461</v>
      </c>
      <c r="AC102" s="3" t="n">
        <v>513</v>
      </c>
      <c r="AD102" s="3" t="n">
        <v>659</v>
      </c>
      <c r="AE102" s="3" t="n">
        <v>959</v>
      </c>
      <c r="AF102" s="3" t="n">
        <v>1020</v>
      </c>
      <c r="AG102" s="3" t="n">
        <v>1779</v>
      </c>
      <c r="AH102" s="3" t="n">
        <v>1852</v>
      </c>
      <c r="AI102" s="3" t="n">
        <v>2381</v>
      </c>
      <c r="AJ102" s="3" t="n">
        <v>4629</v>
      </c>
      <c r="AK102" s="3" t="n">
        <v>5345</v>
      </c>
      <c r="AL102" s="3" t="n">
        <v>3793</v>
      </c>
      <c r="AM102" s="3" t="n">
        <v>5236</v>
      </c>
      <c r="AN102" s="3" t="n">
        <v>7361</v>
      </c>
      <c r="AO102" s="88" t="n">
        <f aca="false">+AO30*0.035</f>
        <v>9003.2768</v>
      </c>
      <c r="AP102" s="88" t="n">
        <f aca="false">+AP30*0.035</f>
        <v>10803.93216</v>
      </c>
      <c r="AQ102" s="88" t="n">
        <f aca="false">+AQ30*0.035</f>
        <v>12424.521984</v>
      </c>
      <c r="AR102" s="88" t="n">
        <f aca="false">+AR30*0.035</f>
        <v>14163.95506176</v>
      </c>
      <c r="AS102" s="88" t="n">
        <f aca="false">+AS30*0.035</f>
        <v>16005.2692197888</v>
      </c>
      <c r="AT102" s="88" t="n">
        <f aca="false">+AT30*0.035</f>
        <v>17925.9015261635</v>
      </c>
    </row>
    <row r="103" s="39" customFormat="true" ht="10.5" hidden="false" customHeight="true" outlineLevel="0" collapsed="false">
      <c r="B103" s="39" t="n">
        <f aca="false">+B102/B30</f>
        <v>0.142790597678085</v>
      </c>
      <c r="C103" s="39" t="n">
        <f aca="false">+C102/C30</f>
        <v>0.13784608979252</v>
      </c>
      <c r="D103" s="39" t="n">
        <f aca="false">+D102/D30</f>
        <v>0.191672079093599</v>
      </c>
      <c r="E103" s="39" t="n">
        <f aca="false">+E102/E30</f>
        <v>0.16617441318203</v>
      </c>
      <c r="F103" s="39" t="n">
        <f aca="false">+F102/F30</f>
        <v>0.139640425903299</v>
      </c>
      <c r="G103" s="39" t="n">
        <f aca="false">+G102/G30</f>
        <v>0.112597268664646</v>
      </c>
      <c r="H103" s="39" t="n">
        <f aca="false">+H102/H30</f>
        <v>0.126251976805482</v>
      </c>
      <c r="I103" s="39" t="n">
        <f aca="false">+I102/I30</f>
        <v>0.0945625888160355</v>
      </c>
      <c r="J103" s="39" t="n">
        <f aca="false">+J102/J30</f>
        <v>0.103689480181045</v>
      </c>
      <c r="K103" s="39" t="n">
        <f aca="false">+K102/K30</f>
        <v>0.0984361802871695</v>
      </c>
      <c r="L103" s="39" t="n">
        <f aca="false">+L102/L30</f>
        <v>0.134691665229496</v>
      </c>
      <c r="M103" s="39" t="n">
        <f aca="false">+M102/M30</f>
        <v>0.10821535599876</v>
      </c>
      <c r="N103" s="39" t="n">
        <f aca="false">+N102/N30</f>
        <v>0.12957886278773</v>
      </c>
      <c r="O103" s="39" t="n">
        <f aca="false">+O102/O30</f>
        <v>0.210055560232343</v>
      </c>
      <c r="P103" s="39" t="n">
        <f aca="false">+P102/P30</f>
        <v>0.221946840482417</v>
      </c>
      <c r="Q103" s="39" t="n">
        <f aca="false">+Q102/Q30</f>
        <v>0.122902509475231</v>
      </c>
      <c r="R103" s="39" t="n">
        <f aca="false">+R102/R30</f>
        <v>0.197385945907549</v>
      </c>
      <c r="S103" s="39" t="n">
        <f aca="false">+S102/S30</f>
        <v>0.221427279156593</v>
      </c>
      <c r="Z103" s="39" t="n">
        <f aca="false">+Z102/Z30</f>
        <v>0.0401509027216384</v>
      </c>
      <c r="AA103" s="39" t="n">
        <f aca="false">+AA102/AA30</f>
        <v>0.0925525643544901</v>
      </c>
      <c r="AB103" s="39" t="n">
        <f aca="false">+AB102/AB30</f>
        <v>0.0585619918699187</v>
      </c>
      <c r="AC103" s="39" t="n">
        <f aca="false">+AC102/AC30</f>
        <v>0.041151933258463</v>
      </c>
      <c r="AD103" s="39" t="n">
        <f aca="false">+AD102/AD30</f>
        <v>0.0367581436858545</v>
      </c>
      <c r="AE103" s="39" t="n">
        <f aca="false">+AE102/AE30</f>
        <v>0.0346986033721688</v>
      </c>
      <c r="AF103" s="39" t="n">
        <f aca="false">+AF102/AF30</f>
        <v>0.025090399232529</v>
      </c>
      <c r="AG103" s="39" t="n">
        <f aca="false">+AG102/AG30</f>
        <v>0.0318600236398152</v>
      </c>
      <c r="AH103" s="39" t="n">
        <f aca="false">+AH102/AH30</f>
        <v>0.0261963025305176</v>
      </c>
      <c r="AI103" s="39" t="n">
        <f aca="false">+AI102/AI30</f>
        <v>0.0276973186762054</v>
      </c>
      <c r="AJ103" s="39" t="n">
        <f aca="false">+AJ102/AJ30</f>
        <v>0.0392524315477957</v>
      </c>
      <c r="AK103" s="39" t="n">
        <f aca="false">+AK102/AK30</f>
        <v>0.0458369422600314</v>
      </c>
      <c r="AL103" s="39" t="n">
        <f aca="false">+AL102/AL30</f>
        <v>0.0281167069428178</v>
      </c>
      <c r="AM103" s="39" t="n">
        <f aca="false">+AM102/AM30</f>
        <v>0.0318295937410715</v>
      </c>
      <c r="AN103" s="39" t="n">
        <f aca="false">+AN102/AN30</f>
        <v>0.0366280863429635</v>
      </c>
      <c r="AO103" s="39" t="n">
        <f aca="false">+AO102/AO30</f>
        <v>0.035</v>
      </c>
      <c r="AP103" s="39" t="n">
        <f aca="false">+AP102/AP30</f>
        <v>0.035</v>
      </c>
      <c r="AQ103" s="39" t="n">
        <f aca="false">+AQ102/AQ30</f>
        <v>0.035</v>
      </c>
      <c r="AR103" s="39" t="n">
        <f aca="false">+AR102/AR30</f>
        <v>0.035</v>
      </c>
      <c r="AS103" s="39" t="n">
        <f aca="false">+AS102/AS30</f>
        <v>0.035</v>
      </c>
      <c r="AT103" s="39" t="n">
        <f aca="false">+AT102/AT30</f>
        <v>0.035</v>
      </c>
      <c r="EN103" s="32"/>
      <c r="EO103" s="32"/>
      <c r="EP103" s="32"/>
      <c r="EQ103" s="32"/>
      <c r="ER103" s="32"/>
    </row>
    <row r="104" customFormat="false" ht="12.8" hidden="false" customHeight="false" outlineLevel="0" collapsed="false">
      <c r="A104" s="3" t="s">
        <v>226</v>
      </c>
      <c r="B104" s="3" t="n">
        <v>6775</v>
      </c>
      <c r="C104" s="3" t="n">
        <v>6536</v>
      </c>
      <c r="D104" s="3" t="n">
        <v>6528</v>
      </c>
      <c r="E104" s="3" t="n">
        <v>6201</v>
      </c>
      <c r="F104" s="3" t="n">
        <v>6167</v>
      </c>
      <c r="G104" s="3" t="n">
        <v>6208</v>
      </c>
      <c r="H104" s="3" t="n">
        <v>6142</v>
      </c>
      <c r="I104" s="3" t="n">
        <v>6141</v>
      </c>
      <c r="J104" s="3" t="n">
        <v>6218</v>
      </c>
      <c r="K104" s="3" t="n">
        <v>6207</v>
      </c>
      <c r="L104" s="3" t="n">
        <v>6071</v>
      </c>
      <c r="M104" s="3" t="n">
        <v>6070</v>
      </c>
      <c r="N104" s="3" t="n">
        <v>6168</v>
      </c>
      <c r="O104" s="3" t="n">
        <v>21988</v>
      </c>
      <c r="P104" s="3" t="n">
        <v>25074</v>
      </c>
      <c r="Q104" s="3" t="n">
        <v>27524</v>
      </c>
      <c r="R104" s="3" t="n">
        <v>28410</v>
      </c>
      <c r="S104" s="3" t="n">
        <v>30157</v>
      </c>
      <c r="Z104" s="3" t="n">
        <v>0</v>
      </c>
      <c r="AA104" s="3" t="n">
        <v>0</v>
      </c>
      <c r="AB104" s="3" t="n">
        <v>0</v>
      </c>
      <c r="AC104" s="3" t="n">
        <v>0</v>
      </c>
      <c r="AD104" s="3" t="n">
        <v>0</v>
      </c>
      <c r="AE104" s="3" t="n">
        <v>0</v>
      </c>
      <c r="AF104" s="3" t="n">
        <v>0</v>
      </c>
      <c r="AG104" s="3" t="n">
        <v>0</v>
      </c>
      <c r="AH104" s="3" t="n">
        <v>0</v>
      </c>
      <c r="AI104" s="3" t="n">
        <v>6234</v>
      </c>
      <c r="AJ104" s="3" t="n">
        <v>6775</v>
      </c>
      <c r="AK104" s="3" t="n">
        <v>6201</v>
      </c>
      <c r="AL104" s="3" t="n">
        <v>6141</v>
      </c>
      <c r="AM104" s="3" t="n">
        <v>6070</v>
      </c>
      <c r="AN104" s="3" t="n">
        <v>27524</v>
      </c>
    </row>
    <row r="105" customFormat="false" ht="12.8" hidden="false" customHeight="false" outlineLevel="0" collapsed="false">
      <c r="A105" s="3" t="s">
        <v>227</v>
      </c>
      <c r="B105" s="3" t="n">
        <v>61582</v>
      </c>
      <c r="C105" s="3" t="n">
        <v>67588</v>
      </c>
      <c r="D105" s="3" t="n">
        <v>73738</v>
      </c>
      <c r="E105" s="3" t="n">
        <v>79518</v>
      </c>
      <c r="F105" s="3" t="n">
        <v>84156</v>
      </c>
      <c r="G105" s="3" t="n">
        <v>87949</v>
      </c>
      <c r="H105" s="3" t="n">
        <v>91772</v>
      </c>
      <c r="I105" s="3" t="n">
        <v>96587</v>
      </c>
      <c r="J105" s="3" t="n">
        <v>98908</v>
      </c>
      <c r="K105" s="3" t="n">
        <v>102959</v>
      </c>
      <c r="L105" s="3" t="n">
        <v>112162</v>
      </c>
      <c r="M105" s="3" t="n">
        <v>121346</v>
      </c>
      <c r="N105" s="3" t="n">
        <v>133567</v>
      </c>
      <c r="O105" s="3" t="n">
        <v>147039</v>
      </c>
      <c r="P105" s="3" t="n">
        <v>160270</v>
      </c>
      <c r="Q105" s="3" t="n">
        <v>176400</v>
      </c>
      <c r="R105" s="3" t="n">
        <v>194776</v>
      </c>
      <c r="S105" s="3" t="n">
        <v>225724</v>
      </c>
      <c r="Z105" s="3" t="n">
        <v>1475</v>
      </c>
      <c r="AA105" s="3" t="n">
        <v>2391</v>
      </c>
      <c r="AB105" s="3" t="n">
        <v>2882</v>
      </c>
      <c r="AC105" s="3" t="n">
        <v>3967</v>
      </c>
      <c r="AD105" s="3" t="n">
        <v>5687</v>
      </c>
      <c r="AE105" s="3" t="n">
        <v>8591</v>
      </c>
      <c r="AF105" s="3" t="n">
        <v>13721</v>
      </c>
      <c r="AG105" s="3" t="n">
        <v>24683</v>
      </c>
      <c r="AH105" s="3" t="n">
        <v>35323</v>
      </c>
      <c r="AI105" s="3" t="n">
        <v>45633</v>
      </c>
      <c r="AJ105" s="3" t="n">
        <v>57809</v>
      </c>
      <c r="AK105" s="3" t="n">
        <v>79518</v>
      </c>
      <c r="AL105" s="3" t="n">
        <v>96587</v>
      </c>
      <c r="AM105" s="3" t="n">
        <v>121346</v>
      </c>
      <c r="AN105" s="3" t="n">
        <v>176400</v>
      </c>
    </row>
    <row r="106" customFormat="false" ht="12.8" hidden="false" customHeight="false" outlineLevel="0" collapsed="false">
      <c r="A106" s="3" t="s">
        <v>228</v>
      </c>
      <c r="B106" s="3" t="n">
        <v>12241</v>
      </c>
      <c r="C106" s="3" t="n">
        <v>14130</v>
      </c>
      <c r="D106" s="3" t="n">
        <v>13641</v>
      </c>
      <c r="E106" s="3" t="n">
        <v>12673</v>
      </c>
      <c r="F106" s="3" t="n">
        <v>12899</v>
      </c>
      <c r="G106" s="3" t="n">
        <v>12955</v>
      </c>
      <c r="H106" s="3" t="n">
        <v>13033</v>
      </c>
      <c r="I106" s="3" t="n">
        <v>13294</v>
      </c>
      <c r="J106" s="3" t="n">
        <v>13555</v>
      </c>
      <c r="K106" s="3" t="n">
        <v>14058</v>
      </c>
      <c r="L106" s="3" t="n">
        <v>14812</v>
      </c>
      <c r="M106" s="3" t="n">
        <v>14922</v>
      </c>
      <c r="N106" s="3" t="n">
        <v>15505</v>
      </c>
      <c r="O106" s="3" t="n">
        <v>15662</v>
      </c>
      <c r="P106" s="3" t="n">
        <v>17372</v>
      </c>
      <c r="Q106" s="3" t="n">
        <v>20404</v>
      </c>
      <c r="R106" s="3" t="n">
        <v>23268</v>
      </c>
      <c r="S106" s="3" t="n">
        <v>23985</v>
      </c>
      <c r="AA106" s="3" t="n">
        <v>0</v>
      </c>
      <c r="AB106" s="3" t="n">
        <v>0</v>
      </c>
      <c r="AC106" s="3" t="n">
        <v>3929</v>
      </c>
      <c r="AD106" s="3" t="n">
        <v>3246</v>
      </c>
      <c r="AE106" s="3" t="n">
        <v>2535</v>
      </c>
      <c r="AF106" s="3" t="n">
        <v>1884</v>
      </c>
      <c r="AG106" s="3" t="n">
        <v>0</v>
      </c>
      <c r="AH106" s="3" t="n">
        <v>9460</v>
      </c>
      <c r="AI106" s="3" t="n">
        <v>9348</v>
      </c>
      <c r="AJ106" s="3" t="n">
        <v>12155</v>
      </c>
      <c r="AK106" s="3" t="n">
        <v>12673</v>
      </c>
      <c r="AL106" s="3" t="n">
        <v>13294</v>
      </c>
      <c r="AM106" s="3" t="n">
        <v>14922</v>
      </c>
      <c r="AN106" s="3" t="n">
        <v>20404</v>
      </c>
    </row>
    <row r="107" customFormat="false" ht="12.8" hidden="false" customHeight="false" outlineLevel="0" collapsed="false">
      <c r="A107" s="3" t="s">
        <v>229</v>
      </c>
      <c r="B107" s="3" t="n">
        <v>19923</v>
      </c>
      <c r="C107" s="3" t="n">
        <v>20229</v>
      </c>
      <c r="D107" s="3" t="n">
        <v>20268</v>
      </c>
      <c r="E107" s="3" t="n">
        <v>20306</v>
      </c>
      <c r="F107" s="3" t="n">
        <v>20649</v>
      </c>
      <c r="G107" s="3" t="n">
        <v>20659</v>
      </c>
      <c r="H107" s="3" t="n">
        <v>20668</v>
      </c>
      <c r="I107" s="3" t="n">
        <v>20654</v>
      </c>
      <c r="J107" s="3" t="n">
        <v>20654</v>
      </c>
      <c r="K107" s="3" t="n">
        <v>20654</v>
      </c>
      <c r="L107" s="3" t="n">
        <v>20654</v>
      </c>
      <c r="M107" s="3" t="n">
        <v>20654</v>
      </c>
      <c r="N107" s="3" t="n">
        <v>20654</v>
      </c>
      <c r="O107" s="3" t="n">
        <v>20654</v>
      </c>
      <c r="P107" s="3" t="n">
        <v>21158</v>
      </c>
      <c r="Q107" s="3" t="n">
        <v>24534</v>
      </c>
      <c r="R107" s="3" t="n">
        <v>24748</v>
      </c>
      <c r="S107" s="3" t="n">
        <v>23406</v>
      </c>
      <c r="Z107" s="3" t="n">
        <v>162</v>
      </c>
      <c r="AA107" s="3" t="n">
        <v>1388</v>
      </c>
      <c r="AB107" s="3" t="n">
        <v>1722</v>
      </c>
      <c r="AC107" s="3" t="n">
        <v>17981</v>
      </c>
      <c r="AD107" s="3" t="n">
        <v>18026</v>
      </c>
      <c r="AE107" s="3" t="n">
        <v>18122</v>
      </c>
      <c r="AF107" s="3" t="n">
        <v>18221</v>
      </c>
      <c r="AG107" s="3" t="n">
        <v>18301</v>
      </c>
      <c r="AH107" s="3" t="n">
        <v>18715</v>
      </c>
      <c r="AI107" s="3" t="n">
        <v>19050</v>
      </c>
      <c r="AJ107" s="3" t="n">
        <v>19197</v>
      </c>
      <c r="AK107" s="3" t="n">
        <v>20306</v>
      </c>
      <c r="AL107" s="3" t="n">
        <v>20654</v>
      </c>
      <c r="AM107" s="3" t="n">
        <v>20654</v>
      </c>
      <c r="AN107" s="3" t="n">
        <v>24534</v>
      </c>
    </row>
    <row r="108" customFormat="false" ht="12.8" hidden="false" customHeight="false" outlineLevel="0" collapsed="false">
      <c r="A108" s="3" t="s">
        <v>163</v>
      </c>
      <c r="B108" s="3" t="n">
        <f aca="false">+910+3522</f>
        <v>4432</v>
      </c>
      <c r="C108" s="3" t="n">
        <f aca="false">+965+4344</f>
        <v>5309</v>
      </c>
      <c r="D108" s="3" t="n">
        <f aca="false">+875+5529</f>
        <v>6404</v>
      </c>
      <c r="E108" s="3" t="n">
        <f aca="false">+6583+897</f>
        <v>7480</v>
      </c>
      <c r="F108" s="3" t="n">
        <f aca="false">+7188+949</f>
        <v>8137</v>
      </c>
      <c r="G108" s="3" t="n">
        <f aca="false">+8501+856</f>
        <v>9357</v>
      </c>
      <c r="H108" s="3" t="n">
        <f aca="false">+5468+813</f>
        <v>6281</v>
      </c>
      <c r="I108" s="3" t="n">
        <v>7582</v>
      </c>
      <c r="J108" s="3" t="n">
        <v>8179</v>
      </c>
      <c r="K108" s="3" t="n">
        <v>9929</v>
      </c>
      <c r="L108" s="3" t="n">
        <v>11642</v>
      </c>
      <c r="M108" s="3" t="n">
        <v>13017</v>
      </c>
      <c r="N108" s="1" t="n">
        <v>14092</v>
      </c>
      <c r="O108" s="3" t="n">
        <v>15788</v>
      </c>
      <c r="P108" s="3" t="n">
        <v>6852</v>
      </c>
      <c r="Q108" s="3" t="n">
        <v>8437</v>
      </c>
      <c r="R108" s="3" t="n">
        <v>14283</v>
      </c>
      <c r="S108" s="3" t="n">
        <v>21209</v>
      </c>
      <c r="Z108" s="3" t="n">
        <v>90</v>
      </c>
      <c r="AA108" s="3" t="n">
        <f aca="false">+57+451</f>
        <v>508</v>
      </c>
      <c r="AB108" s="3" t="n">
        <f aca="false">+221+51</f>
        <v>272</v>
      </c>
      <c r="AC108" s="3" t="n">
        <v>699</v>
      </c>
      <c r="AD108" s="3" t="n">
        <v>796</v>
      </c>
      <c r="AE108" s="3" t="n">
        <v>1312</v>
      </c>
      <c r="AF108" s="3" t="n">
        <v>2135</v>
      </c>
      <c r="AG108" s="3" t="n">
        <f aca="false">+2576+1294</f>
        <v>3870</v>
      </c>
      <c r="AH108" s="3" t="n">
        <f aca="false">+894+2759</f>
        <v>3653</v>
      </c>
      <c r="AI108" s="3" t="n">
        <f aca="false">+2758+623</f>
        <v>3381</v>
      </c>
      <c r="AJ108" s="3" t="n">
        <f aca="false">+634+2751</f>
        <v>3385</v>
      </c>
      <c r="AK108" s="3" t="n">
        <f aca="false">+6583+897</f>
        <v>7480</v>
      </c>
      <c r="AL108" s="3" t="n">
        <v>7582</v>
      </c>
      <c r="AM108" s="3" t="n">
        <v>13017</v>
      </c>
      <c r="AN108" s="3" t="n">
        <v>8437</v>
      </c>
    </row>
    <row r="109" customFormat="false" ht="12.8" hidden="false" customHeight="false" outlineLevel="0" collapsed="false">
      <c r="A109" s="3" t="s">
        <v>230</v>
      </c>
      <c r="B109" s="3" t="n">
        <f aca="false">SUM(B99:B108)</f>
        <v>164218.142790598</v>
      </c>
      <c r="C109" s="3" t="n">
        <f aca="false">SUM(C99:C108)</f>
        <v>169779.13784609</v>
      </c>
      <c r="D109" s="3" t="n">
        <f aca="false">SUM(D99:D108)</f>
        <v>178894.191672079</v>
      </c>
      <c r="E109" s="3" t="n">
        <f aca="false">SUM(E99:E108)</f>
        <v>185727.166174413</v>
      </c>
      <c r="F109" s="3" t="n">
        <f aca="false">SUM(F99:F108)</f>
        <v>184491.139640426</v>
      </c>
      <c r="G109" s="3" t="n">
        <f aca="false">SUM(G99:G108)</f>
        <v>206688.112597269</v>
      </c>
      <c r="H109" s="3" t="n">
        <f aca="false">SUM(H99:H108)</f>
        <v>216274.126251977</v>
      </c>
      <c r="I109" s="3" t="n">
        <f aca="false">SUM(I99:I108)</f>
        <v>229623.094562589</v>
      </c>
      <c r="J109" s="3" t="n">
        <f aca="false">SUM(J99:J108)</f>
        <v>222844.10368948</v>
      </c>
      <c r="K109" s="3" t="n">
        <f aca="false">SUM(K99:K108)</f>
        <v>230238.09843618</v>
      </c>
      <c r="L109" s="3" t="n">
        <f aca="false">SUM(L99:L108)</f>
        <v>256408.134691665</v>
      </c>
      <c r="M109" s="3" t="n">
        <f aca="false">SUM(M99:M108)</f>
        <v>275424.108215356</v>
      </c>
      <c r="N109" s="3" t="n">
        <f aca="false">SUM(N99:N108)</f>
        <v>280213.129578863</v>
      </c>
      <c r="O109" s="3" t="n">
        <f aca="false">SUM(O99:O108)</f>
        <v>294744.21005556</v>
      </c>
      <c r="P109" s="3" t="n">
        <f aca="false">SUM(P99:P108)</f>
        <v>303844.22194684</v>
      </c>
      <c r="Q109" s="3" t="n">
        <f aca="false">SUM(Q99:Q108)</f>
        <v>366021.122902509</v>
      </c>
      <c r="R109" s="3" t="n">
        <f aca="false">SUM(R99:R108)</f>
        <v>395250.197385946</v>
      </c>
      <c r="S109" s="3" t="n">
        <f aca="false">SUM(S99:S108)</f>
        <v>449956.221427279</v>
      </c>
      <c r="T109" s="3" t="n">
        <f aca="false">SUM(T99:T108)</f>
        <v>0</v>
      </c>
      <c r="Z109" s="3" t="n">
        <f aca="false">SUM(Z99:Z108)</f>
        <v>6331.04015090272</v>
      </c>
      <c r="AA109" s="3" t="n">
        <f aca="false">SUM(AA99:AA108)</f>
        <v>15103.0925525644</v>
      </c>
      <c r="AB109" s="3" t="n">
        <f aca="false">SUM(AB99:AB108)</f>
        <v>17895.0585619919</v>
      </c>
      <c r="AC109" s="3" t="n">
        <f aca="false">SUM(AC99:AC108)</f>
        <v>39966.0411519333</v>
      </c>
      <c r="AD109" s="3" t="n">
        <f aca="false">SUM(AD99:AD108)</f>
        <v>49407.0367581437</v>
      </c>
      <c r="AE109" s="3" t="n">
        <f aca="false">SUM(AE99:AE108)</f>
        <v>64961.0346986034</v>
      </c>
      <c r="AF109" s="3" t="n">
        <f aca="false">SUM(AF99:AF108)</f>
        <v>84524.0250903992</v>
      </c>
      <c r="AG109" s="3" t="n">
        <f aca="false">SUM(AG99:AG108)</f>
        <v>97334.0318600236</v>
      </c>
      <c r="AH109" s="3" t="n">
        <f aca="false">SUM(AH99:AH108)</f>
        <v>133376.026196303</v>
      </c>
      <c r="AI109" s="3" t="n">
        <f aca="false">SUM(AI99:AI108)</f>
        <v>159316.027697319</v>
      </c>
      <c r="AJ109" s="3" t="n">
        <f aca="false">SUM(AJ99:AJ108)</f>
        <v>165987.039252432</v>
      </c>
      <c r="AK109" s="3" t="n">
        <f aca="false">SUM(AK99:AK108)</f>
        <v>185727.045836942</v>
      </c>
      <c r="AL109" s="3" t="n">
        <f aca="false">SUM(AL99:AL108)</f>
        <v>229623.028116707</v>
      </c>
      <c r="AM109" s="3" t="n">
        <f aca="false">SUM(AM99:AM108)</f>
        <v>276054.031829594</v>
      </c>
      <c r="AN109" s="3" t="n">
        <f aca="false">SUM(AN99:AN108)</f>
        <v>366021.036628086</v>
      </c>
    </row>
    <row r="111" customFormat="false" ht="12.8" hidden="false" customHeight="false" outlineLevel="0" collapsed="false">
      <c r="A111" s="3" t="s">
        <v>231</v>
      </c>
      <c r="B111" s="3" t="n">
        <v>3246</v>
      </c>
      <c r="C111" s="3" t="n">
        <v>4008</v>
      </c>
      <c r="D111" s="3" t="n">
        <v>3871</v>
      </c>
      <c r="E111" s="3" t="n">
        <v>4990</v>
      </c>
      <c r="F111" s="3" t="n">
        <v>3672</v>
      </c>
      <c r="G111" s="3" t="n">
        <v>3093</v>
      </c>
      <c r="H111" s="3" t="n">
        <v>4372</v>
      </c>
      <c r="I111" s="3" t="n">
        <v>4849</v>
      </c>
      <c r="J111" s="3" t="n">
        <v>3785</v>
      </c>
      <c r="K111" s="3" t="n">
        <v>3173</v>
      </c>
      <c r="L111" s="3" t="n">
        <v>7656</v>
      </c>
      <c r="M111" s="3" t="n">
        <v>7687</v>
      </c>
      <c r="N111" s="3" t="n">
        <v>8512</v>
      </c>
      <c r="O111" s="3" t="n">
        <v>10271</v>
      </c>
      <c r="P111" s="3" t="n">
        <v>7798</v>
      </c>
      <c r="Q111" s="3" t="n">
        <v>8894</v>
      </c>
      <c r="R111" s="3" t="n">
        <v>13326</v>
      </c>
      <c r="S111" s="3" t="n">
        <v>15889</v>
      </c>
      <c r="Z111" s="3" t="n">
        <v>63</v>
      </c>
      <c r="AA111" s="3" t="n">
        <v>65</v>
      </c>
      <c r="AB111" s="3" t="n">
        <v>87</v>
      </c>
      <c r="AC111" s="3" t="n">
        <v>176</v>
      </c>
      <c r="AD111" s="3" t="n">
        <v>196</v>
      </c>
      <c r="AE111" s="3" t="n">
        <v>302</v>
      </c>
      <c r="AF111" s="3" t="n">
        <v>380</v>
      </c>
      <c r="AG111" s="3" t="n">
        <v>820</v>
      </c>
      <c r="AH111" s="3" t="n">
        <v>1363</v>
      </c>
      <c r="AI111" s="3" t="n">
        <v>1331</v>
      </c>
      <c r="AJ111" s="3" t="n">
        <v>4083</v>
      </c>
      <c r="AK111" s="3" t="n">
        <v>4990</v>
      </c>
      <c r="AL111" s="3" t="n">
        <v>4849</v>
      </c>
      <c r="AM111" s="3" t="n">
        <v>7687</v>
      </c>
      <c r="AN111" s="3" t="n">
        <v>8894</v>
      </c>
      <c r="AO111" s="3" t="n">
        <f aca="false">+(AO162/365)*AO32</f>
        <v>10865.2241435827</v>
      </c>
      <c r="AP111" s="3" t="n">
        <f aca="false">+(AP162/365)*AP32</f>
        <v>13342.7242034225</v>
      </c>
      <c r="AQ111" s="3" t="n">
        <f aca="false">+(AQ162/365)*AQ32</f>
        <v>14822.3532191873</v>
      </c>
      <c r="AR111" s="3" t="n">
        <f aca="false">+(AR162/365)*AR32</f>
        <v>17274.4489885426</v>
      </c>
      <c r="AS111" s="3" t="n">
        <f aca="false">+(AS162/365)*AS32</f>
        <v>18772.7993384935</v>
      </c>
      <c r="AT111" s="3" t="n">
        <f aca="false">+(AT162/365)*AT32</f>
        <v>21474.5597983199</v>
      </c>
    </row>
    <row r="112" customFormat="false" ht="12.8" hidden="false" customHeight="false" outlineLevel="0" collapsed="false">
      <c r="A112" s="3" t="s">
        <v>232</v>
      </c>
      <c r="B112" s="3" t="n">
        <f aca="false">+1159+12894</f>
        <v>14053</v>
      </c>
      <c r="C112" s="3" t="n">
        <f aca="false">+1275+14792</f>
        <v>16067</v>
      </c>
      <c r="D112" s="3" t="n">
        <f aca="false">+1291+14687</f>
        <v>15978</v>
      </c>
      <c r="E112" s="3" t="n">
        <f aca="false">+1367+15301</f>
        <v>16668</v>
      </c>
      <c r="F112" s="3" t="n">
        <f aca="false">+1479+16171</f>
        <v>17650</v>
      </c>
      <c r="G112" s="3" t="n">
        <f aca="false">+1396+16440</f>
        <v>17836</v>
      </c>
      <c r="H112" s="3" t="n">
        <f aca="false">+1460+16374</f>
        <v>17834</v>
      </c>
      <c r="I112" s="3" t="n">
        <f aca="false">+1623+17226</f>
        <v>18849</v>
      </c>
      <c r="J112" s="3" t="n">
        <f aca="false">+1676+17570</f>
        <v>19246</v>
      </c>
      <c r="K112" s="3" t="n">
        <f aca="false">+1917+17685</f>
        <v>19602</v>
      </c>
      <c r="L112" s="3" t="n">
        <f aca="false">+2016+18208</f>
        <v>20224</v>
      </c>
      <c r="M112" s="3" t="n">
        <f aca="false">+18292+1942</f>
        <v>20234</v>
      </c>
      <c r="N112" s="3" t="n">
        <f aca="false">+1976+18714</f>
        <v>20690</v>
      </c>
      <c r="O112" s="3" t="n">
        <f aca="false">+18751+1977</f>
        <v>20728</v>
      </c>
      <c r="P112" s="3" t="n">
        <f aca="false">+2113+20113</f>
        <v>22226</v>
      </c>
      <c r="Q112" s="3" t="n">
        <f aca="false">+22940+2213</f>
        <v>25153</v>
      </c>
      <c r="R112" s="3" t="n">
        <f aca="false">+2414+25607</f>
        <v>28021</v>
      </c>
      <c r="S112" s="3" t="n">
        <f aca="false">+2425+26229</f>
        <v>28654</v>
      </c>
      <c r="Z112" s="3" t="n">
        <f aca="false">+398+279</f>
        <v>677</v>
      </c>
      <c r="AA112" s="3" t="n">
        <f aca="false">+491+365</f>
        <v>856</v>
      </c>
      <c r="AB112" s="3" t="n">
        <f aca="false">+239+237</f>
        <v>476</v>
      </c>
      <c r="AC112" s="3" t="n">
        <f aca="false">+119+114</f>
        <v>233</v>
      </c>
      <c r="AD112" s="3" t="n">
        <f aca="false">+107+7</f>
        <v>114</v>
      </c>
      <c r="AE112" s="3" t="n">
        <v>0</v>
      </c>
      <c r="AF112" s="3" t="n">
        <v>0</v>
      </c>
      <c r="AG112" s="3" t="n">
        <v>0</v>
      </c>
      <c r="AH112" s="3" t="n">
        <f aca="false">+800+9524</f>
        <v>10324</v>
      </c>
      <c r="AI112" s="3" t="n">
        <f aca="false">+9631+1023</f>
        <v>10654</v>
      </c>
      <c r="AJ112" s="3" t="n">
        <f aca="false">+1127+12746</f>
        <v>13873</v>
      </c>
      <c r="AK112" s="3" t="n">
        <f aca="false">+1367+15301</f>
        <v>16668</v>
      </c>
      <c r="AL112" s="3" t="n">
        <f aca="false">+1623+17226</f>
        <v>18849</v>
      </c>
      <c r="AM112" s="3" t="n">
        <f aca="false">+1942+18292</f>
        <v>20234</v>
      </c>
      <c r="AN112" s="3" t="n">
        <f aca="false">+22940+2213</f>
        <v>25153</v>
      </c>
      <c r="AO112" s="88" t="n">
        <f aca="false">+AO30*0.12</f>
        <v>30868.3776</v>
      </c>
      <c r="AP112" s="88" t="n">
        <f aca="false">+AP30*0.12</f>
        <v>37042.05312</v>
      </c>
      <c r="AQ112" s="88" t="n">
        <f aca="false">+AQ30*0.12</f>
        <v>42598.361088</v>
      </c>
      <c r="AR112" s="88" t="n">
        <f aca="false">+AR30*0.12</f>
        <v>48562.13164032</v>
      </c>
      <c r="AS112" s="88" t="n">
        <f aca="false">+AS30*0.12</f>
        <v>54875.2087535616</v>
      </c>
      <c r="AT112" s="88" t="n">
        <f aca="false">+AT30*0.12</f>
        <v>61460.233803989</v>
      </c>
    </row>
    <row r="113" s="39" customFormat="true" ht="10.5" hidden="false" customHeight="true" outlineLevel="0" collapsed="false">
      <c r="B113" s="39" t="n">
        <f aca="false">+B112/B$30</f>
        <v>0.503547369929769</v>
      </c>
      <c r="C113" s="39" t="n">
        <f aca="false">+C112/C$30</f>
        <v>0.557456109916036</v>
      </c>
      <c r="D113" s="39" t="n">
        <f aca="false">+D112/D$30</f>
        <v>0.576531716821823</v>
      </c>
      <c r="E113" s="39" t="n">
        <f aca="false">+E112/E$30</f>
        <v>0.518203015700295</v>
      </c>
      <c r="F113" s="39" t="n">
        <f aca="false">+F112/F$30</f>
        <v>0.616163379298307</v>
      </c>
      <c r="G113" s="39" t="n">
        <f aca="false">+G112/G$30</f>
        <v>0.557392418513079</v>
      </c>
      <c r="H113" s="39" t="n">
        <f aca="false">+H112/H$30</f>
        <v>0.522286651437943</v>
      </c>
      <c r="I113" s="39" t="n">
        <f aca="false">+I112/I$30</f>
        <v>0.469920969310164</v>
      </c>
      <c r="J113" s="39" t="n">
        <f aca="false">+J112/J$30</f>
        <v>0.527938554382115</v>
      </c>
      <c r="K113" s="39" t="n">
        <f aca="false">+K112/K$30</f>
        <v>0.501702029638351</v>
      </c>
      <c r="L113" s="39" t="n">
        <f aca="false">+L112/L$30</f>
        <v>0.498263076202912</v>
      </c>
      <c r="M113" s="39" t="n">
        <f aca="false">+M112/M$30</f>
        <v>0.418187454789708</v>
      </c>
      <c r="N113" s="39" t="n">
        <f aca="false">+N112/N$30</f>
        <v>0.488963463629059</v>
      </c>
      <c r="O113" s="39" t="n">
        <f aca="false">+O112/O$30</f>
        <v>0.436232006061116</v>
      </c>
      <c r="P113" s="39" t="n">
        <f aca="false">+P112/P$30</f>
        <v>0.433745755434995</v>
      </c>
      <c r="Q113" s="39" t="n">
        <f aca="false">+Q112/Q$30</f>
        <v>0.419965605329504</v>
      </c>
      <c r="R113" s="39" t="n">
        <f aca="false">+R112/R$30</f>
        <v>0.497611479107102</v>
      </c>
      <c r="S113" s="39" t="n">
        <f aca="false">+S112/S$30</f>
        <v>0.471275143500929</v>
      </c>
      <c r="Z113" s="39" t="n">
        <f aca="false">+Z112/Z$30</f>
        <v>0.182430611694961</v>
      </c>
      <c r="AA113" s="39" t="n">
        <f aca="false">+AA112/AA$30</f>
        <v>0.168205934368245</v>
      </c>
      <c r="AB113" s="39" t="n">
        <f aca="false">+AB112/AB$30</f>
        <v>0.0604674796747968</v>
      </c>
      <c r="AC113" s="39" t="n">
        <f aca="false">+AC112/AC$30</f>
        <v>0.0186908390823039</v>
      </c>
      <c r="AD113" s="39" t="n">
        <f aca="false">+AD112/AD$30</f>
        <v>0.00635876840696118</v>
      </c>
      <c r="AE113" s="39" t="n">
        <f aca="false">+AE112/AE$30</f>
        <v>0</v>
      </c>
      <c r="AF113" s="39" t="n">
        <f aca="false">+AF112/AF$30</f>
        <v>0</v>
      </c>
      <c r="AG113" s="39" t="n">
        <f aca="false">+AG112/AG$30</f>
        <v>0</v>
      </c>
      <c r="AH113" s="39" t="n">
        <f aca="false">+AH112/AH$30</f>
        <v>0.146031656223036</v>
      </c>
      <c r="AI113" s="39" t="n">
        <f aca="false">+AI112/AI$30</f>
        <v>0.123934159250858</v>
      </c>
      <c r="AJ113" s="39" t="n">
        <f aca="false">+AJ112/AJ$30</f>
        <v>0.117638579145079</v>
      </c>
      <c r="AK113" s="39" t="n">
        <f aca="false">+AK112/AK$30</f>
        <v>0.142939224245127</v>
      </c>
      <c r="AL113" s="39" t="n">
        <f aca="false">+AL112/AL$30</f>
        <v>0.139723651243125</v>
      </c>
      <c r="AM113" s="39" t="n">
        <f aca="false">+AM112/AM$30</f>
        <v>0.123002291779381</v>
      </c>
      <c r="AN113" s="39" t="n">
        <f aca="false">+AN112/AN$30</f>
        <v>0.125160474906203</v>
      </c>
      <c r="AO113" s="39" t="n">
        <f aca="false">+AO112/AO$30</f>
        <v>0.12</v>
      </c>
      <c r="AP113" s="39" t="n">
        <f aca="false">+AP112/AP$30</f>
        <v>0.12</v>
      </c>
      <c r="AQ113" s="39" t="n">
        <f aca="false">+AQ112/AQ$30</f>
        <v>0.12</v>
      </c>
      <c r="AR113" s="39" t="n">
        <f aca="false">+AR112/AR$30</f>
        <v>0.12</v>
      </c>
      <c r="AS113" s="39" t="n">
        <f aca="false">+AS112/AS$30</f>
        <v>0.12</v>
      </c>
      <c r="AT113" s="39" t="n">
        <f aca="false">+AT112/AT$30</f>
        <v>0.12</v>
      </c>
      <c r="EN113" s="32"/>
      <c r="EO113" s="32"/>
      <c r="EP113" s="32"/>
      <c r="EQ113" s="32"/>
      <c r="ER113" s="32"/>
    </row>
    <row r="114" customFormat="false" ht="12.8" hidden="false" customHeight="false" outlineLevel="0" collapsed="false">
      <c r="A114" s="3" t="s">
        <v>233</v>
      </c>
      <c r="B114" s="3" t="n">
        <v>15226</v>
      </c>
      <c r="C114" s="3" t="n">
        <v>15420</v>
      </c>
      <c r="D114" s="3" t="n">
        <v>16036</v>
      </c>
      <c r="E114" s="3" t="n">
        <v>19552</v>
      </c>
      <c r="F114" s="3" t="n">
        <v>19345</v>
      </c>
      <c r="G114" s="3" t="n">
        <v>24660</v>
      </c>
      <c r="H114" s="3" t="n">
        <v>23929</v>
      </c>
      <c r="I114" s="3" t="n">
        <v>25488</v>
      </c>
      <c r="J114" s="3" t="n">
        <v>22640</v>
      </c>
      <c r="K114" s="3" t="n">
        <v>21914</v>
      </c>
      <c r="L114" s="3" t="n">
        <v>23658</v>
      </c>
      <c r="M114" s="3" t="n">
        <v>23967</v>
      </c>
      <c r="N114" s="3" t="n">
        <v>23402</v>
      </c>
      <c r="O114" s="3" t="n">
        <v>25057</v>
      </c>
      <c r="P114" s="3" t="n">
        <v>27047</v>
      </c>
      <c r="Q114" s="3" t="n">
        <v>30729</v>
      </c>
      <c r="R114" s="3" t="n">
        <v>31013</v>
      </c>
      <c r="S114" s="3" t="n">
        <v>38065</v>
      </c>
      <c r="Z114" s="3" t="n">
        <v>296</v>
      </c>
      <c r="AA114" s="3" t="n">
        <v>423</v>
      </c>
      <c r="AB114" s="3" t="n">
        <v>555</v>
      </c>
      <c r="AC114" s="3" t="n">
        <v>866</v>
      </c>
      <c r="AD114" s="3" t="n">
        <v>1449</v>
      </c>
      <c r="AE114" s="3" t="n">
        <v>2203</v>
      </c>
      <c r="AF114" s="3" t="n">
        <v>2892</v>
      </c>
      <c r="AG114" s="3" t="n">
        <v>5509</v>
      </c>
      <c r="AH114" s="3" t="n">
        <v>11735</v>
      </c>
      <c r="AI114" s="3" t="n">
        <v>11152</v>
      </c>
      <c r="AJ114" s="3" t="n">
        <v>14873</v>
      </c>
      <c r="AK114" s="3" t="n">
        <v>19552</v>
      </c>
      <c r="AL114" s="3" t="n">
        <v>25488</v>
      </c>
      <c r="AM114" s="3" t="n">
        <v>23967</v>
      </c>
      <c r="AN114" s="3" t="n">
        <v>30729</v>
      </c>
      <c r="AO114" s="88" t="n">
        <f aca="false">+AO30*0.13</f>
        <v>33440.7424</v>
      </c>
      <c r="AP114" s="88" t="n">
        <f aca="false">+AP30*0.13</f>
        <v>40128.89088</v>
      </c>
      <c r="AQ114" s="88" t="n">
        <f aca="false">+AQ30*0.13</f>
        <v>46148.224512</v>
      </c>
      <c r="AR114" s="88" t="n">
        <f aca="false">+AR30*0.13</f>
        <v>52608.97594368</v>
      </c>
      <c r="AS114" s="88" t="n">
        <f aca="false">+AS30*0.13</f>
        <v>59448.1428163584</v>
      </c>
      <c r="AT114" s="88" t="n">
        <f aca="false">+AT30*0.13</f>
        <v>66581.9199543215</v>
      </c>
    </row>
    <row r="115" s="39" customFormat="true" ht="10.5" hidden="false" customHeight="true" outlineLevel="0" collapsed="false">
      <c r="B115" s="39" t="n">
        <f aca="false">+B114/B$30</f>
        <v>0.545578328794611</v>
      </c>
      <c r="C115" s="39" t="n">
        <f aca="false">+C114/C$30</f>
        <v>0.535007980015266</v>
      </c>
      <c r="D115" s="39" t="n">
        <f aca="false">+D114/D$30</f>
        <v>0.578624521902288</v>
      </c>
      <c r="E115" s="39" t="n">
        <f aca="false">+E114/E$30</f>
        <v>0.607865692522929</v>
      </c>
      <c r="F115" s="39" t="n">
        <f aca="false">+F114/F$30</f>
        <v>0.67533600977483</v>
      </c>
      <c r="G115" s="39" t="n">
        <f aca="false">+G114/G$30</f>
        <v>0.770649082783837</v>
      </c>
      <c r="H115" s="39" t="n">
        <f aca="false">+H114/H$30</f>
        <v>0.700784864991507</v>
      </c>
      <c r="I115" s="39" t="n">
        <f aca="false">+I114/I$30</f>
        <v>0.635436663259455</v>
      </c>
      <c r="J115" s="39" t="n">
        <f aca="false">+J114/J$30</f>
        <v>0.621039637909752</v>
      </c>
      <c r="K115" s="39" t="n">
        <f aca="false">+K114/K$30</f>
        <v>0.560876353305521</v>
      </c>
      <c r="L115" s="39" t="n">
        <f aca="false">+L114/L$30</f>
        <v>0.582867279312129</v>
      </c>
      <c r="M115" s="39" t="n">
        <f aca="false">+M114/M$30</f>
        <v>0.495339464710137</v>
      </c>
      <c r="N115" s="39" t="n">
        <f aca="false">+N114/N$30</f>
        <v>0.553055726237179</v>
      </c>
      <c r="O115" s="39" t="n">
        <f aca="false">+O114/O$30</f>
        <v>0.527338159777759</v>
      </c>
      <c r="P115" s="39" t="n">
        <f aca="false">+P114/P$30</f>
        <v>0.527828734241443</v>
      </c>
      <c r="Q115" s="39" t="n">
        <f aca="false">+Q114/Q$30</f>
        <v>0.513064965855776</v>
      </c>
      <c r="R115" s="39" t="n">
        <f aca="false">+R114/R$30</f>
        <v>0.550744969899309</v>
      </c>
      <c r="S115" s="39" t="n">
        <f aca="false">+S114/S$30</f>
        <v>0.626058781927929</v>
      </c>
      <c r="Z115" s="39" t="n">
        <f aca="false">+Z114/Z$30</f>
        <v>0.0797628671517111</v>
      </c>
      <c r="AA115" s="39" t="n">
        <f aca="false">+AA114/AA$30</f>
        <v>0.0831204558852427</v>
      </c>
      <c r="AB115" s="39" t="n">
        <f aca="false">+AB114/AB$30</f>
        <v>0.0705030487804878</v>
      </c>
      <c r="AC115" s="39" t="n">
        <f aca="false">+AC114/AC$30</f>
        <v>0.0694689555591208</v>
      </c>
      <c r="AD115" s="39" t="n">
        <f aca="false">+AD114/AD$30</f>
        <v>0.0808232931726908</v>
      </c>
      <c r="AE115" s="39" t="n">
        <f aca="false">+AE114/AE$30</f>
        <v>0.0797090961719372</v>
      </c>
      <c r="AF115" s="39" t="n">
        <f aca="false">+AF114/AF$30</f>
        <v>0.0711386613534057</v>
      </c>
      <c r="AG115" s="39" t="n">
        <f aca="false">+AG114/AG$30</f>
        <v>0.0986604104731545</v>
      </c>
      <c r="AH115" s="39" t="n">
        <f aca="false">+AH114/AH$30</f>
        <v>0.165990070300013</v>
      </c>
      <c r="AI115" s="39" t="n">
        <f aca="false">+AI114/AI$30</f>
        <v>0.129727214564067</v>
      </c>
      <c r="AJ115" s="39" t="n">
        <f aca="false">+AJ114/AJ$30</f>
        <v>0.126118257595672</v>
      </c>
      <c r="AK115" s="39" t="n">
        <f aca="false">+AK114/AK$30</f>
        <v>0.167671449030521</v>
      </c>
      <c r="AL115" s="39" t="n">
        <f aca="false">+AL114/AL$30</f>
        <v>0.188937154378734</v>
      </c>
      <c r="AM115" s="39" t="n">
        <f aca="false">+AM114/AM$30</f>
        <v>0.145695162947338</v>
      </c>
      <c r="AN115" s="39" t="n">
        <f aca="false">+AN114/AN$30</f>
        <v>0.152906461789556</v>
      </c>
      <c r="AO115" s="39" t="n">
        <f aca="false">+AO114/AO$30</f>
        <v>0.13</v>
      </c>
      <c r="AP115" s="39" t="n">
        <f aca="false">+AP114/AP$30</f>
        <v>0.13</v>
      </c>
      <c r="AQ115" s="39" t="n">
        <f aca="false">+AQ114/AQ$30</f>
        <v>0.13</v>
      </c>
      <c r="AR115" s="39" t="n">
        <f aca="false">+AR114/AR$30</f>
        <v>0.13</v>
      </c>
      <c r="AS115" s="39" t="n">
        <f aca="false">+AS114/AS$30</f>
        <v>0.13</v>
      </c>
      <c r="AT115" s="39" t="n">
        <f aca="false">+AT114/AT$30</f>
        <v>0.13</v>
      </c>
      <c r="EN115" s="32"/>
      <c r="EO115" s="32"/>
      <c r="EP115" s="32"/>
      <c r="EQ115" s="32"/>
      <c r="ER115" s="32"/>
    </row>
    <row r="116" customFormat="false" ht="12.8" hidden="false" customHeight="false" outlineLevel="0" collapsed="false">
      <c r="A116" s="3" t="s">
        <v>12</v>
      </c>
      <c r="B116" s="3" t="n">
        <v>0</v>
      </c>
      <c r="C116" s="3" t="n">
        <v>0</v>
      </c>
      <c r="D116" s="3" t="n">
        <v>9922</v>
      </c>
      <c r="E116" s="3" t="n">
        <v>9923</v>
      </c>
      <c r="F116" s="3" t="n">
        <v>9925</v>
      </c>
      <c r="G116" s="3" t="n">
        <v>18382</v>
      </c>
      <c r="H116" s="3" t="n">
        <v>18383</v>
      </c>
      <c r="I116" s="3" t="n">
        <v>18385</v>
      </c>
      <c r="J116" s="3" t="n">
        <v>18387</v>
      </c>
      <c r="K116" s="3" t="n">
        <v>18389</v>
      </c>
      <c r="L116" s="3" t="n">
        <v>28823</v>
      </c>
      <c r="M116" s="3" t="n">
        <v>28826</v>
      </c>
      <c r="N116" s="3" t="n">
        <v>28829</v>
      </c>
      <c r="O116" s="3" t="n">
        <v>28832</v>
      </c>
      <c r="P116" s="3" t="n">
        <v>28834</v>
      </c>
      <c r="Q116" s="3" t="n">
        <v>58744</v>
      </c>
      <c r="R116" s="3" t="n">
        <v>58748</v>
      </c>
      <c r="S116" s="3" t="n">
        <v>83664</v>
      </c>
      <c r="Z116" s="3" t="n">
        <v>615</v>
      </c>
      <c r="AA116" s="3" t="n">
        <v>1500</v>
      </c>
      <c r="AB116" s="3" t="n">
        <v>0</v>
      </c>
      <c r="AC116" s="3" t="n">
        <v>0</v>
      </c>
      <c r="AD116" s="3" t="n">
        <v>0</v>
      </c>
      <c r="AE116" s="3" t="n">
        <v>0</v>
      </c>
      <c r="AF116" s="3" t="n">
        <v>0</v>
      </c>
      <c r="AG116" s="3" t="n">
        <v>0</v>
      </c>
      <c r="AH116" s="3" t="n">
        <v>0</v>
      </c>
      <c r="AI116" s="3" t="n">
        <v>0</v>
      </c>
      <c r="AJ116" s="3" t="n">
        <v>0</v>
      </c>
      <c r="AK116" s="3" t="n">
        <v>9923</v>
      </c>
      <c r="AL116" s="3" t="n">
        <v>18385</v>
      </c>
      <c r="AM116" s="3" t="n">
        <v>28826</v>
      </c>
      <c r="AN116" s="3" t="n">
        <v>58744</v>
      </c>
    </row>
    <row r="117" customFormat="false" ht="12.8" hidden="false" customHeight="false" outlineLevel="0" collapsed="false">
      <c r="A117" s="3" t="s">
        <v>234</v>
      </c>
      <c r="B117" s="3" t="n">
        <v>0</v>
      </c>
      <c r="C117" s="3" t="n">
        <v>0</v>
      </c>
      <c r="D117" s="3" t="n">
        <v>0</v>
      </c>
      <c r="E117" s="3" t="n">
        <v>0</v>
      </c>
      <c r="F117" s="3" t="n">
        <v>0</v>
      </c>
      <c r="G117" s="3" t="n">
        <v>0</v>
      </c>
      <c r="H117" s="3" t="n">
        <v>0</v>
      </c>
      <c r="I117" s="3" t="n">
        <v>7514</v>
      </c>
      <c r="J117" s="3" t="n">
        <v>7795</v>
      </c>
      <c r="K117" s="3" t="n">
        <v>7897</v>
      </c>
      <c r="L117" s="3" t="n">
        <v>9171</v>
      </c>
      <c r="M117" s="3" t="n">
        <v>9987</v>
      </c>
      <c r="N117" s="3" t="n">
        <v>10991</v>
      </c>
      <c r="O117" s="3" t="n">
        <v>12046</v>
      </c>
      <c r="P117" s="3" t="n">
        <v>11738</v>
      </c>
      <c r="Q117" s="3" t="n">
        <v>21005</v>
      </c>
      <c r="R117" s="3" t="n">
        <v>16849</v>
      </c>
      <c r="S117" s="3" t="n">
        <v>18326</v>
      </c>
      <c r="Z117" s="3" t="n">
        <v>0</v>
      </c>
      <c r="AA117" s="3" t="n">
        <v>0</v>
      </c>
      <c r="AB117" s="3" t="n">
        <v>0</v>
      </c>
      <c r="AC117" s="3" t="n">
        <v>0</v>
      </c>
      <c r="AD117" s="3" t="n">
        <v>0</v>
      </c>
      <c r="AE117" s="3" t="n">
        <v>0</v>
      </c>
      <c r="AF117" s="3" t="n">
        <v>0</v>
      </c>
      <c r="AG117" s="3" t="n">
        <v>0</v>
      </c>
      <c r="AH117" s="3" t="n">
        <v>0</v>
      </c>
      <c r="AI117" s="3" t="n">
        <v>0</v>
      </c>
      <c r="AJ117" s="3" t="n">
        <v>0</v>
      </c>
      <c r="AK117" s="3" t="n">
        <v>0</v>
      </c>
      <c r="AL117" s="3" t="n">
        <v>7514</v>
      </c>
      <c r="AM117" s="3" t="n">
        <v>9987</v>
      </c>
      <c r="AN117" s="3" t="n">
        <v>21005</v>
      </c>
    </row>
    <row r="118" customFormat="false" ht="12.8" hidden="false" customHeight="false" outlineLevel="0" collapsed="false">
      <c r="A118" s="3" t="s">
        <v>163</v>
      </c>
      <c r="B118" s="3" t="n">
        <f aca="false">+7010+520+935</f>
        <v>8465</v>
      </c>
      <c r="C118" s="3" t="n">
        <f aca="false">+7003+982+532</f>
        <v>8517</v>
      </c>
      <c r="D118" s="3" t="n">
        <f aca="false">+7504+514+975</f>
        <v>8993</v>
      </c>
      <c r="E118" s="3" t="n">
        <f aca="false">+7764+1117</f>
        <v>8881</v>
      </c>
      <c r="F118" s="3" t="n">
        <f aca="false">+8219+885</f>
        <v>9104</v>
      </c>
      <c r="G118" s="3" t="n">
        <f aca="false">+7912+772</f>
        <v>8684</v>
      </c>
      <c r="H118" s="3" t="n">
        <f aca="false">+8113+770</f>
        <v>8883</v>
      </c>
      <c r="I118" s="3" t="n">
        <v>1370</v>
      </c>
      <c r="J118" s="3" t="n">
        <v>1462</v>
      </c>
      <c r="K118" s="3" t="n">
        <v>2500</v>
      </c>
      <c r="L118" s="3" t="n">
        <v>2347</v>
      </c>
      <c r="M118" s="1" t="n">
        <v>2716</v>
      </c>
      <c r="N118" s="3" t="n">
        <v>2760</v>
      </c>
      <c r="O118" s="3" t="n">
        <v>2740</v>
      </c>
      <c r="P118" s="3" t="n">
        <v>12135</v>
      </c>
      <c r="Q118" s="1" t="n">
        <v>4253</v>
      </c>
      <c r="R118" s="3" t="n">
        <v>3612</v>
      </c>
      <c r="S118" s="3" t="n">
        <v>4137</v>
      </c>
      <c r="Z118" s="3" t="n">
        <f aca="false">+135+90+171</f>
        <v>396</v>
      </c>
      <c r="AA118" s="3" t="n">
        <f aca="false">+305+30+169</f>
        <v>504</v>
      </c>
      <c r="AB118" s="3" t="n">
        <f aca="false">+1088+38+181</f>
        <v>1307</v>
      </c>
      <c r="AC118" s="3" t="n">
        <f aca="false">+202+66+2327</f>
        <v>2595</v>
      </c>
      <c r="AD118" s="3" t="n">
        <f aca="false">+217+56+3157</f>
        <v>3430</v>
      </c>
      <c r="AE118" s="3" t="n">
        <f aca="false">+280+90+2892</f>
        <v>3262</v>
      </c>
      <c r="AF118" s="3" t="n">
        <f aca="false">+6417+98+390</f>
        <v>6905</v>
      </c>
      <c r="AG118" s="3" t="n">
        <f aca="false">+541+147+6190</f>
        <v>6878</v>
      </c>
      <c r="AH118" s="3" t="n">
        <f aca="false">+269+7745+886</f>
        <v>8900</v>
      </c>
      <c r="AI118" s="3" t="n">
        <f aca="false">+6414+382+1093</f>
        <v>7889</v>
      </c>
      <c r="AJ118" s="3" t="n">
        <f aca="false">+7227+1052</f>
        <v>8279</v>
      </c>
      <c r="AK118" s="3" t="n">
        <f aca="false">+7764+1117</f>
        <v>8881</v>
      </c>
      <c r="AL118" s="3" t="n">
        <v>1370</v>
      </c>
      <c r="AM118" s="3" t="n">
        <v>2716</v>
      </c>
      <c r="AN118" s="3" t="n">
        <v>4253</v>
      </c>
    </row>
    <row r="119" customFormat="false" ht="12.8" hidden="false" customHeight="false" outlineLevel="0" collapsed="false">
      <c r="A119" s="3" t="s">
        <v>235</v>
      </c>
      <c r="B119" s="3" t="n">
        <f aca="false">SUM(B111:B118)</f>
        <v>40991.0491256987</v>
      </c>
      <c r="C119" s="3" t="n">
        <f aca="false">SUM(C111:C118)</f>
        <v>44013.0924640899</v>
      </c>
      <c r="D119" s="3" t="n">
        <f aca="false">SUM(D111:D118)</f>
        <v>54801.1551562387</v>
      </c>
      <c r="E119" s="3" t="n">
        <f aca="false">SUM(E111:E118)</f>
        <v>60015.1260687082</v>
      </c>
      <c r="F119" s="3" t="n">
        <f aca="false">SUM(F111:F118)</f>
        <v>59697.2914993891</v>
      </c>
      <c r="G119" s="3" t="n">
        <f aca="false">SUM(G111:G118)</f>
        <v>72656.3280415013</v>
      </c>
      <c r="H119" s="3" t="n">
        <f aca="false">SUM(H111:H118)</f>
        <v>73402.2230715164</v>
      </c>
      <c r="I119" s="3" t="n">
        <f aca="false">SUM(I111:I118)</f>
        <v>76456.1053576326</v>
      </c>
      <c r="J119" s="3" t="n">
        <f aca="false">SUM(J111:J118)</f>
        <v>73316.1489781923</v>
      </c>
      <c r="K119" s="3" t="n">
        <f aca="false">SUM(K111:K118)</f>
        <v>73476.062578383</v>
      </c>
      <c r="L119" s="3" t="n">
        <f aca="false">SUM(L111:L118)</f>
        <v>91880.0811303555</v>
      </c>
      <c r="M119" s="3" t="n">
        <f aca="false">SUM(M111:M118)</f>
        <v>93417.9135269195</v>
      </c>
      <c r="N119" s="3" t="n">
        <f aca="false">SUM(N111:N118)</f>
        <v>95185.0420191899</v>
      </c>
      <c r="O119" s="3" t="n">
        <f aca="false">SUM(O111:O118)</f>
        <v>99674.9635701658</v>
      </c>
      <c r="P119" s="3" t="n">
        <f aca="false">SUM(P111:P118)</f>
        <v>109778.96157449</v>
      </c>
      <c r="Q119" s="3" t="n">
        <f aca="false">SUM(Q111:Q118)</f>
        <v>148778.933030571</v>
      </c>
      <c r="R119" s="3" t="n">
        <f aca="false">SUM(R111:R118)</f>
        <v>151570.048356449</v>
      </c>
      <c r="S119" s="3" t="n">
        <f aca="false">SUM(S111:S118)</f>
        <v>188736.097333925</v>
      </c>
      <c r="T119" s="3" t="n">
        <f aca="false">SUM(T111:T118)</f>
        <v>0</v>
      </c>
      <c r="Z119" s="3" t="n">
        <f aca="false">SUM(Z111:Z118)</f>
        <v>2047.26219347885</v>
      </c>
      <c r="AA119" s="3" t="n">
        <f aca="false">SUM(AA111:AA118)</f>
        <v>3348.25132639025</v>
      </c>
      <c r="AB119" s="3" t="n">
        <f aca="false">SUM(AB111:AB118)</f>
        <v>2425.13097052846</v>
      </c>
      <c r="AC119" s="3" t="n">
        <f aca="false">SUM(AC111:AC118)</f>
        <v>3870.08815979464</v>
      </c>
      <c r="AD119" s="3" t="n">
        <f aca="false">SUM(AD111:AD118)</f>
        <v>5189.08718206158</v>
      </c>
      <c r="AE119" s="3" t="n">
        <f aca="false">SUM(AE111:AE118)</f>
        <v>5767.07970909617</v>
      </c>
      <c r="AF119" s="3" t="n">
        <f aca="false">SUM(AF111:AF118)</f>
        <v>10177.0711386614</v>
      </c>
      <c r="AG119" s="3" t="n">
        <f aca="false">SUM(AG111:AG118)</f>
        <v>13207.0986604105</v>
      </c>
      <c r="AH119" s="3" t="n">
        <f aca="false">SUM(AH111:AH118)</f>
        <v>32322.3120217265</v>
      </c>
      <c r="AI119" s="3" t="n">
        <f aca="false">SUM(AI111:AI118)</f>
        <v>31026.2536613738</v>
      </c>
      <c r="AJ119" s="3" t="n">
        <f aca="false">SUM(AJ111:AJ118)</f>
        <v>41108.2437568367</v>
      </c>
      <c r="AK119" s="3" t="n">
        <f aca="false">SUM(AK111:AK118)</f>
        <v>60014.3106106733</v>
      </c>
      <c r="AL119" s="3" t="n">
        <f aca="false">SUM(AL111:AL118)</f>
        <v>76455.3286608056</v>
      </c>
      <c r="AM119" s="3" t="n">
        <f aca="false">SUM(AM111:AM118)</f>
        <v>93417.2686974547</v>
      </c>
      <c r="AN119" s="3" t="n">
        <f aca="false">SUM(AN111:AN118)</f>
        <v>148778.278066937</v>
      </c>
    </row>
    <row r="120" customFormat="false" ht="12.8" hidden="false" customHeight="false" outlineLevel="0" collapsed="false">
      <c r="A120" s="3" t="s">
        <v>236</v>
      </c>
      <c r="B120" s="3" t="n">
        <v>57512</v>
      </c>
      <c r="C120" s="3" t="n">
        <v>59929</v>
      </c>
      <c r="D120" s="3" t="n">
        <v>62092</v>
      </c>
      <c r="E120" s="3" t="n">
        <v>64444</v>
      </c>
      <c r="F120" s="3" t="n">
        <v>66535</v>
      </c>
      <c r="G120" s="3" t="n">
        <v>69159</v>
      </c>
      <c r="H120" s="3" t="n">
        <v>71224</v>
      </c>
      <c r="I120" s="3" t="n">
        <v>0</v>
      </c>
      <c r="J120" s="3" t="n">
        <v>0</v>
      </c>
      <c r="K120" s="3" t="n">
        <v>0</v>
      </c>
      <c r="L120" s="3" t="n">
        <v>0</v>
      </c>
      <c r="M120" s="3" t="n">
        <v>0</v>
      </c>
      <c r="N120" s="3" t="n">
        <v>0</v>
      </c>
      <c r="O120" s="3" t="n">
        <v>0</v>
      </c>
      <c r="P120" s="3" t="n">
        <v>0</v>
      </c>
      <c r="Q120" s="3" t="n">
        <v>0</v>
      </c>
      <c r="R120" s="3" t="n">
        <v>0</v>
      </c>
      <c r="S120" s="3" t="n">
        <v>0</v>
      </c>
      <c r="Z120" s="3" t="n">
        <v>0</v>
      </c>
      <c r="AA120" s="3" t="n">
        <v>0</v>
      </c>
      <c r="AB120" s="3" t="n">
        <v>0</v>
      </c>
      <c r="AC120" s="3" t="n">
        <v>0</v>
      </c>
      <c r="AD120" s="3" t="n">
        <v>0</v>
      </c>
      <c r="AE120" s="3" t="n">
        <v>0</v>
      </c>
      <c r="AF120" s="3" t="n">
        <v>0</v>
      </c>
      <c r="AG120" s="3" t="n">
        <v>0</v>
      </c>
      <c r="AH120" s="3" t="n">
        <v>0</v>
      </c>
      <c r="AI120" s="3" t="n">
        <v>0</v>
      </c>
      <c r="AJ120" s="3" t="n">
        <v>0</v>
      </c>
      <c r="AK120" s="3" t="n">
        <v>0</v>
      </c>
      <c r="AL120" s="3" t="n">
        <v>0</v>
      </c>
      <c r="AM120" s="3" t="n">
        <v>0</v>
      </c>
      <c r="AN120" s="3" t="n">
        <v>0</v>
      </c>
    </row>
    <row r="121" customFormat="false" ht="12.8" hidden="false" customHeight="false" outlineLevel="0" collapsed="false">
      <c r="A121" s="3" t="s">
        <v>237</v>
      </c>
      <c r="B121" s="3" t="n">
        <v>-1996</v>
      </c>
      <c r="C121" s="3" t="n">
        <v>-3411</v>
      </c>
      <c r="D121" s="3" t="n">
        <v>-5054</v>
      </c>
      <c r="E121" s="3" t="n">
        <v>-3530</v>
      </c>
      <c r="F121" s="3" t="n">
        <v>-2981</v>
      </c>
      <c r="G121" s="3" t="n">
        <v>-3106</v>
      </c>
      <c r="H121" s="3" t="n">
        <v>-3556</v>
      </c>
      <c r="I121" s="3" t="n">
        <v>73253</v>
      </c>
      <c r="J121" s="3" t="n">
        <v>75391</v>
      </c>
      <c r="K121" s="3" t="n">
        <v>78270</v>
      </c>
      <c r="L121" s="3" t="n">
        <v>80749</v>
      </c>
      <c r="M121" s="3" t="n">
        <v>83228</v>
      </c>
      <c r="N121" s="3" t="n">
        <v>85568</v>
      </c>
      <c r="O121" s="3" t="n">
        <v>88496</v>
      </c>
      <c r="P121" s="3" t="n">
        <v>92330</v>
      </c>
      <c r="Q121" s="3" t="n">
        <v>95793</v>
      </c>
      <c r="R121" s="3" t="n">
        <v>99337</v>
      </c>
      <c r="S121" s="3" t="n">
        <v>103981</v>
      </c>
      <c r="Z121" s="3" t="n">
        <v>2684</v>
      </c>
      <c r="AA121" s="3" t="n">
        <v>10094</v>
      </c>
      <c r="AB121" s="3" t="n">
        <v>12297</v>
      </c>
      <c r="AC121" s="3" t="n">
        <v>30225</v>
      </c>
      <c r="AD121" s="3" t="n">
        <v>34886</v>
      </c>
      <c r="AE121" s="3" t="n">
        <v>38227</v>
      </c>
      <c r="AF121" s="3" t="n">
        <v>40584</v>
      </c>
      <c r="AG121" s="3" t="n">
        <v>42906</v>
      </c>
      <c r="AH121" s="3" t="n">
        <v>45851</v>
      </c>
      <c r="AI121" s="3" t="n">
        <v>50018</v>
      </c>
      <c r="AJ121" s="3" t="n">
        <v>55811</v>
      </c>
      <c r="AK121" s="3" t="n">
        <v>64444</v>
      </c>
      <c r="AL121" s="3" t="n">
        <v>73253</v>
      </c>
      <c r="AM121" s="3" t="n">
        <v>83228</v>
      </c>
      <c r="AN121" s="3" t="n">
        <v>95793</v>
      </c>
    </row>
    <row r="122" customFormat="false" ht="12.8" hidden="false" customHeight="false" outlineLevel="0" collapsed="false">
      <c r="A122" s="3" t="s">
        <v>238</v>
      </c>
      <c r="B122" s="3" t="n">
        <v>0</v>
      </c>
      <c r="C122" s="3" t="n">
        <v>0</v>
      </c>
      <c r="D122" s="3" t="n">
        <v>0</v>
      </c>
      <c r="E122" s="3" t="n">
        <v>0</v>
      </c>
      <c r="F122" s="3" t="n">
        <v>0</v>
      </c>
      <c r="G122" s="3" t="n">
        <v>0</v>
      </c>
      <c r="H122" s="3" t="n">
        <v>0</v>
      </c>
      <c r="I122" s="3" t="n">
        <v>-2155</v>
      </c>
      <c r="J122" s="3" t="n">
        <v>-2655</v>
      </c>
      <c r="K122" s="3" t="n">
        <v>-2695</v>
      </c>
      <c r="L122" s="3" t="n">
        <v>-1192</v>
      </c>
      <c r="M122" s="3" t="n">
        <v>-3097</v>
      </c>
      <c r="N122" s="3" t="n">
        <v>-1865</v>
      </c>
      <c r="O122" s="3" t="n">
        <v>229</v>
      </c>
      <c r="P122" s="3" t="n">
        <v>159</v>
      </c>
      <c r="Q122" s="3" t="n">
        <v>271</v>
      </c>
      <c r="R122" s="3" t="n">
        <v>-303</v>
      </c>
      <c r="S122" s="3" t="n">
        <v>-603</v>
      </c>
      <c r="Z122" s="3" t="n">
        <v>-6</v>
      </c>
      <c r="AA122" s="3" t="n">
        <v>2</v>
      </c>
      <c r="AB122" s="3" t="n">
        <v>14</v>
      </c>
      <c r="AC122" s="3" t="n">
        <v>-228</v>
      </c>
      <c r="AD122" s="3" t="n">
        <v>-455</v>
      </c>
      <c r="AE122" s="3" t="n">
        <v>-703</v>
      </c>
      <c r="AF122" s="3" t="n">
        <v>-227</v>
      </c>
      <c r="AG122" s="3" t="n">
        <v>-760</v>
      </c>
      <c r="AH122" s="3" t="n">
        <v>-489</v>
      </c>
      <c r="AI122" s="3" t="n">
        <v>927</v>
      </c>
      <c r="AJ122" s="3" t="n">
        <v>-693</v>
      </c>
      <c r="AK122" s="3" t="n">
        <v>-3530</v>
      </c>
      <c r="AL122" s="3" t="n">
        <v>-2155</v>
      </c>
      <c r="AM122" s="3" t="n">
        <v>-3097</v>
      </c>
      <c r="AN122" s="3" t="n">
        <v>271</v>
      </c>
    </row>
    <row r="123" customFormat="false" ht="12.8" hidden="false" customHeight="false" outlineLevel="0" collapsed="false">
      <c r="A123" s="3" t="s">
        <v>239</v>
      </c>
      <c r="B123" s="3" t="n">
        <v>67712</v>
      </c>
      <c r="C123" s="3" t="n">
        <v>69249</v>
      </c>
      <c r="D123" s="3" t="n">
        <v>67056</v>
      </c>
      <c r="E123" s="3" t="n">
        <v>64799</v>
      </c>
      <c r="F123" s="3" t="n">
        <v>61241</v>
      </c>
      <c r="G123" s="3" t="n">
        <v>67980</v>
      </c>
      <c r="H123" s="3" t="n">
        <v>75205</v>
      </c>
      <c r="I123" s="3" t="n">
        <v>82070</v>
      </c>
      <c r="J123" s="3" t="n">
        <v>76793</v>
      </c>
      <c r="K123" s="3" t="n">
        <v>81188</v>
      </c>
      <c r="L123" s="3" t="n">
        <v>84972</v>
      </c>
      <c r="M123" s="3" t="n">
        <v>102506</v>
      </c>
      <c r="N123" s="3" t="n">
        <v>101326</v>
      </c>
      <c r="O123" s="3" t="n">
        <v>106345</v>
      </c>
      <c r="P123" s="3" t="n">
        <v>101577</v>
      </c>
      <c r="Q123" s="3" t="n">
        <v>121179</v>
      </c>
      <c r="R123" s="3" t="n">
        <v>144647</v>
      </c>
      <c r="S123" s="3" t="n">
        <v>157843</v>
      </c>
      <c r="Z123" s="3" t="n">
        <v>1606</v>
      </c>
      <c r="AA123" s="3" t="n">
        <v>1659</v>
      </c>
      <c r="AB123" s="3" t="n">
        <v>3159</v>
      </c>
      <c r="AC123" s="3" t="n">
        <v>6099</v>
      </c>
      <c r="AD123" s="3" t="n">
        <v>9787</v>
      </c>
      <c r="AE123" s="3" t="n">
        <v>21670</v>
      </c>
      <c r="AF123" s="3" t="n">
        <v>33990</v>
      </c>
      <c r="AG123" s="3" t="n">
        <v>41981</v>
      </c>
      <c r="AH123" s="3" t="n">
        <v>55692</v>
      </c>
      <c r="AI123" s="3" t="n">
        <v>77345</v>
      </c>
      <c r="AJ123" s="3" t="n">
        <v>69761</v>
      </c>
      <c r="AK123" s="3" t="n">
        <v>64799</v>
      </c>
      <c r="AL123" s="3" t="n">
        <v>82070</v>
      </c>
      <c r="AM123" s="3" t="n">
        <v>102506</v>
      </c>
      <c r="AN123" s="3" t="n">
        <v>121179</v>
      </c>
    </row>
    <row r="124" customFormat="false" ht="12.8" hidden="false" customHeight="false" outlineLevel="0" collapsed="false">
      <c r="A124" s="3" t="s">
        <v>240</v>
      </c>
      <c r="B124" s="3" t="n">
        <f aca="false">SUM(B120:B123)</f>
        <v>123228</v>
      </c>
      <c r="C124" s="3" t="n">
        <f aca="false">SUM(C120:C123)</f>
        <v>125767</v>
      </c>
      <c r="D124" s="3" t="n">
        <f aca="false">SUM(D120:D123)</f>
        <v>124094</v>
      </c>
      <c r="E124" s="3" t="n">
        <f aca="false">SUM(E120:E123)</f>
        <v>125713</v>
      </c>
      <c r="F124" s="3" t="n">
        <f aca="false">SUM(F120:F123)</f>
        <v>124795</v>
      </c>
      <c r="G124" s="3" t="n">
        <f aca="false">SUM(G120:G123)</f>
        <v>134033</v>
      </c>
      <c r="H124" s="3" t="n">
        <f aca="false">SUM(H120:H123)</f>
        <v>142873</v>
      </c>
      <c r="I124" s="3" t="n">
        <f aca="false">SUM(I120:I123)</f>
        <v>153168</v>
      </c>
      <c r="J124" s="3" t="n">
        <f aca="false">SUM(J120:J123)</f>
        <v>149529</v>
      </c>
      <c r="K124" s="3" t="n">
        <f aca="false">SUM(K120:K123)</f>
        <v>156763</v>
      </c>
      <c r="L124" s="3" t="n">
        <f aca="false">SUM(L120:L123)</f>
        <v>164529</v>
      </c>
      <c r="M124" s="3" t="n">
        <f aca="false">SUM(M120:M123)</f>
        <v>182637</v>
      </c>
      <c r="N124" s="3" t="n">
        <f aca="false">SUM(N120:N123)</f>
        <v>185029</v>
      </c>
      <c r="O124" s="3" t="n">
        <f aca="false">SUM(O120:O123)</f>
        <v>195070</v>
      </c>
      <c r="P124" s="3" t="n">
        <f aca="false">SUM(P120:P123)</f>
        <v>194066</v>
      </c>
      <c r="Q124" s="3" t="n">
        <f aca="false">SUM(Q120:Q123)</f>
        <v>217243</v>
      </c>
      <c r="R124" s="3" t="n">
        <f aca="false">SUM(R120:R123)</f>
        <v>243681</v>
      </c>
      <c r="S124" s="3" t="n">
        <f aca="false">SUM(S120:S123)</f>
        <v>261221</v>
      </c>
      <c r="T124" s="3" t="n">
        <f aca="false">SUM(T120:T123)</f>
        <v>0</v>
      </c>
      <c r="Z124" s="3" t="n">
        <f aca="false">SUM(Z120:Z123)</f>
        <v>4284</v>
      </c>
      <c r="AA124" s="3" t="n">
        <f aca="false">SUM(AA120:AA123)</f>
        <v>11755</v>
      </c>
      <c r="AB124" s="3" t="n">
        <f aca="false">SUM(AB120:AB123)</f>
        <v>15470</v>
      </c>
      <c r="AC124" s="3" t="n">
        <f aca="false">SUM(AC120:AC123)</f>
        <v>36096</v>
      </c>
      <c r="AD124" s="3" t="n">
        <f aca="false">SUM(AD120:AD123)</f>
        <v>44218</v>
      </c>
      <c r="AE124" s="3" t="n">
        <f aca="false">SUM(AE120:AE123)</f>
        <v>59194</v>
      </c>
      <c r="AF124" s="3" t="n">
        <f aca="false">SUM(AF120:AF123)</f>
        <v>74347</v>
      </c>
      <c r="AG124" s="3" t="n">
        <f aca="false">SUM(AG120:AG123)</f>
        <v>84127</v>
      </c>
      <c r="AH124" s="3" t="n">
        <f aca="false">SUM(AH120:AH123)</f>
        <v>101054</v>
      </c>
      <c r="AI124" s="3" t="n">
        <f aca="false">SUM(AI120:AI123)</f>
        <v>128290</v>
      </c>
      <c r="AJ124" s="3" t="n">
        <f aca="false">SUM(AJ120:AJ123)</f>
        <v>124879</v>
      </c>
      <c r="AK124" s="3" t="n">
        <f aca="false">SUM(AK120:AK123)</f>
        <v>125713</v>
      </c>
      <c r="AL124" s="3" t="n">
        <f aca="false">SUM(AL120:AL123)</f>
        <v>153168</v>
      </c>
      <c r="AM124" s="3" t="n">
        <f aca="false">SUM(AM120:AM123)</f>
        <v>182637</v>
      </c>
      <c r="AN124" s="3" t="n">
        <f aca="false">SUM(AN120:AN123)</f>
        <v>217243</v>
      </c>
    </row>
    <row r="125" s="89" customFormat="true" ht="12.8" hidden="false" customHeight="false" outlineLevel="0" collapsed="false">
      <c r="A125" s="3" t="s">
        <v>241</v>
      </c>
      <c r="B125" s="3" t="n">
        <f aca="false">B124+B119</f>
        <v>164219.049125699</v>
      </c>
      <c r="C125" s="3" t="n">
        <f aca="false">C124+C119</f>
        <v>169780.09246409</v>
      </c>
      <c r="D125" s="3" t="n">
        <f aca="false">D124+D119</f>
        <v>178895.155156239</v>
      </c>
      <c r="E125" s="3" t="n">
        <f aca="false">E124+E119</f>
        <v>185728.126068708</v>
      </c>
      <c r="F125" s="3" t="n">
        <f aca="false">F124+F119</f>
        <v>184492.291499389</v>
      </c>
      <c r="G125" s="3" t="n">
        <f aca="false">G124+G119</f>
        <v>206689.328041501</v>
      </c>
      <c r="H125" s="3" t="n">
        <f aca="false">H124+H119</f>
        <v>216275.223071516</v>
      </c>
      <c r="I125" s="3" t="n">
        <f aca="false">I124+I119</f>
        <v>229624.105357633</v>
      </c>
      <c r="J125" s="3" t="n">
        <f aca="false">J124+J119</f>
        <v>222845.148978192</v>
      </c>
      <c r="K125" s="3" t="n">
        <f aca="false">K124+K119</f>
        <v>230239.062578383</v>
      </c>
      <c r="L125" s="3" t="n">
        <f aca="false">L124+L119</f>
        <v>256409.081130356</v>
      </c>
      <c r="M125" s="3" t="n">
        <f aca="false">M124+M119</f>
        <v>276054.91352692</v>
      </c>
      <c r="N125" s="3" t="n">
        <f aca="false">N124+N119</f>
        <v>280214.04201919</v>
      </c>
      <c r="O125" s="3" t="n">
        <f aca="false">O124+O119</f>
        <v>294744.963570166</v>
      </c>
      <c r="P125" s="3" t="n">
        <f aca="false">P124+P119</f>
        <v>303844.96157449</v>
      </c>
      <c r="Q125" s="3" t="n">
        <f aca="false">Q124+Q119</f>
        <v>366021.933030571</v>
      </c>
      <c r="R125" s="3" t="n">
        <f aca="false">R124+R119</f>
        <v>395251.048356449</v>
      </c>
      <c r="S125" s="3" t="n">
        <f aca="false">S124+S119</f>
        <v>449957.097333925</v>
      </c>
      <c r="T125" s="3" t="n">
        <f aca="false">T124+T119</f>
        <v>0</v>
      </c>
      <c r="U125" s="3"/>
      <c r="V125" s="3"/>
      <c r="W125" s="3"/>
      <c r="X125" s="3"/>
      <c r="Y125" s="3"/>
      <c r="Z125" s="3" t="n">
        <f aca="false">Z124+Z119</f>
        <v>6331.26219347885</v>
      </c>
      <c r="AA125" s="3" t="n">
        <f aca="false">AA124+AA119</f>
        <v>15103.2513263903</v>
      </c>
      <c r="AB125" s="3" t="n">
        <f aca="false">AB124+AB119</f>
        <v>17895.1309705285</v>
      </c>
      <c r="AC125" s="3" t="n">
        <f aca="false">AC124+AC119</f>
        <v>39966.0881597946</v>
      </c>
      <c r="AD125" s="3" t="n">
        <f aca="false">AD124+AD119</f>
        <v>49407.0871820616</v>
      </c>
      <c r="AE125" s="3" t="n">
        <f aca="false">AE124+AE119</f>
        <v>64961.0797090962</v>
      </c>
      <c r="AF125" s="3" t="n">
        <f aca="false">AF124+AF119</f>
        <v>84524.0711386614</v>
      </c>
      <c r="AG125" s="3" t="n">
        <f aca="false">AG124+AG119</f>
        <v>97334.0986604105</v>
      </c>
      <c r="AH125" s="3" t="n">
        <f aca="false">AH124+AH119</f>
        <v>133376.312021727</v>
      </c>
      <c r="AI125" s="3" t="n">
        <f aca="false">AI124+AI119</f>
        <v>159316.253661374</v>
      </c>
      <c r="AJ125" s="3" t="n">
        <f aca="false">AJ124+AJ119</f>
        <v>165987.243756837</v>
      </c>
      <c r="AK125" s="3" t="n">
        <f aca="false">AK124+AK119</f>
        <v>185727.310610673</v>
      </c>
      <c r="AL125" s="3" t="n">
        <f aca="false">AL124+AL119</f>
        <v>229623.328660806</v>
      </c>
      <c r="AM125" s="3" t="n">
        <f aca="false">AM124+AM119</f>
        <v>276054.268697455</v>
      </c>
      <c r="AN125" s="3" t="n">
        <f aca="false">AN124+AN119</f>
        <v>366021.278066937</v>
      </c>
      <c r="AO125" s="3"/>
      <c r="AP125" s="3"/>
      <c r="AQ125" s="3"/>
      <c r="AR125" s="1"/>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2"/>
      <c r="EO125" s="32"/>
      <c r="EP125" s="32"/>
      <c r="EQ125" s="32"/>
      <c r="ER125" s="32"/>
    </row>
    <row r="126" s="39" customFormat="true" ht="12.8" hidden="false" customHeight="fals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1"/>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2"/>
      <c r="EO126" s="32"/>
      <c r="EP126" s="32"/>
      <c r="EQ126" s="32"/>
      <c r="ER126" s="32"/>
    </row>
    <row r="127" customFormat="false" ht="12.8" hidden="false" customHeight="false" outlineLevel="0" collapsed="false">
      <c r="A127" s="3" t="s">
        <v>242</v>
      </c>
      <c r="B127" s="3" t="n">
        <f aca="false">B52</f>
        <v>7465</v>
      </c>
      <c r="C127" s="3" t="n">
        <f aca="false">C52</f>
        <v>6687</v>
      </c>
      <c r="D127" s="3" t="n">
        <f aca="false">D52</f>
        <v>4395</v>
      </c>
      <c r="E127" s="3" t="n">
        <f aca="false">E52</f>
        <v>4652</v>
      </c>
      <c r="F127" s="3" t="n">
        <f aca="false">F52</f>
        <v>5709</v>
      </c>
      <c r="G127" s="3" t="n">
        <f aca="false">G52</f>
        <v>7788</v>
      </c>
      <c r="H127" s="3" t="n">
        <f aca="false">H52</f>
        <v>11583</v>
      </c>
      <c r="I127" s="3" t="n">
        <f aca="false">I52</f>
        <v>14017</v>
      </c>
      <c r="J127" s="3" t="n">
        <f aca="false">J52</f>
        <v>12369</v>
      </c>
      <c r="K127" s="3" t="n">
        <f aca="false">K52</f>
        <v>13465</v>
      </c>
      <c r="L127" s="3" t="n">
        <f aca="false">L52</f>
        <v>15688</v>
      </c>
      <c r="M127" s="3" t="n">
        <f aca="false">M52</f>
        <v>20838</v>
      </c>
      <c r="N127" s="3" t="n">
        <f aca="false">N52</f>
        <v>16644</v>
      </c>
      <c r="O127" s="3" t="n">
        <f aca="false">O52</f>
        <v>18680</v>
      </c>
      <c r="P127" s="3" t="n">
        <f aca="false">P52</f>
        <v>17685</v>
      </c>
      <c r="Q127" s="3" t="n">
        <f aca="false">Q52</f>
        <v>22768</v>
      </c>
      <c r="R127" s="3" t="n">
        <f aca="false">R52</f>
        <v>27849</v>
      </c>
      <c r="S127" s="3" t="n">
        <f aca="false">S52</f>
        <v>15848</v>
      </c>
      <c r="T127" s="3" t="n">
        <f aca="false">T52</f>
        <v>12270.3220352</v>
      </c>
      <c r="Z127" s="3" t="n">
        <f aca="false">Z52</f>
        <v>1000</v>
      </c>
      <c r="AA127" s="3" t="n">
        <f aca="false">AA52</f>
        <v>53</v>
      </c>
      <c r="AB127" s="3" t="n">
        <f aca="false">AB52</f>
        <v>1500</v>
      </c>
      <c r="AC127" s="3" t="n">
        <f aca="false">AC52</f>
        <v>2940</v>
      </c>
      <c r="AD127" s="3" t="n">
        <f aca="false">AD52</f>
        <v>3688</v>
      </c>
      <c r="AE127" s="3" t="n">
        <f aca="false">AE52</f>
        <v>10217</v>
      </c>
      <c r="AF127" s="3" t="n">
        <f aca="false">AF52</f>
        <v>15934</v>
      </c>
      <c r="AG127" s="3" t="n">
        <f aca="false">AG52</f>
        <v>22112</v>
      </c>
      <c r="AH127" s="3" t="n">
        <f aca="false">AH52</f>
        <v>18485</v>
      </c>
      <c r="AI127" s="3" t="n">
        <f aca="false">AI52</f>
        <v>29146</v>
      </c>
      <c r="AJ127" s="3" t="n">
        <f aca="false">AJ52</f>
        <v>39370</v>
      </c>
      <c r="AK127" s="3" t="n">
        <f aca="false">AK52</f>
        <v>23200</v>
      </c>
      <c r="AL127" s="3" t="n">
        <f aca="false">AL52</f>
        <v>39098</v>
      </c>
      <c r="AM127" s="3" t="n">
        <f aca="false">AM52</f>
        <v>62360</v>
      </c>
      <c r="AN127" s="3" t="n">
        <f aca="false">AN52</f>
        <v>60458</v>
      </c>
      <c r="AO127" s="3" t="n">
        <f aca="false">AO52</f>
        <v>85691.764992</v>
      </c>
      <c r="AP127" s="3" t="n">
        <f aca="false">AP52</f>
        <v>114681.643661261</v>
      </c>
      <c r="AQ127" s="3" t="n">
        <f aca="false">AQ52</f>
        <v>136684.443202407</v>
      </c>
      <c r="AR127" s="3" t="n">
        <f aca="false">AR52</f>
        <v>157654.807210986</v>
      </c>
      <c r="AS127" s="3" t="n">
        <f aca="false">AS52</f>
        <v>184057.471391621</v>
      </c>
      <c r="AT127" s="3" t="n">
        <f aca="false">AT52</f>
        <v>226089.769107856</v>
      </c>
      <c r="AV127" s="89"/>
      <c r="AW127" s="89"/>
    </row>
    <row r="128" customFormat="false" ht="12.8" hidden="false" customHeight="false" outlineLevel="0" collapsed="false">
      <c r="A128" s="3" t="s">
        <v>176</v>
      </c>
      <c r="B128" s="3" t="n">
        <v>7465</v>
      </c>
      <c r="C128" s="3" t="n">
        <v>6687</v>
      </c>
      <c r="D128" s="3" t="n">
        <v>4395</v>
      </c>
      <c r="E128" s="3" t="n">
        <v>4652</v>
      </c>
      <c r="F128" s="3" t="n">
        <v>5709</v>
      </c>
      <c r="G128" s="3" t="n">
        <v>7788</v>
      </c>
      <c r="H128" s="3" t="n">
        <v>11583</v>
      </c>
      <c r="I128" s="3" t="n">
        <v>14017</v>
      </c>
      <c r="J128" s="3" t="n">
        <v>12369</v>
      </c>
      <c r="K128" s="3" t="n">
        <v>13465</v>
      </c>
      <c r="L128" s="3" t="n">
        <v>15688</v>
      </c>
      <c r="M128" s="3" t="n">
        <v>20838</v>
      </c>
      <c r="N128" s="3" t="n">
        <v>16644</v>
      </c>
      <c r="O128" s="3" t="n">
        <v>18337</v>
      </c>
      <c r="P128" s="3" t="n">
        <v>2709</v>
      </c>
      <c r="Q128" s="3" t="n">
        <v>22768</v>
      </c>
      <c r="R128" s="3" t="n">
        <v>26773</v>
      </c>
      <c r="S128" s="3" t="n">
        <v>15848</v>
      </c>
      <c r="Z128" s="3" t="n">
        <v>1000</v>
      </c>
      <c r="AA128" s="3" t="n">
        <v>53</v>
      </c>
      <c r="AB128" s="3" t="n">
        <v>1500</v>
      </c>
      <c r="AC128" s="3" t="n">
        <v>2940</v>
      </c>
      <c r="AD128" s="3" t="n">
        <v>3688</v>
      </c>
      <c r="AE128" s="3" t="n">
        <v>10217</v>
      </c>
      <c r="AF128" s="3" t="n">
        <v>15934</v>
      </c>
      <c r="AG128" s="3" t="n">
        <v>22112</v>
      </c>
      <c r="AH128" s="3" t="n">
        <v>18485</v>
      </c>
      <c r="AI128" s="3" t="n">
        <v>29146</v>
      </c>
      <c r="AJ128" s="3" t="n">
        <v>39370</v>
      </c>
      <c r="AK128" s="3" t="n">
        <v>23200</v>
      </c>
      <c r="AL128" s="3" t="n">
        <v>39098</v>
      </c>
      <c r="AM128" s="3" t="n">
        <v>62360</v>
      </c>
      <c r="AN128" s="3" t="n">
        <v>60458</v>
      </c>
      <c r="AV128" s="39"/>
      <c r="AW128" s="39"/>
    </row>
    <row r="129" customFormat="false" ht="12.8" hidden="false" customHeight="false" outlineLevel="0" collapsed="false">
      <c r="A129" s="3" t="s">
        <v>243</v>
      </c>
      <c r="B129" s="3" t="n">
        <v>2156</v>
      </c>
      <c r="C129" s="3" t="n">
        <v>1979</v>
      </c>
      <c r="D129" s="3" t="n">
        <v>2175</v>
      </c>
      <c r="E129" s="3" t="n">
        <v>2376</v>
      </c>
      <c r="F129" s="3" t="n">
        <v>2524</v>
      </c>
      <c r="G129" s="3" t="n">
        <v>2623</v>
      </c>
      <c r="H129" s="3" t="n">
        <v>2858</v>
      </c>
      <c r="I129" s="3" t="n">
        <v>3172</v>
      </c>
      <c r="J129" s="3" t="n">
        <v>3374</v>
      </c>
      <c r="K129" s="3" t="n">
        <v>3637</v>
      </c>
      <c r="L129" s="3" t="n">
        <v>4027</v>
      </c>
      <c r="M129" s="3" t="n">
        <v>4460</v>
      </c>
      <c r="N129" s="3" t="n">
        <v>3900</v>
      </c>
      <c r="O129" s="3" t="n">
        <v>4342</v>
      </c>
      <c r="P129" s="3" t="n">
        <v>4963</v>
      </c>
      <c r="Q129" s="3" t="n">
        <v>5411</v>
      </c>
      <c r="R129" s="3" t="n">
        <v>5999</v>
      </c>
      <c r="S129" s="3" t="n">
        <v>6356</v>
      </c>
      <c r="Z129" s="3" t="n">
        <v>323</v>
      </c>
      <c r="AA129" s="3" t="n">
        <v>649</v>
      </c>
      <c r="AB129" s="3" t="n">
        <v>1011</v>
      </c>
      <c r="AC129" s="3" t="n">
        <v>1243</v>
      </c>
      <c r="AD129" s="3" t="n">
        <v>1945</v>
      </c>
      <c r="AE129" s="3" t="n">
        <v>2342</v>
      </c>
      <c r="AF129" s="3" t="n">
        <v>3025</v>
      </c>
      <c r="AG129" s="3" t="n">
        <v>4315</v>
      </c>
      <c r="AH129" s="3" t="n">
        <v>5741</v>
      </c>
      <c r="AI129" s="3" t="n">
        <v>6862</v>
      </c>
      <c r="AJ129" s="3" t="n">
        <v>7967</v>
      </c>
      <c r="AK129" s="3" t="n">
        <v>8686</v>
      </c>
      <c r="AL129" s="3" t="n">
        <v>11178</v>
      </c>
      <c r="AM129" s="3" t="n">
        <v>15498</v>
      </c>
      <c r="AN129" s="3" t="n">
        <v>18616</v>
      </c>
      <c r="AO129" s="88" t="n">
        <f aca="false">+AO30*0.09</f>
        <v>23151.2832</v>
      </c>
      <c r="AP129" s="88" t="n">
        <f aca="false">+AP30*0.1</f>
        <v>30868.3776</v>
      </c>
      <c r="AQ129" s="88" t="n">
        <f aca="false">+AQ30*0.1</f>
        <v>35498.63424</v>
      </c>
      <c r="AR129" s="88" t="n">
        <f aca="false">+AR30*0.1</f>
        <v>40468.4430336</v>
      </c>
      <c r="AS129" s="88" t="n">
        <f aca="false">+AS30*0.1</f>
        <v>45729.340627968</v>
      </c>
      <c r="AT129" s="88" t="n">
        <f aca="false">+AT30*0.1</f>
        <v>51216.8615033242</v>
      </c>
    </row>
    <row r="130" customFormat="false" ht="10.5" hidden="false" customHeight="true" outlineLevel="0" collapsed="false">
      <c r="A130" s="39"/>
      <c r="B130" s="39" t="n">
        <f aca="false">+B129/B$30</f>
        <v>0.0772538340260857</v>
      </c>
      <c r="C130" s="39" t="n">
        <f aca="false">+C129/C$30</f>
        <v>0.0686628270071473</v>
      </c>
      <c r="D130" s="39" t="n">
        <f aca="false">+D129/D$30</f>
        <v>0.078480190517428</v>
      </c>
      <c r="E130" s="39" t="n">
        <f aca="false">+E129/E$30</f>
        <v>0.073869112389243</v>
      </c>
      <c r="F130" s="39" t="n">
        <f aca="false">+F129/F$30</f>
        <v>0.0881131087449817</v>
      </c>
      <c r="G130" s="39" t="n">
        <f aca="false">+G129/G$30</f>
        <v>0.0819713116034876</v>
      </c>
      <c r="H130" s="39" t="n">
        <f aca="false">+H129/H$30</f>
        <v>0.0836994084226557</v>
      </c>
      <c r="I130" s="39" t="n">
        <f aca="false">+I129/I$30</f>
        <v>0.0790805514696717</v>
      </c>
      <c r="J130" s="39" t="n">
        <f aca="false">+J129/J$30</f>
        <v>0.0925524619393773</v>
      </c>
      <c r="K130" s="39" t="n">
        <f aca="false">+K129/K$30</f>
        <v>0.0930869442809245</v>
      </c>
      <c r="L130" s="39" t="n">
        <f aca="false">+L129/L$30</f>
        <v>0.099214072778339</v>
      </c>
      <c r="M130" s="39" t="n">
        <f aca="false">+M129/M$30</f>
        <v>0.0921773276841996</v>
      </c>
      <c r="N130" s="39" t="n">
        <f aca="false">+N129/N$30</f>
        <v>0.092168076759465</v>
      </c>
      <c r="O130" s="39" t="n">
        <f aca="false">+O129/O$30</f>
        <v>0.091379745769846</v>
      </c>
      <c r="P130" s="39" t="n">
        <f aca="false">+P129/P$30</f>
        <v>0.09685414308575</v>
      </c>
      <c r="Q130" s="39" t="n">
        <f aca="false">+Q129/Q$30</f>
        <v>0.0903444475982168</v>
      </c>
      <c r="R130" s="39" t="n">
        <f aca="false">+R129/R$30</f>
        <v>0.106533359379162</v>
      </c>
      <c r="S130" s="39" t="n">
        <f aca="false">+S129/S$30</f>
        <v>0.104537754313251</v>
      </c>
      <c r="T130" s="39"/>
      <c r="U130" s="39"/>
      <c r="V130" s="39"/>
      <c r="W130" s="39"/>
      <c r="X130" s="39"/>
      <c r="Y130" s="39"/>
      <c r="Z130" s="39" t="n">
        <f aca="false">+Z129/Z$30</f>
        <v>0.0870385340878469</v>
      </c>
      <c r="AA130" s="39" t="n">
        <f aca="false">+AA129/AA$30</f>
        <v>0.127529966594616</v>
      </c>
      <c r="AB130" s="39" t="n">
        <f aca="false">+AB129/AB$30</f>
        <v>0.12842987804878</v>
      </c>
      <c r="AC130" s="39" t="n">
        <f aca="false">+AC129/AC$30</f>
        <v>0.0997112145034494</v>
      </c>
      <c r="AD130" s="39" t="n">
        <f aca="false">+AD129/AD$30</f>
        <v>0.108489513609996</v>
      </c>
      <c r="AE130" s="39" t="n">
        <f aca="false">+AE129/AE$30</f>
        <v>0.0847384036471525</v>
      </c>
      <c r="AF130" s="39" t="n">
        <f aca="false">+AF129/AF$30</f>
        <v>0.0744102526258825</v>
      </c>
      <c r="AG130" s="39" t="n">
        <f aca="false">+AG129/AG$30</f>
        <v>0.0772771231061284</v>
      </c>
      <c r="AH130" s="39" t="n">
        <f aca="false">+AH129/AH$30</f>
        <v>0.0812057088702491</v>
      </c>
      <c r="AI130" s="39" t="n">
        <f aca="false">+AI129/AI$30</f>
        <v>0.079823183853894</v>
      </c>
      <c r="AJ130" s="39" t="n">
        <f aca="false">+AJ129/AJ$30</f>
        <v>0.0675575982158757</v>
      </c>
      <c r="AK130" s="39" t="n">
        <f aca="false">+AK129/AK$30</f>
        <v>0.0744882470478265</v>
      </c>
      <c r="AL130" s="39" t="n">
        <f aca="false">+AL129/AL$30</f>
        <v>0.0828601503313517</v>
      </c>
      <c r="AM130" s="39" t="n">
        <f aca="false">+AM129/AM$30</f>
        <v>0.0942121932389469</v>
      </c>
      <c r="AN130" s="39" t="n">
        <f aca="false">+AN129/AN$30</f>
        <v>0.0926325846163033</v>
      </c>
      <c r="AO130" s="39" t="n">
        <f aca="false">+AO129/AO$30</f>
        <v>0.09</v>
      </c>
      <c r="AP130" s="39" t="n">
        <f aca="false">+AP129/AP$30</f>
        <v>0.1</v>
      </c>
      <c r="AQ130" s="39" t="n">
        <f aca="false">+AQ129/AQ$30</f>
        <v>0.1</v>
      </c>
      <c r="AR130" s="39" t="n">
        <f aca="false">+AR129/AR$30</f>
        <v>0.1</v>
      </c>
      <c r="AS130" s="39" t="n">
        <f aca="false">+AS129/AS$30</f>
        <v>0.1</v>
      </c>
      <c r="AT130" s="39" t="n">
        <f aca="false">+AT129/AT$30</f>
        <v>0.1</v>
      </c>
      <c r="AU130" s="39"/>
      <c r="AX130" s="39"/>
      <c r="AY130" s="39"/>
      <c r="AZ130" s="39"/>
      <c r="BA130" s="39"/>
      <c r="BB130" s="39"/>
      <c r="BC130" s="39"/>
      <c r="BD130" s="39"/>
      <c r="BE130" s="39"/>
      <c r="BF130" s="39"/>
      <c r="BG130" s="39"/>
      <c r="BH130" s="39"/>
      <c r="BI130" s="39"/>
      <c r="BJ130" s="39"/>
      <c r="BK130" s="39"/>
      <c r="BL130" s="39"/>
      <c r="BM130" s="39"/>
      <c r="BN130" s="39"/>
      <c r="BO130" s="39"/>
      <c r="BP130" s="39"/>
      <c r="BQ130" s="39"/>
      <c r="BR130" s="39"/>
      <c r="BS130" s="39"/>
      <c r="BT130" s="39"/>
      <c r="BU130" s="39"/>
      <c r="BV130" s="39"/>
      <c r="BW130" s="39"/>
      <c r="BX130" s="39"/>
      <c r="BY130" s="39"/>
      <c r="BZ130" s="39"/>
      <c r="CA130" s="39"/>
      <c r="CB130" s="39"/>
      <c r="CC130" s="39"/>
      <c r="CD130" s="39"/>
      <c r="CE130" s="39"/>
      <c r="CF130" s="39"/>
      <c r="CG130" s="39"/>
      <c r="CH130" s="39"/>
      <c r="CI130" s="39"/>
      <c r="CJ130" s="39"/>
      <c r="CK130" s="39"/>
      <c r="CL130" s="39"/>
      <c r="CM130" s="39"/>
      <c r="CN130" s="39"/>
      <c r="CO130" s="39"/>
      <c r="CP130" s="39"/>
      <c r="CQ130" s="39"/>
      <c r="CR130" s="39"/>
      <c r="CS130" s="39"/>
      <c r="CT130" s="39"/>
      <c r="CU130" s="39"/>
      <c r="CV130" s="39"/>
      <c r="CW130" s="39"/>
      <c r="CX130" s="39"/>
      <c r="CY130" s="39"/>
      <c r="CZ130" s="39"/>
      <c r="DA130" s="39"/>
      <c r="DB130" s="39"/>
      <c r="DC130" s="39"/>
      <c r="DD130" s="39"/>
      <c r="DE130" s="39"/>
      <c r="DF130" s="39"/>
      <c r="DG130" s="39"/>
      <c r="DH130" s="39"/>
      <c r="DI130" s="39"/>
      <c r="DJ130" s="39"/>
      <c r="DK130" s="39"/>
      <c r="DL130" s="39"/>
      <c r="DM130" s="39"/>
      <c r="DN130" s="39"/>
      <c r="DO130" s="39"/>
      <c r="DP130" s="39"/>
      <c r="DQ130" s="39"/>
      <c r="DR130" s="39"/>
      <c r="DS130" s="39"/>
      <c r="DT130" s="39"/>
      <c r="DU130" s="39"/>
      <c r="DV130" s="39"/>
      <c r="DW130" s="39"/>
      <c r="DX130" s="39"/>
      <c r="DY130" s="39"/>
      <c r="DZ130" s="39"/>
      <c r="EA130" s="39"/>
      <c r="EB130" s="39"/>
      <c r="EC130" s="39"/>
      <c r="ED130" s="39"/>
      <c r="EE130" s="39"/>
      <c r="EF130" s="39"/>
      <c r="EG130" s="39"/>
      <c r="EH130" s="39"/>
      <c r="EI130" s="39"/>
      <c r="EJ130" s="39"/>
      <c r="EK130" s="39"/>
      <c r="EL130" s="39"/>
      <c r="EM130" s="39"/>
    </row>
    <row r="131" customFormat="false" ht="12.8" hidden="false" customHeight="false" outlineLevel="0" collapsed="false">
      <c r="A131" s="3" t="s">
        <v>244</v>
      </c>
      <c r="B131" s="3" t="n">
        <v>2498</v>
      </c>
      <c r="C131" s="3" t="n">
        <v>3351</v>
      </c>
      <c r="D131" s="3" t="n">
        <v>3134</v>
      </c>
      <c r="E131" s="3" t="n">
        <v>3008</v>
      </c>
      <c r="F131" s="3" t="n">
        <v>3051</v>
      </c>
      <c r="G131" s="3" t="n">
        <v>4060</v>
      </c>
      <c r="H131" s="3" t="n">
        <v>3492</v>
      </c>
      <c r="I131" s="3" t="n">
        <v>3424</v>
      </c>
      <c r="J131" s="3" t="n">
        <v>3562</v>
      </c>
      <c r="K131" s="3" t="n">
        <v>4616</v>
      </c>
      <c r="L131" s="3" t="n">
        <v>4250</v>
      </c>
      <c r="M131" s="3" t="n">
        <v>4262</v>
      </c>
      <c r="N131" s="3" t="n">
        <v>4147</v>
      </c>
      <c r="O131" s="3" t="n">
        <v>4834</v>
      </c>
      <c r="P131" s="3" t="n">
        <v>5555</v>
      </c>
      <c r="Q131" s="3" t="n">
        <v>5890</v>
      </c>
      <c r="R131" s="3" t="n">
        <v>6032</v>
      </c>
      <c r="S131" s="3" t="n">
        <v>7658</v>
      </c>
      <c r="Z131" s="3" t="n">
        <v>217</v>
      </c>
      <c r="AA131" s="3" t="n">
        <v>1572</v>
      </c>
      <c r="AB131" s="3" t="n">
        <v>906</v>
      </c>
      <c r="AC131" s="3" t="n">
        <v>1786</v>
      </c>
      <c r="AD131" s="3" t="n">
        <v>2960</v>
      </c>
      <c r="AE131" s="3" t="n">
        <v>3218</v>
      </c>
      <c r="AF131" s="3" t="n">
        <v>3723</v>
      </c>
      <c r="AG131" s="3" t="n">
        <v>4152</v>
      </c>
      <c r="AH131" s="3" t="n">
        <v>4836</v>
      </c>
      <c r="AI131" s="3" t="n">
        <v>6536</v>
      </c>
      <c r="AJ131" s="3" t="n">
        <v>9164</v>
      </c>
      <c r="AK131" s="3" t="n">
        <v>11992</v>
      </c>
      <c r="AL131" s="3" t="n">
        <v>14027</v>
      </c>
      <c r="AM131" s="3" t="n">
        <v>16690</v>
      </c>
      <c r="AN131" s="3" t="n">
        <v>20427</v>
      </c>
    </row>
    <row r="132" customFormat="false" ht="12.8" hidden="false" customHeight="false" outlineLevel="0" collapsed="false">
      <c r="A132" s="3" t="s">
        <v>245</v>
      </c>
      <c r="B132" s="3" t="n">
        <v>-563</v>
      </c>
      <c r="C132" s="3" t="n">
        <v>-453</v>
      </c>
      <c r="D132" s="3" t="n">
        <v>-1097</v>
      </c>
      <c r="E132" s="3" t="n">
        <v>-1173</v>
      </c>
      <c r="F132" s="3" t="n">
        <v>-620</v>
      </c>
      <c r="G132" s="3" t="n">
        <v>-1137</v>
      </c>
      <c r="H132" s="3" t="n">
        <v>3049</v>
      </c>
      <c r="I132" s="3" t="n">
        <v>-1161</v>
      </c>
      <c r="J132" s="3" t="n">
        <v>-456</v>
      </c>
      <c r="K132" s="3" t="n">
        <v>-1643</v>
      </c>
      <c r="L132" s="3" t="n">
        <v>-1308</v>
      </c>
      <c r="M132" s="3" t="n">
        <v>-1332</v>
      </c>
      <c r="N132" s="3" t="n">
        <v>-993</v>
      </c>
      <c r="O132" s="3" t="n">
        <v>-1170</v>
      </c>
      <c r="P132" s="3" t="n">
        <v>19868</v>
      </c>
      <c r="Q132" s="3" t="n">
        <v>1033</v>
      </c>
      <c r="R132" s="3" t="n">
        <v>123</v>
      </c>
      <c r="S132" s="3" t="n">
        <v>1445</v>
      </c>
      <c r="Z132" s="3" t="n">
        <v>-30</v>
      </c>
      <c r="AA132" s="3" t="n">
        <v>-186</v>
      </c>
      <c r="AB132" s="3" t="n">
        <v>-37</v>
      </c>
      <c r="AC132" s="3" t="n">
        <v>-210</v>
      </c>
      <c r="AD132" s="3" t="n">
        <v>-795</v>
      </c>
      <c r="AE132" s="3" t="n">
        <v>-457</v>
      </c>
      <c r="AF132" s="3" t="n">
        <v>-377</v>
      </c>
      <c r="AG132" s="3" t="n">
        <v>286</v>
      </c>
      <c r="AH132" s="3" t="n">
        <v>-37</v>
      </c>
      <c r="AI132" s="3" t="n">
        <v>-1192</v>
      </c>
      <c r="AJ132" s="3" t="n">
        <v>609</v>
      </c>
      <c r="AK132" s="3" t="n">
        <v>-3286</v>
      </c>
      <c r="AL132" s="3" t="n">
        <v>131</v>
      </c>
      <c r="AM132" s="3" t="n">
        <v>-4738</v>
      </c>
      <c r="AN132" s="3" t="n">
        <v>18738</v>
      </c>
    </row>
    <row r="133" customFormat="false" ht="12.8" hidden="false" customHeight="false" outlineLevel="0" collapsed="false">
      <c r="A133" s="3" t="s">
        <v>246</v>
      </c>
      <c r="B133" s="3" t="n">
        <v>0</v>
      </c>
      <c r="C133" s="3" t="n">
        <v>0</v>
      </c>
      <c r="D133" s="3" t="n">
        <v>0</v>
      </c>
      <c r="E133" s="3" t="n">
        <v>0</v>
      </c>
      <c r="F133" s="3" t="n">
        <v>0</v>
      </c>
      <c r="G133" s="3" t="n">
        <v>0</v>
      </c>
      <c r="H133" s="3" t="n">
        <v>0</v>
      </c>
      <c r="I133" s="3" t="n">
        <v>0</v>
      </c>
      <c r="J133" s="3" t="n">
        <v>0</v>
      </c>
      <c r="K133" s="3" t="n">
        <v>0</v>
      </c>
      <c r="L133" s="3" t="n">
        <v>0</v>
      </c>
      <c r="M133" s="3" t="n">
        <v>2</v>
      </c>
      <c r="N133" s="3" t="n">
        <v>0</v>
      </c>
      <c r="O133" s="3" t="n">
        <v>511</v>
      </c>
      <c r="P133" s="3" t="n">
        <v>-922</v>
      </c>
      <c r="Q133" s="3" t="n">
        <v>-496</v>
      </c>
      <c r="R133" s="3" t="n">
        <v>1075</v>
      </c>
      <c r="S133" s="3" t="n">
        <v>111</v>
      </c>
      <c r="Z133" s="3" t="n">
        <v>0</v>
      </c>
      <c r="AA133" s="3" t="n">
        <v>0</v>
      </c>
      <c r="AB133" s="3" t="n">
        <v>0</v>
      </c>
      <c r="AC133" s="3" t="n">
        <v>0</v>
      </c>
      <c r="AD133" s="3" t="n">
        <v>0</v>
      </c>
      <c r="AE133" s="3" t="n">
        <v>0</v>
      </c>
      <c r="AF133" s="3" t="n">
        <v>0</v>
      </c>
      <c r="AG133" s="3" t="n">
        <v>0</v>
      </c>
      <c r="AH133" s="3" t="n">
        <v>0</v>
      </c>
      <c r="AI133" s="3" t="n">
        <v>0</v>
      </c>
      <c r="AJ133" s="3" t="n">
        <v>0</v>
      </c>
      <c r="AK133" s="3" t="n">
        <v>0</v>
      </c>
      <c r="AL133" s="3" t="n">
        <v>102</v>
      </c>
      <c r="AM133" s="3" t="n">
        <v>-53</v>
      </c>
      <c r="AN133" s="3" t="n">
        <v>-1138</v>
      </c>
    </row>
    <row r="134" customFormat="false" ht="12.8" hidden="false" customHeight="false" outlineLevel="0" collapsed="false">
      <c r="A134" s="3" t="s">
        <v>247</v>
      </c>
      <c r="B134" s="3" t="n">
        <v>0</v>
      </c>
      <c r="C134" s="3" t="n">
        <v>0</v>
      </c>
      <c r="D134" s="3" t="n">
        <v>413</v>
      </c>
      <c r="E134" s="3" t="n">
        <v>1805</v>
      </c>
      <c r="F134" s="3" t="n">
        <v>770</v>
      </c>
      <c r="G134" s="3" t="n">
        <v>232</v>
      </c>
      <c r="H134" s="3" t="n">
        <v>340</v>
      </c>
      <c r="I134" s="3" t="n">
        <v>1091</v>
      </c>
      <c r="J134" s="3" t="n">
        <v>0</v>
      </c>
      <c r="K134" s="3" t="n">
        <v>0</v>
      </c>
      <c r="L134" s="3" t="n">
        <v>0</v>
      </c>
      <c r="M134" s="3" t="n">
        <v>94</v>
      </c>
      <c r="N134" s="3" t="n">
        <v>0</v>
      </c>
      <c r="O134" s="3" t="n">
        <v>0</v>
      </c>
      <c r="P134" s="3" t="n">
        <v>0</v>
      </c>
      <c r="Q134" s="3" t="n">
        <v>0</v>
      </c>
      <c r="R134" s="3" t="n">
        <v>0</v>
      </c>
      <c r="S134" s="3" t="n">
        <v>0</v>
      </c>
      <c r="Z134" s="3" t="n">
        <v>0</v>
      </c>
      <c r="AA134" s="3" t="n">
        <v>0</v>
      </c>
      <c r="AB134" s="3" t="n">
        <v>0</v>
      </c>
      <c r="AC134" s="3" t="n">
        <v>0</v>
      </c>
      <c r="AD134" s="3" t="n">
        <v>0</v>
      </c>
      <c r="AE134" s="3" t="n">
        <v>0</v>
      </c>
      <c r="AF134" s="3" t="n">
        <v>0</v>
      </c>
      <c r="AG134" s="3" t="n">
        <v>0</v>
      </c>
      <c r="AH134" s="3" t="n">
        <v>0</v>
      </c>
      <c r="AI134" s="3" t="n">
        <v>0</v>
      </c>
      <c r="AJ134" s="3" t="n">
        <v>0</v>
      </c>
      <c r="AK134" s="3" t="n">
        <v>2218</v>
      </c>
      <c r="AL134" s="3" t="n">
        <v>2432</v>
      </c>
      <c r="AM134" s="3" t="n">
        <v>383</v>
      </c>
      <c r="AN134" s="3" t="n">
        <v>0</v>
      </c>
    </row>
    <row r="135" s="55" customFormat="true" ht="12.8" hidden="false" customHeight="false" outlineLevel="0" collapsed="false">
      <c r="A135" s="3" t="s">
        <v>163</v>
      </c>
      <c r="B135" s="3" t="n">
        <v>-221</v>
      </c>
      <c r="C135" s="3" t="n">
        <v>189</v>
      </c>
      <c r="D135" s="3" t="n">
        <v>104</v>
      </c>
      <c r="E135" s="3" t="n">
        <f aca="false">+1341+572</f>
        <v>1913</v>
      </c>
      <c r="F135" s="3" t="n">
        <v>-7</v>
      </c>
      <c r="G135" s="3" t="n">
        <v>212</v>
      </c>
      <c r="H135" s="3" t="n">
        <v>75</v>
      </c>
      <c r="I135" s="3" t="n">
        <f aca="false">+7+124</f>
        <v>131</v>
      </c>
      <c r="J135" s="3" t="n">
        <v>174</v>
      </c>
      <c r="K135" s="3" t="n">
        <v>35</v>
      </c>
      <c r="L135" s="3" t="n">
        <v>-3</v>
      </c>
      <c r="M135" s="3" t="n">
        <v>167</v>
      </c>
      <c r="N135" s="3" t="n">
        <v>-231</v>
      </c>
      <c r="O135" s="3" t="n">
        <v>-336</v>
      </c>
      <c r="P135" s="3" t="n">
        <v>-23</v>
      </c>
      <c r="Q135" s="3" t="n">
        <v>-56</v>
      </c>
      <c r="R135" s="3" t="n">
        <v>-17</v>
      </c>
      <c r="S135" s="3" t="n">
        <v>-56</v>
      </c>
      <c r="T135" s="3"/>
      <c r="U135" s="3"/>
      <c r="V135" s="3"/>
      <c r="W135" s="3"/>
      <c r="X135" s="3"/>
      <c r="Y135" s="3"/>
      <c r="Z135" s="3" t="n">
        <f aca="false">+4+433-433</f>
        <v>4</v>
      </c>
      <c r="AA135" s="3" t="n">
        <f aca="false">-1033+1033+8+15</f>
        <v>23</v>
      </c>
      <c r="AB135" s="3" t="n">
        <f aca="false">-609+602+56+117</f>
        <v>166</v>
      </c>
      <c r="AC135" s="3" t="n">
        <f aca="false">+7-1869+1853-31</f>
        <v>-40</v>
      </c>
      <c r="AD135" s="3" t="n">
        <f aca="false">+17-1721+1721</f>
        <v>17</v>
      </c>
      <c r="AE135" s="3" t="n">
        <v>30</v>
      </c>
      <c r="AF135" s="3" t="n">
        <v>24</v>
      </c>
      <c r="AG135" s="3" t="n">
        <v>-64</v>
      </c>
      <c r="AH135" s="3" t="n">
        <v>39</v>
      </c>
      <c r="AI135" s="3" t="n">
        <f aca="false">+33+85</f>
        <v>118</v>
      </c>
      <c r="AJ135" s="3" t="n">
        <f aca="false">-232+105</f>
        <v>-127</v>
      </c>
      <c r="AK135" s="3" t="n">
        <f aca="false">+178+463+1341</f>
        <v>1982</v>
      </c>
      <c r="AL135" s="3" t="n">
        <v>309</v>
      </c>
      <c r="AM135" s="3" t="n">
        <v>140</v>
      </c>
      <c r="AN135" s="3" t="n">
        <v>-416</v>
      </c>
      <c r="AO135" s="3"/>
      <c r="AP135" s="3"/>
      <c r="AQ135" s="3"/>
      <c r="AR135" s="1"/>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2"/>
      <c r="EO135" s="32"/>
      <c r="EP135" s="32"/>
      <c r="EQ135" s="32"/>
      <c r="ER135" s="32"/>
    </row>
    <row r="136" customFormat="false" ht="12.8" hidden="false" customHeight="false" outlineLevel="0" collapsed="false">
      <c r="A136" s="3" t="s">
        <v>224</v>
      </c>
      <c r="B136" s="3" t="n">
        <v>2557</v>
      </c>
      <c r="C136" s="3" t="n">
        <v>-522</v>
      </c>
      <c r="D136" s="3" t="n">
        <v>-105</v>
      </c>
      <c r="E136" s="3" t="n">
        <v>-1698</v>
      </c>
      <c r="F136" s="3" t="n">
        <v>2546</v>
      </c>
      <c r="G136" s="3" t="n">
        <v>-1424</v>
      </c>
      <c r="H136" s="3" t="n">
        <v>-678</v>
      </c>
      <c r="I136" s="3" t="n">
        <v>-2843</v>
      </c>
      <c r="J136" s="3" t="n">
        <v>2520</v>
      </c>
      <c r="K136" s="3" t="n">
        <v>-1171</v>
      </c>
      <c r="L136" s="3" t="n">
        <v>143</v>
      </c>
      <c r="M136" s="3" t="n">
        <v>-2978</v>
      </c>
      <c r="N136" s="3" t="n">
        <v>2804</v>
      </c>
      <c r="O136" s="3" t="n">
        <v>-1338</v>
      </c>
      <c r="P136" s="3" t="n">
        <v>-807</v>
      </c>
      <c r="Q136" s="3" t="n">
        <v>-2475</v>
      </c>
      <c r="R136" s="3" t="n">
        <v>2128</v>
      </c>
      <c r="S136" s="3" t="n">
        <v>-4401</v>
      </c>
      <c r="Z136" s="3" t="n">
        <v>-174</v>
      </c>
      <c r="AA136" s="3" t="n">
        <v>-170</v>
      </c>
      <c r="AB136" s="3" t="n">
        <v>-378</v>
      </c>
      <c r="AC136" s="3" t="n">
        <v>-610</v>
      </c>
      <c r="AD136" s="3" t="n">
        <v>-973</v>
      </c>
      <c r="AE136" s="3" t="n">
        <v>-1489</v>
      </c>
      <c r="AF136" s="3" t="n">
        <v>-1609</v>
      </c>
      <c r="AG136" s="3" t="n">
        <v>-1892</v>
      </c>
      <c r="AH136" s="3" t="n">
        <v>-1961</v>
      </c>
      <c r="AI136" s="3" t="n">
        <v>-1512</v>
      </c>
      <c r="AJ136" s="3" t="n">
        <v>-3110</v>
      </c>
      <c r="AK136" s="3" t="n">
        <v>231</v>
      </c>
      <c r="AL136" s="3" t="n">
        <v>-2399</v>
      </c>
      <c r="AM136" s="3" t="n">
        <v>-1485</v>
      </c>
      <c r="AN136" s="3" t="n">
        <v>-1815</v>
      </c>
    </row>
    <row r="137" customFormat="false" ht="12.8" hidden="false" customHeight="false" outlineLevel="0" collapsed="false">
      <c r="A137" s="3" t="s">
        <v>225</v>
      </c>
      <c r="B137" s="3" t="n">
        <v>573</v>
      </c>
      <c r="C137" s="3" t="n">
        <v>-435</v>
      </c>
      <c r="D137" s="3" t="n">
        <v>-830</v>
      </c>
      <c r="E137" s="3" t="n">
        <v>854</v>
      </c>
      <c r="F137" s="3" t="n">
        <v>821</v>
      </c>
      <c r="G137" s="3" t="n">
        <v>-54</v>
      </c>
      <c r="H137" s="3" t="n">
        <v>-907</v>
      </c>
      <c r="I137" s="3" t="n">
        <v>700</v>
      </c>
      <c r="J137" s="3" t="n">
        <v>100</v>
      </c>
      <c r="K137" s="3" t="n">
        <v>-84</v>
      </c>
      <c r="L137" s="3" t="n">
        <v>-184</v>
      </c>
      <c r="M137" s="3" t="n">
        <v>-530</v>
      </c>
      <c r="N137" s="3" t="n">
        <v>360</v>
      </c>
      <c r="O137" s="3" t="n">
        <v>326</v>
      </c>
      <c r="P137" s="3" t="n">
        <v>-1033</v>
      </c>
      <c r="Q137" s="3" t="n">
        <v>259</v>
      </c>
      <c r="R137" s="3" t="n">
        <v>-2424</v>
      </c>
      <c r="S137" s="3" t="n">
        <v>-807</v>
      </c>
      <c r="Z137" s="3" t="n">
        <v>-24</v>
      </c>
      <c r="AA137" s="3" t="n">
        <v>-14</v>
      </c>
      <c r="AB137" s="3" t="n">
        <v>-45</v>
      </c>
      <c r="AC137" s="3" t="n">
        <v>-123</v>
      </c>
      <c r="AD137" s="3" t="n">
        <v>-144</v>
      </c>
      <c r="AE137" s="3" t="n">
        <v>-159</v>
      </c>
      <c r="AF137" s="3" t="n">
        <v>-192</v>
      </c>
      <c r="AG137" s="3" t="n">
        <v>-690</v>
      </c>
      <c r="AH137" s="3" t="n">
        <v>47</v>
      </c>
      <c r="AI137" s="3" t="n">
        <v>135</v>
      </c>
      <c r="AJ137" s="3" t="n">
        <v>-1750</v>
      </c>
      <c r="AK137" s="3" t="n">
        <v>162</v>
      </c>
      <c r="AL137" s="3" t="n">
        <v>559</v>
      </c>
      <c r="AM137" s="3" t="n">
        <v>-698</v>
      </c>
      <c r="AN137" s="3" t="n">
        <v>-89</v>
      </c>
    </row>
    <row r="138" customFormat="false" ht="12.8" hidden="false" customHeight="false" outlineLevel="0" collapsed="false">
      <c r="A138" s="3" t="s">
        <v>248</v>
      </c>
      <c r="B138" s="3" t="n">
        <v>-108</v>
      </c>
      <c r="C138" s="3" t="n">
        <v>-25</v>
      </c>
      <c r="D138" s="3" t="n">
        <v>-27</v>
      </c>
      <c r="E138" s="3" t="n">
        <v>54</v>
      </c>
      <c r="F138" s="3" t="n">
        <v>30</v>
      </c>
      <c r="G138" s="3" t="n">
        <v>37</v>
      </c>
      <c r="H138" s="3" t="n">
        <v>-36</v>
      </c>
      <c r="I138" s="3" t="n">
        <v>-111</v>
      </c>
      <c r="J138" s="3" t="n">
        <v>-94</v>
      </c>
      <c r="K138" s="3" t="n">
        <v>54</v>
      </c>
      <c r="L138" s="3" t="n">
        <v>-29</v>
      </c>
      <c r="M138" s="3" t="n">
        <v>-200</v>
      </c>
      <c r="N138" s="3" t="n">
        <v>-52</v>
      </c>
      <c r="O138" s="3" t="n">
        <v>-190</v>
      </c>
      <c r="P138" s="3" t="n">
        <v>33</v>
      </c>
      <c r="Q138" s="3" t="n">
        <v>-272</v>
      </c>
      <c r="R138" s="3" t="n">
        <v>-1082</v>
      </c>
      <c r="S138" s="3" t="n">
        <v>-1454</v>
      </c>
      <c r="Z138" s="3" t="n">
        <v>-5</v>
      </c>
      <c r="AA138" s="3" t="n">
        <v>2</v>
      </c>
      <c r="AB138" s="3" t="n">
        <v>-142</v>
      </c>
      <c r="AC138" s="3" t="n">
        <v>-216</v>
      </c>
      <c r="AD138" s="3" t="n">
        <v>-3</v>
      </c>
      <c r="AE138" s="3" t="n">
        <v>14</v>
      </c>
      <c r="AF138" s="3" t="n">
        <v>154</v>
      </c>
      <c r="AG138" s="3" t="n">
        <v>-159</v>
      </c>
      <c r="AH138" s="3" t="n">
        <v>41</v>
      </c>
      <c r="AI138" s="3" t="n">
        <v>-34</v>
      </c>
      <c r="AJ138" s="3" t="n">
        <v>-349</v>
      </c>
      <c r="AK138" s="3" t="n">
        <v>-106</v>
      </c>
      <c r="AL138" s="3" t="n">
        <v>-80</v>
      </c>
      <c r="AM138" s="3" t="n">
        <v>-270</v>
      </c>
      <c r="AN138" s="3" t="n">
        <v>-481</v>
      </c>
    </row>
    <row r="139" customFormat="false" ht="12.8" hidden="false" customHeight="false" outlineLevel="0" collapsed="false">
      <c r="A139" s="3" t="s">
        <v>231</v>
      </c>
      <c r="B139" s="3" t="n">
        <v>-882</v>
      </c>
      <c r="C139" s="3" t="n">
        <v>237</v>
      </c>
      <c r="D139" s="3" t="n">
        <v>-22</v>
      </c>
      <c r="E139" s="3" t="n">
        <v>876</v>
      </c>
      <c r="F139" s="3" t="n">
        <v>-1104</v>
      </c>
      <c r="G139" s="3" t="n">
        <v>-51</v>
      </c>
      <c r="H139" s="3" t="n">
        <v>611</v>
      </c>
      <c r="I139" s="3" t="n">
        <v>595</v>
      </c>
      <c r="J139" s="3" t="n">
        <v>-1112</v>
      </c>
      <c r="K139" s="3" t="n">
        <v>250</v>
      </c>
      <c r="L139" s="3" t="n">
        <v>667</v>
      </c>
      <c r="M139" s="3" t="n">
        <v>568</v>
      </c>
      <c r="N139" s="3" t="n">
        <v>-1034</v>
      </c>
      <c r="O139" s="3" t="n">
        <v>460</v>
      </c>
      <c r="P139" s="3" t="n">
        <v>-63</v>
      </c>
      <c r="Q139" s="3" t="n">
        <v>623</v>
      </c>
      <c r="R139" s="3" t="n">
        <v>-937</v>
      </c>
      <c r="S139" s="3" t="n">
        <v>584</v>
      </c>
      <c r="Z139" s="3" t="n">
        <v>6</v>
      </c>
      <c r="AA139" s="3" t="n">
        <v>1</v>
      </c>
      <c r="AB139" s="3" t="n">
        <v>26</v>
      </c>
      <c r="AC139" s="3" t="n">
        <v>31</v>
      </c>
      <c r="AD139" s="3" t="n">
        <v>18</v>
      </c>
      <c r="AE139" s="3" t="n">
        <v>14</v>
      </c>
      <c r="AF139" s="3" t="n">
        <v>43</v>
      </c>
      <c r="AG139" s="3" t="n">
        <v>221</v>
      </c>
      <c r="AH139" s="3" t="n">
        <v>113</v>
      </c>
      <c r="AI139" s="3" t="n">
        <v>-17</v>
      </c>
      <c r="AJ139" s="3" t="n">
        <v>1436</v>
      </c>
      <c r="AK139" s="3" t="n">
        <v>210</v>
      </c>
      <c r="AL139" s="3" t="n">
        <v>51</v>
      </c>
      <c r="AM139" s="3" t="n">
        <v>373</v>
      </c>
      <c r="AN139" s="3" t="n">
        <v>-14</v>
      </c>
    </row>
    <row r="140" s="89" customFormat="true" ht="12.8" hidden="false" customHeight="false" outlineLevel="0" collapsed="false">
      <c r="A140" s="3" t="s">
        <v>233</v>
      </c>
      <c r="B140" s="3" t="n">
        <v>763</v>
      </c>
      <c r="C140" s="3" t="n">
        <v>1180</v>
      </c>
      <c r="D140" s="3" t="n">
        <f aca="false">+20+998</f>
        <v>1018</v>
      </c>
      <c r="E140" s="3" t="n">
        <f aca="false">+1303+102</f>
        <v>1405</v>
      </c>
      <c r="F140" s="3" t="n">
        <v>94</v>
      </c>
      <c r="G140" s="3" t="n">
        <v>5174</v>
      </c>
      <c r="H140" s="3" t="n">
        <v>87</v>
      </c>
      <c r="I140" s="3" t="n">
        <v>-274</v>
      </c>
      <c r="J140" s="3" t="n">
        <v>-1274</v>
      </c>
      <c r="K140" s="3" t="n">
        <v>-497</v>
      </c>
      <c r="L140" s="3" t="n">
        <v>572</v>
      </c>
      <c r="M140" s="3" t="n">
        <v>1523</v>
      </c>
      <c r="N140" s="3" t="n">
        <v>-2231</v>
      </c>
      <c r="O140" s="3" t="n">
        <v>-1107</v>
      </c>
      <c r="P140" s="3" t="n">
        <v>455</v>
      </c>
      <c r="Q140" s="3" t="n">
        <v>3960</v>
      </c>
      <c r="R140" s="3" t="n">
        <v>-271</v>
      </c>
      <c r="S140" s="3" t="n">
        <v>5933</v>
      </c>
      <c r="T140" s="3"/>
      <c r="U140" s="3"/>
      <c r="V140" s="3"/>
      <c r="W140" s="3"/>
      <c r="X140" s="3"/>
      <c r="Y140" s="3"/>
      <c r="Z140" s="3" t="n">
        <v>37</v>
      </c>
      <c r="AA140" s="3" t="n">
        <v>152</v>
      </c>
      <c r="AB140" s="3" t="n">
        <v>-38</v>
      </c>
      <c r="AC140" s="3" t="n">
        <v>328</v>
      </c>
      <c r="AD140" s="3" t="n">
        <v>513</v>
      </c>
      <c r="AE140" s="3" t="n">
        <v>1014</v>
      </c>
      <c r="AF140" s="3" t="n">
        <v>309</v>
      </c>
      <c r="AG140" s="3" t="n">
        <v>1417</v>
      </c>
      <c r="AH140" s="3" t="n">
        <v>7300</v>
      </c>
      <c r="AI140" s="3" t="n">
        <v>-946</v>
      </c>
      <c r="AJ140" s="3" t="n">
        <v>3544</v>
      </c>
      <c r="AK140" s="3" t="n">
        <v>4210</v>
      </c>
      <c r="AL140" s="3" t="n">
        <v>5081</v>
      </c>
      <c r="AM140" s="3" t="n">
        <v>323</v>
      </c>
      <c r="AN140" s="3" t="n">
        <v>1077</v>
      </c>
      <c r="AO140" s="3"/>
      <c r="AP140" s="3"/>
      <c r="AQ140" s="3"/>
      <c r="AR140" s="1"/>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2"/>
      <c r="EO140" s="32"/>
      <c r="EP140" s="32"/>
      <c r="EQ140" s="32"/>
      <c r="ER140" s="32"/>
    </row>
    <row r="141" s="39" customFormat="true" ht="12.8" hidden="false" customHeight="false" outlineLevel="0" collapsed="false">
      <c r="A141" s="3" t="s">
        <v>249</v>
      </c>
      <c r="B141" s="3" t="n">
        <f aca="false">-52-5-105</f>
        <v>-162</v>
      </c>
      <c r="C141" s="3" t="n">
        <f aca="false">+73+24-88</f>
        <v>9</v>
      </c>
      <c r="D141" s="3" t="n">
        <f aca="false">-7+540</f>
        <v>533</v>
      </c>
      <c r="E141" s="3" t="n">
        <v>439</v>
      </c>
      <c r="F141" s="3" t="n">
        <v>184</v>
      </c>
      <c r="G141" s="3" t="n">
        <v>-151</v>
      </c>
      <c r="H141" s="3" t="n">
        <v>-72</v>
      </c>
      <c r="I141" s="3" t="n">
        <v>663</v>
      </c>
      <c r="J141" s="3" t="n">
        <v>83</v>
      </c>
      <c r="K141" s="3" t="n">
        <v>708</v>
      </c>
      <c r="L141" s="3" t="n">
        <v>901</v>
      </c>
      <c r="M141" s="3" t="n">
        <v>1114</v>
      </c>
      <c r="N141" s="3" t="n">
        <v>712</v>
      </c>
      <c r="O141" s="3" t="n">
        <v>892</v>
      </c>
      <c r="P141" s="3" t="n">
        <v>-736</v>
      </c>
      <c r="Q141" s="3" t="n">
        <v>-431</v>
      </c>
      <c r="R141" s="3" t="n">
        <v>-5173</v>
      </c>
      <c r="S141" s="3" t="n">
        <v>645</v>
      </c>
      <c r="T141" s="3"/>
      <c r="U141" s="3"/>
      <c r="V141" s="3"/>
      <c r="W141" s="3"/>
      <c r="X141" s="3"/>
      <c r="Y141" s="3"/>
      <c r="Z141" s="3" t="n">
        <f aca="false">+49+50+96</f>
        <v>195</v>
      </c>
      <c r="AA141" s="3" t="n">
        <f aca="false">+43-60-2-451</f>
        <v>-470</v>
      </c>
      <c r="AB141" s="3" t="n">
        <f aca="false">+8+833+400+12</f>
        <v>1253</v>
      </c>
      <c r="AC141" s="3" t="n">
        <f aca="false">+346+10-28</f>
        <v>328</v>
      </c>
      <c r="AD141" s="3" t="n">
        <f aca="false">+1365-9+17</f>
        <v>1373</v>
      </c>
      <c r="AE141" s="3" t="n">
        <f aca="false">+1262+35+67</f>
        <v>1364</v>
      </c>
      <c r="AF141" s="3" t="n">
        <f aca="false">+4+3083+95</f>
        <v>3182</v>
      </c>
      <c r="AG141" s="3" t="n">
        <f aca="false">+53-634+157</f>
        <v>-424</v>
      </c>
      <c r="AH141" s="3" t="n">
        <f aca="false">+348+123+1239</f>
        <v>1710</v>
      </c>
      <c r="AI141" s="3" t="n">
        <f aca="false">-527+178</f>
        <v>-349</v>
      </c>
      <c r="AJ141" s="3" t="n">
        <f aca="false">-12+941</f>
        <v>929</v>
      </c>
      <c r="AK141" s="3" t="n">
        <f aca="false">+90+886</f>
        <v>976</v>
      </c>
      <c r="AL141" s="3" t="n">
        <v>624</v>
      </c>
      <c r="AM141" s="3" t="n">
        <v>2805</v>
      </c>
      <c r="AN141" s="3" t="n">
        <v>437</v>
      </c>
      <c r="AO141" s="3"/>
      <c r="AP141" s="3"/>
      <c r="AQ141" s="3"/>
      <c r="AR141" s="1"/>
      <c r="AS141" s="3"/>
      <c r="AT141" s="3"/>
      <c r="AU141" s="3"/>
      <c r="AV141" s="55"/>
      <c r="AW141" s="55"/>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2"/>
      <c r="EO141" s="32"/>
      <c r="EP141" s="32"/>
      <c r="EQ141" s="32"/>
      <c r="ER141" s="32"/>
    </row>
    <row r="142" s="59" customFormat="true" ht="12.8" hidden="false" customHeight="false" outlineLevel="0" collapsed="false">
      <c r="A142" s="3" t="s">
        <v>250</v>
      </c>
      <c r="B142" s="3" t="n">
        <f aca="false">SUM(B128:B141)</f>
        <v>14076.077253834</v>
      </c>
      <c r="C142" s="3" t="n">
        <f aca="false">SUM(C128:C141)</f>
        <v>12197.068662827</v>
      </c>
      <c r="D142" s="3" t="n">
        <f aca="false">SUM(D128:D141)</f>
        <v>9691.07848019052</v>
      </c>
      <c r="E142" s="3" t="n">
        <f aca="false">SUM(E128:E141)</f>
        <v>14511.0738691124</v>
      </c>
      <c r="F142" s="3" t="n">
        <f aca="false">SUM(F128:F141)</f>
        <v>13998.0881131087</v>
      </c>
      <c r="G142" s="3" t="n">
        <f aca="false">SUM(G128:G141)</f>
        <v>17309.0819713116</v>
      </c>
      <c r="H142" s="3" t="n">
        <f aca="false">SUM(H128:H141)</f>
        <v>20402.0836994084</v>
      </c>
      <c r="I142" s="3" t="n">
        <f aca="false">SUM(I128:I141)</f>
        <v>19404.0790805515</v>
      </c>
      <c r="J142" s="3" t="n">
        <f aca="false">SUM(J128:J141)</f>
        <v>19246.0925524619</v>
      </c>
      <c r="K142" s="3" t="n">
        <f aca="false">SUM(K128:K141)</f>
        <v>19370.0930869443</v>
      </c>
      <c r="L142" s="3" t="n">
        <f aca="false">SUM(L128:L141)</f>
        <v>24724.0992140728</v>
      </c>
      <c r="M142" s="3" t="n">
        <f aca="false">SUM(M128:M141)</f>
        <v>27988.0921773277</v>
      </c>
      <c r="N142" s="3" t="n">
        <f aca="false">SUM(N128:N141)</f>
        <v>24026.0921680768</v>
      </c>
      <c r="O142" s="3" t="n">
        <f aca="false">SUM(O128:O141)</f>
        <v>25561.0913797458</v>
      </c>
      <c r="P142" s="3" t="n">
        <f aca="false">SUM(P128:P141)</f>
        <v>29999.0968541431</v>
      </c>
      <c r="Q142" s="3" t="n">
        <f aca="false">SUM(Q128:Q141)</f>
        <v>36214.0903444476</v>
      </c>
      <c r="R142" s="3" t="n">
        <f aca="false">SUM(R128:R141)</f>
        <v>32226.1065333594</v>
      </c>
      <c r="S142" s="3" t="n">
        <f aca="false">SUM(S128:S141)</f>
        <v>31862.1045377543</v>
      </c>
      <c r="T142" s="3" t="n">
        <f aca="false">SUM(T128:T141)</f>
        <v>0</v>
      </c>
      <c r="U142" s="3"/>
      <c r="V142" s="3"/>
      <c r="W142" s="3"/>
      <c r="X142" s="3"/>
      <c r="Y142" s="3"/>
      <c r="Z142" s="3" t="n">
        <f aca="false">SUM(Z128:Z141)</f>
        <v>1549.08703853409</v>
      </c>
      <c r="AA142" s="3" t="n">
        <f aca="false">SUM(AA128:AA141)</f>
        <v>1612.12752996659</v>
      </c>
      <c r="AB142" s="3" t="n">
        <f aca="false">SUM(AB128:AB141)</f>
        <v>4222.12842987805</v>
      </c>
      <c r="AC142" s="3" t="n">
        <f aca="false">SUM(AC128:AC141)</f>
        <v>5457.0997112145</v>
      </c>
      <c r="AD142" s="3" t="n">
        <f aca="false">SUM(AD128:AD141)</f>
        <v>8599.10848951361</v>
      </c>
      <c r="AE142" s="3" t="n">
        <f aca="false">SUM(AE128:AE141)</f>
        <v>16108.0847384036</v>
      </c>
      <c r="AF142" s="3" t="n">
        <f aca="false">SUM(AF128:AF141)</f>
        <v>24216.0744102526</v>
      </c>
      <c r="AG142" s="3" t="n">
        <f aca="false">SUM(AG128:AG141)</f>
        <v>29274.0772771231</v>
      </c>
      <c r="AH142" s="3" t="n">
        <f aca="false">SUM(AH128:AH141)</f>
        <v>36314.0812057089</v>
      </c>
      <c r="AI142" s="3" t="n">
        <f aca="false">SUM(AI128:AI141)</f>
        <v>38747.0798231839</v>
      </c>
      <c r="AJ142" s="3" t="n">
        <f aca="false">SUM(AJ128:AJ141)</f>
        <v>57683.0675575982</v>
      </c>
      <c r="AK142" s="3" t="n">
        <f aca="false">SUM(AK128:AK141)</f>
        <v>50475.074488247</v>
      </c>
      <c r="AL142" s="3" t="n">
        <f aca="false">SUM(AL128:AL141)</f>
        <v>71113.0828601503</v>
      </c>
      <c r="AM142" s="3" t="n">
        <f aca="false">SUM(AM128:AM141)</f>
        <v>91328.0942121933</v>
      </c>
      <c r="AN142" s="3" t="n">
        <f aca="false">SUM(AN128:AN141)</f>
        <v>115800.092632585</v>
      </c>
      <c r="AO142" s="3"/>
      <c r="AP142" s="3"/>
      <c r="AQ142" s="3"/>
      <c r="AR142" s="1"/>
      <c r="AS142" s="55"/>
      <c r="AT142" s="55"/>
      <c r="AU142" s="3"/>
      <c r="AV142" s="89"/>
      <c r="AW142" s="89"/>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2"/>
      <c r="EO142" s="32"/>
      <c r="EP142" s="32"/>
      <c r="EQ142" s="32"/>
      <c r="ER142" s="32"/>
    </row>
    <row r="143" customFormat="false" ht="12.8" hidden="false" customHeight="false" outlineLevel="0" collapsed="false">
      <c r="AV143" s="39"/>
      <c r="AW143" s="39"/>
    </row>
    <row r="144" s="89" customFormat="true" ht="12.8" hidden="false" customHeight="false" outlineLevel="0" collapsed="false">
      <c r="A144" s="3" t="s">
        <v>251</v>
      </c>
      <c r="B144" s="3" t="n">
        <v>5441</v>
      </c>
      <c r="C144" s="3" t="n">
        <v>7572</v>
      </c>
      <c r="D144" s="3" t="n">
        <v>9375</v>
      </c>
      <c r="E144" s="3" t="n">
        <v>9043</v>
      </c>
      <c r="F144" s="3" t="n">
        <v>6823</v>
      </c>
      <c r="G144" s="3" t="n">
        <v>6134</v>
      </c>
      <c r="H144" s="3" t="n">
        <v>6496</v>
      </c>
      <c r="I144" s="3" t="n">
        <v>7592</v>
      </c>
      <c r="J144" s="3" t="n">
        <v>6400</v>
      </c>
      <c r="K144" s="3" t="n">
        <v>8173</v>
      </c>
      <c r="L144" s="3" t="n">
        <v>8258</v>
      </c>
      <c r="M144" s="3" t="n">
        <v>14425</v>
      </c>
      <c r="N144" s="3" t="n">
        <v>12941</v>
      </c>
      <c r="O144" s="3" t="n">
        <v>16538</v>
      </c>
      <c r="P144" s="3" t="n">
        <v>18829</v>
      </c>
      <c r="Q144" s="3" t="n">
        <v>21383</v>
      </c>
      <c r="R144" s="3" t="n">
        <v>18997</v>
      </c>
      <c r="S144" s="3" t="n">
        <v>30116</v>
      </c>
      <c r="T144" s="3"/>
      <c r="U144" s="3"/>
      <c r="V144" s="3"/>
      <c r="W144" s="3"/>
      <c r="X144" s="3"/>
      <c r="Y144" s="3"/>
      <c r="Z144" s="3" t="n">
        <v>606</v>
      </c>
      <c r="AA144" s="3" t="n">
        <v>1235</v>
      </c>
      <c r="AB144" s="3" t="n">
        <v>1362</v>
      </c>
      <c r="AC144" s="3" t="n">
        <v>1831</v>
      </c>
      <c r="AD144" s="3" t="n">
        <v>2523</v>
      </c>
      <c r="AE144" s="3" t="n">
        <v>4491</v>
      </c>
      <c r="AF144" s="3" t="n">
        <v>6733</v>
      </c>
      <c r="AG144" s="3" t="n">
        <v>13915</v>
      </c>
      <c r="AH144" s="3" t="n">
        <v>15102</v>
      </c>
      <c r="AI144" s="3" t="n">
        <v>15163</v>
      </c>
      <c r="AJ144" s="3" t="n">
        <v>18690</v>
      </c>
      <c r="AK144" s="3" t="n">
        <v>31431</v>
      </c>
      <c r="AL144" s="3" t="n">
        <v>27045</v>
      </c>
      <c r="AM144" s="3" t="n">
        <v>37256</v>
      </c>
      <c r="AN144" s="3" t="n">
        <v>69691</v>
      </c>
      <c r="AO144" s="88" t="n">
        <v>167000</v>
      </c>
      <c r="AP144" s="88" t="n">
        <f aca="false">+AP30*0.3</f>
        <v>92605.1328</v>
      </c>
      <c r="AQ144" s="88" t="n">
        <f aca="false">+AQ30*0.2</f>
        <v>70997.26848</v>
      </c>
      <c r="AR144" s="88" t="n">
        <f aca="false">+AR30*0.2</f>
        <v>80936.8860672</v>
      </c>
      <c r="AS144" s="88" t="n">
        <f aca="false">+AS30*0.15</f>
        <v>68594.010941952</v>
      </c>
      <c r="AT144" s="88" t="n">
        <f aca="false">+AT30*0.15</f>
        <v>76825.2922549863</v>
      </c>
      <c r="AU144" s="55"/>
      <c r="AV144" s="3"/>
      <c r="AW144" s="3"/>
      <c r="AX144" s="55"/>
      <c r="AY144" s="55"/>
      <c r="AZ144" s="55"/>
      <c r="BA144" s="55"/>
      <c r="BB144" s="55"/>
      <c r="BC144" s="55"/>
      <c r="BD144" s="55"/>
      <c r="BE144" s="55"/>
      <c r="BF144" s="55"/>
      <c r="BG144" s="55"/>
      <c r="BH144" s="55"/>
      <c r="BI144" s="55"/>
      <c r="BJ144" s="55"/>
      <c r="BK144" s="55"/>
      <c r="BL144" s="55"/>
      <c r="BM144" s="55"/>
      <c r="BN144" s="55"/>
      <c r="BO144" s="55"/>
      <c r="BP144" s="55"/>
      <c r="BQ144" s="55"/>
      <c r="BR144" s="55"/>
      <c r="BS144" s="55"/>
      <c r="BT144" s="55"/>
      <c r="BU144" s="55"/>
      <c r="BV144" s="55"/>
      <c r="BW144" s="55"/>
      <c r="BX144" s="55"/>
      <c r="BY144" s="55"/>
      <c r="BZ144" s="55"/>
      <c r="CA144" s="55"/>
      <c r="CB144" s="55"/>
      <c r="CC144" s="55"/>
      <c r="CD144" s="55"/>
      <c r="CE144" s="55"/>
      <c r="CF144" s="55"/>
      <c r="CG144" s="55"/>
      <c r="CH144" s="55"/>
      <c r="CI144" s="55"/>
      <c r="CJ144" s="55"/>
      <c r="CK144" s="55"/>
      <c r="CL144" s="55"/>
      <c r="CM144" s="55"/>
      <c r="CN144" s="55"/>
      <c r="CO144" s="55"/>
      <c r="CP144" s="55"/>
      <c r="CQ144" s="55"/>
      <c r="CR144" s="55"/>
      <c r="CS144" s="55"/>
      <c r="CT144" s="55"/>
      <c r="CU144" s="55"/>
      <c r="CV144" s="55"/>
      <c r="CW144" s="55"/>
      <c r="CX144" s="55"/>
      <c r="CY144" s="55"/>
      <c r="CZ144" s="55"/>
      <c r="DA144" s="55"/>
      <c r="DB144" s="55"/>
      <c r="DC144" s="55"/>
      <c r="DD144" s="55"/>
      <c r="DE144" s="55"/>
      <c r="DF144" s="55"/>
      <c r="DG144" s="55"/>
      <c r="DH144" s="55"/>
      <c r="DI144" s="55"/>
      <c r="DJ144" s="55"/>
      <c r="DK144" s="55"/>
      <c r="DL144" s="55"/>
      <c r="DM144" s="55"/>
      <c r="DN144" s="55"/>
      <c r="DO144" s="55"/>
      <c r="DP144" s="55"/>
      <c r="DQ144" s="55"/>
      <c r="DR144" s="55"/>
      <c r="DS144" s="55"/>
      <c r="DT144" s="55"/>
      <c r="DU144" s="55"/>
      <c r="DV144" s="55"/>
      <c r="DW144" s="55"/>
      <c r="DX144" s="55"/>
      <c r="DY144" s="55"/>
      <c r="DZ144" s="55"/>
      <c r="EA144" s="55"/>
      <c r="EB144" s="55"/>
      <c r="EC144" s="55"/>
      <c r="ED144" s="55"/>
      <c r="EE144" s="55"/>
      <c r="EF144" s="55"/>
      <c r="EG144" s="55"/>
      <c r="EH144" s="55"/>
      <c r="EI144" s="55"/>
      <c r="EJ144" s="55"/>
      <c r="EK144" s="55"/>
      <c r="EL144" s="55"/>
      <c r="EM144" s="55"/>
      <c r="EN144" s="32"/>
      <c r="EO144" s="32"/>
      <c r="EP144" s="32"/>
      <c r="EQ144" s="32"/>
      <c r="ER144" s="32"/>
    </row>
    <row r="145" s="39" customFormat="true" ht="10.5" hidden="false" customHeight="true" outlineLevel="0" collapsed="false">
      <c r="B145" s="39" t="n">
        <f aca="false">+B144/B$30</f>
        <v>0.194962018059338</v>
      </c>
      <c r="C145" s="39" t="n">
        <f aca="false">+C144/C$30</f>
        <v>0.262715980847963</v>
      </c>
      <c r="D145" s="39" t="n">
        <f aca="false">+D144/D$30</f>
        <v>0.338276683264776</v>
      </c>
      <c r="E145" s="39" t="n">
        <f aca="false">+E144/E$30</f>
        <v>0.281144100730608</v>
      </c>
      <c r="F145" s="39" t="n">
        <f aca="false">+F144/F$30</f>
        <v>0.238191656484552</v>
      </c>
      <c r="G145" s="39" t="n">
        <f aca="false">+G144/G$30</f>
        <v>0.191693490421576</v>
      </c>
      <c r="H145" s="39" t="n">
        <f aca="false">+H144/H$30</f>
        <v>0.190241902419024</v>
      </c>
      <c r="I145" s="39" t="n">
        <f aca="false">+I144/I$30</f>
        <v>0.189274762533968</v>
      </c>
      <c r="J145" s="39" t="n">
        <f aca="false">+J144/J$30</f>
        <v>0.175558908243039</v>
      </c>
      <c r="K145" s="39" t="n">
        <f aca="false">+K144/K$30</f>
        <v>0.209183281717898</v>
      </c>
      <c r="L145" s="39" t="n">
        <f aca="false">+L144/L$30</f>
        <v>0.203454137820592</v>
      </c>
      <c r="M145" s="39" t="n">
        <f aca="false">+M144/M$30</f>
        <v>0.298129585615377</v>
      </c>
      <c r="N145" s="39" t="n">
        <f aca="false">+N144/N$30</f>
        <v>0.305832584960061</v>
      </c>
      <c r="O145" s="39" t="n">
        <f aca="false">+O144/O$30</f>
        <v>0.348051182759492</v>
      </c>
      <c r="P145" s="39" t="n">
        <f aca="false">+P144/P$30</f>
        <v>0.367452480387182</v>
      </c>
      <c r="Q145" s="39" t="n">
        <f aca="false">+Q144/Q$30</f>
        <v>0.357020019033944</v>
      </c>
      <c r="R145" s="39" t="n">
        <f aca="false">+R144/R$30</f>
        <v>0.337358597787288</v>
      </c>
      <c r="S145" s="39" t="n">
        <f aca="false">+S144/S$30</f>
        <v>0.495320800644726</v>
      </c>
      <c r="AA145" s="39" t="n">
        <f aca="false">+AA144/AA$30</f>
        <v>0.242680290823344</v>
      </c>
      <c r="AB145" s="39" t="n">
        <f aca="false">+AB144/AB$30</f>
        <v>0.173018292682927</v>
      </c>
      <c r="AC145" s="39" t="n">
        <f aca="false">+AC144/AC$30</f>
        <v>0.146879512273384</v>
      </c>
      <c r="AD145" s="39" t="n">
        <f aca="false">+AD144/AD$30</f>
        <v>0.140729585006693</v>
      </c>
      <c r="AE145" s="39" t="n">
        <f aca="false">+AE144/AE$30</f>
        <v>0.162493668138071</v>
      </c>
      <c r="AF145" s="39" t="n">
        <f aca="false">+AF144/AF$30</f>
        <v>0.165621233365311</v>
      </c>
      <c r="AG145" s="39" t="n">
        <f aca="false">+AG144/AG$30</f>
        <v>0.249203051685232</v>
      </c>
      <c r="AH145" s="39" t="n">
        <f aca="false">+AH144/AH$30</f>
        <v>0.213615853572287</v>
      </c>
      <c r="AI145" s="39" t="n">
        <f aca="false">+AI144/AI$30</f>
        <v>0.1763857383819</v>
      </c>
      <c r="AJ145" s="39" t="n">
        <f aca="false">+AJ144/AJ$30</f>
        <v>0.158485190241586</v>
      </c>
      <c r="AK145" s="39" t="n">
        <f aca="false">+AK144/AK$30</f>
        <v>0.269541802090748</v>
      </c>
      <c r="AL145" s="39" t="n">
        <f aca="false">+AL144/AL$30</f>
        <v>0.200478866139865</v>
      </c>
      <c r="AM145" s="39" t="n">
        <f aca="false">+AM144/AM$30</f>
        <v>0.22647886638987</v>
      </c>
      <c r="AN145" s="39" t="n">
        <f aca="false">+AN144/AN$30</f>
        <v>0.346780052347163</v>
      </c>
      <c r="AO145" s="39" t="n">
        <f aca="false">+AO144/AO$30</f>
        <v>0.649208074997761</v>
      </c>
      <c r="AP145" s="39" t="n">
        <f aca="false">+AP144/AP$30</f>
        <v>0.3</v>
      </c>
      <c r="AQ145" s="39" t="n">
        <f aca="false">+AQ144/AQ$30</f>
        <v>0.2</v>
      </c>
      <c r="AR145" s="39" t="n">
        <f aca="false">+AR144/AR$30</f>
        <v>0.2</v>
      </c>
      <c r="AS145" s="39" t="n">
        <f aca="false">+AS144/AS$30</f>
        <v>0.15</v>
      </c>
      <c r="AT145" s="39" t="n">
        <f aca="false">+AT144/AT$30</f>
        <v>0.15</v>
      </c>
      <c r="AV145" s="3"/>
      <c r="AW145" s="3"/>
      <c r="EN145" s="32"/>
      <c r="EO145" s="32"/>
      <c r="EP145" s="32"/>
      <c r="EQ145" s="32"/>
      <c r="ER145" s="32"/>
    </row>
    <row r="146" s="43" customFormat="true" ht="12.8" hidden="false" customHeight="false" outlineLevel="0" collapsed="false">
      <c r="A146" s="3"/>
      <c r="B146" s="3"/>
      <c r="C146" s="65"/>
      <c r="D146" s="65"/>
      <c r="E146" s="65"/>
      <c r="F146" s="65"/>
      <c r="G146" s="65"/>
      <c r="H146" s="65"/>
      <c r="I146" s="65"/>
      <c r="J146" s="65"/>
      <c r="K146" s="65"/>
      <c r="L146" s="65"/>
      <c r="M146" s="65"/>
      <c r="N146" s="65"/>
      <c r="O146" s="65"/>
      <c r="P146" s="65"/>
      <c r="Q146" s="65"/>
      <c r="R146" s="3"/>
      <c r="S146" s="3"/>
      <c r="T146" s="3"/>
      <c r="U146" s="3"/>
      <c r="V146" s="3"/>
      <c r="W146" s="3"/>
      <c r="X146" s="3"/>
      <c r="Y146" s="3"/>
      <c r="Z146" s="3"/>
      <c r="AA146" s="3"/>
      <c r="AB146" s="3"/>
      <c r="AC146" s="3"/>
      <c r="AD146" s="3"/>
      <c r="AE146" s="3"/>
      <c r="AF146" s="3"/>
      <c r="AG146" s="3"/>
      <c r="AH146" s="3"/>
      <c r="AI146" s="3"/>
      <c r="AJ146" s="65"/>
      <c r="AK146" s="65"/>
      <c r="AL146" s="65"/>
      <c r="AM146" s="65"/>
      <c r="AN146" s="65"/>
      <c r="AO146" s="3"/>
      <c r="AP146" s="3"/>
      <c r="AQ146" s="3"/>
      <c r="AR146" s="1"/>
      <c r="AS146" s="3"/>
      <c r="AT146" s="3"/>
      <c r="AU146" s="3"/>
      <c r="AV146" s="89"/>
      <c r="AW146" s="89"/>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2"/>
      <c r="EO146" s="32"/>
      <c r="EP146" s="32"/>
      <c r="EQ146" s="32"/>
      <c r="ER146" s="32"/>
    </row>
    <row r="147" s="43" customFormat="true" ht="12.8" hidden="false" customHeight="false" outlineLevel="0" collapsed="false">
      <c r="A147" s="3" t="s">
        <v>252</v>
      </c>
      <c r="B147" s="3" t="n">
        <v>233</v>
      </c>
      <c r="C147" s="3" t="n">
        <v>219</v>
      </c>
      <c r="D147" s="3" t="n">
        <v>163</v>
      </c>
      <c r="E147" s="3" t="n">
        <v>235</v>
      </c>
      <c r="F147" s="3" t="n">
        <v>264</v>
      </c>
      <c r="G147" s="3" t="n">
        <v>220</v>
      </c>
      <c r="H147" s="3" t="n">
        <v>267</v>
      </c>
      <c r="I147" s="3" t="n">
        <v>307</v>
      </c>
      <c r="J147" s="3" t="n">
        <v>315</v>
      </c>
      <c r="K147" s="3" t="n">
        <v>299</v>
      </c>
      <c r="L147" s="3" t="n">
        <v>944</v>
      </c>
      <c r="M147" s="3" t="n">
        <v>411</v>
      </c>
      <c r="N147" s="3" t="n">
        <v>751</v>
      </c>
      <c r="O147" s="3" t="n">
        <v>474</v>
      </c>
      <c r="P147" s="3" t="n">
        <v>545</v>
      </c>
      <c r="Q147" s="3" t="n">
        <v>754</v>
      </c>
      <c r="R147" s="3" t="n">
        <v>843</v>
      </c>
      <c r="S147" s="3" t="n">
        <v>962</v>
      </c>
      <c r="T147" s="3"/>
      <c r="U147" s="3"/>
      <c r="V147" s="3"/>
      <c r="W147" s="3"/>
      <c r="X147" s="3"/>
      <c r="Y147" s="3"/>
      <c r="Z147" s="3" t="n">
        <v>0</v>
      </c>
      <c r="AA147" s="3" t="n">
        <v>0</v>
      </c>
      <c r="AB147" s="3" t="n">
        <v>0</v>
      </c>
      <c r="AC147" s="3" t="n">
        <v>0</v>
      </c>
      <c r="AD147" s="3" t="n">
        <v>0</v>
      </c>
      <c r="AE147" s="3" t="n">
        <v>0</v>
      </c>
      <c r="AF147" s="3" t="n">
        <v>0</v>
      </c>
      <c r="AG147" s="3" t="n">
        <v>0</v>
      </c>
      <c r="AH147" s="3" t="n">
        <v>552</v>
      </c>
      <c r="AI147" s="3" t="n">
        <f aca="false">+100+109+189+205</f>
        <v>603</v>
      </c>
      <c r="AJ147" s="3" t="n">
        <f aca="false">+172+231+123+151</f>
        <v>677</v>
      </c>
      <c r="AK147" s="3" t="n">
        <f aca="false">SUM(B147:E147)</f>
        <v>850</v>
      </c>
      <c r="AL147" s="3" t="n">
        <f aca="false">SUM(F147:I147)</f>
        <v>1058</v>
      </c>
      <c r="AM147" s="3" t="n">
        <f aca="false">SUM(J147:M147)</f>
        <v>1969</v>
      </c>
      <c r="AN147" s="3" t="n">
        <f aca="false">SUM(N147:Q147)</f>
        <v>2524</v>
      </c>
      <c r="AO147" s="3"/>
      <c r="AP147" s="3"/>
      <c r="AQ147" s="3"/>
      <c r="AR147" s="1"/>
      <c r="AS147" s="3"/>
      <c r="AT147" s="3"/>
      <c r="AU147" s="3"/>
      <c r="AV147" s="39"/>
      <c r="AW147" s="39"/>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2"/>
      <c r="EO147" s="32"/>
      <c r="EP147" s="32"/>
      <c r="EQ147" s="32"/>
      <c r="ER147" s="32"/>
    </row>
    <row r="148" customFormat="false" ht="12.8" hidden="false" customHeight="false" outlineLevel="0" collapsed="false">
      <c r="A148" s="55" t="s">
        <v>253</v>
      </c>
      <c r="B148" s="55" t="n">
        <f aca="false">B142-B144-B147</f>
        <v>8402.07725383403</v>
      </c>
      <c r="C148" s="55" t="n">
        <f aca="false">C142-C144-C147</f>
        <v>4406.06866282701</v>
      </c>
      <c r="D148" s="55" t="n">
        <f aca="false">D142-D144-D147</f>
        <v>153.078480190517</v>
      </c>
      <c r="E148" s="55" t="n">
        <f aca="false">E142-E144-E147</f>
        <v>5233.07386911239</v>
      </c>
      <c r="F148" s="55" t="n">
        <f aca="false">F142-F144-F147</f>
        <v>6911.08811310874</v>
      </c>
      <c r="G148" s="55" t="n">
        <f aca="false">G142-G144-G147</f>
        <v>10955.0819713116</v>
      </c>
      <c r="H148" s="55" t="n">
        <f aca="false">H142-H144-H147</f>
        <v>13639.0836994084</v>
      </c>
      <c r="I148" s="55" t="n">
        <f aca="false">I142-I144-I147</f>
        <v>11505.0790805515</v>
      </c>
      <c r="J148" s="55" t="n">
        <f aca="false">J142-J144-J147</f>
        <v>12531.0925524619</v>
      </c>
      <c r="K148" s="55" t="n">
        <f aca="false">K142-K144-K147</f>
        <v>10898.0930869443</v>
      </c>
      <c r="L148" s="55" t="n">
        <f aca="false">L142-L144-L147</f>
        <v>15522.0992140728</v>
      </c>
      <c r="M148" s="55" t="n">
        <f aca="false">M142-M144-M147</f>
        <v>13152.0921773277</v>
      </c>
      <c r="N148" s="55" t="n">
        <f aca="false">N142-N144-N147</f>
        <v>10334.0921680768</v>
      </c>
      <c r="O148" s="55" t="n">
        <f aca="false">O142-O144-O147</f>
        <v>8549.09137974577</v>
      </c>
      <c r="P148" s="55" t="n">
        <f aca="false">P142-P144-P147</f>
        <v>10625.0968541431</v>
      </c>
      <c r="Q148" s="55" t="n">
        <f aca="false">Q142-Q144-Q147</f>
        <v>14077.0903444476</v>
      </c>
      <c r="R148" s="55" t="n">
        <f aca="false">R142-R144-R147</f>
        <v>12386.1065333594</v>
      </c>
      <c r="S148" s="55" t="n">
        <f aca="false">S142-S144-S147</f>
        <v>784.104537754312</v>
      </c>
      <c r="T148" s="55" t="n">
        <f aca="false">T142-T144-T147</f>
        <v>0</v>
      </c>
      <c r="U148" s="55"/>
      <c r="V148" s="55"/>
      <c r="W148" s="55"/>
      <c r="X148" s="55"/>
      <c r="Y148" s="55"/>
      <c r="Z148" s="55" t="n">
        <f aca="false">Z142-Z144-Z147</f>
        <v>943.087038534088</v>
      </c>
      <c r="AA148" s="55" t="n">
        <f aca="false">AA142-AA144-AA147</f>
        <v>377.127529966595</v>
      </c>
      <c r="AB148" s="55" t="n">
        <f aca="false">AB142-AB144-AB147</f>
        <v>2860.12842987805</v>
      </c>
      <c r="AC148" s="55" t="n">
        <f aca="false">AC142-AC144-AC147</f>
        <v>3626.0997112145</v>
      </c>
      <c r="AD148" s="55" t="n">
        <f aca="false">AD142-AD144-AD147</f>
        <v>6076.10848951361</v>
      </c>
      <c r="AE148" s="55" t="n">
        <f aca="false">AE142-AE144-AE147</f>
        <v>11617.0847384036</v>
      </c>
      <c r="AF148" s="55" t="n">
        <f aca="false">AF142-AF144-AF147</f>
        <v>17483.0744102526</v>
      </c>
      <c r="AG148" s="55" t="n">
        <f aca="false">AG142-AG144-AG147</f>
        <v>15359.0772771231</v>
      </c>
      <c r="AH148" s="55" t="n">
        <f aca="false">AH142-AH144-AH147</f>
        <v>20660.0812057089</v>
      </c>
      <c r="AI148" s="55" t="n">
        <f aca="false">AI142-AI144-AI147</f>
        <v>22981.0798231839</v>
      </c>
      <c r="AJ148" s="55" t="n">
        <f aca="false">AJ142-AJ144-AJ147</f>
        <v>38316.0675575982</v>
      </c>
      <c r="AK148" s="55" t="n">
        <f aca="false">AK142-AK144-AK147</f>
        <v>18194.074488247</v>
      </c>
      <c r="AL148" s="55" t="n">
        <f aca="false">AL142-AL144-AL147</f>
        <v>43010.0828601503</v>
      </c>
      <c r="AM148" s="55" t="n">
        <f aca="false">AM142-AM144-AM147</f>
        <v>52103.0942121932</v>
      </c>
      <c r="AN148" s="55" t="n">
        <f aca="false">AN142-AN144-AN147</f>
        <v>43585.0926325846</v>
      </c>
      <c r="AO148" s="55"/>
      <c r="AP148" s="55"/>
      <c r="AQ148" s="55"/>
      <c r="AS148" s="65"/>
      <c r="AT148" s="65"/>
      <c r="AV148" s="43"/>
      <c r="AW148" s="43"/>
    </row>
    <row r="149" s="65" customFormat="true" ht="10.5" hidden="false" customHeight="true" outlineLevel="0" collapsed="false">
      <c r="A149" s="39" t="s">
        <v>254</v>
      </c>
      <c r="B149" s="39"/>
      <c r="C149" s="39"/>
      <c r="D149" s="39"/>
      <c r="E149" s="39"/>
      <c r="F149" s="39" t="n">
        <f aca="false">F148/B148-1</f>
        <v>-0.177454824049007</v>
      </c>
      <c r="G149" s="39" t="n">
        <f aca="false">G148/C148-1</f>
        <v>1.48636206324634</v>
      </c>
      <c r="H149" s="39" t="n">
        <f aca="false">H148/D148-1</f>
        <v>88.0986354348017</v>
      </c>
      <c r="I149" s="39" t="n">
        <f aca="false">I148/E148-1</f>
        <v>1.19853175558229</v>
      </c>
      <c r="J149" s="39" t="n">
        <f aca="false">J148/F148-1</f>
        <v>0.813186628122038</v>
      </c>
      <c r="K149" s="39" t="n">
        <f aca="false">K148/G148-1</f>
        <v>-0.0052020500181158</v>
      </c>
      <c r="L149" s="39" t="n">
        <f aca="false">L148/H148-1</f>
        <v>0.138060265349499</v>
      </c>
      <c r="M149" s="39" t="n">
        <f aca="false">M148/I148-1</f>
        <v>0.143155304300374</v>
      </c>
      <c r="N149" s="39" t="n">
        <f aca="false">N148/J148-1</f>
        <v>-0.175323929273313</v>
      </c>
      <c r="O149" s="39" t="n">
        <f aca="false">O148/K148-1</f>
        <v>-0.215542452102247</v>
      </c>
      <c r="P149" s="39" t="n">
        <f aca="false">P148/L148-1</f>
        <v>-0.315485830388839</v>
      </c>
      <c r="Q149" s="39" t="n">
        <f aca="false">Q148/M148-1</f>
        <v>0.0703308762323365</v>
      </c>
      <c r="R149" s="39" t="n">
        <f aca="false">R148/N148-1</f>
        <v>0.198567453425811</v>
      </c>
      <c r="S149" s="39" t="n">
        <f aca="false">S148/O148-1</f>
        <v>-0.908282119944116</v>
      </c>
      <c r="T149" s="39"/>
      <c r="U149" s="39"/>
      <c r="V149" s="39"/>
      <c r="W149" s="39"/>
      <c r="X149" s="39"/>
      <c r="Y149" s="39"/>
      <c r="Z149" s="39"/>
      <c r="AA149" s="39" t="n">
        <f aca="false">AA148/Z148-1</f>
        <v>-0.600113759857422</v>
      </c>
      <c r="AB149" s="39" t="n">
        <f aca="false">AB148/AA148-1</f>
        <v>6.58398208195353</v>
      </c>
      <c r="AC149" s="39" t="n">
        <f aca="false">AC148/AB148-1</f>
        <v>0.267810100181101</v>
      </c>
      <c r="AD149" s="39" t="n">
        <f aca="false">AD148/AC148-1</f>
        <v>0.675659516676257</v>
      </c>
      <c r="AE149" s="39" t="n">
        <f aca="false">AE148/AD148-1</f>
        <v>0.911928458560751</v>
      </c>
      <c r="AF149" s="39" t="n">
        <f aca="false">AF148/AE148-1</f>
        <v>0.504945070466538</v>
      </c>
      <c r="AG149" s="39" t="n">
        <f aca="false">AG148/AF148-1</f>
        <v>-0.121488765836513</v>
      </c>
      <c r="AH149" s="39" t="n">
        <f aca="false">AH148/AG148-1</f>
        <v>0.345138176788879</v>
      </c>
      <c r="AI149" s="39" t="n">
        <f aca="false">AI148/AH148-1</f>
        <v>0.112342182703214</v>
      </c>
      <c r="AJ149" s="39" t="n">
        <f aca="false">AJ148/AI148-1</f>
        <v>0.667287518793789</v>
      </c>
      <c r="AK149" s="39" t="n">
        <f aca="false">AK148/AJ148-1</f>
        <v>-0.525158095597963</v>
      </c>
      <c r="AL149" s="39" t="n">
        <f aca="false">AL148/AK148-1</f>
        <v>1.36396101862361</v>
      </c>
      <c r="AM149" s="39" t="n">
        <f aca="false">AM148/AL148-1</f>
        <v>0.211415806419377</v>
      </c>
      <c r="AN149" s="39" t="n">
        <f aca="false">AN148/AM148-1</f>
        <v>-0.16348360319866</v>
      </c>
      <c r="AO149" s="39"/>
      <c r="AP149" s="39"/>
      <c r="AQ149" s="39"/>
      <c r="AR149" s="39"/>
      <c r="AS149" s="39"/>
      <c r="AT149" s="39"/>
      <c r="AU149" s="39"/>
      <c r="AV149" s="43"/>
      <c r="AW149" s="43"/>
      <c r="AX149" s="39"/>
      <c r="AY149" s="39"/>
      <c r="AZ149" s="39"/>
      <c r="BA149" s="39"/>
      <c r="BB149" s="39"/>
      <c r="BC149" s="39"/>
      <c r="BD149" s="39"/>
      <c r="BE149" s="39"/>
      <c r="BF149" s="39"/>
      <c r="BG149" s="39"/>
      <c r="BH149" s="39"/>
      <c r="BI149" s="39"/>
      <c r="BJ149" s="39"/>
      <c r="BK149" s="39"/>
      <c r="BL149" s="39"/>
      <c r="BM149" s="39"/>
      <c r="BN149" s="39"/>
      <c r="BO149" s="39"/>
      <c r="BP149" s="39"/>
      <c r="BQ149" s="39"/>
      <c r="BR149" s="39"/>
      <c r="BS149" s="39"/>
      <c r="BT149" s="39"/>
      <c r="BU149" s="39"/>
      <c r="BV149" s="39"/>
      <c r="BW149" s="39"/>
      <c r="BX149" s="39"/>
      <c r="BY149" s="39"/>
      <c r="BZ149" s="39"/>
      <c r="CA149" s="39"/>
      <c r="CB149" s="39"/>
      <c r="CC149" s="39"/>
      <c r="CD149" s="39"/>
      <c r="CE149" s="39"/>
      <c r="CF149" s="39"/>
      <c r="CG149" s="39"/>
      <c r="CH149" s="39"/>
      <c r="CI149" s="39"/>
      <c r="CJ149" s="39"/>
      <c r="CK149" s="39"/>
      <c r="CL149" s="39"/>
      <c r="CM149" s="39"/>
      <c r="CN149" s="39"/>
      <c r="CO149" s="39"/>
      <c r="CP149" s="39"/>
      <c r="CQ149" s="39"/>
      <c r="CR149" s="39"/>
      <c r="CS149" s="39"/>
      <c r="CT149" s="39"/>
      <c r="CU149" s="39"/>
      <c r="CV149" s="39"/>
      <c r="CW149" s="39"/>
      <c r="CX149" s="39"/>
      <c r="CY149" s="39"/>
      <c r="CZ149" s="39"/>
      <c r="DA149" s="39"/>
      <c r="DB149" s="39"/>
      <c r="DC149" s="39"/>
      <c r="DD149" s="39"/>
      <c r="DE149" s="39"/>
      <c r="DF149" s="39"/>
      <c r="DG149" s="39"/>
      <c r="DH149" s="39"/>
      <c r="DI149" s="39"/>
      <c r="DJ149" s="39"/>
      <c r="DK149" s="39"/>
      <c r="DL149" s="39"/>
      <c r="DM149" s="39"/>
      <c r="DN149" s="39"/>
      <c r="DO149" s="39"/>
      <c r="DP149" s="39"/>
      <c r="DQ149" s="39"/>
      <c r="DR149" s="39"/>
      <c r="DS149" s="39"/>
      <c r="DT149" s="39"/>
      <c r="DU149" s="39"/>
      <c r="DV149" s="39"/>
      <c r="DW149" s="39"/>
      <c r="DX149" s="39"/>
      <c r="DY149" s="39"/>
      <c r="DZ149" s="39"/>
      <c r="EA149" s="39"/>
      <c r="EB149" s="39"/>
      <c r="EC149" s="39"/>
      <c r="ED149" s="39"/>
      <c r="EE149" s="39"/>
      <c r="EF149" s="39"/>
      <c r="EG149" s="39"/>
      <c r="EH149" s="39"/>
      <c r="EI149" s="39"/>
      <c r="EJ149" s="39"/>
      <c r="EK149" s="39"/>
      <c r="EL149" s="39"/>
      <c r="EM149" s="39"/>
      <c r="EN149" s="32"/>
      <c r="EO149" s="32"/>
      <c r="EP149" s="32"/>
      <c r="EQ149" s="32"/>
      <c r="ER149" s="32"/>
    </row>
    <row r="150" customFormat="false" ht="12.8" hidden="false" customHeight="true" outlineLevel="0" collapsed="false">
      <c r="A150" s="90"/>
      <c r="B150" s="90"/>
      <c r="C150" s="90"/>
      <c r="D150" s="90"/>
      <c r="E150" s="90"/>
      <c r="F150" s="90"/>
      <c r="G150" s="90"/>
      <c r="H150" s="90"/>
      <c r="I150" s="90"/>
      <c r="J150" s="90"/>
      <c r="K150" s="90"/>
      <c r="L150" s="90"/>
      <c r="M150" s="90"/>
      <c r="N150" s="90"/>
      <c r="O150" s="90"/>
      <c r="P150" s="90"/>
      <c r="Q150" s="90"/>
      <c r="R150" s="90"/>
      <c r="S150" s="90"/>
      <c r="T150" s="90"/>
      <c r="U150" s="90"/>
      <c r="V150" s="90"/>
      <c r="W150" s="90"/>
      <c r="X150" s="90"/>
      <c r="Y150" s="90"/>
      <c r="Z150" s="90"/>
      <c r="AA150" s="90"/>
      <c r="AB150" s="90"/>
      <c r="AC150" s="90"/>
      <c r="AD150" s="90"/>
      <c r="AE150" s="90"/>
      <c r="AF150" s="90"/>
      <c r="AG150" s="90"/>
      <c r="AH150" s="90"/>
      <c r="AI150" s="90"/>
      <c r="AJ150" s="90"/>
      <c r="AK150" s="90"/>
      <c r="AL150" s="90"/>
      <c r="AM150" s="90"/>
      <c r="AN150" s="90"/>
      <c r="AO150" s="90"/>
      <c r="AP150" s="90"/>
      <c r="AQ150" s="90"/>
      <c r="AR150" s="91"/>
      <c r="AS150" s="92"/>
      <c r="AT150" s="92"/>
      <c r="AU150" s="87"/>
      <c r="AV150" s="65"/>
      <c r="AW150" s="65"/>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87"/>
      <c r="EJ150" s="87"/>
      <c r="EK150" s="87"/>
      <c r="EL150" s="87"/>
      <c r="EM150" s="87"/>
    </row>
    <row r="151" s="1" customFormat="true" ht="12.8" hidden="false" customHeight="true" outlineLevel="0" collapsed="false">
      <c r="A151" s="61" t="s">
        <v>255</v>
      </c>
      <c r="B151" s="61" t="n">
        <f aca="false">+B144/B52</f>
        <v>0.72886805090422</v>
      </c>
      <c r="C151" s="61" t="n">
        <f aca="false">+C144/C52</f>
        <v>1.13234634365186</v>
      </c>
      <c r="D151" s="61" t="n">
        <f aca="false">+D144/D52</f>
        <v>2.13310580204778</v>
      </c>
      <c r="E151" s="61" t="n">
        <f aca="false">+E144/E52</f>
        <v>1.9438950988822</v>
      </c>
      <c r="F151" s="61" t="n">
        <f aca="false">+F144/F52</f>
        <v>1.19513049570853</v>
      </c>
      <c r="G151" s="61" t="n">
        <f aca="false">+G144/G52</f>
        <v>0.787621982537237</v>
      </c>
      <c r="H151" s="61" t="n">
        <f aca="false">+H144/H52</f>
        <v>0.560821894155228</v>
      </c>
      <c r="I151" s="61" t="n">
        <f aca="false">+I144/I52</f>
        <v>0.541628023114789</v>
      </c>
      <c r="J151" s="61" t="n">
        <f aca="false">+J144/J52</f>
        <v>0.517422588729889</v>
      </c>
      <c r="K151" s="61" t="n">
        <f aca="false">+K144/K52</f>
        <v>0.606981062012625</v>
      </c>
      <c r="L151" s="61" t="n">
        <f aca="false">+L144/L52</f>
        <v>0.526389597144314</v>
      </c>
      <c r="M151" s="61" t="n">
        <f aca="false">+M144/M52</f>
        <v>0.692244937134082</v>
      </c>
      <c r="N151" s="61" t="n">
        <f aca="false">+N144/N52</f>
        <v>0.777517423696227</v>
      </c>
      <c r="O151" s="61" t="n">
        <f aca="false">+O144/O52</f>
        <v>0.885331905781585</v>
      </c>
      <c r="P151" s="61" t="n">
        <f aca="false">+P144/P52</f>
        <v>1.06468758835171</v>
      </c>
      <c r="Q151" s="61" t="n">
        <f aca="false">+Q144/Q52</f>
        <v>0.939169009135629</v>
      </c>
      <c r="R151" s="61" t="n">
        <f aca="false">+R144/R52</f>
        <v>0.682142985385472</v>
      </c>
      <c r="S151" s="61" t="n">
        <f aca="false">+S144/S52</f>
        <v>1.90030287733468</v>
      </c>
      <c r="T151" s="61" t="n">
        <f aca="false">+T144/T52</f>
        <v>0</v>
      </c>
      <c r="U151" s="61"/>
      <c r="V151" s="61"/>
      <c r="W151" s="61"/>
      <c r="X151" s="61"/>
      <c r="Y151" s="61"/>
      <c r="Z151" s="61" t="n">
        <f aca="false">+Z144/Z52</f>
        <v>0.606</v>
      </c>
      <c r="AA151" s="61" t="n">
        <f aca="false">+AA144/AA52</f>
        <v>23.3018867924528</v>
      </c>
      <c r="AB151" s="61" t="n">
        <f aca="false">+AB144/AB52</f>
        <v>0.908</v>
      </c>
      <c r="AC151" s="61" t="n">
        <f aca="false">+AC144/AC52</f>
        <v>0.622789115646259</v>
      </c>
      <c r="AD151" s="61" t="n">
        <f aca="false">+AD144/AD52</f>
        <v>0.684110629067245</v>
      </c>
      <c r="AE151" s="61" t="n">
        <f aca="false">+AE144/AE52</f>
        <v>0.439561515121856</v>
      </c>
      <c r="AF151" s="61" t="n">
        <f aca="false">+AF144/AF52</f>
        <v>0.422555541609138</v>
      </c>
      <c r="AG151" s="61" t="n">
        <f aca="false">+AG144/AG52</f>
        <v>0.629296309696093</v>
      </c>
      <c r="AH151" s="61" t="n">
        <f aca="false">+AH144/AH52</f>
        <v>0.816986746010279</v>
      </c>
      <c r="AI151" s="61" t="n">
        <f aca="false">+AI144/AI52</f>
        <v>0.520242914979757</v>
      </c>
      <c r="AJ151" s="61" t="n">
        <f aca="false">+AJ144/AJ52</f>
        <v>0.474726949453899</v>
      </c>
      <c r="AK151" s="61" t="n">
        <f aca="false">+AK144/AK52</f>
        <v>1.35478448275862</v>
      </c>
      <c r="AL151" s="61" t="n">
        <f aca="false">+AL144/AL52</f>
        <v>0.691723361808788</v>
      </c>
      <c r="AM151" s="61" t="n">
        <f aca="false">+AM144/AM52</f>
        <v>0.597434252726107</v>
      </c>
      <c r="AN151" s="61" t="n">
        <f aca="false">+AN144/AN52</f>
        <v>1.1527175890701</v>
      </c>
      <c r="AO151" s="61" t="n">
        <f aca="false">+AO144/AO52</f>
        <v>1.9488453763975</v>
      </c>
      <c r="AP151" s="61" t="n">
        <f aca="false">+AP144/AP52</f>
        <v>0.807497432401048</v>
      </c>
      <c r="AQ151" s="61" t="n">
        <f aca="false">+AQ144/AQ52</f>
        <v>0.519424645677233</v>
      </c>
      <c r="AR151" s="61" t="n">
        <f aca="false">+AR144/AR52</f>
        <v>0.51338038781706</v>
      </c>
      <c r="AS151" s="61" t="n">
        <f aca="false">+AS144/AS52</f>
        <v>0.372677134067564</v>
      </c>
      <c r="AT151" s="61" t="n">
        <f aca="false">+AT144/AT52</f>
        <v>0.339799950073535</v>
      </c>
      <c r="AU151" s="43"/>
      <c r="AV151" s="59"/>
      <c r="AW151" s="59"/>
      <c r="AX151" s="43"/>
      <c r="AY151" s="43"/>
      <c r="AZ151" s="43"/>
      <c r="BA151" s="43"/>
      <c r="BB151" s="43"/>
      <c r="BC151" s="43"/>
      <c r="BD151" s="43"/>
      <c r="BE151" s="43"/>
      <c r="BF151" s="43"/>
      <c r="BG151" s="43"/>
      <c r="BH151" s="43"/>
      <c r="BI151" s="43"/>
      <c r="BJ151" s="43"/>
      <c r="BK151" s="43"/>
      <c r="BL151" s="43"/>
      <c r="BM151" s="43"/>
      <c r="BN151" s="43"/>
      <c r="BO151" s="43"/>
      <c r="BP151" s="43"/>
      <c r="BQ151" s="43"/>
      <c r="BR151" s="43"/>
      <c r="BS151" s="43"/>
      <c r="BT151" s="43"/>
      <c r="BU151" s="43"/>
      <c r="BV151" s="43"/>
      <c r="BW151" s="43"/>
      <c r="BX151" s="43"/>
      <c r="BY151" s="43"/>
      <c r="BZ151" s="43"/>
      <c r="CA151" s="43"/>
      <c r="CB151" s="43"/>
      <c r="CC151" s="43"/>
      <c r="CD151" s="43"/>
      <c r="CE151" s="43"/>
      <c r="CF151" s="43"/>
      <c r="CG151" s="43"/>
      <c r="CH151" s="43"/>
      <c r="CI151" s="43"/>
      <c r="CJ151" s="43"/>
      <c r="CK151" s="43"/>
      <c r="CL151" s="43"/>
      <c r="CM151" s="43"/>
      <c r="CN151" s="43"/>
      <c r="CO151" s="43"/>
      <c r="CP151" s="43"/>
      <c r="CQ151" s="43"/>
      <c r="CR151" s="43"/>
      <c r="CS151" s="43"/>
      <c r="CT151" s="43"/>
      <c r="CU151" s="43"/>
      <c r="CV151" s="43"/>
      <c r="CW151" s="43"/>
      <c r="CX151" s="43"/>
      <c r="CY151" s="43"/>
      <c r="CZ151" s="43"/>
      <c r="DA151" s="43"/>
      <c r="DB151" s="43"/>
      <c r="DC151" s="43"/>
      <c r="DD151" s="43"/>
      <c r="DE151" s="43"/>
      <c r="DF151" s="43"/>
      <c r="DG151" s="43"/>
      <c r="DH151" s="43"/>
      <c r="DI151" s="43"/>
      <c r="DJ151" s="43"/>
      <c r="DK151" s="43"/>
      <c r="DL151" s="43"/>
      <c r="DM151" s="43"/>
      <c r="DN151" s="43"/>
      <c r="DO151" s="43"/>
      <c r="DP151" s="43"/>
      <c r="DQ151" s="43"/>
      <c r="DR151" s="43"/>
      <c r="DS151" s="43"/>
      <c r="DT151" s="43"/>
      <c r="DU151" s="43"/>
      <c r="DV151" s="43"/>
      <c r="DW151" s="43"/>
      <c r="DX151" s="43"/>
      <c r="DY151" s="43"/>
      <c r="DZ151" s="43"/>
      <c r="EA151" s="43"/>
      <c r="EB151" s="43"/>
      <c r="EC151" s="43"/>
      <c r="ED151" s="43"/>
      <c r="EE151" s="43"/>
      <c r="EF151" s="43"/>
      <c r="EG151" s="43"/>
      <c r="EH151" s="43"/>
      <c r="EI151" s="43"/>
      <c r="EJ151" s="43"/>
      <c r="EK151" s="43"/>
      <c r="EL151" s="43"/>
      <c r="EM151" s="43"/>
      <c r="EN151" s="32"/>
      <c r="EO151" s="32"/>
      <c r="EP151" s="32"/>
      <c r="EQ151" s="32"/>
      <c r="ER151" s="32"/>
    </row>
    <row r="152" customFormat="false" ht="12.8" hidden="false" customHeight="true" outlineLevel="0" collapsed="false">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c r="AG152" s="61"/>
      <c r="AH152" s="61"/>
      <c r="AI152" s="61"/>
      <c r="AJ152" s="61"/>
      <c r="AK152" s="61"/>
      <c r="AL152" s="61"/>
      <c r="AM152" s="61"/>
      <c r="AN152" s="61"/>
      <c r="AO152" s="61"/>
      <c r="AP152" s="61"/>
      <c r="AQ152" s="61"/>
      <c r="AR152" s="25"/>
      <c r="AS152" s="44"/>
      <c r="AT152" s="44"/>
      <c r="AU152" s="43"/>
      <c r="AX152" s="43"/>
      <c r="AY152" s="43"/>
      <c r="AZ152" s="43"/>
      <c r="BA152" s="43"/>
      <c r="BB152" s="43"/>
      <c r="BC152" s="43"/>
      <c r="BD152" s="43"/>
      <c r="BE152" s="43"/>
      <c r="BF152" s="43"/>
      <c r="BG152" s="43"/>
      <c r="BH152" s="43"/>
      <c r="BI152" s="43"/>
      <c r="BJ152" s="43"/>
      <c r="BK152" s="43"/>
      <c r="BL152" s="43"/>
      <c r="BM152" s="43"/>
      <c r="BN152" s="43"/>
      <c r="BO152" s="43"/>
      <c r="BP152" s="43"/>
      <c r="BQ152" s="43"/>
      <c r="BR152" s="43"/>
      <c r="BS152" s="43"/>
      <c r="BT152" s="43"/>
      <c r="BU152" s="43"/>
      <c r="BV152" s="43"/>
      <c r="BW152" s="43"/>
      <c r="BX152" s="43"/>
      <c r="BY152" s="43"/>
      <c r="BZ152" s="43"/>
      <c r="CA152" s="43"/>
      <c r="CB152" s="43"/>
      <c r="CC152" s="43"/>
      <c r="CD152" s="43"/>
      <c r="CE152" s="43"/>
      <c r="CF152" s="43"/>
      <c r="CG152" s="43"/>
      <c r="CH152" s="43"/>
      <c r="CI152" s="43"/>
      <c r="CJ152" s="43"/>
      <c r="CK152" s="43"/>
      <c r="CL152" s="43"/>
      <c r="CM152" s="43"/>
      <c r="CN152" s="43"/>
      <c r="CO152" s="43"/>
      <c r="CP152" s="43"/>
      <c r="CQ152" s="43"/>
      <c r="CR152" s="43"/>
      <c r="CS152" s="43"/>
      <c r="CT152" s="43"/>
      <c r="CU152" s="43"/>
      <c r="CV152" s="43"/>
      <c r="CW152" s="43"/>
      <c r="CX152" s="43"/>
      <c r="CY152" s="43"/>
      <c r="CZ152" s="43"/>
      <c r="DA152" s="43"/>
      <c r="DB152" s="43"/>
      <c r="DC152" s="43"/>
      <c r="DD152" s="43"/>
      <c r="DE152" s="43"/>
      <c r="DF152" s="43"/>
      <c r="DG152" s="43"/>
      <c r="DH152" s="43"/>
      <c r="DI152" s="43"/>
      <c r="DJ152" s="43"/>
      <c r="DK152" s="43"/>
      <c r="DL152" s="43"/>
      <c r="DM152" s="43"/>
      <c r="DN152" s="43"/>
      <c r="DO152" s="43"/>
      <c r="DP152" s="43"/>
      <c r="DQ152" s="43"/>
      <c r="DR152" s="43"/>
      <c r="DS152" s="43"/>
      <c r="DT152" s="43"/>
      <c r="DU152" s="43"/>
      <c r="DV152" s="43"/>
      <c r="DW152" s="43"/>
      <c r="DX152" s="43"/>
      <c r="DY152" s="43"/>
      <c r="DZ152" s="43"/>
      <c r="EA152" s="43"/>
      <c r="EB152" s="43"/>
      <c r="EC152" s="43"/>
      <c r="ED152" s="43"/>
      <c r="EE152" s="43"/>
      <c r="EF152" s="43"/>
      <c r="EG152" s="43"/>
      <c r="EH152" s="43"/>
      <c r="EI152" s="43"/>
      <c r="EJ152" s="43"/>
      <c r="EK152" s="43"/>
      <c r="EL152" s="43"/>
      <c r="EM152" s="43"/>
    </row>
    <row r="153" customFormat="false" ht="12.8" hidden="false" customHeight="false" outlineLevel="0" collapsed="false">
      <c r="AU153" s="65"/>
      <c r="AX153" s="65"/>
      <c r="AY153" s="65"/>
      <c r="AZ153" s="65"/>
      <c r="BA153" s="65"/>
      <c r="BB153" s="65"/>
      <c r="BC153" s="65"/>
      <c r="BD153" s="65"/>
      <c r="BE153" s="65"/>
      <c r="BF153" s="65"/>
      <c r="BG153" s="65"/>
      <c r="BH153" s="65"/>
      <c r="BI153" s="65"/>
      <c r="BJ153" s="65"/>
      <c r="BK153" s="65"/>
      <c r="BL153" s="65"/>
      <c r="BM153" s="65"/>
      <c r="BN153" s="65"/>
      <c r="BO153" s="65"/>
      <c r="BP153" s="65"/>
      <c r="BQ153" s="65"/>
      <c r="BR153" s="65"/>
      <c r="BS153" s="65"/>
      <c r="BT153" s="65"/>
      <c r="BU153" s="65"/>
      <c r="BV153" s="65"/>
      <c r="BW153" s="65"/>
      <c r="BX153" s="65"/>
      <c r="BY153" s="65"/>
      <c r="BZ153" s="65"/>
      <c r="CA153" s="65"/>
      <c r="CB153" s="65"/>
      <c r="CC153" s="65"/>
      <c r="CD153" s="65"/>
      <c r="CE153" s="65"/>
      <c r="CF153" s="65"/>
      <c r="CG153" s="65"/>
      <c r="CH153" s="65"/>
      <c r="CI153" s="65"/>
      <c r="CJ153" s="65"/>
      <c r="CK153" s="65"/>
      <c r="CL153" s="65"/>
      <c r="CM153" s="65"/>
      <c r="CN153" s="65"/>
      <c r="CO153" s="65"/>
      <c r="CP153" s="65"/>
      <c r="CQ153" s="65"/>
      <c r="CR153" s="65"/>
      <c r="CS153" s="65"/>
      <c r="CT153" s="65"/>
      <c r="CU153" s="65"/>
      <c r="CV153" s="65"/>
      <c r="CW153" s="65"/>
      <c r="CX153" s="65"/>
      <c r="CY153" s="65"/>
      <c r="CZ153" s="65"/>
      <c r="DA153" s="65"/>
      <c r="DB153" s="65"/>
      <c r="DC153" s="65"/>
      <c r="DD153" s="65"/>
      <c r="DE153" s="65"/>
      <c r="DF153" s="65"/>
      <c r="DG153" s="65"/>
      <c r="DH153" s="65"/>
      <c r="DI153" s="65"/>
      <c r="DJ153" s="65"/>
      <c r="DK153" s="65"/>
      <c r="DL153" s="65"/>
      <c r="DM153" s="65"/>
      <c r="DN153" s="65"/>
      <c r="DO153" s="65"/>
      <c r="DP153" s="65"/>
      <c r="DQ153" s="65"/>
      <c r="DR153" s="65"/>
      <c r="DS153" s="65"/>
      <c r="DT153" s="65"/>
      <c r="DU153" s="65"/>
      <c r="DV153" s="65"/>
      <c r="DW153" s="65"/>
      <c r="DX153" s="65"/>
      <c r="DY153" s="65"/>
      <c r="DZ153" s="65"/>
      <c r="EA153" s="65"/>
      <c r="EB153" s="65"/>
      <c r="EC153" s="65"/>
      <c r="ED153" s="65"/>
      <c r="EE153" s="65"/>
      <c r="EF153" s="65"/>
      <c r="EG153" s="65"/>
      <c r="EH153" s="65"/>
      <c r="EI153" s="65"/>
      <c r="EJ153" s="65"/>
      <c r="EK153" s="65"/>
      <c r="EL153" s="65"/>
      <c r="EM153" s="65"/>
    </row>
    <row r="154" customFormat="false" ht="12.8" hidden="false" customHeight="false" outlineLevel="0" collapsed="false">
      <c r="A154" s="3" t="s">
        <v>256</v>
      </c>
      <c r="B154" s="3" t="n">
        <f aca="false">+B128-B142</f>
        <v>-6611.07725383403</v>
      </c>
      <c r="C154" s="3" t="n">
        <f aca="false">+C128-C142</f>
        <v>-5510.06866282701</v>
      </c>
      <c r="D154" s="3" t="n">
        <f aca="false">+D128-D142</f>
        <v>-5296.07848019052</v>
      </c>
      <c r="E154" s="3" t="n">
        <f aca="false">+E128-E142</f>
        <v>-9859.07386911239</v>
      </c>
      <c r="F154" s="3" t="n">
        <f aca="false">+F128-F142</f>
        <v>-8289.08811310874</v>
      </c>
      <c r="G154" s="3" t="n">
        <f aca="false">+G128-G142</f>
        <v>-9521.0819713116</v>
      </c>
      <c r="H154" s="3" t="n">
        <f aca="false">+H128-H142</f>
        <v>-8819.08369940842</v>
      </c>
      <c r="I154" s="3" t="n">
        <f aca="false">+I128-I142</f>
        <v>-5387.07908055147</v>
      </c>
      <c r="J154" s="3" t="n">
        <f aca="false">+J128-J142</f>
        <v>-6877.09255246194</v>
      </c>
      <c r="K154" s="3" t="n">
        <f aca="false">+K128-K142</f>
        <v>-5905.09308694428</v>
      </c>
      <c r="L154" s="3" t="n">
        <f aca="false">+L128-L142</f>
        <v>-9036.09921407278</v>
      </c>
      <c r="M154" s="3" t="n">
        <f aca="false">+M128-M142</f>
        <v>-7150.09217732769</v>
      </c>
      <c r="N154" s="3" t="n">
        <f aca="false">+N128-N142</f>
        <v>-7382.09216807676</v>
      </c>
      <c r="O154" s="3" t="n">
        <f aca="false">+O128-O142</f>
        <v>-7224.09137974577</v>
      </c>
      <c r="P154" s="3" t="n">
        <f aca="false">+P128-P142</f>
        <v>-27290.0968541431</v>
      </c>
      <c r="Q154" s="3" t="n">
        <f aca="false">+Q128-Q142</f>
        <v>-13446.0903444476</v>
      </c>
      <c r="R154" s="3" t="n">
        <f aca="false">+R128-R142</f>
        <v>-5453.10653335938</v>
      </c>
      <c r="S154" s="3" t="n">
        <f aca="false">+S128-S142</f>
        <v>-16014.1045377543</v>
      </c>
      <c r="Z154" s="3" t="n">
        <f aca="false">+Z128-Z142</f>
        <v>-549.087038534088</v>
      </c>
      <c r="AA154" s="3" t="n">
        <f aca="false">+AA128-AA142</f>
        <v>-1559.12752996659</v>
      </c>
      <c r="AB154" s="3" t="n">
        <f aca="false">+AB128-AB142</f>
        <v>-2722.12842987805</v>
      </c>
      <c r="AC154" s="3" t="n">
        <f aca="false">+AC128-AC142</f>
        <v>-2517.0997112145</v>
      </c>
      <c r="AD154" s="3" t="n">
        <f aca="false">+AD128-AD142</f>
        <v>-4911.10848951361</v>
      </c>
      <c r="AE154" s="3" t="n">
        <f aca="false">+AE128-AE142</f>
        <v>-5891.08473840365</v>
      </c>
      <c r="AF154" s="3" t="n">
        <f aca="false">+AF128-AF142</f>
        <v>-8282.07441025263</v>
      </c>
      <c r="AG154" s="3" t="n">
        <f aca="false">+AG128-AG142</f>
        <v>-7162.07727712311</v>
      </c>
      <c r="AH154" s="3" t="n">
        <f aca="false">+AH128-AH142</f>
        <v>-17829.0812057089</v>
      </c>
      <c r="AI154" s="3" t="n">
        <f aca="false">+AI128-AI142</f>
        <v>-9601.07982318386</v>
      </c>
      <c r="AJ154" s="3" t="n">
        <f aca="false">+AJ128-AJ142</f>
        <v>-18313.0675575982</v>
      </c>
      <c r="AK154" s="3" t="n">
        <f aca="false">+AK128-AK142</f>
        <v>-27275.074488247</v>
      </c>
      <c r="AL154" s="3" t="n">
        <f aca="false">+AL128-AL142</f>
        <v>-32015.0828601503</v>
      </c>
      <c r="AM154" s="3" t="n">
        <f aca="false">+AM128-AM142</f>
        <v>-28968.0942121932</v>
      </c>
      <c r="AN154" s="3" t="n">
        <f aca="false">+AN128-AN142</f>
        <v>-55342.0926325846</v>
      </c>
      <c r="AU154" s="59"/>
      <c r="AV154" s="65"/>
      <c r="AW154" s="65"/>
      <c r="AX154" s="59"/>
      <c r="AY154" s="59"/>
      <c r="AZ154" s="59"/>
      <c r="BA154" s="59"/>
      <c r="BB154" s="59"/>
      <c r="BC154" s="59"/>
      <c r="BD154" s="59"/>
      <c r="BE154" s="59"/>
      <c r="BF154" s="59"/>
      <c r="BG154" s="59"/>
      <c r="BH154" s="59"/>
      <c r="BI154" s="59"/>
      <c r="BJ154" s="59"/>
      <c r="BK154" s="59"/>
      <c r="BL154" s="59"/>
      <c r="BM154" s="59"/>
      <c r="BN154" s="59"/>
      <c r="BO154" s="59"/>
      <c r="BP154" s="59"/>
      <c r="BQ154" s="59"/>
      <c r="BR154" s="59"/>
      <c r="BS154" s="59"/>
      <c r="BT154" s="59"/>
      <c r="BU154" s="59"/>
      <c r="BV154" s="59"/>
      <c r="BW154" s="59"/>
      <c r="BX154" s="59"/>
      <c r="BY154" s="59"/>
      <c r="BZ154" s="59"/>
      <c r="CA154" s="59"/>
      <c r="CB154" s="59"/>
      <c r="CC154" s="59"/>
      <c r="CD154" s="59"/>
      <c r="CE154" s="59"/>
      <c r="CF154" s="59"/>
      <c r="CG154" s="59"/>
      <c r="CH154" s="59"/>
      <c r="CI154" s="59"/>
      <c r="CJ154" s="59"/>
      <c r="CK154" s="59"/>
      <c r="CL154" s="59"/>
      <c r="CM154" s="59"/>
      <c r="CN154" s="59"/>
      <c r="CO154" s="59"/>
      <c r="CP154" s="59"/>
      <c r="CQ154" s="59"/>
      <c r="CR154" s="59"/>
      <c r="CS154" s="59"/>
      <c r="CT154" s="59"/>
      <c r="CU154" s="59"/>
      <c r="CV154" s="59"/>
      <c r="CW154" s="59"/>
      <c r="CX154" s="59"/>
      <c r="CY154" s="59"/>
      <c r="CZ154" s="59"/>
      <c r="DA154" s="59"/>
      <c r="DB154" s="59"/>
      <c r="DC154" s="59"/>
      <c r="DD154" s="59"/>
      <c r="DE154" s="59"/>
      <c r="DF154" s="59"/>
      <c r="DG154" s="59"/>
      <c r="DH154" s="59"/>
      <c r="DI154" s="59"/>
      <c r="DJ154" s="59"/>
      <c r="DK154" s="59"/>
      <c r="DL154" s="59"/>
      <c r="DM154" s="59"/>
      <c r="DN154" s="59"/>
      <c r="DO154" s="59"/>
      <c r="DP154" s="59"/>
      <c r="DQ154" s="59"/>
      <c r="DR154" s="59"/>
      <c r="DS154" s="59"/>
      <c r="DT154" s="59"/>
      <c r="DU154" s="59"/>
      <c r="DV154" s="59"/>
      <c r="DW154" s="59"/>
      <c r="DX154" s="59"/>
      <c r="DY154" s="59"/>
      <c r="DZ154" s="59"/>
      <c r="EA154" s="59"/>
      <c r="EB154" s="59"/>
      <c r="EC154" s="59"/>
      <c r="ED154" s="59"/>
      <c r="EE154" s="59"/>
      <c r="EF154" s="59"/>
      <c r="EG154" s="59"/>
      <c r="EH154" s="59"/>
      <c r="EI154" s="59"/>
      <c r="EJ154" s="59"/>
      <c r="EK154" s="59"/>
      <c r="EL154" s="59"/>
      <c r="EM154" s="59"/>
    </row>
    <row r="155" customFormat="false" ht="12.8" hidden="false" customHeight="false" outlineLevel="0" collapsed="false">
      <c r="A155" s="65" t="s">
        <v>257</v>
      </c>
      <c r="B155" s="65"/>
      <c r="C155" s="65" t="n">
        <f aca="false">+C154/((C109+B109)/2)</f>
        <v>-0.0329946917670908</v>
      </c>
      <c r="D155" s="65" t="n">
        <f aca="false">+D154/((D109+C109)/2)</f>
        <v>-0.0303784547416297</v>
      </c>
      <c r="E155" s="65" t="n">
        <f aca="false">+E154/((E109+D109)/2)</f>
        <v>-0.0540784222149878</v>
      </c>
      <c r="F155" s="65" t="n">
        <f aca="false">+F154/((F109+E109)/2)</f>
        <v>-0.0447794611066825</v>
      </c>
      <c r="G155" s="65" t="n">
        <f aca="false">+G154/((G109+F109)/2)</f>
        <v>-0.0486788699392792</v>
      </c>
      <c r="H155" s="65" t="n">
        <f aca="false">+H154/((H109+G109)/2)</f>
        <v>-0.0417015179577379</v>
      </c>
      <c r="I155" s="65" t="n">
        <f aca="false">+I154/((I109+H109)/2)</f>
        <v>-0.0241628735461071</v>
      </c>
      <c r="J155" s="65" t="n">
        <f aca="false">+J154/((J109+I109)/2)</f>
        <v>-0.030398192748685</v>
      </c>
      <c r="K155" s="65" t="n">
        <f aca="false">+K154/((K109+J109)/2)</f>
        <v>-0.0260663211189502</v>
      </c>
      <c r="L155" s="65" t="n">
        <f aca="false">+L154/((L109+K109)/2)</f>
        <v>-0.037136213532342</v>
      </c>
      <c r="M155" s="65" t="n">
        <f aca="false">+M154/((M109+L109)/2)</f>
        <v>-0.0268885246153747</v>
      </c>
      <c r="N155" s="65" t="n">
        <f aca="false">+N154/((N109+M109)/2)</f>
        <v>-0.0265716250314049</v>
      </c>
      <c r="O155" s="65" t="n">
        <f aca="false">+O154/((O109+N109)/2)</f>
        <v>-0.0251291387438904</v>
      </c>
      <c r="P155" s="65" t="n">
        <f aca="false">+P154/((P109+O109)/2)</f>
        <v>-0.0911815043363004</v>
      </c>
      <c r="Q155" s="65" t="n">
        <f aca="false">+Q154/((Q109+P109)/2)</f>
        <v>-0.0401456515039499</v>
      </c>
      <c r="R155" s="65" t="n">
        <f aca="false">+R154/((R109+Q109)/2)</f>
        <v>-0.0143263154358505</v>
      </c>
      <c r="S155" s="65" t="n">
        <f aca="false">+S154/((S109+R109)/2)</f>
        <v>-0.0378939491733631</v>
      </c>
      <c r="T155" s="65"/>
      <c r="U155" s="65"/>
      <c r="V155" s="65"/>
      <c r="W155" s="65"/>
      <c r="X155" s="65"/>
      <c r="Y155" s="65"/>
      <c r="Z155" s="65" t="n">
        <f aca="false">+Z154/((Z109+Y109)/2)</f>
        <v>-0.173458713085494</v>
      </c>
      <c r="AA155" s="65" t="n">
        <f aca="false">+AA154/((AA109+Z109)/2)</f>
        <v>-0.145480813386436</v>
      </c>
      <c r="AB155" s="65" t="n">
        <f aca="false">+AB154/((AB109+AA109)/2)</f>
        <v>-0.164986724282092</v>
      </c>
      <c r="AC155" s="65" t="n">
        <f aca="false">+AC154/((AC109+AB109)/2)</f>
        <v>-0.0870049039392428</v>
      </c>
      <c r="AD155" s="65" t="n">
        <f aca="false">+AD154/((AD109+AC109)/2)</f>
        <v>-0.109901294760262</v>
      </c>
      <c r="AE155" s="65" t="n">
        <f aca="false">+AE154/((AE109+AD109)/2)</f>
        <v>-0.103019744293434</v>
      </c>
      <c r="AF155" s="65" t="n">
        <f aca="false">+AF154/((AF109+AE109)/2)</f>
        <v>-0.110808055627</v>
      </c>
      <c r="AG155" s="65" t="n">
        <f aca="false">+AG154/((AG109+AF109)/2)</f>
        <v>-0.0787655757157418</v>
      </c>
      <c r="AH155" s="65" t="n">
        <f aca="false">+AH154/((AH109+AG109)/2)</f>
        <v>-0.154558334872041</v>
      </c>
      <c r="AI155" s="65" t="n">
        <f aca="false">+AI154/((AI109+AH109)/2)</f>
        <v>-0.0656053329460961</v>
      </c>
      <c r="AJ155" s="65" t="n">
        <f aca="false">+AJ154/((AJ109+AI109)/2)</f>
        <v>-0.112590807884557</v>
      </c>
      <c r="AK155" s="65" t="n">
        <f aca="false">+AK154/((AK109+AJ109)/2)</f>
        <v>-0.155097993765682</v>
      </c>
      <c r="AL155" s="65" t="n">
        <f aca="false">+AL154/((AL109+AK109)/2)</f>
        <v>-0.154159514432748</v>
      </c>
      <c r="AM155" s="65" t="n">
        <f aca="false">+AM154/((AM109+AL109)/2)</f>
        <v>-0.114571518096033</v>
      </c>
      <c r="AN155" s="65" t="n">
        <f aca="false">+AN154/((AN109+AM109)/2)</f>
        <v>-0.172385116168803</v>
      </c>
      <c r="AO155" s="65"/>
      <c r="AP155" s="65"/>
      <c r="AQ155" s="65"/>
      <c r="AR155" s="65"/>
      <c r="AS155" s="65"/>
      <c r="AT155" s="65"/>
    </row>
    <row r="157" customFormat="false" ht="12.8" hidden="false" customHeight="false" outlineLevel="0" collapsed="false">
      <c r="A157" s="3" t="s">
        <v>258</v>
      </c>
      <c r="B157" s="3" t="n">
        <v>77805</v>
      </c>
      <c r="C157" s="3" t="n">
        <v>83553</v>
      </c>
      <c r="D157" s="3" t="n">
        <v>87314</v>
      </c>
      <c r="E157" s="3" t="n">
        <v>86482</v>
      </c>
      <c r="F157" s="3" t="n">
        <v>77114</v>
      </c>
      <c r="G157" s="3" t="n">
        <v>71469</v>
      </c>
      <c r="H157" s="3" t="n">
        <v>66185</v>
      </c>
      <c r="I157" s="3" t="n">
        <v>67317</v>
      </c>
      <c r="J157" s="3" t="n">
        <v>69329</v>
      </c>
      <c r="K157" s="3" t="n">
        <v>70799</v>
      </c>
      <c r="L157" s="3" t="n">
        <v>72404</v>
      </c>
      <c r="M157" s="3" t="n">
        <v>74067</v>
      </c>
      <c r="N157" s="3" t="n">
        <v>76834</v>
      </c>
      <c r="O157" s="3" t="n">
        <v>75945</v>
      </c>
      <c r="P157" s="3" t="n">
        <v>78450</v>
      </c>
      <c r="Q157" s="3" t="n">
        <v>78865</v>
      </c>
      <c r="R157" s="3" t="n">
        <v>77986</v>
      </c>
      <c r="S157" s="3" t="n">
        <v>75472</v>
      </c>
      <c r="AA157" s="3" t="n">
        <v>4619</v>
      </c>
      <c r="AB157" s="3" t="n">
        <v>6337</v>
      </c>
      <c r="AC157" s="3" t="n">
        <v>9199</v>
      </c>
      <c r="AD157" s="3" t="n">
        <v>12691</v>
      </c>
      <c r="AE157" s="3" t="n">
        <v>17048</v>
      </c>
      <c r="AF157" s="3" t="n">
        <v>25105</v>
      </c>
      <c r="AG157" s="3" t="n">
        <v>35587</v>
      </c>
      <c r="AH157" s="3" t="n">
        <v>44942</v>
      </c>
      <c r="AI157" s="3" t="n">
        <v>58604</v>
      </c>
      <c r="AJ157" s="3" t="n">
        <v>71970</v>
      </c>
      <c r="AK157" s="3" t="n">
        <v>86482</v>
      </c>
      <c r="AL157" s="3" t="n">
        <v>67317</v>
      </c>
      <c r="AM157" s="3" t="n">
        <v>74067</v>
      </c>
      <c r="AN157" s="3" t="n">
        <v>78865</v>
      </c>
      <c r="AU157" s="65"/>
      <c r="AX157" s="65"/>
      <c r="AY157" s="65"/>
      <c r="AZ157" s="65"/>
      <c r="BA157" s="65"/>
      <c r="BB157" s="65"/>
      <c r="BC157" s="65"/>
      <c r="BD157" s="65"/>
      <c r="BE157" s="65"/>
      <c r="BF157" s="65"/>
      <c r="BG157" s="65"/>
      <c r="BH157" s="65"/>
      <c r="BI157" s="65"/>
      <c r="BJ157" s="65"/>
      <c r="BK157" s="65"/>
      <c r="BL157" s="65"/>
      <c r="BM157" s="65"/>
      <c r="BN157" s="65"/>
      <c r="BO157" s="65"/>
      <c r="BP157" s="65"/>
      <c r="BQ157" s="65"/>
      <c r="BR157" s="65"/>
      <c r="BS157" s="65"/>
      <c r="BT157" s="65"/>
      <c r="BU157" s="65"/>
      <c r="BV157" s="65"/>
      <c r="BW157" s="65"/>
      <c r="BX157" s="65"/>
      <c r="BY157" s="65"/>
      <c r="BZ157" s="65"/>
      <c r="CA157" s="65"/>
      <c r="CB157" s="65"/>
      <c r="CC157" s="65"/>
      <c r="CD157" s="65"/>
      <c r="CE157" s="65"/>
      <c r="CF157" s="65"/>
      <c r="CG157" s="65"/>
      <c r="CH157" s="65"/>
      <c r="CI157" s="65"/>
      <c r="CJ157" s="65"/>
      <c r="CK157" s="65"/>
      <c r="CL157" s="65"/>
      <c r="CM157" s="65"/>
      <c r="CN157" s="65"/>
      <c r="CO157" s="65"/>
      <c r="CP157" s="65"/>
      <c r="CQ157" s="65"/>
      <c r="CR157" s="65"/>
      <c r="CS157" s="65"/>
      <c r="CT157" s="65"/>
      <c r="CU157" s="65"/>
      <c r="CV157" s="65"/>
      <c r="CW157" s="65"/>
      <c r="CX157" s="65"/>
      <c r="CY157" s="65"/>
      <c r="CZ157" s="65"/>
      <c r="DA157" s="65"/>
      <c r="DB157" s="65"/>
      <c r="DC157" s="65"/>
      <c r="DD157" s="65"/>
      <c r="DE157" s="65"/>
      <c r="DF157" s="65"/>
      <c r="DG157" s="65"/>
      <c r="DH157" s="65"/>
      <c r="DI157" s="65"/>
      <c r="DJ157" s="65"/>
      <c r="DK157" s="65"/>
      <c r="DL157" s="65"/>
      <c r="DM157" s="65"/>
      <c r="DN157" s="65"/>
      <c r="DO157" s="65"/>
      <c r="DP157" s="65"/>
      <c r="DQ157" s="65"/>
      <c r="DR157" s="65"/>
      <c r="DS157" s="65"/>
      <c r="DT157" s="65"/>
      <c r="DU157" s="65"/>
      <c r="DV157" s="65"/>
      <c r="DW157" s="65"/>
      <c r="DX157" s="65"/>
      <c r="DY157" s="65"/>
      <c r="DZ157" s="65"/>
      <c r="EA157" s="65"/>
      <c r="EB157" s="65"/>
      <c r="EC157" s="65"/>
      <c r="ED157" s="65"/>
      <c r="EE157" s="65"/>
      <c r="EF157" s="65"/>
      <c r="EG157" s="65"/>
      <c r="EH157" s="65"/>
      <c r="EI157" s="65"/>
      <c r="EJ157" s="65"/>
      <c r="EK157" s="65"/>
      <c r="EL157" s="65"/>
      <c r="EM157" s="65"/>
    </row>
    <row r="158" customFormat="false" ht="12.8" hidden="false" customHeight="false" outlineLevel="0" collapsed="false">
      <c r="A158" s="3" t="s">
        <v>259</v>
      </c>
      <c r="B158" s="3" t="n">
        <f aca="false">+(B30*1000000)/B157</f>
        <v>358691.600796864</v>
      </c>
      <c r="C158" s="3" t="n">
        <f aca="false">+(C30*1000000)/C157</f>
        <v>344954.699412349</v>
      </c>
      <c r="D158" s="3" t="n">
        <f aca="false">+(D30*1000000)/D157</f>
        <v>317406.14334471</v>
      </c>
      <c r="E158" s="3" t="n">
        <f aca="false">+(E30*1000000)/E157</f>
        <v>371927.106218635</v>
      </c>
      <c r="F158" s="3" t="n">
        <f aca="false">+(F30*1000000)/F157</f>
        <v>371463.028762611</v>
      </c>
      <c r="G158" s="3" t="n">
        <f aca="false">+(G30*1000000)/G157</f>
        <v>447732.58335782</v>
      </c>
      <c r="H158" s="3" t="n">
        <f aca="false">+(H30*1000000)/H157</f>
        <v>515917.503966155</v>
      </c>
      <c r="I158" s="3" t="n">
        <f aca="false">+(I30*1000000)/I157</f>
        <v>595852.45925992</v>
      </c>
      <c r="J158" s="3" t="n">
        <f aca="false">+(J30*1000000)/J157</f>
        <v>525826.133364104</v>
      </c>
      <c r="K158" s="3" t="n">
        <f aca="false">+(K30*1000000)/K157</f>
        <v>551858.077091484</v>
      </c>
      <c r="L158" s="3" t="n">
        <f aca="false">+(L30*1000000)/L157</f>
        <v>560590.575106348</v>
      </c>
      <c r="M158" s="3" t="n">
        <f aca="false">+(M30*1000000)/M157</f>
        <v>653259.886319144</v>
      </c>
      <c r="N158" s="3" t="n">
        <f aca="false">+(N30*1000000)/N157</f>
        <v>550719.733451337</v>
      </c>
      <c r="O158" s="3" t="n">
        <f aca="false">+(O30*1000000)/O157</f>
        <v>625663.308973599</v>
      </c>
      <c r="P158" s="3" t="n">
        <f aca="false">+(P30*1000000)/P157</f>
        <v>653180.369662205</v>
      </c>
      <c r="Q158" s="3" t="n">
        <f aca="false">+(Q30*1000000)/Q157</f>
        <v>759437.012616497</v>
      </c>
      <c r="R158" s="3" t="n">
        <f aca="false">+(R30*1000000)/R157</f>
        <v>722065.498935706</v>
      </c>
      <c r="S158" s="3" t="n">
        <f aca="false">+(S30*1000000)/S157</f>
        <v>805610.02755989</v>
      </c>
      <c r="AA158" s="3" t="n">
        <f aca="false">+(AA30*1000000)/AA157</f>
        <v>1101753.62632604</v>
      </c>
      <c r="AB158" s="3" t="n">
        <f aca="false">+(AB30*1000000)/AB157</f>
        <v>1242228.18368313</v>
      </c>
      <c r="AC158" s="3" t="n">
        <f aca="false">+(AC30*1000000)/AC157</f>
        <v>1355147.29861942</v>
      </c>
      <c r="AD158" s="3" t="n">
        <f aca="false">+(AD30*1000000)/AD157</f>
        <v>1412654.63714443</v>
      </c>
      <c r="AE158" s="3" t="n">
        <f aca="false">+(AE30*1000000)/AE157</f>
        <v>1621187.23603942</v>
      </c>
      <c r="AF158" s="3" t="n">
        <f aca="false">+(AF30*1000000)/AF157</f>
        <v>1619318.8607847</v>
      </c>
      <c r="AG158" s="3" t="n">
        <f aca="false">+(AG30*1000000)/AG157</f>
        <v>1569056.11599741</v>
      </c>
      <c r="AH158" s="3" t="n">
        <f aca="false">+(AH30*1000000)/AH157</f>
        <v>1573071.95941436</v>
      </c>
      <c r="AI158" s="3" t="n">
        <f aca="false">+(AI30*1000000)/AI157</f>
        <v>1466879.39389803</v>
      </c>
      <c r="AJ158" s="3" t="n">
        <f aca="false">+(AJ30*1000000)/AJ157</f>
        <v>1638585.52174517</v>
      </c>
      <c r="AK158" s="3" t="n">
        <f aca="false">+(AK30*1000000)/AK157</f>
        <v>1348361.50875327</v>
      </c>
      <c r="AL158" s="3" t="n">
        <f aca="false">+(AL30*1000000)/AL157</f>
        <v>2003981.16374764</v>
      </c>
      <c r="AM158" s="3" t="n">
        <f aca="false">+(AM30*1000000)/AM157</f>
        <v>2220975.6031701</v>
      </c>
      <c r="AN158" s="3" t="n">
        <f aca="false">+(AN30*1000000)/AN157</f>
        <v>2548227.98453053</v>
      </c>
      <c r="AR158" s="3"/>
    </row>
    <row r="161" customFormat="false" ht="12.8" hidden="false" customHeight="false" outlineLevel="0" collapsed="false">
      <c r="A161" s="3" t="s">
        <v>260</v>
      </c>
      <c r="C161" s="3" t="n">
        <f aca="false">+(AVERAGE(B101:C101)/C30)*90</f>
        <v>35.7773575740754</v>
      </c>
      <c r="D161" s="3" t="n">
        <f aca="false">+(AVERAGE(C101:D101)/D30)*90</f>
        <v>36.9430612686729</v>
      </c>
      <c r="E161" s="3" t="n">
        <f aca="false">+(AVERAGE(D101:E101)/E30)*90</f>
        <v>34.5464013679465</v>
      </c>
      <c r="F161" s="3" t="n">
        <f aca="false">+(AVERAGE(E101:F101)/F30)*90</f>
        <v>38.5041019375109</v>
      </c>
      <c r="G161" s="3" t="n">
        <f aca="false">+(AVERAGE(F101:G101)/G30)*90</f>
        <v>33.1252539141848</v>
      </c>
      <c r="H161" s="3" t="n">
        <f aca="false">+(AVERAGE(G101:H101)/H30)*90</f>
        <v>33.5463890353189</v>
      </c>
      <c r="I161" s="3" t="n">
        <f aca="false">+(AVERAGE(H101:I101)/I30)*90</f>
        <v>32.6614893670066</v>
      </c>
      <c r="J161" s="3" t="n">
        <f aca="false">+(AVERAGE(I101:J101)/J30)*90</f>
        <v>36.536963379509</v>
      </c>
      <c r="K161" s="3" t="n">
        <f aca="false">+(AVERAGE(J101:K101)/K30)*90</f>
        <v>32.1741189117248</v>
      </c>
      <c r="L161" s="3" t="n">
        <f aca="false">+(AVERAGE(K101:L101)/L30)*90</f>
        <v>32.378846485501</v>
      </c>
      <c r="M161" s="3" t="n">
        <f aca="false">+(AVERAGE(L101:M101)/M30)*90</f>
        <v>29.4766973235507</v>
      </c>
      <c r="N161" s="3" t="n">
        <f aca="false">+(AVERAGE(M101:N101)/N30)*90</f>
        <v>33.5080587985064</v>
      </c>
      <c r="O161" s="3" t="n">
        <f aca="false">+(AVERAGE(N101:O101)/O30)*90</f>
        <v>29.4295605690715</v>
      </c>
      <c r="P161" s="3" t="n">
        <f aca="false">+(AVERAGE(O101:P101)/P30)*90</f>
        <v>29.7336169548417</v>
      </c>
      <c r="Q161" s="3" t="n">
        <f aca="false">+(AVERAGE(P101:Q101)/Q30)*90</f>
        <v>27.8491643430785</v>
      </c>
      <c r="R161" s="3" t="n">
        <f aca="false">+(AVERAGE(Q101:R101)/R30)*90</f>
        <v>29.7589280957539</v>
      </c>
      <c r="S161" s="3" t="n">
        <f aca="false">+(AVERAGE(R101:S101)/S30)*90</f>
        <v>29.0289633394188</v>
      </c>
      <c r="Z161" s="3" t="n">
        <f aca="false">+(AVERAGE(Y101:Z101)/Z30)*365</f>
        <v>53.8008623012665</v>
      </c>
      <c r="AA161" s="3" t="n">
        <f aca="false">+(AVERAGE(Z101:AA101)/AA30)*365</f>
        <v>45.400864609943</v>
      </c>
      <c r="AB161" s="3" t="n">
        <f aca="false">+(AVERAGE(AA101:AB101)/AB30)*365</f>
        <v>42.3793191056911</v>
      </c>
      <c r="AC161" s="3" t="n">
        <f aca="false">+(AVERAGE(AB101:AC101)/AC30)*365</f>
        <v>40.8011792074443</v>
      </c>
      <c r="AD161" s="3" t="n">
        <f aca="false">+(AVERAGE(AC101:AD101)/AD30)*365</f>
        <v>43.1309962070504</v>
      </c>
      <c r="AE161" s="3" t="n">
        <f aca="false">+(AVERAGE(AD101:AE101)/AE30)*365</f>
        <v>43.2643461900282</v>
      </c>
      <c r="AF161" s="3" t="n">
        <f aca="false">+(AVERAGE(AE101:AF101)/AF30)*365</f>
        <v>44.1065235038005</v>
      </c>
      <c r="AG161" s="3" t="n">
        <f aca="false">+(AVERAGE(AF101:AG101)/AG30)*365</f>
        <v>43.8584386976611</v>
      </c>
      <c r="AH161" s="3" t="n">
        <f aca="false">+(AVERAGE(AG101:AH101)/AH30)*365</f>
        <v>44.1555157927493</v>
      </c>
      <c r="AI161" s="3" t="n">
        <f aca="false">+(AVERAGE(AH101:AI101)/AI30)*365</f>
        <v>44.2700226836503</v>
      </c>
      <c r="AJ161" s="3" t="n">
        <f aca="false">+(AVERAGE(AI101:AJ101)/AJ30)*365</f>
        <v>39.2673133834765</v>
      </c>
      <c r="AK161" s="3" t="n">
        <f aca="false">+(AVERAGE(AJ101:AK101)/AK30)*365</f>
        <v>43.0469560668559</v>
      </c>
      <c r="AL161" s="3" t="n">
        <f aca="false">+(AVERAGE(AK101:AL101)/AL30)*365</f>
        <v>40.0912328949904</v>
      </c>
      <c r="AM161" s="3" t="n">
        <f aca="false">+(AVERAGE(AL101:AM101)/AM30)*365</f>
        <v>36.7915544586355</v>
      </c>
      <c r="AN161" s="3" t="n">
        <f aca="false">+(AVERAGE(AM101:AN101)/AN30)*365</f>
        <v>33.3849880079217</v>
      </c>
      <c r="AO161" s="88" t="n">
        <v>34</v>
      </c>
      <c r="AP161" s="88" t="n">
        <f aca="false">+AO161-1</f>
        <v>33</v>
      </c>
      <c r="AQ161" s="88" t="n">
        <v>33</v>
      </c>
      <c r="AR161" s="88" t="n">
        <f aca="false">+AQ161-1</f>
        <v>32</v>
      </c>
      <c r="AS161" s="88" t="n">
        <v>32</v>
      </c>
      <c r="AT161" s="88" t="n">
        <f aca="false">+AS161-1</f>
        <v>31</v>
      </c>
    </row>
    <row r="162" customFormat="false" ht="12.8" hidden="false" customHeight="false" outlineLevel="0" collapsed="false">
      <c r="A162" s="3" t="s">
        <v>261</v>
      </c>
      <c r="C162" s="3" t="n">
        <f aca="false">+(((B111+C111)/2)/C32)*90</f>
        <v>62.8717257318952</v>
      </c>
      <c r="D162" s="3" t="n">
        <f aca="false">+(((C111+D111)/2)/D32)*90</f>
        <v>62.0285164450665</v>
      </c>
      <c r="E162" s="3" t="n">
        <f aca="false">+(((D111+E111)/2)/E32)*90</f>
        <v>47.8340930902111</v>
      </c>
      <c r="F162" s="3" t="n">
        <f aca="false">+(((E111+F111)/2)/F32)*90</f>
        <v>63.8163064833006</v>
      </c>
      <c r="G162" s="3" t="n">
        <f aca="false">+(((F111+G111)/2)/G32)*90</f>
        <v>51.2068965517241</v>
      </c>
      <c r="H162" s="3" t="n">
        <f aca="false">+(((G111+H111)/2)/H32)*90</f>
        <v>54.0942028985507</v>
      </c>
      <c r="I162" s="3" t="n">
        <f aca="false">+(((H111+I111)/2)/I32)*90</f>
        <v>53.9239766081871</v>
      </c>
      <c r="J162" s="3" t="n">
        <f aca="false">+(((I111+J111)/2)/J32)*90</f>
        <v>58.5135542168675</v>
      </c>
      <c r="K162" s="3" t="n">
        <f aca="false">+(((J111+K111)/2)/K32)*90</f>
        <v>42.8448275862069</v>
      </c>
      <c r="L162" s="3" t="n">
        <f aca="false">+(((K111+L111)/2)/L32)*90</f>
        <v>66.0752542372881</v>
      </c>
      <c r="M162" s="3" t="n">
        <f aca="false">+(((L111+M111)/2)/M32)*90</f>
        <v>78.1123430252291</v>
      </c>
      <c r="N162" s="3" t="n">
        <f aca="false">+(((M111+N111)/2)/N32)*90</f>
        <v>96.2698098256736</v>
      </c>
      <c r="O162" s="3" t="n">
        <f aca="false">+(((N111+O111)/2)/O32)*90</f>
        <v>99.5448121540455</v>
      </c>
      <c r="P162" s="3" t="n">
        <f aca="false">+(((O111+P111)/2)/P32)*90</f>
        <v>88.3233760590919</v>
      </c>
      <c r="Q162" s="3" t="n">
        <f aca="false">+(((P111+Q111)/2)/Q32)*90</f>
        <v>68.8803301237964</v>
      </c>
      <c r="R162" s="3" t="n">
        <f aca="false">+(((Q111+R111)/2)/R32)*90</f>
        <v>97.8567234292425</v>
      </c>
      <c r="S162" s="3" t="n">
        <f aca="false">+(((R111+S111)/2)/S32)*90</f>
        <v>116.034863195057</v>
      </c>
      <c r="Z162" s="3" t="n">
        <f aca="false">+(((Y111+Z111)/2)/Z32)*365</f>
        <v>13.3691860465116</v>
      </c>
      <c r="AA162" s="3" t="n">
        <f aca="false">+(((Z111+AA111)/2)/AA32)*365</f>
        <v>17.1260997067449</v>
      </c>
      <c r="AB162" s="3" t="n">
        <f aca="false">+(((AA111+AB111)/2)/AB32)*365</f>
        <v>14.7946666666667</v>
      </c>
      <c r="AC162" s="3" t="n">
        <f aca="false">+(((AB111+AC111)/2)/AC32)*365</f>
        <v>22.2933116581514</v>
      </c>
      <c r="AD162" s="3" t="n">
        <f aca="false">+(((AC111+AD111)/2)/AD32)*365</f>
        <v>23.6798046738751</v>
      </c>
      <c r="AE162" s="3" t="n">
        <f aca="false">+(((AD111+AE111)/2)/AE32)*365</f>
        <v>23.9865399841647</v>
      </c>
      <c r="AF162" s="3" t="n">
        <f aca="false">+(((AE111+AF111)/2)/AF32)*365</f>
        <v>22.8208654198753</v>
      </c>
      <c r="AG162" s="3" t="n">
        <f aca="false">+(((AF111+AG111)/2)/AG32)*365</f>
        <v>23.4099412079102</v>
      </c>
      <c r="AH162" s="3" t="n">
        <f aca="false">+(((AG111+AH111)/2)/AH32)*365</f>
        <v>31.1979248238058</v>
      </c>
      <c r="AI162" s="3" t="n">
        <f aca="false">+(((AH111+AI111)/2)/AI32)*365</f>
        <v>29.4545291157441</v>
      </c>
      <c r="AJ162" s="3" t="n">
        <f aca="false">+(((AI111+AJ111)/2)/AJ32)*365</f>
        <v>43.6246633405448</v>
      </c>
      <c r="AK162" s="3" t="n">
        <f aca="false">+(((AJ111+AK111)/2)/AK32)*365</f>
        <v>65.5797259297398</v>
      </c>
      <c r="AL162" s="3" t="n">
        <f aca="false">+(((AK111+AL111)/2)/AL32)*365</f>
        <v>69.1712893408837</v>
      </c>
      <c r="AM162" s="3" t="n">
        <f aca="false">+(((AL111+AM111)/2)/AM32)*365</f>
        <v>75.8535857564404</v>
      </c>
      <c r="AN162" s="3" t="n">
        <f aca="false">+(((AM111+AN111)/2)/AN32)*365</f>
        <v>83.6498272287491</v>
      </c>
      <c r="AO162" s="88" t="n">
        <f aca="false">+AN162+2</f>
        <v>85.6498272287491</v>
      </c>
      <c r="AP162" s="88" t="n">
        <f aca="false">+AO162+2</f>
        <v>87.6498272287491</v>
      </c>
      <c r="AQ162" s="88" t="n">
        <f aca="false">+AP162+2</f>
        <v>89.6498272287491</v>
      </c>
      <c r="AR162" s="88" t="n">
        <f aca="false">+AQ162+2</f>
        <v>91.6498272287491</v>
      </c>
      <c r="AS162" s="88" t="n">
        <f aca="false">+AR162+2</f>
        <v>93.6498272287491</v>
      </c>
      <c r="AT162" s="88" t="n">
        <f aca="false">+AS162+2</f>
        <v>95.6498272287491</v>
      </c>
    </row>
    <row r="163" customFormat="false" ht="12.8" hidden="false" customHeight="false" outlineLevel="0" collapsed="false">
      <c r="A163" s="3" t="s">
        <v>262</v>
      </c>
      <c r="C163" s="3" t="n">
        <f aca="false">+C161-C162</f>
        <v>-27.0943681578198</v>
      </c>
      <c r="D163" s="3" t="n">
        <f aca="false">+D161-D162</f>
        <v>-25.0854551763936</v>
      </c>
      <c r="E163" s="3" t="n">
        <f aca="false">+E161-E162</f>
        <v>-13.2876917222646</v>
      </c>
      <c r="F163" s="3" t="n">
        <f aca="false">+F161-F162</f>
        <v>-25.3122045457897</v>
      </c>
      <c r="G163" s="3" t="n">
        <f aca="false">+G161-G162</f>
        <v>-18.0816426375393</v>
      </c>
      <c r="H163" s="3" t="n">
        <f aca="false">+H161-H162</f>
        <v>-20.5478138632318</v>
      </c>
      <c r="I163" s="3" t="n">
        <f aca="false">+I161-I162</f>
        <v>-21.2624872411805</v>
      </c>
      <c r="J163" s="3" t="n">
        <f aca="false">+J161-J162</f>
        <v>-21.9765908373585</v>
      </c>
      <c r="K163" s="3" t="n">
        <f aca="false">+K161-K162</f>
        <v>-10.6707086744821</v>
      </c>
      <c r="L163" s="3" t="n">
        <f aca="false">+L161-L162</f>
        <v>-33.6964077517871</v>
      </c>
      <c r="M163" s="3" t="n">
        <f aca="false">+M161-M162</f>
        <v>-48.6356457016784</v>
      </c>
      <c r="N163" s="3" t="n">
        <f aca="false">+N161-N162</f>
        <v>-62.7617510271672</v>
      </c>
      <c r="O163" s="3" t="n">
        <f aca="false">+O161-O162</f>
        <v>-70.115251584974</v>
      </c>
      <c r="P163" s="3" t="n">
        <f aca="false">+P161-P162</f>
        <v>-58.5897591042502</v>
      </c>
      <c r="Q163" s="3" t="n">
        <f aca="false">+Q161-Q162</f>
        <v>-41.0311657807179</v>
      </c>
      <c r="R163" s="3" t="n">
        <f aca="false">+R161-R162</f>
        <v>-68.0977953334886</v>
      </c>
      <c r="S163" s="3" t="n">
        <f aca="false">+S161-S162</f>
        <v>-87.0058998556386</v>
      </c>
      <c r="Z163" s="3" t="n">
        <f aca="false">+Z161-Z162</f>
        <v>40.4316762547549</v>
      </c>
      <c r="AA163" s="3" t="n">
        <f aca="false">+AA161-AA162</f>
        <v>28.2747649031981</v>
      </c>
      <c r="AB163" s="3" t="n">
        <f aca="false">+AB161-AB162</f>
        <v>27.5846524390244</v>
      </c>
      <c r="AC163" s="3" t="n">
        <f aca="false">+AC161-AC162</f>
        <v>18.5078675492929</v>
      </c>
      <c r="AD163" s="3" t="n">
        <f aca="false">+AD161-AD162</f>
        <v>19.4511915331753</v>
      </c>
      <c r="AE163" s="3" t="n">
        <f aca="false">+AE161-AE162</f>
        <v>19.2778062058635</v>
      </c>
      <c r="AF163" s="3" t="n">
        <f aca="false">+AF161-AF162</f>
        <v>21.2856580839252</v>
      </c>
      <c r="AG163" s="3" t="n">
        <f aca="false">+AG161-AG162</f>
        <v>20.4484974897509</v>
      </c>
      <c r="AH163" s="3" t="n">
        <f aca="false">+AH161-AH162</f>
        <v>12.9575909689435</v>
      </c>
      <c r="AI163" s="3" t="n">
        <f aca="false">+AI161-AI162</f>
        <v>14.8154935679062</v>
      </c>
      <c r="AJ163" s="3" t="n">
        <f aca="false">+AJ161-AJ162</f>
        <v>-4.3573499570683</v>
      </c>
      <c r="AK163" s="3" t="n">
        <f aca="false">+AK161-AK162</f>
        <v>-22.5327698628839</v>
      </c>
      <c r="AL163" s="3" t="n">
        <f aca="false">+AL161-AL162</f>
        <v>-29.0800564458933</v>
      </c>
      <c r="AM163" s="3" t="n">
        <f aca="false">+AM161-AM162</f>
        <v>-39.0620312978049</v>
      </c>
      <c r="AN163" s="3" t="n">
        <f aca="false">+AN161-AN162</f>
        <v>-50.2648392208274</v>
      </c>
      <c r="AO163" s="88" t="n">
        <f aca="false">+AO161-AO162</f>
        <v>-51.6498272287491</v>
      </c>
      <c r="AP163" s="88" t="n">
        <f aca="false">+AP161-AP162</f>
        <v>-54.6498272287491</v>
      </c>
      <c r="AQ163" s="88" t="n">
        <f aca="false">+AQ161-AQ162</f>
        <v>-56.6498272287491</v>
      </c>
      <c r="AR163" s="88" t="n">
        <f aca="false">+AR161-AR162</f>
        <v>-59.6498272287491</v>
      </c>
      <c r="AS163" s="88" t="n">
        <f aca="false">+AS161-AS162</f>
        <v>-61.6498272287491</v>
      </c>
      <c r="AT163" s="88" t="n">
        <f aca="false">+AT161-AT162</f>
        <v>-64.6498272287491</v>
      </c>
    </row>
    <row r="166" customFormat="false" ht="12.8" hidden="false" customHeight="false" outlineLevel="0" collapsed="false">
      <c r="A166" s="3" t="s">
        <v>263</v>
      </c>
    </row>
    <row r="167" customFormat="false" ht="12.8" hidden="false" customHeight="false" outlineLevel="0" collapsed="false">
      <c r="A167" s="3" t="s">
        <v>264</v>
      </c>
      <c r="AH167" s="93" t="s">
        <v>265</v>
      </c>
      <c r="AI167" s="93" t="s">
        <v>265</v>
      </c>
      <c r="AJ167" s="93" t="n">
        <v>4</v>
      </c>
      <c r="AK167" s="93" t="s">
        <v>266</v>
      </c>
      <c r="AL167" s="93" t="s">
        <v>266</v>
      </c>
      <c r="AM167" s="93" t="s">
        <v>266</v>
      </c>
      <c r="AN167" s="93" t="s">
        <v>267</v>
      </c>
    </row>
    <row r="168" customFormat="false" ht="12.8" hidden="false" customHeight="false" outlineLevel="0" collapsed="false">
      <c r="A168" s="3" t="s">
        <v>268</v>
      </c>
      <c r="AH168" s="93" t="s">
        <v>265</v>
      </c>
      <c r="AI168" s="93" t="s">
        <v>269</v>
      </c>
      <c r="AJ168" s="93" t="s">
        <v>270</v>
      </c>
      <c r="AK168" s="93" t="s">
        <v>270</v>
      </c>
      <c r="AL168" s="93" t="s">
        <v>270</v>
      </c>
      <c r="AM168" s="93" t="s">
        <v>270</v>
      </c>
      <c r="AN168" s="93" t="s">
        <v>271</v>
      </c>
    </row>
    <row r="169" customFormat="false" ht="12.8" hidden="false" customHeight="false" outlineLevel="0" collapsed="false">
      <c r="A169" s="3" t="s">
        <v>272</v>
      </c>
      <c r="AH169" s="93" t="s">
        <v>273</v>
      </c>
      <c r="AI169" s="93" t="s">
        <v>273</v>
      </c>
      <c r="AJ169" s="93" t="s">
        <v>274</v>
      </c>
      <c r="AK169" s="93" t="s">
        <v>274</v>
      </c>
      <c r="AL169" s="93" t="s">
        <v>274</v>
      </c>
      <c r="AM169" s="93" t="s">
        <v>274</v>
      </c>
      <c r="AN169" s="93" t="s">
        <v>274</v>
      </c>
    </row>
    <row r="170" customFormat="false" ht="12.8" hidden="false" customHeight="false" outlineLevel="0" collapsed="false">
      <c r="A170" s="3" t="s">
        <v>275</v>
      </c>
      <c r="AH170" s="93" t="s">
        <v>265</v>
      </c>
      <c r="AI170" s="93" t="s">
        <v>265</v>
      </c>
      <c r="AJ170" s="93" t="s">
        <v>276</v>
      </c>
      <c r="AK170" s="93" t="s">
        <v>276</v>
      </c>
      <c r="AL170" s="93" t="s">
        <v>276</v>
      </c>
      <c r="AM170" s="93" t="s">
        <v>276</v>
      </c>
      <c r="AN170" s="93" t="s">
        <v>276</v>
      </c>
    </row>
    <row r="172" s="39" customFormat="true" ht="12.8" hidden="false" customHeight="fals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1"/>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2"/>
      <c r="EO172" s="32"/>
      <c r="EP172" s="32"/>
      <c r="EQ172" s="32"/>
      <c r="ER172" s="32"/>
    </row>
    <row r="173" s="39" customFormat="true" ht="12.8" hidden="false" customHeight="false" outlineLevel="0" collapsed="false">
      <c r="A173" s="3" t="s">
        <v>277</v>
      </c>
      <c r="B173" s="3" t="n">
        <v>9506</v>
      </c>
      <c r="C173" s="3" t="n">
        <v>5233</v>
      </c>
      <c r="D173" s="3" t="n">
        <v>6354</v>
      </c>
      <c r="E173" s="3" t="n">
        <v>6863</v>
      </c>
      <c r="F173" s="3" t="n">
        <v>9365</v>
      </c>
      <c r="G173" s="3" t="n">
        <v>898</v>
      </c>
      <c r="H173" s="3" t="n">
        <v>3570</v>
      </c>
      <c r="I173" s="3" t="n">
        <v>5942</v>
      </c>
      <c r="J173" s="3" t="n">
        <v>15008</v>
      </c>
      <c r="K173" s="3" t="n">
        <v>6299</v>
      </c>
      <c r="L173" s="3" t="n">
        <v>8818</v>
      </c>
      <c r="M173" s="3" t="n">
        <v>0</v>
      </c>
      <c r="N173" s="3" t="n">
        <v>12754</v>
      </c>
      <c r="O173" s="3" t="n">
        <v>10167</v>
      </c>
      <c r="P173" s="3" t="n">
        <v>3327</v>
      </c>
      <c r="Q173" s="3" t="n">
        <v>0</v>
      </c>
      <c r="R173" s="3" t="n">
        <v>0</v>
      </c>
      <c r="S173" s="3" t="n">
        <v>0</v>
      </c>
      <c r="T173" s="3" t="n">
        <v>4000</v>
      </c>
      <c r="U173" s="3" t="n">
        <v>4000</v>
      </c>
      <c r="V173" s="3" t="n">
        <v>4000</v>
      </c>
      <c r="W173" s="3" t="n">
        <v>4000</v>
      </c>
      <c r="X173" s="3"/>
      <c r="Y173" s="3"/>
      <c r="Z173" s="3" t="n">
        <v>0</v>
      </c>
      <c r="AA173" s="3" t="n">
        <v>0</v>
      </c>
      <c r="AB173" s="3" t="n">
        <v>0</v>
      </c>
      <c r="AC173" s="3" t="n">
        <v>0</v>
      </c>
      <c r="AD173" s="3" t="n">
        <v>0</v>
      </c>
      <c r="AE173" s="3" t="n">
        <v>0</v>
      </c>
      <c r="AF173" s="3" t="n">
        <v>1976</v>
      </c>
      <c r="AG173" s="3" t="n">
        <v>12879</v>
      </c>
      <c r="AH173" s="3" t="n">
        <v>4202</v>
      </c>
      <c r="AI173" s="3" t="n">
        <v>6272</v>
      </c>
      <c r="AJ173" s="3" t="n">
        <v>44537</v>
      </c>
      <c r="AK173" s="3" t="n">
        <v>27956</v>
      </c>
      <c r="AL173" s="3" t="n">
        <v>19774</v>
      </c>
      <c r="AM173" s="3" t="n">
        <v>30125</v>
      </c>
      <c r="AN173" s="3" t="n">
        <v>26248</v>
      </c>
      <c r="AO173" s="3"/>
      <c r="AP173" s="3"/>
      <c r="AQ173" s="3"/>
      <c r="AR173" s="1"/>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2"/>
      <c r="EO173" s="32"/>
      <c r="EP173" s="32"/>
      <c r="EQ173" s="32"/>
      <c r="ER173" s="32"/>
    </row>
    <row r="174" s="39" customFormat="true" ht="12.8" hidden="false" customHeight="false" outlineLevel="0" collapsed="false">
      <c r="A174" s="3" t="s">
        <v>179</v>
      </c>
      <c r="B174" s="3" t="n">
        <v>0</v>
      </c>
      <c r="C174" s="3" t="n">
        <v>0</v>
      </c>
      <c r="D174" s="3" t="n">
        <v>0</v>
      </c>
      <c r="E174" s="3" t="n">
        <v>0</v>
      </c>
      <c r="F174" s="3" t="n">
        <v>0</v>
      </c>
      <c r="G174" s="3" t="n">
        <v>0</v>
      </c>
      <c r="H174" s="3" t="n">
        <v>0</v>
      </c>
      <c r="I174" s="3" t="n">
        <v>0</v>
      </c>
      <c r="J174" s="3" t="n">
        <v>1273</v>
      </c>
      <c r="K174" s="3" t="n">
        <v>1266</v>
      </c>
      <c r="L174" s="3" t="n">
        <v>1263</v>
      </c>
      <c r="M174" s="3" t="n">
        <v>1269</v>
      </c>
      <c r="N174" s="3" t="n">
        <v>1329</v>
      </c>
      <c r="O174" s="3" t="n">
        <v>1327</v>
      </c>
      <c r="P174" s="3" t="n">
        <v>1330</v>
      </c>
      <c r="Q174" s="3" t="n">
        <v>1338</v>
      </c>
      <c r="R174" s="3" t="n">
        <v>1346</v>
      </c>
      <c r="S174" s="3" t="n">
        <v>1353</v>
      </c>
      <c r="T174" s="3" t="n">
        <f aca="false">+P174*1.012</f>
        <v>1345.96</v>
      </c>
      <c r="U174" s="3" t="n">
        <f aca="false">+Q174*1.012</f>
        <v>1354.056</v>
      </c>
      <c r="V174" s="3" t="n">
        <f aca="false">+R174*1.012</f>
        <v>1362.152</v>
      </c>
      <c r="W174" s="3" t="n">
        <f aca="false">+S174*1.012</f>
        <v>1369.236</v>
      </c>
      <c r="X174" s="3"/>
      <c r="Y174" s="3"/>
      <c r="Z174" s="3" t="n">
        <v>0</v>
      </c>
      <c r="AA174" s="3" t="n">
        <v>0</v>
      </c>
      <c r="AB174" s="3" t="n">
        <v>0</v>
      </c>
      <c r="AC174" s="3" t="n">
        <v>0</v>
      </c>
      <c r="AD174" s="3" t="n">
        <v>0</v>
      </c>
      <c r="AE174" s="3" t="n">
        <v>0</v>
      </c>
      <c r="AF174" s="3" t="n">
        <v>0</v>
      </c>
      <c r="AG174" s="3" t="n">
        <v>0</v>
      </c>
      <c r="AH174" s="3" t="n">
        <v>0</v>
      </c>
      <c r="AI174" s="3" t="n">
        <v>0</v>
      </c>
      <c r="AJ174" s="3" t="n">
        <v>0</v>
      </c>
      <c r="AK174" s="3" t="n">
        <v>0</v>
      </c>
      <c r="AL174" s="3" t="n">
        <v>0</v>
      </c>
      <c r="AM174" s="3" t="n">
        <v>5072</v>
      </c>
      <c r="AN174" s="3" t="n">
        <v>5324</v>
      </c>
      <c r="AO174" s="3"/>
      <c r="AP174" s="3"/>
      <c r="AQ174" s="3"/>
      <c r="AR174" s="1"/>
      <c r="AS174" s="3"/>
      <c r="AT174" s="3"/>
      <c r="AU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2"/>
      <c r="EO174" s="32"/>
      <c r="EP174" s="32"/>
      <c r="EQ174" s="32"/>
      <c r="ER174" s="32"/>
    </row>
    <row r="175" customFormat="false" ht="12.8" hidden="false" customHeight="false" outlineLevel="0" collapsed="false">
      <c r="A175" s="3" t="s">
        <v>278</v>
      </c>
      <c r="B175" s="3" t="n">
        <v>0</v>
      </c>
      <c r="C175" s="3" t="n">
        <v>0</v>
      </c>
      <c r="D175" s="3" t="n">
        <v>0</v>
      </c>
      <c r="E175" s="3" t="n">
        <v>0</v>
      </c>
      <c r="F175" s="3" t="n">
        <v>0</v>
      </c>
      <c r="G175" s="3" t="n">
        <v>0</v>
      </c>
      <c r="H175" s="3" t="n">
        <v>0</v>
      </c>
      <c r="I175" s="3" t="n">
        <v>0</v>
      </c>
      <c r="J175" s="3" t="n">
        <v>0</v>
      </c>
      <c r="K175" s="3" t="n">
        <v>0</v>
      </c>
      <c r="L175" s="3" t="n">
        <v>0</v>
      </c>
      <c r="M175" s="3" t="n">
        <v>0</v>
      </c>
      <c r="N175" s="3" t="n">
        <v>0</v>
      </c>
      <c r="O175" s="3" t="n">
        <v>0</v>
      </c>
      <c r="P175" s="3" t="n">
        <v>0</v>
      </c>
      <c r="Q175" s="3" t="n">
        <v>0</v>
      </c>
      <c r="R175" s="3" t="n">
        <v>0</v>
      </c>
      <c r="S175" s="3" t="n">
        <v>0</v>
      </c>
      <c r="T175" s="3" t="n">
        <v>0</v>
      </c>
      <c r="U175" s="3" t="n">
        <v>0</v>
      </c>
      <c r="V175" s="3" t="n">
        <v>0</v>
      </c>
      <c r="W175" s="3" t="n">
        <v>0</v>
      </c>
      <c r="Z175" s="3" t="n">
        <v>0</v>
      </c>
      <c r="AA175" s="3" t="n">
        <v>0</v>
      </c>
      <c r="AB175" s="3" t="n">
        <v>0</v>
      </c>
      <c r="AC175" s="3" t="n">
        <v>0</v>
      </c>
      <c r="AD175" s="3" t="n">
        <v>0</v>
      </c>
      <c r="AE175" s="3" t="n">
        <v>0</v>
      </c>
      <c r="AF175" s="3" t="n">
        <v>0</v>
      </c>
      <c r="AG175" s="3" t="n">
        <v>0</v>
      </c>
      <c r="AH175" s="3" t="n">
        <v>0</v>
      </c>
      <c r="AI175" s="3" t="n">
        <v>0</v>
      </c>
      <c r="AJ175" s="3" t="n">
        <v>0</v>
      </c>
      <c r="AK175" s="3" t="n">
        <v>0</v>
      </c>
      <c r="AL175" s="3" t="n">
        <v>0</v>
      </c>
      <c r="AM175" s="3" t="n">
        <v>0</v>
      </c>
      <c r="AN175" s="3" t="n">
        <v>0</v>
      </c>
      <c r="AV175" s="39"/>
      <c r="AW175" s="39"/>
    </row>
    <row r="176" s="39" customFormat="true" ht="10.5" hidden="false" customHeight="true" outlineLevel="0" collapsed="false">
      <c r="N176" s="39" t="n">
        <f aca="false">+N173/J173-1</f>
        <v>-0.150186567164179</v>
      </c>
      <c r="O176" s="39" t="n">
        <f aca="false">+O173/K173-1</f>
        <v>0.614065724718209</v>
      </c>
      <c r="P176" s="39" t="n">
        <f aca="false">+P173/L173-1</f>
        <v>-0.622703560898163</v>
      </c>
      <c r="Q176" s="39" t="e">
        <f aca="false">+Q173/M173-1</f>
        <v>#DIV/0!</v>
      </c>
      <c r="R176" s="39" t="n">
        <f aca="false">+R173/N173-1</f>
        <v>-1</v>
      </c>
      <c r="S176" s="39" t="n">
        <f aca="false">+S173/O173-1</f>
        <v>-1</v>
      </c>
      <c r="AG176" s="39" t="n">
        <f aca="false">+AG173/AF173-1</f>
        <v>5.51771255060729</v>
      </c>
      <c r="AH176" s="39" t="n">
        <f aca="false">+AH173/AG173-1</f>
        <v>-0.673732432642286</v>
      </c>
      <c r="AI176" s="39" t="n">
        <f aca="false">+AI173/AH173-1</f>
        <v>0.492622560685388</v>
      </c>
      <c r="AJ176" s="39" t="n">
        <f aca="false">+AJ173/AI173-1</f>
        <v>6.10092474489796</v>
      </c>
      <c r="AK176" s="39" t="n">
        <f aca="false">+AK173/AJ173-1</f>
        <v>-0.372297191099535</v>
      </c>
      <c r="AL176" s="39" t="n">
        <f aca="false">+AL173/AK173-1</f>
        <v>-0.292674202317928</v>
      </c>
      <c r="AM176" s="39" t="n">
        <f aca="false">+AM173/AL173-1</f>
        <v>0.523465156265804</v>
      </c>
      <c r="AN176" s="39" t="n">
        <f aca="false">+AN173/AM173-1</f>
        <v>-0.128697095435685</v>
      </c>
      <c r="EN176" s="32"/>
      <c r="EO176" s="32"/>
      <c r="EP176" s="32"/>
      <c r="EQ176" s="32"/>
      <c r="ER176" s="32"/>
    </row>
    <row r="177" s="39" customFormat="true" ht="10.5" hidden="false" customHeight="true" outlineLevel="0" collapsed="false">
      <c r="N177" s="39" t="n">
        <f aca="false">+N174/J174-1</f>
        <v>0.0439905734485468</v>
      </c>
      <c r="O177" s="39" t="n">
        <f aca="false">+O174/K174-1</f>
        <v>0.0481832543443919</v>
      </c>
      <c r="P177" s="39" t="n">
        <f aca="false">+P174/L174-1</f>
        <v>0.0530482977038798</v>
      </c>
      <c r="Q177" s="39" t="n">
        <f aca="false">+Q174/M174-1</f>
        <v>0.0543735224586288</v>
      </c>
      <c r="R177" s="39" t="n">
        <f aca="false">+R174/N174-1</f>
        <v>0.0127915726109857</v>
      </c>
      <c r="S177" s="39" t="n">
        <f aca="false">+S174/O174-1</f>
        <v>0.0195930670685758</v>
      </c>
      <c r="AG177" s="39" t="e">
        <f aca="false">+AG174/AF174-1</f>
        <v>#DIV/0!</v>
      </c>
      <c r="AH177" s="39" t="e">
        <f aca="false">+AH174/AG174-1</f>
        <v>#DIV/0!</v>
      </c>
      <c r="AI177" s="39" t="e">
        <f aca="false">+AI174/AH174-1</f>
        <v>#DIV/0!</v>
      </c>
      <c r="AJ177" s="39" t="e">
        <f aca="false">+AJ174/AI174-1</f>
        <v>#DIV/0!</v>
      </c>
      <c r="AK177" s="39" t="e">
        <f aca="false">+AK174/AJ174-1</f>
        <v>#DIV/0!</v>
      </c>
      <c r="AL177" s="39" t="e">
        <f aca="false">+AL174/AK174-1</f>
        <v>#DIV/0!</v>
      </c>
      <c r="AM177" s="39" t="e">
        <f aca="false">+AM174/AL174-1</f>
        <v>#DIV/0!</v>
      </c>
      <c r="AN177" s="39" t="n">
        <f aca="false">+AN174/AM174-1</f>
        <v>0.0496845425867507</v>
      </c>
      <c r="EN177" s="32"/>
      <c r="EO177" s="32"/>
      <c r="EP177" s="32"/>
      <c r="EQ177" s="32"/>
      <c r="ER177" s="32"/>
    </row>
    <row r="178" s="39" customFormat="true" ht="10.5" hidden="false" customHeight="true" outlineLevel="0" collapsed="false">
      <c r="N178" s="39" t="e">
        <f aca="false">+N175/J175-1</f>
        <v>#DIV/0!</v>
      </c>
      <c r="O178" s="39" t="e">
        <f aca="false">+O175/K175-1</f>
        <v>#DIV/0!</v>
      </c>
      <c r="P178" s="39" t="e">
        <f aca="false">+P175/L175-1</f>
        <v>#DIV/0!</v>
      </c>
      <c r="Q178" s="39" t="e">
        <f aca="false">+Q175/M175-1</f>
        <v>#DIV/0!</v>
      </c>
      <c r="R178" s="39" t="e">
        <f aca="false">+R175/N175-1</f>
        <v>#DIV/0!</v>
      </c>
      <c r="S178" s="39" t="e">
        <f aca="false">+S175/O175-1</f>
        <v>#DIV/0!</v>
      </c>
      <c r="AG178" s="39" t="e">
        <f aca="false">+AG175/AF175-1</f>
        <v>#DIV/0!</v>
      </c>
      <c r="AH178" s="39" t="e">
        <f aca="false">+AH175/AG175-1</f>
        <v>#DIV/0!</v>
      </c>
      <c r="AI178" s="39" t="e">
        <f aca="false">+AI175/AH175-1</f>
        <v>#DIV/0!</v>
      </c>
      <c r="AJ178" s="39" t="e">
        <f aca="false">+AJ175/AI175-1</f>
        <v>#DIV/0!</v>
      </c>
      <c r="AK178" s="39" t="e">
        <f aca="false">+AK175/AJ175-1</f>
        <v>#DIV/0!</v>
      </c>
      <c r="AL178" s="39" t="e">
        <f aca="false">+AL175/AK175-1</f>
        <v>#DIV/0!</v>
      </c>
      <c r="AM178" s="39" t="e">
        <f aca="false">+AM175/AL175-1</f>
        <v>#DIV/0!</v>
      </c>
      <c r="AN178" s="39" t="e">
        <f aca="false">+AN175/AM175-1</f>
        <v>#DIV/0!</v>
      </c>
      <c r="EN178" s="32"/>
      <c r="EO178" s="32"/>
      <c r="EP178" s="32"/>
      <c r="EQ178" s="32"/>
      <c r="ER178" s="32"/>
    </row>
    <row r="180" customFormat="false" ht="12.8" hidden="false" customHeight="false" outlineLevel="0" collapsed="false">
      <c r="A180" s="3" t="s">
        <v>279</v>
      </c>
      <c r="B180" s="3" t="n">
        <f aca="false">+B173+B174-B175</f>
        <v>9506</v>
      </c>
      <c r="C180" s="3" t="n">
        <f aca="false">+C173+C174-C175</f>
        <v>5233</v>
      </c>
      <c r="D180" s="3" t="n">
        <f aca="false">+D173+D174-D175</f>
        <v>6354</v>
      </c>
      <c r="E180" s="3" t="n">
        <f aca="false">+E173+E174-E175</f>
        <v>6863</v>
      </c>
      <c r="F180" s="3" t="n">
        <f aca="false">+F173+F174-F175</f>
        <v>9365</v>
      </c>
      <c r="G180" s="3" t="n">
        <f aca="false">+G173+G174-G175</f>
        <v>898</v>
      </c>
      <c r="H180" s="3" t="n">
        <f aca="false">+H173+H174-H175</f>
        <v>3570</v>
      </c>
      <c r="I180" s="3" t="n">
        <f aca="false">+I173+I174-I175</f>
        <v>5942</v>
      </c>
      <c r="J180" s="3" t="n">
        <f aca="false">+J173+J174-J175</f>
        <v>16281</v>
      </c>
      <c r="K180" s="3" t="n">
        <f aca="false">+K173+K174-K175</f>
        <v>7565</v>
      </c>
      <c r="L180" s="3" t="n">
        <f aca="false">+L173+L174-L175</f>
        <v>10081</v>
      </c>
      <c r="M180" s="3" t="n">
        <f aca="false">+M173+M174-M175</f>
        <v>1269</v>
      </c>
      <c r="N180" s="3" t="n">
        <f aca="false">+N173+N174-N175</f>
        <v>14083</v>
      </c>
      <c r="O180" s="3" t="n">
        <f aca="false">+O173+O174-O175</f>
        <v>11494</v>
      </c>
      <c r="P180" s="3" t="n">
        <f aca="false">+P173+P174-P175</f>
        <v>4657</v>
      </c>
      <c r="Q180" s="3" t="n">
        <f aca="false">+Q173+Q174-Q175</f>
        <v>1338</v>
      </c>
      <c r="R180" s="3" t="n">
        <f aca="false">+R173+R174-R175</f>
        <v>1346</v>
      </c>
      <c r="S180" s="3" t="n">
        <f aca="false">+S173+S174-S175</f>
        <v>1353</v>
      </c>
      <c r="T180" s="3" t="n">
        <f aca="false">+T173+T174-T175</f>
        <v>5345.96</v>
      </c>
      <c r="U180" s="3" t="n">
        <f aca="false">+U173+U174-U175</f>
        <v>5354.056</v>
      </c>
      <c r="V180" s="3" t="n">
        <f aca="false">+V173+V174-V175</f>
        <v>5362.152</v>
      </c>
      <c r="W180" s="3" t="n">
        <f aca="false">+W173+W174-W175</f>
        <v>5369.236</v>
      </c>
      <c r="Z180" s="3" t="n">
        <f aca="false">+Z173+Z174-Z175</f>
        <v>0</v>
      </c>
      <c r="AA180" s="3" t="n">
        <f aca="false">+AA173+AA174-AA175</f>
        <v>0</v>
      </c>
      <c r="AB180" s="3" t="n">
        <f aca="false">+AB173+AB174-AB175</f>
        <v>0</v>
      </c>
      <c r="AC180" s="3" t="n">
        <f aca="false">+AC173+AC174-AC175</f>
        <v>0</v>
      </c>
      <c r="AD180" s="3" t="n">
        <f aca="false">+AD173+AD174-AD175</f>
        <v>0</v>
      </c>
      <c r="AE180" s="3" t="n">
        <f aca="false">+AE173+AE174-AE175</f>
        <v>0</v>
      </c>
      <c r="AF180" s="3" t="n">
        <f aca="false">+AF173+AF174-AF175</f>
        <v>1976</v>
      </c>
      <c r="AG180" s="3" t="n">
        <f aca="false">+AG173+AG174-AG175</f>
        <v>12879</v>
      </c>
      <c r="AH180" s="3" t="n">
        <f aca="false">+AH173+AH174-AH175</f>
        <v>4202</v>
      </c>
      <c r="AI180" s="3" t="n">
        <f aca="false">+AI173+AI174-AI175</f>
        <v>6272</v>
      </c>
      <c r="AJ180" s="3" t="n">
        <f aca="false">+AJ173+AJ174-AJ175</f>
        <v>44537</v>
      </c>
      <c r="AK180" s="3" t="n">
        <f aca="false">+AK173+AK174-AK175</f>
        <v>27956</v>
      </c>
      <c r="AL180" s="3" t="n">
        <f aca="false">+AL173+AL174-AL175</f>
        <v>19774</v>
      </c>
      <c r="AM180" s="3" t="n">
        <f aca="false">+AM173+AM174-AM175</f>
        <v>35197</v>
      </c>
      <c r="AN180" s="3" t="n">
        <f aca="false">+AN173+AN174-AN175</f>
        <v>31572</v>
      </c>
    </row>
    <row r="188" customFormat="false" ht="12.8" hidden="false" customHeight="false" outlineLevel="0" collapsed="false">
      <c r="A188" s="3" t="s">
        <v>280</v>
      </c>
      <c r="Q188" s="3" t="n">
        <v>98040</v>
      </c>
      <c r="S188" s="3" t="n">
        <v>119683</v>
      </c>
    </row>
  </sheetData>
  <mergeCells count="1">
    <mergeCell ref="BA65:BB65"/>
  </mergeCells>
  <hyperlinks>
    <hyperlink ref="A1" r:id="rId2" location="Main" display="Main"/>
  </hyperlink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true" showRowColHeaders="true" showZeros="true" rightToLeft="false" tabSelected="false" showOutlineSymbols="true" defaultGridColor="true" view="normal" topLeftCell="A1" colorId="64" zoomScale="50" zoomScaleNormal="50" zoomScalePageLayoutView="100" workbookViewId="0">
      <selection pane="topLeft" activeCell="D31" activeCellId="0" sqref="D31"/>
    </sheetView>
  </sheetViews>
  <sheetFormatPr defaultColWidth="11.53515625" defaultRowHeight="12.8" customHeight="false" zeroHeight="false" outlineLevelRow="0" outlineLevelCol="0"/>
  <cols>
    <col collapsed="false" customWidth="false" hidden="false" outlineLevel="0" max="1" min="1" style="1" width="11.53"/>
    <col collapsed="false" customWidth="true" hidden="false" outlineLevel="0" max="2" min="2" style="1" width="15.97"/>
    <col collapsed="false" customWidth="true" hidden="false" outlineLevel="0" max="3" min="3" style="94" width="8.81"/>
    <col collapsed="false" customWidth="true" hidden="false" outlineLevel="0" max="4" min="4" style="1" width="12.2"/>
    <col collapsed="false" customWidth="true" hidden="false" outlineLevel="0" max="5" min="5" style="1" width="15.08"/>
    <col collapsed="false" customWidth="false" hidden="false" outlineLevel="0" max="16384" min="6" style="1" width="11.53"/>
  </cols>
  <sheetData>
    <row r="1" customFormat="false" ht="12.8" hidden="false" customHeight="false" outlineLevel="0" collapsed="false">
      <c r="A1" s="95" t="s">
        <v>106</v>
      </c>
    </row>
    <row r="3" customFormat="false" ht="12.8" hidden="false" customHeight="false" outlineLevel="0" collapsed="false">
      <c r="B3" s="1" t="s">
        <v>281</v>
      </c>
      <c r="C3" s="96" t="s">
        <v>282</v>
      </c>
      <c r="D3" s="1" t="s">
        <v>283</v>
      </c>
      <c r="E3" s="1" t="s">
        <v>284</v>
      </c>
      <c r="F3" s="1" t="s">
        <v>285</v>
      </c>
      <c r="G3" s="1" t="s">
        <v>286</v>
      </c>
      <c r="H3" s="1" t="s">
        <v>287</v>
      </c>
    </row>
    <row r="4" customFormat="false" ht="12.8" hidden="false" customHeight="false" outlineLevel="0" collapsed="false">
      <c r="B4" s="1" t="s">
        <v>288</v>
      </c>
      <c r="C4" s="96" t="n">
        <v>3.5</v>
      </c>
      <c r="D4" s="1" t="s">
        <v>289</v>
      </c>
      <c r="E4" s="1" t="s">
        <v>290</v>
      </c>
      <c r="F4" s="9" t="s">
        <v>291</v>
      </c>
      <c r="G4" s="1" t="s">
        <v>292</v>
      </c>
    </row>
    <row r="5" customFormat="false" ht="12.8" hidden="false" customHeight="false" outlineLevel="0" collapsed="false">
      <c r="B5" s="1" t="s">
        <v>293</v>
      </c>
      <c r="C5" s="96" t="n">
        <v>3.5</v>
      </c>
      <c r="D5" s="1" t="s">
        <v>289</v>
      </c>
      <c r="E5" s="1" t="s">
        <v>290</v>
      </c>
      <c r="F5" s="9" t="s">
        <v>291</v>
      </c>
      <c r="G5" s="1" t="s">
        <v>292</v>
      </c>
    </row>
    <row r="6" customFormat="false" ht="12.8" hidden="false" customHeight="false" outlineLevel="0" collapsed="false">
      <c r="B6" s="1" t="s">
        <v>294</v>
      </c>
      <c r="C6" s="96" t="n">
        <v>3.5</v>
      </c>
      <c r="D6" s="1" t="s">
        <v>289</v>
      </c>
      <c r="E6" s="1" t="s">
        <v>290</v>
      </c>
      <c r="F6" s="9" t="s">
        <v>291</v>
      </c>
      <c r="G6" s="1" t="s">
        <v>292</v>
      </c>
    </row>
    <row r="7" customFormat="false" ht="12.8" hidden="false" customHeight="false" outlineLevel="0" collapsed="false">
      <c r="B7" s="1" t="s">
        <v>295</v>
      </c>
      <c r="C7" s="96" t="n">
        <v>4.6</v>
      </c>
      <c r="D7" s="1" t="s">
        <v>289</v>
      </c>
      <c r="E7" s="1" t="s">
        <v>296</v>
      </c>
      <c r="F7" s="9" t="s">
        <v>291</v>
      </c>
      <c r="G7" s="1" t="s">
        <v>292</v>
      </c>
    </row>
    <row r="8" customFormat="false" ht="12.8" hidden="false" customHeight="false" outlineLevel="0" collapsed="false">
      <c r="B8" s="1" t="s">
        <v>297</v>
      </c>
      <c r="C8" s="96" t="n">
        <v>4.3</v>
      </c>
      <c r="D8" s="1" t="s">
        <v>289</v>
      </c>
      <c r="E8" s="1" t="s">
        <v>298</v>
      </c>
      <c r="F8" s="9" t="s">
        <v>291</v>
      </c>
      <c r="G8" s="1" t="s">
        <v>292</v>
      </c>
    </row>
    <row r="9" customFormat="false" ht="12.8" hidden="false" customHeight="false" outlineLevel="0" collapsed="false">
      <c r="B9" s="1" t="s">
        <v>299</v>
      </c>
      <c r="C9" s="96" t="n">
        <v>4.8</v>
      </c>
      <c r="D9" s="1" t="s">
        <v>289</v>
      </c>
      <c r="E9" s="1" t="s">
        <v>300</v>
      </c>
      <c r="F9" s="9" t="s">
        <v>291</v>
      </c>
      <c r="G9" s="1" t="s">
        <v>292</v>
      </c>
    </row>
    <row r="10" customFormat="false" ht="12.8" hidden="false" customHeight="false" outlineLevel="0" collapsed="false">
      <c r="B10" s="1" t="s">
        <v>301</v>
      </c>
      <c r="C10" s="96" t="n">
        <v>4.2</v>
      </c>
      <c r="D10" s="1" t="s">
        <v>289</v>
      </c>
      <c r="E10" s="1" t="s">
        <v>302</v>
      </c>
      <c r="F10" s="9" t="s">
        <v>291</v>
      </c>
      <c r="G10" s="1" t="s">
        <v>292</v>
      </c>
    </row>
    <row r="11" customFormat="false" ht="12.8" hidden="false" customHeight="false" outlineLevel="0" collapsed="false">
      <c r="B11" s="1" t="s">
        <v>303</v>
      </c>
      <c r="C11" s="96" t="n">
        <v>4.55</v>
      </c>
      <c r="D11" s="1" t="s">
        <v>289</v>
      </c>
      <c r="E11" s="1" t="s">
        <v>304</v>
      </c>
      <c r="F11" s="9" t="s">
        <v>291</v>
      </c>
      <c r="G11" s="1" t="s">
        <v>292</v>
      </c>
    </row>
    <row r="12" customFormat="false" ht="12.8" hidden="false" customHeight="false" outlineLevel="0" collapsed="false">
      <c r="B12" s="1" t="s">
        <v>305</v>
      </c>
      <c r="C12" s="96" t="n">
        <v>3.85</v>
      </c>
      <c r="D12" s="1" t="s">
        <v>289</v>
      </c>
      <c r="E12" s="1" t="s">
        <v>306</v>
      </c>
      <c r="F12" s="9" t="s">
        <v>291</v>
      </c>
      <c r="G12" s="1" t="s">
        <v>292</v>
      </c>
    </row>
    <row r="13" customFormat="false" ht="12.8" hidden="false" customHeight="false" outlineLevel="0" collapsed="false">
      <c r="B13" s="1" t="s">
        <v>307</v>
      </c>
      <c r="C13" s="96" t="n">
        <v>3.85</v>
      </c>
      <c r="D13" s="1" t="s">
        <v>289</v>
      </c>
      <c r="E13" s="1" t="s">
        <v>306</v>
      </c>
      <c r="F13" s="9" t="s">
        <v>291</v>
      </c>
      <c r="G13" s="1" t="s">
        <v>292</v>
      </c>
    </row>
    <row r="14" customFormat="false" ht="12.8" hidden="false" customHeight="false" outlineLevel="0" collapsed="false">
      <c r="B14" s="1" t="s">
        <v>308</v>
      </c>
      <c r="C14" s="96" t="n">
        <v>3.85</v>
      </c>
      <c r="D14" s="1" t="s">
        <v>289</v>
      </c>
      <c r="E14" s="1" t="s">
        <v>306</v>
      </c>
      <c r="F14" s="9" t="s">
        <v>291</v>
      </c>
      <c r="G14" s="1" t="s">
        <v>292</v>
      </c>
    </row>
    <row r="15" customFormat="false" ht="12.8" hidden="false" customHeight="false" outlineLevel="0" collapsed="false">
      <c r="B15" s="1" t="s">
        <v>309</v>
      </c>
      <c r="C15" s="96" t="n">
        <v>4.6</v>
      </c>
      <c r="D15" s="1" t="s">
        <v>289</v>
      </c>
      <c r="E15" s="1" t="s">
        <v>310</v>
      </c>
      <c r="F15" s="9" t="s">
        <v>291</v>
      </c>
      <c r="G15" s="1" t="s">
        <v>292</v>
      </c>
    </row>
    <row r="16" customFormat="false" ht="12.8" hidden="false" customHeight="false" outlineLevel="0" collapsed="false">
      <c r="B16" s="1" t="s">
        <v>311</v>
      </c>
      <c r="C16" s="96" t="n">
        <v>4.95</v>
      </c>
      <c r="D16" s="1" t="s">
        <v>289</v>
      </c>
      <c r="E16" s="1" t="s">
        <v>312</v>
      </c>
      <c r="F16" s="9" t="s">
        <v>291</v>
      </c>
      <c r="G16" s="1" t="s">
        <v>292</v>
      </c>
    </row>
    <row r="17" customFormat="false" ht="12.8" hidden="false" customHeight="false" outlineLevel="0" collapsed="false">
      <c r="B17" s="1" t="s">
        <v>313</v>
      </c>
      <c r="C17" s="96" t="n">
        <v>4.75</v>
      </c>
      <c r="D17" s="1" t="s">
        <v>289</v>
      </c>
      <c r="E17" s="1" t="s">
        <v>314</v>
      </c>
      <c r="F17" s="9" t="s">
        <v>291</v>
      </c>
      <c r="G17" s="1" t="s">
        <v>292</v>
      </c>
    </row>
    <row r="18" customFormat="false" ht="12.8" hidden="false" customHeight="false" outlineLevel="0" collapsed="false">
      <c r="B18" s="1" t="s">
        <v>315</v>
      </c>
      <c r="C18" s="96" t="n">
        <v>4.875</v>
      </c>
      <c r="D18" s="1" t="s">
        <v>289</v>
      </c>
      <c r="E18" s="1" t="s">
        <v>316</v>
      </c>
      <c r="F18" s="9" t="s">
        <v>291</v>
      </c>
      <c r="G18" s="1" t="s">
        <v>292</v>
      </c>
    </row>
    <row r="19" customFormat="false" ht="12.8" hidden="false" customHeight="false" outlineLevel="0" collapsed="false">
      <c r="B19" s="1" t="s">
        <v>317</v>
      </c>
      <c r="C19" s="96" t="n">
        <v>5.5</v>
      </c>
      <c r="D19" s="1" t="s">
        <v>289</v>
      </c>
      <c r="E19" s="1" t="s">
        <v>318</v>
      </c>
      <c r="F19" s="9" t="s">
        <v>291</v>
      </c>
      <c r="G19" s="1" t="s">
        <v>292</v>
      </c>
    </row>
    <row r="20" customFormat="false" ht="12.8" hidden="false" customHeight="false" outlineLevel="0" collapsed="false">
      <c r="B20" s="1" t="s">
        <v>319</v>
      </c>
      <c r="C20" s="96" t="n">
        <v>4.45</v>
      </c>
      <c r="D20" s="1" t="s">
        <v>289</v>
      </c>
      <c r="E20" s="1" t="s">
        <v>320</v>
      </c>
      <c r="F20" s="9" t="s">
        <v>291</v>
      </c>
      <c r="G20" s="1" t="s">
        <v>292</v>
      </c>
    </row>
    <row r="21" customFormat="false" ht="12.8" hidden="false" customHeight="false" outlineLevel="0" collapsed="false">
      <c r="B21" s="1" t="s">
        <v>321</v>
      </c>
      <c r="C21" s="96" t="n">
        <v>4.45</v>
      </c>
      <c r="D21" s="1" t="s">
        <v>289</v>
      </c>
      <c r="E21" s="1" t="s">
        <v>320</v>
      </c>
      <c r="F21" s="9" t="s">
        <v>291</v>
      </c>
      <c r="G21" s="1" t="s">
        <v>292</v>
      </c>
    </row>
    <row r="22" customFormat="false" ht="12.8" hidden="false" customHeight="false" outlineLevel="0" collapsed="false">
      <c r="B22" s="1" t="s">
        <v>322</v>
      </c>
      <c r="C22" s="96" t="n">
        <v>4.45</v>
      </c>
      <c r="D22" s="1" t="s">
        <v>289</v>
      </c>
      <c r="E22" s="1" t="s">
        <v>320</v>
      </c>
      <c r="F22" s="9" t="s">
        <v>291</v>
      </c>
      <c r="G22" s="1" t="s">
        <v>292</v>
      </c>
    </row>
    <row r="23" customFormat="false" ht="12.8" hidden="false" customHeight="false" outlineLevel="0" collapsed="false">
      <c r="B23" s="1" t="s">
        <v>323</v>
      </c>
      <c r="C23" s="96" t="n">
        <v>5.6</v>
      </c>
      <c r="D23" s="1" t="s">
        <v>289</v>
      </c>
      <c r="E23" s="1" t="s">
        <v>324</v>
      </c>
      <c r="F23" s="9" t="s">
        <v>291</v>
      </c>
      <c r="G23" s="1" t="s">
        <v>292</v>
      </c>
    </row>
    <row r="24" customFormat="false" ht="12.8" hidden="false" customHeight="false" outlineLevel="0" collapsed="false">
      <c r="B24" s="1" t="s">
        <v>325</v>
      </c>
      <c r="C24" s="96" t="n">
        <v>5.4</v>
      </c>
      <c r="D24" s="1" t="s">
        <v>289</v>
      </c>
      <c r="E24" s="1" t="s">
        <v>326</v>
      </c>
      <c r="F24" s="9" t="s">
        <v>291</v>
      </c>
      <c r="G24" s="1" t="s">
        <v>292</v>
      </c>
    </row>
    <row r="25" customFormat="false" ht="12.8" hidden="false" customHeight="false" outlineLevel="0" collapsed="false">
      <c r="B25" s="1" t="s">
        <v>327</v>
      </c>
      <c r="C25" s="96" t="n">
        <v>5.625</v>
      </c>
      <c r="D25" s="1" t="s">
        <v>289</v>
      </c>
      <c r="E25" s="1" t="s">
        <v>328</v>
      </c>
      <c r="F25" s="9" t="s">
        <v>291</v>
      </c>
      <c r="G25" s="1" t="s">
        <v>292</v>
      </c>
    </row>
    <row r="26" customFormat="false" ht="12.8" hidden="false" customHeight="false" outlineLevel="0" collapsed="false">
      <c r="B26" s="1" t="s">
        <v>329</v>
      </c>
      <c r="C26" s="96" t="n">
        <v>4.65</v>
      </c>
      <c r="D26" s="1" t="s">
        <v>289</v>
      </c>
      <c r="E26" s="1" t="s">
        <v>330</v>
      </c>
      <c r="F26" s="9" t="s">
        <v>291</v>
      </c>
      <c r="G26" s="1" t="s">
        <v>292</v>
      </c>
    </row>
    <row r="27" customFormat="false" ht="12.8" hidden="false" customHeight="false" outlineLevel="0" collapsed="false">
      <c r="B27" s="1" t="s">
        <v>331</v>
      </c>
      <c r="C27" s="96" t="n">
        <v>4.65</v>
      </c>
      <c r="D27" s="1" t="s">
        <v>289</v>
      </c>
      <c r="E27" s="1" t="s">
        <v>330</v>
      </c>
      <c r="F27" s="9" t="s">
        <v>291</v>
      </c>
      <c r="G27" s="1" t="s">
        <v>292</v>
      </c>
    </row>
    <row r="28" customFormat="false" ht="12.8" hidden="false" customHeight="false" outlineLevel="0" collapsed="false">
      <c r="B28" s="1" t="s">
        <v>332</v>
      </c>
      <c r="C28" s="96" t="n">
        <v>4.65</v>
      </c>
      <c r="D28" s="1" t="s">
        <v>289</v>
      </c>
      <c r="E28" s="1" t="s">
        <v>330</v>
      </c>
      <c r="F28" s="9" t="s">
        <v>291</v>
      </c>
      <c r="G28" s="1" t="s">
        <v>292</v>
      </c>
    </row>
    <row r="29" customFormat="false" ht="12.8" hidden="false" customHeight="false" outlineLevel="0" collapsed="false">
      <c r="B29" s="1" t="s">
        <v>333</v>
      </c>
      <c r="C29" s="96" t="n">
        <v>5.75</v>
      </c>
      <c r="D29" s="1" t="s">
        <v>289</v>
      </c>
      <c r="E29" s="1" t="s">
        <v>334</v>
      </c>
      <c r="F29" s="9" t="s">
        <v>291</v>
      </c>
      <c r="G29" s="1" t="s">
        <v>292</v>
      </c>
    </row>
    <row r="30" customFormat="false" ht="12.8" hidden="false" customHeight="false" outlineLevel="0" collapsed="false">
      <c r="B30" s="1" t="s">
        <v>335</v>
      </c>
      <c r="C30" s="96" t="n">
        <v>5.55</v>
      </c>
      <c r="D30" s="1" t="s">
        <v>289</v>
      </c>
      <c r="E30" s="1" t="s">
        <v>336</v>
      </c>
      <c r="F30" s="9" t="s">
        <v>291</v>
      </c>
      <c r="G30" s="1" t="s">
        <v>292</v>
      </c>
    </row>
    <row r="31" customFormat="false" ht="12.8" hidden="false" customHeight="false" outlineLevel="0" collapsed="false">
      <c r="B31" s="1" t="s">
        <v>337</v>
      </c>
      <c r="C31" s="96" t="n">
        <v>5.75</v>
      </c>
      <c r="D31" s="1" t="s">
        <v>289</v>
      </c>
      <c r="E31" s="1" t="s">
        <v>338</v>
      </c>
      <c r="F31" s="9" t="s">
        <v>291</v>
      </c>
      <c r="G31" s="1" t="s">
        <v>292</v>
      </c>
      <c r="H31" s="19" t="n">
        <v>60402</v>
      </c>
    </row>
    <row r="32" customFormat="false" ht="12.8" hidden="false" customHeight="false" outlineLevel="0" collapsed="false">
      <c r="B32" s="97"/>
      <c r="C32" s="98" t="n">
        <f aca="false">+AVERAGE(C4:C31)</f>
        <v>4.64821428571429</v>
      </c>
      <c r="D32" s="97"/>
      <c r="E32" s="97"/>
      <c r="F32" s="97"/>
      <c r="G32" s="97"/>
    </row>
    <row r="33" customFormat="false" ht="12.8" hidden="false" customHeight="false" outlineLevel="0" collapsed="false">
      <c r="B33" s="97"/>
      <c r="C33" s="98"/>
      <c r="D33" s="97"/>
      <c r="E33" s="97"/>
      <c r="F33" s="97"/>
      <c r="G33" s="97"/>
    </row>
  </sheetData>
  <hyperlinks>
    <hyperlink ref="A1" r:id="rId1" location="Main" display="Main"/>
  </hyperlink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true" showRowColHeaders="true" showZeros="true" rightToLeft="false" tabSelected="false" showOutlineSymbols="true" defaultGridColor="true" view="normal" topLeftCell="A1" colorId="64" zoomScale="50" zoomScaleNormal="50" zoomScalePageLayoutView="100" workbookViewId="0">
      <selection pane="topLeft" activeCell="P50" activeCellId="0" sqref="P50"/>
    </sheetView>
  </sheetViews>
  <sheetFormatPr defaultColWidth="11.53515625" defaultRowHeight="12.8" customHeight="false" zeroHeight="false" outlineLevelRow="0" outlineLevelCol="0"/>
  <cols>
    <col collapsed="false" customWidth="true" hidden="false" outlineLevel="0" max="1" min="1" style="2" width="26.22"/>
    <col collapsed="false" customWidth="false" hidden="false" outlineLevel="0" max="16384" min="2" style="1" width="11.53"/>
  </cols>
  <sheetData>
    <row r="1" customFormat="false" ht="12.8" hidden="false" customHeight="false" outlineLevel="0" collapsed="false">
      <c r="A1" s="95" t="s">
        <v>106</v>
      </c>
    </row>
    <row r="2" customFormat="false" ht="12.8" hidden="false" customHeight="false" outlineLevel="0" collapsed="false">
      <c r="A2" s="10" t="s">
        <v>339</v>
      </c>
      <c r="B2" s="1" t="s">
        <v>340</v>
      </c>
      <c r="G2" s="1" t="s">
        <v>341</v>
      </c>
      <c r="H2" s="25" t="s">
        <v>342</v>
      </c>
    </row>
    <row r="5" customFormat="false" ht="12.8" hidden="false" customHeight="false" outlineLevel="0" collapsed="false">
      <c r="A5" s="10" t="s">
        <v>343</v>
      </c>
      <c r="B5" s="1" t="s">
        <v>344</v>
      </c>
    </row>
    <row r="6" customFormat="false" ht="12.8" hidden="false" customHeight="false" outlineLevel="0" collapsed="false">
      <c r="B6" s="4" t="s">
        <v>3</v>
      </c>
      <c r="C6" s="1" t="s">
        <v>345</v>
      </c>
    </row>
    <row r="8" customFormat="false" ht="12.8" hidden="false" customHeight="false" outlineLevel="0" collapsed="false">
      <c r="A8" s="10" t="s">
        <v>346</v>
      </c>
      <c r="B8" s="1" t="s">
        <v>347</v>
      </c>
    </row>
    <row r="11" customFormat="false" ht="12.8" hidden="false" customHeight="false" outlineLevel="0" collapsed="false">
      <c r="A11" s="10" t="s">
        <v>348</v>
      </c>
    </row>
    <row r="14" customFormat="false" ht="12.8" hidden="false" customHeight="false" outlineLevel="0" collapsed="false">
      <c r="A14" s="10" t="s">
        <v>349</v>
      </c>
      <c r="B14" s="1" t="s">
        <v>350</v>
      </c>
    </row>
    <row r="15" customFormat="false" ht="12.8" hidden="false" customHeight="false" outlineLevel="0" collapsed="false">
      <c r="B15" s="4" t="s">
        <v>3</v>
      </c>
      <c r="C15" s="1" t="s">
        <v>351</v>
      </c>
    </row>
    <row r="17" customFormat="false" ht="12.8" hidden="false" customHeight="false" outlineLevel="0" collapsed="false">
      <c r="A17" s="10" t="s">
        <v>352</v>
      </c>
      <c r="B17" s="1" t="s">
        <v>353</v>
      </c>
    </row>
    <row r="20" customFormat="false" ht="12.8" hidden="false" customHeight="false" outlineLevel="0" collapsed="false">
      <c r="A20" s="10" t="s">
        <v>354</v>
      </c>
      <c r="B20" s="1" t="s">
        <v>355</v>
      </c>
      <c r="E20" s="9" t="s">
        <v>3</v>
      </c>
      <c r="F20" s="10" t="s">
        <v>356</v>
      </c>
    </row>
    <row r="23" customFormat="false" ht="12.8" hidden="false" customHeight="false" outlineLevel="0" collapsed="false">
      <c r="A23" s="10" t="s">
        <v>357</v>
      </c>
      <c r="B23" s="1" t="s">
        <v>358</v>
      </c>
    </row>
    <row r="26" customFormat="false" ht="12.8" hidden="false" customHeight="false" outlineLevel="0" collapsed="false">
      <c r="A26" s="10" t="s">
        <v>359</v>
      </c>
      <c r="B26" s="1" t="s">
        <v>360</v>
      </c>
    </row>
    <row r="29" customFormat="false" ht="12.8" hidden="false" customHeight="false" outlineLevel="0" collapsed="false">
      <c r="A29" s="10" t="s">
        <v>361</v>
      </c>
      <c r="B29" s="1" t="s">
        <v>362</v>
      </c>
    </row>
    <row r="32" customFormat="false" ht="12.8" hidden="false" customHeight="false" outlineLevel="0" collapsed="false">
      <c r="A32" s="10" t="s">
        <v>363</v>
      </c>
      <c r="B32" s="1" t="s">
        <v>364</v>
      </c>
    </row>
    <row r="35" customFormat="false" ht="12.8" hidden="false" customHeight="false" outlineLevel="0" collapsed="false">
      <c r="A35" s="10" t="s">
        <v>365</v>
      </c>
      <c r="B35" s="1" t="s">
        <v>366</v>
      </c>
    </row>
    <row r="38" customFormat="false" ht="12.8" hidden="false" customHeight="false" outlineLevel="0" collapsed="false">
      <c r="A38" s="10" t="s">
        <v>367</v>
      </c>
      <c r="B38" s="1" t="s">
        <v>368</v>
      </c>
    </row>
    <row r="41" customFormat="false" ht="12.8" hidden="false" customHeight="false" outlineLevel="0" collapsed="false">
      <c r="A41" s="10" t="s">
        <v>369</v>
      </c>
      <c r="B41" s="1" t="s">
        <v>370</v>
      </c>
    </row>
    <row r="44" customFormat="false" ht="12.8" hidden="false" customHeight="false" outlineLevel="0" collapsed="false">
      <c r="A44" s="10" t="s">
        <v>371</v>
      </c>
      <c r="B44" s="1" t="s">
        <v>372</v>
      </c>
    </row>
  </sheetData>
  <hyperlinks>
    <hyperlink ref="A1" r:id="rId1" location="Main" display="Main"/>
  </hyperlink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2"/>
</worksheet>
</file>

<file path=docProps/app.xml><?xml version="1.0" encoding="utf-8"?>
<Properties xmlns="http://schemas.openxmlformats.org/officeDocument/2006/extended-properties" xmlns:vt="http://schemas.openxmlformats.org/officeDocument/2006/docPropsVTypes">
  <Template/>
  <TotalTime>16403</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2026-02-21T22:54:48Z</dcterms:created>
  <dc:creator/>
  <dc:description/>
  <dc:language>en-US</dc:language>
  <cp:lastModifiedBy/>
  <dcterms:modified xsi:type="dcterms:W3CDTF">2026-09-15T21:57:56Z</dcterms:modified>
  <cp:revision>408</cp:revision>
  <dc:subject/>
  <dc:title/>
</cp:coreProperties>
</file>

<file path=docProps/custom.xml><?xml version="1.0" encoding="utf-8"?>
<Properties xmlns="http://schemas.openxmlformats.org/officeDocument/2006/custom-properties" xmlns:vt="http://schemas.openxmlformats.org/officeDocument/2006/docPropsVTypes"/>
</file>