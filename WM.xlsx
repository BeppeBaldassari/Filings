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in" sheetId="1" state="visible" r:id="rId3"/>
    <sheet name="Model" sheetId="2" state="visible" r:id="rId4"/>
    <sheet name="Bond" sheetId="3" state="visible" r:id="rId5"/>
  </sheets>
  <externalReferences>
    <externalReference r:id="rId6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<sst xmlns="http://schemas.openxmlformats.org/spreadsheetml/2006/main" count="386" uniqueCount="194">
  <si>
    <t xml:space="preserve">Waste Management Inc.</t>
  </si>
  <si>
    <t xml:space="preserve">Price</t>
  </si>
  <si>
    <t xml:space="preserve">Share</t>
  </si>
  <si>
    <t xml:space="preserve">Q226</t>
  </si>
  <si>
    <t xml:space="preserve">MC</t>
  </si>
  <si>
    <t xml:space="preserve">Cash</t>
  </si>
  <si>
    <t xml:space="preserve">Debt</t>
  </si>
  <si>
    <t xml:space="preserve">EV</t>
  </si>
  <si>
    <t xml:space="preserve">CAPM</t>
  </si>
  <si>
    <t xml:space="preserve">WACC</t>
  </si>
  <si>
    <t xml:space="preserve">BETA</t>
  </si>
  <si>
    <t xml:space="preserve">PEG</t>
  </si>
  <si>
    <t xml:space="preserve">Cost of Debt</t>
  </si>
  <si>
    <t xml:space="preserve">FPE</t>
  </si>
  <si>
    <t xml:space="preserve">P/B</t>
  </si>
  <si>
    <t xml:space="preserve">Cr Spread</t>
  </si>
  <si>
    <t xml:space="preserve">Cr Rating</t>
  </si>
  <si>
    <t xml:space="preserve">A-</t>
  </si>
  <si>
    <t xml:space="preserve">A3</t>
  </si>
  <si>
    <t xml:space="preserve">S&amp;P</t>
  </si>
  <si>
    <t xml:space="preserve">Moody’s</t>
  </si>
  <si>
    <t xml:space="preserve">Solid Waste Business, managed locally</t>
  </si>
  <si>
    <t xml:space="preserve">WM Renewable Energy, operated through landfills gas-to-energy to produce RNG (Renewable Natural Gas)</t>
  </si>
  <si>
    <t xml:space="preserve">Following 2024 Sterilcycle they have been developing also Heathcare waste solutions.</t>
  </si>
  <si>
    <t xml:space="preserve">Main</t>
  </si>
  <si>
    <t xml:space="preserve">in Million</t>
  </si>
  <si>
    <t xml:space="preserve">Q124</t>
  </si>
  <si>
    <t xml:space="preserve">Q224</t>
  </si>
  <si>
    <t xml:space="preserve">Q324</t>
  </si>
  <si>
    <t xml:space="preserve">Q424</t>
  </si>
  <si>
    <t xml:space="preserve">Q125</t>
  </si>
  <si>
    <t xml:space="preserve">Q225</t>
  </si>
  <si>
    <t xml:space="preserve">Q325</t>
  </si>
  <si>
    <t xml:space="preserve">Q425</t>
  </si>
  <si>
    <t xml:space="preserve">Q126</t>
  </si>
  <si>
    <t xml:space="preserve">Q326</t>
  </si>
  <si>
    <t xml:space="preserve">Q426</t>
  </si>
  <si>
    <t xml:space="preserve">Commercial</t>
  </si>
  <si>
    <t xml:space="preserve">Y/Y</t>
  </si>
  <si>
    <t xml:space="preserve">Industrial</t>
  </si>
  <si>
    <t xml:space="preserve">Residential</t>
  </si>
  <si>
    <t xml:space="preserve">Other Collection</t>
  </si>
  <si>
    <t xml:space="preserve">Total Collection</t>
  </si>
  <si>
    <t xml:space="preserve">Landfill</t>
  </si>
  <si>
    <t xml:space="preserve">Transfer</t>
  </si>
  <si>
    <t xml:space="preserve">Total Collection and Disposal</t>
  </si>
  <si>
    <t xml:space="preserve">Recycling Processing</t>
  </si>
  <si>
    <t xml:space="preserve">Renewable Energy</t>
  </si>
  <si>
    <t xml:space="preserve">WM Business</t>
  </si>
  <si>
    <t xml:space="preserve">WM Healthcare</t>
  </si>
  <si>
    <t xml:space="preserve">Corporate and Other</t>
  </si>
  <si>
    <t xml:space="preserve">Revenues</t>
  </si>
  <si>
    <t xml:space="preserve">COGS</t>
  </si>
  <si>
    <t xml:space="preserve">Gross Profit</t>
  </si>
  <si>
    <t xml:space="preserve">SG&amp;A</t>
  </si>
  <si>
    <t xml:space="preserve">D&amp;A</t>
  </si>
  <si>
    <t xml:space="preserve">Restructuring</t>
  </si>
  <si>
    <t xml:space="preserve">Loss from divesture</t>
  </si>
  <si>
    <t xml:space="preserve">OP Exp</t>
  </si>
  <si>
    <t xml:space="preserve">EBIT</t>
  </si>
  <si>
    <t xml:space="preserve">Interest Exp</t>
  </si>
  <si>
    <t xml:space="preserve">Other</t>
  </si>
  <si>
    <t xml:space="preserve">EBT</t>
  </si>
  <si>
    <t xml:space="preserve">Taxes</t>
  </si>
  <si>
    <t xml:space="preserve">Net Income</t>
  </si>
  <si>
    <t xml:space="preserve">NCI</t>
  </si>
  <si>
    <t xml:space="preserve">Net Income WM</t>
  </si>
  <si>
    <t xml:space="preserve">EPS</t>
  </si>
  <si>
    <t xml:space="preserve">Shares</t>
  </si>
  <si>
    <t xml:space="preserve">Gordon Growth Model</t>
  </si>
  <si>
    <t xml:space="preserve">Gross Margin</t>
  </si>
  <si>
    <t xml:space="preserve">Terminal</t>
  </si>
  <si>
    <t xml:space="preserve">Sustained growth</t>
  </si>
  <si>
    <t xml:space="preserve">OP Margin</t>
  </si>
  <si>
    <t xml:space="preserve">Discount</t>
  </si>
  <si>
    <t xml:space="preserve">Payout ratio</t>
  </si>
  <si>
    <t xml:space="preserve">NI Margin</t>
  </si>
  <si>
    <t xml:space="preserve">ROIC</t>
  </si>
  <si>
    <t xml:space="preserve">Equity Value</t>
  </si>
  <si>
    <t xml:space="preserve">Tax Rate</t>
  </si>
  <si>
    <t xml:space="preserve">NPV</t>
  </si>
  <si>
    <t xml:space="preserve">Just. P/E</t>
  </si>
  <si>
    <t xml:space="preserve">Inc Margin</t>
  </si>
  <si>
    <t xml:space="preserve">Diff</t>
  </si>
  <si>
    <t xml:space="preserve">Dividend Yield</t>
  </si>
  <si>
    <t xml:space="preserve">Dividends</t>
  </si>
  <si>
    <t xml:space="preserve">Debt-to-EBITDA</t>
  </si>
  <si>
    <t xml:space="preserve">BVPS</t>
  </si>
  <si>
    <t xml:space="preserve">Net Income / PPE</t>
  </si>
  <si>
    <t xml:space="preserve">ROE</t>
  </si>
  <si>
    <t xml:space="preserve">ROA</t>
  </si>
  <si>
    <t xml:space="preserve">Asset Turnover</t>
  </si>
  <si>
    <t xml:space="preserve">Financial Leverage</t>
  </si>
  <si>
    <t xml:space="preserve">Financial Leverage %</t>
  </si>
  <si>
    <t xml:space="preserve">Ev</t>
  </si>
  <si>
    <t xml:space="preserve">Debt (-)</t>
  </si>
  <si>
    <t xml:space="preserve">NWC</t>
  </si>
  <si>
    <t xml:space="preserve">Cash (+)</t>
  </si>
  <si>
    <t xml:space="preserve">NOPAT</t>
  </si>
  <si>
    <t xml:space="preserve">UFCF</t>
  </si>
  <si>
    <t xml:space="preserve">TV</t>
  </si>
  <si>
    <t xml:space="preserve">EBITDA</t>
  </si>
  <si>
    <t xml:space="preserve">Net Cash</t>
  </si>
  <si>
    <t xml:space="preserve">A/R</t>
  </si>
  <si>
    <t xml:space="preserve">Other Receivables</t>
  </si>
  <si>
    <t xml:space="preserve">Parts and Supplies</t>
  </si>
  <si>
    <t xml:space="preserve">Other, curr</t>
  </si>
  <si>
    <t xml:space="preserve">PP&amp;E</t>
  </si>
  <si>
    <t xml:space="preserve">Goodwill</t>
  </si>
  <si>
    <t xml:space="preserve">Intangible</t>
  </si>
  <si>
    <t xml:space="preserve">Restricted Funds</t>
  </si>
  <si>
    <t xml:space="preserve">Investments</t>
  </si>
  <si>
    <t xml:space="preserve">Other, non curr</t>
  </si>
  <si>
    <t xml:space="preserve">A/P</t>
  </si>
  <si>
    <t xml:space="preserve">Accr. Liabilities</t>
  </si>
  <si>
    <t xml:space="preserve">D/R</t>
  </si>
  <si>
    <t xml:space="preserve">D/T</t>
  </si>
  <si>
    <t xml:space="preserve">Landfill Liabilities</t>
  </si>
  <si>
    <t xml:space="preserve">L</t>
  </si>
  <si>
    <t xml:space="preserve">Stock</t>
  </si>
  <si>
    <t xml:space="preserve">APIC</t>
  </si>
  <si>
    <t xml:space="preserve">Retained Earnings</t>
  </si>
  <si>
    <t xml:space="preserve">AOCI</t>
  </si>
  <si>
    <t xml:space="preserve">Treasury Stocks</t>
  </si>
  <si>
    <t xml:space="preserve">SE</t>
  </si>
  <si>
    <t xml:space="preserve">L+SE</t>
  </si>
  <si>
    <t xml:space="preserve">Model NI</t>
  </si>
  <si>
    <t xml:space="preserve">Interest accretion</t>
  </si>
  <si>
    <t xml:space="preserve">Bad Debt</t>
  </si>
  <si>
    <t xml:space="preserve">SBC</t>
  </si>
  <si>
    <t xml:space="preserve">Gain Disposal Assets</t>
  </si>
  <si>
    <t xml:space="preserve">Loss divesture Assets</t>
  </si>
  <si>
    <t xml:space="preserve">Loss Unconsolidated entitis</t>
  </si>
  <si>
    <t xml:space="preserve">Other Assets</t>
  </si>
  <si>
    <t xml:space="preserve">CFFO</t>
  </si>
  <si>
    <t xml:space="preserve">Cap Ex</t>
  </si>
  <si>
    <t xml:space="preserve">FCF</t>
  </si>
  <si>
    <t xml:space="preserve">DSO</t>
  </si>
  <si>
    <t xml:space="preserve">DPO</t>
  </si>
  <si>
    <t xml:space="preserve">CCC</t>
  </si>
  <si>
    <t xml:space="preserve">Share Issuance</t>
  </si>
  <si>
    <t xml:space="preserve">Share Repurchase</t>
  </si>
  <si>
    <t xml:space="preserve">Total SH return</t>
  </si>
  <si>
    <t xml:space="preserve">ISIN</t>
  </si>
  <si>
    <t xml:space="preserve">Bond Type</t>
  </si>
  <si>
    <t xml:space="preserve">Immediate Issuer</t>
  </si>
  <si>
    <t xml:space="preserve">Coupon (%)</t>
  </si>
  <si>
    <t xml:space="preserve">Maturity Date</t>
  </si>
  <si>
    <t xml:space="preserve">Callable</t>
  </si>
  <si>
    <t xml:space="preserve">Currency</t>
  </si>
  <si>
    <t xml:space="preserve">Seniority Level</t>
  </si>
  <si>
    <t xml:space="preserve">Yield To Worst</t>
  </si>
  <si>
    <t xml:space="preserve">US94106LBX64</t>
  </si>
  <si>
    <t xml:space="preserve">-</t>
  </si>
  <si>
    <t xml:space="preserve">Waste Management, Inc.</t>
  </si>
  <si>
    <t xml:space="preserve">Yes</t>
  </si>
  <si>
    <t xml:space="preserve">USD</t>
  </si>
  <si>
    <t xml:space="preserve">Senior</t>
  </si>
  <si>
    <t xml:space="preserve">US94106LBE83</t>
  </si>
  <si>
    <t xml:space="preserve">US94106LBN82</t>
  </si>
  <si>
    <t xml:space="preserve">US94106LCB36</t>
  </si>
  <si>
    <t xml:space="preserve">US902917AH67</t>
  </si>
  <si>
    <t xml:space="preserve">US858912AC34</t>
  </si>
  <si>
    <t xml:space="preserve">Stericycle, Inc.</t>
  </si>
  <si>
    <t xml:space="preserve">US94106LBZ13</t>
  </si>
  <si>
    <t xml:space="preserve">US94106LCA52</t>
  </si>
  <si>
    <t xml:space="preserve">USU85881AC12</t>
  </si>
  <si>
    <t xml:space="preserve">USU94106AK47</t>
  </si>
  <si>
    <t xml:space="preserve">US94106LBV09</t>
  </si>
  <si>
    <t xml:space="preserve">US94106LAG41</t>
  </si>
  <si>
    <t xml:space="preserve">US94106LBQ14</t>
  </si>
  <si>
    <t xml:space="preserve">US94106LBT52</t>
  </si>
  <si>
    <t xml:space="preserve">US94106LCC19</t>
  </si>
  <si>
    <t xml:space="preserve">US94106LBP31</t>
  </si>
  <si>
    <t xml:space="preserve">US94106LBY48</t>
  </si>
  <si>
    <t xml:space="preserve">US94106LCD91</t>
  </si>
  <si>
    <t xml:space="preserve">US94106LBS79</t>
  </si>
  <si>
    <t xml:space="preserve">US94106LAN91</t>
  </si>
  <si>
    <t xml:space="preserve">US94106LBU26</t>
  </si>
  <si>
    <t xml:space="preserve">CA94107TAB76</t>
  </si>
  <si>
    <t xml:space="preserve">Waste Management of Canada Corp.</t>
  </si>
  <si>
    <t xml:space="preserve">CAD</t>
  </si>
  <si>
    <t xml:space="preserve">US94106LBW81</t>
  </si>
  <si>
    <t xml:space="preserve">US94106LBB45</t>
  </si>
  <si>
    <t xml:space="preserve">US94106LCE74</t>
  </si>
  <si>
    <t xml:space="preserve">US94106LAV18</t>
  </si>
  <si>
    <t xml:space="preserve">US94106LBR96</t>
  </si>
  <si>
    <t xml:space="preserve">US94106LBC28</t>
  </si>
  <si>
    <t xml:space="preserve">US94106LBK44</t>
  </si>
  <si>
    <t xml:space="preserve">US94106LBM00</t>
  </si>
  <si>
    <t xml:space="preserve">US94106LCF40</t>
  </si>
  <si>
    <t xml:space="preserve">US89351YAA70</t>
  </si>
  <si>
    <t xml:space="preserve">TransAmerican Waste Industries, I...</t>
  </si>
  <si>
    <t xml:space="preserve">--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</si>
</sst>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0%"/>
    <numFmt numFmtId="167" formatCode="#,##0.00\x"/>
    <numFmt numFmtId="168" formatCode="#,##0.00"/>
    <numFmt numFmtId="169" formatCode="#,##0.00;\(#,##0.00\);\-"/>
    <numFmt numFmtId="170" formatCode="0.00%;\(0.00%\);\-"/>
    <numFmt numFmtId="171" formatCode="0%"/>
    <numFmt numFmtId="172" formatCode="0.00&quot;bp&quot;"/>
    <numFmt numFmtId="173" formatCode="mm/dd/yy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2"/>
      <charset val="1"/>
    </font>
    <font>
      <b val="true"/>
      <sz val="13"/>
      <name val="Arial"/>
      <family val="2"/>
      <charset val="1"/>
    </font>
    <font>
      <sz val="10"/>
      <color rgb="FF0000FF"/>
      <name val="Arial"/>
      <family val="2"/>
      <charset val="1"/>
    </font>
    <font>
      <i val="true"/>
      <sz val="8"/>
      <color rgb="FF666666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EEE"/>
        <bgColor rgb="FFDDDDDD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96969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90360</xdr:colOff>
      <xdr:row>0</xdr:row>
      <xdr:rowOff>140760</xdr:rowOff>
    </xdr:from>
    <xdr:to>
      <xdr:col>11</xdr:col>
      <xdr:colOff>90360</xdr:colOff>
      <xdr:row>159</xdr:row>
      <xdr:rowOff>130680</xdr:rowOff>
    </xdr:to>
    <xdr:sp>
      <xdr:nvSpPr>
        <xdr:cNvPr id="1" name="Line 1"/>
        <xdr:cNvSpPr/>
      </xdr:nvSpPr>
      <xdr:spPr>
        <a:xfrm>
          <a:off x="9563400" y="140760"/>
          <a:ext cx="0" cy="246103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22</xdr:col>
      <xdr:colOff>119520</xdr:colOff>
      <xdr:row>1</xdr:row>
      <xdr:rowOff>23400</xdr:rowOff>
    </xdr:from>
    <xdr:to>
      <xdr:col>22</xdr:col>
      <xdr:colOff>120240</xdr:colOff>
      <xdr:row>160</xdr:row>
      <xdr:rowOff>32760</xdr:rowOff>
    </xdr:to>
    <xdr:sp>
      <xdr:nvSpPr>
        <xdr:cNvPr id="2" name="Vertical line 1"/>
        <xdr:cNvSpPr/>
      </xdr:nvSpPr>
      <xdr:spPr>
        <a:xfrm>
          <a:off x="18533160" y="186120"/>
          <a:ext cx="720" cy="246294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18</xdr:col>
      <xdr:colOff>97560</xdr:colOff>
      <xdr:row>1</xdr:row>
      <xdr:rowOff>35640</xdr:rowOff>
    </xdr:from>
    <xdr:to>
      <xdr:col>18</xdr:col>
      <xdr:colOff>97560</xdr:colOff>
      <xdr:row>27</xdr:row>
      <xdr:rowOff>128880</xdr:rowOff>
    </xdr:to>
    <xdr:sp>
      <xdr:nvSpPr>
        <xdr:cNvPr id="3" name="Line 2"/>
        <xdr:cNvSpPr/>
      </xdr:nvSpPr>
      <xdr:spPr>
        <a:xfrm>
          <a:off x="15260040" y="198360"/>
          <a:ext cx="0" cy="39690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Bond%20Analys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ero-rate curve US"/>
      <sheetName val="Credit Spread US"/>
      <sheetName val="Zero-rate curve ECB"/>
    </sheetNames>
    <sheetDataSet>
      <sheetData sheetId="0"/>
      <sheetData sheetId="1"/>
      <sheetData sheetId="2">
        <row r="6">
          <cell r="J6">
            <v>0.784782608695652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WM.xlsx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9" activeCellId="0" sqref="E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43"/>
  </cols>
  <sheetData>
    <row r="1" customFormat="false" ht="12.8" hidden="false" customHeight="false" outlineLevel="0" collapsed="false">
      <c r="A1" s="2" t="s">
        <v>0</v>
      </c>
      <c r="E1" s="3" t="s">
        <v>1</v>
      </c>
      <c r="F1" s="4" t="n">
        <v>225</v>
      </c>
    </row>
    <row r="2" customFormat="false" ht="12.8" hidden="false" customHeight="false" outlineLevel="0" collapsed="false">
      <c r="E2" s="3" t="s">
        <v>2</v>
      </c>
      <c r="F2" s="4" t="n">
        <v>399.715184</v>
      </c>
      <c r="G2" s="5" t="s">
        <v>3</v>
      </c>
    </row>
    <row r="3" customFormat="false" ht="12.8" hidden="false" customHeight="false" outlineLevel="0" collapsed="false">
      <c r="E3" s="3" t="s">
        <v>4</v>
      </c>
      <c r="F3" s="4" t="n">
        <f aca="false">+F1*F2</f>
        <v>89935.9164</v>
      </c>
    </row>
    <row r="4" customFormat="false" ht="12.8" hidden="false" customHeight="false" outlineLevel="0" collapsed="false">
      <c r="E4" s="3" t="s">
        <v>5</v>
      </c>
      <c r="F4" s="4" t="n">
        <v>557</v>
      </c>
      <c r="G4" s="5" t="s">
        <v>3</v>
      </c>
    </row>
    <row r="5" customFormat="false" ht="12.8" hidden="false" customHeight="false" outlineLevel="0" collapsed="false">
      <c r="E5" s="3" t="s">
        <v>6</v>
      </c>
      <c r="F5" s="6" t="n">
        <f aca="false">+22281+1075</f>
        <v>23356</v>
      </c>
      <c r="G5" s="5" t="s">
        <v>3</v>
      </c>
    </row>
    <row r="6" customFormat="false" ht="12.8" hidden="false" customHeight="false" outlineLevel="0" collapsed="false">
      <c r="E6" s="3" t="s">
        <v>7</v>
      </c>
      <c r="F6" s="7" t="n">
        <f aca="false">+F3-F4+F5</f>
        <v>112734.9164</v>
      </c>
    </row>
    <row r="9" customFormat="false" ht="16.15" hidden="false" customHeight="false" outlineLevel="0" collapsed="false">
      <c r="A9" s="8" t="s">
        <v>8</v>
      </c>
      <c r="B9" s="9" t="n">
        <f aca="false">+0.0495+B10*(0.1-0.0495)</f>
        <v>0.07172</v>
      </c>
      <c r="C9" s="8"/>
      <c r="D9" s="8" t="s">
        <v>9</v>
      </c>
      <c r="E9" s="9" t="n">
        <f aca="false">+(F3/(F3+F5))*B9+(F5/(F3+F5))*B11*(1-Model!V70)</f>
        <v>0.0662757013968866</v>
      </c>
    </row>
    <row r="10" customFormat="false" ht="16.15" hidden="false" customHeight="false" outlineLevel="0" collapsed="false">
      <c r="A10" s="8" t="s">
        <v>10</v>
      </c>
      <c r="B10" s="8" t="n">
        <v>0.44</v>
      </c>
      <c r="C10" s="8"/>
      <c r="D10" s="8" t="s">
        <v>11</v>
      </c>
      <c r="E10" s="8"/>
    </row>
    <row r="11" customFormat="false" ht="16.15" hidden="false" customHeight="false" outlineLevel="0" collapsed="false">
      <c r="A11" s="8" t="s">
        <v>12</v>
      </c>
      <c r="B11" s="9" t="n">
        <f aca="false">+0.0495+(B17/100)</f>
        <v>0.057304347826087</v>
      </c>
      <c r="C11" s="8"/>
      <c r="D11" s="8" t="s">
        <v>13</v>
      </c>
      <c r="E11" s="8"/>
    </row>
    <row r="12" customFormat="false" ht="16.15" hidden="false" customHeight="false" outlineLevel="0" collapsed="false">
      <c r="A12" s="8"/>
      <c r="B12" s="8"/>
      <c r="C12" s="8"/>
      <c r="D12" s="8"/>
      <c r="E12" s="8"/>
    </row>
    <row r="13" customFormat="false" ht="16.15" hidden="false" customHeight="false" outlineLevel="0" collapsed="false">
      <c r="A13" s="8"/>
      <c r="B13" s="8"/>
      <c r="C13" s="8"/>
      <c r="D13" s="8" t="s">
        <v>14</v>
      </c>
      <c r="E13" s="10" t="n">
        <f aca="false">+F1/Model!K75</f>
        <v>9.12241813602015</v>
      </c>
    </row>
    <row r="14" customFormat="false" ht="16.15" hidden="false" customHeight="false" outlineLevel="0" collapsed="false">
      <c r="A14" s="8"/>
      <c r="B14" s="8"/>
      <c r="C14" s="8"/>
      <c r="D14" s="8"/>
      <c r="E14" s="8"/>
    </row>
    <row r="15" customFormat="false" ht="16.15" hidden="false" customHeight="false" outlineLevel="0" collapsed="false">
      <c r="A15" s="8"/>
      <c r="B15" s="8"/>
      <c r="C15" s="8"/>
      <c r="D15" s="8"/>
      <c r="E15" s="8"/>
    </row>
    <row r="16" customFormat="false" ht="16.15" hidden="false" customHeight="false" outlineLevel="0" collapsed="false">
      <c r="A16" s="8"/>
      <c r="B16" s="8"/>
      <c r="C16" s="8"/>
      <c r="D16" s="8"/>
      <c r="E16" s="8"/>
    </row>
    <row r="17" customFormat="false" ht="16.15" hidden="false" customHeight="false" outlineLevel="0" collapsed="false">
      <c r="A17" s="8" t="s">
        <v>15</v>
      </c>
      <c r="B17" s="11" t="n">
        <f aca="false">+'[1]Credit Spread US'!J6</f>
        <v>0.780434782608696</v>
      </c>
      <c r="C17" s="8"/>
      <c r="D17" s="8"/>
      <c r="E17" s="8"/>
    </row>
    <row r="18" customFormat="false" ht="16.15" hidden="false" customHeight="false" outlineLevel="0" collapsed="false">
      <c r="A18" s="8" t="s">
        <v>16</v>
      </c>
      <c r="B18" s="8" t="s">
        <v>17</v>
      </c>
      <c r="C18" s="8" t="s">
        <v>18</v>
      </c>
      <c r="D18" s="8"/>
      <c r="E18" s="8"/>
    </row>
    <row r="19" customFormat="false" ht="16.15" hidden="false" customHeight="false" outlineLevel="0" collapsed="false">
      <c r="A19" s="8"/>
      <c r="B19" s="8" t="s">
        <v>19</v>
      </c>
      <c r="C19" s="8" t="s">
        <v>20</v>
      </c>
      <c r="D19" s="8"/>
      <c r="E19" s="8"/>
    </row>
    <row r="32" customFormat="false" ht="12.8" hidden="false" customHeight="false" outlineLevel="0" collapsed="false">
      <c r="A32" s="3" t="s">
        <v>21</v>
      </c>
    </row>
    <row r="34" customFormat="false" ht="12.8" hidden="false" customHeight="false" outlineLevel="0" collapsed="false">
      <c r="A34" s="3" t="s">
        <v>22</v>
      </c>
    </row>
    <row r="36" customFormat="false" ht="12.8" hidden="false" customHeight="false" outlineLevel="0" collapsed="false">
      <c r="A36" s="3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170"/>
  <sheetViews>
    <sheetView showFormulas="false" showGridLines="fals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1" ySplit="2" topLeftCell="AH56" activePane="bottomRight" state="frozen"/>
      <selection pane="topLeft" activeCell="A1" activeCellId="0" sqref="A1"/>
      <selection pane="topRight" activeCell="AH1" activeCellId="0" sqref="AH1"/>
      <selection pane="bottomLeft" activeCell="A56" activeCellId="0" sqref="A56"/>
      <selection pane="bottomRight" activeCell="AP70" activeCellId="0" sqref="AP7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3" width="19.08"/>
    <col collapsed="false" customWidth="false" hidden="false" outlineLevel="0" max="37" min="2" style="6" width="11.53"/>
    <col collapsed="false" customWidth="true" hidden="false" outlineLevel="0" max="38" min="38" style="6" width="15.25"/>
    <col collapsed="false" customWidth="false" hidden="false" outlineLevel="0" max="16384" min="39" style="6" width="11.53"/>
  </cols>
  <sheetData>
    <row r="1" s="3" customFormat="true" ht="12.8" hidden="false" customHeight="false" outlineLevel="0" collapsed="false">
      <c r="A1" s="12" t="s">
        <v>24</v>
      </c>
    </row>
    <row r="2" s="5" customFormat="true" ht="12.8" hidden="false" customHeight="false" outlineLevel="0" collapsed="false">
      <c r="A2" s="13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33</v>
      </c>
      <c r="J2" s="5" t="s">
        <v>34</v>
      </c>
      <c r="K2" s="5" t="s">
        <v>3</v>
      </c>
      <c r="L2" s="5" t="s">
        <v>35</v>
      </c>
      <c r="M2" s="5" t="s">
        <v>36</v>
      </c>
      <c r="Q2" s="5" t="n">
        <v>2020</v>
      </c>
      <c r="R2" s="5" t="n">
        <f aca="false">+Q2+1</f>
        <v>2021</v>
      </c>
      <c r="S2" s="5" t="n">
        <f aca="false">+R2+1</f>
        <v>2022</v>
      </c>
      <c r="T2" s="5" t="n">
        <f aca="false">+S2+1</f>
        <v>2023</v>
      </c>
      <c r="U2" s="5" t="n">
        <f aca="false">+T2+1</f>
        <v>2024</v>
      </c>
      <c r="V2" s="5" t="n">
        <f aca="false">+U2+1</f>
        <v>2025</v>
      </c>
      <c r="W2" s="5" t="n">
        <f aca="false">+V2+1</f>
        <v>2026</v>
      </c>
      <c r="X2" s="5" t="n">
        <f aca="false">+W2+1</f>
        <v>2027</v>
      </c>
      <c r="Y2" s="5" t="n">
        <f aca="false">+X2+1</f>
        <v>2028</v>
      </c>
      <c r="Z2" s="5" t="n">
        <f aca="false">+Y2+1</f>
        <v>2029</v>
      </c>
      <c r="AA2" s="5" t="n">
        <f aca="false">+Z2+1</f>
        <v>2030</v>
      </c>
      <c r="AB2" s="5" t="n">
        <f aca="false">+AA2+1</f>
        <v>2031</v>
      </c>
      <c r="AC2" s="5" t="n">
        <f aca="false">+AB2+1</f>
        <v>2032</v>
      </c>
      <c r="AD2" s="5" t="n">
        <f aca="false">+AC2+1</f>
        <v>2033</v>
      </c>
      <c r="AE2" s="5" t="n">
        <f aca="false">+AD2+1</f>
        <v>2034</v>
      </c>
      <c r="AF2" s="5" t="n">
        <f aca="false">+AE2+1</f>
        <v>2035</v>
      </c>
      <c r="AG2" s="5" t="n">
        <f aca="false">+AF2+1</f>
        <v>2036</v>
      </c>
    </row>
    <row r="3" s="14" customFormat="true" ht="12.8" hidden="false" customHeight="false" outlineLevel="0" collapsed="false">
      <c r="A3" s="3"/>
    </row>
    <row r="4" s="14" customFormat="true" ht="12.8" hidden="false" customHeight="false" outlineLevel="0" collapsed="false">
      <c r="A4" s="3" t="s">
        <v>37</v>
      </c>
      <c r="B4" s="14" t="n">
        <v>1316</v>
      </c>
      <c r="C4" s="14" t="n">
        <v>1330</v>
      </c>
      <c r="D4" s="14" t="n">
        <v>1359</v>
      </c>
      <c r="E4" s="14" t="n">
        <v>1366</v>
      </c>
      <c r="F4" s="14" t="n">
        <v>1380</v>
      </c>
      <c r="G4" s="14" t="n">
        <v>1398</v>
      </c>
      <c r="H4" s="14" t="n">
        <v>1419</v>
      </c>
      <c r="I4" s="14" t="n">
        <v>1433</v>
      </c>
      <c r="J4" s="14" t="n">
        <v>1429</v>
      </c>
      <c r="K4" s="14" t="n">
        <v>1485</v>
      </c>
      <c r="Q4" s="14" t="n">
        <v>4102</v>
      </c>
      <c r="R4" s="14" t="n">
        <v>4760</v>
      </c>
      <c r="S4" s="14" t="n">
        <v>4860</v>
      </c>
      <c r="T4" s="14" t="n">
        <v>5109</v>
      </c>
      <c r="U4" s="14" t="n">
        <v>5371</v>
      </c>
      <c r="V4" s="14" t="n">
        <v>5630</v>
      </c>
    </row>
    <row r="5" s="16" customFormat="true" ht="10.5" hidden="false" customHeight="true" outlineLevel="0" collapsed="false">
      <c r="A5" s="15" t="s">
        <v>38</v>
      </c>
      <c r="F5" s="15" t="n">
        <f aca="false">+F4/B4-1</f>
        <v>0.0486322188449848</v>
      </c>
      <c r="G5" s="15" t="n">
        <f aca="false">+G4/C4-1</f>
        <v>0.0511278195488722</v>
      </c>
      <c r="H5" s="15" t="n">
        <f aca="false">+H4/D4-1</f>
        <v>0.0441501103752759</v>
      </c>
      <c r="I5" s="15" t="n">
        <f aca="false">+I4/E4-1</f>
        <v>0.0490483162518303</v>
      </c>
      <c r="J5" s="15" t="n">
        <f aca="false">+J4/F4-1</f>
        <v>0.0355072463768116</v>
      </c>
      <c r="K5" s="15" t="n">
        <f aca="false">+K4/G4-1</f>
        <v>0.0622317596566524</v>
      </c>
      <c r="Q5" s="15"/>
      <c r="R5" s="15" t="n">
        <f aca="false">+R4/Q4-1</f>
        <v>0.160409556313993</v>
      </c>
      <c r="S5" s="15"/>
      <c r="T5" s="15" t="n">
        <f aca="false">+T4/S4-1</f>
        <v>0.0512345679012345</v>
      </c>
      <c r="U5" s="15" t="n">
        <f aca="false">+U4/T4-1</f>
        <v>0.0512820512820513</v>
      </c>
      <c r="V5" s="15" t="n">
        <f aca="false">+V4/U4-1</f>
        <v>0.0482219326010054</v>
      </c>
    </row>
    <row r="6" s="14" customFormat="true" ht="12.8" hidden="false" customHeight="false" outlineLevel="0" collapsed="false">
      <c r="A6" s="3" t="s">
        <v>39</v>
      </c>
      <c r="B6" s="14" t="n">
        <v>747</v>
      </c>
      <c r="C6" s="14" t="n">
        <v>779</v>
      </c>
      <c r="D6" s="14" t="n">
        <v>797</v>
      </c>
      <c r="E6" s="14" t="n">
        <v>766</v>
      </c>
      <c r="F6" s="14" t="n">
        <v>741</v>
      </c>
      <c r="G6" s="14" t="n">
        <v>790</v>
      </c>
      <c r="H6" s="14" t="n">
        <v>808</v>
      </c>
      <c r="I6" s="14" t="n">
        <v>767</v>
      </c>
      <c r="J6" s="14" t="n">
        <v>758</v>
      </c>
      <c r="K6" s="14" t="n">
        <v>820</v>
      </c>
      <c r="Q6" s="14" t="n">
        <v>2716</v>
      </c>
      <c r="R6" s="14" t="n">
        <v>3210</v>
      </c>
      <c r="S6" s="14" t="n">
        <v>3025</v>
      </c>
      <c r="T6" s="14" t="n">
        <v>3083</v>
      </c>
      <c r="U6" s="14" t="n">
        <v>3089</v>
      </c>
      <c r="V6" s="14" t="n">
        <v>3106</v>
      </c>
    </row>
    <row r="7" s="16" customFormat="true" ht="10.5" hidden="false" customHeight="true" outlineLevel="0" collapsed="false">
      <c r="A7" s="15" t="s">
        <v>38</v>
      </c>
      <c r="F7" s="15" t="n">
        <f aca="false">+F6/B6-1</f>
        <v>-0.00803212851405621</v>
      </c>
      <c r="G7" s="15" t="n">
        <f aca="false">+G6/C6-1</f>
        <v>0.0141206675224648</v>
      </c>
      <c r="H7" s="15" t="n">
        <f aca="false">+H6/D6-1</f>
        <v>0.013801756587202</v>
      </c>
      <c r="I7" s="15" t="n">
        <f aca="false">+I6/E6-1</f>
        <v>0.00130548302872069</v>
      </c>
      <c r="J7" s="15" t="n">
        <f aca="false">+J6/F6-1</f>
        <v>0.0229419703103915</v>
      </c>
      <c r="K7" s="15" t="n">
        <f aca="false">+K6/G6-1</f>
        <v>0.0379746835443038</v>
      </c>
      <c r="Q7" s="15"/>
      <c r="R7" s="15" t="n">
        <f aca="false">+R6/Q6-1</f>
        <v>0.181885125184094</v>
      </c>
      <c r="S7" s="15"/>
      <c r="T7" s="15" t="n">
        <f aca="false">+T6/S6-1</f>
        <v>0.0191735537190083</v>
      </c>
      <c r="U7" s="15" t="n">
        <f aca="false">+U6/T6-1</f>
        <v>0.00194615634122597</v>
      </c>
      <c r="V7" s="15" t="n">
        <f aca="false">+V6/U6-1</f>
        <v>0.00550339915830356</v>
      </c>
    </row>
    <row r="8" s="14" customFormat="true" ht="12.8" hidden="false" customHeight="false" outlineLevel="0" collapsed="false">
      <c r="A8" s="3" t="s">
        <v>40</v>
      </c>
      <c r="B8" s="14" t="n">
        <v>854</v>
      </c>
      <c r="C8" s="14" t="n">
        <v>863</v>
      </c>
      <c r="D8" s="14" t="n">
        <v>875</v>
      </c>
      <c r="E8" s="14" t="n">
        <v>874</v>
      </c>
      <c r="F8" s="14" t="n">
        <v>872</v>
      </c>
      <c r="G8" s="14" t="n">
        <v>872</v>
      </c>
      <c r="H8" s="14" t="n">
        <v>884</v>
      </c>
      <c r="I8" s="14" t="n">
        <v>882</v>
      </c>
      <c r="J8" s="14" t="n">
        <v>888</v>
      </c>
      <c r="K8" s="14" t="n">
        <v>911</v>
      </c>
      <c r="Q8" s="14" t="n">
        <v>2770</v>
      </c>
      <c r="R8" s="14" t="n">
        <v>3172</v>
      </c>
      <c r="S8" s="14" t="n">
        <v>3264</v>
      </c>
      <c r="T8" s="14" t="n">
        <v>3378</v>
      </c>
      <c r="U8" s="14" t="n">
        <v>3466</v>
      </c>
      <c r="V8" s="14" t="n">
        <v>3510</v>
      </c>
    </row>
    <row r="9" s="16" customFormat="true" ht="10.5" hidden="false" customHeight="true" outlineLevel="0" collapsed="false">
      <c r="A9" s="15" t="s">
        <v>38</v>
      </c>
      <c r="F9" s="15" t="n">
        <f aca="false">+F8/B8-1</f>
        <v>0.0210772833723654</v>
      </c>
      <c r="G9" s="15" t="n">
        <f aca="false">+G8/C8-1</f>
        <v>0.0104287369640788</v>
      </c>
      <c r="H9" s="15" t="n">
        <f aca="false">+H8/D8-1</f>
        <v>0.0102857142857142</v>
      </c>
      <c r="I9" s="15" t="n">
        <f aca="false">+I8/E8-1</f>
        <v>0.00915331807780317</v>
      </c>
      <c r="J9" s="15" t="n">
        <f aca="false">+J8/F8-1</f>
        <v>0.0183486238532109</v>
      </c>
      <c r="K9" s="15" t="n">
        <f aca="false">+K8/G8-1</f>
        <v>0.0447247706422018</v>
      </c>
      <c r="Q9" s="15"/>
      <c r="R9" s="15" t="n">
        <f aca="false">+R8/Q8-1</f>
        <v>0.145126353790614</v>
      </c>
      <c r="S9" s="15"/>
      <c r="T9" s="15" t="n">
        <f aca="false">+T8/S8-1</f>
        <v>0.0349264705882353</v>
      </c>
      <c r="U9" s="15" t="n">
        <f aca="false">+U8/T8-1</f>
        <v>0.0260509177027828</v>
      </c>
      <c r="V9" s="15" t="n">
        <f aca="false">+V8/U8-1</f>
        <v>0.0126947489901905</v>
      </c>
    </row>
    <row r="10" s="14" customFormat="true" ht="12.8" hidden="false" customHeight="false" outlineLevel="0" collapsed="false">
      <c r="A10" s="3" t="s">
        <v>41</v>
      </c>
      <c r="B10" s="14" t="n">
        <v>698</v>
      </c>
      <c r="C10" s="14" t="n">
        <v>729</v>
      </c>
      <c r="D10" s="14" t="n">
        <v>765</v>
      </c>
      <c r="E10" s="14" t="n">
        <v>772</v>
      </c>
      <c r="F10" s="14" t="n">
        <v>753</v>
      </c>
      <c r="G10" s="14" t="n">
        <v>796</v>
      </c>
      <c r="H10" s="14" t="n">
        <v>819</v>
      </c>
      <c r="I10" s="14" t="n">
        <v>807</v>
      </c>
      <c r="J10" s="14" t="n">
        <v>794</v>
      </c>
      <c r="K10" s="14" t="n">
        <v>849</v>
      </c>
      <c r="Q10" s="14" t="n">
        <v>465</v>
      </c>
      <c r="R10" s="14" t="n">
        <v>533</v>
      </c>
      <c r="S10" s="14" t="n">
        <v>2466</v>
      </c>
      <c r="T10" s="14" t="n">
        <v>2786</v>
      </c>
      <c r="U10" s="14" t="n">
        <v>2964</v>
      </c>
      <c r="V10" s="14" t="n">
        <v>3175</v>
      </c>
    </row>
    <row r="11" s="16" customFormat="true" ht="10.5" hidden="false" customHeight="true" outlineLevel="0" collapsed="false">
      <c r="A11" s="15" t="s">
        <v>38</v>
      </c>
      <c r="F11" s="15" t="n">
        <f aca="false">+F10/B10-1</f>
        <v>0.0787965616045845</v>
      </c>
      <c r="G11" s="15" t="n">
        <f aca="false">+G10/C10-1</f>
        <v>0.0919067215363512</v>
      </c>
      <c r="H11" s="15" t="n">
        <f aca="false">+H10/D10-1</f>
        <v>0.0705882352941176</v>
      </c>
      <c r="I11" s="15" t="n">
        <f aca="false">+I10/E10-1</f>
        <v>0.0453367875647668</v>
      </c>
      <c r="J11" s="15" t="n">
        <f aca="false">+J10/F10-1</f>
        <v>0.0544488711819389</v>
      </c>
      <c r="K11" s="15" t="n">
        <f aca="false">+K10/G10-1</f>
        <v>0.0665829145728643</v>
      </c>
      <c r="Q11" s="15"/>
      <c r="R11" s="15" t="n">
        <f aca="false">+R10/Q10-1</f>
        <v>0.146236559139785</v>
      </c>
      <c r="S11" s="15"/>
      <c r="T11" s="15" t="n">
        <f aca="false">+T10/S10-1</f>
        <v>0.129764801297648</v>
      </c>
      <c r="U11" s="15" t="n">
        <f aca="false">+U10/T10-1</f>
        <v>0.0638908829863605</v>
      </c>
      <c r="V11" s="15" t="n">
        <f aca="false">+V10/U10-1</f>
        <v>0.071187584345479</v>
      </c>
    </row>
    <row r="12" s="14" customFormat="true" ht="12.8" hidden="false" customHeight="false" outlineLevel="0" collapsed="false">
      <c r="A12" s="3" t="s">
        <v>42</v>
      </c>
      <c r="B12" s="14" t="n">
        <f aca="false">+B10+B8+B6+B4</f>
        <v>3615</v>
      </c>
      <c r="C12" s="14" t="n">
        <f aca="false">+C10+C8+C6+C4</f>
        <v>3701</v>
      </c>
      <c r="D12" s="14" t="n">
        <f aca="false">+D10+D8+D6+D4</f>
        <v>3796</v>
      </c>
      <c r="E12" s="14" t="n">
        <f aca="false">+E10+E8+E6+E4</f>
        <v>3778</v>
      </c>
      <c r="F12" s="14" t="n">
        <f aca="false">+F10+F8+F6+F4</f>
        <v>3746</v>
      </c>
      <c r="G12" s="14" t="n">
        <f aca="false">+G10+G8+G6+G4</f>
        <v>3856</v>
      </c>
      <c r="H12" s="14" t="n">
        <f aca="false">+H10+H8+H6+H4</f>
        <v>3930</v>
      </c>
      <c r="I12" s="14" t="n">
        <f aca="false">+I10+I8+I6+I4</f>
        <v>3889</v>
      </c>
      <c r="J12" s="14" t="n">
        <f aca="false">+J10+J8+J6+J4</f>
        <v>3869</v>
      </c>
      <c r="K12" s="14" t="n">
        <f aca="false">+K10+K8+K6+K4</f>
        <v>4065</v>
      </c>
      <c r="Q12" s="14" t="n">
        <f aca="false">+Q10+Q8+Q6+Q4</f>
        <v>10053</v>
      </c>
      <c r="R12" s="14" t="n">
        <f aca="false">+R10+R8+R6+R4</f>
        <v>11675</v>
      </c>
      <c r="S12" s="14" t="n">
        <f aca="false">+S10+S8+S6+S4</f>
        <v>13615</v>
      </c>
      <c r="T12" s="14" t="n">
        <f aca="false">+T10+T8+T6+T4</f>
        <v>14356</v>
      </c>
      <c r="U12" s="14" t="n">
        <f aca="false">+U10+U8+U6+U4</f>
        <v>14890</v>
      </c>
      <c r="V12" s="14" t="n">
        <f aca="false">+V10+V8+V6+V4</f>
        <v>15421</v>
      </c>
    </row>
    <row r="13" s="16" customFormat="true" ht="10.5" hidden="false" customHeight="true" outlineLevel="0" collapsed="false">
      <c r="A13" s="15" t="s">
        <v>38</v>
      </c>
      <c r="F13" s="15" t="n">
        <f aca="false">+F12/B12-1</f>
        <v>0.0362378976486861</v>
      </c>
      <c r="G13" s="15" t="n">
        <f aca="false">+G12/C12-1</f>
        <v>0.0418805728181573</v>
      </c>
      <c r="H13" s="15" t="n">
        <f aca="false">+H12/D12-1</f>
        <v>0.0353003161222338</v>
      </c>
      <c r="I13" s="15" t="n">
        <f aca="false">+I12/E12-1</f>
        <v>0.029380624669137</v>
      </c>
      <c r="J13" s="15" t="n">
        <f aca="false">+J12/F12-1</f>
        <v>0.0328350240256274</v>
      </c>
      <c r="K13" s="15" t="n">
        <f aca="false">+K12/G12-1</f>
        <v>0.054201244813278</v>
      </c>
      <c r="Q13" s="15"/>
      <c r="R13" s="15" t="n">
        <f aca="false">+R12/Q12-1</f>
        <v>0.16134487217746</v>
      </c>
      <c r="S13" s="15"/>
      <c r="T13" s="15" t="n">
        <f aca="false">+T12/S12-1</f>
        <v>0.054425266250459</v>
      </c>
      <c r="U13" s="15" t="n">
        <f aca="false">+U12/T12-1</f>
        <v>0.0371969908052383</v>
      </c>
      <c r="V13" s="15" t="n">
        <f aca="false">+V12/U12-1</f>
        <v>0.0356615177971793</v>
      </c>
    </row>
    <row r="14" s="14" customFormat="true" ht="12.8" hidden="false" customHeight="false" outlineLevel="0" collapsed="false">
      <c r="A14" s="3" t="s">
        <v>43</v>
      </c>
      <c r="B14" s="14" t="n">
        <v>792</v>
      </c>
      <c r="C14" s="14" t="n">
        <v>873</v>
      </c>
      <c r="D14" s="14" t="n">
        <v>923</v>
      </c>
      <c r="E14" s="14" t="n">
        <v>857</v>
      </c>
      <c r="F14" s="14" t="n">
        <v>840</v>
      </c>
      <c r="G14" s="14" t="n">
        <v>1036</v>
      </c>
      <c r="H14" s="14" t="n">
        <v>995</v>
      </c>
      <c r="I14" s="14" t="n">
        <v>910</v>
      </c>
      <c r="J14" s="14" t="n">
        <v>864</v>
      </c>
      <c r="K14" s="14" t="n">
        <v>1004</v>
      </c>
      <c r="Q14" s="14" t="n">
        <v>3667</v>
      </c>
      <c r="R14" s="14" t="n">
        <v>4153</v>
      </c>
      <c r="S14" s="14" t="n">
        <v>3062</v>
      </c>
      <c r="T14" s="14" t="n">
        <v>3252</v>
      </c>
      <c r="U14" s="14" t="n">
        <v>3445</v>
      </c>
      <c r="V14" s="14" t="n">
        <v>3781</v>
      </c>
    </row>
    <row r="15" s="16" customFormat="true" ht="10.5" hidden="false" customHeight="true" outlineLevel="0" collapsed="false">
      <c r="A15" s="15" t="s">
        <v>38</v>
      </c>
      <c r="F15" s="15" t="n">
        <f aca="false">+F14/B14-1</f>
        <v>0.0606060606060606</v>
      </c>
      <c r="G15" s="15" t="n">
        <f aca="false">+G14/C14-1</f>
        <v>0.186712485681558</v>
      </c>
      <c r="H15" s="15" t="n">
        <f aca="false">+H14/D14-1</f>
        <v>0.0780065005417119</v>
      </c>
      <c r="I15" s="15" t="n">
        <f aca="false">+I14/E14-1</f>
        <v>0.0618436406067677</v>
      </c>
      <c r="J15" s="15" t="n">
        <f aca="false">+J14/F14-1</f>
        <v>0.0285714285714285</v>
      </c>
      <c r="K15" s="15" t="n">
        <f aca="false">+K14/G14-1</f>
        <v>-0.0308880308880309</v>
      </c>
      <c r="Q15" s="15"/>
      <c r="R15" s="15" t="n">
        <f aca="false">+R14/Q14-1</f>
        <v>0.132533406053995</v>
      </c>
      <c r="S15" s="15"/>
      <c r="T15" s="15" t="n">
        <f aca="false">+T14/S14-1</f>
        <v>0.062050947093403</v>
      </c>
      <c r="U15" s="15" t="n">
        <f aca="false">+U14/T14-1</f>
        <v>0.0593480934809347</v>
      </c>
      <c r="V15" s="15" t="n">
        <f aca="false">+V14/U14-1</f>
        <v>0.0975326560232221</v>
      </c>
    </row>
    <row r="16" s="14" customFormat="true" ht="12.8" hidden="false" customHeight="false" outlineLevel="0" collapsed="false">
      <c r="A16" s="3" t="s">
        <v>44</v>
      </c>
      <c r="B16" s="14" t="n">
        <v>309</v>
      </c>
      <c r="C16" s="14" t="n">
        <v>348</v>
      </c>
      <c r="D16" s="14" t="n">
        <v>365</v>
      </c>
      <c r="E16" s="14" t="n">
        <v>359</v>
      </c>
      <c r="F16" s="14" t="n">
        <v>336</v>
      </c>
      <c r="G16" s="14" t="n">
        <v>389</v>
      </c>
      <c r="H16" s="14" t="n">
        <v>396</v>
      </c>
      <c r="I16" s="14" t="n">
        <v>381</v>
      </c>
      <c r="J16" s="14" t="n">
        <v>348</v>
      </c>
      <c r="K16" s="14" t="n">
        <v>410</v>
      </c>
      <c r="Q16" s="14" t="n">
        <v>1855</v>
      </c>
      <c r="R16" s="14" t="n">
        <v>2072</v>
      </c>
      <c r="S16" s="14" t="n">
        <v>1166</v>
      </c>
      <c r="T16" s="14" t="n">
        <v>1257</v>
      </c>
      <c r="U16" s="14" t="n">
        <v>1381</v>
      </c>
      <c r="V16" s="14" t="n">
        <v>1502</v>
      </c>
    </row>
    <row r="17" s="16" customFormat="true" ht="10.5" hidden="false" customHeight="true" outlineLevel="0" collapsed="false">
      <c r="A17" s="15" t="s">
        <v>38</v>
      </c>
      <c r="F17" s="15" t="n">
        <f aca="false">+F16/B16-1</f>
        <v>0.087378640776699</v>
      </c>
      <c r="G17" s="15" t="n">
        <f aca="false">+G16/C16-1</f>
        <v>0.117816091954023</v>
      </c>
      <c r="H17" s="15" t="n">
        <f aca="false">+H16/D16-1</f>
        <v>0.0849315068493151</v>
      </c>
      <c r="I17" s="15" t="n">
        <f aca="false">+I16/E16-1</f>
        <v>0.0612813370473537</v>
      </c>
      <c r="J17" s="15" t="n">
        <f aca="false">+J16/F16-1</f>
        <v>0.0357142857142858</v>
      </c>
      <c r="K17" s="15" t="n">
        <f aca="false">+K16/G16-1</f>
        <v>0.0539845758354756</v>
      </c>
      <c r="Q17" s="15"/>
      <c r="R17" s="15" t="n">
        <f aca="false">+R16/Q16-1</f>
        <v>0.116981132075472</v>
      </c>
      <c r="S17" s="15"/>
      <c r="T17" s="15" t="n">
        <f aca="false">+T16/S16-1</f>
        <v>0.0780445969125214</v>
      </c>
      <c r="U17" s="15" t="n">
        <f aca="false">+U16/T16-1</f>
        <v>0.0986475735879078</v>
      </c>
      <c r="V17" s="15" t="n">
        <f aca="false">+V16/U16-1</f>
        <v>0.0876176683562635</v>
      </c>
    </row>
    <row r="18" s="14" customFormat="true" ht="12.8" hidden="false" customHeight="false" outlineLevel="0" collapsed="false">
      <c r="A18" s="3" t="s">
        <v>45</v>
      </c>
      <c r="B18" s="14" t="n">
        <f aca="false">+B16+B14+B12</f>
        <v>4716</v>
      </c>
      <c r="C18" s="14" t="n">
        <f aca="false">+C16+C14+C12</f>
        <v>4922</v>
      </c>
      <c r="D18" s="14" t="n">
        <f aca="false">+D16+D14+D12</f>
        <v>5084</v>
      </c>
      <c r="E18" s="14" t="n">
        <f aca="false">+E16+E14+E12</f>
        <v>4994</v>
      </c>
      <c r="F18" s="14" t="n">
        <f aca="false">+F16+F14+F12</f>
        <v>4922</v>
      </c>
      <c r="G18" s="14" t="n">
        <f aca="false">+G16+G14+G12</f>
        <v>5281</v>
      </c>
      <c r="H18" s="14" t="n">
        <f aca="false">+H16+H14+H12</f>
        <v>5321</v>
      </c>
      <c r="I18" s="14" t="n">
        <f aca="false">+I16+I14+I12</f>
        <v>5180</v>
      </c>
      <c r="J18" s="14" t="n">
        <f aca="false">+J16+J14+J12</f>
        <v>5081</v>
      </c>
      <c r="K18" s="14" t="n">
        <f aca="false">+K16+K14+K12</f>
        <v>5479</v>
      </c>
      <c r="Q18" s="14" t="n">
        <f aca="false">+Q16+Q14+Q12</f>
        <v>15575</v>
      </c>
      <c r="R18" s="14" t="n">
        <f aca="false">+R16+R14+R12</f>
        <v>17900</v>
      </c>
      <c r="S18" s="14" t="n">
        <f aca="false">+S16+S14+S12</f>
        <v>17843</v>
      </c>
      <c r="T18" s="14" t="n">
        <f aca="false">+T16+T14+T12</f>
        <v>18865</v>
      </c>
      <c r="U18" s="14" t="n">
        <f aca="false">+U16+U14+U12</f>
        <v>19716</v>
      </c>
      <c r="V18" s="14" t="n">
        <f aca="false">+V16+V14+V12</f>
        <v>20704</v>
      </c>
    </row>
    <row r="19" s="16" customFormat="true" ht="10.5" hidden="false" customHeight="true" outlineLevel="0" collapsed="false">
      <c r="A19" s="15" t="s">
        <v>38</v>
      </c>
      <c r="F19" s="15" t="n">
        <f aca="false">+F18/B18-1</f>
        <v>0.0436810856658185</v>
      </c>
      <c r="G19" s="15" t="n">
        <f aca="false">+G18/C18-1</f>
        <v>0.0729378301503454</v>
      </c>
      <c r="H19" s="15" t="n">
        <f aca="false">+H18/D18-1</f>
        <v>0.0466168371361133</v>
      </c>
      <c r="I19" s="15" t="n">
        <f aca="false">+I18/E18-1</f>
        <v>0.0372446936323589</v>
      </c>
      <c r="J19" s="15" t="n">
        <f aca="false">+J18/F18-1</f>
        <v>0.0323039414872004</v>
      </c>
      <c r="K19" s="15" t="n">
        <f aca="false">+K18/G18-1</f>
        <v>0.0374928990721455</v>
      </c>
      <c r="Q19" s="15"/>
      <c r="R19" s="15" t="n">
        <f aca="false">+R18/Q18-1</f>
        <v>0.149277688603531</v>
      </c>
      <c r="S19" s="15"/>
      <c r="T19" s="15" t="n">
        <f aca="false">+T18/S18-1</f>
        <v>0.0572773636720283</v>
      </c>
      <c r="U19" s="15" t="n">
        <f aca="false">+U18/T18-1</f>
        <v>0.0451099920487676</v>
      </c>
      <c r="V19" s="15" t="n">
        <f aca="false">+V18/U18-1</f>
        <v>0.0501115844998985</v>
      </c>
    </row>
    <row r="20" s="14" customFormat="true" ht="12.8" hidden="false" customHeight="false" outlineLevel="0" collapsed="false">
      <c r="A20" s="3" t="s">
        <v>46</v>
      </c>
      <c r="B20" s="14" t="n">
        <v>368</v>
      </c>
      <c r="C20" s="14" t="n">
        <v>405</v>
      </c>
      <c r="D20" s="14" t="n">
        <v>432</v>
      </c>
      <c r="E20" s="14" t="n">
        <v>398</v>
      </c>
      <c r="F20" s="14" t="n">
        <v>384</v>
      </c>
      <c r="G20" s="14" t="n">
        <v>381</v>
      </c>
      <c r="H20" s="14" t="n">
        <v>372</v>
      </c>
      <c r="I20" s="14" t="n">
        <v>355</v>
      </c>
      <c r="J20" s="14" t="n">
        <v>368</v>
      </c>
      <c r="K20" s="14" t="n">
        <v>403</v>
      </c>
      <c r="Q20" s="14" t="n">
        <v>1127</v>
      </c>
      <c r="R20" s="14" t="n">
        <v>1681</v>
      </c>
      <c r="S20" s="14" t="n">
        <v>1516</v>
      </c>
      <c r="T20" s="14" t="n">
        <v>1264</v>
      </c>
      <c r="U20" s="14" t="n">
        <v>1603</v>
      </c>
      <c r="V20" s="14" t="n">
        <v>1492</v>
      </c>
    </row>
    <row r="21" s="16" customFormat="true" ht="10.5" hidden="false" customHeight="true" outlineLevel="0" collapsed="false">
      <c r="A21" s="15" t="s">
        <v>38</v>
      </c>
      <c r="F21" s="15" t="n">
        <f aca="false">+F20/B20-1</f>
        <v>0.0434782608695652</v>
      </c>
      <c r="G21" s="15" t="n">
        <f aca="false">+G20/C20-1</f>
        <v>-0.0592592592592592</v>
      </c>
      <c r="H21" s="15" t="n">
        <f aca="false">+H20/D20-1</f>
        <v>-0.138888888888889</v>
      </c>
      <c r="I21" s="15" t="n">
        <f aca="false">+I20/E20-1</f>
        <v>-0.108040201005025</v>
      </c>
      <c r="J21" s="15" t="n">
        <f aca="false">+J20/F20-1</f>
        <v>-0.0416666666666666</v>
      </c>
      <c r="K21" s="15" t="n">
        <f aca="false">+K20/G20-1</f>
        <v>0.0577427821522309</v>
      </c>
      <c r="Q21" s="15"/>
      <c r="R21" s="15" t="n">
        <f aca="false">+R20/Q20-1</f>
        <v>0.491570541259982</v>
      </c>
      <c r="S21" s="15"/>
      <c r="T21" s="15" t="n">
        <f aca="false">+T20/S20-1</f>
        <v>-0.16622691292876</v>
      </c>
      <c r="U21" s="15" t="n">
        <f aca="false">+U20/T20-1</f>
        <v>0.268196202531646</v>
      </c>
      <c r="V21" s="15" t="n">
        <f aca="false">+V20/U20-1</f>
        <v>-0.0692451653150343</v>
      </c>
    </row>
    <row r="22" s="14" customFormat="true" ht="12.8" hidden="false" customHeight="false" outlineLevel="0" collapsed="false">
      <c r="A22" s="3" t="s">
        <v>47</v>
      </c>
      <c r="B22" s="14" t="n">
        <v>69</v>
      </c>
      <c r="C22" s="14" t="n">
        <v>69</v>
      </c>
      <c r="D22" s="14" t="n">
        <v>87</v>
      </c>
      <c r="E22" s="14" t="n">
        <v>93</v>
      </c>
      <c r="F22" s="14" t="n">
        <v>91</v>
      </c>
      <c r="G22" s="14" t="n">
        <v>115</v>
      </c>
      <c r="H22" s="14" t="n">
        <v>115</v>
      </c>
      <c r="I22" s="14" t="n">
        <v>157</v>
      </c>
      <c r="J22" s="14" t="n">
        <v>159</v>
      </c>
      <c r="K22" s="14" t="n">
        <v>157</v>
      </c>
      <c r="Q22" s="14" t="n">
        <v>1776</v>
      </c>
      <c r="R22" s="14" t="n">
        <v>2112</v>
      </c>
      <c r="S22" s="14" t="n">
        <v>312</v>
      </c>
      <c r="T22" s="14" t="n">
        <v>273</v>
      </c>
      <c r="U22" s="14" t="n">
        <v>318</v>
      </c>
      <c r="V22" s="14" t="n">
        <v>478</v>
      </c>
    </row>
    <row r="23" s="16" customFormat="true" ht="10.5" hidden="false" customHeight="true" outlineLevel="0" collapsed="false">
      <c r="A23" s="15" t="s">
        <v>38</v>
      </c>
      <c r="F23" s="15" t="n">
        <f aca="false">+F22/B22-1</f>
        <v>0.318840579710145</v>
      </c>
      <c r="G23" s="15" t="n">
        <f aca="false">+G22/C22-1</f>
        <v>0.666666666666667</v>
      </c>
      <c r="H23" s="15" t="n">
        <f aca="false">+H22/D22-1</f>
        <v>0.32183908045977</v>
      </c>
      <c r="I23" s="15" t="n">
        <f aca="false">+I22/E22-1</f>
        <v>0.688172043010753</v>
      </c>
      <c r="J23" s="15" t="n">
        <f aca="false">+J22/F22-1</f>
        <v>0.747252747252747</v>
      </c>
      <c r="K23" s="15" t="n">
        <f aca="false">+K22/G22-1</f>
        <v>0.365217391304348</v>
      </c>
      <c r="Q23" s="15"/>
      <c r="R23" s="15" t="n">
        <f aca="false">+R22/Q22-1</f>
        <v>0.189189189189189</v>
      </c>
      <c r="S23" s="15"/>
      <c r="T23" s="15" t="n">
        <f aca="false">+T22/S22-1</f>
        <v>-0.125</v>
      </c>
      <c r="U23" s="15" t="n">
        <f aca="false">+U22/T22-1</f>
        <v>0.164835164835165</v>
      </c>
      <c r="V23" s="15" t="n">
        <f aca="false">+V22/U22-1</f>
        <v>0.50314465408805</v>
      </c>
    </row>
    <row r="24" s="14" customFormat="true" ht="12.8" hidden="false" customHeight="false" outlineLevel="0" collapsed="false">
      <c r="A24" s="6" t="s">
        <v>48</v>
      </c>
      <c r="B24" s="14" t="n">
        <f aca="false">+B22+B20+B18</f>
        <v>5153</v>
      </c>
      <c r="C24" s="14" t="n">
        <f aca="false">+C22+C20+C18</f>
        <v>5396</v>
      </c>
      <c r="D24" s="14" t="n">
        <f aca="false">+D22+D20+D18</f>
        <v>5603</v>
      </c>
      <c r="E24" s="14" t="n">
        <f aca="false">+E22+E20+E18</f>
        <v>5485</v>
      </c>
      <c r="F24" s="14" t="n">
        <f aca="false">+F22+F20+F18</f>
        <v>5397</v>
      </c>
      <c r="G24" s="14" t="n">
        <f aca="false">+G22+G20+G18</f>
        <v>5777</v>
      </c>
      <c r="H24" s="14" t="n">
        <f aca="false">+H22+H20+H18</f>
        <v>5808</v>
      </c>
      <c r="I24" s="14" t="n">
        <f aca="false">+I22+I20+I18</f>
        <v>5692</v>
      </c>
      <c r="J24" s="14" t="n">
        <f aca="false">+J22+J20+J18</f>
        <v>5608</v>
      </c>
      <c r="K24" s="14" t="n">
        <f aca="false">+K22+K20+K18</f>
        <v>6039</v>
      </c>
      <c r="S24" s="14" t="n">
        <f aca="false">+S22+S20+S18</f>
        <v>19671</v>
      </c>
      <c r="T24" s="14" t="n">
        <f aca="false">+T22+T20+T18</f>
        <v>20402</v>
      </c>
      <c r="U24" s="14" t="n">
        <f aca="false">+U22+U20+U18</f>
        <v>21637</v>
      </c>
      <c r="V24" s="14" t="n">
        <f aca="false">+V22+V20+V18</f>
        <v>22674</v>
      </c>
    </row>
    <row r="25" s="16" customFormat="true" ht="10.5" hidden="false" customHeight="true" outlineLevel="0" collapsed="false">
      <c r="A25" s="15" t="s">
        <v>38</v>
      </c>
      <c r="F25" s="15" t="n">
        <f aca="false">+F24/B24-1</f>
        <v>0.0473510576363283</v>
      </c>
      <c r="G25" s="15" t="n">
        <f aca="false">+G24/C24-1</f>
        <v>0.0706078576723499</v>
      </c>
      <c r="H25" s="15" t="n">
        <f aca="false">+H24/D24-1</f>
        <v>0.0365875423880064</v>
      </c>
      <c r="I25" s="15" t="n">
        <f aca="false">+I24/E24-1</f>
        <v>0.037739288969918</v>
      </c>
      <c r="J25" s="15" t="n">
        <f aca="false">+J24/F24-1</f>
        <v>0.0390957939596073</v>
      </c>
      <c r="K25" s="15" t="n">
        <f aca="false">+K24/G24-1</f>
        <v>0.0453522589579367</v>
      </c>
      <c r="Q25" s="15"/>
      <c r="R25" s="15"/>
      <c r="S25" s="15"/>
      <c r="T25" s="15" t="n">
        <f aca="false">+T24/S24-1</f>
        <v>0.0371613034416145</v>
      </c>
      <c r="U25" s="15" t="n">
        <f aca="false">+U24/T24-1</f>
        <v>0.0605332810508774</v>
      </c>
      <c r="V25" s="15" t="n">
        <f aca="false">+V24/U24-1</f>
        <v>0.0479271618061654</v>
      </c>
    </row>
    <row r="26" s="14" customFormat="true" ht="12.8" hidden="false" customHeight="false" outlineLevel="0" collapsed="false">
      <c r="A26" s="6" t="s">
        <v>49</v>
      </c>
      <c r="B26" s="14" t="n">
        <v>0</v>
      </c>
      <c r="C26" s="14" t="n">
        <v>0</v>
      </c>
      <c r="D26" s="14" t="n">
        <v>0</v>
      </c>
      <c r="E26" s="14" t="n">
        <v>403</v>
      </c>
      <c r="F26" s="14" t="n">
        <v>619</v>
      </c>
      <c r="G26" s="14" t="n">
        <v>646</v>
      </c>
      <c r="H26" s="14" t="n">
        <v>628</v>
      </c>
      <c r="I26" s="14" t="n">
        <v>616</v>
      </c>
      <c r="J26" s="14" t="n">
        <v>614</v>
      </c>
      <c r="K26" s="14" t="n">
        <v>638</v>
      </c>
      <c r="S26" s="14" t="n">
        <v>0</v>
      </c>
      <c r="T26" s="14" t="n">
        <v>0</v>
      </c>
      <c r="U26" s="14" t="n">
        <v>403</v>
      </c>
      <c r="V26" s="14" t="n">
        <v>2508</v>
      </c>
    </row>
    <row r="27" s="16" customFormat="true" ht="10.5" hidden="false" customHeight="true" outlineLevel="0" collapsed="false">
      <c r="A27" s="15" t="s">
        <v>38</v>
      </c>
      <c r="F27" s="15" t="e">
        <f aca="false">+F26/B26-1</f>
        <v>#DIV/0!</v>
      </c>
      <c r="G27" s="15" t="e">
        <f aca="false">+G26/C26-1</f>
        <v>#DIV/0!</v>
      </c>
      <c r="H27" s="15" t="e">
        <f aca="false">+H26/D26-1</f>
        <v>#DIV/0!</v>
      </c>
      <c r="I27" s="15" t="n">
        <f aca="false">+I26/E26-1</f>
        <v>0.528535980148883</v>
      </c>
      <c r="J27" s="15" t="n">
        <f aca="false">+J26/F26-1</f>
        <v>-0.00807754442649433</v>
      </c>
      <c r="K27" s="15" t="n">
        <f aca="false">+K26/G26-1</f>
        <v>-0.0123839009287926</v>
      </c>
      <c r="Q27" s="15"/>
      <c r="R27" s="15"/>
      <c r="S27" s="15"/>
      <c r="T27" s="15" t="e">
        <f aca="false">+T26/S26-1</f>
        <v>#DIV/0!</v>
      </c>
      <c r="U27" s="15" t="e">
        <f aca="false">+U26/T26-1</f>
        <v>#DIV/0!</v>
      </c>
      <c r="V27" s="15" t="n">
        <f aca="false">+V26/U26-1</f>
        <v>5.22332506203474</v>
      </c>
    </row>
    <row r="28" s="14" customFormat="true" ht="12.8" hidden="false" customHeight="false" outlineLevel="0" collapsed="false">
      <c r="A28" s="6" t="s">
        <v>50</v>
      </c>
      <c r="B28" s="14" t="n">
        <v>6</v>
      </c>
      <c r="C28" s="14" t="n">
        <v>6</v>
      </c>
      <c r="D28" s="14" t="n">
        <v>6</v>
      </c>
      <c r="E28" s="14" t="n">
        <v>5</v>
      </c>
      <c r="F28" s="14" t="n">
        <v>2</v>
      </c>
      <c r="G28" s="14" t="n">
        <v>7</v>
      </c>
      <c r="H28" s="14" t="n">
        <v>7</v>
      </c>
      <c r="I28" s="14" t="n">
        <v>6</v>
      </c>
      <c r="J28" s="14" t="n">
        <v>5</v>
      </c>
      <c r="K28" s="14" t="n">
        <v>7</v>
      </c>
      <c r="Q28" s="14" t="n">
        <v>-3260</v>
      </c>
      <c r="R28" s="14" t="n">
        <v>-3762</v>
      </c>
      <c r="S28" s="14" t="n">
        <v>27</v>
      </c>
      <c r="T28" s="14" t="n">
        <v>24</v>
      </c>
      <c r="U28" s="14" t="n">
        <v>23</v>
      </c>
      <c r="V28" s="14" t="n">
        <v>22</v>
      </c>
    </row>
    <row r="29" s="16" customFormat="true" ht="10.5" hidden="false" customHeight="true" outlineLevel="0" collapsed="false">
      <c r="A29" s="15" t="s">
        <v>38</v>
      </c>
      <c r="F29" s="15" t="n">
        <f aca="false">+F28/B28-1</f>
        <v>-0.666666666666667</v>
      </c>
      <c r="G29" s="15" t="n">
        <f aca="false">+G28/C28-1</f>
        <v>0.166666666666667</v>
      </c>
      <c r="H29" s="15" t="n">
        <f aca="false">+H28/D28-1</f>
        <v>0.166666666666667</v>
      </c>
      <c r="I29" s="15" t="n">
        <f aca="false">+I28/E28-1</f>
        <v>0.2</v>
      </c>
      <c r="J29" s="15" t="n">
        <f aca="false">+J28/F28-1</f>
        <v>1.5</v>
      </c>
      <c r="K29" s="15" t="n">
        <f aca="false">+K28/G28-1</f>
        <v>0</v>
      </c>
      <c r="R29" s="15" t="n">
        <f aca="false">+R28/Q28-1</f>
        <v>0.15398773006135</v>
      </c>
      <c r="T29" s="15" t="n">
        <f aca="false">+T28/S28-1</f>
        <v>-0.111111111111111</v>
      </c>
      <c r="U29" s="15" t="n">
        <f aca="false">+U28/T28-1</f>
        <v>-0.0416666666666666</v>
      </c>
      <c r="V29" s="15" t="n">
        <f aca="false">+V28/U28-1</f>
        <v>-0.0434782608695652</v>
      </c>
    </row>
    <row r="30" s="18" customFormat="true" ht="12.8" hidden="false" customHeight="false" outlineLevel="0" collapsed="false">
      <c r="A30" s="17" t="s">
        <v>51</v>
      </c>
      <c r="B30" s="18" t="n">
        <f aca="false">+B28+B26+B24</f>
        <v>5159</v>
      </c>
      <c r="C30" s="18" t="n">
        <f aca="false">+C28+C26+C24</f>
        <v>5402</v>
      </c>
      <c r="D30" s="18" t="n">
        <f aca="false">+D28+D26+D24</f>
        <v>5609</v>
      </c>
      <c r="E30" s="18" t="n">
        <f aca="false">+E28+E26+E24</f>
        <v>5893</v>
      </c>
      <c r="F30" s="18" t="n">
        <f aca="false">+F28+F26+F24</f>
        <v>6018</v>
      </c>
      <c r="G30" s="18" t="n">
        <f aca="false">+G28+G26+G24</f>
        <v>6430</v>
      </c>
      <c r="H30" s="18" t="n">
        <f aca="false">+H28+H26+H24</f>
        <v>6443</v>
      </c>
      <c r="I30" s="18" t="n">
        <f aca="false">+I28+I26+I24</f>
        <v>6314</v>
      </c>
      <c r="J30" s="18" t="n">
        <f aca="false">+J28+J26+J24</f>
        <v>6227</v>
      </c>
      <c r="K30" s="18" t="n">
        <f aca="false">+K28+K26+K24</f>
        <v>6684</v>
      </c>
      <c r="Q30" s="18" t="n">
        <f aca="false">+Q18+Q20+Q22+Q28</f>
        <v>15218</v>
      </c>
      <c r="R30" s="18" t="n">
        <f aca="false">+R18+R20+R22+R28</f>
        <v>17931</v>
      </c>
      <c r="S30" s="18" t="n">
        <f aca="false">+S28+S26+S24</f>
        <v>19698</v>
      </c>
      <c r="T30" s="18" t="n">
        <f aca="false">+T28+T26+T24</f>
        <v>20426</v>
      </c>
      <c r="U30" s="18" t="n">
        <f aca="false">+U28+U26+U24</f>
        <v>22063</v>
      </c>
      <c r="V30" s="18" t="n">
        <f aca="false">+V28+V26+V24</f>
        <v>25204</v>
      </c>
      <c r="W30" s="18" t="n">
        <f aca="false">+V30*1.05</f>
        <v>26464.2</v>
      </c>
      <c r="X30" s="18" t="n">
        <f aca="false">+W30*1.12</f>
        <v>29639.904</v>
      </c>
      <c r="Y30" s="18" t="n">
        <f aca="false">+X30*1.11</f>
        <v>32900.29344</v>
      </c>
      <c r="Z30" s="18" t="n">
        <f aca="false">+Y30*1.1</f>
        <v>36190.322784</v>
      </c>
      <c r="AA30" s="18" t="n">
        <f aca="false">+Z30*1.09</f>
        <v>39447.45183456</v>
      </c>
      <c r="AB30" s="18" t="n">
        <f aca="false">+AA30*1.08</f>
        <v>42603.2479813248</v>
      </c>
      <c r="AC30" s="18" t="n">
        <f aca="false">+AB30*1.07</f>
        <v>45585.4753400176</v>
      </c>
      <c r="AD30" s="18" t="n">
        <f aca="false">+AC30*1.07</f>
        <v>48776.4586138188</v>
      </c>
      <c r="AE30" s="18" t="n">
        <f aca="false">+AD30*1.07</f>
        <v>52190.8107167861</v>
      </c>
      <c r="AF30" s="18" t="n">
        <f aca="false">+AE30*1.07</f>
        <v>55844.1674669611</v>
      </c>
      <c r="AG30" s="18" t="n">
        <f aca="false">+AF30*1.07</f>
        <v>59753.2591896484</v>
      </c>
    </row>
    <row r="31" s="15" customFormat="true" ht="10.5" hidden="false" customHeight="true" outlineLevel="0" collapsed="false">
      <c r="A31" s="15" t="s">
        <v>38</v>
      </c>
      <c r="F31" s="15" t="n">
        <f aca="false">+F30/B30-1</f>
        <v>0.16650513665439</v>
      </c>
      <c r="G31" s="15" t="n">
        <f aca="false">+G30/C30-1</f>
        <v>0.190299888930026</v>
      </c>
      <c r="H31" s="15" t="n">
        <f aca="false">+H30/D30-1</f>
        <v>0.148689605990373</v>
      </c>
      <c r="I31" s="15" t="n">
        <f aca="false">+I30/E30-1</f>
        <v>0.0714406923468522</v>
      </c>
      <c r="J31" s="15" t="n">
        <f aca="false">+J30/F30-1</f>
        <v>0.0347291458956465</v>
      </c>
      <c r="K31" s="15" t="n">
        <f aca="false">+K30/G30-1</f>
        <v>0.03950233281493</v>
      </c>
      <c r="R31" s="15" t="n">
        <f aca="false">+R30/Q30-1</f>
        <v>0.178275726113813</v>
      </c>
      <c r="S31" s="15" t="n">
        <f aca="false">+S30/R30-1</f>
        <v>0.0985444202777313</v>
      </c>
      <c r="T31" s="15" t="n">
        <f aca="false">+T30/S30-1</f>
        <v>0.036958066808813</v>
      </c>
      <c r="U31" s="15" t="n">
        <f aca="false">+U30/T30-1</f>
        <v>0.0801429550572799</v>
      </c>
      <c r="V31" s="15" t="n">
        <f aca="false">+V30/U30-1</f>
        <v>0.142365045551376</v>
      </c>
      <c r="W31" s="15" t="n">
        <f aca="false">+W30/V30-1</f>
        <v>0.05</v>
      </c>
      <c r="X31" s="15" t="n">
        <f aca="false">+X30/W30-1</f>
        <v>0.12</v>
      </c>
      <c r="Y31" s="15" t="n">
        <f aca="false">+Y30/X30-1</f>
        <v>0.11</v>
      </c>
      <c r="Z31" s="15" t="n">
        <f aca="false">+Z30/Y30-1</f>
        <v>0.1</v>
      </c>
      <c r="AA31" s="15" t="n">
        <f aca="false">+AA30/Z30-1</f>
        <v>0.0900000000000001</v>
      </c>
      <c r="AB31" s="15" t="n">
        <f aca="false">+AB30/AA30-1</f>
        <v>0.0800000000000001</v>
      </c>
      <c r="AC31" s="15" t="n">
        <f aca="false">+AC30/AB30-1</f>
        <v>0.0700000000000001</v>
      </c>
      <c r="AD31" s="15" t="n">
        <f aca="false">+AD30/AC30-1</f>
        <v>0.0700000000000001</v>
      </c>
      <c r="AE31" s="15" t="n">
        <f aca="false">+AE30/AD30-1</f>
        <v>0.0700000000000001</v>
      </c>
      <c r="AF31" s="15" t="n">
        <f aca="false">+AF30/AE30-1</f>
        <v>0.0700000000000001</v>
      </c>
      <c r="AG31" s="15" t="n">
        <f aca="false">+AG30/AF30-1</f>
        <v>0.0700000000000001</v>
      </c>
    </row>
    <row r="32" customFormat="false" ht="12.8" hidden="false" customHeight="false" outlineLevel="0" collapsed="false">
      <c r="A32" s="3" t="s">
        <v>52</v>
      </c>
      <c r="B32" s="6" t="n">
        <v>3140</v>
      </c>
      <c r="C32" s="6" t="n">
        <v>3291</v>
      </c>
      <c r="D32" s="6" t="n">
        <v>3399</v>
      </c>
      <c r="E32" s="6" t="n">
        <v>3553</v>
      </c>
      <c r="F32" s="6" t="n">
        <v>3612</v>
      </c>
      <c r="G32" s="6" t="n">
        <v>3803</v>
      </c>
      <c r="H32" s="6" t="n">
        <v>3833</v>
      </c>
      <c r="I32" s="6" t="n">
        <v>3693</v>
      </c>
      <c r="J32" s="6" t="n">
        <v>3694</v>
      </c>
      <c r="K32" s="6" t="n">
        <v>3955</v>
      </c>
      <c r="Q32" s="6" t="n">
        <v>9341</v>
      </c>
      <c r="R32" s="6" t="n">
        <v>11111</v>
      </c>
      <c r="S32" s="6" t="n">
        <v>12294</v>
      </c>
      <c r="T32" s="6" t="n">
        <v>12606</v>
      </c>
      <c r="U32" s="6" t="n">
        <v>13383</v>
      </c>
      <c r="V32" s="6" t="n">
        <v>15012</v>
      </c>
      <c r="W32" s="6" t="n">
        <f aca="false">+W30-W34</f>
        <v>15746.199</v>
      </c>
      <c r="X32" s="6" t="n">
        <f aca="false">+X30-X34</f>
        <v>17487.54336</v>
      </c>
      <c r="Y32" s="6" t="n">
        <f aca="false">+Y30-Y34</f>
        <v>19246.6716624</v>
      </c>
      <c r="Z32" s="6" t="n">
        <f aca="false">+Z30-Z34</f>
        <v>20990.38721472</v>
      </c>
      <c r="AA32" s="6" t="n">
        <f aca="false">+AA30-AA34</f>
        <v>22682.284804872</v>
      </c>
      <c r="AB32" s="6" t="n">
        <f aca="false">+AB30-AB34</f>
        <v>24283.8513493551</v>
      </c>
      <c r="AC32" s="6" t="n">
        <f aca="false">+AC30-AC34</f>
        <v>25755.7935671099</v>
      </c>
      <c r="AD32" s="6" t="n">
        <f aca="false">+AD30-AD34</f>
        <v>27314.8168237385</v>
      </c>
      <c r="AE32" s="6" t="n">
        <f aca="false">+AE30-AE34</f>
        <v>28965.8999478163</v>
      </c>
      <c r="AF32" s="6" t="n">
        <f aca="false">+AF30-AF34</f>
        <v>30714.2921068286</v>
      </c>
      <c r="AG32" s="6" t="n">
        <f aca="false">+AG30-AG34</f>
        <v>32565.5262583584</v>
      </c>
    </row>
    <row r="33" s="15" customFormat="true" ht="10.5" hidden="false" customHeight="true" outlineLevel="0" collapsed="false">
      <c r="B33" s="15" t="n">
        <f aca="false">+B32/B$30</f>
        <v>0.608645086257027</v>
      </c>
      <c r="C33" s="15" t="n">
        <f aca="false">+C32/C$30</f>
        <v>0.609218807848945</v>
      </c>
      <c r="D33" s="15" t="n">
        <f aca="false">+D32/D$30</f>
        <v>0.605990372615439</v>
      </c>
      <c r="E33" s="15" t="n">
        <f aca="false">+E32/E$30</f>
        <v>0.602918717122009</v>
      </c>
      <c r="F33" s="15" t="n">
        <f aca="false">+F32/F$30</f>
        <v>0.600199401794616</v>
      </c>
      <c r="G33" s="15" t="n">
        <f aca="false">+G32/G$30</f>
        <v>0.59144634525661</v>
      </c>
      <c r="H33" s="15" t="n">
        <f aca="false">+H32/H$30</f>
        <v>0.594909203787056</v>
      </c>
      <c r="I33" s="15" t="n">
        <f aca="false">+I32/I$30</f>
        <v>0.584890719037061</v>
      </c>
      <c r="J33" s="15" t="n">
        <f aca="false">+J32/J$30</f>
        <v>0.59322306086398</v>
      </c>
      <c r="K33" s="15" t="n">
        <f aca="false">+K32/K$30</f>
        <v>0.591711549970078</v>
      </c>
      <c r="Q33" s="15" t="n">
        <f aca="false">+Q32/Q$30</f>
        <v>0.613812590353529</v>
      </c>
      <c r="R33" s="15" t="n">
        <f aca="false">+R32/R$30</f>
        <v>0.619653114717528</v>
      </c>
      <c r="S33" s="15" t="n">
        <f aca="false">+S32/S$30</f>
        <v>0.624124276576302</v>
      </c>
      <c r="T33" s="15" t="n">
        <f aca="false">+T32/T$30</f>
        <v>0.617154606873593</v>
      </c>
      <c r="U33" s="15" t="n">
        <f aca="false">+U32/U$30</f>
        <v>0.606581153968182</v>
      </c>
      <c r="V33" s="15" t="n">
        <f aca="false">+V32/V$30</f>
        <v>0.595619742897953</v>
      </c>
      <c r="W33" s="15" t="n">
        <f aca="false">+W32/W$30</f>
        <v>0.595</v>
      </c>
      <c r="X33" s="15" t="n">
        <f aca="false">+X32/X$30</f>
        <v>0.59</v>
      </c>
      <c r="Y33" s="15" t="n">
        <f aca="false">+Y32/Y$30</f>
        <v>0.585</v>
      </c>
      <c r="Z33" s="15" t="n">
        <f aca="false">+Z32/Z$30</f>
        <v>0.58</v>
      </c>
      <c r="AA33" s="15" t="n">
        <f aca="false">+AA32/AA$30</f>
        <v>0.575</v>
      </c>
      <c r="AB33" s="15" t="n">
        <f aca="false">+AB32/AB$30</f>
        <v>0.57</v>
      </c>
      <c r="AC33" s="15" t="n">
        <f aca="false">+AC32/AC$30</f>
        <v>0.565</v>
      </c>
      <c r="AD33" s="15" t="n">
        <f aca="false">+AD32/AD$30</f>
        <v>0.56</v>
      </c>
      <c r="AE33" s="15" t="n">
        <f aca="false">+AE32/AE$30</f>
        <v>0.555</v>
      </c>
      <c r="AF33" s="15" t="n">
        <f aca="false">+AF32/AF$30</f>
        <v>0.55</v>
      </c>
      <c r="AG33" s="15" t="n">
        <f aca="false">+AG32/AG$30</f>
        <v>0.545</v>
      </c>
    </row>
    <row r="34" customFormat="false" ht="12.8" hidden="false" customHeight="false" outlineLevel="0" collapsed="false">
      <c r="A34" s="3" t="s">
        <v>53</v>
      </c>
      <c r="B34" s="6" t="n">
        <f aca="false">+B30-B32</f>
        <v>2019</v>
      </c>
      <c r="C34" s="6" t="n">
        <f aca="false">+C30-C32</f>
        <v>2111</v>
      </c>
      <c r="D34" s="6" t="n">
        <f aca="false">+D30-D32</f>
        <v>2210</v>
      </c>
      <c r="E34" s="6" t="n">
        <f aca="false">+E30-E32</f>
        <v>2340</v>
      </c>
      <c r="F34" s="6" t="n">
        <f aca="false">+F30-F32</f>
        <v>2406</v>
      </c>
      <c r="G34" s="6" t="n">
        <f aca="false">+G30-G32</f>
        <v>2627</v>
      </c>
      <c r="H34" s="6" t="n">
        <f aca="false">+H30-H32</f>
        <v>2610</v>
      </c>
      <c r="I34" s="6" t="n">
        <f aca="false">+I30-I32</f>
        <v>2621</v>
      </c>
      <c r="J34" s="6" t="n">
        <f aca="false">+J30-J32</f>
        <v>2533</v>
      </c>
      <c r="K34" s="6" t="n">
        <f aca="false">+K30-K32</f>
        <v>2729</v>
      </c>
      <c r="Q34" s="6" t="n">
        <f aca="false">+Q30-Q32</f>
        <v>5877</v>
      </c>
      <c r="R34" s="6" t="n">
        <f aca="false">+R30-R32</f>
        <v>6820</v>
      </c>
      <c r="S34" s="6" t="n">
        <f aca="false">+S30-S32</f>
        <v>7404</v>
      </c>
      <c r="T34" s="6" t="n">
        <f aca="false">+T30-T32</f>
        <v>7820</v>
      </c>
      <c r="U34" s="6" t="n">
        <f aca="false">+U30-U32</f>
        <v>8680</v>
      </c>
      <c r="V34" s="6" t="n">
        <f aca="false">+V30-V32</f>
        <v>10192</v>
      </c>
      <c r="W34" s="6" t="n">
        <f aca="false">+W30*0.405</f>
        <v>10718.001</v>
      </c>
      <c r="X34" s="6" t="n">
        <f aca="false">+X30*0.41</f>
        <v>12152.36064</v>
      </c>
      <c r="Y34" s="6" t="n">
        <f aca="false">+Y30*0.415</f>
        <v>13653.6217776</v>
      </c>
      <c r="Z34" s="6" t="n">
        <f aca="false">+Z30*0.42</f>
        <v>15199.93556928</v>
      </c>
      <c r="AA34" s="6" t="n">
        <f aca="false">+AA30*0.425</f>
        <v>16765.167029688</v>
      </c>
      <c r="AB34" s="6" t="n">
        <f aca="false">+AB30*0.43</f>
        <v>18319.3966319697</v>
      </c>
      <c r="AC34" s="6" t="n">
        <f aca="false">+AC30*0.435</f>
        <v>19829.6817729076</v>
      </c>
      <c r="AD34" s="6" t="n">
        <f aca="false">+AD30*0.44</f>
        <v>21461.6417900803</v>
      </c>
      <c r="AE34" s="6" t="n">
        <f aca="false">+AE30*0.445</f>
        <v>23224.9107689698</v>
      </c>
      <c r="AF34" s="6" t="n">
        <f aca="false">+AF30*0.45</f>
        <v>25129.8753601325</v>
      </c>
      <c r="AG34" s="6" t="n">
        <f aca="false">+AG30*0.455</f>
        <v>27187.73293129</v>
      </c>
    </row>
    <row r="35" s="15" customFormat="true" ht="10.5" hidden="false" customHeight="true" outlineLevel="0" collapsed="false">
      <c r="B35" s="15" t="n">
        <f aca="false">+B34/B$30</f>
        <v>0.391354913742973</v>
      </c>
      <c r="C35" s="15" t="n">
        <f aca="false">+C34/C$30</f>
        <v>0.390781192151055</v>
      </c>
      <c r="D35" s="15" t="n">
        <f aca="false">+D34/D$30</f>
        <v>0.394009627384561</v>
      </c>
      <c r="E35" s="15" t="n">
        <f aca="false">+E34/E$30</f>
        <v>0.397081282877991</v>
      </c>
      <c r="F35" s="15" t="n">
        <f aca="false">+F34/F$30</f>
        <v>0.399800598205384</v>
      </c>
      <c r="G35" s="15" t="n">
        <f aca="false">+G34/G$30</f>
        <v>0.40855365474339</v>
      </c>
      <c r="H35" s="15" t="n">
        <f aca="false">+H34/H$30</f>
        <v>0.405090796212944</v>
      </c>
      <c r="I35" s="15" t="n">
        <f aca="false">+I34/I$30</f>
        <v>0.41510928096294</v>
      </c>
      <c r="J35" s="15" t="n">
        <f aca="false">+J34/J$30</f>
        <v>0.406776939136021</v>
      </c>
      <c r="K35" s="15" t="n">
        <f aca="false">+K34/K$30</f>
        <v>0.408288450029922</v>
      </c>
      <c r="Q35" s="15" t="n">
        <f aca="false">+Q34/Q$30</f>
        <v>0.386187409646471</v>
      </c>
      <c r="R35" s="15" t="n">
        <f aca="false">+R34/R$30</f>
        <v>0.380346885282472</v>
      </c>
      <c r="S35" s="15" t="n">
        <f aca="false">+S34/S$30</f>
        <v>0.375875723423698</v>
      </c>
      <c r="T35" s="15" t="n">
        <f aca="false">+T34/T$30</f>
        <v>0.382845393126408</v>
      </c>
      <c r="U35" s="15" t="n">
        <f aca="false">+U34/U$30</f>
        <v>0.393418846031818</v>
      </c>
      <c r="V35" s="15" t="n">
        <f aca="false">+V34/V$30</f>
        <v>0.404380257102047</v>
      </c>
      <c r="W35" s="15" t="n">
        <f aca="false">+W34/W$30</f>
        <v>0.405</v>
      </c>
      <c r="X35" s="15" t="n">
        <f aca="false">+X34/X$30</f>
        <v>0.41</v>
      </c>
      <c r="Y35" s="15" t="n">
        <f aca="false">+Y34/Y$30</f>
        <v>0.415</v>
      </c>
      <c r="Z35" s="15" t="n">
        <f aca="false">+Z34/Z$30</f>
        <v>0.42</v>
      </c>
      <c r="AA35" s="15" t="n">
        <f aca="false">+AA34/AA$30</f>
        <v>0.425</v>
      </c>
      <c r="AB35" s="15" t="n">
        <f aca="false">+AB34/AB$30</f>
        <v>0.43</v>
      </c>
      <c r="AC35" s="15" t="n">
        <f aca="false">+AC34/AC$30</f>
        <v>0.435</v>
      </c>
      <c r="AD35" s="15" t="n">
        <f aca="false">+AD34/AD$30</f>
        <v>0.44</v>
      </c>
      <c r="AE35" s="15" t="n">
        <f aca="false">+AE34/AE$30</f>
        <v>0.445</v>
      </c>
      <c r="AF35" s="15" t="n">
        <f aca="false">+AF34/AF$30</f>
        <v>0.45</v>
      </c>
      <c r="AG35" s="15" t="n">
        <f aca="false">+AG34/AG$30</f>
        <v>0.455</v>
      </c>
    </row>
    <row r="36" customFormat="false" ht="12.8" hidden="false" customHeight="false" outlineLevel="0" collapsed="false">
      <c r="A36" s="3" t="s">
        <v>54</v>
      </c>
      <c r="B36" s="6" t="n">
        <v>491</v>
      </c>
      <c r="C36" s="6" t="n">
        <v>501</v>
      </c>
      <c r="D36" s="6" t="n">
        <v>525</v>
      </c>
      <c r="E36" s="6" t="n">
        <v>747</v>
      </c>
      <c r="F36" s="6" t="n">
        <v>687</v>
      </c>
      <c r="G36" s="6" t="n">
        <v>696</v>
      </c>
      <c r="H36" s="6" t="n">
        <v>665</v>
      </c>
      <c r="I36" s="6" t="n">
        <v>674</v>
      </c>
      <c r="J36" s="6" t="n">
        <v>707</v>
      </c>
      <c r="K36" s="6" t="n">
        <v>683</v>
      </c>
      <c r="Q36" s="6" t="n">
        <v>1728</v>
      </c>
      <c r="R36" s="6" t="n">
        <v>1864</v>
      </c>
      <c r="S36" s="6" t="n">
        <v>1938</v>
      </c>
      <c r="T36" s="6" t="n">
        <v>1926</v>
      </c>
      <c r="U36" s="6" t="n">
        <v>2264</v>
      </c>
      <c r="V36" s="6" t="n">
        <v>2722</v>
      </c>
      <c r="W36" s="6" t="n">
        <f aca="false">+V36*1.15</f>
        <v>3130.3</v>
      </c>
      <c r="X36" s="6" t="n">
        <f aca="false">+W36*1.15</f>
        <v>3599.845</v>
      </c>
      <c r="Y36" s="6" t="n">
        <f aca="false">+X36*1.15</f>
        <v>4139.82175</v>
      </c>
      <c r="Z36" s="6" t="n">
        <f aca="false">+Y36*1.1</f>
        <v>4553.803925</v>
      </c>
      <c r="AA36" s="6" t="n">
        <f aca="false">+Z36*1.1</f>
        <v>5009.1843175</v>
      </c>
      <c r="AB36" s="6" t="n">
        <f aca="false">+AA36*1.1</f>
        <v>5510.10274925</v>
      </c>
      <c r="AC36" s="6" t="n">
        <f aca="false">+AB36*1.1</f>
        <v>6061.113024175</v>
      </c>
      <c r="AD36" s="6" t="n">
        <f aca="false">+AC36*1.1</f>
        <v>6667.2243265925</v>
      </c>
      <c r="AE36" s="6" t="n">
        <f aca="false">+AD36*1.05</f>
        <v>7000.58554292213</v>
      </c>
      <c r="AF36" s="6" t="n">
        <f aca="false">+AE36*1.05</f>
        <v>7350.61482006823</v>
      </c>
      <c r="AG36" s="6" t="n">
        <f aca="false">+AF36*1.05</f>
        <v>7718.14556107165</v>
      </c>
    </row>
    <row r="37" s="15" customFormat="true" ht="10.5" hidden="false" customHeight="true" outlineLevel="0" collapsed="false">
      <c r="B37" s="15" t="n">
        <f aca="false">+B36/B$30</f>
        <v>0.0951734832331847</v>
      </c>
      <c r="C37" s="15" t="n">
        <f aca="false">+C36/C$30</f>
        <v>0.0927434283598667</v>
      </c>
      <c r="D37" s="15" t="n">
        <f aca="false">+D36/D$30</f>
        <v>0.0935995721162418</v>
      </c>
      <c r="E37" s="15" t="n">
        <f aca="false">+E36/E$30</f>
        <v>0.126760563380282</v>
      </c>
      <c r="F37" s="15" t="n">
        <f aca="false">+F36/F$30</f>
        <v>0.114157527417747</v>
      </c>
      <c r="G37" s="15" t="n">
        <f aca="false">+G36/G$30</f>
        <v>0.108242612752722</v>
      </c>
      <c r="H37" s="15" t="n">
        <f aca="false">+H36/H$30</f>
        <v>0.103212789073413</v>
      </c>
      <c r="I37" s="15" t="n">
        <f aca="false">+I36/I$30</f>
        <v>0.10674691162496</v>
      </c>
      <c r="J37" s="15" t="n">
        <f aca="false">+J36/J$30</f>
        <v>0.113537819174562</v>
      </c>
      <c r="K37" s="15" t="n">
        <f aca="false">+K36/K$30</f>
        <v>0.102184320766008</v>
      </c>
      <c r="Q37" s="15" t="n">
        <f aca="false">+Q36/Q$30</f>
        <v>0.113549743724537</v>
      </c>
      <c r="R37" s="15" t="n">
        <f aca="false">+R36/R$30</f>
        <v>0.103954046065473</v>
      </c>
      <c r="S37" s="15" t="n">
        <f aca="false">+S36/S$30</f>
        <v>0.0983856229058788</v>
      </c>
      <c r="T37" s="15" t="n">
        <f aca="false">+T36/T$30</f>
        <v>0.094291589151082</v>
      </c>
      <c r="U37" s="15" t="n">
        <f aca="false">+U36/U$30</f>
        <v>0.102615238181571</v>
      </c>
      <c r="V37" s="15" t="n">
        <f aca="false">+V36/V$30</f>
        <v>0.10799873036026</v>
      </c>
      <c r="W37" s="15" t="n">
        <f aca="false">+W36/W$30</f>
        <v>0.118284323727904</v>
      </c>
      <c r="X37" s="15" t="n">
        <f aca="false">+X36/X$30</f>
        <v>0.121452653827759</v>
      </c>
      <c r="Y37" s="15" t="n">
        <f aca="false">+Y36/Y$30</f>
        <v>0.125829326037768</v>
      </c>
      <c r="Z37" s="15" t="n">
        <f aca="false">+Z36/Z$30</f>
        <v>0.125829326037768</v>
      </c>
      <c r="AA37" s="15" t="n">
        <f aca="false">+AA36/AA$30</f>
        <v>0.126983723524353</v>
      </c>
      <c r="AB37" s="15" t="n">
        <f aca="false">+AB36/AB$30</f>
        <v>0.129335273959989</v>
      </c>
      <c r="AC37" s="15" t="n">
        <f aca="false">+AC36/AC$30</f>
        <v>0.132961496594381</v>
      </c>
      <c r="AD37" s="15" t="n">
        <f aca="false">+AD36/AD$30</f>
        <v>0.136689389022261</v>
      </c>
      <c r="AE37" s="15" t="n">
        <f aca="false">+AE36/AE$30</f>
        <v>0.134134447171378</v>
      </c>
      <c r="AF37" s="15" t="n">
        <f aca="false">+AF36/AF$30</f>
        <v>0.131627261242941</v>
      </c>
      <c r="AG37" s="15" t="n">
        <f aca="false">+AG36/AG$30</f>
        <v>0.129166938602886</v>
      </c>
    </row>
    <row r="38" customFormat="false" ht="12.8" hidden="false" customHeight="false" outlineLevel="0" collapsed="false">
      <c r="A38" s="3" t="s">
        <v>55</v>
      </c>
      <c r="B38" s="6" t="n">
        <v>514</v>
      </c>
      <c r="C38" s="6" t="n">
        <v>543</v>
      </c>
      <c r="D38" s="6" t="n">
        <v>558</v>
      </c>
      <c r="E38" s="6" t="n">
        <v>652</v>
      </c>
      <c r="F38" s="6" t="n">
        <v>691</v>
      </c>
      <c r="G38" s="6" t="n">
        <v>744</v>
      </c>
      <c r="H38" s="6" t="n">
        <v>729</v>
      </c>
      <c r="I38" s="6" t="n">
        <v>770</v>
      </c>
      <c r="J38" s="6" t="n">
        <v>735</v>
      </c>
      <c r="K38" s="6" t="n">
        <v>777</v>
      </c>
      <c r="Q38" s="6" t="n">
        <v>1671</v>
      </c>
      <c r="R38" s="6" t="n">
        <v>1999</v>
      </c>
      <c r="S38" s="6" t="n">
        <v>2038</v>
      </c>
      <c r="T38" s="6" t="n">
        <v>2071</v>
      </c>
      <c r="U38" s="6" t="n">
        <v>2267</v>
      </c>
      <c r="V38" s="6" t="n">
        <v>2863</v>
      </c>
      <c r="W38" s="6" t="n">
        <f aca="false">+V38*1.15</f>
        <v>3292.45</v>
      </c>
      <c r="X38" s="6" t="n">
        <f aca="false">+W38*1.15</f>
        <v>3786.3175</v>
      </c>
      <c r="Y38" s="6" t="n">
        <f aca="false">+X38*1.15</f>
        <v>4354.265125</v>
      </c>
      <c r="Z38" s="6" t="n">
        <f aca="false">+Y38*1.1</f>
        <v>4789.6916375</v>
      </c>
      <c r="AA38" s="6" t="n">
        <f aca="false">+Z38*1.1</f>
        <v>5268.66080125</v>
      </c>
      <c r="AB38" s="6" t="n">
        <f aca="false">+AA38*1.1</f>
        <v>5795.526881375</v>
      </c>
      <c r="AC38" s="6" t="n">
        <f aca="false">+AB38*1.1</f>
        <v>6375.0795695125</v>
      </c>
      <c r="AD38" s="6" t="n">
        <f aca="false">+AC38*1.1</f>
        <v>7012.58752646375</v>
      </c>
      <c r="AE38" s="6" t="n">
        <f aca="false">+AD38*1.05</f>
        <v>7363.21690278694</v>
      </c>
      <c r="AF38" s="6" t="n">
        <f aca="false">+AE38*1.05</f>
        <v>7731.37774792629</v>
      </c>
      <c r="AG38" s="6" t="n">
        <f aca="false">+AF38*1.05</f>
        <v>8117.9466353226</v>
      </c>
    </row>
    <row r="39" s="15" customFormat="true" ht="10.5" hidden="false" customHeight="true" outlineLevel="0" collapsed="false">
      <c r="B39" s="15" t="n">
        <f aca="false">+B38/B$30</f>
        <v>0.0996317115720101</v>
      </c>
      <c r="C39" s="15" t="n">
        <f aca="false">+C38/C$30</f>
        <v>0.100518326545724</v>
      </c>
      <c r="D39" s="15" t="n">
        <f aca="false">+D38/D$30</f>
        <v>0.0994829737921198</v>
      </c>
      <c r="E39" s="15" t="n">
        <f aca="false">+E38/E$30</f>
        <v>0.110639742066859</v>
      </c>
      <c r="F39" s="15" t="n">
        <f aca="false">+F38/F$30</f>
        <v>0.114822200066467</v>
      </c>
      <c r="G39" s="15" t="n">
        <f aca="false">+G38/G$30</f>
        <v>0.115707620528771</v>
      </c>
      <c r="H39" s="15" t="n">
        <f aca="false">+H38/H$30</f>
        <v>0.113146049976719</v>
      </c>
      <c r="I39" s="15" t="n">
        <f aca="false">+I38/I$30</f>
        <v>0.121951219512195</v>
      </c>
      <c r="J39" s="15" t="n">
        <f aca="false">+J38/J$30</f>
        <v>0.118034366468604</v>
      </c>
      <c r="K39" s="15" t="n">
        <f aca="false">+K38/K$30</f>
        <v>0.116247755834829</v>
      </c>
      <c r="Q39" s="15" t="n">
        <f aca="false">+Q38/Q$30</f>
        <v>0.109804179261401</v>
      </c>
      <c r="R39" s="15" t="n">
        <f aca="false">+R38/R$30</f>
        <v>0.111482906697898</v>
      </c>
      <c r="S39" s="15" t="n">
        <f aca="false">+S38/S$30</f>
        <v>0.103462280434562</v>
      </c>
      <c r="T39" s="15" t="n">
        <f aca="false">+T38/T$30</f>
        <v>0.101390384803682</v>
      </c>
      <c r="U39" s="15" t="n">
        <f aca="false">+U38/U$30</f>
        <v>0.102751212437112</v>
      </c>
      <c r="V39" s="15" t="n">
        <f aca="false">+V38/V$30</f>
        <v>0.113593080463419</v>
      </c>
      <c r="W39" s="15" t="n">
        <f aca="false">+W38/W$30</f>
        <v>0.124411469078982</v>
      </c>
      <c r="X39" s="15" t="n">
        <f aca="false">+X38/X$30</f>
        <v>0.127743919143598</v>
      </c>
      <c r="Y39" s="15" t="n">
        <f aca="false">+Y38/Y$30</f>
        <v>0.132347303617241</v>
      </c>
      <c r="Z39" s="15" t="n">
        <f aca="false">+Z38/Z$30</f>
        <v>0.132347303617241</v>
      </c>
      <c r="AA39" s="15" t="n">
        <f aca="false">+AA38/AA$30</f>
        <v>0.133561499063271</v>
      </c>
      <c r="AB39" s="15" t="n">
        <f aca="false">+AB38/AB$30</f>
        <v>0.136034860157035</v>
      </c>
      <c r="AC39" s="15" t="n">
        <f aca="false">+AC38/AC$30</f>
        <v>0.139848921656765</v>
      </c>
      <c r="AD39" s="15" t="n">
        <f aca="false">+AD38/AD$30</f>
        <v>0.143769919460226</v>
      </c>
      <c r="AE39" s="15" t="n">
        <f aca="false">+AE38/AE$30</f>
        <v>0.141082631246016</v>
      </c>
      <c r="AF39" s="15" t="n">
        <f aca="false">+AF38/AF$30</f>
        <v>0.138445572718053</v>
      </c>
      <c r="AG39" s="15" t="n">
        <f aca="false">+AG38/AG$30</f>
        <v>0.135857805003697</v>
      </c>
    </row>
    <row r="40" customFormat="false" ht="12.8" hidden="false" customHeight="false" outlineLevel="0" collapsed="false">
      <c r="A40" s="3" t="s">
        <v>56</v>
      </c>
      <c r="B40" s="6" t="n">
        <v>0</v>
      </c>
      <c r="C40" s="6" t="n">
        <v>0</v>
      </c>
      <c r="D40" s="6" t="n">
        <v>2</v>
      </c>
      <c r="E40" s="6" t="n">
        <v>2</v>
      </c>
      <c r="F40" s="6" t="n">
        <v>13</v>
      </c>
      <c r="G40" s="6" t="n">
        <v>12</v>
      </c>
      <c r="H40" s="6" t="n">
        <v>14</v>
      </c>
      <c r="I40" s="6" t="n">
        <v>12</v>
      </c>
      <c r="J40" s="6" t="n">
        <v>4</v>
      </c>
      <c r="K40" s="6" t="n">
        <v>6</v>
      </c>
      <c r="Q40" s="6" t="n">
        <v>9</v>
      </c>
      <c r="R40" s="6" t="n">
        <v>8</v>
      </c>
      <c r="S40" s="6" t="n">
        <v>1</v>
      </c>
      <c r="T40" s="6" t="n">
        <v>5</v>
      </c>
      <c r="U40" s="6" t="n">
        <v>4</v>
      </c>
      <c r="V40" s="6" t="n">
        <v>51</v>
      </c>
      <c r="W40" s="19" t="n">
        <v>20</v>
      </c>
      <c r="X40" s="19" t="n">
        <v>20</v>
      </c>
      <c r="Y40" s="19" t="n">
        <v>20</v>
      </c>
      <c r="Z40" s="19" t="n">
        <v>20</v>
      </c>
      <c r="AA40" s="19" t="n">
        <v>20</v>
      </c>
      <c r="AB40" s="19" t="n">
        <v>20</v>
      </c>
      <c r="AC40" s="19" t="n">
        <v>20</v>
      </c>
      <c r="AD40" s="19" t="n">
        <v>20</v>
      </c>
      <c r="AE40" s="19" t="n">
        <v>20</v>
      </c>
      <c r="AF40" s="19" t="n">
        <v>20</v>
      </c>
      <c r="AG40" s="19" t="n">
        <v>20</v>
      </c>
    </row>
    <row r="41" s="15" customFormat="true" ht="10.5" hidden="false" customHeight="true" outlineLevel="0" collapsed="false">
      <c r="B41" s="15" t="n">
        <f aca="false">+B40/B$30</f>
        <v>0</v>
      </c>
      <c r="C41" s="15" t="n">
        <f aca="false">+C40/C$30</f>
        <v>0</v>
      </c>
      <c r="D41" s="15" t="n">
        <f aca="false">+D40/D$30</f>
        <v>0.000356569798538064</v>
      </c>
      <c r="E41" s="15" t="n">
        <f aca="false">+E40/E$30</f>
        <v>0.000339385711861531</v>
      </c>
      <c r="F41" s="15" t="n">
        <f aca="false">+F40/F$30</f>
        <v>0.00216018610834164</v>
      </c>
      <c r="G41" s="15" t="n">
        <f aca="false">+G40/G$30</f>
        <v>0.00186625194401244</v>
      </c>
      <c r="H41" s="15" t="n">
        <f aca="false">+H40/H$30</f>
        <v>0.00217290082259817</v>
      </c>
      <c r="I41" s="15" t="n">
        <f aca="false">+I40/I$30</f>
        <v>0.00190053848590434</v>
      </c>
      <c r="J41" s="15" t="n">
        <f aca="false">+J40/J$30</f>
        <v>0.000642363899148868</v>
      </c>
      <c r="K41" s="15" t="n">
        <f aca="false">+K40/K$30</f>
        <v>0.000897666068222621</v>
      </c>
      <c r="Q41" s="15" t="n">
        <f aca="false">+Q40/Q$30</f>
        <v>0.000591404915231962</v>
      </c>
      <c r="R41" s="15" t="n">
        <f aca="false">+R40/R$30</f>
        <v>0.000446154704143662</v>
      </c>
      <c r="S41" s="15" t="n">
        <f aca="false">+S40/S$30</f>
        <v>5.07665752868312E-005</v>
      </c>
      <c r="T41" s="15" t="n">
        <f aca="false">+T40/T$30</f>
        <v>0.000244786056986194</v>
      </c>
      <c r="U41" s="15" t="n">
        <f aca="false">+U40/U$30</f>
        <v>0.000181299007387935</v>
      </c>
      <c r="V41" s="15" t="n">
        <f aca="false">+V40/V$30</f>
        <v>0.00202348833518489</v>
      </c>
      <c r="W41" s="15" t="n">
        <f aca="false">+W40/W$30</f>
        <v>0.000755737940311818</v>
      </c>
      <c r="X41" s="15" t="n">
        <f aca="false">+X40/X$30</f>
        <v>0.000674766018135551</v>
      </c>
      <c r="Y41" s="15" t="n">
        <f aca="false">+Y40/Y$30</f>
        <v>0.000607897313635632</v>
      </c>
      <c r="Z41" s="15" t="n">
        <f aca="false">+Z40/Z$30</f>
        <v>0.000552633921486938</v>
      </c>
      <c r="AA41" s="15" t="n">
        <f aca="false">+AA40/AA$30</f>
        <v>0.000507003597694438</v>
      </c>
      <c r="AB41" s="15" t="n">
        <f aca="false">+AB40/AB$30</f>
        <v>0.000469447775642998</v>
      </c>
      <c r="AC41" s="15" t="n">
        <f aca="false">+AC40/AC$30</f>
        <v>0.00043873623891869</v>
      </c>
      <c r="AD41" s="15" t="n">
        <f aca="false">+AD40/AD$30</f>
        <v>0.000410033868148308</v>
      </c>
      <c r="AE41" s="15" t="n">
        <f aca="false">+AE40/AE$30</f>
        <v>0.000383209222568513</v>
      </c>
      <c r="AF41" s="15" t="n">
        <f aca="false">+AF40/AF$30</f>
        <v>0.000358139460344404</v>
      </c>
      <c r="AG41" s="15" t="n">
        <f aca="false">+AG40/AG$30</f>
        <v>0.000334709776022808</v>
      </c>
    </row>
    <row r="42" customFormat="false" ht="12.8" hidden="false" customHeight="false" outlineLevel="0" collapsed="false">
      <c r="A42" s="3" t="s">
        <v>57</v>
      </c>
      <c r="B42" s="6" t="n">
        <v>-2</v>
      </c>
      <c r="C42" s="6" t="n">
        <v>58</v>
      </c>
      <c r="D42" s="6" t="n">
        <v>6</v>
      </c>
      <c r="E42" s="6" t="n">
        <v>20</v>
      </c>
      <c r="F42" s="6" t="n">
        <v>2</v>
      </c>
      <c r="G42" s="6" t="n">
        <v>24</v>
      </c>
      <c r="H42" s="6" t="n">
        <v>213</v>
      </c>
      <c r="I42" s="6" t="n">
        <v>9</v>
      </c>
      <c r="J42" s="6" t="n">
        <v>-26</v>
      </c>
      <c r="K42" s="6" t="n">
        <v>10</v>
      </c>
      <c r="Q42" s="6" t="n">
        <v>35</v>
      </c>
      <c r="R42" s="6" t="n">
        <v>-16</v>
      </c>
      <c r="S42" s="6" t="n">
        <v>62</v>
      </c>
      <c r="T42" s="6" t="n">
        <v>243</v>
      </c>
      <c r="U42" s="6" t="n">
        <v>82</v>
      </c>
      <c r="V42" s="6" t="n">
        <v>248</v>
      </c>
      <c r="W42" s="6" t="n">
        <v>50</v>
      </c>
      <c r="X42" s="6" t="n">
        <v>50</v>
      </c>
      <c r="Y42" s="6" t="n">
        <v>50</v>
      </c>
      <c r="Z42" s="6" t="n">
        <v>50</v>
      </c>
      <c r="AA42" s="6" t="n">
        <v>50</v>
      </c>
      <c r="AB42" s="6" t="n">
        <v>50</v>
      </c>
      <c r="AC42" s="6" t="n">
        <v>50</v>
      </c>
      <c r="AD42" s="6" t="n">
        <v>50</v>
      </c>
      <c r="AE42" s="6" t="n">
        <v>50</v>
      </c>
      <c r="AF42" s="6" t="n">
        <v>50</v>
      </c>
      <c r="AG42" s="6" t="n">
        <v>50</v>
      </c>
    </row>
    <row r="43" s="15" customFormat="true" ht="10.5" hidden="false" customHeight="true" outlineLevel="0" collapsed="false">
      <c r="B43" s="15" t="n">
        <f aca="false">+B42/B$30</f>
        <v>-0.000387672029463074</v>
      </c>
      <c r="C43" s="15" t="n">
        <f aca="false">+C42/C$30</f>
        <v>0.0107367641614217</v>
      </c>
      <c r="D43" s="15" t="n">
        <f aca="false">+D42/D$30</f>
        <v>0.00106970939561419</v>
      </c>
      <c r="E43" s="15" t="n">
        <f aca="false">+E42/E$30</f>
        <v>0.00339385711861531</v>
      </c>
      <c r="F43" s="15" t="n">
        <f aca="false">+F42/F$30</f>
        <v>0.000332336324360253</v>
      </c>
      <c r="G43" s="15" t="n">
        <f aca="false">+G42/G$30</f>
        <v>0.00373250388802488</v>
      </c>
      <c r="H43" s="15" t="n">
        <f aca="false">+H42/H$30</f>
        <v>0.033059133943815</v>
      </c>
      <c r="I43" s="15" t="n">
        <f aca="false">+I42/I$30</f>
        <v>0.00142540386442825</v>
      </c>
      <c r="J43" s="15" t="n">
        <f aca="false">+J42/J$30</f>
        <v>-0.00417536534446764</v>
      </c>
      <c r="K43" s="15" t="n">
        <f aca="false">+K42/K$30</f>
        <v>0.00149611011370437</v>
      </c>
      <c r="Q43" s="15" t="n">
        <f aca="false">+Q42/Q$30</f>
        <v>0.00229990800367985</v>
      </c>
      <c r="R43" s="15" t="n">
        <f aca="false">+R42/R$30</f>
        <v>-0.000892309408287324</v>
      </c>
      <c r="S43" s="15" t="n">
        <f aca="false">+S42/S$30</f>
        <v>0.00314752766778353</v>
      </c>
      <c r="T43" s="15" t="n">
        <f aca="false">+T42/T$30</f>
        <v>0.011896602369529</v>
      </c>
      <c r="U43" s="15" t="n">
        <f aca="false">+U42/U$30</f>
        <v>0.00371662965145266</v>
      </c>
      <c r="V43" s="15" t="n">
        <f aca="false">+V42/V$30</f>
        <v>0.00983970798285986</v>
      </c>
      <c r="W43" s="15" t="n">
        <f aca="false">+W42/W$30</f>
        <v>0.00188934485077954</v>
      </c>
      <c r="X43" s="15" t="n">
        <f aca="false">+X42/X$30</f>
        <v>0.00168691504533888</v>
      </c>
      <c r="Y43" s="15" t="n">
        <f aca="false">+Y42/Y$30</f>
        <v>0.00151974328408908</v>
      </c>
      <c r="Z43" s="15" t="n">
        <f aca="false">+Z42/Z$30</f>
        <v>0.00138158480371734</v>
      </c>
      <c r="AA43" s="15" t="n">
        <f aca="false">+AA42/AA$30</f>
        <v>0.0012675089942361</v>
      </c>
      <c r="AB43" s="15" t="n">
        <f aca="false">+AB42/AB$30</f>
        <v>0.0011736194391075</v>
      </c>
      <c r="AC43" s="15" t="n">
        <f aca="false">+AC42/AC$30</f>
        <v>0.00109684059729673</v>
      </c>
      <c r="AD43" s="15" t="n">
        <f aca="false">+AD42/AD$30</f>
        <v>0.00102508467037077</v>
      </c>
      <c r="AE43" s="15" t="n">
        <f aca="false">+AE42/AE$30</f>
        <v>0.000958023056421281</v>
      </c>
      <c r="AF43" s="15" t="n">
        <f aca="false">+AF42/AF$30</f>
        <v>0.000895348650861011</v>
      </c>
      <c r="AG43" s="15" t="n">
        <f aca="false">+AG42/AG$30</f>
        <v>0.000836774440057019</v>
      </c>
    </row>
    <row r="44" customFormat="false" ht="12.8" hidden="false" customHeight="false" outlineLevel="0" collapsed="false">
      <c r="A44" s="3" t="s">
        <v>58</v>
      </c>
      <c r="B44" s="6" t="n">
        <f aca="false">+B42+B40+B38+B36</f>
        <v>1003</v>
      </c>
      <c r="C44" s="6" t="n">
        <f aca="false">+C42+C40+C38+C36</f>
        <v>1102</v>
      </c>
      <c r="D44" s="6" t="n">
        <f aca="false">+D42+D40+D38+D36</f>
        <v>1091</v>
      </c>
      <c r="E44" s="6" t="n">
        <f aca="false">+E42+E40+E38+E36</f>
        <v>1421</v>
      </c>
      <c r="F44" s="6" t="n">
        <f aca="false">+F42+F40+F38+F36</f>
        <v>1393</v>
      </c>
      <c r="G44" s="6" t="n">
        <f aca="false">+G42+G40+G38+G36</f>
        <v>1476</v>
      </c>
      <c r="H44" s="6" t="n">
        <f aca="false">+H42+H40+H38+H36</f>
        <v>1621</v>
      </c>
      <c r="I44" s="6" t="n">
        <f aca="false">+I42+I40+I38+I36</f>
        <v>1465</v>
      </c>
      <c r="J44" s="6" t="n">
        <f aca="false">+J42+J40+J38+J36</f>
        <v>1420</v>
      </c>
      <c r="K44" s="6" t="n">
        <f aca="false">+K42+K40+K38+K36</f>
        <v>1476</v>
      </c>
      <c r="Q44" s="6" t="n">
        <f aca="false">+Q42+Q40+Q38+Q36</f>
        <v>3443</v>
      </c>
      <c r="R44" s="6" t="n">
        <f aca="false">+R42+R40+R38+R36</f>
        <v>3855</v>
      </c>
      <c r="S44" s="6" t="n">
        <f aca="false">+S42+S40+S38+S36</f>
        <v>4039</v>
      </c>
      <c r="T44" s="6" t="n">
        <f aca="false">+T42+T40+T38+T36</f>
        <v>4245</v>
      </c>
      <c r="U44" s="6" t="n">
        <f aca="false">+U42+U40+U38+U36</f>
        <v>4617</v>
      </c>
      <c r="V44" s="6" t="n">
        <f aca="false">+V42+V40+V38+V36</f>
        <v>5884</v>
      </c>
      <c r="W44" s="6" t="n">
        <f aca="false">+W42+W40+W38+W36</f>
        <v>6492.75</v>
      </c>
      <c r="X44" s="6" t="n">
        <f aca="false">+X42+X40+X38+X36</f>
        <v>7456.1625</v>
      </c>
      <c r="Y44" s="6" t="n">
        <f aca="false">+Y42+Y40+Y38+Y36</f>
        <v>8564.086875</v>
      </c>
      <c r="Z44" s="6" t="n">
        <f aca="false">+Z42+Z40+Z38+Z36</f>
        <v>9413.4955625</v>
      </c>
      <c r="AA44" s="6" t="n">
        <f aca="false">+AA42+AA40+AA38+AA36</f>
        <v>10347.84511875</v>
      </c>
      <c r="AB44" s="6" t="n">
        <f aca="false">+AB42+AB40+AB38+AB36</f>
        <v>11375.629630625</v>
      </c>
      <c r="AC44" s="6" t="n">
        <f aca="false">+AC42+AC40+AC38+AC36</f>
        <v>12506.1925936875</v>
      </c>
      <c r="AD44" s="6" t="n">
        <f aca="false">+AD42+AD40+AD38+AD36</f>
        <v>13749.8118530563</v>
      </c>
      <c r="AE44" s="6" t="n">
        <f aca="false">+AE42+AE40+AE38+AE36</f>
        <v>14433.8024457091</v>
      </c>
      <c r="AF44" s="6" t="n">
        <f aca="false">+AF42+AF40+AF38+AF36</f>
        <v>15151.9925679945</v>
      </c>
      <c r="AG44" s="6" t="n">
        <f aca="false">+AG42+AG40+AG38+AG36</f>
        <v>15906.0921963942</v>
      </c>
    </row>
    <row r="45" s="15" customFormat="true" ht="10.5" hidden="false" customHeight="true" outlineLevel="0" collapsed="false">
      <c r="B45" s="15" t="n">
        <f aca="false">+B44/B$30</f>
        <v>0.194417522775732</v>
      </c>
      <c r="C45" s="15" t="n">
        <f aca="false">+C44/C$30</f>
        <v>0.203998519067012</v>
      </c>
      <c r="D45" s="15" t="n">
        <f aca="false">+D44/D$30</f>
        <v>0.194508825102514</v>
      </c>
      <c r="E45" s="15" t="n">
        <f aca="false">+E44/E$30</f>
        <v>0.241133548277618</v>
      </c>
      <c r="F45" s="15" t="n">
        <f aca="false">+F44/F$30</f>
        <v>0.231472249916916</v>
      </c>
      <c r="G45" s="15" t="n">
        <f aca="false">+G44/G$30</f>
        <v>0.22954898911353</v>
      </c>
      <c r="H45" s="15" t="n">
        <f aca="false">+H44/H$30</f>
        <v>0.251590873816545</v>
      </c>
      <c r="I45" s="15" t="n">
        <f aca="false">+I44/I$30</f>
        <v>0.232024073487488</v>
      </c>
      <c r="J45" s="15" t="n">
        <f aca="false">+J44/J$30</f>
        <v>0.228039184197848</v>
      </c>
      <c r="K45" s="15" t="n">
        <f aca="false">+K44/K$30</f>
        <v>0.220825852782765</v>
      </c>
      <c r="Q45" s="15" t="n">
        <f aca="false">+Q44/Q$30</f>
        <v>0.22624523590485</v>
      </c>
      <c r="R45" s="15" t="n">
        <f aca="false">+R44/R$30</f>
        <v>0.214990798059227</v>
      </c>
      <c r="S45" s="15" t="n">
        <f aca="false">+S44/S$30</f>
        <v>0.205046197583511</v>
      </c>
      <c r="T45" s="15" t="n">
        <f aca="false">+T44/T$30</f>
        <v>0.207823362381279</v>
      </c>
      <c r="U45" s="15" t="n">
        <f aca="false">+U44/U$30</f>
        <v>0.209264379277523</v>
      </c>
      <c r="V45" s="15" t="n">
        <f aca="false">+V44/V$30</f>
        <v>0.233455007141724</v>
      </c>
      <c r="W45" s="15" t="n">
        <f aca="false">+W44/W$30</f>
        <v>0.245340875597978</v>
      </c>
      <c r="X45" s="15" t="n">
        <f aca="false">+X44/X$30</f>
        <v>0.251558254034831</v>
      </c>
      <c r="Y45" s="15" t="n">
        <f aca="false">+Y44/Y$30</f>
        <v>0.260304270252734</v>
      </c>
      <c r="Z45" s="15" t="n">
        <f aca="false">+Z44/Z$30</f>
        <v>0.260110848380213</v>
      </c>
      <c r="AA45" s="15" t="n">
        <f aca="false">+AA44/AA$30</f>
        <v>0.262319735179554</v>
      </c>
      <c r="AB45" s="15" t="n">
        <f aca="false">+AB44/AB$30</f>
        <v>0.267013201331775</v>
      </c>
      <c r="AC45" s="15" t="n">
        <f aca="false">+AC44/AC$30</f>
        <v>0.274345995087362</v>
      </c>
      <c r="AD45" s="15" t="n">
        <f aca="false">+AD44/AD$30</f>
        <v>0.281894427021007</v>
      </c>
      <c r="AE45" s="15" t="n">
        <f aca="false">+AE44/AE$30</f>
        <v>0.276558310696384</v>
      </c>
      <c r="AF45" s="15" t="n">
        <f aca="false">+AF44/AF$30</f>
        <v>0.271326322072199</v>
      </c>
      <c r="AG45" s="15" t="n">
        <f aca="false">+AG44/AG$30</f>
        <v>0.266196227822662</v>
      </c>
    </row>
    <row r="46" customFormat="false" ht="12.8" hidden="false" customHeight="false" outlineLevel="0" collapsed="false">
      <c r="A46" s="3" t="s">
        <v>59</v>
      </c>
      <c r="B46" s="6" t="n">
        <f aca="false">+B34-B44</f>
        <v>1016</v>
      </c>
      <c r="C46" s="6" t="n">
        <f aca="false">+C34-C44</f>
        <v>1009</v>
      </c>
      <c r="D46" s="6" t="n">
        <f aca="false">+D34-D44</f>
        <v>1119</v>
      </c>
      <c r="E46" s="6" t="n">
        <f aca="false">+E34-E44</f>
        <v>919</v>
      </c>
      <c r="F46" s="6" t="n">
        <f aca="false">+F34-F44</f>
        <v>1013</v>
      </c>
      <c r="G46" s="6" t="n">
        <f aca="false">+G34-G44</f>
        <v>1151</v>
      </c>
      <c r="H46" s="6" t="n">
        <f aca="false">+H34-H44</f>
        <v>989</v>
      </c>
      <c r="I46" s="6" t="n">
        <f aca="false">+I34-I44</f>
        <v>1156</v>
      </c>
      <c r="J46" s="6" t="n">
        <f aca="false">+J34-J44</f>
        <v>1113</v>
      </c>
      <c r="K46" s="6" t="n">
        <f aca="false">+K34-K44</f>
        <v>1253</v>
      </c>
      <c r="Q46" s="6" t="n">
        <f aca="false">+Q34-Q44</f>
        <v>2434</v>
      </c>
      <c r="R46" s="6" t="n">
        <f aca="false">+R34-R44</f>
        <v>2965</v>
      </c>
      <c r="S46" s="6" t="n">
        <f aca="false">+S34-S44</f>
        <v>3365</v>
      </c>
      <c r="T46" s="6" t="n">
        <f aca="false">+T34-T44</f>
        <v>3575</v>
      </c>
      <c r="U46" s="6" t="n">
        <f aca="false">+U34-U44</f>
        <v>4063</v>
      </c>
      <c r="V46" s="6" t="n">
        <f aca="false">+V34-V44</f>
        <v>4308</v>
      </c>
      <c r="W46" s="6" t="n">
        <f aca="false">+W34-W44</f>
        <v>4225.251</v>
      </c>
      <c r="X46" s="6" t="n">
        <f aca="false">+X34-X44</f>
        <v>4696.19814</v>
      </c>
      <c r="Y46" s="6" t="n">
        <f aca="false">+Y34-Y44</f>
        <v>5089.5349026</v>
      </c>
      <c r="Z46" s="6" t="n">
        <f aca="false">+Z34-Z44</f>
        <v>5786.44000678</v>
      </c>
      <c r="AA46" s="6" t="n">
        <f aca="false">+AA34-AA44</f>
        <v>6417.32191093801</v>
      </c>
      <c r="AB46" s="6" t="n">
        <f aca="false">+AB34-AB44</f>
        <v>6943.76700134467</v>
      </c>
      <c r="AC46" s="6" t="n">
        <f aca="false">+AC34-AC44</f>
        <v>7323.48917922014</v>
      </c>
      <c r="AD46" s="6" t="n">
        <f aca="false">+AD34-AD44</f>
        <v>7711.82993702397</v>
      </c>
      <c r="AE46" s="6" t="n">
        <f aca="false">+AE34-AE44</f>
        <v>8791.10832326072</v>
      </c>
      <c r="AF46" s="6" t="n">
        <f aca="false">+AF34-AF44</f>
        <v>9977.88279213801</v>
      </c>
      <c r="AG46" s="6" t="n">
        <f aca="false">+AG34-AG44</f>
        <v>11281.6407348958</v>
      </c>
    </row>
    <row r="47" s="15" customFormat="true" ht="10.5" hidden="false" customHeight="true" outlineLevel="0" collapsed="false">
      <c r="B47" s="15" t="n">
        <f aca="false">+B46/B$30</f>
        <v>0.196937390967242</v>
      </c>
      <c r="C47" s="15" t="n">
        <f aca="false">+C46/C$30</f>
        <v>0.186782673084043</v>
      </c>
      <c r="D47" s="15" t="n">
        <f aca="false">+D46/D$30</f>
        <v>0.199500802282047</v>
      </c>
      <c r="E47" s="15" t="n">
        <f aca="false">+E46/E$30</f>
        <v>0.155947734600373</v>
      </c>
      <c r="F47" s="15" t="n">
        <f aca="false">+F46/F$30</f>
        <v>0.168328348288468</v>
      </c>
      <c r="G47" s="15" t="n">
        <f aca="false">+G46/G$30</f>
        <v>0.17900466562986</v>
      </c>
      <c r="H47" s="15" t="n">
        <f aca="false">+H46/H$30</f>
        <v>0.153499922396399</v>
      </c>
      <c r="I47" s="15" t="n">
        <f aca="false">+I46/I$30</f>
        <v>0.183085207475451</v>
      </c>
      <c r="J47" s="15" t="n">
        <f aca="false">+J46/J$30</f>
        <v>0.178737754938172</v>
      </c>
      <c r="K47" s="15" t="n">
        <f aca="false">+K46/K$30</f>
        <v>0.187462597247157</v>
      </c>
      <c r="Q47" s="15" t="n">
        <f aca="false">+Q46/Q$30</f>
        <v>0.159942173741622</v>
      </c>
      <c r="R47" s="15" t="n">
        <f aca="false">+R46/R$30</f>
        <v>0.165356087223245</v>
      </c>
      <c r="S47" s="15" t="n">
        <f aca="false">+S46/S$30</f>
        <v>0.170829525840187</v>
      </c>
      <c r="T47" s="15" t="n">
        <f aca="false">+T46/T$30</f>
        <v>0.175022030745129</v>
      </c>
      <c r="U47" s="15" t="n">
        <f aca="false">+U46/U$30</f>
        <v>0.184154466754295</v>
      </c>
      <c r="V47" s="15" t="n">
        <f aca="false">+V46/V$30</f>
        <v>0.170925249960324</v>
      </c>
      <c r="W47" s="15" t="n">
        <f aca="false">+W46/W$30</f>
        <v>0.159659124402022</v>
      </c>
      <c r="X47" s="15" t="n">
        <f aca="false">+X46/X$30</f>
        <v>0.158441745965169</v>
      </c>
      <c r="Y47" s="15" t="n">
        <f aca="false">+Y46/Y$30</f>
        <v>0.154695729747266</v>
      </c>
      <c r="Z47" s="15" t="n">
        <f aca="false">+Z46/Z$30</f>
        <v>0.159889151619787</v>
      </c>
      <c r="AA47" s="15" t="n">
        <f aca="false">+AA46/AA$30</f>
        <v>0.162680264820446</v>
      </c>
      <c r="AB47" s="15" t="n">
        <f aca="false">+AB46/AB$30</f>
        <v>0.162986798668226</v>
      </c>
      <c r="AC47" s="15" t="n">
        <f aca="false">+AC46/AC$30</f>
        <v>0.160654004912638</v>
      </c>
      <c r="AD47" s="15" t="n">
        <f aca="false">+AD46/AD$30</f>
        <v>0.158105572978993</v>
      </c>
      <c r="AE47" s="15" t="n">
        <f aca="false">+AE46/AE$30</f>
        <v>0.168441689303616</v>
      </c>
      <c r="AF47" s="15" t="n">
        <f aca="false">+AF46/AF$30</f>
        <v>0.178673677927801</v>
      </c>
      <c r="AG47" s="15" t="n">
        <f aca="false">+AG46/AG$30</f>
        <v>0.188803772177338</v>
      </c>
    </row>
    <row r="48" customFormat="false" ht="12.8" hidden="false" customHeight="false" outlineLevel="0" collapsed="false">
      <c r="A48" s="3" t="s">
        <v>60</v>
      </c>
      <c r="B48" s="6" t="n">
        <v>-130</v>
      </c>
      <c r="C48" s="6" t="n">
        <v>-136</v>
      </c>
      <c r="D48" s="6" t="n">
        <v>-131</v>
      </c>
      <c r="E48" s="6" t="n">
        <v>-201</v>
      </c>
      <c r="F48" s="6" t="n">
        <v>-232</v>
      </c>
      <c r="G48" s="6" t="n">
        <v>-232</v>
      </c>
      <c r="H48" s="6" t="n">
        <v>-225</v>
      </c>
      <c r="I48" s="6" t="n">
        <v>-223</v>
      </c>
      <c r="J48" s="6" t="n">
        <v>-225</v>
      </c>
      <c r="K48" s="6" t="n">
        <v>-233</v>
      </c>
      <c r="Q48" s="6" t="n">
        <v>-425</v>
      </c>
      <c r="R48" s="6" t="n">
        <v>-365</v>
      </c>
      <c r="S48" s="6" t="n">
        <v>-378</v>
      </c>
      <c r="T48" s="6" t="n">
        <v>-500</v>
      </c>
      <c r="U48" s="6" t="n">
        <v>-598</v>
      </c>
      <c r="V48" s="6" t="n">
        <v>-912</v>
      </c>
      <c r="W48" s="6" t="n">
        <f aca="false">+V95*$AJ$69</f>
        <v>-454.12</v>
      </c>
      <c r="X48" s="6" t="n">
        <f aca="false">+W95*$AJ$69</f>
        <v>-393.481904</v>
      </c>
      <c r="Y48" s="6" t="n">
        <f aca="false">+X95*$AJ$69</f>
        <v>-324.338444224</v>
      </c>
      <c r="Z48" s="6" t="n">
        <f aca="false">+Y95*$AJ$69</f>
        <v>-247.795300889984</v>
      </c>
      <c r="AA48" s="6" t="n">
        <f aca="false">+Z95*$AJ$69</f>
        <v>-158.876985595744</v>
      </c>
      <c r="AB48" s="6" t="n">
        <f aca="false">+AA95*$AJ$69</f>
        <v>-58.4418667902674</v>
      </c>
      <c r="AC48" s="6" t="n">
        <f aca="false">+AB95*$AJ$69</f>
        <v>52.0233353626031</v>
      </c>
      <c r="AD48" s="6" t="n">
        <f aca="false">+AC95*$AJ$69</f>
        <v>170.331535595927</v>
      </c>
      <c r="AE48" s="6" t="n">
        <f aca="false">+AD95*$AJ$69</f>
        <v>296.746119157845</v>
      </c>
      <c r="AF48" s="6" t="n">
        <f aca="false">+AE95*$AJ$69</f>
        <v>442.451790236542</v>
      </c>
      <c r="AG48" s="6" t="n">
        <f aca="false">+AF95*$AJ$69</f>
        <v>609.477143554535</v>
      </c>
    </row>
    <row r="49" s="15" customFormat="true" ht="10.5" hidden="false" customHeight="true" outlineLevel="0" collapsed="false">
      <c r="B49" s="15" t="n">
        <f aca="false">+B48/B$30</f>
        <v>-0.0251986819150998</v>
      </c>
      <c r="C49" s="15" t="n">
        <f aca="false">+C48/C$30</f>
        <v>-0.0251758607922991</v>
      </c>
      <c r="D49" s="15" t="n">
        <f aca="false">+D48/D$30</f>
        <v>-0.0233553218042432</v>
      </c>
      <c r="E49" s="15" t="n">
        <f aca="false">+E48/E$30</f>
        <v>-0.0341082640420838</v>
      </c>
      <c r="F49" s="15" t="n">
        <f aca="false">+F48/F$30</f>
        <v>-0.0385510136257893</v>
      </c>
      <c r="G49" s="15" t="n">
        <f aca="false">+G48/G$30</f>
        <v>-0.0360808709175739</v>
      </c>
      <c r="H49" s="15" t="n">
        <f aca="false">+H48/H$30</f>
        <v>-0.0349216203631849</v>
      </c>
      <c r="I49" s="15" t="n">
        <f aca="false">+I48/I$30</f>
        <v>-0.035318340196389</v>
      </c>
      <c r="J49" s="15" t="n">
        <f aca="false">+J48/J$30</f>
        <v>-0.0361329693271238</v>
      </c>
      <c r="K49" s="15" t="n">
        <f aca="false">+K48/K$30</f>
        <v>-0.0348593656493118</v>
      </c>
      <c r="Q49" s="15" t="n">
        <f aca="false">+Q48/Q$30</f>
        <v>-0.0279274543303982</v>
      </c>
      <c r="R49" s="15" t="n">
        <f aca="false">+R48/R$30</f>
        <v>-0.0203558083765546</v>
      </c>
      <c r="S49" s="15" t="n">
        <f aca="false">+S48/S$30</f>
        <v>-0.0191897654584222</v>
      </c>
      <c r="T49" s="15" t="n">
        <f aca="false">+T48/T$30</f>
        <v>-0.0244786056986194</v>
      </c>
      <c r="U49" s="15" t="n">
        <f aca="false">+U48/U$30</f>
        <v>-0.0271042016044962</v>
      </c>
      <c r="V49" s="15" t="n">
        <f aca="false">+V48/V$30</f>
        <v>-0.0361847325821298</v>
      </c>
      <c r="W49" s="15" t="n">
        <f aca="false">+W48/W$30</f>
        <v>-0.0171597856727201</v>
      </c>
      <c r="X49" s="15" t="n">
        <f aca="false">+X48/X$30</f>
        <v>-0.0132754108785238</v>
      </c>
      <c r="Y49" s="15" t="n">
        <f aca="false">+Y48/Y$30</f>
        <v>-0.00985822344762649</v>
      </c>
      <c r="Z49" s="15" t="n">
        <f aca="false">+Z48/Z$30</f>
        <v>-0.00684700444284338</v>
      </c>
      <c r="AA49" s="15" t="n">
        <f aca="false">+AA48/AA$30</f>
        <v>-0.00402756016439448</v>
      </c>
      <c r="AB49" s="15" t="n">
        <f aca="false">+AB48/AB$30</f>
        <v>-0.00137177021845577</v>
      </c>
      <c r="AC49" s="15" t="n">
        <f aca="false">+AC48/AC$30</f>
        <v>0.00114122612464971</v>
      </c>
      <c r="AD49" s="15" t="n">
        <f aca="false">+AD48/AD$30</f>
        <v>0.00349208492040196</v>
      </c>
      <c r="AE49" s="15" t="n">
        <f aca="false">+AE48/AE$30</f>
        <v>0.00568579248113506</v>
      </c>
      <c r="AF49" s="15" t="n">
        <f aca="false">+AF48/AF$30</f>
        <v>0.00792297226918654</v>
      </c>
      <c r="AG49" s="15" t="n">
        <f aca="false">+AG48/AG$30</f>
        <v>0.010199897910508</v>
      </c>
    </row>
    <row r="50" customFormat="false" ht="12.8" hidden="false" customHeight="false" outlineLevel="0" collapsed="false">
      <c r="A50" s="3" t="s">
        <v>61</v>
      </c>
      <c r="B50" s="6" t="n">
        <f aca="false">-19+2</f>
        <v>-17</v>
      </c>
      <c r="C50" s="6" t="n">
        <f aca="false">+22-1</f>
        <v>21</v>
      </c>
      <c r="D50" s="6" t="n">
        <f aca="false">+1+6</f>
        <v>7</v>
      </c>
      <c r="E50" s="6" t="n">
        <v>-18</v>
      </c>
      <c r="F50" s="6" t="n">
        <v>7</v>
      </c>
      <c r="G50" s="6" t="n">
        <v>9</v>
      </c>
      <c r="H50" s="6" t="n">
        <f aca="false">+4+7</f>
        <v>11</v>
      </c>
      <c r="I50" s="6" t="n">
        <f aca="false">-1+4</f>
        <v>3</v>
      </c>
      <c r="J50" s="6" t="n">
        <v>3</v>
      </c>
      <c r="K50" s="6" t="n">
        <v>4</v>
      </c>
      <c r="Q50" s="6" t="n">
        <f aca="false">-53-68+5</f>
        <v>-116</v>
      </c>
      <c r="R50" s="6" t="n">
        <f aca="false">-220-36+5</f>
        <v>-251</v>
      </c>
      <c r="S50" s="6" t="n">
        <f aca="false">-67-2</f>
        <v>-69</v>
      </c>
      <c r="T50" s="6" t="n">
        <f aca="false">-60+6</f>
        <v>-54</v>
      </c>
      <c r="U50" s="6" t="n">
        <f aca="false">+4-11</f>
        <v>-7</v>
      </c>
      <c r="V50" s="6" t="n">
        <f aca="false">+10+20</f>
        <v>30</v>
      </c>
      <c r="W50" s="19" t="n">
        <v>20</v>
      </c>
      <c r="X50" s="19" t="n">
        <v>20</v>
      </c>
      <c r="Y50" s="19" t="n">
        <v>20</v>
      </c>
      <c r="Z50" s="19" t="n">
        <v>20</v>
      </c>
      <c r="AA50" s="19" t="n">
        <v>20</v>
      </c>
      <c r="AB50" s="19" t="n">
        <v>20</v>
      </c>
      <c r="AC50" s="19" t="n">
        <v>20</v>
      </c>
      <c r="AD50" s="19" t="n">
        <v>20</v>
      </c>
      <c r="AE50" s="19" t="n">
        <v>20</v>
      </c>
      <c r="AF50" s="19" t="n">
        <v>20</v>
      </c>
      <c r="AG50" s="19" t="n">
        <v>20</v>
      </c>
    </row>
    <row r="51" s="15" customFormat="true" ht="10.5" hidden="false" customHeight="true" outlineLevel="0" collapsed="false">
      <c r="B51" s="15" t="n">
        <f aca="false">+B50/B$30</f>
        <v>-0.00329521225043613</v>
      </c>
      <c r="C51" s="15" t="n">
        <f aca="false">+C50/C$30</f>
        <v>0.00388744909292855</v>
      </c>
      <c r="D51" s="15" t="n">
        <f aca="false">+D50/D$30</f>
        <v>0.00124799429488322</v>
      </c>
      <c r="E51" s="15" t="n">
        <f aca="false">+E50/E$30</f>
        <v>-0.00305447140675378</v>
      </c>
      <c r="F51" s="15" t="n">
        <f aca="false">+F50/F$30</f>
        <v>0.00116317713526088</v>
      </c>
      <c r="G51" s="15" t="n">
        <f aca="false">+G50/G$30</f>
        <v>0.00139968895800933</v>
      </c>
      <c r="H51" s="15" t="n">
        <f aca="false">+H50/H$30</f>
        <v>0.0017072792177557</v>
      </c>
      <c r="I51" s="15" t="n">
        <f aca="false">+I50/I$30</f>
        <v>0.000475134621476085</v>
      </c>
      <c r="J51" s="15" t="n">
        <f aca="false">+J50/J$30</f>
        <v>0.000481772924361651</v>
      </c>
      <c r="K51" s="15" t="n">
        <f aca="false">+K50/K$30</f>
        <v>0.000598444045481747</v>
      </c>
      <c r="Q51" s="15" t="n">
        <f aca="false">+Q50/Q$30</f>
        <v>-0.00762255224076751</v>
      </c>
      <c r="R51" s="15" t="n">
        <f aca="false">+R50/R$30</f>
        <v>-0.0139981038425074</v>
      </c>
      <c r="S51" s="15" t="n">
        <f aca="false">+S50/S$30</f>
        <v>-0.00350289369479135</v>
      </c>
      <c r="T51" s="15" t="n">
        <f aca="false">+T50/T$30</f>
        <v>-0.0026436894154509</v>
      </c>
      <c r="U51" s="15" t="n">
        <f aca="false">+U50/U$30</f>
        <v>-0.000317273262928885</v>
      </c>
      <c r="V51" s="15" t="n">
        <f aca="false">+V50/V$30</f>
        <v>0.00119028725599111</v>
      </c>
      <c r="W51" s="15" t="n">
        <f aca="false">+W50/W$30</f>
        <v>0.000755737940311818</v>
      </c>
      <c r="X51" s="15" t="n">
        <f aca="false">+X50/X$30</f>
        <v>0.000674766018135551</v>
      </c>
      <c r="Y51" s="15" t="n">
        <f aca="false">+Y50/Y$30</f>
        <v>0.000607897313635632</v>
      </c>
      <c r="Z51" s="15" t="n">
        <f aca="false">+Z50/Z$30</f>
        <v>0.000552633921486938</v>
      </c>
      <c r="AA51" s="15" t="n">
        <f aca="false">+AA50/AA$30</f>
        <v>0.000507003597694438</v>
      </c>
      <c r="AB51" s="15" t="n">
        <f aca="false">+AB50/AB$30</f>
        <v>0.000469447775642998</v>
      </c>
      <c r="AC51" s="15" t="n">
        <f aca="false">+AC50/AC$30</f>
        <v>0.00043873623891869</v>
      </c>
      <c r="AD51" s="15" t="n">
        <f aca="false">+AD50/AD$30</f>
        <v>0.000410033868148308</v>
      </c>
      <c r="AE51" s="15" t="n">
        <f aca="false">+AE50/AE$30</f>
        <v>0.000383209222568513</v>
      </c>
      <c r="AF51" s="15" t="n">
        <f aca="false">+AF50/AF$30</f>
        <v>0.000358139460344404</v>
      </c>
      <c r="AG51" s="15" t="n">
        <f aca="false">+AG50/AG$30</f>
        <v>0.000334709776022808</v>
      </c>
    </row>
    <row r="52" customFormat="false" ht="12.8" hidden="false" customHeight="false" outlineLevel="0" collapsed="false">
      <c r="A52" s="3" t="s">
        <v>62</v>
      </c>
      <c r="B52" s="6" t="n">
        <f aca="false">+B46+B48+B50</f>
        <v>869</v>
      </c>
      <c r="C52" s="6" t="n">
        <f aca="false">+C46+C48+C50</f>
        <v>894</v>
      </c>
      <c r="D52" s="6" t="n">
        <f aca="false">+D46+D48+D50</f>
        <v>995</v>
      </c>
      <c r="E52" s="6" t="n">
        <f aca="false">+E46+E48+E50</f>
        <v>700</v>
      </c>
      <c r="F52" s="6" t="n">
        <f aca="false">+F46+F48+F50</f>
        <v>788</v>
      </c>
      <c r="G52" s="6" t="n">
        <f aca="false">+G46+G48+G50</f>
        <v>928</v>
      </c>
      <c r="H52" s="6" t="n">
        <f aca="false">+H46+H48+H50</f>
        <v>775</v>
      </c>
      <c r="I52" s="6" t="n">
        <f aca="false">+I46+I48+I50</f>
        <v>936</v>
      </c>
      <c r="J52" s="6" t="n">
        <f aca="false">+J46+J48+J50</f>
        <v>891</v>
      </c>
      <c r="K52" s="6" t="n">
        <f aca="false">+K46+K48+K50</f>
        <v>1024</v>
      </c>
      <c r="Q52" s="6" t="n">
        <f aca="false">+Q46+Q48+Q50</f>
        <v>1893</v>
      </c>
      <c r="R52" s="6" t="n">
        <f aca="false">+R46+R48+R50</f>
        <v>2349</v>
      </c>
      <c r="S52" s="6" t="n">
        <f aca="false">+S46+S48+S50</f>
        <v>2918</v>
      </c>
      <c r="T52" s="6" t="n">
        <f aca="false">+T46+T48+T50</f>
        <v>3021</v>
      </c>
      <c r="U52" s="6" t="n">
        <f aca="false">+U46+U48+U50</f>
        <v>3458</v>
      </c>
      <c r="V52" s="6" t="n">
        <f aca="false">+V46+V48+V50</f>
        <v>3426</v>
      </c>
      <c r="W52" s="6" t="n">
        <f aca="false">+W46+W48+W50</f>
        <v>3791.131</v>
      </c>
      <c r="X52" s="6" t="n">
        <f aca="false">+X46+X48+X50</f>
        <v>4322.716236</v>
      </c>
      <c r="Y52" s="6" t="n">
        <f aca="false">+Y46+Y48+Y50</f>
        <v>4785.196458376</v>
      </c>
      <c r="Z52" s="6" t="n">
        <f aca="false">+Z46+Z48+Z50</f>
        <v>5558.64470589002</v>
      </c>
      <c r="AA52" s="6" t="n">
        <f aca="false">+AA46+AA48+AA50</f>
        <v>6278.44492534226</v>
      </c>
      <c r="AB52" s="6" t="n">
        <f aca="false">+AB46+AB48+AB50</f>
        <v>6905.32513455441</v>
      </c>
      <c r="AC52" s="6" t="n">
        <f aca="false">+AC46+AC48+AC50</f>
        <v>7395.51251458274</v>
      </c>
      <c r="AD52" s="6" t="n">
        <f aca="false">+AD46+AD48+AD50</f>
        <v>7902.1614726199</v>
      </c>
      <c r="AE52" s="6" t="n">
        <f aca="false">+AE46+AE48+AE50</f>
        <v>9107.85444241857</v>
      </c>
      <c r="AF52" s="6" t="n">
        <f aca="false">+AF46+AF48+AF50</f>
        <v>10440.3345823746</v>
      </c>
      <c r="AG52" s="6" t="n">
        <f aca="false">+AG46+AG48+AG50</f>
        <v>11911.1178784504</v>
      </c>
    </row>
    <row r="53" s="15" customFormat="true" ht="10.5" hidden="false" customHeight="true" outlineLevel="0" collapsed="false">
      <c r="B53" s="15" t="n">
        <f aca="false">+B52/B$30</f>
        <v>0.168443496801706</v>
      </c>
      <c r="C53" s="15" t="n">
        <f aca="false">+C52/C$30</f>
        <v>0.165494261384672</v>
      </c>
      <c r="D53" s="15" t="n">
        <f aca="false">+D52/D$30</f>
        <v>0.177393474772687</v>
      </c>
      <c r="E53" s="15" t="n">
        <f aca="false">+E52/E$30</f>
        <v>0.118784999151536</v>
      </c>
      <c r="F53" s="15" t="n">
        <f aca="false">+F52/F$30</f>
        <v>0.13094051179794</v>
      </c>
      <c r="G53" s="15" t="n">
        <f aca="false">+G52/G$30</f>
        <v>0.144323483670296</v>
      </c>
      <c r="H53" s="15" t="n">
        <f aca="false">+H52/H$30</f>
        <v>0.12028558125097</v>
      </c>
      <c r="I53" s="15" t="n">
        <f aca="false">+I52/I$30</f>
        <v>0.148242001900539</v>
      </c>
      <c r="J53" s="15" t="n">
        <f aca="false">+J52/J$30</f>
        <v>0.14308655853541</v>
      </c>
      <c r="K53" s="15" t="n">
        <f aca="false">+K52/K$30</f>
        <v>0.153201675643327</v>
      </c>
      <c r="Q53" s="15" t="n">
        <f aca="false">+Q52/Q$30</f>
        <v>0.124392167170456</v>
      </c>
      <c r="R53" s="15" t="n">
        <f aca="false">+R52/R$30</f>
        <v>0.131002175004183</v>
      </c>
      <c r="S53" s="15" t="n">
        <f aca="false">+S52/S$30</f>
        <v>0.148136866686973</v>
      </c>
      <c r="T53" s="15" t="n">
        <f aca="false">+T52/T$30</f>
        <v>0.147899735631058</v>
      </c>
      <c r="U53" s="15" t="n">
        <f aca="false">+U52/U$30</f>
        <v>0.156732991886869</v>
      </c>
      <c r="V53" s="15" t="n">
        <f aca="false">+V52/V$30</f>
        <v>0.135930804634185</v>
      </c>
      <c r="W53" s="15" t="n">
        <f aca="false">+W52/W$30</f>
        <v>0.143255076669614</v>
      </c>
      <c r="X53" s="15" t="n">
        <f aca="false">+X52/X$30</f>
        <v>0.145841101104781</v>
      </c>
      <c r="Y53" s="15" t="n">
        <f aca="false">+Y52/Y$30</f>
        <v>0.145445403613276</v>
      </c>
      <c r="Z53" s="15" t="n">
        <f aca="false">+Z52/Z$30</f>
        <v>0.15359478109843</v>
      </c>
      <c r="AA53" s="15" t="n">
        <f aca="false">+AA52/AA$30</f>
        <v>0.159159708253746</v>
      </c>
      <c r="AB53" s="15" t="n">
        <f aca="false">+AB52/AB$30</f>
        <v>0.162084476225413</v>
      </c>
      <c r="AC53" s="15" t="n">
        <f aca="false">+AC52/AC$30</f>
        <v>0.162233967276207</v>
      </c>
      <c r="AD53" s="15" t="n">
        <f aca="false">+AD52/AD$30</f>
        <v>0.162007691767543</v>
      </c>
      <c r="AE53" s="15" t="n">
        <f aca="false">+AE52/AE$30</f>
        <v>0.17451069100732</v>
      </c>
      <c r="AF53" s="15" t="n">
        <f aca="false">+AF52/AF$30</f>
        <v>0.186954789657332</v>
      </c>
      <c r="AG53" s="15" t="n">
        <f aca="false">+AG52/AG$30</f>
        <v>0.199338379863869</v>
      </c>
    </row>
    <row r="54" customFormat="false" ht="12.8" hidden="false" customHeight="false" outlineLevel="0" collapsed="false">
      <c r="A54" s="3" t="s">
        <v>63</v>
      </c>
      <c r="B54" s="6" t="n">
        <v>162</v>
      </c>
      <c r="C54" s="6" t="n">
        <v>214</v>
      </c>
      <c r="D54" s="6" t="n">
        <v>235</v>
      </c>
      <c r="E54" s="6" t="n">
        <v>102</v>
      </c>
      <c r="F54" s="6" t="n">
        <v>151</v>
      </c>
      <c r="G54" s="6" t="n">
        <v>201</v>
      </c>
      <c r="H54" s="6" t="n">
        <v>172</v>
      </c>
      <c r="I54" s="6" t="n">
        <v>193</v>
      </c>
      <c r="J54" s="6" t="n">
        <v>168</v>
      </c>
      <c r="K54" s="6" t="n">
        <v>238</v>
      </c>
      <c r="Q54" s="6" t="n">
        <v>397</v>
      </c>
      <c r="R54" s="6" t="n">
        <v>532</v>
      </c>
      <c r="S54" s="6" t="n">
        <v>678</v>
      </c>
      <c r="T54" s="6" t="n">
        <v>745</v>
      </c>
      <c r="U54" s="6" t="n">
        <v>713</v>
      </c>
      <c r="V54" s="6" t="n">
        <v>717</v>
      </c>
      <c r="W54" s="6" t="n">
        <f aca="false">+W52*0.2</f>
        <v>758.2262</v>
      </c>
      <c r="X54" s="6" t="n">
        <f aca="false">+X52*0.2</f>
        <v>864.5432472</v>
      </c>
      <c r="Y54" s="6" t="n">
        <f aca="false">+Y52*0.2</f>
        <v>957.0392916752</v>
      </c>
      <c r="Z54" s="6" t="n">
        <f aca="false">+Z52*0.2</f>
        <v>1111.728941178</v>
      </c>
      <c r="AA54" s="6" t="n">
        <f aca="false">+AA52*0.2</f>
        <v>1255.68898506845</v>
      </c>
      <c r="AB54" s="6" t="n">
        <f aca="false">+AB52*0.2</f>
        <v>1381.06502691088</v>
      </c>
      <c r="AC54" s="6" t="n">
        <f aca="false">+AC52*0.2</f>
        <v>1479.10250291655</v>
      </c>
      <c r="AD54" s="6" t="n">
        <f aca="false">+AD52*0.2</f>
        <v>1580.43229452398</v>
      </c>
      <c r="AE54" s="6" t="n">
        <f aca="false">+AE52*0.2</f>
        <v>1821.57088848371</v>
      </c>
      <c r="AF54" s="6" t="n">
        <f aca="false">+AF52*0.2</f>
        <v>2088.06691647491</v>
      </c>
      <c r="AG54" s="6" t="n">
        <f aca="false">+AG52*0.2</f>
        <v>2382.22357569007</v>
      </c>
    </row>
    <row r="55" s="15" customFormat="true" ht="10.5" hidden="false" customHeight="true" outlineLevel="0" collapsed="false">
      <c r="B55" s="15" t="n">
        <f aca="false">+B54/B$30</f>
        <v>0.031401434386509</v>
      </c>
      <c r="C55" s="15" t="n">
        <f aca="false">+C54/C$30</f>
        <v>0.0396149574231766</v>
      </c>
      <c r="D55" s="15" t="n">
        <f aca="false">+D54/D$30</f>
        <v>0.0418969513282225</v>
      </c>
      <c r="E55" s="15" t="n">
        <f aca="false">+E54/E$30</f>
        <v>0.0173086713049381</v>
      </c>
      <c r="F55" s="15" t="n">
        <f aca="false">+F54/F$30</f>
        <v>0.0250913924891991</v>
      </c>
      <c r="G55" s="15" t="n">
        <f aca="false">+G54/G$30</f>
        <v>0.0312597200622084</v>
      </c>
      <c r="H55" s="15" t="n">
        <f aca="false">+H54/H$30</f>
        <v>0.0266956386776346</v>
      </c>
      <c r="I55" s="15" t="n">
        <f aca="false">+I54/I$30</f>
        <v>0.0305669939816281</v>
      </c>
      <c r="J55" s="15" t="n">
        <f aca="false">+J54/J$30</f>
        <v>0.0269792837642525</v>
      </c>
      <c r="K55" s="15" t="n">
        <f aca="false">+K54/K$30</f>
        <v>0.035607420706164</v>
      </c>
      <c r="Q55" s="15" t="n">
        <f aca="false">+Q54/Q$30</f>
        <v>0.0260875279274543</v>
      </c>
      <c r="R55" s="15" t="n">
        <f aca="false">+R54/R$30</f>
        <v>0.0296692878255535</v>
      </c>
      <c r="S55" s="15" t="n">
        <f aca="false">+S54/S$30</f>
        <v>0.0344197380444715</v>
      </c>
      <c r="T55" s="15" t="n">
        <f aca="false">+T54/T$30</f>
        <v>0.0364731224909429</v>
      </c>
      <c r="U55" s="15" t="n">
        <f aca="false">+U54/U$30</f>
        <v>0.0323165480668993</v>
      </c>
      <c r="V55" s="15" t="n">
        <f aca="false">+V54/V$30</f>
        <v>0.0284478654181876</v>
      </c>
      <c r="W55" s="15" t="n">
        <f aca="false">+W54/W$30</f>
        <v>0.0286510153339228</v>
      </c>
      <c r="X55" s="15" t="n">
        <f aca="false">+X54/X$30</f>
        <v>0.0291682202209562</v>
      </c>
      <c r="Y55" s="15" t="n">
        <f aca="false">+Y54/Y$30</f>
        <v>0.0290890807226551</v>
      </c>
      <c r="Z55" s="15" t="n">
        <f aca="false">+Z54/Z$30</f>
        <v>0.0307189562196861</v>
      </c>
      <c r="AA55" s="15" t="n">
        <f aca="false">+AA54/AA$30</f>
        <v>0.0318319416507492</v>
      </c>
      <c r="AB55" s="15" t="n">
        <f aca="false">+AB54/AB$30</f>
        <v>0.0324168952450825</v>
      </c>
      <c r="AC55" s="15" t="n">
        <f aca="false">+AC54/AC$30</f>
        <v>0.0324467934552414</v>
      </c>
      <c r="AD55" s="15" t="n">
        <f aca="false">+AD54/AD$30</f>
        <v>0.0324015383535087</v>
      </c>
      <c r="AE55" s="15" t="n">
        <f aca="false">+AE54/AE$30</f>
        <v>0.0349021382014639</v>
      </c>
      <c r="AF55" s="15" t="n">
        <f aca="false">+AF54/AF$30</f>
        <v>0.0373909579314665</v>
      </c>
      <c r="AG55" s="15" t="n">
        <f aca="false">+AG54/AG$30</f>
        <v>0.0398676759727738</v>
      </c>
    </row>
    <row r="56" customFormat="false" ht="12.8" hidden="false" customHeight="false" outlineLevel="0" collapsed="false">
      <c r="A56" s="3" t="s">
        <v>64</v>
      </c>
      <c r="B56" s="6" t="n">
        <f aca="false">+B52-B54</f>
        <v>707</v>
      </c>
      <c r="C56" s="6" t="n">
        <f aca="false">+C52-C54</f>
        <v>680</v>
      </c>
      <c r="D56" s="6" t="n">
        <f aca="false">+D52-D54</f>
        <v>760</v>
      </c>
      <c r="E56" s="6" t="n">
        <f aca="false">+E52-E54</f>
        <v>598</v>
      </c>
      <c r="F56" s="6" t="n">
        <f aca="false">+F52-F54</f>
        <v>637</v>
      </c>
      <c r="G56" s="6" t="n">
        <f aca="false">+G52-G54</f>
        <v>727</v>
      </c>
      <c r="H56" s="6" t="n">
        <f aca="false">+H52-H54</f>
        <v>603</v>
      </c>
      <c r="I56" s="6" t="n">
        <f aca="false">+I52-I54</f>
        <v>743</v>
      </c>
      <c r="J56" s="6" t="n">
        <f aca="false">+J52-J54</f>
        <v>723</v>
      </c>
      <c r="K56" s="6" t="n">
        <f aca="false">+K52-K54</f>
        <v>786</v>
      </c>
      <c r="Q56" s="6" t="n">
        <f aca="false">+Q52-Q54</f>
        <v>1496</v>
      </c>
      <c r="R56" s="6" t="n">
        <f aca="false">+R52-R54</f>
        <v>1817</v>
      </c>
      <c r="S56" s="6" t="n">
        <f aca="false">+S52-S54</f>
        <v>2240</v>
      </c>
      <c r="T56" s="6" t="n">
        <f aca="false">+T52-T54</f>
        <v>2276</v>
      </c>
      <c r="U56" s="6" t="n">
        <f aca="false">+U52-U54</f>
        <v>2745</v>
      </c>
      <c r="V56" s="6" t="n">
        <f aca="false">+V52-V54</f>
        <v>2709</v>
      </c>
      <c r="W56" s="6" t="n">
        <f aca="false">+W52-W54</f>
        <v>3032.9048</v>
      </c>
      <c r="X56" s="6" t="n">
        <f aca="false">+X52-X54</f>
        <v>3458.1729888</v>
      </c>
      <c r="Y56" s="6" t="n">
        <f aca="false">+Y52-Y54</f>
        <v>3828.1571667008</v>
      </c>
      <c r="Z56" s="6" t="n">
        <f aca="false">+Z52-Z54</f>
        <v>4446.91576471202</v>
      </c>
      <c r="AA56" s="6" t="n">
        <f aca="false">+AA52-AA54</f>
        <v>5022.75594027381</v>
      </c>
      <c r="AB56" s="6" t="n">
        <f aca="false">+AB52-AB54</f>
        <v>5524.26010764353</v>
      </c>
      <c r="AC56" s="6" t="n">
        <f aca="false">+AC52-AC54</f>
        <v>5916.41001166619</v>
      </c>
      <c r="AD56" s="6" t="n">
        <f aca="false">+AD52-AD54</f>
        <v>6321.72917809592</v>
      </c>
      <c r="AE56" s="6" t="n">
        <f aca="false">+AE52-AE54</f>
        <v>7286.28355393485</v>
      </c>
      <c r="AF56" s="6" t="n">
        <f aca="false">+AF52-AF54</f>
        <v>8352.26766589965</v>
      </c>
      <c r="AG56" s="6" t="n">
        <f aca="false">+AG52-AG54</f>
        <v>9528.8943027603</v>
      </c>
    </row>
    <row r="57" s="15" customFormat="true" ht="10.5" hidden="false" customHeight="true" outlineLevel="0" collapsed="false">
      <c r="B57" s="15" t="n">
        <f aca="false">+B56/B$30</f>
        <v>0.137042062415197</v>
      </c>
      <c r="C57" s="15" t="n">
        <f aca="false">+C56/C$30</f>
        <v>0.125879303961496</v>
      </c>
      <c r="D57" s="15" t="n">
        <f aca="false">+D56/D$30</f>
        <v>0.135496523444464</v>
      </c>
      <c r="E57" s="15" t="n">
        <f aca="false">+E56/E$30</f>
        <v>0.101476327846598</v>
      </c>
      <c r="F57" s="15" t="n">
        <f aca="false">+F56/F$30</f>
        <v>0.10584911930874</v>
      </c>
      <c r="G57" s="15" t="n">
        <f aca="false">+G56/G$30</f>
        <v>0.113063763608087</v>
      </c>
      <c r="H57" s="15" t="n">
        <f aca="false">+H56/H$30</f>
        <v>0.0935899425733354</v>
      </c>
      <c r="I57" s="15" t="n">
        <f aca="false">+I56/I$30</f>
        <v>0.11767500791891</v>
      </c>
      <c r="J57" s="15" t="n">
        <f aca="false">+J56/J$30</f>
        <v>0.116107274771158</v>
      </c>
      <c r="K57" s="15" t="n">
        <f aca="false">+K56/K$30</f>
        <v>0.117594254937163</v>
      </c>
      <c r="Q57" s="15" t="n">
        <f aca="false">+Q56/Q$30</f>
        <v>0.0983046392430017</v>
      </c>
      <c r="R57" s="15" t="n">
        <f aca="false">+R56/R$30</f>
        <v>0.101332887178629</v>
      </c>
      <c r="S57" s="15" t="n">
        <f aca="false">+S56/S$30</f>
        <v>0.113717128642502</v>
      </c>
      <c r="T57" s="15" t="n">
        <f aca="false">+T56/T$30</f>
        <v>0.111426613140116</v>
      </c>
      <c r="U57" s="15" t="n">
        <f aca="false">+U56/U$30</f>
        <v>0.12441644381997</v>
      </c>
      <c r="V57" s="15" t="n">
        <f aca="false">+V56/V$30</f>
        <v>0.107482939215997</v>
      </c>
      <c r="W57" s="15" t="n">
        <f aca="false">+W56/W$30</f>
        <v>0.114604061335691</v>
      </c>
      <c r="X57" s="15" t="n">
        <f aca="false">+X56/X$30</f>
        <v>0.116672880883825</v>
      </c>
      <c r="Y57" s="15" t="n">
        <f aca="false">+Y56/Y$30</f>
        <v>0.11635632289062</v>
      </c>
      <c r="Z57" s="15" t="n">
        <f aca="false">+Z56/Z$30</f>
        <v>0.122875824878744</v>
      </c>
      <c r="AA57" s="15" t="n">
        <f aca="false">+AA56/AA$30</f>
        <v>0.127327766602997</v>
      </c>
      <c r="AB57" s="15" t="n">
        <f aca="false">+AB56/AB$30</f>
        <v>0.12966758098033</v>
      </c>
      <c r="AC57" s="15" t="n">
        <f aca="false">+AC56/AC$30</f>
        <v>0.129787173820965</v>
      </c>
      <c r="AD57" s="15" t="n">
        <f aca="false">+AD56/AD$30</f>
        <v>0.129606153414035</v>
      </c>
      <c r="AE57" s="15" t="n">
        <f aca="false">+AE56/AE$30</f>
        <v>0.139608552805856</v>
      </c>
      <c r="AF57" s="15" t="n">
        <f aca="false">+AF56/AF$30</f>
        <v>0.149563831725866</v>
      </c>
      <c r="AG57" s="15" t="n">
        <f aca="false">+AG56/AG$30</f>
        <v>0.159470703891095</v>
      </c>
    </row>
    <row r="58" customFormat="false" ht="12.8" hidden="false" customHeight="false" outlineLevel="0" collapsed="false">
      <c r="A58" s="3" t="s">
        <v>65</v>
      </c>
      <c r="B58" s="6" t="n">
        <v>-1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1</v>
      </c>
      <c r="H58" s="6" t="n">
        <v>0</v>
      </c>
      <c r="I58" s="6" t="n">
        <v>0</v>
      </c>
      <c r="J58" s="6" t="n">
        <v>0</v>
      </c>
      <c r="K58" s="6" t="n">
        <v>1</v>
      </c>
      <c r="Q58" s="6" t="n">
        <v>0</v>
      </c>
      <c r="R58" s="6" t="n">
        <v>1</v>
      </c>
      <c r="S58" s="6" t="n">
        <v>2</v>
      </c>
      <c r="T58" s="6" t="n">
        <v>-28</v>
      </c>
      <c r="U58" s="6" t="n">
        <v>-1</v>
      </c>
      <c r="V58" s="6" t="n">
        <v>1</v>
      </c>
      <c r="W58" s="19" t="n">
        <v>1</v>
      </c>
      <c r="X58" s="19" t="n">
        <v>1</v>
      </c>
      <c r="Y58" s="19" t="n">
        <v>1</v>
      </c>
      <c r="Z58" s="19" t="n">
        <v>1</v>
      </c>
      <c r="AA58" s="19" t="n">
        <v>1</v>
      </c>
      <c r="AB58" s="19" t="n">
        <v>1</v>
      </c>
      <c r="AC58" s="19" t="n">
        <v>1</v>
      </c>
      <c r="AD58" s="19" t="n">
        <v>1</v>
      </c>
      <c r="AE58" s="19" t="n">
        <v>1</v>
      </c>
      <c r="AF58" s="19" t="n">
        <v>1</v>
      </c>
      <c r="AG58" s="19" t="n">
        <v>1</v>
      </c>
    </row>
    <row r="59" s="15" customFormat="true" ht="10.5" hidden="false" customHeight="true" outlineLevel="0" collapsed="false">
      <c r="B59" s="15" t="n">
        <f aca="false">+B58/B$30</f>
        <v>-0.000193836014731537</v>
      </c>
      <c r="C59" s="15" t="n">
        <f aca="false">+C58/C$30</f>
        <v>0</v>
      </c>
      <c r="D59" s="15" t="n">
        <f aca="false">+D58/D$30</f>
        <v>0</v>
      </c>
      <c r="E59" s="15" t="n">
        <f aca="false">+E58/E$30</f>
        <v>0</v>
      </c>
      <c r="F59" s="15" t="n">
        <f aca="false">+F58/F$30</f>
        <v>0</v>
      </c>
      <c r="G59" s="15" t="n">
        <f aca="false">+G58/G$30</f>
        <v>0.00015552099533437</v>
      </c>
      <c r="H59" s="15" t="n">
        <f aca="false">+H58/H$30</f>
        <v>0</v>
      </c>
      <c r="I59" s="15" t="n">
        <f aca="false">+I58/I$30</f>
        <v>0</v>
      </c>
      <c r="J59" s="15" t="n">
        <f aca="false">+J58/J$30</f>
        <v>0</v>
      </c>
      <c r="K59" s="15" t="n">
        <f aca="false">+K58/K$30</f>
        <v>0.000149611011370437</v>
      </c>
      <c r="Q59" s="15" t="n">
        <f aca="false">+Q58/Q$30</f>
        <v>0</v>
      </c>
      <c r="R59" s="15" t="n">
        <f aca="false">+R58/R$30</f>
        <v>5.57693380179577E-005</v>
      </c>
      <c r="S59" s="15" t="n">
        <f aca="false">+S58/S$30</f>
        <v>0.000101533150573662</v>
      </c>
      <c r="T59" s="15" t="n">
        <f aca="false">+T58/T$30</f>
        <v>-0.00137080191912269</v>
      </c>
      <c r="U59" s="15" t="n">
        <f aca="false">+U58/U$30</f>
        <v>-4.53247518469836E-005</v>
      </c>
      <c r="V59" s="15" t="n">
        <f aca="false">+V58/V$30</f>
        <v>3.96762418663704E-005</v>
      </c>
      <c r="W59" s="15" t="n">
        <f aca="false">+W58/W$30</f>
        <v>3.77868970155909E-005</v>
      </c>
      <c r="X59" s="15" t="n">
        <f aca="false">+X58/X$30</f>
        <v>3.37383009067776E-005</v>
      </c>
      <c r="Y59" s="15" t="n">
        <f aca="false">+Y58/Y$30</f>
        <v>3.03948656817816E-005</v>
      </c>
      <c r="Z59" s="15" t="n">
        <f aca="false">+Z58/Z$30</f>
        <v>2.76316960743469E-005</v>
      </c>
      <c r="AA59" s="15" t="n">
        <f aca="false">+AA58/AA$30</f>
        <v>2.53501798847219E-005</v>
      </c>
      <c r="AB59" s="15" t="n">
        <f aca="false">+AB58/AB$30</f>
        <v>2.34723887821499E-005</v>
      </c>
      <c r="AC59" s="15" t="n">
        <f aca="false">+AC58/AC$30</f>
        <v>2.19368119459345E-005</v>
      </c>
      <c r="AD59" s="15" t="n">
        <f aca="false">+AD58/AD$30</f>
        <v>2.05016934074154E-005</v>
      </c>
      <c r="AE59" s="15" t="n">
        <f aca="false">+AE58/AE$30</f>
        <v>1.91604611284256E-005</v>
      </c>
      <c r="AF59" s="15" t="n">
        <f aca="false">+AF58/AF$30</f>
        <v>1.79069730172202E-005</v>
      </c>
      <c r="AG59" s="15" t="n">
        <f aca="false">+AG58/AG$30</f>
        <v>1.67354888011404E-005</v>
      </c>
    </row>
    <row r="60" s="18" customFormat="true" ht="12.8" hidden="false" customHeight="false" outlineLevel="0" collapsed="false">
      <c r="A60" s="17" t="s">
        <v>66</v>
      </c>
      <c r="B60" s="18" t="n">
        <f aca="false">+B56-B58</f>
        <v>708</v>
      </c>
      <c r="C60" s="18" t="n">
        <f aca="false">+C56-C58</f>
        <v>680</v>
      </c>
      <c r="D60" s="18" t="n">
        <f aca="false">+D56-D58</f>
        <v>760</v>
      </c>
      <c r="E60" s="18" t="n">
        <f aca="false">+E56-E58</f>
        <v>598</v>
      </c>
      <c r="F60" s="18" t="n">
        <f aca="false">+F56-F58</f>
        <v>637</v>
      </c>
      <c r="G60" s="18" t="n">
        <f aca="false">+G56-G58</f>
        <v>726</v>
      </c>
      <c r="H60" s="18" t="n">
        <f aca="false">+H56-H58</f>
        <v>603</v>
      </c>
      <c r="I60" s="18" t="n">
        <f aca="false">+I56-I58</f>
        <v>743</v>
      </c>
      <c r="J60" s="18" t="n">
        <f aca="false">+J56-J58</f>
        <v>723</v>
      </c>
      <c r="K60" s="18" t="n">
        <f aca="false">+K56-K58</f>
        <v>785</v>
      </c>
      <c r="Q60" s="18" t="n">
        <f aca="false">+Q56-Q58</f>
        <v>1496</v>
      </c>
      <c r="R60" s="18" t="n">
        <f aca="false">+R56-R58</f>
        <v>1816</v>
      </c>
      <c r="S60" s="18" t="n">
        <f aca="false">+S56-S58</f>
        <v>2238</v>
      </c>
      <c r="T60" s="18" t="n">
        <f aca="false">+T56-T58</f>
        <v>2304</v>
      </c>
      <c r="U60" s="18" t="n">
        <f aca="false">+U56-U58</f>
        <v>2746</v>
      </c>
      <c r="V60" s="18" t="n">
        <f aca="false">+V56-V58</f>
        <v>2708</v>
      </c>
      <c r="W60" s="18" t="n">
        <f aca="false">+W56-W58</f>
        <v>3031.9048</v>
      </c>
      <c r="X60" s="18" t="n">
        <f aca="false">+X56-X58</f>
        <v>3457.1729888</v>
      </c>
      <c r="Y60" s="18" t="n">
        <f aca="false">+Y56-Y58</f>
        <v>3827.1571667008</v>
      </c>
      <c r="Z60" s="18" t="n">
        <f aca="false">+Z56-Z58</f>
        <v>4445.91576471202</v>
      </c>
      <c r="AA60" s="18" t="n">
        <f aca="false">+AA56-AA58</f>
        <v>5021.75594027381</v>
      </c>
      <c r="AB60" s="18" t="n">
        <f aca="false">+AB56-AB58</f>
        <v>5523.26010764353</v>
      </c>
      <c r="AC60" s="18" t="n">
        <f aca="false">+AC56-AC58</f>
        <v>5915.41001166619</v>
      </c>
      <c r="AD60" s="18" t="n">
        <f aca="false">+AD56-AD58</f>
        <v>6320.72917809592</v>
      </c>
      <c r="AE60" s="18" t="n">
        <f aca="false">+AE56-AE58</f>
        <v>7285.28355393485</v>
      </c>
      <c r="AF60" s="18" t="n">
        <f aca="false">+AF56-AF58</f>
        <v>8351.26766589965</v>
      </c>
      <c r="AG60" s="18" t="n">
        <f aca="false">+AG56-AG58</f>
        <v>9527.8943027603</v>
      </c>
      <c r="AH60" s="18" t="n">
        <f aca="false">+AG60*(1+$AJ$67)</f>
        <v>9718.45218881551</v>
      </c>
      <c r="AI60" s="18" t="n">
        <f aca="false">+AH60*(1+$AJ$67)</f>
        <v>9912.82123259182</v>
      </c>
      <c r="AJ60" s="18" t="n">
        <f aca="false">+AI60*(1+$AJ$67)</f>
        <v>10111.0776572437</v>
      </c>
      <c r="AK60" s="18" t="n">
        <f aca="false">+AJ60*(1+$AJ$67)</f>
        <v>10313.2992103885</v>
      </c>
      <c r="AL60" s="18" t="n">
        <f aca="false">+AK60*(1+$AJ$67)</f>
        <v>10519.5651945963</v>
      </c>
      <c r="AM60" s="18" t="n">
        <f aca="false">+AL60*(1+$AJ$67)</f>
        <v>10729.9564984882</v>
      </c>
      <c r="AN60" s="18" t="n">
        <f aca="false">+AM60*(1+$AJ$67)</f>
        <v>10944.555628458</v>
      </c>
      <c r="AO60" s="18" t="n">
        <f aca="false">+AN60*(1+$AJ$67)</f>
        <v>11163.4467410271</v>
      </c>
      <c r="AP60" s="18" t="n">
        <f aca="false">+AO60*(1+$AJ$67)</f>
        <v>11386.7156758477</v>
      </c>
      <c r="AQ60" s="18" t="n">
        <f aca="false">+AP60*(1+$AJ$67)</f>
        <v>11614.4499893646</v>
      </c>
      <c r="AR60" s="18" t="n">
        <f aca="false">+AQ60*(1+$AJ$67)</f>
        <v>11846.7389891519</v>
      </c>
      <c r="AS60" s="18" t="n">
        <f aca="false">+AR60*(1+$AJ$67)</f>
        <v>12083.673768935</v>
      </c>
      <c r="AT60" s="18" t="n">
        <f aca="false">+AS60*(1+$AJ$67)</f>
        <v>12325.3472443137</v>
      </c>
      <c r="AU60" s="18" t="n">
        <f aca="false">+AT60*(1+$AJ$67)</f>
        <v>12571.8541891999</v>
      </c>
      <c r="AV60" s="18" t="n">
        <f aca="false">+AU60*(1+$AJ$67)</f>
        <v>12823.2912729839</v>
      </c>
      <c r="AW60" s="18" t="n">
        <f aca="false">+AV60*(1+$AJ$67)</f>
        <v>13079.7570984436</v>
      </c>
      <c r="AX60" s="18" t="n">
        <f aca="false">+AW60*(1+$AJ$67)</f>
        <v>13341.3522404125</v>
      </c>
      <c r="AY60" s="18" t="n">
        <f aca="false">+AX60*(1+$AJ$67)</f>
        <v>13608.1792852208</v>
      </c>
      <c r="AZ60" s="18" t="n">
        <f aca="false">+AY60*(1+$AJ$67)</f>
        <v>13880.3428709252</v>
      </c>
      <c r="BA60" s="18" t="n">
        <f aca="false">+AZ60*(1+$AJ$67)</f>
        <v>14157.9497283437</v>
      </c>
      <c r="BB60" s="18" t="n">
        <f aca="false">+BA60*(1+$AJ$67)</f>
        <v>14441.1087229105</v>
      </c>
      <c r="BC60" s="18" t="n">
        <f aca="false">+BB60*(1+$AJ$67)</f>
        <v>14729.9308973688</v>
      </c>
      <c r="BD60" s="18" t="n">
        <f aca="false">+BC60*(1+$AJ$67)</f>
        <v>15024.5295153161</v>
      </c>
      <c r="BE60" s="18" t="n">
        <f aca="false">+BD60*(1+$AJ$67)</f>
        <v>15325.0201056225</v>
      </c>
      <c r="BF60" s="18" t="n">
        <f aca="false">+BE60*(1+$AJ$67)</f>
        <v>15631.5205077349</v>
      </c>
      <c r="BG60" s="18" t="n">
        <f aca="false">+BF60*(1+$AJ$67)</f>
        <v>15944.1509178896</v>
      </c>
      <c r="BH60" s="18" t="n">
        <f aca="false">+BG60*(1+$AJ$67)</f>
        <v>16263.0339362474</v>
      </c>
      <c r="BI60" s="18" t="n">
        <f aca="false">+BH60*(1+$AJ$67)</f>
        <v>16588.2946149723</v>
      </c>
      <c r="BJ60" s="18" t="n">
        <f aca="false">+BI60*(1+$AJ$67)</f>
        <v>16920.0605072718</v>
      </c>
      <c r="BK60" s="18" t="n">
        <f aca="false">+BJ60*(1+$AJ$67)</f>
        <v>17258.4617174172</v>
      </c>
      <c r="BL60" s="18" t="n">
        <f aca="false">+BK60*(1+$AJ$67)</f>
        <v>17603.6309517656</v>
      </c>
      <c r="BM60" s="18" t="n">
        <f aca="false">+BL60*(1+$AJ$67)</f>
        <v>17955.7035708009</v>
      </c>
      <c r="BN60" s="18" t="n">
        <f aca="false">+BM60*(1+$AJ$67)</f>
        <v>18314.8176422169</v>
      </c>
      <c r="BO60" s="18" t="n">
        <f aca="false">+BN60*(1+$AJ$67)</f>
        <v>18681.1139950612</v>
      </c>
      <c r="BP60" s="18" t="n">
        <f aca="false">+BO60*(1+$AJ$67)</f>
        <v>19054.7362749625</v>
      </c>
      <c r="BQ60" s="18" t="n">
        <f aca="false">+BP60*(1+$AJ$67)</f>
        <v>19435.8310004617</v>
      </c>
      <c r="BR60" s="18" t="n">
        <f aca="false">+BQ60*(1+$AJ$67)</f>
        <v>19824.547620471</v>
      </c>
      <c r="BS60" s="18" t="n">
        <f aca="false">+BR60*(1+$AJ$67)</f>
        <v>20221.0385728804</v>
      </c>
      <c r="BT60" s="18" t="n">
        <f aca="false">+BS60*(1+$AJ$67)</f>
        <v>20625.459344338</v>
      </c>
      <c r="BU60" s="18" t="n">
        <f aca="false">+BT60*(1+$AJ$67)</f>
        <v>21037.9685312247</v>
      </c>
      <c r="BV60" s="18" t="n">
        <f aca="false">+BU60*(1+$AJ$67)</f>
        <v>21458.7279018492</v>
      </c>
      <c r="BW60" s="18" t="n">
        <f aca="false">+BV60*(1+$AJ$67)</f>
        <v>21887.9024598862</v>
      </c>
      <c r="BX60" s="18" t="n">
        <f aca="false">+BW60*(1+$AJ$67)</f>
        <v>22325.6605090839</v>
      </c>
      <c r="BY60" s="18" t="n">
        <f aca="false">+BX60*(1+$AJ$67)</f>
        <v>22772.1737192656</v>
      </c>
      <c r="BZ60" s="18" t="n">
        <f aca="false">+BY60*(1+$AJ$67)</f>
        <v>23227.6171936509</v>
      </c>
      <c r="CA60" s="18" t="n">
        <f aca="false">+BZ60*(1+$AJ$67)</f>
        <v>23692.169537524</v>
      </c>
      <c r="CB60" s="18" t="n">
        <f aca="false">+CA60*(1+$AJ$67)</f>
        <v>24166.0129282744</v>
      </c>
      <c r="CC60" s="18" t="n">
        <f aca="false">+CB60*(1+$AJ$67)</f>
        <v>24649.3331868399</v>
      </c>
      <c r="CD60" s="18" t="n">
        <f aca="false">+CC60*(1+$AJ$67)</f>
        <v>25142.3198505767</v>
      </c>
      <c r="CE60" s="18" t="n">
        <f aca="false">+CD60*(1+$AJ$67)</f>
        <v>25645.1662475883</v>
      </c>
      <c r="CF60" s="18" t="n">
        <f aca="false">+CE60*(1+$AJ$67)</f>
        <v>26158.06957254</v>
      </c>
      <c r="CG60" s="18" t="n">
        <f aca="false">+CF60*(1+$AJ$67)</f>
        <v>26681.2309639908</v>
      </c>
      <c r="CH60" s="18" t="n">
        <f aca="false">+CG60*(1+$AJ$67)</f>
        <v>27214.8555832706</v>
      </c>
      <c r="CI60" s="18" t="n">
        <f aca="false">+CH60*(1+$AJ$67)</f>
        <v>27759.1526949361</v>
      </c>
      <c r="CJ60" s="18" t="n">
        <f aca="false">+CI60*(1+$AJ$67)</f>
        <v>28314.3357488348</v>
      </c>
      <c r="CK60" s="18" t="n">
        <f aca="false">+CJ60*(1+$AJ$67)</f>
        <v>28880.6224638115</v>
      </c>
      <c r="CL60" s="18" t="n">
        <f aca="false">+CK60*(1+$AJ$67)</f>
        <v>29458.2349130877</v>
      </c>
      <c r="CM60" s="18" t="n">
        <f aca="false">+CL60*(1+$AJ$67)</f>
        <v>30047.3996113495</v>
      </c>
      <c r="CN60" s="18" t="n">
        <f aca="false">+CM60*(1+$AJ$67)</f>
        <v>30648.3476035764</v>
      </c>
      <c r="CO60" s="18" t="n">
        <f aca="false">+CN60*(1+$AJ$67)</f>
        <v>31261.314555648</v>
      </c>
      <c r="CP60" s="18" t="n">
        <f aca="false">+CO60*(1+$AJ$67)</f>
        <v>31886.5408467609</v>
      </c>
      <c r="CQ60" s="18" t="n">
        <f aca="false">+CP60*(1+$AJ$67)</f>
        <v>32524.2716636962</v>
      </c>
      <c r="CR60" s="18" t="n">
        <f aca="false">+CQ60*(1+$AJ$67)</f>
        <v>33174.7570969701</v>
      </c>
      <c r="CS60" s="18" t="n">
        <f aca="false">+CR60*(1+$AJ$67)</f>
        <v>33838.2522389095</v>
      </c>
      <c r="CT60" s="18" t="n">
        <f aca="false">+CS60*(1+$AJ$67)</f>
        <v>34515.0172836877</v>
      </c>
      <c r="CU60" s="18" t="n">
        <f aca="false">+CT60*(1+$AJ$67)</f>
        <v>35205.3176293614</v>
      </c>
    </row>
    <row r="61" s="15" customFormat="true" ht="10.5" hidden="false" customHeight="true" outlineLevel="0" collapsed="false">
      <c r="B61" s="15" t="n">
        <f aca="false">+B60/B$30</f>
        <v>0.137235898429928</v>
      </c>
      <c r="C61" s="15" t="n">
        <f aca="false">+C60/C$30</f>
        <v>0.125879303961496</v>
      </c>
      <c r="D61" s="15" t="n">
        <f aca="false">+D60/D$30</f>
        <v>0.135496523444464</v>
      </c>
      <c r="E61" s="15" t="n">
        <f aca="false">+E60/E$30</f>
        <v>0.101476327846598</v>
      </c>
      <c r="F61" s="15" t="n">
        <f aca="false">+F60/F$30</f>
        <v>0.10584911930874</v>
      </c>
      <c r="G61" s="15" t="n">
        <f aca="false">+G60/G$30</f>
        <v>0.112908242612753</v>
      </c>
      <c r="H61" s="15" t="n">
        <f aca="false">+H60/H$30</f>
        <v>0.0935899425733354</v>
      </c>
      <c r="I61" s="15" t="n">
        <f aca="false">+I60/I$30</f>
        <v>0.11767500791891</v>
      </c>
      <c r="J61" s="15" t="n">
        <f aca="false">+J60/J$30</f>
        <v>0.116107274771158</v>
      </c>
      <c r="K61" s="15" t="n">
        <f aca="false">+K60/K$30</f>
        <v>0.117444643925793</v>
      </c>
      <c r="Q61" s="15" t="n">
        <f aca="false">+Q60/Q$30</f>
        <v>0.0983046392430017</v>
      </c>
      <c r="R61" s="15" t="n">
        <f aca="false">+R60/R$30</f>
        <v>0.101277117840611</v>
      </c>
      <c r="S61" s="15" t="n">
        <f aca="false">+S60/S$30</f>
        <v>0.113615595491928</v>
      </c>
      <c r="T61" s="15" t="n">
        <f aca="false">+T60/T$30</f>
        <v>0.112797415059238</v>
      </c>
      <c r="U61" s="15" t="n">
        <f aca="false">+U60/U$30</f>
        <v>0.124461768571817</v>
      </c>
      <c r="V61" s="15" t="n">
        <f aca="false">+V60/V$30</f>
        <v>0.107443262974131</v>
      </c>
      <c r="W61" s="15" t="n">
        <f aca="false">+W60/W$30</f>
        <v>0.114566274438676</v>
      </c>
      <c r="X61" s="15" t="n">
        <f aca="false">+X60/X$30</f>
        <v>0.116639142582918</v>
      </c>
      <c r="Y61" s="15" t="n">
        <f aca="false">+Y60/Y$30</f>
        <v>0.116325928024939</v>
      </c>
      <c r="Z61" s="15" t="n">
        <f aca="false">+Z60/Z$30</f>
        <v>0.12284819318267</v>
      </c>
      <c r="AA61" s="15" t="n">
        <f aca="false">+AA60/AA$30</f>
        <v>0.127302416423112</v>
      </c>
      <c r="AB61" s="15" t="n">
        <f aca="false">+AB60/AB$30</f>
        <v>0.129644108591548</v>
      </c>
      <c r="AC61" s="15" t="n">
        <f aca="false">+AC60/AC$30</f>
        <v>0.12976523700902</v>
      </c>
      <c r="AD61" s="15" t="n">
        <f aca="false">+AD60/AD$30</f>
        <v>0.129585651720627</v>
      </c>
      <c r="AE61" s="15" t="n">
        <f aca="false">+AE60/AE$30</f>
        <v>0.139589392344727</v>
      </c>
      <c r="AF61" s="15" t="n">
        <f aca="false">+AF60/AF$30</f>
        <v>0.149545924752849</v>
      </c>
      <c r="AG61" s="15" t="n">
        <f aca="false">+AG60/AG$30</f>
        <v>0.159453968402294</v>
      </c>
    </row>
    <row r="62" s="20" customFormat="true" ht="12.8" hidden="false" customHeight="false" outlineLevel="0" collapsed="false">
      <c r="A62" s="20" t="s">
        <v>67</v>
      </c>
      <c r="B62" s="20" t="n">
        <f aca="false">+B60/B64</f>
        <v>1.75290913592473</v>
      </c>
      <c r="C62" s="20" t="n">
        <f aca="false">+C60/C64</f>
        <v>1.68650793650794</v>
      </c>
      <c r="D62" s="20" t="n">
        <f aca="false">+D60/D64</f>
        <v>1.88492063492063</v>
      </c>
      <c r="E62" s="20" t="n">
        <f aca="false">+E60/E64</f>
        <v>1.4816650148662</v>
      </c>
      <c r="F62" s="20" t="n">
        <f aca="false">+F60/F64</f>
        <v>1.57712305025997</v>
      </c>
      <c r="G62" s="20" t="n">
        <f aca="false">+G60/G64</f>
        <v>1.79569626514964</v>
      </c>
      <c r="H62" s="20" t="n">
        <f aca="false">+H60/H64</f>
        <v>1.49146673262429</v>
      </c>
      <c r="I62" s="20" t="n">
        <f aca="false">+I60/I64</f>
        <v>1.83683559950556</v>
      </c>
      <c r="J62" s="20" t="n">
        <f aca="false">+J60/J64</f>
        <v>1.78783382789318</v>
      </c>
      <c r="K62" s="20" t="n">
        <f aca="false">+K60/K64</f>
        <v>1.95079522862823</v>
      </c>
      <c r="Q62" s="20" t="n">
        <f aca="false">+Q60/Q64</f>
        <v>3.51917195953893</v>
      </c>
      <c r="R62" s="20" t="n">
        <f aca="false">+R60/R64</f>
        <v>4.29415937573895</v>
      </c>
      <c r="S62" s="20" t="n">
        <f aca="false">+S60/S64</f>
        <v>5.39277108433735</v>
      </c>
      <c r="T62" s="20" t="n">
        <f aca="false">+T60/T64</f>
        <v>5.66232489555173</v>
      </c>
      <c r="U62" s="20" t="n">
        <f aca="false">+U60/U64</f>
        <v>6.80545229244114</v>
      </c>
      <c r="V62" s="20" t="n">
        <f aca="false">+V60/V64</f>
        <v>6.69965363681346</v>
      </c>
      <c r="W62" s="20" t="n">
        <f aca="false">+W60/W64</f>
        <v>7.57676917617541</v>
      </c>
      <c r="X62" s="20" t="n">
        <f aca="false">+X60/X64</f>
        <v>8.7267877390451</v>
      </c>
      <c r="Y62" s="20" t="n">
        <f aca="false">+Y60/Y64</f>
        <v>9.75830536811646</v>
      </c>
      <c r="Z62" s="20" t="n">
        <f aca="false">+Z60/Z64</f>
        <v>11.4504918622638</v>
      </c>
      <c r="AA62" s="20" t="n">
        <f aca="false">+AA60/AA64</f>
        <v>13.0642150228365</v>
      </c>
      <c r="AB62" s="20" t="n">
        <f aca="false">+AB60/AB64</f>
        <v>14.5140300939741</v>
      </c>
      <c r="AC62" s="20" t="n">
        <f aca="false">+AC60/AC64</f>
        <v>15.7015374967308</v>
      </c>
      <c r="AD62" s="20" t="n">
        <f aca="false">+AD60/AD64</f>
        <v>16.9468629266739</v>
      </c>
      <c r="AE62" s="20" t="n">
        <f aca="false">+AE60/AE64</f>
        <v>19.7302868473373</v>
      </c>
      <c r="AF62" s="20" t="n">
        <f aca="false">+AF60/AF64</f>
        <v>22.8456831019306</v>
      </c>
      <c r="AG62" s="20" t="n">
        <f aca="false">+AG60/AG64</f>
        <v>26.3277339680265</v>
      </c>
    </row>
    <row r="63" s="15" customFormat="true" ht="10.5" hidden="false" customHeight="true" outlineLevel="0" collapsed="false">
      <c r="F63" s="15" t="n">
        <f aca="false">+F62/B62-1</f>
        <v>-0.100282485875706</v>
      </c>
      <c r="G63" s="15" t="n">
        <f aca="false">+G62/C62-1</f>
        <v>0.0647422560416697</v>
      </c>
      <c r="H63" s="15" t="n">
        <f aca="false">+H62/D62-1</f>
        <v>-0.208737649218272</v>
      </c>
      <c r="I63" s="15" t="n">
        <f aca="false">+I62/E62-1</f>
        <v>0.23971044809439</v>
      </c>
      <c r="J63" s="15" t="n">
        <f aca="false">+J62/F62-1</f>
        <v>0.133604526037761</v>
      </c>
      <c r="K63" s="15" t="n">
        <f aca="false">+K62/G62-1</f>
        <v>0.0863726045928288</v>
      </c>
      <c r="R63" s="15" t="n">
        <f aca="false">+R62/Q62-1</f>
        <v>0.220218683573948</v>
      </c>
      <c r="S63" s="15" t="n">
        <f aca="false">+S62/R62-1</f>
        <v>0.255838596677459</v>
      </c>
      <c r="T63" s="15" t="n">
        <f aca="false">+T62/S62-1</f>
        <v>0.0499842858149997</v>
      </c>
      <c r="U63" s="15" t="n">
        <f aca="false">+U62/T62-1</f>
        <v>0.201883045917665</v>
      </c>
      <c r="V63" s="15" t="n">
        <f aca="false">+V62/U62-1</f>
        <v>-0.015546160795983</v>
      </c>
      <c r="W63" s="15" t="n">
        <f aca="false">+W62/V62-1</f>
        <v>0.130919535084971</v>
      </c>
      <c r="X63" s="15" t="n">
        <f aca="false">+X62/W62-1</f>
        <v>0.151782182633442</v>
      </c>
      <c r="Y63" s="15" t="n">
        <f aca="false">+Y62/X62-1</f>
        <v>0.118201296962476</v>
      </c>
      <c r="Z63" s="15" t="n">
        <f aca="false">+Z62/Y62-1</f>
        <v>0.173409872955629</v>
      </c>
      <c r="AA63" s="15" t="n">
        <f aca="false">+AA62/Z62-1</f>
        <v>0.140930466567194</v>
      </c>
      <c r="AB63" s="15" t="n">
        <f aca="false">+AB62/AA62-1</f>
        <v>0.110976057007889</v>
      </c>
      <c r="AC63" s="15" t="n">
        <f aca="false">+AC62/AB62-1</f>
        <v>0.0818178958613141</v>
      </c>
      <c r="AD63" s="15" t="n">
        <f aca="false">+AD62/AC62-1</f>
        <v>0.0793123240448499</v>
      </c>
      <c r="AE63" s="15" t="n">
        <f aca="false">+AE62/AD62-1</f>
        <v>0.164244198628785</v>
      </c>
      <c r="AF63" s="15" t="n">
        <f aca="false">+AF62/AE62-1</f>
        <v>0.157899187107546</v>
      </c>
      <c r="AG63" s="15" t="n">
        <f aca="false">+AG62/AF62-1</f>
        <v>0.152416141402298</v>
      </c>
    </row>
    <row r="64" customFormat="false" ht="12.8" hidden="false" customHeight="false" outlineLevel="0" collapsed="false">
      <c r="A64" s="3" t="s">
        <v>68</v>
      </c>
      <c r="B64" s="6" t="n">
        <v>403.9</v>
      </c>
      <c r="C64" s="6" t="n">
        <v>403.2</v>
      </c>
      <c r="D64" s="6" t="n">
        <v>403.2</v>
      </c>
      <c r="E64" s="6" t="n">
        <v>403.6</v>
      </c>
      <c r="F64" s="6" t="n">
        <v>403.9</v>
      </c>
      <c r="G64" s="6" t="n">
        <v>404.3</v>
      </c>
      <c r="H64" s="6" t="n">
        <v>404.3</v>
      </c>
      <c r="I64" s="6" t="n">
        <v>404.5</v>
      </c>
      <c r="J64" s="6" t="n">
        <v>404.4</v>
      </c>
      <c r="K64" s="6" t="n">
        <v>402.4</v>
      </c>
      <c r="Q64" s="6" t="n">
        <v>425.1</v>
      </c>
      <c r="R64" s="6" t="n">
        <v>422.9</v>
      </c>
      <c r="S64" s="6" t="n">
        <v>415</v>
      </c>
      <c r="T64" s="6" t="n">
        <v>406.9</v>
      </c>
      <c r="U64" s="6" t="n">
        <v>403.5</v>
      </c>
      <c r="V64" s="6" t="n">
        <v>404.2</v>
      </c>
      <c r="W64" s="6" t="n">
        <f aca="false">+V64*0.99</f>
        <v>400.158</v>
      </c>
      <c r="X64" s="6" t="n">
        <f aca="false">+W64*0.99</f>
        <v>396.15642</v>
      </c>
      <c r="Y64" s="6" t="n">
        <f aca="false">+X64*0.99</f>
        <v>392.1948558</v>
      </c>
      <c r="Z64" s="6" t="n">
        <f aca="false">+Y64*0.99</f>
        <v>388.272907242</v>
      </c>
      <c r="AA64" s="6" t="n">
        <f aca="false">+Z64*0.99</f>
        <v>384.39017816958</v>
      </c>
      <c r="AB64" s="6" t="n">
        <f aca="false">+AA64*0.99</f>
        <v>380.546276387884</v>
      </c>
      <c r="AC64" s="6" t="n">
        <f aca="false">+AB64*0.99</f>
        <v>376.740813624005</v>
      </c>
      <c r="AD64" s="6" t="n">
        <f aca="false">+AC64*0.99</f>
        <v>372.973405487765</v>
      </c>
      <c r="AE64" s="6" t="n">
        <f aca="false">+AD64*0.99</f>
        <v>369.243671432888</v>
      </c>
      <c r="AF64" s="6" t="n">
        <f aca="false">+AE64*0.99</f>
        <v>365.551234718559</v>
      </c>
      <c r="AG64" s="6" t="n">
        <f aca="false">+AF64*0.99</f>
        <v>361.895722371373</v>
      </c>
    </row>
    <row r="65" s="15" customFormat="true" ht="10.5" hidden="false" customHeight="true" outlineLevel="0" collapsed="false">
      <c r="C65" s="15" t="n">
        <f aca="false">+C64/B64-1</f>
        <v>-0.00173310225303291</v>
      </c>
      <c r="D65" s="15" t="n">
        <f aca="false">+D64/C64-1</f>
        <v>0</v>
      </c>
      <c r="E65" s="15" t="n">
        <f aca="false">+E64/D64-1</f>
        <v>0.000992063492063489</v>
      </c>
      <c r="F65" s="15" t="n">
        <f aca="false">+F64/E64-1</f>
        <v>0.00074331020812668</v>
      </c>
      <c r="G65" s="15" t="n">
        <f aca="false">+G64/F64-1</f>
        <v>0.000990344144590427</v>
      </c>
      <c r="H65" s="15" t="n">
        <f aca="false">+H64/G64-1</f>
        <v>0</v>
      </c>
      <c r="I65" s="15" t="n">
        <f aca="false">+I64/H64-1</f>
        <v>0.000494682166707783</v>
      </c>
      <c r="J65" s="15" t="n">
        <f aca="false">+J64/I64-1</f>
        <v>-0.00024721878862799</v>
      </c>
      <c r="K65" s="15" t="n">
        <f aca="false">+K64/J64-1</f>
        <v>-0.00494559841740849</v>
      </c>
      <c r="R65" s="15" t="n">
        <f aca="false">+R64/Q64-1</f>
        <v>-0.00517525288167497</v>
      </c>
      <c r="S65" s="15" t="n">
        <f aca="false">+S64/R64-1</f>
        <v>-0.0186805391345471</v>
      </c>
      <c r="T65" s="15" t="n">
        <f aca="false">+T64/S64-1</f>
        <v>-0.0195180722891567</v>
      </c>
      <c r="U65" s="15" t="n">
        <f aca="false">+U64/T64-1</f>
        <v>-0.00835586139100508</v>
      </c>
      <c r="V65" s="15" t="n">
        <f aca="false">+V64/U64-1</f>
        <v>0.00173482032218097</v>
      </c>
      <c r="W65" s="15" t="n">
        <f aca="false">+W64/V64-1</f>
        <v>-0.0100000000000001</v>
      </c>
      <c r="X65" s="15" t="n">
        <f aca="false">+X64/W64-1</f>
        <v>-0.01</v>
      </c>
      <c r="Y65" s="15" t="n">
        <f aca="false">+Y64/X64-1</f>
        <v>-0.01</v>
      </c>
      <c r="Z65" s="15" t="n">
        <f aca="false">+Z64/Y64-1</f>
        <v>-0.01</v>
      </c>
      <c r="AA65" s="15" t="n">
        <f aca="false">+AA64/Z64-1</f>
        <v>-0.0099999999999999</v>
      </c>
      <c r="AB65" s="15" t="n">
        <f aca="false">+AB64/AA64-1</f>
        <v>-0.01</v>
      </c>
      <c r="AC65" s="15" t="n">
        <f aca="false">+AC64/AB64-1</f>
        <v>-0.01</v>
      </c>
      <c r="AD65" s="15" t="n">
        <f aca="false">+AD64/AC64-1</f>
        <v>-0.0100000000000001</v>
      </c>
      <c r="AE65" s="15" t="n">
        <f aca="false">+AE64/AD64-1</f>
        <v>-0.01</v>
      </c>
      <c r="AF65" s="15" t="n">
        <f aca="false">+AF64/AE64-1</f>
        <v>-0.01</v>
      </c>
      <c r="AG65" s="15" t="n">
        <f aca="false">+AG64/AF64-1</f>
        <v>-0.01</v>
      </c>
    </row>
    <row r="66" customFormat="false" ht="12.8" hidden="false" customHeight="false" outlineLevel="0" collapsed="false">
      <c r="AL66" s="21" t="s">
        <v>69</v>
      </c>
      <c r="AM66" s="21"/>
    </row>
    <row r="67" s="22" customFormat="true" ht="12.8" hidden="false" customHeight="false" outlineLevel="0" collapsed="false">
      <c r="A67" s="22" t="s">
        <v>70</v>
      </c>
      <c r="B67" s="22" t="n">
        <f aca="false">+B34/B30</f>
        <v>0.391354913742973</v>
      </c>
      <c r="C67" s="22" t="n">
        <f aca="false">+C34/C30</f>
        <v>0.390781192151055</v>
      </c>
      <c r="D67" s="22" t="n">
        <f aca="false">+D34/D30</f>
        <v>0.394009627384561</v>
      </c>
      <c r="E67" s="22" t="n">
        <f aca="false">+E34/E30</f>
        <v>0.397081282877991</v>
      </c>
      <c r="F67" s="22" t="n">
        <f aca="false">+F34/F30</f>
        <v>0.399800598205384</v>
      </c>
      <c r="G67" s="22" t="n">
        <f aca="false">+G34/G30</f>
        <v>0.40855365474339</v>
      </c>
      <c r="H67" s="22" t="n">
        <f aca="false">+H34/H30</f>
        <v>0.405090796212944</v>
      </c>
      <c r="I67" s="22" t="n">
        <f aca="false">+I34/I30</f>
        <v>0.41510928096294</v>
      </c>
      <c r="J67" s="22" t="n">
        <f aca="false">+J34/J30</f>
        <v>0.406776939136021</v>
      </c>
      <c r="K67" s="22" t="n">
        <f aca="false">+K34/K30</f>
        <v>0.408288450029922</v>
      </c>
      <c r="Q67" s="22" t="n">
        <f aca="false">+Q34/Q30</f>
        <v>0.386187409646471</v>
      </c>
      <c r="R67" s="22" t="n">
        <f aca="false">+R34/R30</f>
        <v>0.380346885282472</v>
      </c>
      <c r="S67" s="22" t="n">
        <f aca="false">+S34/S30</f>
        <v>0.375875723423698</v>
      </c>
      <c r="T67" s="22" t="n">
        <f aca="false">+T34/T30</f>
        <v>0.382845393126408</v>
      </c>
      <c r="U67" s="22" t="n">
        <f aca="false">+U34/U30</f>
        <v>0.393418846031818</v>
      </c>
      <c r="V67" s="22" t="n">
        <f aca="false">+V34/V30</f>
        <v>0.404380257102047</v>
      </c>
      <c r="W67" s="22" t="n">
        <f aca="false">+W34/W30</f>
        <v>0.405</v>
      </c>
      <c r="X67" s="22" t="n">
        <f aca="false">+X34/X30</f>
        <v>0.41</v>
      </c>
      <c r="Y67" s="22" t="n">
        <f aca="false">+Y34/Y30</f>
        <v>0.415</v>
      </c>
      <c r="Z67" s="22" t="n">
        <f aca="false">+Z34/Z30</f>
        <v>0.42</v>
      </c>
      <c r="AA67" s="22" t="n">
        <f aca="false">+AA34/AA30</f>
        <v>0.425</v>
      </c>
      <c r="AB67" s="22" t="n">
        <f aca="false">+AB34/AB30</f>
        <v>0.43</v>
      </c>
      <c r="AC67" s="22" t="n">
        <f aca="false">+AC34/AC30</f>
        <v>0.435</v>
      </c>
      <c r="AD67" s="22" t="n">
        <f aca="false">+AD34/AD30</f>
        <v>0.44</v>
      </c>
      <c r="AE67" s="22" t="n">
        <f aca="false">+AE34/AE30</f>
        <v>0.445</v>
      </c>
      <c r="AF67" s="22" t="n">
        <f aca="false">+AF34/AF30</f>
        <v>0.45</v>
      </c>
      <c r="AG67" s="22" t="n">
        <f aca="false">+AG34/AG30</f>
        <v>0.455</v>
      </c>
      <c r="AI67" s="23" t="s">
        <v>71</v>
      </c>
      <c r="AJ67" s="24" t="n">
        <v>0.02</v>
      </c>
      <c r="AL67" s="25" t="s">
        <v>72</v>
      </c>
      <c r="AM67" s="26" t="n">
        <f aca="false">+(1-AM68)*V81</f>
        <v>0.0483732412637785</v>
      </c>
      <c r="AO67" s="6" t="s">
        <v>7</v>
      </c>
      <c r="AP67" s="6" t="n">
        <f aca="false">+AM69</f>
        <v>107276.718866052</v>
      </c>
    </row>
    <row r="68" s="22" customFormat="true" ht="12.8" hidden="false" customHeight="false" outlineLevel="0" collapsed="false">
      <c r="A68" s="22" t="s">
        <v>73</v>
      </c>
      <c r="B68" s="22" t="n">
        <f aca="false">+B46/B30</f>
        <v>0.196937390967242</v>
      </c>
      <c r="C68" s="22" t="n">
        <f aca="false">+C46/C30</f>
        <v>0.186782673084043</v>
      </c>
      <c r="D68" s="22" t="n">
        <f aca="false">+D46/D30</f>
        <v>0.199500802282047</v>
      </c>
      <c r="E68" s="22" t="n">
        <f aca="false">+E46/E30</f>
        <v>0.155947734600373</v>
      </c>
      <c r="F68" s="22" t="n">
        <f aca="false">+F46/F30</f>
        <v>0.168328348288468</v>
      </c>
      <c r="G68" s="22" t="n">
        <f aca="false">+G46/G30</f>
        <v>0.17900466562986</v>
      </c>
      <c r="H68" s="22" t="n">
        <f aca="false">+H46/H30</f>
        <v>0.153499922396399</v>
      </c>
      <c r="I68" s="22" t="n">
        <f aca="false">+I46/I30</f>
        <v>0.183085207475451</v>
      </c>
      <c r="J68" s="22" t="n">
        <f aca="false">+J46/J30</f>
        <v>0.178737754938172</v>
      </c>
      <c r="K68" s="22" t="n">
        <f aca="false">+K46/K30</f>
        <v>0.187462597247157</v>
      </c>
      <c r="Q68" s="22" t="n">
        <f aca="false">+Q46/Q30</f>
        <v>0.159942173741622</v>
      </c>
      <c r="R68" s="22" t="n">
        <f aca="false">+R46/R30</f>
        <v>0.165356087223245</v>
      </c>
      <c r="S68" s="22" t="n">
        <f aca="false">+S46/S30</f>
        <v>0.170829525840187</v>
      </c>
      <c r="T68" s="22" t="n">
        <f aca="false">+T46/T30</f>
        <v>0.175022030745129</v>
      </c>
      <c r="U68" s="22" t="n">
        <f aca="false">+U46/U30</f>
        <v>0.184154466754295</v>
      </c>
      <c r="V68" s="22" t="n">
        <f aca="false">+V46/V30</f>
        <v>0.170925249960324</v>
      </c>
      <c r="W68" s="22" t="n">
        <f aca="false">+W46/W30</f>
        <v>0.159659124402022</v>
      </c>
      <c r="X68" s="22" t="n">
        <f aca="false">+X46/X30</f>
        <v>0.158441745965169</v>
      </c>
      <c r="Y68" s="22" t="n">
        <f aca="false">+Y46/Y30</f>
        <v>0.154695729747266</v>
      </c>
      <c r="Z68" s="22" t="n">
        <f aca="false">+Z46/Z30</f>
        <v>0.159889151619787</v>
      </c>
      <c r="AA68" s="22" t="n">
        <f aca="false">+AA46/AA30</f>
        <v>0.162680264820446</v>
      </c>
      <c r="AB68" s="22" t="n">
        <f aca="false">+AB46/AB30</f>
        <v>0.162986798668226</v>
      </c>
      <c r="AC68" s="22" t="n">
        <f aca="false">+AC46/AC30</f>
        <v>0.160654004912638</v>
      </c>
      <c r="AD68" s="22" t="n">
        <f aca="false">+AD46/AD30</f>
        <v>0.158105572978993</v>
      </c>
      <c r="AE68" s="22" t="n">
        <f aca="false">+AE46/AE30</f>
        <v>0.168441689303616</v>
      </c>
      <c r="AF68" s="22" t="n">
        <f aca="false">+AF46/AF30</f>
        <v>0.178673677927801</v>
      </c>
      <c r="AG68" s="22" t="n">
        <f aca="false">+AG46/AG30</f>
        <v>0.188803772177338</v>
      </c>
      <c r="AI68" s="27" t="s">
        <v>74</v>
      </c>
      <c r="AJ68" s="28" t="n">
        <f aca="false">+Main!E9</f>
        <v>0.0662757013968866</v>
      </c>
      <c r="AL68" s="25" t="s">
        <v>75</v>
      </c>
      <c r="AM68" s="22" t="n">
        <f aca="false">+(SUM(H163:K163)+SUM(H165:K165)-SUM(H161:K161))/SUM(H60:K60)</f>
        <v>0.837070777855641</v>
      </c>
      <c r="AN68" s="29"/>
      <c r="AO68" s="30" t="s">
        <v>68</v>
      </c>
      <c r="AP68" s="30" t="n">
        <f aca="false">+Main!F2</f>
        <v>399.715184</v>
      </c>
    </row>
    <row r="69" s="22" customFormat="true" ht="12.8" hidden="false" customHeight="false" outlineLevel="0" collapsed="false">
      <c r="A69" s="22" t="s">
        <v>76</v>
      </c>
      <c r="B69" s="22" t="n">
        <f aca="false">+B60/B30</f>
        <v>0.137235898429928</v>
      </c>
      <c r="C69" s="22" t="n">
        <f aca="false">+C60/C30</f>
        <v>0.125879303961496</v>
      </c>
      <c r="D69" s="22" t="n">
        <f aca="false">+D60/D30</f>
        <v>0.135496523444464</v>
      </c>
      <c r="E69" s="22" t="n">
        <f aca="false">+E60/E30</f>
        <v>0.101476327846598</v>
      </c>
      <c r="F69" s="22" t="n">
        <f aca="false">+F60/F30</f>
        <v>0.10584911930874</v>
      </c>
      <c r="G69" s="22" t="n">
        <f aca="false">+G60/G30</f>
        <v>0.112908242612753</v>
      </c>
      <c r="H69" s="22" t="n">
        <f aca="false">+H60/H30</f>
        <v>0.0935899425733354</v>
      </c>
      <c r="I69" s="22" t="n">
        <f aca="false">+I60/I30</f>
        <v>0.11767500791891</v>
      </c>
      <c r="J69" s="22" t="n">
        <f aca="false">+J60/J30</f>
        <v>0.116107274771158</v>
      </c>
      <c r="K69" s="22" t="n">
        <f aca="false">+K60/K30</f>
        <v>0.117444643925793</v>
      </c>
      <c r="Q69" s="22" t="n">
        <f aca="false">+Q60/Q30</f>
        <v>0.0983046392430017</v>
      </c>
      <c r="R69" s="22" t="n">
        <f aca="false">+R60/R30</f>
        <v>0.101277117840611</v>
      </c>
      <c r="S69" s="22" t="n">
        <f aca="false">+S60/S30</f>
        <v>0.113615595491928</v>
      </c>
      <c r="T69" s="22" t="n">
        <f aca="false">+T60/T30</f>
        <v>0.112797415059238</v>
      </c>
      <c r="U69" s="22" t="n">
        <f aca="false">+U60/U30</f>
        <v>0.124461768571817</v>
      </c>
      <c r="V69" s="22" t="n">
        <f aca="false">+V60/V30</f>
        <v>0.107443262974131</v>
      </c>
      <c r="W69" s="22" t="n">
        <f aca="false">+W60/W30</f>
        <v>0.114566274438676</v>
      </c>
      <c r="X69" s="22" t="n">
        <f aca="false">+X60/X30</f>
        <v>0.116639142582918</v>
      </c>
      <c r="Y69" s="22" t="n">
        <f aca="false">+Y60/Y30</f>
        <v>0.116325928024939</v>
      </c>
      <c r="Z69" s="22" t="n">
        <f aca="false">+Z60/Z30</f>
        <v>0.12284819318267</v>
      </c>
      <c r="AA69" s="22" t="n">
        <f aca="false">+AA60/AA30</f>
        <v>0.127302416423112</v>
      </c>
      <c r="AB69" s="22" t="n">
        <f aca="false">+AB60/AB30</f>
        <v>0.129644108591548</v>
      </c>
      <c r="AC69" s="22" t="n">
        <f aca="false">+AC60/AC30</f>
        <v>0.12976523700902</v>
      </c>
      <c r="AD69" s="22" t="n">
        <f aca="false">+AD60/AD30</f>
        <v>0.129585651720627</v>
      </c>
      <c r="AE69" s="22" t="n">
        <f aca="false">+AE60/AE30</f>
        <v>0.139589392344727</v>
      </c>
      <c r="AF69" s="22" t="n">
        <f aca="false">+AF60/AF30</f>
        <v>0.149545924752849</v>
      </c>
      <c r="AG69" s="22" t="n">
        <f aca="false">+AG60/AG30</f>
        <v>0.159453968402294</v>
      </c>
      <c r="AI69" s="31" t="s">
        <v>77</v>
      </c>
      <c r="AJ69" s="32" t="n">
        <v>0.02</v>
      </c>
      <c r="AL69" s="25" t="s">
        <v>78</v>
      </c>
      <c r="AM69" s="6" t="n">
        <f aca="false">+(SUM(H168:K168)*(1+AM67))/(Main!B9-AM67)</f>
        <v>107276.718866052</v>
      </c>
      <c r="AO69" s="33" t="s">
        <v>1</v>
      </c>
      <c r="AP69" s="33" t="n">
        <f aca="false">+AP67/AP68</f>
        <v>268.382896522769</v>
      </c>
    </row>
    <row r="70" s="22" customFormat="true" ht="12.8" hidden="false" customHeight="false" outlineLevel="0" collapsed="false">
      <c r="A70" s="22" t="s">
        <v>79</v>
      </c>
      <c r="B70" s="22" t="n">
        <f aca="false">+B54/B52</f>
        <v>0.186421173762946</v>
      </c>
      <c r="C70" s="22" t="n">
        <f aca="false">+C54/C52</f>
        <v>0.239373601789709</v>
      </c>
      <c r="D70" s="22" t="n">
        <f aca="false">+D54/D52</f>
        <v>0.236180904522613</v>
      </c>
      <c r="E70" s="22" t="n">
        <f aca="false">+E54/E52</f>
        <v>0.145714285714286</v>
      </c>
      <c r="F70" s="22" t="n">
        <f aca="false">+F54/F52</f>
        <v>0.191624365482234</v>
      </c>
      <c r="G70" s="22" t="n">
        <f aca="false">+G54/G52</f>
        <v>0.216594827586207</v>
      </c>
      <c r="H70" s="22" t="n">
        <f aca="false">+H54/H52</f>
        <v>0.221935483870968</v>
      </c>
      <c r="I70" s="22" t="n">
        <f aca="false">+I54/I52</f>
        <v>0.206196581196581</v>
      </c>
      <c r="J70" s="22" t="n">
        <f aca="false">+J54/J52</f>
        <v>0.188552188552189</v>
      </c>
      <c r="K70" s="22" t="n">
        <f aca="false">+K54/K52</f>
        <v>0.232421875</v>
      </c>
      <c r="Q70" s="22" t="n">
        <f aca="false">+Q54/Q52</f>
        <v>0.209720021130481</v>
      </c>
      <c r="R70" s="22" t="n">
        <f aca="false">+R54/R52</f>
        <v>0.226479352916135</v>
      </c>
      <c r="S70" s="22" t="n">
        <f aca="false">+S54/S52</f>
        <v>0.232350925291295</v>
      </c>
      <c r="T70" s="22" t="n">
        <f aca="false">+T54/T52</f>
        <v>0.246607083747104</v>
      </c>
      <c r="U70" s="22" t="n">
        <f aca="false">+U54/U52</f>
        <v>0.206188548293811</v>
      </c>
      <c r="V70" s="22" t="n">
        <f aca="false">+V54/V52</f>
        <v>0.209281961471103</v>
      </c>
      <c r="W70" s="22" t="n">
        <f aca="false">+W54/W52</f>
        <v>0.2</v>
      </c>
      <c r="X70" s="22" t="n">
        <f aca="false">+X54/X52</f>
        <v>0.2</v>
      </c>
      <c r="Y70" s="22" t="n">
        <f aca="false">+Y54/Y52</f>
        <v>0.2</v>
      </c>
      <c r="Z70" s="22" t="n">
        <f aca="false">+Z54/Z52</f>
        <v>0.2</v>
      </c>
      <c r="AA70" s="22" t="n">
        <f aca="false">+AA54/AA52</f>
        <v>0.2</v>
      </c>
      <c r="AB70" s="22" t="n">
        <f aca="false">+AB54/AB52</f>
        <v>0.2</v>
      </c>
      <c r="AC70" s="22" t="n">
        <f aca="false">+AC54/AC52</f>
        <v>0.2</v>
      </c>
      <c r="AD70" s="22" t="n">
        <f aca="false">+AD54/AD52</f>
        <v>0.2</v>
      </c>
      <c r="AE70" s="22" t="n">
        <f aca="false">+AE54/AE52</f>
        <v>0.2</v>
      </c>
      <c r="AF70" s="22" t="n">
        <f aca="false">+AF54/AF52</f>
        <v>0.2</v>
      </c>
      <c r="AG70" s="22" t="n">
        <f aca="false">+AG54/AG52</f>
        <v>0.2</v>
      </c>
      <c r="AI70" s="27" t="s">
        <v>80</v>
      </c>
      <c r="AJ70" s="34" t="n">
        <f aca="false">+NPV(AJ68,W60:CU60)</f>
        <v>138759.707061781</v>
      </c>
      <c r="AL70" s="25" t="s">
        <v>81</v>
      </c>
      <c r="AM70" s="35" t="n">
        <f aca="false">+AM68*(1+AM67)/(Main!B9-AM67)</f>
        <v>37.5881986216018</v>
      </c>
      <c r="AO70" s="6"/>
      <c r="AP70" s="36" t="n">
        <f aca="false">+AP69/Main!F1-1</f>
        <v>0.192812873434529</v>
      </c>
    </row>
    <row r="71" customFormat="false" ht="12.8" hidden="false" customHeight="false" outlineLevel="0" collapsed="false">
      <c r="A71" s="22" t="s">
        <v>82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 t="n">
        <f aca="false">+(R46-Q46)/(R30-Q30)</f>
        <v>0.195724290453373</v>
      </c>
      <c r="S71" s="22" t="n">
        <f aca="false">+(S46-R46)/(S30-R30)</f>
        <v>0.226372382569327</v>
      </c>
      <c r="T71" s="22" t="n">
        <f aca="false">+(T46-S46)/(T30-S30)</f>
        <v>0.288461538461538</v>
      </c>
      <c r="U71" s="22" t="n">
        <f aca="false">+(U46-T46)/(U30-T30)</f>
        <v>0.298106291997557</v>
      </c>
      <c r="V71" s="22" t="n">
        <f aca="false">+(V46-U46)/(V30-U30)</f>
        <v>0.0780006367398918</v>
      </c>
      <c r="W71" s="22" t="n">
        <f aca="false">+(W46-V46)/(W30-V30)</f>
        <v>-0.0656633867640055</v>
      </c>
      <c r="X71" s="22" t="n">
        <f aca="false">+(X46-W46)/(X30-W30)</f>
        <v>0.148296925658059</v>
      </c>
      <c r="Y71" s="22" t="n">
        <f aca="false">+(Y46-X46)/(Y30-X30)</f>
        <v>0.120641036857242</v>
      </c>
      <c r="Z71" s="22" t="n">
        <f aca="false">+(Z46-Y46)/(Z30-Y30)</f>
        <v>0.211823370344991</v>
      </c>
      <c r="AA71" s="22" t="n">
        <f aca="false">+(AA46-Z46)/(AA30-Z30)</f>
        <v>0.193692633716658</v>
      </c>
      <c r="AB71" s="22" t="n">
        <f aca="false">+(AB46-AA46)/(AB30-AA30)</f>
        <v>0.166818471765471</v>
      </c>
      <c r="AC71" s="22" t="n">
        <f aca="false">+(AC46-AB46)/(AC30-AB30)</f>
        <v>0.127328379832823</v>
      </c>
      <c r="AD71" s="22" t="n">
        <f aca="false">+(AD46-AC46)/(AD30-AC30)</f>
        <v>0.121699402498347</v>
      </c>
      <c r="AE71" s="22" t="n">
        <f aca="false">+(AE46-AD46)/(AE30-AD30)</f>
        <v>0.316100493941085</v>
      </c>
      <c r="AF71" s="22" t="n">
        <f aca="false">+(AF46-AE46)/(AF30-AE30)</f>
        <v>0.32484494398759</v>
      </c>
      <c r="AG71" s="22" t="n">
        <f aca="false">+(AG46-AF46)/(AG30-AF30)</f>
        <v>0.333519404313583</v>
      </c>
      <c r="AH71" s="22"/>
      <c r="AI71" s="31" t="s">
        <v>2</v>
      </c>
      <c r="AJ71" s="37" t="n">
        <f aca="false">+AJ70/Main!F2</f>
        <v>347.146449812577</v>
      </c>
      <c r="AK71" s="3"/>
      <c r="AL71" s="15"/>
      <c r="AM71" s="15"/>
      <c r="AN71" s="22"/>
      <c r="AO71" s="33"/>
      <c r="AP71" s="33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</row>
    <row r="72" customFormat="false" ht="12.8" hidden="false" customHeight="fals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38" t="s">
        <v>83</v>
      </c>
      <c r="AJ72" s="39" t="n">
        <f aca="false">+AJ71/Main!F1-1</f>
        <v>0.54287311027812</v>
      </c>
      <c r="AK72" s="3"/>
      <c r="AL72" s="22" t="s">
        <v>84</v>
      </c>
      <c r="AM72" s="25" t="n">
        <f aca="false">+SUM(H76:K76)/SUM(H65:K65)</f>
        <v>-0</v>
      </c>
      <c r="AN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</row>
    <row r="73" s="36" customFormat="true" ht="12.8" hidden="false" customHeight="false" outlineLevel="0" collapsed="false">
      <c r="A73" s="29" t="s">
        <v>85</v>
      </c>
      <c r="B73" s="29" t="n">
        <v>0.75</v>
      </c>
      <c r="C73" s="29" t="n">
        <v>0.75</v>
      </c>
      <c r="D73" s="29" t="n">
        <v>0.75</v>
      </c>
      <c r="E73" s="29" t="n">
        <v>0.75</v>
      </c>
      <c r="F73" s="29" t="n">
        <v>0.825</v>
      </c>
      <c r="G73" s="29" t="n">
        <v>0.825</v>
      </c>
      <c r="H73" s="29" t="n">
        <v>0.825</v>
      </c>
      <c r="I73" s="29" t="n">
        <v>0.825</v>
      </c>
      <c r="J73" s="29" t="n">
        <v>0.945</v>
      </c>
      <c r="K73" s="29" t="n">
        <v>0.945</v>
      </c>
      <c r="L73" s="29" t="n">
        <v>0.945</v>
      </c>
      <c r="M73" s="29" t="n">
        <v>0.945</v>
      </c>
      <c r="N73" s="29"/>
      <c r="O73" s="29"/>
      <c r="P73" s="29"/>
      <c r="Q73" s="29"/>
      <c r="R73" s="29" t="n">
        <f aca="false">+0.575*4</f>
        <v>2.3</v>
      </c>
      <c r="S73" s="29" t="n">
        <f aca="false">+0.65*4</f>
        <v>2.6</v>
      </c>
      <c r="T73" s="29" t="n">
        <f aca="false">+0.7*4</f>
        <v>2.8</v>
      </c>
      <c r="U73" s="29" t="n">
        <f aca="false">+SUM(B73:E73)</f>
        <v>3</v>
      </c>
      <c r="V73" s="29" t="n">
        <f aca="false">+SUM(F73:I73)</f>
        <v>3.3</v>
      </c>
      <c r="W73" s="29" t="n">
        <f aca="false">+SUM(J73:M73)</f>
        <v>3.78</v>
      </c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5" t="s">
        <v>86</v>
      </c>
      <c r="AM73" s="29" t="n">
        <f aca="false">+(K117-K97)/SUM(H94:K94)</f>
        <v>3.05985773721648</v>
      </c>
      <c r="AN73" s="29"/>
      <c r="AO73" s="6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</row>
    <row r="74" s="3" customFormat="true" ht="10.5" hidden="false" customHeight="tru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 t="n">
        <f aca="false">+S73/R73-1</f>
        <v>0.130434782608696</v>
      </c>
      <c r="T74" s="15" t="n">
        <f aca="false">+T73/S73-1</f>
        <v>0.0769230769230769</v>
      </c>
      <c r="U74" s="15" t="n">
        <f aca="false">+U73/T73-1</f>
        <v>0.0714285714285714</v>
      </c>
      <c r="V74" s="15" t="n">
        <f aca="false">+V73/U73-1</f>
        <v>0.0999999999999999</v>
      </c>
      <c r="W74" s="15" t="n">
        <f aca="false">+W73/V73-1</f>
        <v>0.145454545454546</v>
      </c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6"/>
      <c r="AM74" s="6"/>
      <c r="AN74" s="15"/>
      <c r="AO74" s="6"/>
      <c r="AP74" s="6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</row>
    <row r="75" s="3" customFormat="true" ht="12.8" hidden="false" customHeight="false" outlineLevel="0" collapsed="false">
      <c r="A75" s="3" t="s">
        <v>87</v>
      </c>
      <c r="B75" s="6" t="n">
        <f aca="false">+B128/B64</f>
        <v>17.5340430799703</v>
      </c>
      <c r="C75" s="6" t="n">
        <f aca="false">+C128/C64</f>
        <v>18.4945436507937</v>
      </c>
      <c r="D75" s="6" t="n">
        <f aca="false">+D128/D64</f>
        <v>19.7891865079365</v>
      </c>
      <c r="E75" s="6" t="n">
        <f aca="false">+E128/E64</f>
        <v>20.4459861248761</v>
      </c>
      <c r="F75" s="6" t="n">
        <f aca="false">+F128/F64</f>
        <v>21.4161921267641</v>
      </c>
      <c r="G75" s="6" t="n">
        <f aca="false">+G128/G64</f>
        <v>22.7578530793965</v>
      </c>
      <c r="H75" s="6" t="n">
        <f aca="false">+H128/H64</f>
        <v>23.544397724462</v>
      </c>
      <c r="I75" s="6" t="n">
        <f aca="false">+I128/I64</f>
        <v>24.6971569839308</v>
      </c>
      <c r="J75" s="6" t="n">
        <f aca="false">+J128/J64</f>
        <v>24.7799208704253</v>
      </c>
      <c r="K75" s="6" t="n">
        <f aca="false">+K128/K64</f>
        <v>24.6645129224652</v>
      </c>
      <c r="L75" s="6"/>
      <c r="M75" s="6"/>
      <c r="N75" s="6"/>
      <c r="O75" s="6"/>
      <c r="P75" s="6"/>
      <c r="Q75" s="6" t="n">
        <f aca="false">+Q128/Q64</f>
        <v>17.529992942837</v>
      </c>
      <c r="R75" s="6" t="n">
        <f aca="false">+R128/R64</f>
        <v>16.8455899739891</v>
      </c>
      <c r="S75" s="6" t="n">
        <f aca="false">+S128/S64</f>
        <v>16.5036144578313</v>
      </c>
      <c r="T75" s="6" t="n">
        <f aca="false">+T128/T64</f>
        <v>16.964856230032</v>
      </c>
      <c r="U75" s="6" t="n">
        <f aca="false">+U128/U64</f>
        <v>20.451053283767</v>
      </c>
      <c r="V75" s="6" t="n">
        <f aca="false">+V128/V64</f>
        <v>24.7154873824839</v>
      </c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36"/>
      <c r="AM75" s="3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</row>
    <row r="76" s="36" customFormat="true" ht="12.8" hidden="false" customHeight="false" outlineLevel="0" collapsed="false">
      <c r="A76" s="3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40"/>
      <c r="AM76" s="40"/>
      <c r="AN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</row>
    <row r="77" s="36" customFormat="true" ht="12.8" hidden="false" customHeight="false" outlineLevel="0" collapsed="false">
      <c r="A77" s="3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40"/>
      <c r="AM77" s="40"/>
      <c r="AN77" s="6"/>
      <c r="AO77" s="40"/>
      <c r="AP77" s="40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</row>
    <row r="78" s="36" customFormat="true" ht="12.8" hidden="false" customHeight="false" outlineLevel="0" collapsed="false">
      <c r="A78" s="36" t="s">
        <v>88</v>
      </c>
      <c r="B78" s="36" t="n">
        <f aca="false">+(B60*4)/B105</f>
        <v>0.16615817883126</v>
      </c>
      <c r="C78" s="36" t="n">
        <f aca="false">+(C60*4)/C105</f>
        <v>0.156142365097589</v>
      </c>
      <c r="D78" s="36" t="n">
        <f aca="false">+(D60*4)/D105</f>
        <v>0.169538787574591</v>
      </c>
      <c r="E78" s="36" t="n">
        <f aca="false">+(E60*4)/E105</f>
        <v>0.123681489141675</v>
      </c>
      <c r="F78" s="36" t="n">
        <f aca="false">+(F60*4)/F105</f>
        <v>0.130312484017798</v>
      </c>
      <c r="G78" s="36" t="n">
        <f aca="false">+(G60*4)/G105</f>
        <v>0.145469117868056</v>
      </c>
      <c r="H78" s="36" t="n">
        <f aca="false">+(H60*4)/H105</f>
        <v>0.120185360506253</v>
      </c>
      <c r="I78" s="36" t="n">
        <f aca="false">+(I60*4)/I105</f>
        <v>0.145843556776916</v>
      </c>
      <c r="J78" s="36" t="n">
        <f aca="false">+(J60*4)/J105</f>
        <v>0.14221785099582</v>
      </c>
      <c r="K78" s="36" t="n">
        <f aca="false">+(K60*4)/K105</f>
        <v>0.153620352250489</v>
      </c>
      <c r="Q78" s="36" t="n">
        <f aca="false">+(Q60)/Q105</f>
        <v>0.105739327113373</v>
      </c>
      <c r="R78" s="36" t="n">
        <f aca="false">+(R60)/R105</f>
        <v>0.125944933767945</v>
      </c>
      <c r="S78" s="36" t="n">
        <f aca="false">+(S60)/S105</f>
        <v>0.142375469177429</v>
      </c>
      <c r="T78" s="36" t="n">
        <f aca="false">+(T60)/T105</f>
        <v>0.135785007072136</v>
      </c>
      <c r="U78" s="36" t="n">
        <f aca="false">+(U60)/U105</f>
        <v>0.141985522233713</v>
      </c>
      <c r="V78" s="36" t="n">
        <f aca="false">+(V60)/V105</f>
        <v>0.132888409068603</v>
      </c>
      <c r="AO78" s="40"/>
      <c r="AP78" s="40"/>
    </row>
    <row r="79" s="29" customFormat="true" ht="10.5" hidden="false" customHeight="true" outlineLevel="0" collapsed="false">
      <c r="A79" s="40"/>
      <c r="B79" s="40"/>
      <c r="C79" s="40"/>
      <c r="D79" s="40"/>
      <c r="E79" s="40"/>
      <c r="F79" s="40" t="n">
        <f aca="false">+(F78-B78)*100</f>
        <v>-3.58456948134625</v>
      </c>
      <c r="G79" s="40" t="n">
        <f aca="false">+(G78-C78)*100</f>
        <v>-1.06732472295331</v>
      </c>
      <c r="H79" s="40" t="n">
        <f aca="false">+(H78-D78)*100</f>
        <v>-4.93534270683381</v>
      </c>
      <c r="I79" s="40" t="n">
        <f aca="false">+(I78-E78)*100</f>
        <v>2.2162067635241</v>
      </c>
      <c r="J79" s="40" t="n">
        <f aca="false">+(J78-F78)*100</f>
        <v>1.19053669780222</v>
      </c>
      <c r="K79" s="40" t="n">
        <f aca="false">+(K78-G78)*100</f>
        <v>0.815123438243331</v>
      </c>
      <c r="L79" s="40"/>
      <c r="M79" s="40"/>
      <c r="N79" s="40"/>
      <c r="O79" s="40"/>
      <c r="P79" s="40"/>
      <c r="Q79" s="40"/>
      <c r="R79" s="40" t="n">
        <f aca="false">+(R78-Q78)*100</f>
        <v>2.02056066545722</v>
      </c>
      <c r="S79" s="40" t="n">
        <f aca="false">+(S78-R78)*100</f>
        <v>1.64305354094835</v>
      </c>
      <c r="T79" s="40" t="n">
        <f aca="false">+(T78-S78)*100</f>
        <v>-0.659046210529279</v>
      </c>
      <c r="U79" s="40" t="n">
        <f aca="false">+(U78-T78)*100</f>
        <v>0.620051516157674</v>
      </c>
      <c r="V79" s="40" t="n">
        <f aca="false">+(V78-U78)*100</f>
        <v>-0.909711316510914</v>
      </c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36"/>
      <c r="AM79" s="36"/>
      <c r="AN79" s="40"/>
      <c r="AO79" s="36"/>
      <c r="AP79" s="36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</row>
    <row r="80" s="36" customFormat="true" ht="10.5" hidden="false" customHeight="true" outlineLevel="0" collapsed="false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N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</row>
    <row r="81" s="36" customFormat="true" ht="12.8" hidden="false" customHeight="false" outlineLevel="0" collapsed="false">
      <c r="A81" s="36" t="s">
        <v>89</v>
      </c>
      <c r="C81" s="36" t="n">
        <f aca="false">+(C60*4)/AVERAGE(B128:C128)</f>
        <v>0.374166036178554</v>
      </c>
      <c r="D81" s="36" t="n">
        <f aca="false">+(D60*4)/AVERAGE(C128:D128)</f>
        <v>0.393884426017103</v>
      </c>
      <c r="E81" s="36" t="n">
        <f aca="false">+(E60*4)/AVERAGE(D128:E128)</f>
        <v>0.294744624484012</v>
      </c>
      <c r="F81" s="36" t="n">
        <f aca="false">+(F60*4)/AVERAGE(E128:F128)</f>
        <v>0.301502780736008</v>
      </c>
      <c r="G81" s="36" t="n">
        <f aca="false">+(G60*4)/AVERAGE(F128:G128)</f>
        <v>0.325359923813792</v>
      </c>
      <c r="H81" s="36" t="n">
        <f aca="false">+(H60*4)/AVERAGE(G128:H128)</f>
        <v>0.257692307692308</v>
      </c>
      <c r="I81" s="36" t="n">
        <f aca="false">+(I60*4)/AVERAGE(H128:I128)</f>
        <v>0.304679891332206</v>
      </c>
      <c r="J81" s="36" t="n">
        <f aca="false">+(J60*4)/AVERAGE(I128:J128)</f>
        <v>0.289041027434911</v>
      </c>
      <c r="K81" s="36" t="n">
        <f aca="false">+(K60*4)/AVERAGE(J128:K128)</f>
        <v>0.314850095257194</v>
      </c>
      <c r="R81" s="36" t="n">
        <f aca="false">+R60/AVERAGE(Q128:R128)</f>
        <v>0.249176728869374</v>
      </c>
      <c r="S81" s="36" t="n">
        <f aca="false">+S60/AVERAGE(R128:S128)</f>
        <v>0.320332068990195</v>
      </c>
      <c r="T81" s="36" t="n">
        <f aca="false">+T60/AVERAGE(S128:T128)</f>
        <v>0.335078534031414</v>
      </c>
      <c r="U81" s="36" t="n">
        <f aca="false">+U60/AVERAGE(T128:U128)</f>
        <v>0.36238865061036</v>
      </c>
      <c r="V81" s="36" t="n">
        <f aca="false">+V60/AVERAGE(U128:V128)</f>
        <v>0.29689727003618</v>
      </c>
      <c r="AL81" s="29"/>
      <c r="AM81" s="29"/>
    </row>
    <row r="82" s="40" customFormat="true" ht="12.8" hidden="false" customHeight="false" outlineLevel="0" collapsed="false">
      <c r="A82" s="36" t="s">
        <v>90</v>
      </c>
      <c r="B82" s="36"/>
      <c r="C82" s="36" t="n">
        <f aca="false">+(C60*4)/AVERAGE(B111:C111)</f>
        <v>0.0816020400510013</v>
      </c>
      <c r="D82" s="36" t="n">
        <f aca="false">+(D60*4)/AVERAGE(C111:D111)</f>
        <v>0.088463385179473</v>
      </c>
      <c r="E82" s="36" t="n">
        <f aca="false">+(E60*4)/AVERAGE(D111:E111)</f>
        <v>0.0603301512037025</v>
      </c>
      <c r="F82" s="36" t="n">
        <f aca="false">+(F60*4)/AVERAGE(E111:F111)</f>
        <v>0.0572243495446532</v>
      </c>
      <c r="G82" s="36" t="n">
        <f aca="false">+(G60*4)/AVERAGE(F111:G111)</f>
        <v>0.065106268496099</v>
      </c>
      <c r="H82" s="36" t="n">
        <f aca="false">+(H60*4)/AVERAGE(G111:H111)</f>
        <v>0.0540625350218536</v>
      </c>
      <c r="I82" s="36" t="n">
        <f aca="false">+(I60*4)/AVERAGE(H111:I111)</f>
        <v>0.0657936973534198</v>
      </c>
      <c r="J82" s="36" t="n">
        <f aca="false">+(J60*4)/AVERAGE(I111:J111)</f>
        <v>0.0631889441197356</v>
      </c>
      <c r="K82" s="36" t="n">
        <f aca="false">+(K60*4)/AVERAGE(J111:K111)</f>
        <v>0.0681564124548247</v>
      </c>
      <c r="L82" s="36"/>
      <c r="M82" s="36"/>
      <c r="N82" s="36"/>
      <c r="O82" s="36"/>
      <c r="P82" s="36"/>
      <c r="Q82" s="36"/>
      <c r="R82" s="36" t="n">
        <f aca="false">+R60/AVERAGE(Q111:R111)</f>
        <v>0.0621469838966245</v>
      </c>
      <c r="S82" s="36" t="n">
        <f aca="false">+S60/AVERAGE(R111:S111)</f>
        <v>0.0740274286235776</v>
      </c>
      <c r="T82" s="36" t="n">
        <f aca="false">+T60/AVERAGE(S111:T111)</f>
        <v>0.0717868016978519</v>
      </c>
      <c r="U82" s="36" t="n">
        <f aca="false">+U60/AVERAGE(T111:U111)</f>
        <v>0.0709651637592268</v>
      </c>
      <c r="V82" s="36" t="n">
        <f aca="false">+V60/AVERAGE(U111:V111)</f>
        <v>0.0599101127997664</v>
      </c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29"/>
      <c r="AP82" s="29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</row>
    <row r="83" customFormat="false" ht="12.8" hidden="false" customHeight="false" outlineLevel="0" collapsed="false">
      <c r="A83" s="36" t="s">
        <v>91</v>
      </c>
      <c r="B83" s="36"/>
      <c r="C83" s="36" t="n">
        <f aca="false">+(C30*4)/AVERAGE(B111:C111)</f>
        <v>0.64825620640516</v>
      </c>
      <c r="D83" s="36" t="n">
        <f aca="false">+(D30*4)/AVERAGE(C111:D111)</f>
        <v>0.652883062462716</v>
      </c>
      <c r="E83" s="36" t="n">
        <f aca="false">+(E30*4)/AVERAGE(D111:E111)</f>
        <v>0.594524383015751</v>
      </c>
      <c r="F83" s="36" t="n">
        <f aca="false">+(F30*4)/AVERAGE(E111:F111)</f>
        <v>0.540621876859848</v>
      </c>
      <c r="G83" s="36" t="n">
        <f aca="false">+(G30*4)/AVERAGE(F111:G111)</f>
        <v>0.576629898663797</v>
      </c>
      <c r="H83" s="36" t="n">
        <f aca="false">+(H30*4)/AVERAGE(G111:H111)</f>
        <v>0.577653255631514</v>
      </c>
      <c r="I83" s="36" t="n">
        <f aca="false">+(I30*4)/AVERAGE(H111:I111)</f>
        <v>0.559113600389626</v>
      </c>
      <c r="J83" s="36" t="n">
        <f aca="false">+(J30*4)/AVERAGE(I111:J111)</f>
        <v>0.544228983448954</v>
      </c>
      <c r="K83" s="36" t="n">
        <f aca="false">+(K30*4)/AVERAGE(J111:K111)</f>
        <v>0.580327975602609</v>
      </c>
      <c r="L83" s="36"/>
      <c r="M83" s="36"/>
      <c r="N83" s="36"/>
      <c r="O83" s="36"/>
      <c r="P83" s="36"/>
      <c r="Q83" s="36"/>
      <c r="R83" s="36" t="n">
        <f aca="false">+R30/AVERAGE(Q111:R111)</f>
        <v>0.613633022164303</v>
      </c>
      <c r="S83" s="36" t="n">
        <f aca="false">+S30/AVERAGE(R111:S111)</f>
        <v>0.65156045086114</v>
      </c>
      <c r="T83" s="36" t="n">
        <f aca="false">+T30/AVERAGE(S111:T111)</f>
        <v>0.636422400816113</v>
      </c>
      <c r="U83" s="36" t="n">
        <f aca="false">+U30/AVERAGE(T111:U111)</f>
        <v>0.570176404959876</v>
      </c>
      <c r="V83" s="36" t="n">
        <f aca="false">+V30/AVERAGE(U111:V111)</f>
        <v>0.557597667284089</v>
      </c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</row>
    <row r="84" customFormat="false" ht="12.8" hidden="false" customHeight="false" outlineLevel="0" collapsed="false">
      <c r="A84" s="29" t="s">
        <v>92</v>
      </c>
      <c r="B84" s="29"/>
      <c r="C84" s="29" t="n">
        <f aca="false">+AVERAGE(B111:C111)/AVERAGE(B128:C128)</f>
        <v>4.5852534562212</v>
      </c>
      <c r="D84" s="29" t="n">
        <f aca="false">+AVERAGE(C111:D111)/AVERAGE(C128:D128)</f>
        <v>4.45251360456077</v>
      </c>
      <c r="E84" s="29" t="n">
        <f aca="false">+AVERAGE(D111:E111)/AVERAGE(D128:E128)</f>
        <v>4.88552769391904</v>
      </c>
      <c r="F84" s="29" t="n">
        <f aca="false">+AVERAGE(E111:F111)/AVERAGE(E128:F128)</f>
        <v>5.2687847592001</v>
      </c>
      <c r="G84" s="29" t="n">
        <f aca="false">+AVERAGE(F111:G111)/AVERAGE(F128:G128)</f>
        <v>4.99736709428043</v>
      </c>
      <c r="H84" s="29" t="n">
        <f aca="false">+AVERAGE(G111:H111)/AVERAGE(G128:H128)</f>
        <v>4.76655982905983</v>
      </c>
      <c r="I84" s="29" t="n">
        <f aca="false">+AVERAGE(H111:I111)/AVERAGE(H128:I128)</f>
        <v>4.63083704956687</v>
      </c>
      <c r="J84" s="29" t="n">
        <f aca="false">+AVERAGE(I111:J111)/AVERAGE(I128:J128)</f>
        <v>4.57423417120584</v>
      </c>
      <c r="K84" s="29" t="n">
        <f aca="false">+AVERAGE(J111:K111)/AVERAGE(J128:K128)</f>
        <v>4.61952271132057</v>
      </c>
      <c r="L84" s="29"/>
      <c r="M84" s="29"/>
      <c r="N84" s="29"/>
      <c r="O84" s="29"/>
      <c r="P84" s="29"/>
      <c r="Q84" s="29"/>
      <c r="R84" s="29" t="n">
        <f aca="false">+AVERAGE(Q111:R111)/AVERAGE(Q128:R128)</f>
        <v>4.0094742052785</v>
      </c>
      <c r="S84" s="29" t="n">
        <f aca="false">+AVERAGE(R111:S111)/AVERAGE(R128:S128)</f>
        <v>4.32720783291087</v>
      </c>
      <c r="T84" s="29" t="n">
        <f aca="false">+AVERAGE(S111:T111)/AVERAGE(S128:T128)</f>
        <v>4.66768996676781</v>
      </c>
      <c r="U84" s="29" t="n">
        <f aca="false">+AVERAGE(T111:U111)/AVERAGE(T128:U128)</f>
        <v>5.10657104716739</v>
      </c>
      <c r="V84" s="29" t="n">
        <f aca="false">+AVERAGE(U111:V111)/AVERAGE(U128:V128)</f>
        <v>4.95571208534493</v>
      </c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3"/>
      <c r="AM84" s="3"/>
      <c r="AN84" s="29"/>
      <c r="AO84" s="36"/>
      <c r="AP84" s="36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</row>
    <row r="85" customFormat="false" ht="12.8" hidden="false" customHeight="false" outlineLevel="0" collapsed="false">
      <c r="A85" s="36" t="s">
        <v>93</v>
      </c>
      <c r="B85" s="36"/>
      <c r="C85" s="36" t="n">
        <f aca="false">+C81-C82</f>
        <v>0.292563996127553</v>
      </c>
      <c r="D85" s="36" t="n">
        <f aca="false">+D81-D82</f>
        <v>0.30542104083763</v>
      </c>
      <c r="E85" s="36" t="n">
        <f aca="false">+E81-E82</f>
        <v>0.234414473280309</v>
      </c>
      <c r="F85" s="36" t="n">
        <f aca="false">+F81-F82</f>
        <v>0.244278431191355</v>
      </c>
      <c r="G85" s="36" t="n">
        <f aca="false">+G81-G82</f>
        <v>0.260253655317693</v>
      </c>
      <c r="H85" s="36" t="n">
        <f aca="false">+H81-H82</f>
        <v>0.203629772670454</v>
      </c>
      <c r="I85" s="36" t="n">
        <f aca="false">+I81-I82</f>
        <v>0.238886193978786</v>
      </c>
      <c r="J85" s="36" t="n">
        <f aca="false">+J81-J82</f>
        <v>0.225852083315175</v>
      </c>
      <c r="K85" s="36" t="n">
        <f aca="false">+K81-K82</f>
        <v>0.246693682802369</v>
      </c>
      <c r="L85" s="36"/>
      <c r="M85" s="36"/>
      <c r="N85" s="36"/>
      <c r="O85" s="36"/>
      <c r="P85" s="36"/>
      <c r="Q85" s="36"/>
      <c r="R85" s="36" t="n">
        <f aca="false">+R81-R82</f>
        <v>0.18702974497275</v>
      </c>
      <c r="S85" s="36" t="n">
        <f aca="false">+S81-S82</f>
        <v>0.246304640366617</v>
      </c>
      <c r="T85" s="36" t="n">
        <f aca="false">+T81-T82</f>
        <v>0.263291732333562</v>
      </c>
      <c r="U85" s="36" t="n">
        <f aca="false">+U81-U82</f>
        <v>0.291423486851133</v>
      </c>
      <c r="V85" s="36" t="n">
        <f aca="false">+V81-V82</f>
        <v>0.236987157236414</v>
      </c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N85" s="36"/>
      <c r="AO85" s="3"/>
      <c r="AP85" s="3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</row>
    <row r="86" customFormat="false" ht="12.8" hidden="false" customHeight="fals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N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</row>
    <row r="87" customFormat="false" ht="10.5" hidden="false" customHeight="true" outlineLevel="0" collapsed="false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N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</row>
    <row r="88" customFormat="false" ht="12.8" hidden="false" customHeight="false" outlineLevel="0" collapsed="false">
      <c r="AL88" s="6" t="s">
        <v>94</v>
      </c>
      <c r="AM88" s="6" t="n">
        <f aca="false">+AJ91</f>
        <v>132146.460787093</v>
      </c>
    </row>
    <row r="89" customFormat="false" ht="12.8" hidden="false" customHeight="false" outlineLevel="0" collapsed="false">
      <c r="AI89" s="23" t="s">
        <v>71</v>
      </c>
      <c r="AJ89" s="24" t="n">
        <v>0.02</v>
      </c>
      <c r="AL89" s="6" t="s">
        <v>95</v>
      </c>
      <c r="AM89" s="6" t="n">
        <f aca="false">+Main!F5</f>
        <v>23356</v>
      </c>
    </row>
    <row r="90" customFormat="false" ht="12.8" hidden="false" customHeight="false" outlineLevel="0" collapsed="false">
      <c r="A90" s="3" t="s">
        <v>96</v>
      </c>
      <c r="Q90" s="6" t="n">
        <f aca="false">+SUM(Q98,Q99,Q101,Q103)-SUM(Q113,Q114)</f>
        <v>524</v>
      </c>
      <c r="R90" s="6" t="n">
        <f aca="false">+SUM(R98,R99,R101,R103)-SUM(R113,R114)</f>
        <v>148</v>
      </c>
      <c r="S90" s="6" t="n">
        <f aca="false">+SUM(S98,S99,S101,S103)-SUM(S113,S114)</f>
        <v>-191</v>
      </c>
      <c r="T90" s="6" t="n">
        <f aca="false">+SUM(T98,T99,T101,T103)-SUM(T113,T114)</f>
        <v>32</v>
      </c>
      <c r="U90" s="6" t="n">
        <f aca="false">+SUM(U98,U99,U101,U103)-SUM(U113,U114)</f>
        <v>134</v>
      </c>
      <c r="V90" s="6" t="n">
        <f aca="false">+SUM(V98,V99,V101,V103)-SUM(V113,V114)</f>
        <v>631</v>
      </c>
      <c r="W90" s="6" t="n">
        <f aca="false">+SUM(W98,W99,W101,W103)-SUM(W113,W114)</f>
        <v>304.562727078338</v>
      </c>
      <c r="X90" s="6" t="n">
        <f aca="false">+SUM(X98,X99,X101,X103)-SUM(X113,X114)</f>
        <v>272.317300119618</v>
      </c>
      <c r="Y90" s="6" t="n">
        <f aca="false">+SUM(Y98,Y99,Y101,Y103)-SUM(Y113,Y114)</f>
        <v>226.813401864232</v>
      </c>
      <c r="Z90" s="6" t="n">
        <f aca="false">+SUM(Z98,Z99,Z101,Z103)-SUM(Z113,Z114)</f>
        <v>167.481576347967</v>
      </c>
      <c r="AA90" s="6" t="n">
        <f aca="false">+SUM(AA98,AA99,AA101,AA103)-SUM(AA113,AA114)</f>
        <v>94.2413197084106</v>
      </c>
      <c r="AB90" s="6" t="n">
        <f aca="false">+SUM(AB98,AB99,AB101,AB103)-SUM(AB113,AB114)</f>
        <v>7.56915116680102</v>
      </c>
      <c r="AC90" s="6" t="n">
        <f aca="false">+SUM(AC98,AC99,AC101,AC103)-SUM(AC113,AC114)</f>
        <v>-91.4583684254822</v>
      </c>
      <c r="AD90" s="6" t="n">
        <f aca="false">+SUM(AD98,AD99,AD101,AD103)-SUM(AD113,AD114)</f>
        <v>-203.050488269517</v>
      </c>
      <c r="AE90" s="6" t="n">
        <f aca="false">+SUM(AE98,AE99,AE101,AE103)-SUM(AE113,AE114)</f>
        <v>-328.387473661314</v>
      </c>
      <c r="AF90" s="6" t="n">
        <f aca="false">+SUM(AF98,AF99,AF101,AF103)-SUM(AF113,AF114)</f>
        <v>-468.746712424565</v>
      </c>
      <c r="AG90" s="6" t="n">
        <f aca="false">+SUM(AG98,AG99,AG101,AG103)-SUM(AG113,AG114)</f>
        <v>-625.510070399496</v>
      </c>
      <c r="AI90" s="27" t="s">
        <v>74</v>
      </c>
      <c r="AJ90" s="28" t="n">
        <f aca="false">+Main!E9</f>
        <v>0.0662757013968866</v>
      </c>
      <c r="AL90" s="30" t="s">
        <v>97</v>
      </c>
      <c r="AM90" s="30" t="n">
        <f aca="false">+Main!F4</f>
        <v>557</v>
      </c>
    </row>
    <row r="91" customFormat="false" ht="12.8" hidden="false" customHeight="false" outlineLevel="0" collapsed="false">
      <c r="A91" s="3" t="s">
        <v>98</v>
      </c>
      <c r="Q91" s="6" t="n">
        <f aca="false">+Q46*(1-Q70)</f>
        <v>1923.54146856841</v>
      </c>
      <c r="R91" s="6" t="n">
        <f aca="false">+R46*(1-R70)</f>
        <v>2293.48871860366</v>
      </c>
      <c r="S91" s="6" t="n">
        <f aca="false">+S46*(1-S70)</f>
        <v>2583.13913639479</v>
      </c>
      <c r="T91" s="6" t="n">
        <f aca="false">+T46*(1-T70)</f>
        <v>2693.3796756041</v>
      </c>
      <c r="U91" s="6" t="n">
        <f aca="false">+U46*(1-U70)</f>
        <v>3225.25592828225</v>
      </c>
      <c r="V91" s="6" t="n">
        <f aca="false">+V46*(1-V70)</f>
        <v>3406.41330998249</v>
      </c>
      <c r="W91" s="6" t="n">
        <f aca="false">+W46*(1-W70)</f>
        <v>3380.2008</v>
      </c>
      <c r="X91" s="6" t="n">
        <f aca="false">+X46*(1-X70)</f>
        <v>3756.958512</v>
      </c>
      <c r="Y91" s="6" t="n">
        <f aca="false">+Y46*(1-Y70)</f>
        <v>4071.62792208</v>
      </c>
      <c r="Z91" s="6" t="n">
        <f aca="false">+Z46*(1-Z70)</f>
        <v>4629.152005424</v>
      </c>
      <c r="AA91" s="6" t="n">
        <f aca="false">+AA46*(1-AA70)</f>
        <v>5133.85752875041</v>
      </c>
      <c r="AB91" s="6" t="n">
        <f aca="false">+AB46*(1-AB70)</f>
        <v>5555.01360107574</v>
      </c>
      <c r="AC91" s="6" t="n">
        <f aca="false">+AC46*(1-AC70)</f>
        <v>5858.79134337611</v>
      </c>
      <c r="AD91" s="6" t="n">
        <f aca="false">+AD46*(1-AD70)</f>
        <v>6169.46394961918</v>
      </c>
      <c r="AE91" s="6" t="n">
        <f aca="false">+AE46*(1-AE70)</f>
        <v>7032.88665860858</v>
      </c>
      <c r="AF91" s="6" t="n">
        <f aca="false">+AF46*(1-AF70)</f>
        <v>7982.30623371041</v>
      </c>
      <c r="AG91" s="6" t="n">
        <f aca="false">+AG46*(1-AG70)</f>
        <v>9025.31258791667</v>
      </c>
      <c r="AI91" s="31" t="s">
        <v>7</v>
      </c>
      <c r="AJ91" s="41" t="n">
        <f aca="false">+NPV(AJ90,W92:AF92,AG92+AJ92)</f>
        <v>132146.460787093</v>
      </c>
      <c r="AL91" s="6" t="s">
        <v>78</v>
      </c>
      <c r="AM91" s="6" t="n">
        <f aca="false">+AM88-AM89+AM90</f>
        <v>109347.460787093</v>
      </c>
    </row>
    <row r="92" customFormat="false" ht="12.8" hidden="false" customHeight="false" outlineLevel="0" collapsed="false">
      <c r="A92" s="3" t="s">
        <v>99</v>
      </c>
      <c r="R92" s="6" t="n">
        <f aca="false">+R91+R134-R150-(R90-Q90)</f>
        <v>2764.48871860366</v>
      </c>
      <c r="S92" s="6" t="n">
        <f aca="false">+S91+S134-S150-(S90-R90)</f>
        <v>2373.13913639479</v>
      </c>
      <c r="T92" s="6" t="n">
        <f aca="false">+T91+T134-T150-(T90-S90)</f>
        <v>1646.3796756041</v>
      </c>
      <c r="U92" s="6" t="n">
        <f aca="false">+U91+U134-U150-(U90-T90)</f>
        <v>2159.25592828225</v>
      </c>
      <c r="V92" s="6" t="n">
        <f aca="false">+V91+V134-V150-(V90-U90)</f>
        <v>2545.41330998249</v>
      </c>
      <c r="W92" s="6" t="n">
        <f aca="false">+W91+W134-W150-(W90-V90)</f>
        <v>3441.99607292166</v>
      </c>
      <c r="X92" s="6" t="n">
        <f aca="false">+X91+X134-X150-(X90-W90)</f>
        <v>3492.80489895872</v>
      </c>
      <c r="Y92" s="6" t="n">
        <f aca="false">+Y91+Y134-Y150-(Y90-X90)</f>
        <v>3788.12888593539</v>
      </c>
      <c r="Z92" s="6" t="n">
        <f aca="false">+Z91+Z134-Z150-(Z90-Y90)</f>
        <v>4326.58060310027</v>
      </c>
      <c r="AA92" s="6" t="n">
        <f aca="false">+AA91+AA134-AA150-(AA90-Z90)</f>
        <v>4812.62326704436</v>
      </c>
      <c r="AB92" s="6" t="n">
        <f aca="false">+AB91+AB134-AB150-(AB90-AA90)</f>
        <v>5215.6532898041</v>
      </c>
      <c r="AC92" s="6" t="n">
        <f aca="false">+AC91+AC134-AC150-(AC90-AB90)</f>
        <v>5501.96410956822</v>
      </c>
      <c r="AD92" s="6" t="n">
        <f aca="false">+AD91+AD134-AD150-(AD90-AC90)</f>
        <v>5793.29148332502</v>
      </c>
      <c r="AE92" s="6" t="n">
        <f aca="false">+AE91+AE134-AE150-(AE90-AD90)</f>
        <v>6636.31553683251</v>
      </c>
      <c r="AF92" s="6" t="n">
        <f aca="false">+AF91+AF134-AF150-(AF90-AE90)</f>
        <v>7564.22379780405</v>
      </c>
      <c r="AG92" s="6" t="n">
        <f aca="false">+AG91+AG134-AG150-(AG90-AF90)</f>
        <v>8584.54335399512</v>
      </c>
      <c r="AI92" s="27" t="s">
        <v>100</v>
      </c>
      <c r="AJ92" s="42" t="n">
        <f aca="false">+AG92*(1+AJ89)/(AJ90-AJ89)</f>
        <v>189218.833140455</v>
      </c>
      <c r="AL92" s="30" t="s">
        <v>68</v>
      </c>
      <c r="AM92" s="30" t="n">
        <f aca="false">+Main!F2</f>
        <v>399.715184</v>
      </c>
    </row>
    <row r="93" customFormat="false" ht="12.8" hidden="false" customHeight="false" outlineLevel="0" collapsed="false">
      <c r="AI93" s="43" t="s">
        <v>83</v>
      </c>
      <c r="AJ93" s="44" t="n">
        <f aca="false">+AJ91/Main!F6-1</f>
        <v>0.17218750859954</v>
      </c>
      <c r="AL93" s="6" t="s">
        <v>1</v>
      </c>
      <c r="AM93" s="6" t="n">
        <f aca="false">+AM91/AM92</f>
        <v>273.563440079608</v>
      </c>
    </row>
    <row r="94" s="15" customFormat="true" ht="12.8" hidden="false" customHeight="false" outlineLevel="0" collapsed="false">
      <c r="A94" s="3" t="s">
        <v>101</v>
      </c>
      <c r="B94" s="6" t="n">
        <f aca="false">+B46+B134</f>
        <v>1530</v>
      </c>
      <c r="C94" s="6" t="n">
        <f aca="false">+C46+C134</f>
        <v>1552</v>
      </c>
      <c r="D94" s="6" t="n">
        <f aca="false">+D46+D134</f>
        <v>1677</v>
      </c>
      <c r="E94" s="6" t="n">
        <f aca="false">+E46+E134</f>
        <v>1571</v>
      </c>
      <c r="F94" s="6" t="n">
        <f aca="false">+F46+F134</f>
        <v>1704</v>
      </c>
      <c r="G94" s="6" t="n">
        <f aca="false">+G46+G134</f>
        <v>1895</v>
      </c>
      <c r="H94" s="6" t="n">
        <f aca="false">+H46+H134</f>
        <v>1647</v>
      </c>
      <c r="I94" s="6" t="n">
        <f aca="false">+I46+I134</f>
        <v>1926</v>
      </c>
      <c r="J94" s="6" t="n">
        <f aca="false">+J46+J134</f>
        <v>1848</v>
      </c>
      <c r="K94" s="6" t="n">
        <f aca="false">+K46+K134</f>
        <v>2030</v>
      </c>
      <c r="L94" s="6"/>
      <c r="M94" s="6"/>
      <c r="N94" s="6"/>
      <c r="O94" s="6"/>
      <c r="P94" s="6"/>
      <c r="Q94" s="6" t="n">
        <f aca="false">+Q46+Q134</f>
        <v>4105</v>
      </c>
      <c r="R94" s="6" t="n">
        <f aca="false">+R46+R134</f>
        <v>4964</v>
      </c>
      <c r="S94" s="6" t="n">
        <f aca="false">+S46+S134</f>
        <v>5403</v>
      </c>
      <c r="T94" s="6" t="n">
        <f aca="false">+T46+T134</f>
        <v>5646</v>
      </c>
      <c r="U94" s="6" t="n">
        <f aca="false">+U46+U134</f>
        <v>6330</v>
      </c>
      <c r="V94" s="6" t="n">
        <f aca="false">+V46+V134</f>
        <v>7171</v>
      </c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36" t="n">
        <f aca="false">+AM93/Main!F1-1</f>
        <v>0.215837511464924</v>
      </c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</row>
    <row r="95" customFormat="false" ht="12.8" hidden="false" customHeight="false" outlineLevel="0" collapsed="false">
      <c r="A95" s="3" t="s">
        <v>102</v>
      </c>
      <c r="B95" s="6" t="n">
        <f aca="false">+B97-B117</f>
        <v>-15776</v>
      </c>
      <c r="C95" s="6" t="n">
        <f aca="false">+C97-C117</f>
        <v>-16571</v>
      </c>
      <c r="D95" s="6" t="n">
        <f aca="false">+D97-D117</f>
        <v>-16039</v>
      </c>
      <c r="E95" s="6" t="n">
        <f aca="false">+E97-E117</f>
        <v>-23486</v>
      </c>
      <c r="F95" s="6" t="n">
        <f aca="false">+F97-F117</f>
        <v>-23621</v>
      </c>
      <c r="G95" s="6" t="n">
        <f aca="false">+G97-G117</f>
        <v>-23580</v>
      </c>
      <c r="H95" s="6" t="n">
        <f aca="false">+H97-H117</f>
        <v>-23187</v>
      </c>
      <c r="I95" s="6" t="n">
        <f aca="false">+I97-I117</f>
        <v>-22706</v>
      </c>
      <c r="J95" s="6" t="n">
        <f aca="false">+J97-J117</f>
        <v>-22733</v>
      </c>
      <c r="K95" s="6" t="n">
        <f aca="false">+K97-K117</f>
        <v>-22799</v>
      </c>
      <c r="Q95" s="6" t="n">
        <f aca="false">+Q97-Q117</f>
        <v>-13257</v>
      </c>
      <c r="R95" s="6" t="n">
        <f aca="false">+R97-R117</f>
        <v>-13287</v>
      </c>
      <c r="S95" s="6" t="n">
        <f aca="false">+S97-S117</f>
        <v>-14633</v>
      </c>
      <c r="T95" s="6" t="n">
        <f aca="false">+T97-T117</f>
        <v>-15771</v>
      </c>
      <c r="U95" s="6" t="n">
        <f aca="false">+U97-U117</f>
        <v>-23486</v>
      </c>
      <c r="V95" s="6" t="n">
        <f aca="false">+V97-V117</f>
        <v>-22706</v>
      </c>
      <c r="W95" s="6" t="n">
        <f aca="false">+V95+W60</f>
        <v>-19674.0952</v>
      </c>
      <c r="X95" s="6" t="n">
        <f aca="false">+W95+X60</f>
        <v>-16216.9222112</v>
      </c>
      <c r="Y95" s="6" t="n">
        <f aca="false">+X95+Y60</f>
        <v>-12389.7650444992</v>
      </c>
      <c r="Z95" s="6" t="n">
        <f aca="false">+Y95+Z60</f>
        <v>-7943.84927978718</v>
      </c>
      <c r="AA95" s="6" t="n">
        <f aca="false">+Z95+AA60</f>
        <v>-2922.09333951337</v>
      </c>
      <c r="AB95" s="6" t="n">
        <f aca="false">+AA95+AB60</f>
        <v>2601.16676813015</v>
      </c>
      <c r="AC95" s="6" t="n">
        <f aca="false">+AB95+AC60</f>
        <v>8516.57677979635</v>
      </c>
      <c r="AD95" s="6" t="n">
        <f aca="false">+AC95+AD60</f>
        <v>14837.3059578923</v>
      </c>
      <c r="AE95" s="6" t="n">
        <f aca="false">+AD95+AE60</f>
        <v>22122.5895118271</v>
      </c>
      <c r="AF95" s="6" t="n">
        <f aca="false">+AE95+AF60</f>
        <v>30473.8571777268</v>
      </c>
      <c r="AG95" s="6" t="n">
        <f aca="false">+AF95+AG60</f>
        <v>40001.7514804871</v>
      </c>
      <c r="AL95" s="15"/>
      <c r="AM95" s="15"/>
    </row>
    <row r="96" s="15" customFormat="true" ht="12.8" hidden="false" customHeight="false" outlineLevel="0" collapsed="false">
      <c r="A96" s="3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</row>
    <row r="97" customFormat="false" ht="12.8" hidden="false" customHeight="false" outlineLevel="0" collapsed="false">
      <c r="A97" s="3" t="s">
        <v>5</v>
      </c>
      <c r="B97" s="6" t="n">
        <v>322</v>
      </c>
      <c r="C97" s="6" t="n">
        <v>172</v>
      </c>
      <c r="D97" s="6" t="n">
        <v>614</v>
      </c>
      <c r="E97" s="6" t="n">
        <v>414</v>
      </c>
      <c r="F97" s="6" t="n">
        <v>216</v>
      </c>
      <c r="G97" s="6" t="n">
        <v>440</v>
      </c>
      <c r="H97" s="6" t="n">
        <v>175</v>
      </c>
      <c r="I97" s="6" t="n">
        <v>201</v>
      </c>
      <c r="J97" s="6" t="n">
        <v>158</v>
      </c>
      <c r="K97" s="6" t="n">
        <v>557</v>
      </c>
      <c r="Q97" s="6" t="n">
        <v>553</v>
      </c>
      <c r="R97" s="6" t="n">
        <v>118</v>
      </c>
      <c r="S97" s="6" t="n">
        <v>351</v>
      </c>
      <c r="T97" s="6" t="n">
        <v>458</v>
      </c>
      <c r="U97" s="6" t="n">
        <v>414</v>
      </c>
      <c r="V97" s="6" t="n">
        <v>201</v>
      </c>
      <c r="AL97" s="15"/>
      <c r="AM97" s="15"/>
    </row>
    <row r="98" customFormat="false" ht="12.8" hidden="false" customHeight="false" outlineLevel="0" collapsed="false">
      <c r="A98" s="3" t="s">
        <v>103</v>
      </c>
      <c r="B98" s="6" t="n">
        <v>2530</v>
      </c>
      <c r="C98" s="6" t="n">
        <v>2728</v>
      </c>
      <c r="D98" s="6" t="n">
        <v>2841</v>
      </c>
      <c r="E98" s="6" t="n">
        <v>3272</v>
      </c>
      <c r="F98" s="6" t="n">
        <v>3260</v>
      </c>
      <c r="G98" s="6" t="n">
        <v>2407</v>
      </c>
      <c r="H98" s="6" t="n">
        <v>2297</v>
      </c>
      <c r="I98" s="6" t="n">
        <v>3435</v>
      </c>
      <c r="J98" s="6" t="n">
        <v>3372</v>
      </c>
      <c r="K98" s="6" t="n">
        <v>3495</v>
      </c>
      <c r="Q98" s="6" t="n">
        <v>2097</v>
      </c>
      <c r="R98" s="6" t="n">
        <v>2278</v>
      </c>
      <c r="S98" s="6" t="n">
        <v>2461</v>
      </c>
      <c r="T98" s="6" t="n">
        <v>2633</v>
      </c>
      <c r="U98" s="6" t="n">
        <v>3272</v>
      </c>
      <c r="V98" s="6" t="n">
        <v>3435</v>
      </c>
      <c r="W98" s="6" t="n">
        <f aca="false">+W156/365*W30</f>
        <v>3484.92267123288</v>
      </c>
      <c r="X98" s="6" t="n">
        <f aca="false">+X156/365*X30</f>
        <v>3862.51078356164</v>
      </c>
      <c r="Y98" s="6" t="n">
        <f aca="false">+Y156/365*Y30</f>
        <v>4242.31807463014</v>
      </c>
      <c r="Z98" s="6" t="n">
        <f aca="false">+Z156/365*Z30</f>
        <v>4616.97409745754</v>
      </c>
      <c r="AA98" s="6" t="n">
        <f aca="false">+AA156/365*AA30</f>
        <v>4978.46416097589</v>
      </c>
      <c r="AB98" s="6" t="n">
        <f aca="false">+AB156/365*AB30</f>
        <v>5318.38068018092</v>
      </c>
      <c r="AC98" s="6" t="n">
        <f aca="false">+AC156/365*AC30</f>
        <v>5628.22147116342</v>
      </c>
      <c r="AD98" s="6" t="n">
        <f aca="false">+AD156/365*AD30</f>
        <v>5955.37990755059</v>
      </c>
      <c r="AE98" s="6" t="n">
        <f aca="false">+AE156/365*AE30</f>
        <v>6300.76223982326</v>
      </c>
      <c r="AF98" s="6" t="n">
        <f aca="false">+AF156/365*AF30</f>
        <v>6665.3167370671</v>
      </c>
      <c r="AG98" s="6" t="n">
        <f aca="false">+AG156/365*AG30</f>
        <v>7050.03512894995</v>
      </c>
      <c r="AO98" s="15"/>
      <c r="AP98" s="15"/>
    </row>
    <row r="99" customFormat="false" ht="12.8" hidden="false" customHeight="false" outlineLevel="0" collapsed="false">
      <c r="A99" s="3" t="s">
        <v>104</v>
      </c>
      <c r="B99" s="6" t="n">
        <v>155</v>
      </c>
      <c r="C99" s="6" t="n">
        <v>252</v>
      </c>
      <c r="D99" s="6" t="n">
        <v>284</v>
      </c>
      <c r="E99" s="6" t="n">
        <v>415</v>
      </c>
      <c r="F99" s="6" t="n">
        <v>328</v>
      </c>
      <c r="G99" s="6" t="n">
        <v>524</v>
      </c>
      <c r="H99" s="6" t="n">
        <v>620</v>
      </c>
      <c r="I99" s="6" t="n">
        <v>620</v>
      </c>
      <c r="J99" s="6" t="n">
        <v>592</v>
      </c>
      <c r="K99" s="6" t="n">
        <v>711</v>
      </c>
      <c r="Q99" s="6" t="n">
        <v>527</v>
      </c>
      <c r="R99" s="6" t="n">
        <v>268</v>
      </c>
      <c r="S99" s="6" t="n">
        <v>291</v>
      </c>
      <c r="T99" s="6" t="n">
        <v>237</v>
      </c>
      <c r="U99" s="6" t="n">
        <v>415</v>
      </c>
      <c r="V99" s="6" t="n">
        <v>620</v>
      </c>
      <c r="W99" s="6" t="n">
        <f aca="false">+W30*0.02</f>
        <v>529.284</v>
      </c>
      <c r="X99" s="6" t="n">
        <f aca="false">+X30*0.02</f>
        <v>592.79808</v>
      </c>
      <c r="Y99" s="6" t="n">
        <f aca="false">+Y30*0.02</f>
        <v>658.0058688</v>
      </c>
      <c r="Z99" s="6" t="n">
        <f aca="false">+Z30*0.02</f>
        <v>723.80645568</v>
      </c>
      <c r="AA99" s="6" t="n">
        <f aca="false">+AA30*0.02</f>
        <v>788.9490366912</v>
      </c>
      <c r="AB99" s="6" t="n">
        <f aca="false">+AB30*0.02</f>
        <v>852.064959626497</v>
      </c>
      <c r="AC99" s="6" t="n">
        <f aca="false">+AC30*0.02</f>
        <v>911.709506800351</v>
      </c>
      <c r="AD99" s="6" t="n">
        <f aca="false">+AD30*0.02</f>
        <v>975.529172276376</v>
      </c>
      <c r="AE99" s="6" t="n">
        <f aca="false">+AE30*0.02</f>
        <v>1043.81621433572</v>
      </c>
      <c r="AF99" s="6" t="n">
        <f aca="false">+AF30*0.02</f>
        <v>1116.88334933922</v>
      </c>
      <c r="AG99" s="6" t="n">
        <f aca="false">+AG30*0.02</f>
        <v>1195.06518379297</v>
      </c>
      <c r="AI99" s="15"/>
      <c r="AJ99" s="15"/>
      <c r="AL99" s="15"/>
      <c r="AM99" s="15"/>
    </row>
    <row r="100" customFormat="false" ht="10.5" hidden="false" customHeight="tru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 t="n">
        <f aca="false">+Q99/Q$30</f>
        <v>0.0346300433696938</v>
      </c>
      <c r="R100" s="15" t="n">
        <f aca="false">+R99/R$30</f>
        <v>0.0149461825888127</v>
      </c>
      <c r="S100" s="15" t="n">
        <f aca="false">+S99/S$30</f>
        <v>0.0147730734084679</v>
      </c>
      <c r="T100" s="15" t="n">
        <f aca="false">+T99/T$30</f>
        <v>0.0116028591011456</v>
      </c>
      <c r="U100" s="15" t="n">
        <f aca="false">+U99/U$30</f>
        <v>0.0188097720164982</v>
      </c>
      <c r="V100" s="15" t="n">
        <f aca="false">+V99/V$30</f>
        <v>0.0245992699571497</v>
      </c>
      <c r="W100" s="15" t="n">
        <f aca="false">+W99/W$30</f>
        <v>0.02</v>
      </c>
      <c r="X100" s="15" t="n">
        <f aca="false">+X99/X$30</f>
        <v>0.02</v>
      </c>
      <c r="Y100" s="15" t="n">
        <f aca="false">+Y99/Y$30</f>
        <v>0.02</v>
      </c>
      <c r="Z100" s="15" t="n">
        <f aca="false">+Z99/Z$30</f>
        <v>0.02</v>
      </c>
      <c r="AA100" s="15" t="n">
        <f aca="false">+AA99/AA$30</f>
        <v>0.02</v>
      </c>
      <c r="AB100" s="15" t="n">
        <f aca="false">+AB99/AB$30</f>
        <v>0.02</v>
      </c>
      <c r="AC100" s="15" t="n">
        <f aca="false">+AC99/AC$30</f>
        <v>0.02</v>
      </c>
      <c r="AD100" s="15" t="n">
        <f aca="false">+AD99/AD$30</f>
        <v>0.02</v>
      </c>
      <c r="AE100" s="15" t="n">
        <f aca="false">+AE99/AE$30</f>
        <v>0.02</v>
      </c>
      <c r="AF100" s="15" t="n">
        <f aca="false">+AF99/AF$30</f>
        <v>0.02</v>
      </c>
      <c r="AG100" s="15" t="n">
        <f aca="false">+AG99/AG$30</f>
        <v>0.02</v>
      </c>
      <c r="AH100" s="15"/>
      <c r="AK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</row>
    <row r="101" customFormat="false" ht="12.8" hidden="false" customHeight="false" outlineLevel="0" collapsed="false">
      <c r="A101" s="3" t="s">
        <v>105</v>
      </c>
      <c r="B101" s="6" t="n">
        <v>189</v>
      </c>
      <c r="C101" s="6" t="n">
        <v>183</v>
      </c>
      <c r="D101" s="6" t="n">
        <v>184</v>
      </c>
      <c r="E101" s="6" t="n">
        <v>206</v>
      </c>
      <c r="F101" s="6" t="n">
        <v>218</v>
      </c>
      <c r="G101" s="6" t="n">
        <v>224</v>
      </c>
      <c r="H101" s="6" t="n">
        <v>223</v>
      </c>
      <c r="I101" s="6" t="n">
        <v>225</v>
      </c>
      <c r="J101" s="6" t="n">
        <v>235</v>
      </c>
      <c r="K101" s="6" t="n">
        <v>232</v>
      </c>
      <c r="Q101" s="6" t="n">
        <v>124</v>
      </c>
      <c r="R101" s="6" t="n">
        <v>135</v>
      </c>
      <c r="S101" s="6" t="n">
        <v>164</v>
      </c>
      <c r="T101" s="6" t="n">
        <v>173</v>
      </c>
      <c r="U101" s="6" t="n">
        <v>206</v>
      </c>
      <c r="V101" s="6" t="n">
        <v>225</v>
      </c>
      <c r="W101" s="6" t="n">
        <f aca="false">+W30*0.009</f>
        <v>238.1778</v>
      </c>
      <c r="X101" s="6" t="n">
        <f aca="false">+X30*0.009</f>
        <v>266.759136</v>
      </c>
      <c r="Y101" s="6" t="n">
        <f aca="false">+Y30*0.009</f>
        <v>296.10264096</v>
      </c>
      <c r="Z101" s="6" t="n">
        <f aca="false">+Z30*0.009</f>
        <v>325.712905056</v>
      </c>
      <c r="AA101" s="6" t="n">
        <f aca="false">+AA30*0.009</f>
        <v>355.02706651104</v>
      </c>
      <c r="AB101" s="6" t="n">
        <f aca="false">+AB30*0.009</f>
        <v>383.429231831923</v>
      </c>
      <c r="AC101" s="6" t="n">
        <f aca="false">+AC30*0.009</f>
        <v>410.269278060158</v>
      </c>
      <c r="AD101" s="6" t="n">
        <f aca="false">+AD30*0.009</f>
        <v>438.988127524369</v>
      </c>
      <c r="AE101" s="6" t="n">
        <f aca="false">+AE30*0.009</f>
        <v>469.717296451075</v>
      </c>
      <c r="AF101" s="6" t="n">
        <f aca="false">+AF30*0.009</f>
        <v>502.59750720265</v>
      </c>
      <c r="AG101" s="6" t="n">
        <f aca="false">+AG30*0.009</f>
        <v>537.779332706836</v>
      </c>
      <c r="AI101" s="15"/>
      <c r="AJ101" s="15"/>
    </row>
    <row r="102" customFormat="false" ht="10.5" hidden="false" customHeight="tru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 t="n">
        <f aca="false">+Q101/Q$30</f>
        <v>0.00814824549875148</v>
      </c>
      <c r="R102" s="15" t="n">
        <f aca="false">+R101/R$30</f>
        <v>0.00752886063242429</v>
      </c>
      <c r="S102" s="15" t="n">
        <f aca="false">+S101/S$30</f>
        <v>0.00832571834704031</v>
      </c>
      <c r="T102" s="15" t="n">
        <f aca="false">+T101/T$30</f>
        <v>0.00846959757172231</v>
      </c>
      <c r="U102" s="15" t="n">
        <f aca="false">+U101/U$30</f>
        <v>0.00933689888047863</v>
      </c>
      <c r="V102" s="15" t="n">
        <f aca="false">+V101/V$30</f>
        <v>0.00892715441993335</v>
      </c>
      <c r="W102" s="15" t="n">
        <f aca="false">+W101/W$30</f>
        <v>0.009</v>
      </c>
      <c r="X102" s="15" t="n">
        <f aca="false">+X101/X$30</f>
        <v>0.009</v>
      </c>
      <c r="Y102" s="15" t="n">
        <f aca="false">+Y101/Y$30</f>
        <v>0.009</v>
      </c>
      <c r="Z102" s="15" t="n">
        <f aca="false">+Z101/Z$30</f>
        <v>0.009</v>
      </c>
      <c r="AA102" s="15" t="n">
        <f aca="false">+AA101/AA$30</f>
        <v>0.009</v>
      </c>
      <c r="AB102" s="15" t="n">
        <f aca="false">+AB101/AB$30</f>
        <v>0.009</v>
      </c>
      <c r="AC102" s="15" t="n">
        <f aca="false">+AC101/AC$30</f>
        <v>0.009</v>
      </c>
      <c r="AD102" s="15" t="n">
        <f aca="false">+AD101/AD$30</f>
        <v>0.009</v>
      </c>
      <c r="AE102" s="15" t="n">
        <f aca="false">+AE101/AE$30</f>
        <v>0.009</v>
      </c>
      <c r="AF102" s="15" t="n">
        <f aca="false">+AF101/AF$30</f>
        <v>0.009</v>
      </c>
      <c r="AG102" s="15" t="n">
        <f aca="false">+AG101/AG$30</f>
        <v>0.009</v>
      </c>
      <c r="AH102" s="15"/>
      <c r="AK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</row>
    <row r="103" customFormat="false" ht="12.8" hidden="false" customHeight="false" outlineLevel="0" collapsed="false">
      <c r="A103" s="3" t="s">
        <v>106</v>
      </c>
      <c r="B103" s="6" t="n">
        <v>333</v>
      </c>
      <c r="C103" s="6" t="n">
        <v>1104</v>
      </c>
      <c r="D103" s="6" t="n">
        <v>336</v>
      </c>
      <c r="E103" s="6" t="n">
        <v>467</v>
      </c>
      <c r="F103" s="6" t="n">
        <v>433</v>
      </c>
      <c r="G103" s="6" t="n">
        <v>389</v>
      </c>
      <c r="H103" s="6" t="n">
        <v>424</v>
      </c>
      <c r="I103" s="6" t="n">
        <v>429</v>
      </c>
      <c r="J103" s="6" t="n">
        <v>451</v>
      </c>
      <c r="K103" s="6" t="n">
        <v>402</v>
      </c>
      <c r="Q103" s="6" t="n">
        <v>239</v>
      </c>
      <c r="R103" s="6" t="n">
        <v>270</v>
      </c>
      <c r="S103" s="6" t="n">
        <v>284</v>
      </c>
      <c r="T103" s="6" t="n">
        <v>303</v>
      </c>
      <c r="U103" s="6" t="n">
        <v>467</v>
      </c>
      <c r="V103" s="6" t="n">
        <v>429</v>
      </c>
      <c r="W103" s="6" t="n">
        <f aca="false">+W30*0.02</f>
        <v>529.284</v>
      </c>
      <c r="X103" s="6" t="n">
        <f aca="false">+X30*0.02</f>
        <v>592.79808</v>
      </c>
      <c r="Y103" s="6" t="n">
        <f aca="false">+Y30*0.02</f>
        <v>658.0058688</v>
      </c>
      <c r="Z103" s="6" t="n">
        <f aca="false">+Z30*0.02</f>
        <v>723.80645568</v>
      </c>
      <c r="AA103" s="6" t="n">
        <f aca="false">+AA30*0.02</f>
        <v>788.9490366912</v>
      </c>
      <c r="AB103" s="6" t="n">
        <f aca="false">+AB30*0.02</f>
        <v>852.064959626497</v>
      </c>
      <c r="AC103" s="6" t="n">
        <f aca="false">+AC30*0.02</f>
        <v>911.709506800351</v>
      </c>
      <c r="AD103" s="6" t="n">
        <f aca="false">+AD30*0.02</f>
        <v>975.529172276376</v>
      </c>
      <c r="AE103" s="6" t="n">
        <f aca="false">+AE30*0.02</f>
        <v>1043.81621433572</v>
      </c>
      <c r="AF103" s="6" t="n">
        <f aca="false">+AF30*0.02</f>
        <v>1116.88334933922</v>
      </c>
      <c r="AG103" s="6" t="n">
        <f aca="false">+AG30*0.02</f>
        <v>1195.06518379297</v>
      </c>
      <c r="AI103" s="15"/>
      <c r="AJ103" s="15"/>
    </row>
    <row r="104" customFormat="false" ht="10.5" hidden="false" customHeight="tru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 t="n">
        <f aca="false">+Q103/Q$30</f>
        <v>0.015705086082271</v>
      </c>
      <c r="R104" s="15" t="n">
        <f aca="false">+R103/R$30</f>
        <v>0.0150577212648486</v>
      </c>
      <c r="S104" s="15" t="n">
        <f aca="false">+S103/S$30</f>
        <v>0.01441770738146</v>
      </c>
      <c r="T104" s="15" t="n">
        <f aca="false">+T103/T$30</f>
        <v>0.0148340350533634</v>
      </c>
      <c r="U104" s="15" t="n">
        <f aca="false">+U103/U$30</f>
        <v>0.0211666591125414</v>
      </c>
      <c r="V104" s="15" t="n">
        <f aca="false">+V103/V$30</f>
        <v>0.0170211077606729</v>
      </c>
      <c r="W104" s="15" t="n">
        <f aca="false">+W103/W$30</f>
        <v>0.02</v>
      </c>
      <c r="X104" s="15" t="n">
        <f aca="false">+X103/X$30</f>
        <v>0.02</v>
      </c>
      <c r="Y104" s="15" t="n">
        <f aca="false">+Y103/Y$30</f>
        <v>0.02</v>
      </c>
      <c r="Z104" s="15" t="n">
        <f aca="false">+Z103/Z$30</f>
        <v>0.02</v>
      </c>
      <c r="AA104" s="15" t="n">
        <f aca="false">+AA103/AA$30</f>
        <v>0.02</v>
      </c>
      <c r="AB104" s="15" t="n">
        <f aca="false">+AB103/AB$30</f>
        <v>0.02</v>
      </c>
      <c r="AC104" s="15" t="n">
        <f aca="false">+AC103/AC$30</f>
        <v>0.02</v>
      </c>
      <c r="AD104" s="15" t="n">
        <f aca="false">+AD103/AD$30</f>
        <v>0.02</v>
      </c>
      <c r="AE104" s="15" t="n">
        <f aca="false">+AE103/AE$30</f>
        <v>0.02</v>
      </c>
      <c r="AF104" s="15" t="n">
        <f aca="false">+AF103/AF$30</f>
        <v>0.02</v>
      </c>
      <c r="AG104" s="15" t="n">
        <f aca="false">+AG103/AG$30</f>
        <v>0.02</v>
      </c>
      <c r="AH104" s="15"/>
      <c r="AK104" s="15"/>
      <c r="AN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</row>
    <row r="105" customFormat="false" ht="12.8" hidden="false" customHeight="false" outlineLevel="0" collapsed="false">
      <c r="A105" s="3" t="s">
        <v>107</v>
      </c>
      <c r="B105" s="6" t="n">
        <v>17044</v>
      </c>
      <c r="C105" s="6" t="n">
        <v>17420</v>
      </c>
      <c r="D105" s="6" t="n">
        <v>17931</v>
      </c>
      <c r="E105" s="6" t="n">
        <v>19340</v>
      </c>
      <c r="F105" s="6" t="n">
        <v>19553</v>
      </c>
      <c r="G105" s="6" t="n">
        <v>19963</v>
      </c>
      <c r="H105" s="6" t="n">
        <v>20069</v>
      </c>
      <c r="I105" s="6" t="n">
        <v>20378</v>
      </c>
      <c r="J105" s="6" t="n">
        <v>20335</v>
      </c>
      <c r="K105" s="6" t="n">
        <v>20440</v>
      </c>
      <c r="Q105" s="6" t="n">
        <v>14148</v>
      </c>
      <c r="R105" s="6" t="n">
        <v>14419</v>
      </c>
      <c r="S105" s="6" t="n">
        <v>15719</v>
      </c>
      <c r="T105" s="6" t="n">
        <v>16968</v>
      </c>
      <c r="U105" s="6" t="n">
        <v>19340</v>
      </c>
      <c r="V105" s="6" t="n">
        <v>20378</v>
      </c>
    </row>
    <row r="106" customFormat="false" ht="12.8" hidden="false" customHeight="false" outlineLevel="0" collapsed="false">
      <c r="A106" s="3" t="s">
        <v>108</v>
      </c>
      <c r="B106" s="6" t="n">
        <v>9246</v>
      </c>
      <c r="C106" s="6" t="n">
        <v>9363</v>
      </c>
      <c r="D106" s="6" t="n">
        <v>9822</v>
      </c>
      <c r="E106" s="6" t="n">
        <v>13438</v>
      </c>
      <c r="F106" s="6" t="n">
        <v>13529</v>
      </c>
      <c r="G106" s="6" t="n">
        <v>13886</v>
      </c>
      <c r="H106" s="6" t="n">
        <v>13894</v>
      </c>
      <c r="I106" s="6" t="n">
        <v>13880</v>
      </c>
      <c r="J106" s="6" t="n">
        <v>13873</v>
      </c>
      <c r="K106" s="6" t="n">
        <v>14001</v>
      </c>
      <c r="Q106" s="6" t="n">
        <v>8994</v>
      </c>
      <c r="R106" s="6" t="n">
        <v>9028</v>
      </c>
      <c r="S106" s="6" t="n">
        <v>9323</v>
      </c>
      <c r="T106" s="6" t="n">
        <v>9254</v>
      </c>
      <c r="U106" s="6" t="n">
        <v>13438</v>
      </c>
      <c r="V106" s="6" t="n">
        <v>13880</v>
      </c>
    </row>
    <row r="107" s="15" customFormat="true" ht="12.8" hidden="false" customHeight="false" outlineLevel="0" collapsed="false">
      <c r="A107" s="3" t="s">
        <v>109</v>
      </c>
      <c r="B107" s="6" t="n">
        <v>728</v>
      </c>
      <c r="C107" s="6" t="n">
        <v>753</v>
      </c>
      <c r="D107" s="6" t="n">
        <v>742</v>
      </c>
      <c r="E107" s="6" t="n">
        <v>4188</v>
      </c>
      <c r="F107" s="6" t="n">
        <v>4015</v>
      </c>
      <c r="G107" s="6" t="n">
        <v>3964</v>
      </c>
      <c r="H107" s="6" t="n">
        <v>3873</v>
      </c>
      <c r="I107" s="6" t="n">
        <v>3767</v>
      </c>
      <c r="J107" s="6" t="n">
        <v>3664</v>
      </c>
      <c r="K107" s="6" t="n">
        <v>3641</v>
      </c>
      <c r="L107" s="6"/>
      <c r="M107" s="6"/>
      <c r="N107" s="6"/>
      <c r="O107" s="6"/>
      <c r="P107" s="6"/>
      <c r="Q107" s="6" t="n">
        <v>1024</v>
      </c>
      <c r="R107" s="6" t="n">
        <v>898</v>
      </c>
      <c r="S107" s="6" t="n">
        <v>827</v>
      </c>
      <c r="T107" s="6" t="n">
        <v>759</v>
      </c>
      <c r="U107" s="6" t="n">
        <v>4188</v>
      </c>
      <c r="V107" s="6" t="n">
        <v>3767</v>
      </c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</row>
    <row r="108" customFormat="false" ht="12.8" hidden="false" customHeight="false" outlineLevel="0" collapsed="false">
      <c r="A108" s="3" t="s">
        <v>110</v>
      </c>
      <c r="B108" s="6" t="n">
        <v>524</v>
      </c>
      <c r="C108" s="6" t="n">
        <v>465</v>
      </c>
      <c r="D108" s="6" t="n">
        <v>457</v>
      </c>
      <c r="E108" s="6" t="n">
        <v>413</v>
      </c>
      <c r="F108" s="6" t="n">
        <v>554</v>
      </c>
      <c r="G108" s="6" t="n">
        <v>553</v>
      </c>
      <c r="H108" s="6" t="n">
        <v>541</v>
      </c>
      <c r="I108" s="6" t="n">
        <v>513</v>
      </c>
      <c r="J108" s="6" t="n">
        <v>654</v>
      </c>
      <c r="K108" s="6" t="n">
        <v>648</v>
      </c>
      <c r="Q108" s="6" t="n">
        <v>347</v>
      </c>
      <c r="R108" s="6" t="n">
        <v>348</v>
      </c>
      <c r="S108" s="6" t="n">
        <v>348</v>
      </c>
      <c r="T108" s="6" t="n">
        <v>422</v>
      </c>
      <c r="U108" s="6" t="n">
        <v>413</v>
      </c>
      <c r="V108" s="6" t="n">
        <v>513</v>
      </c>
    </row>
    <row r="109" customFormat="false" ht="12.8" hidden="false" customHeight="false" outlineLevel="0" collapsed="false">
      <c r="A109" s="3" t="s">
        <v>111</v>
      </c>
      <c r="B109" s="6" t="n">
        <v>589</v>
      </c>
      <c r="C109" s="6" t="n">
        <v>552</v>
      </c>
      <c r="D109" s="6" t="n">
        <v>524</v>
      </c>
      <c r="E109" s="6" t="n">
        <v>846</v>
      </c>
      <c r="F109" s="6" t="n">
        <v>824</v>
      </c>
      <c r="G109" s="6" t="n">
        <v>810</v>
      </c>
      <c r="H109" s="6" t="n">
        <v>791</v>
      </c>
      <c r="I109" s="6" t="n">
        <v>779</v>
      </c>
      <c r="J109" s="6" t="n">
        <v>756</v>
      </c>
      <c r="K109" s="6" t="n">
        <v>738</v>
      </c>
      <c r="Q109" s="6" t="n">
        <v>426</v>
      </c>
      <c r="R109" s="6" t="n">
        <v>432</v>
      </c>
      <c r="S109" s="6" t="n">
        <v>578</v>
      </c>
      <c r="T109" s="6" t="n">
        <v>606</v>
      </c>
      <c r="U109" s="6" t="n">
        <v>846</v>
      </c>
      <c r="V109" s="6" t="n">
        <v>779</v>
      </c>
    </row>
    <row r="110" customFormat="false" ht="12.8" hidden="false" customHeight="false" outlineLevel="0" collapsed="false">
      <c r="A110" s="3" t="s">
        <v>112</v>
      </c>
      <c r="B110" s="6" t="n">
        <v>1006</v>
      </c>
      <c r="C110" s="6" t="n">
        <v>1007</v>
      </c>
      <c r="D110" s="6" t="n">
        <v>995</v>
      </c>
      <c r="E110" s="6" t="n">
        <v>1568</v>
      </c>
      <c r="F110" s="6" t="n">
        <v>1556</v>
      </c>
      <c r="G110" s="6" t="n">
        <v>1562</v>
      </c>
      <c r="H110" s="6" t="n">
        <v>1601</v>
      </c>
      <c r="I110" s="6" t="n">
        <v>1608</v>
      </c>
      <c r="J110" s="6" t="n">
        <v>1610</v>
      </c>
      <c r="K110" s="6" t="n">
        <v>1576</v>
      </c>
      <c r="Q110" s="6" t="n">
        <v>866</v>
      </c>
      <c r="R110" s="6" t="n">
        <v>903</v>
      </c>
      <c r="S110" s="6" t="n">
        <v>1021</v>
      </c>
      <c r="T110" s="6" t="n">
        <v>1010</v>
      </c>
      <c r="U110" s="6" t="n">
        <v>1568</v>
      </c>
      <c r="V110" s="6" t="n">
        <v>1608</v>
      </c>
      <c r="AL110" s="15"/>
      <c r="AM110" s="15"/>
    </row>
    <row r="111" customFormat="false" ht="12.8" hidden="false" customHeight="false" outlineLevel="0" collapsed="false">
      <c r="B111" s="6" t="n">
        <f aca="false">+SUM(B97:B110)</f>
        <v>32666</v>
      </c>
      <c r="C111" s="6" t="n">
        <f aca="false">+SUM(C97:C110)</f>
        <v>33999</v>
      </c>
      <c r="D111" s="6" t="n">
        <f aca="false">+SUM(D97:D110)</f>
        <v>34730</v>
      </c>
      <c r="E111" s="6" t="n">
        <f aca="false">+SUM(E97:E110)</f>
        <v>44567</v>
      </c>
      <c r="F111" s="6" t="n">
        <f aca="false">+SUM(F97:F110)</f>
        <v>44486</v>
      </c>
      <c r="G111" s="6" t="n">
        <f aca="false">+SUM(G97:G110)</f>
        <v>44722</v>
      </c>
      <c r="H111" s="6" t="n">
        <f aca="false">+SUM(H97:H110)</f>
        <v>44508</v>
      </c>
      <c r="I111" s="6" t="n">
        <f aca="false">+SUM(I97:I110)</f>
        <v>45835</v>
      </c>
      <c r="J111" s="6" t="n">
        <f aca="false">+SUM(J97:J110)</f>
        <v>45700</v>
      </c>
      <c r="K111" s="6" t="n">
        <f aca="false">+SUM(K97:K110)</f>
        <v>46441</v>
      </c>
      <c r="Q111" s="6" t="n">
        <f aca="false">+SUM(Q97:Q110)</f>
        <v>29345.058483375</v>
      </c>
      <c r="R111" s="6" t="n">
        <f aca="false">+SUM(R97:R110)</f>
        <v>29097.0375327645</v>
      </c>
      <c r="S111" s="6" t="n">
        <f aca="false">+SUM(S97:S110)</f>
        <v>31367.0375164991</v>
      </c>
      <c r="T111" s="6" t="n">
        <f aca="false">+SUM(T97:T110)</f>
        <v>32823.0349064917</v>
      </c>
      <c r="U111" s="6" t="n">
        <f aca="false">+SUM(U97:U110)</f>
        <v>44567.04931333</v>
      </c>
      <c r="V111" s="6" t="n">
        <f aca="false">+SUM(V97:V110)</f>
        <v>45835.0505475321</v>
      </c>
    </row>
    <row r="113" customFormat="false" ht="12.8" hidden="false" customHeight="false" outlineLevel="0" collapsed="false">
      <c r="A113" s="3" t="s">
        <v>113</v>
      </c>
      <c r="B113" s="6" t="n">
        <v>1617</v>
      </c>
      <c r="C113" s="6" t="n">
        <v>1785</v>
      </c>
      <c r="D113" s="6" t="n">
        <v>1853</v>
      </c>
      <c r="E113" s="6" t="n">
        <v>2046</v>
      </c>
      <c r="F113" s="6" t="n">
        <v>1901</v>
      </c>
      <c r="G113" s="6" t="n">
        <v>2025</v>
      </c>
      <c r="H113" s="6" t="n">
        <v>2082</v>
      </c>
      <c r="I113" s="6" t="n">
        <v>1867</v>
      </c>
      <c r="J113" s="6" t="n">
        <v>1803</v>
      </c>
      <c r="K113" s="6" t="n">
        <v>1992</v>
      </c>
      <c r="Q113" s="6" t="n">
        <v>1121</v>
      </c>
      <c r="R113" s="6" t="n">
        <v>1375</v>
      </c>
      <c r="S113" s="6" t="n">
        <v>1766</v>
      </c>
      <c r="T113" s="6" t="n">
        <v>1709</v>
      </c>
      <c r="U113" s="6" t="n">
        <v>2046</v>
      </c>
      <c r="V113" s="6" t="n">
        <v>1867</v>
      </c>
      <c r="W113" s="6" t="n">
        <f aca="false">+W157/365*W32</f>
        <v>2095.32774415454</v>
      </c>
      <c r="X113" s="6" t="n">
        <f aca="false">+X157/365*X32</f>
        <v>2374.95741944203</v>
      </c>
      <c r="Y113" s="6" t="n">
        <f aca="false">+Y157/365*Y32</f>
        <v>2666.59264172591</v>
      </c>
      <c r="Z113" s="6" t="n">
        <f aca="false">+Z157/365*Z32</f>
        <v>2965.68928696557</v>
      </c>
      <c r="AA113" s="6" t="n">
        <f aca="false">+AA157/365*AA32</f>
        <v>3266.87731605052</v>
      </c>
      <c r="AB113" s="6" t="n">
        <f aca="false">+AB157/365*AB32</f>
        <v>3564.0783617798</v>
      </c>
      <c r="AC113" s="6" t="n">
        <f aca="false">+AC157/365*AC32</f>
        <v>3850.67535064818</v>
      </c>
      <c r="AD113" s="6" t="n">
        <f aca="false">+AD157/365*AD32</f>
        <v>4158.59559265353</v>
      </c>
      <c r="AE113" s="6" t="n">
        <f aca="false">+AE157/365*AE32</f>
        <v>4489.32647409634</v>
      </c>
      <c r="AF113" s="6" t="n">
        <f aca="false">+AF157/365*AF32</f>
        <v>4844.45258334626</v>
      </c>
      <c r="AG113" s="6" t="n">
        <f aca="false">+AG157/365*AG32</f>
        <v>5225.66157257386</v>
      </c>
      <c r="AO113" s="15"/>
      <c r="AP113" s="15"/>
    </row>
    <row r="114" customFormat="false" ht="12.8" hidden="false" customHeight="false" outlineLevel="0" collapsed="false">
      <c r="A114" s="3" t="s">
        <v>114</v>
      </c>
      <c r="B114" s="6" t="n">
        <v>1410</v>
      </c>
      <c r="C114" s="6" t="n">
        <v>1525</v>
      </c>
      <c r="D114" s="6" t="n">
        <v>1651</v>
      </c>
      <c r="E114" s="6" t="n">
        <v>2180</v>
      </c>
      <c r="F114" s="6" t="n">
        <v>1807</v>
      </c>
      <c r="G114" s="6" t="n">
        <v>2138</v>
      </c>
      <c r="H114" s="6" t="n">
        <v>2077</v>
      </c>
      <c r="I114" s="6" t="n">
        <v>2211</v>
      </c>
      <c r="J114" s="6" t="n">
        <v>938</v>
      </c>
      <c r="K114" s="6" t="n">
        <v>2114</v>
      </c>
      <c r="Q114" s="6" t="n">
        <v>1342</v>
      </c>
      <c r="R114" s="6" t="n">
        <v>1428</v>
      </c>
      <c r="S114" s="6" t="n">
        <v>1625</v>
      </c>
      <c r="T114" s="6" t="n">
        <v>1605</v>
      </c>
      <c r="U114" s="6" t="n">
        <v>2180</v>
      </c>
      <c r="V114" s="6" t="n">
        <v>2211</v>
      </c>
      <c r="W114" s="6" t="n">
        <f aca="false">+W30*0.09</f>
        <v>2381.778</v>
      </c>
      <c r="X114" s="6" t="n">
        <f aca="false">+X30*0.09</f>
        <v>2667.59136</v>
      </c>
      <c r="Y114" s="6" t="n">
        <f aca="false">+Y30*0.09</f>
        <v>2961.0264096</v>
      </c>
      <c r="Z114" s="6" t="n">
        <f aca="false">+Z30*0.09</f>
        <v>3257.12905056</v>
      </c>
      <c r="AA114" s="6" t="n">
        <f aca="false">+AA30*0.09</f>
        <v>3550.2706651104</v>
      </c>
      <c r="AB114" s="6" t="n">
        <f aca="false">+AB30*0.09</f>
        <v>3834.29231831923</v>
      </c>
      <c r="AC114" s="6" t="n">
        <f aca="false">+AC30*0.09</f>
        <v>4102.69278060158</v>
      </c>
      <c r="AD114" s="6" t="n">
        <f aca="false">+AD30*0.09</f>
        <v>4389.88127524369</v>
      </c>
      <c r="AE114" s="6" t="n">
        <f aca="false">+AE30*0.09</f>
        <v>4697.17296451075</v>
      </c>
      <c r="AF114" s="6" t="n">
        <f aca="false">+AF30*0.09</f>
        <v>5025.9750720265</v>
      </c>
      <c r="AG114" s="6" t="n">
        <f aca="false">+AG30*0.09</f>
        <v>5377.79332706836</v>
      </c>
      <c r="AI114" s="15"/>
      <c r="AJ114" s="15"/>
    </row>
    <row r="115" customFormat="false" ht="10.5" hidden="false" customHeight="tru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 t="n">
        <f aca="false">+Q114/Q$30</f>
        <v>0.0881850440268104</v>
      </c>
      <c r="R115" s="15" t="n">
        <f aca="false">+R114/R$30</f>
        <v>0.0796386146896436</v>
      </c>
      <c r="S115" s="15" t="n">
        <f aca="false">+S114/S$30</f>
        <v>0.0824956848411006</v>
      </c>
      <c r="T115" s="15" t="n">
        <f aca="false">+T114/T$30</f>
        <v>0.0785763242925683</v>
      </c>
      <c r="U115" s="15" t="n">
        <f aca="false">+U114/U$30</f>
        <v>0.0988079590264243</v>
      </c>
      <c r="V115" s="15" t="n">
        <f aca="false">+V114/V$30</f>
        <v>0.087724170766545</v>
      </c>
      <c r="W115" s="15" t="n">
        <f aca="false">+W114/W$30</f>
        <v>0.09</v>
      </c>
      <c r="X115" s="15" t="n">
        <f aca="false">+X114/X$30</f>
        <v>0.09</v>
      </c>
      <c r="Y115" s="15" t="n">
        <f aca="false">+Y114/Y$30</f>
        <v>0.09</v>
      </c>
      <c r="Z115" s="15" t="n">
        <f aca="false">+Z114/Z$30</f>
        <v>0.09</v>
      </c>
      <c r="AA115" s="15" t="n">
        <f aca="false">+AA114/AA$30</f>
        <v>0.09</v>
      </c>
      <c r="AB115" s="15" t="n">
        <f aca="false">+AB114/AB$30</f>
        <v>0.09</v>
      </c>
      <c r="AC115" s="15" t="n">
        <f aca="false">+AC114/AC$30</f>
        <v>0.09</v>
      </c>
      <c r="AD115" s="15" t="n">
        <f aca="false">+AD114/AD$30</f>
        <v>0.09</v>
      </c>
      <c r="AE115" s="15" t="n">
        <f aca="false">+AE114/AE$30</f>
        <v>0.09</v>
      </c>
      <c r="AF115" s="15" t="n">
        <f aca="false">+AF114/AF$30</f>
        <v>0.09</v>
      </c>
      <c r="AG115" s="15" t="n">
        <f aca="false">+AG114/AG$30</f>
        <v>0.09</v>
      </c>
      <c r="AH115" s="15"/>
      <c r="AK115" s="15"/>
      <c r="AN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</row>
    <row r="116" customFormat="false" ht="12.8" hidden="false" customHeight="false" outlineLevel="0" collapsed="false">
      <c r="A116" s="3" t="s">
        <v>115</v>
      </c>
      <c r="B116" s="6" t="n">
        <v>586</v>
      </c>
      <c r="C116" s="6" t="n">
        <v>584</v>
      </c>
      <c r="D116" s="6" t="n">
        <v>599</v>
      </c>
      <c r="E116" s="6" t="n">
        <v>673</v>
      </c>
      <c r="F116" s="6" t="n">
        <v>685</v>
      </c>
      <c r="G116" s="6" t="n">
        <v>689</v>
      </c>
      <c r="H116" s="6" t="n">
        <v>698</v>
      </c>
      <c r="I116" s="6" t="n">
        <v>735</v>
      </c>
      <c r="J116" s="6" t="n">
        <v>764</v>
      </c>
      <c r="K116" s="6" t="n">
        <v>767</v>
      </c>
      <c r="Q116" s="6" t="n">
        <v>539</v>
      </c>
      <c r="R116" s="6" t="n">
        <v>571</v>
      </c>
      <c r="S116" s="6" t="n">
        <v>589</v>
      </c>
      <c r="T116" s="6" t="n">
        <v>578</v>
      </c>
      <c r="U116" s="6" t="n">
        <v>673</v>
      </c>
      <c r="V116" s="6" t="n">
        <v>735</v>
      </c>
    </row>
    <row r="117" customFormat="false" ht="12.8" hidden="false" customHeight="false" outlineLevel="0" collapsed="false">
      <c r="A117" s="3" t="s">
        <v>6</v>
      </c>
      <c r="B117" s="6" t="n">
        <f aca="false">+336+15762</f>
        <v>16098</v>
      </c>
      <c r="C117" s="6" t="n">
        <f aca="false">+242+16501</f>
        <v>16743</v>
      </c>
      <c r="D117" s="6" t="n">
        <f aca="false">+676+15977</f>
        <v>16653</v>
      </c>
      <c r="E117" s="6" t="n">
        <f aca="false">+1359+22541</f>
        <v>23900</v>
      </c>
      <c r="F117" s="6" t="n">
        <f aca="false">+954+22883</f>
        <v>23837</v>
      </c>
      <c r="G117" s="6" t="n">
        <f aca="false">+23056+964</f>
        <v>24020</v>
      </c>
      <c r="H117" s="6" t="n">
        <f aca="false">+880+22482</f>
        <v>23362</v>
      </c>
      <c r="I117" s="6" t="n">
        <f aca="false">+711+22196</f>
        <v>22907</v>
      </c>
      <c r="J117" s="6" t="n">
        <f aca="false">+641+22250</f>
        <v>22891</v>
      </c>
      <c r="K117" s="6" t="n">
        <f aca="false">+22281+1075</f>
        <v>23356</v>
      </c>
      <c r="Q117" s="6" t="n">
        <f aca="false">+551+13259</f>
        <v>13810</v>
      </c>
      <c r="R117" s="6" t="n">
        <f aca="false">+708+12697</f>
        <v>13405</v>
      </c>
      <c r="S117" s="6" t="n">
        <f aca="false">+414+14570</f>
        <v>14984</v>
      </c>
      <c r="T117" s="6" t="n">
        <f aca="false">+334+15895</f>
        <v>16229</v>
      </c>
      <c r="U117" s="6" t="n">
        <f aca="false">+1359+22541</f>
        <v>23900</v>
      </c>
      <c r="V117" s="6" t="n">
        <f aca="false">+711+22196</f>
        <v>22907</v>
      </c>
    </row>
    <row r="118" customFormat="false" ht="12.8" hidden="false" customHeight="false" outlineLevel="0" collapsed="false">
      <c r="A118" s="3" t="s">
        <v>116</v>
      </c>
      <c r="B118" s="6" t="n">
        <v>1880</v>
      </c>
      <c r="C118" s="6" t="n">
        <v>1826</v>
      </c>
      <c r="D118" s="6" t="n">
        <v>1883</v>
      </c>
      <c r="E118" s="6" t="n">
        <v>2815</v>
      </c>
      <c r="F118" s="6" t="n">
        <v>2841</v>
      </c>
      <c r="G118" s="6" t="n">
        <v>2865</v>
      </c>
      <c r="H118" s="6" t="n">
        <v>3025</v>
      </c>
      <c r="I118" s="6" t="n">
        <v>3160</v>
      </c>
      <c r="J118" s="6" t="n">
        <v>3266</v>
      </c>
      <c r="K118" s="6" t="n">
        <v>3307</v>
      </c>
      <c r="Q118" s="6" t="n">
        <v>1806</v>
      </c>
      <c r="R118" s="6" t="n">
        <v>1694</v>
      </c>
      <c r="S118" s="6" t="n">
        <v>1733</v>
      </c>
      <c r="T118" s="6" t="n">
        <v>1826</v>
      </c>
      <c r="U118" s="6" t="n">
        <v>2815</v>
      </c>
      <c r="V118" s="6" t="n">
        <v>3160</v>
      </c>
    </row>
    <row r="119" customFormat="false" ht="12.8" hidden="false" customHeight="false" outlineLevel="0" collapsed="false">
      <c r="A119" s="3" t="s">
        <v>117</v>
      </c>
      <c r="B119" s="6" t="n">
        <v>2912</v>
      </c>
      <c r="C119" s="6" t="n">
        <v>2936</v>
      </c>
      <c r="D119" s="6" t="n">
        <v>2965</v>
      </c>
      <c r="E119" s="6" t="n">
        <v>3048</v>
      </c>
      <c r="F119" s="6" t="n">
        <v>3081</v>
      </c>
      <c r="G119" s="6" t="n">
        <v>3086</v>
      </c>
      <c r="H119" s="6" t="n">
        <v>3132</v>
      </c>
      <c r="I119" s="6" t="n">
        <v>3278</v>
      </c>
      <c r="J119" s="6" t="n">
        <v>3310</v>
      </c>
      <c r="K119" s="6" t="n">
        <v>3325</v>
      </c>
      <c r="Q119" s="6" t="n">
        <v>2222</v>
      </c>
      <c r="R119" s="6" t="n">
        <v>2373</v>
      </c>
      <c r="S119" s="6" t="n">
        <v>2700</v>
      </c>
      <c r="T119" s="6" t="n">
        <v>2888</v>
      </c>
      <c r="U119" s="6" t="n">
        <v>3048</v>
      </c>
      <c r="V119" s="6" t="n">
        <v>3278</v>
      </c>
    </row>
    <row r="120" customFormat="false" ht="12.8" hidden="false" customHeight="false" outlineLevel="0" collapsed="false">
      <c r="A120" s="3" t="s">
        <v>112</v>
      </c>
      <c r="B120" s="6" t="n">
        <v>1085</v>
      </c>
      <c r="C120" s="6" t="n">
        <v>1149</v>
      </c>
      <c r="D120" s="6" t="n">
        <v>1154</v>
      </c>
      <c r="E120" s="6" t="n">
        <v>1651</v>
      </c>
      <c r="F120" s="6" t="n">
        <v>1683</v>
      </c>
      <c r="G120" s="6" t="n">
        <v>1697</v>
      </c>
      <c r="H120" s="6" t="n">
        <v>1712</v>
      </c>
      <c r="I120" s="6" t="n">
        <v>1686</v>
      </c>
      <c r="J120" s="6" t="n">
        <v>1706</v>
      </c>
      <c r="K120" s="6" t="n">
        <v>1654</v>
      </c>
      <c r="Q120" s="6" t="n">
        <v>1051</v>
      </c>
      <c r="R120" s="6" t="n">
        <v>1125</v>
      </c>
      <c r="S120" s="6" t="n">
        <v>1106</v>
      </c>
      <c r="T120" s="6" t="n">
        <v>1092</v>
      </c>
      <c r="U120" s="6" t="n">
        <v>1651</v>
      </c>
      <c r="V120" s="6" t="n">
        <v>1686</v>
      </c>
    </row>
    <row r="121" customFormat="false" ht="12.8" hidden="false" customHeight="false" outlineLevel="0" collapsed="false">
      <c r="A121" s="3" t="s">
        <v>118</v>
      </c>
      <c r="B121" s="6" t="n">
        <f aca="false">+SUM(B113:B120)</f>
        <v>25588</v>
      </c>
      <c r="C121" s="6" t="n">
        <f aca="false">+SUM(C113:C120)</f>
        <v>26548</v>
      </c>
      <c r="D121" s="6" t="n">
        <f aca="false">+SUM(D113:D120)</f>
        <v>26758</v>
      </c>
      <c r="E121" s="6" t="n">
        <f aca="false">+SUM(E113:E120)</f>
        <v>36313</v>
      </c>
      <c r="F121" s="6" t="n">
        <f aca="false">+SUM(F113:F120)</f>
        <v>35835</v>
      </c>
      <c r="G121" s="6" t="n">
        <f aca="false">+SUM(G113:G120)</f>
        <v>36520</v>
      </c>
      <c r="H121" s="6" t="n">
        <f aca="false">+SUM(H113:H120)</f>
        <v>36088</v>
      </c>
      <c r="I121" s="6" t="n">
        <f aca="false">+SUM(I113:I120)</f>
        <v>35844</v>
      </c>
      <c r="J121" s="6" t="n">
        <f aca="false">+SUM(J113:J120)</f>
        <v>34678</v>
      </c>
      <c r="K121" s="6" t="n">
        <f aca="false">+SUM(K113:K120)</f>
        <v>36515</v>
      </c>
      <c r="Q121" s="6" t="n">
        <f aca="false">+SUM(Q113:Q120)</f>
        <v>21891.088185044</v>
      </c>
      <c r="R121" s="6" t="n">
        <f aca="false">+SUM(R113:R120)</f>
        <v>21971.0796386147</v>
      </c>
      <c r="S121" s="6" t="n">
        <f aca="false">+SUM(S113:S120)</f>
        <v>24503.0824956848</v>
      </c>
      <c r="T121" s="6" t="n">
        <f aca="false">+SUM(T113:T120)</f>
        <v>25927.0785763243</v>
      </c>
      <c r="U121" s="6" t="n">
        <f aca="false">+SUM(U113:U120)</f>
        <v>36313.098807959</v>
      </c>
      <c r="V121" s="6" t="n">
        <f aca="false">+SUM(V113:V120)</f>
        <v>35844.0877241708</v>
      </c>
    </row>
    <row r="122" customFormat="false" ht="12.8" hidden="false" customHeight="false" outlineLevel="0" collapsed="false">
      <c r="A122" s="3" t="s">
        <v>119</v>
      </c>
      <c r="B122" s="6" t="n">
        <v>6</v>
      </c>
      <c r="C122" s="6" t="n">
        <v>6</v>
      </c>
      <c r="D122" s="6" t="n">
        <v>6</v>
      </c>
      <c r="E122" s="6" t="n">
        <v>6</v>
      </c>
      <c r="F122" s="6" t="n">
        <v>6</v>
      </c>
      <c r="G122" s="6" t="n">
        <v>6</v>
      </c>
      <c r="H122" s="6" t="n">
        <v>6</v>
      </c>
      <c r="I122" s="6" t="n">
        <v>6</v>
      </c>
      <c r="J122" s="6" t="n">
        <v>6</v>
      </c>
      <c r="K122" s="6" t="n">
        <v>6</v>
      </c>
      <c r="Q122" s="6" t="n">
        <v>6</v>
      </c>
      <c r="R122" s="6" t="n">
        <v>6</v>
      </c>
      <c r="S122" s="6" t="n">
        <v>6</v>
      </c>
      <c r="T122" s="6" t="n">
        <v>6</v>
      </c>
      <c r="U122" s="6" t="n">
        <v>6</v>
      </c>
      <c r="V122" s="6" t="n">
        <v>6</v>
      </c>
    </row>
    <row r="123" customFormat="false" ht="12.8" hidden="false" customHeight="false" outlineLevel="0" collapsed="false">
      <c r="A123" s="3" t="s">
        <v>120</v>
      </c>
      <c r="B123" s="6" t="n">
        <v>5352</v>
      </c>
      <c r="C123" s="6" t="n">
        <v>5433</v>
      </c>
      <c r="D123" s="6" t="n">
        <v>5485</v>
      </c>
      <c r="E123" s="6" t="n">
        <v>5496</v>
      </c>
      <c r="F123" s="6" t="n">
        <v>5515</v>
      </c>
      <c r="G123" s="6" t="n">
        <v>5566</v>
      </c>
      <c r="H123" s="6" t="n">
        <v>5640</v>
      </c>
      <c r="I123" s="6" t="n">
        <v>5676</v>
      </c>
      <c r="J123" s="6" t="n">
        <v>5708</v>
      </c>
      <c r="K123" s="6" t="n">
        <v>5864</v>
      </c>
      <c r="Q123" s="6" t="n">
        <v>5129</v>
      </c>
      <c r="R123" s="6" t="n">
        <v>5169</v>
      </c>
      <c r="S123" s="6" t="n">
        <v>5314</v>
      </c>
      <c r="T123" s="6" t="n">
        <v>5351</v>
      </c>
      <c r="U123" s="6" t="n">
        <v>5496</v>
      </c>
      <c r="V123" s="6" t="n">
        <v>5676</v>
      </c>
    </row>
    <row r="124" customFormat="false" ht="12.8" hidden="false" customHeight="false" outlineLevel="0" collapsed="false">
      <c r="A124" s="3" t="s">
        <v>121</v>
      </c>
      <c r="B124" s="6" t="n">
        <v>14738</v>
      </c>
      <c r="C124" s="6" t="n">
        <v>15104</v>
      </c>
      <c r="D124" s="6" t="n">
        <v>15563</v>
      </c>
      <c r="E124" s="6" t="n">
        <v>15858</v>
      </c>
      <c r="F124" s="6" t="n">
        <v>16160</v>
      </c>
      <c r="G124" s="6" t="n">
        <v>16553</v>
      </c>
      <c r="H124" s="6" t="n">
        <v>16823</v>
      </c>
      <c r="I124" s="6" t="n">
        <v>17232</v>
      </c>
      <c r="J124" s="6" t="n">
        <v>17571</v>
      </c>
      <c r="K124" s="6" t="n">
        <v>17977</v>
      </c>
      <c r="Q124" s="6" t="n">
        <v>11159</v>
      </c>
      <c r="R124" s="6" t="n">
        <v>12004</v>
      </c>
      <c r="S124" s="6" t="n">
        <v>13167</v>
      </c>
      <c r="T124" s="6" t="n">
        <v>14334</v>
      </c>
      <c r="U124" s="6" t="n">
        <v>15858</v>
      </c>
      <c r="V124" s="6" t="n">
        <v>17232</v>
      </c>
    </row>
    <row r="125" customFormat="false" ht="12.8" hidden="false" customHeight="false" outlineLevel="0" collapsed="false">
      <c r="A125" s="3" t="s">
        <v>122</v>
      </c>
      <c r="B125" s="6" t="n">
        <v>-60</v>
      </c>
      <c r="C125" s="6" t="n">
        <v>-73</v>
      </c>
      <c r="D125" s="6" t="n">
        <v>-76</v>
      </c>
      <c r="E125" s="6" t="n">
        <v>-115</v>
      </c>
      <c r="F125" s="6" t="n">
        <v>-87</v>
      </c>
      <c r="G125" s="6" t="n">
        <v>9</v>
      </c>
      <c r="H125" s="6" t="n">
        <v>-31</v>
      </c>
      <c r="I125" s="6" t="n">
        <v>-10</v>
      </c>
      <c r="J125" s="6" t="n">
        <v>-44</v>
      </c>
      <c r="K125" s="6" t="n">
        <v>-71</v>
      </c>
      <c r="Q125" s="6" t="n">
        <v>39</v>
      </c>
      <c r="R125" s="6" t="n">
        <v>17</v>
      </c>
      <c r="S125" s="6" t="n">
        <v>-69</v>
      </c>
      <c r="T125" s="6" t="n">
        <v>-37</v>
      </c>
      <c r="U125" s="6" t="n">
        <v>-115</v>
      </c>
      <c r="V125" s="6" t="n">
        <v>-10</v>
      </c>
    </row>
    <row r="126" customFormat="false" ht="12.8" hidden="false" customHeight="false" outlineLevel="0" collapsed="false">
      <c r="A126" s="3" t="s">
        <v>123</v>
      </c>
      <c r="B126" s="6" t="n">
        <v>-12954</v>
      </c>
      <c r="C126" s="6" t="n">
        <v>-13013</v>
      </c>
      <c r="D126" s="6" t="n">
        <v>-12999</v>
      </c>
      <c r="E126" s="6" t="n">
        <v>-12993</v>
      </c>
      <c r="F126" s="6" t="n">
        <v>-12944</v>
      </c>
      <c r="G126" s="6" t="n">
        <v>-12933</v>
      </c>
      <c r="H126" s="6" t="n">
        <v>-12919</v>
      </c>
      <c r="I126" s="6" t="n">
        <v>-12914</v>
      </c>
      <c r="J126" s="6" t="n">
        <v>-13220</v>
      </c>
      <c r="K126" s="6" t="n">
        <v>-13851</v>
      </c>
      <c r="Q126" s="6" t="n">
        <v>-8881</v>
      </c>
      <c r="R126" s="6" t="n">
        <v>-10072</v>
      </c>
      <c r="S126" s="6" t="n">
        <v>-11569</v>
      </c>
      <c r="T126" s="6" t="n">
        <v>-12751</v>
      </c>
      <c r="U126" s="6" t="n">
        <v>-12993</v>
      </c>
      <c r="V126" s="6" t="n">
        <v>-12914</v>
      </c>
    </row>
    <row r="127" s="15" customFormat="true" ht="12.8" hidden="false" customHeight="false" outlineLevel="0" collapsed="false">
      <c r="A127" s="3" t="s">
        <v>65</v>
      </c>
      <c r="B127" s="6" t="n">
        <v>-4</v>
      </c>
      <c r="C127" s="6" t="n">
        <v>-6</v>
      </c>
      <c r="D127" s="6" t="n">
        <v>-7</v>
      </c>
      <c r="E127" s="6" t="n">
        <v>2</v>
      </c>
      <c r="F127" s="6" t="n">
        <v>1</v>
      </c>
      <c r="G127" s="6" t="n">
        <v>1</v>
      </c>
      <c r="H127" s="6" t="n">
        <v>1</v>
      </c>
      <c r="I127" s="6" t="n">
        <v>1</v>
      </c>
      <c r="J127" s="6" t="n">
        <v>1</v>
      </c>
      <c r="K127" s="6" t="n">
        <v>1</v>
      </c>
      <c r="L127" s="6"/>
      <c r="M127" s="6"/>
      <c r="N127" s="6"/>
      <c r="O127" s="6"/>
      <c r="P127" s="6"/>
      <c r="Q127" s="6" t="n">
        <v>2</v>
      </c>
      <c r="R127" s="6" t="n">
        <v>2</v>
      </c>
      <c r="S127" s="6" t="n">
        <v>15</v>
      </c>
      <c r="T127" s="6" t="n">
        <v>-7</v>
      </c>
      <c r="U127" s="6" t="n">
        <v>2</v>
      </c>
      <c r="V127" s="6" t="n">
        <v>1</v>
      </c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</row>
    <row r="128" customFormat="false" ht="12.8" hidden="false" customHeight="false" outlineLevel="0" collapsed="false">
      <c r="A128" s="3" t="s">
        <v>124</v>
      </c>
      <c r="B128" s="6" t="n">
        <f aca="false">+SUM(B122:B126)</f>
        <v>7082</v>
      </c>
      <c r="C128" s="6" t="n">
        <f aca="false">+SUM(C122:C126)</f>
        <v>7457</v>
      </c>
      <c r="D128" s="6" t="n">
        <f aca="false">+SUM(D122:D126)</f>
        <v>7979</v>
      </c>
      <c r="E128" s="6" t="n">
        <f aca="false">+SUM(E122:E126)</f>
        <v>8252</v>
      </c>
      <c r="F128" s="6" t="n">
        <f aca="false">+SUM(F122:F126)</f>
        <v>8650</v>
      </c>
      <c r="G128" s="6" t="n">
        <f aca="false">+SUM(G122:G126)</f>
        <v>9201</v>
      </c>
      <c r="H128" s="6" t="n">
        <f aca="false">+SUM(H122:H126)</f>
        <v>9519</v>
      </c>
      <c r="I128" s="6" t="n">
        <f aca="false">+SUM(I122:I126)</f>
        <v>9990</v>
      </c>
      <c r="J128" s="6" t="n">
        <f aca="false">+SUM(J122:J126)</f>
        <v>10021</v>
      </c>
      <c r="K128" s="6" t="n">
        <f aca="false">+SUM(K122:K126)</f>
        <v>9925</v>
      </c>
      <c r="Q128" s="6" t="n">
        <f aca="false">+SUM(Q122:Q126)</f>
        <v>7452</v>
      </c>
      <c r="R128" s="6" t="n">
        <f aca="false">+SUM(R122:R126)</f>
        <v>7124</v>
      </c>
      <c r="S128" s="6" t="n">
        <f aca="false">+SUM(S122:S126)</f>
        <v>6849</v>
      </c>
      <c r="T128" s="6" t="n">
        <f aca="false">+SUM(T122:T126)</f>
        <v>6903</v>
      </c>
      <c r="U128" s="6" t="n">
        <f aca="false">+SUM(U122:U126)</f>
        <v>8252</v>
      </c>
      <c r="V128" s="6" t="n">
        <f aca="false">+SUM(V122:V126)</f>
        <v>9990</v>
      </c>
    </row>
    <row r="129" customFormat="false" ht="12.8" hidden="false" customHeight="false" outlineLevel="0" collapsed="false">
      <c r="A129" s="3" t="s">
        <v>125</v>
      </c>
      <c r="B129" s="6" t="n">
        <f aca="false">+B128+B127+B121</f>
        <v>32666</v>
      </c>
      <c r="C129" s="6" t="n">
        <f aca="false">+C128+C127+C121</f>
        <v>33999</v>
      </c>
      <c r="D129" s="6" t="n">
        <f aca="false">+D128+D127+D121</f>
        <v>34730</v>
      </c>
      <c r="E129" s="6" t="n">
        <f aca="false">+E128+E127+E121</f>
        <v>44567</v>
      </c>
      <c r="F129" s="6" t="n">
        <f aca="false">+F128+F127+F121</f>
        <v>44486</v>
      </c>
      <c r="G129" s="6" t="n">
        <f aca="false">+G128+G127+G121</f>
        <v>45722</v>
      </c>
      <c r="H129" s="6" t="n">
        <f aca="false">+H128+H127+H121</f>
        <v>45608</v>
      </c>
      <c r="I129" s="6" t="n">
        <f aca="false">+I128+I127+I121</f>
        <v>45835</v>
      </c>
      <c r="J129" s="6" t="n">
        <f aca="false">+J128+J127+J121</f>
        <v>44700</v>
      </c>
      <c r="K129" s="6" t="n">
        <f aca="false">+K128+K127+K121</f>
        <v>46441</v>
      </c>
      <c r="Q129" s="6" t="n">
        <f aca="false">+Q128+Q127+Q121</f>
        <v>29345.088185044</v>
      </c>
      <c r="R129" s="6" t="n">
        <f aca="false">+R128+R127+R121</f>
        <v>29097.0796386147</v>
      </c>
      <c r="S129" s="6" t="n">
        <f aca="false">+S128+S127+S121</f>
        <v>31367.0824956848</v>
      </c>
      <c r="T129" s="6" t="n">
        <f aca="false">+T128+T127+T121</f>
        <v>32823.0785763243</v>
      </c>
      <c r="U129" s="6" t="n">
        <f aca="false">+U128+U127+U121</f>
        <v>44567.098807959</v>
      </c>
      <c r="V129" s="6" t="n">
        <f aca="false">+V128+V127+V121</f>
        <v>45835.0877241708</v>
      </c>
    </row>
    <row r="130" customFormat="false" ht="12.8" hidden="false" customHeight="false" outlineLevel="0" collapsed="false">
      <c r="AL130" s="15"/>
      <c r="AM130" s="15"/>
    </row>
    <row r="132" customFormat="false" ht="12.8" hidden="false" customHeight="false" outlineLevel="0" collapsed="false">
      <c r="A132" s="3" t="s">
        <v>126</v>
      </c>
      <c r="B132" s="6" t="n">
        <f aca="false">+B56</f>
        <v>707</v>
      </c>
      <c r="C132" s="6" t="n">
        <f aca="false">+C56</f>
        <v>680</v>
      </c>
      <c r="D132" s="6" t="n">
        <f aca="false">+D56</f>
        <v>760</v>
      </c>
      <c r="E132" s="6" t="n">
        <f aca="false">+E56</f>
        <v>598</v>
      </c>
      <c r="F132" s="6" t="n">
        <f aca="false">+F56</f>
        <v>637</v>
      </c>
      <c r="G132" s="6" t="n">
        <f aca="false">+G56</f>
        <v>727</v>
      </c>
      <c r="H132" s="6" t="n">
        <f aca="false">+H56</f>
        <v>603</v>
      </c>
      <c r="I132" s="6" t="n">
        <f aca="false">+I56</f>
        <v>743</v>
      </c>
      <c r="J132" s="6" t="n">
        <f aca="false">+J56</f>
        <v>723</v>
      </c>
      <c r="K132" s="6" t="n">
        <f aca="false">+K56</f>
        <v>786</v>
      </c>
      <c r="Q132" s="6" t="n">
        <f aca="false">+Q56</f>
        <v>1496</v>
      </c>
      <c r="R132" s="6" t="n">
        <f aca="false">+R56</f>
        <v>1817</v>
      </c>
      <c r="S132" s="6" t="n">
        <f aca="false">+S56</f>
        <v>2240</v>
      </c>
      <c r="T132" s="6" t="n">
        <f aca="false">+T56</f>
        <v>2276</v>
      </c>
      <c r="U132" s="6" t="n">
        <f aca="false">+U56</f>
        <v>2745</v>
      </c>
      <c r="V132" s="6" t="n">
        <f aca="false">+V56</f>
        <v>2709</v>
      </c>
    </row>
    <row r="133" customFormat="false" ht="12.8" hidden="false" customHeight="false" outlineLevel="0" collapsed="false">
      <c r="A133" s="3" t="s">
        <v>64</v>
      </c>
      <c r="B133" s="6" t="n">
        <v>707</v>
      </c>
      <c r="C133" s="6" t="n">
        <f aca="false">+1387-B133</f>
        <v>680</v>
      </c>
      <c r="D133" s="6" t="n">
        <f aca="false">+2147-C133-B133</f>
        <v>760</v>
      </c>
      <c r="E133" s="6" t="n">
        <f aca="false">+2745-D133-C133-B133</f>
        <v>598</v>
      </c>
      <c r="F133" s="6" t="n">
        <v>637</v>
      </c>
      <c r="G133" s="6" t="n">
        <f aca="false">+1364-F133</f>
        <v>727</v>
      </c>
      <c r="H133" s="6" t="n">
        <f aca="false">+1967-G133-F133</f>
        <v>603</v>
      </c>
      <c r="I133" s="6" t="n">
        <f aca="false">+2709-H133-G133-F133</f>
        <v>742</v>
      </c>
      <c r="J133" s="6" t="n">
        <v>723</v>
      </c>
      <c r="K133" s="6" t="n">
        <f aca="false">+1509-J133</f>
        <v>786</v>
      </c>
      <c r="Q133" s="6" t="n">
        <v>1496</v>
      </c>
      <c r="R133" s="6" t="n">
        <v>1817</v>
      </c>
      <c r="S133" s="6" t="n">
        <v>2240</v>
      </c>
      <c r="T133" s="6" t="n">
        <v>2276</v>
      </c>
      <c r="U133" s="6" t="n">
        <v>2745</v>
      </c>
      <c r="V133" s="6" t="n">
        <v>2709</v>
      </c>
      <c r="AO133" s="15"/>
      <c r="AP133" s="15"/>
    </row>
    <row r="134" customFormat="false" ht="12.8" hidden="false" customHeight="false" outlineLevel="0" collapsed="false">
      <c r="A134" s="3" t="s">
        <v>55</v>
      </c>
      <c r="B134" s="6" t="n">
        <v>514</v>
      </c>
      <c r="C134" s="6" t="n">
        <f aca="false">+1057-B134</f>
        <v>543</v>
      </c>
      <c r="D134" s="6" t="n">
        <f aca="false">+1615-C134-B134</f>
        <v>558</v>
      </c>
      <c r="E134" s="6" t="n">
        <f aca="false">+2267-D134-C134-B134</f>
        <v>652</v>
      </c>
      <c r="F134" s="6" t="n">
        <v>691</v>
      </c>
      <c r="G134" s="6" t="n">
        <f aca="false">+1435-F134</f>
        <v>744</v>
      </c>
      <c r="H134" s="6" t="n">
        <f aca="false">+2093-G134-F134</f>
        <v>658</v>
      </c>
      <c r="I134" s="6" t="n">
        <f aca="false">+2863-H134-G134-F134</f>
        <v>770</v>
      </c>
      <c r="J134" s="6" t="n">
        <v>735</v>
      </c>
      <c r="K134" s="6" t="n">
        <f aca="false">+1512-J134</f>
        <v>777</v>
      </c>
      <c r="Q134" s="6" t="n">
        <v>1671</v>
      </c>
      <c r="R134" s="6" t="n">
        <v>1999</v>
      </c>
      <c r="S134" s="6" t="n">
        <v>2038</v>
      </c>
      <c r="T134" s="6" t="n">
        <v>2071</v>
      </c>
      <c r="U134" s="6" t="n">
        <v>2267</v>
      </c>
      <c r="V134" s="6" t="n">
        <v>2863</v>
      </c>
      <c r="W134" s="6" t="n">
        <f aca="false">+W30*0.11</f>
        <v>2911.062</v>
      </c>
      <c r="X134" s="6" t="n">
        <f aca="false">+X30*0.11</f>
        <v>3260.38944</v>
      </c>
      <c r="Y134" s="6" t="n">
        <f aca="false">+Y30*0.11</f>
        <v>3619.0322784</v>
      </c>
      <c r="Z134" s="6" t="n">
        <f aca="false">+Z30*0.11</f>
        <v>3980.93550624</v>
      </c>
      <c r="AA134" s="6" t="n">
        <f aca="false">+AA30*0.11</f>
        <v>4339.2197018016</v>
      </c>
      <c r="AB134" s="6" t="n">
        <f aca="false">+AB30*0.11</f>
        <v>4686.35727794573</v>
      </c>
      <c r="AC134" s="6" t="n">
        <f aca="false">+AC30*0.11</f>
        <v>5014.40228740193</v>
      </c>
      <c r="AD134" s="6" t="n">
        <f aca="false">+AD30*0.11</f>
        <v>5365.41044752007</v>
      </c>
      <c r="AE134" s="6" t="n">
        <f aca="false">+AE30*0.11</f>
        <v>5740.98917884647</v>
      </c>
      <c r="AF134" s="6" t="n">
        <f aca="false">+AF30*0.11</f>
        <v>6142.85842136573</v>
      </c>
      <c r="AG134" s="6" t="n">
        <f aca="false">+AG30*0.11</f>
        <v>6572.85851086133</v>
      </c>
      <c r="AI134" s="15"/>
      <c r="AJ134" s="15"/>
    </row>
    <row r="135" customFormat="false" ht="10.5" hidden="false" customHeight="true" outlineLevel="0" collapsed="false">
      <c r="A135" s="15"/>
      <c r="B135" s="15" t="n">
        <f aca="false">+B134/B$30</f>
        <v>0.0996317115720101</v>
      </c>
      <c r="C135" s="15" t="n">
        <f aca="false">+C134/C$30</f>
        <v>0.100518326545724</v>
      </c>
      <c r="D135" s="15" t="n">
        <f aca="false">+D134/D$30</f>
        <v>0.0994829737921198</v>
      </c>
      <c r="E135" s="15" t="n">
        <f aca="false">+E134/E$30</f>
        <v>0.110639742066859</v>
      </c>
      <c r="F135" s="15" t="n">
        <f aca="false">+F134/F$30</f>
        <v>0.114822200066467</v>
      </c>
      <c r="G135" s="15" t="n">
        <f aca="false">+G134/G$30</f>
        <v>0.115707620528771</v>
      </c>
      <c r="H135" s="15" t="n">
        <f aca="false">+H134/H$30</f>
        <v>0.102126338662114</v>
      </c>
      <c r="I135" s="15" t="n">
        <f aca="false">+I134/I$30</f>
        <v>0.121951219512195</v>
      </c>
      <c r="J135" s="15" t="n">
        <f aca="false">+J134/J$30</f>
        <v>0.118034366468604</v>
      </c>
      <c r="K135" s="15" t="n">
        <f aca="false">+K134/K$30</f>
        <v>0.116247755834829</v>
      </c>
      <c r="L135" s="15"/>
      <c r="M135" s="15"/>
      <c r="N135" s="15"/>
      <c r="O135" s="15"/>
      <c r="P135" s="15"/>
      <c r="Q135" s="15" t="n">
        <f aca="false">+Q134/Q$30</f>
        <v>0.109804179261401</v>
      </c>
      <c r="R135" s="15" t="n">
        <f aca="false">+R134/R$30</f>
        <v>0.111482906697898</v>
      </c>
      <c r="S135" s="15" t="n">
        <f aca="false">+S134/S$30</f>
        <v>0.103462280434562</v>
      </c>
      <c r="T135" s="15" t="n">
        <f aca="false">+T134/T$30</f>
        <v>0.101390384803682</v>
      </c>
      <c r="U135" s="15" t="n">
        <f aca="false">+U134/U$30</f>
        <v>0.102751212437112</v>
      </c>
      <c r="V135" s="15" t="n">
        <f aca="false">+V134/V$30</f>
        <v>0.113593080463419</v>
      </c>
      <c r="W135" s="15" t="n">
        <f aca="false">+W134/W$30</f>
        <v>0.11</v>
      </c>
      <c r="X135" s="15" t="n">
        <f aca="false">+X134/X$30</f>
        <v>0.11</v>
      </c>
      <c r="Y135" s="15" t="n">
        <f aca="false">+Y134/Y$30</f>
        <v>0.11</v>
      </c>
      <c r="Z135" s="15" t="n">
        <f aca="false">+Z134/Z$30</f>
        <v>0.11</v>
      </c>
      <c r="AA135" s="15" t="n">
        <f aca="false">+AA134/AA$30</f>
        <v>0.11</v>
      </c>
      <c r="AB135" s="15" t="n">
        <f aca="false">+AB134/AB$30</f>
        <v>0.11</v>
      </c>
      <c r="AC135" s="15" t="n">
        <f aca="false">+AC134/AC$30</f>
        <v>0.11</v>
      </c>
      <c r="AD135" s="15" t="n">
        <f aca="false">+AD134/AD$30</f>
        <v>0.11</v>
      </c>
      <c r="AE135" s="15" t="n">
        <f aca="false">+AE134/AE$30</f>
        <v>0.11</v>
      </c>
      <c r="AF135" s="15" t="n">
        <f aca="false">+AF134/AF$30</f>
        <v>0.11</v>
      </c>
      <c r="AG135" s="15" t="n">
        <f aca="false">+AG134/AG$30</f>
        <v>0.11</v>
      </c>
      <c r="AH135" s="15"/>
      <c r="AK135" s="15"/>
      <c r="AN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</row>
    <row r="136" customFormat="false" ht="12.8" hidden="false" customHeight="false" outlineLevel="0" collapsed="false">
      <c r="A136" s="3" t="s">
        <v>116</v>
      </c>
      <c r="B136" s="6" t="n">
        <v>57</v>
      </c>
      <c r="C136" s="6" t="n">
        <f aca="false">+14-B136</f>
        <v>-43</v>
      </c>
      <c r="D136" s="6" t="n">
        <f aca="false">+65-C136-B136</f>
        <v>51</v>
      </c>
      <c r="E136" s="6" t="n">
        <f aca="false">+124-D136-C136-B136</f>
        <v>59</v>
      </c>
      <c r="F136" s="6" t="n">
        <v>59</v>
      </c>
      <c r="G136" s="6" t="n">
        <f aca="false">+79-F136</f>
        <v>20</v>
      </c>
      <c r="H136" s="6" t="n">
        <f aca="false">+241-G136-F136</f>
        <v>162</v>
      </c>
      <c r="I136" s="6" t="n">
        <f aca="false">+363-H136-G136-F136</f>
        <v>122</v>
      </c>
      <c r="J136" s="6" t="n">
        <v>112</v>
      </c>
      <c r="K136" s="6" t="n">
        <f aca="false">+143-J136</f>
        <v>31</v>
      </c>
      <c r="Q136" s="6" t="n">
        <v>165</v>
      </c>
      <c r="R136" s="6" t="n">
        <v>-77</v>
      </c>
      <c r="S136" s="6" t="n">
        <v>49</v>
      </c>
      <c r="T136" s="6" t="n">
        <v>83</v>
      </c>
      <c r="U136" s="6" t="n">
        <v>124</v>
      </c>
      <c r="V136" s="6" t="n">
        <v>363</v>
      </c>
    </row>
    <row r="137" customFormat="false" ht="12.8" hidden="false" customHeight="false" outlineLevel="0" collapsed="false">
      <c r="A137" s="3" t="s">
        <v>127</v>
      </c>
      <c r="B137" s="6" t="n">
        <v>33</v>
      </c>
      <c r="C137" s="6" t="n">
        <f aca="false">+66-B137</f>
        <v>33</v>
      </c>
      <c r="D137" s="6" t="n">
        <f aca="false">+99-C137-B137</f>
        <v>33</v>
      </c>
      <c r="E137" s="6" t="n">
        <f aca="false">+133-D137-C137-B137</f>
        <v>34</v>
      </c>
      <c r="F137" s="6" t="n">
        <v>0</v>
      </c>
      <c r="G137" s="6" t="n">
        <v>0</v>
      </c>
      <c r="H137" s="6" t="n">
        <f aca="false">+106-G137-F137</f>
        <v>106</v>
      </c>
      <c r="I137" s="6" t="n">
        <f aca="false">+142-H137-G137-F137</f>
        <v>36</v>
      </c>
      <c r="J137" s="6" t="n">
        <v>0</v>
      </c>
      <c r="K137" s="6" t="n">
        <v>0</v>
      </c>
      <c r="Q137" s="6" t="n">
        <v>103</v>
      </c>
      <c r="R137" s="6" t="n">
        <v>111</v>
      </c>
      <c r="S137" s="6" t="n">
        <v>112</v>
      </c>
      <c r="T137" s="6" t="n">
        <v>130</v>
      </c>
      <c r="U137" s="6" t="n">
        <v>133</v>
      </c>
      <c r="V137" s="6" t="n">
        <v>142</v>
      </c>
    </row>
    <row r="138" customFormat="false" ht="12.8" hidden="false" customHeight="false" outlineLevel="0" collapsed="false">
      <c r="A138" s="3" t="s">
        <v>128</v>
      </c>
      <c r="B138" s="6" t="n">
        <v>10</v>
      </c>
      <c r="C138" s="6" t="n">
        <f aca="false">+26-B138</f>
        <v>16</v>
      </c>
      <c r="D138" s="6" t="n">
        <f aca="false">+37-C138-B138</f>
        <v>11</v>
      </c>
      <c r="E138" s="6" t="n">
        <f aca="false">+51-D138-C138-B138</f>
        <v>14</v>
      </c>
      <c r="F138" s="6" t="n">
        <v>19</v>
      </c>
      <c r="G138" s="6" t="n">
        <f aca="false">+43-F138</f>
        <v>24</v>
      </c>
      <c r="H138" s="6" t="n">
        <f aca="false">+61-G138-F138</f>
        <v>18</v>
      </c>
      <c r="I138" s="6" t="n">
        <f aca="false">+93-H138-G138-F138</f>
        <v>32</v>
      </c>
      <c r="J138" s="6" t="n">
        <v>29</v>
      </c>
      <c r="K138" s="6" t="n">
        <f aca="false">+69-J138</f>
        <v>40</v>
      </c>
      <c r="Q138" s="6" t="n">
        <v>54</v>
      </c>
      <c r="R138" s="6" t="n">
        <v>37</v>
      </c>
      <c r="S138" s="6" t="n">
        <v>50</v>
      </c>
      <c r="T138" s="6" t="n">
        <v>56</v>
      </c>
      <c r="U138" s="6" t="n">
        <v>51</v>
      </c>
      <c r="V138" s="6" t="n">
        <v>93</v>
      </c>
    </row>
    <row r="139" customFormat="false" ht="12.8" hidden="false" customHeight="false" outlineLevel="0" collapsed="false">
      <c r="A139" s="3" t="s">
        <v>129</v>
      </c>
      <c r="B139" s="6" t="n">
        <v>30</v>
      </c>
      <c r="C139" s="6" t="n">
        <f aca="false">+57-B139</f>
        <v>27</v>
      </c>
      <c r="D139" s="6" t="n">
        <f aca="false">+84-C139-B139</f>
        <v>27</v>
      </c>
      <c r="E139" s="6" t="n">
        <f aca="false">+118-D139-C139-B139</f>
        <v>34</v>
      </c>
      <c r="F139" s="6" t="n">
        <v>51</v>
      </c>
      <c r="G139" s="6" t="n">
        <f aca="false">+92-F139</f>
        <v>41</v>
      </c>
      <c r="H139" s="6" t="n">
        <f aca="false">+135-G139-F139</f>
        <v>43</v>
      </c>
      <c r="I139" s="6" t="n">
        <f aca="false">+169-H139-G139-F139</f>
        <v>34</v>
      </c>
      <c r="J139" s="6" t="n">
        <v>52</v>
      </c>
      <c r="K139" s="6" t="n">
        <f aca="false">+98-J139</f>
        <v>46</v>
      </c>
      <c r="Q139" s="6" t="n">
        <v>94</v>
      </c>
      <c r="R139" s="6" t="n">
        <v>108</v>
      </c>
      <c r="S139" s="6" t="n">
        <v>84</v>
      </c>
      <c r="T139" s="6" t="n">
        <v>93</v>
      </c>
      <c r="U139" s="6" t="n">
        <v>118</v>
      </c>
      <c r="V139" s="6" t="n">
        <v>169</v>
      </c>
    </row>
    <row r="140" customFormat="false" ht="12.8" hidden="false" customHeight="false" outlineLevel="0" collapsed="false">
      <c r="A140" s="3" t="s">
        <v>130</v>
      </c>
      <c r="B140" s="6" t="n">
        <v>-10</v>
      </c>
      <c r="C140" s="6" t="n">
        <f aca="false">-50-B140</f>
        <v>-40</v>
      </c>
      <c r="D140" s="6" t="n">
        <f aca="false">-72-C140-B140</f>
        <v>-22</v>
      </c>
      <c r="E140" s="6" t="n">
        <f aca="false">-102-D140-C140-B140</f>
        <v>-30</v>
      </c>
      <c r="F140" s="6" t="n">
        <v>-9</v>
      </c>
      <c r="G140" s="6" t="n">
        <f aca="false">-12-F140</f>
        <v>-3</v>
      </c>
      <c r="H140" s="6" t="n">
        <f aca="false">-14-G140-F140</f>
        <v>-2</v>
      </c>
      <c r="I140" s="6" t="n">
        <f aca="false">-21-H140-G140-F140</f>
        <v>-7</v>
      </c>
      <c r="J140" s="6" t="n">
        <v>-1</v>
      </c>
      <c r="K140" s="6" t="n">
        <f aca="false">-6-J140</f>
        <v>-5</v>
      </c>
      <c r="Q140" s="6" t="n">
        <v>-9</v>
      </c>
      <c r="R140" s="6" t="n">
        <v>-25</v>
      </c>
      <c r="S140" s="6" t="n">
        <v>-21</v>
      </c>
      <c r="T140" s="6" t="n">
        <v>-42</v>
      </c>
      <c r="U140" s="6" t="n">
        <v>-102</v>
      </c>
      <c r="V140" s="6" t="n">
        <v>-21</v>
      </c>
    </row>
    <row r="141" customFormat="false" ht="12.8" hidden="false" customHeight="false" outlineLevel="0" collapsed="false">
      <c r="A141" s="3" t="s">
        <v>131</v>
      </c>
      <c r="B141" s="6" t="n">
        <v>-2</v>
      </c>
      <c r="C141" s="6" t="n">
        <f aca="false">+56-B141</f>
        <v>58</v>
      </c>
      <c r="D141" s="6" t="n">
        <f aca="false">+62-C141-B141</f>
        <v>6</v>
      </c>
      <c r="E141" s="6" t="n">
        <f aca="false">+82-D141-C141-B141</f>
        <v>20</v>
      </c>
      <c r="F141" s="6" t="n">
        <v>2</v>
      </c>
      <c r="G141" s="6" t="n">
        <f aca="false">+26-F141</f>
        <v>24</v>
      </c>
      <c r="H141" s="6" t="n">
        <f aca="false">+239-G141-F141</f>
        <v>213</v>
      </c>
      <c r="I141" s="6" t="n">
        <f aca="false">+248-H141-G141-F141</f>
        <v>9</v>
      </c>
      <c r="J141" s="6" t="n">
        <v>-26</v>
      </c>
      <c r="K141" s="6" t="n">
        <f aca="false">-16-J141</f>
        <v>10</v>
      </c>
      <c r="Q141" s="6" t="n">
        <v>43</v>
      </c>
      <c r="R141" s="6" t="n">
        <v>-16</v>
      </c>
      <c r="S141" s="6" t="n">
        <v>62</v>
      </c>
      <c r="T141" s="6" t="n">
        <v>243</v>
      </c>
      <c r="U141" s="6" t="n">
        <v>82</v>
      </c>
      <c r="V141" s="6" t="n">
        <v>248</v>
      </c>
    </row>
    <row r="142" customFormat="false" ht="12.8" hidden="false" customHeight="false" outlineLevel="0" collapsed="false">
      <c r="A142" s="3" t="s">
        <v>132</v>
      </c>
      <c r="B142" s="6" t="n">
        <v>19</v>
      </c>
      <c r="C142" s="6" t="n">
        <f aca="false">-3-B142</f>
        <v>-22</v>
      </c>
      <c r="D142" s="6" t="n">
        <f aca="false">-4-C142-B142</f>
        <v>-1</v>
      </c>
      <c r="E142" s="6" t="n">
        <f aca="false">-4-D142-C142-B142</f>
        <v>0</v>
      </c>
      <c r="F142" s="6" t="n">
        <v>0</v>
      </c>
      <c r="G142" s="6" t="n">
        <v>0</v>
      </c>
      <c r="H142" s="6" t="n">
        <f aca="false">-11-G142-F142</f>
        <v>-11</v>
      </c>
      <c r="I142" s="6" t="n">
        <f aca="false">-10-H142-G142-F142</f>
        <v>1</v>
      </c>
      <c r="J142" s="6" t="n">
        <v>0</v>
      </c>
      <c r="K142" s="6" t="n">
        <v>0</v>
      </c>
      <c r="Q142" s="6" t="n">
        <f aca="false">+60+53</f>
        <v>113</v>
      </c>
      <c r="R142" s="6" t="n">
        <f aca="false">+38+220</f>
        <v>258</v>
      </c>
      <c r="S142" s="6" t="n">
        <v>67</v>
      </c>
      <c r="T142" s="6" t="n">
        <v>60</v>
      </c>
      <c r="U142" s="6" t="n">
        <v>-4</v>
      </c>
      <c r="V142" s="6" t="n">
        <v>-10</v>
      </c>
    </row>
    <row r="143" s="15" customFormat="true" ht="12.8" hidden="false" customHeight="false" outlineLevel="0" collapsed="false">
      <c r="A143" s="3" t="s">
        <v>103</v>
      </c>
      <c r="B143" s="6" t="n">
        <v>176</v>
      </c>
      <c r="C143" s="6" t="n">
        <f aca="false">-127-B143</f>
        <v>-303</v>
      </c>
      <c r="D143" s="6" t="n">
        <f aca="false">-230-C143-B143</f>
        <v>-103</v>
      </c>
      <c r="E143" s="6" t="n">
        <f aca="false">-313-D143-C143-B143</f>
        <v>-83</v>
      </c>
      <c r="F143" s="6" t="n">
        <v>51</v>
      </c>
      <c r="G143" s="6" t="n">
        <f aca="false">-323-F143</f>
        <v>-374</v>
      </c>
      <c r="H143" s="6" t="n">
        <f aca="false">-453-G143-F143</f>
        <v>-130</v>
      </c>
      <c r="I143" s="6" t="n">
        <f aca="false">-511-H143-G143-F143</f>
        <v>-58</v>
      </c>
      <c r="J143" s="6" t="n">
        <v>30</v>
      </c>
      <c r="K143" s="6" t="n">
        <f aca="false">-224-J143</f>
        <v>-254</v>
      </c>
      <c r="L143" s="6"/>
      <c r="M143" s="6"/>
      <c r="N143" s="6"/>
      <c r="O143" s="6"/>
      <c r="P143" s="6"/>
      <c r="Q143" s="6" t="n">
        <v>-179</v>
      </c>
      <c r="R143" s="6" t="n">
        <v>28</v>
      </c>
      <c r="S143" s="6" t="n">
        <v>-329</v>
      </c>
      <c r="T143" s="6" t="n">
        <v>-161</v>
      </c>
      <c r="U143" s="6" t="n">
        <v>-323</v>
      </c>
      <c r="V143" s="6" t="n">
        <v>-511</v>
      </c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</row>
    <row r="144" s="18" customFormat="true" ht="12.8" hidden="false" customHeight="false" outlineLevel="0" collapsed="false">
      <c r="A144" s="3" t="s">
        <v>106</v>
      </c>
      <c r="B144" s="6" t="n">
        <v>-45</v>
      </c>
      <c r="C144" s="6" t="n">
        <f aca="false">-30-B144</f>
        <v>15</v>
      </c>
      <c r="D144" s="6" t="n">
        <f aca="false">-38-C144-B144</f>
        <v>-8</v>
      </c>
      <c r="E144" s="6" t="n">
        <f aca="false">+40-D144-C144-B144</f>
        <v>78</v>
      </c>
      <c r="F144" s="6" t="n">
        <v>-91</v>
      </c>
      <c r="G144" s="6" t="n">
        <f aca="false">-52-F144</f>
        <v>39</v>
      </c>
      <c r="H144" s="6" t="n">
        <f aca="false">-75-G144-F144</f>
        <v>-23</v>
      </c>
      <c r="I144" s="6" t="n">
        <f aca="false">-49-H144-G144-F144</f>
        <v>26</v>
      </c>
      <c r="J144" s="6" t="n">
        <v>-46</v>
      </c>
      <c r="K144" s="6" t="n">
        <f aca="false">+3-J144</f>
        <v>49</v>
      </c>
      <c r="L144" s="6"/>
      <c r="M144" s="6"/>
      <c r="N144" s="6"/>
      <c r="O144" s="6"/>
      <c r="P144" s="6"/>
      <c r="Q144" s="6" t="n">
        <v>10</v>
      </c>
      <c r="R144" s="6" t="n">
        <v>-39</v>
      </c>
      <c r="S144" s="6" t="n">
        <v>-35</v>
      </c>
      <c r="T144" s="6" t="n">
        <v>-2</v>
      </c>
      <c r="U144" s="6" t="n">
        <v>40</v>
      </c>
      <c r="V144" s="6" t="n">
        <v>-49</v>
      </c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</row>
    <row r="145" s="15" customFormat="true" ht="12.8" hidden="false" customHeight="false" outlineLevel="0" collapsed="false">
      <c r="A145" s="3" t="s">
        <v>133</v>
      </c>
      <c r="B145" s="6" t="n">
        <v>-4</v>
      </c>
      <c r="C145" s="6" t="n">
        <f aca="false">+63-B145</f>
        <v>67</v>
      </c>
      <c r="D145" s="6" t="n">
        <f aca="false">+93-C145-B145</f>
        <v>30</v>
      </c>
      <c r="E145" s="6" t="n">
        <f aca="false">+181-D145-C145-B145</f>
        <v>88</v>
      </c>
      <c r="F145" s="6" t="n">
        <v>56</v>
      </c>
      <c r="G145" s="6" t="n">
        <f aca="false">+134-F145</f>
        <v>78</v>
      </c>
      <c r="H145" s="6" t="n">
        <f aca="false">+176-G145-F145</f>
        <v>42</v>
      </c>
      <c r="I145" s="6" t="n">
        <f aca="false">+225-H145-G145-F145</f>
        <v>49</v>
      </c>
      <c r="J145" s="6" t="n">
        <v>67</v>
      </c>
      <c r="K145" s="6" t="n">
        <f aca="false">+127-J145</f>
        <v>60</v>
      </c>
      <c r="L145" s="6"/>
      <c r="M145" s="6"/>
      <c r="N145" s="6"/>
      <c r="O145" s="6"/>
      <c r="P145" s="6"/>
      <c r="Q145" s="6" t="n">
        <v>53</v>
      </c>
      <c r="R145" s="6" t="n">
        <v>34</v>
      </c>
      <c r="S145" s="6" t="n">
        <v>42</v>
      </c>
      <c r="T145" s="6" t="n">
        <v>61</v>
      </c>
      <c r="U145" s="6" t="n">
        <v>181</v>
      </c>
      <c r="V145" s="6" t="n">
        <v>225</v>
      </c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</row>
    <row r="146" customFormat="false" ht="12.8" hidden="false" customHeight="false" outlineLevel="0" collapsed="false">
      <c r="A146" s="3" t="s">
        <v>113</v>
      </c>
      <c r="B146" s="6" t="n">
        <v>-102</v>
      </c>
      <c r="C146" s="6" t="n">
        <f aca="false">+85-B146</f>
        <v>187</v>
      </c>
      <c r="D146" s="6" t="n">
        <f aca="false">+149-C146-B146</f>
        <v>64</v>
      </c>
      <c r="E146" s="6" t="n">
        <f aca="false">+281-D146-C146-B146</f>
        <v>132</v>
      </c>
      <c r="F146" s="6" t="n">
        <v>-287</v>
      </c>
      <c r="G146" s="6" t="n">
        <f aca="false">+42-F146</f>
        <v>329</v>
      </c>
      <c r="H146" s="6" t="n">
        <f aca="false">+35-G146-F146</f>
        <v>-7</v>
      </c>
      <c r="I146" s="6" t="n">
        <f aca="false">+41-H146-G146-F146</f>
        <v>6</v>
      </c>
      <c r="J146" s="6" t="n">
        <v>-178</v>
      </c>
      <c r="K146" s="6" t="n">
        <f aca="false">+134-J146</f>
        <v>312</v>
      </c>
      <c r="Q146" s="6" t="n">
        <v>-37</v>
      </c>
      <c r="R146" s="6" t="n">
        <v>206</v>
      </c>
      <c r="S146" s="6" t="n">
        <v>393</v>
      </c>
      <c r="T146" s="6" t="n">
        <v>90</v>
      </c>
      <c r="U146" s="6" t="n">
        <v>281</v>
      </c>
      <c r="V146" s="6" t="n">
        <v>41</v>
      </c>
      <c r="AL146" s="15"/>
      <c r="AM146" s="15"/>
    </row>
    <row r="147" customFormat="false" ht="12.8" hidden="false" customHeight="false" outlineLevel="0" collapsed="false">
      <c r="A147" s="3" t="s">
        <v>115</v>
      </c>
      <c r="B147" s="6" t="n">
        <v>-16</v>
      </c>
      <c r="C147" s="6" t="n">
        <f aca="false">-80-B147</f>
        <v>-64</v>
      </c>
      <c r="D147" s="6" t="n">
        <f aca="false">-128-C147-B147</f>
        <v>-48</v>
      </c>
      <c r="E147" s="6" t="n">
        <f aca="false">-213-D147-C147-B147</f>
        <v>-85</v>
      </c>
      <c r="F147" s="6" t="n">
        <v>29</v>
      </c>
      <c r="G147" s="6" t="n">
        <f aca="false">-75-F147</f>
        <v>-104</v>
      </c>
      <c r="H147" s="6" t="n">
        <f aca="false">-155-G147-F147</f>
        <v>-80</v>
      </c>
      <c r="I147" s="6" t="n">
        <f aca="false">-219-H147-G147-F147</f>
        <v>-64</v>
      </c>
      <c r="J147" s="6" t="n">
        <v>4</v>
      </c>
      <c r="K147" s="6" t="n">
        <f aca="false">-122-J147</f>
        <v>-126</v>
      </c>
      <c r="Q147" s="6" t="n">
        <v>-174</v>
      </c>
      <c r="R147" s="6" t="n">
        <v>-103</v>
      </c>
      <c r="S147" s="6" t="n">
        <v>-216</v>
      </c>
      <c r="T147" s="6" t="n">
        <v>-239</v>
      </c>
      <c r="U147" s="6" t="n">
        <v>-213</v>
      </c>
      <c r="V147" s="6" t="n">
        <v>-219</v>
      </c>
      <c r="AL147" s="18"/>
      <c r="AM147" s="18"/>
    </row>
    <row r="148" customFormat="false" ht="12.8" hidden="false" customHeight="false" outlineLevel="0" collapsed="false">
      <c r="A148" s="3" t="s">
        <v>134</v>
      </c>
      <c r="B148" s="6" t="n">
        <f aca="false">+SUM(B133:B147)</f>
        <v>1367.09963171157</v>
      </c>
      <c r="C148" s="6" t="n">
        <f aca="false">+SUM(C133:C147)</f>
        <v>1154.10051832655</v>
      </c>
      <c r="D148" s="6" t="n">
        <f aca="false">+SUM(D133:D147)</f>
        <v>1358.09948297379</v>
      </c>
      <c r="E148" s="6" t="n">
        <f aca="false">+SUM(E133:E147)</f>
        <v>1511.11063974207</v>
      </c>
      <c r="F148" s="6" t="n">
        <f aca="false">+SUM(F133:F147)</f>
        <v>1208.11482220007</v>
      </c>
      <c r="G148" s="6" t="n">
        <f aca="false">+SUM(G133:G147)</f>
        <v>1545.11570762053</v>
      </c>
      <c r="H148" s="6" t="n">
        <f aca="false">+SUM(H133:H147)</f>
        <v>1592.10212633866</v>
      </c>
      <c r="I148" s="6" t="n">
        <f aca="false">+SUM(I133:I147)</f>
        <v>1698.12195121951</v>
      </c>
      <c r="J148" s="6" t="n">
        <f aca="false">+SUM(J133:J147)</f>
        <v>1501.11803436647</v>
      </c>
      <c r="K148" s="6" t="n">
        <f aca="false">+SUM(K133:K147)</f>
        <v>1726.11624775583</v>
      </c>
      <c r="Q148" s="6" t="n">
        <f aca="false">+SUM(Q133:Q147)</f>
        <v>3403.10980417926</v>
      </c>
      <c r="R148" s="6" t="n">
        <f aca="false">+SUM(R133:R147)</f>
        <v>4338.1114829067</v>
      </c>
      <c r="S148" s="6" t="n">
        <f aca="false">+SUM(S133:S147)</f>
        <v>4536.10346228043</v>
      </c>
      <c r="T148" s="6" t="n">
        <f aca="false">+SUM(T133:T147)</f>
        <v>4719.1013903848</v>
      </c>
      <c r="U148" s="6" t="n">
        <f aca="false">+SUM(U133:U147)</f>
        <v>5380.10275121244</v>
      </c>
      <c r="V148" s="6" t="n">
        <f aca="false">+SUM(V133:V147)</f>
        <v>6043.11359308046</v>
      </c>
      <c r="AL148" s="15"/>
      <c r="AM148" s="15"/>
    </row>
    <row r="149" customFormat="false" ht="12.8" hidden="false" customHeight="false" outlineLevel="0" collapsed="false">
      <c r="K149" s="6" t="n">
        <f aca="false">+3227-J148</f>
        <v>1725.88196563353</v>
      </c>
      <c r="AO149" s="15"/>
      <c r="AP149" s="15"/>
    </row>
    <row r="150" customFormat="false" ht="12.8" hidden="false" customHeight="false" outlineLevel="0" collapsed="false">
      <c r="A150" s="3" t="s">
        <v>135</v>
      </c>
      <c r="B150" s="6" t="n">
        <v>668</v>
      </c>
      <c r="C150" s="6" t="n">
        <f aca="false">+1335-B150</f>
        <v>667</v>
      </c>
      <c r="D150" s="6" t="n">
        <f aca="false">+2116-C150-B150</f>
        <v>781</v>
      </c>
      <c r="E150" s="6" t="n">
        <f aca="false">+3231-D150-C150-B150</f>
        <v>1115</v>
      </c>
      <c r="F150" s="6" t="n">
        <v>831</v>
      </c>
      <c r="G150" s="6" t="n">
        <f aca="false">+1563-F150</f>
        <v>732</v>
      </c>
      <c r="H150" s="6" t="n">
        <f aca="false">+2339-G150-F150</f>
        <v>776</v>
      </c>
      <c r="I150" s="6" t="n">
        <f aca="false">+3227-H150-G150-F150</f>
        <v>888</v>
      </c>
      <c r="J150" s="6" t="n">
        <v>650</v>
      </c>
      <c r="K150" s="6" t="n">
        <f aca="false">+1280-J150</f>
        <v>630</v>
      </c>
      <c r="Q150" s="6" t="n">
        <v>1632</v>
      </c>
      <c r="R150" s="6" t="n">
        <v>1904</v>
      </c>
      <c r="S150" s="6" t="n">
        <v>2587</v>
      </c>
      <c r="T150" s="6" t="n">
        <v>2895</v>
      </c>
      <c r="U150" s="6" t="n">
        <f aca="false">+3231</f>
        <v>3231</v>
      </c>
      <c r="V150" s="6" t="n">
        <f aca="false">+3227</f>
        <v>3227</v>
      </c>
      <c r="W150" s="6" t="n">
        <f aca="false">+W30*0.12</f>
        <v>3175.704</v>
      </c>
      <c r="X150" s="6" t="n">
        <f aca="false">+X30*0.12</f>
        <v>3556.78848</v>
      </c>
      <c r="Y150" s="6" t="n">
        <f aca="false">+Y30*0.12</f>
        <v>3948.0352128</v>
      </c>
      <c r="Z150" s="6" t="n">
        <f aca="false">+Z30*0.12</f>
        <v>4342.83873408</v>
      </c>
      <c r="AA150" s="6" t="n">
        <f aca="false">+AA30*0.12</f>
        <v>4733.6942201472</v>
      </c>
      <c r="AB150" s="6" t="n">
        <f aca="false">+AB30*0.12</f>
        <v>5112.38975775898</v>
      </c>
      <c r="AC150" s="6" t="n">
        <f aca="false">+AC30*0.12</f>
        <v>5470.25704080211</v>
      </c>
      <c r="AD150" s="6" t="n">
        <f aca="false">+AD30*0.12</f>
        <v>5853.17503365826</v>
      </c>
      <c r="AE150" s="6" t="n">
        <f aca="false">+AE30*0.12</f>
        <v>6262.89728601433</v>
      </c>
      <c r="AF150" s="6" t="n">
        <f aca="false">+AF30*0.12</f>
        <v>6701.30009603534</v>
      </c>
      <c r="AG150" s="6" t="n">
        <f aca="false">+AG30*0.12</f>
        <v>7170.39110275781</v>
      </c>
      <c r="AI150" s="15"/>
      <c r="AJ150" s="15"/>
      <c r="AO150" s="18"/>
      <c r="AP150" s="18"/>
    </row>
    <row r="151" customFormat="false" ht="10.5" hidden="false" customHeight="true" outlineLevel="0" collapsed="false">
      <c r="A151" s="15"/>
      <c r="B151" s="15"/>
      <c r="C151" s="15"/>
      <c r="D151" s="15"/>
      <c r="E151" s="15"/>
      <c r="F151" s="15" t="n">
        <f aca="false">+F150/B150-1</f>
        <v>0.244011976047904</v>
      </c>
      <c r="G151" s="15" t="n">
        <f aca="false">+G150/C150-1</f>
        <v>0.0974512743628186</v>
      </c>
      <c r="H151" s="15" t="n">
        <f aca="false">+H150/D150-1</f>
        <v>-0.00640204865556981</v>
      </c>
      <c r="I151" s="15" t="n">
        <f aca="false">+I150/E150-1</f>
        <v>-0.203587443946188</v>
      </c>
      <c r="J151" s="15" t="n">
        <f aca="false">+J150/F150-1</f>
        <v>-0.217809867629362</v>
      </c>
      <c r="K151" s="15" t="n">
        <f aca="false">+K150/G150-1</f>
        <v>-0.139344262295082</v>
      </c>
      <c r="L151" s="15"/>
      <c r="M151" s="15"/>
      <c r="N151" s="15"/>
      <c r="O151" s="15"/>
      <c r="P151" s="15"/>
      <c r="Q151" s="15" t="n">
        <f aca="false">+Q150/Q$30</f>
        <v>0.107241424628729</v>
      </c>
      <c r="R151" s="15" t="n">
        <f aca="false">+R150/R$30</f>
        <v>0.106184819586192</v>
      </c>
      <c r="S151" s="15" t="n">
        <f aca="false">+S150/S$30</f>
        <v>0.131333130267032</v>
      </c>
      <c r="T151" s="15" t="n">
        <f aca="false">+T150/T$30</f>
        <v>0.141731126995006</v>
      </c>
      <c r="U151" s="15" t="n">
        <f aca="false">+U150/U$30</f>
        <v>0.146444273217604</v>
      </c>
      <c r="V151" s="15" t="n">
        <f aca="false">+V150/V$30</f>
        <v>0.128035232502777</v>
      </c>
      <c r="W151" s="15" t="n">
        <f aca="false">+W150/W$30</f>
        <v>0.12</v>
      </c>
      <c r="X151" s="15" t="n">
        <f aca="false">+X150/X$30</f>
        <v>0.12</v>
      </c>
      <c r="Y151" s="15" t="n">
        <f aca="false">+Y150/Y$30</f>
        <v>0.12</v>
      </c>
      <c r="Z151" s="15" t="n">
        <f aca="false">+Z150/Z$30</f>
        <v>0.12</v>
      </c>
      <c r="AA151" s="15" t="n">
        <f aca="false">+AA150/AA$30</f>
        <v>0.12</v>
      </c>
      <c r="AB151" s="15" t="n">
        <f aca="false">+AB150/AB$30</f>
        <v>0.12</v>
      </c>
      <c r="AC151" s="15" t="n">
        <f aca="false">+AC150/AC$30</f>
        <v>0.12</v>
      </c>
      <c r="AD151" s="15" t="n">
        <f aca="false">+AD150/AD$30</f>
        <v>0.12</v>
      </c>
      <c r="AE151" s="15" t="n">
        <f aca="false">+AE150/AE$30</f>
        <v>0.12</v>
      </c>
      <c r="AF151" s="15" t="n">
        <f aca="false">+AF150/AF$30</f>
        <v>0.12</v>
      </c>
      <c r="AG151" s="15" t="n">
        <f aca="false">+AG150/AG$30</f>
        <v>0.12</v>
      </c>
      <c r="AH151" s="15"/>
      <c r="AI151" s="18"/>
      <c r="AJ151" s="18"/>
      <c r="AK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</row>
    <row r="152" customFormat="false" ht="12.8" hidden="false" customHeight="false" outlineLevel="0" collapsed="false">
      <c r="A152" s="17" t="s">
        <v>136</v>
      </c>
      <c r="B152" s="18" t="n">
        <f aca="false">+B148-B150</f>
        <v>699.099631711572</v>
      </c>
      <c r="C152" s="18" t="n">
        <f aca="false">+C148-C150</f>
        <v>487.100518326546</v>
      </c>
      <c r="D152" s="18" t="n">
        <f aca="false">+D148-D150</f>
        <v>577.099482973792</v>
      </c>
      <c r="E152" s="18" t="n">
        <f aca="false">+E148-E150</f>
        <v>396.110639742067</v>
      </c>
      <c r="F152" s="18" t="n">
        <f aca="false">+F148-F150</f>
        <v>377.114822200067</v>
      </c>
      <c r="G152" s="18" t="n">
        <f aca="false">+G148-G150</f>
        <v>813.115707620529</v>
      </c>
      <c r="H152" s="18" t="n">
        <f aca="false">+H148-H150</f>
        <v>816.102126338662</v>
      </c>
      <c r="I152" s="18" t="n">
        <f aca="false">+I148-I150</f>
        <v>810.121951219512</v>
      </c>
      <c r="J152" s="18" t="n">
        <f aca="false">+J148-J150</f>
        <v>851.118034366469</v>
      </c>
      <c r="K152" s="18" t="n">
        <f aca="false">+K148-K150</f>
        <v>1096.11624775583</v>
      </c>
      <c r="L152" s="18"/>
      <c r="M152" s="18"/>
      <c r="N152" s="18"/>
      <c r="O152" s="18"/>
      <c r="P152" s="18"/>
      <c r="Q152" s="18" t="n">
        <f aca="false">+Q148-Q150</f>
        <v>1771.10980417926</v>
      </c>
      <c r="R152" s="18" t="n">
        <f aca="false">+R148-R150</f>
        <v>2434.1114829067</v>
      </c>
      <c r="S152" s="18" t="n">
        <f aca="false">+S148-S150</f>
        <v>1949.10346228043</v>
      </c>
      <c r="T152" s="18" t="n">
        <f aca="false">+T148-T150</f>
        <v>1824.1013903848</v>
      </c>
      <c r="U152" s="18" t="n">
        <f aca="false">+U148-U150</f>
        <v>2149.10275121244</v>
      </c>
      <c r="V152" s="18" t="n">
        <f aca="false">+V148-V150</f>
        <v>2816.11359308046</v>
      </c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5"/>
      <c r="AJ152" s="15"/>
      <c r="AK152" s="18"/>
      <c r="AN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</row>
    <row r="153" customFormat="false" ht="10.5" hidden="false" customHeight="true" outlineLevel="0" collapsed="false">
      <c r="A153" s="15"/>
      <c r="B153" s="15"/>
      <c r="C153" s="15"/>
      <c r="D153" s="15"/>
      <c r="E153" s="15"/>
      <c r="F153" s="15" t="n">
        <f aca="false">+F152/B152-1</f>
        <v>-0.460570703954178</v>
      </c>
      <c r="G153" s="15" t="n">
        <f aca="false">+G152/C152-1</f>
        <v>0.669297561854424</v>
      </c>
      <c r="H153" s="15" t="n">
        <f aca="false">+H152/D152-1</f>
        <v>0.414144615298024</v>
      </c>
      <c r="I153" s="15" t="n">
        <f aca="false">+I152/E152-1</f>
        <v>1.04519109041614</v>
      </c>
      <c r="J153" s="15" t="n">
        <f aca="false">+J152/F152-1</f>
        <v>1.25692013217909</v>
      </c>
      <c r="K153" s="15" t="n">
        <f aca="false">+K152/G152-1</f>
        <v>0.348044610973595</v>
      </c>
      <c r="L153" s="15"/>
      <c r="M153" s="15"/>
      <c r="N153" s="15"/>
      <c r="O153" s="15"/>
      <c r="P153" s="15"/>
      <c r="Q153" s="15"/>
      <c r="R153" s="15" t="n">
        <f aca="false">+R152/Q152-1</f>
        <v>0.37434250387128</v>
      </c>
      <c r="S153" s="15" t="n">
        <f aca="false">+S152/R152-1</f>
        <v>-0.1992546454968</v>
      </c>
      <c r="T153" s="15" t="n">
        <f aca="false">+T152/S152-1</f>
        <v>-0.0641331126411215</v>
      </c>
      <c r="U153" s="15" t="n">
        <f aca="false">+U152/T152-1</f>
        <v>0.178170666685953</v>
      </c>
      <c r="V153" s="15" t="n">
        <f aca="false">+V152/U152-1</f>
        <v>0.310367124834643</v>
      </c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K153" s="15"/>
      <c r="AN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</row>
    <row r="155" s="15" customFormat="true" ht="12.8" hidden="false" customHeight="false" outlineLevel="0" collapsed="false">
      <c r="A155" s="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</row>
    <row r="156" customFormat="false" ht="12.8" hidden="false" customHeight="false" outlineLevel="0" collapsed="false">
      <c r="A156" s="3" t="s">
        <v>137</v>
      </c>
      <c r="C156" s="6" t="n">
        <f aca="false">+AVERAGE(B98:C98)/C30*90</f>
        <v>43.8004442798963</v>
      </c>
      <c r="D156" s="6" t="n">
        <f aca="false">+AVERAGE(C98:D98)/D30*90</f>
        <v>44.6790871813157</v>
      </c>
      <c r="E156" s="6" t="n">
        <f aca="false">+AVERAGE(D98:E98)/E30*90</f>
        <v>46.6799592737146</v>
      </c>
      <c r="F156" s="6" t="n">
        <f aca="false">+AVERAGE(E98:F98)/F30*90</f>
        <v>48.8434695912263</v>
      </c>
      <c r="G156" s="6" t="n">
        <f aca="false">+AVERAGE(F98:G98)/G30*90</f>
        <v>39.6601866251944</v>
      </c>
      <c r="H156" s="6" t="n">
        <f aca="false">+AVERAGE(G98:H98)/H30*90</f>
        <v>32.8542604376843</v>
      </c>
      <c r="I156" s="6" t="n">
        <f aca="false">+AVERAGE(H98:I98)/I30*90</f>
        <v>40.8520747545138</v>
      </c>
      <c r="J156" s="6" t="n">
        <f aca="false">+AVERAGE(I98:J98)/J30*90</f>
        <v>49.1914244419464</v>
      </c>
      <c r="K156" s="6" t="n">
        <f aca="false">+AVERAGE(J98:K98)/K30*90</f>
        <v>46.2320466786355</v>
      </c>
      <c r="R156" s="6" t="n">
        <f aca="false">+AVERAGE(Q98:R98)/R30*365</f>
        <v>44.5283308237131</v>
      </c>
      <c r="S156" s="6" t="n">
        <f aca="false">+AVERAGE(R98:S98)/S30*365</f>
        <v>43.9063610518834</v>
      </c>
      <c r="T156" s="6" t="n">
        <f aca="false">+AVERAGE(S98:T98)/T30*365</f>
        <v>45.5133163615001</v>
      </c>
      <c r="U156" s="6" t="n">
        <f aca="false">+AVERAGE(T98:U98)/U30*365</f>
        <v>48.8447853873</v>
      </c>
      <c r="V156" s="6" t="n">
        <f aca="false">+AVERAGE(U98:V98)/V30*365</f>
        <v>48.5648111410887</v>
      </c>
      <c r="W156" s="19" t="n">
        <f aca="false">+V156-0.5</f>
        <v>48.0648111410887</v>
      </c>
      <c r="X156" s="19" t="n">
        <f aca="false">+W156-0.5</f>
        <v>47.5648111410887</v>
      </c>
      <c r="Y156" s="19" t="n">
        <f aca="false">+X156-0.5</f>
        <v>47.0648111410887</v>
      </c>
      <c r="Z156" s="19" t="n">
        <f aca="false">+Y156-0.5</f>
        <v>46.5648111410887</v>
      </c>
      <c r="AA156" s="19" t="n">
        <f aca="false">+Z156-0.5</f>
        <v>46.0648111410887</v>
      </c>
      <c r="AB156" s="19" t="n">
        <f aca="false">+AA156-0.5</f>
        <v>45.5648111410887</v>
      </c>
      <c r="AC156" s="19" t="n">
        <f aca="false">+AB156-0.5</f>
        <v>45.0648111410887</v>
      </c>
      <c r="AD156" s="19" t="n">
        <f aca="false">+AC156-0.5</f>
        <v>44.5648111410887</v>
      </c>
      <c r="AE156" s="19" t="n">
        <f aca="false">+AD156-0.5</f>
        <v>44.0648111410887</v>
      </c>
      <c r="AF156" s="19" t="n">
        <f aca="false">+AE156-0.5</f>
        <v>43.5648111410887</v>
      </c>
      <c r="AG156" s="19" t="n">
        <f aca="false">+AF156-0.5</f>
        <v>43.0648111410887</v>
      </c>
    </row>
    <row r="157" s="15" customFormat="true" ht="12.8" hidden="false" customHeight="false" outlineLevel="0" collapsed="false">
      <c r="A157" s="3" t="s">
        <v>138</v>
      </c>
      <c r="B157" s="6"/>
      <c r="C157" s="6" t="n">
        <f aca="false">+AVERAGE(B113:C113)/C32*90</f>
        <v>46.5177757520511</v>
      </c>
      <c r="D157" s="6" t="n">
        <f aca="false">+AVERAGE(C113:D113)/D32*90</f>
        <v>48.1641659311562</v>
      </c>
      <c r="E157" s="6" t="n">
        <f aca="false">+AVERAGE(D113:E113)/E32*90</f>
        <v>49.3822122150296</v>
      </c>
      <c r="F157" s="6" t="n">
        <f aca="false">+AVERAGE(E113:F113)/F32*90</f>
        <v>49.1735880398671</v>
      </c>
      <c r="G157" s="6" t="n">
        <f aca="false">+AVERAGE(F113:G113)/G32*90</f>
        <v>46.4554299237444</v>
      </c>
      <c r="H157" s="6" t="n">
        <f aca="false">+AVERAGE(G113:H113)/H32*90</f>
        <v>48.2168014609966</v>
      </c>
      <c r="I157" s="6" t="n">
        <f aca="false">+AVERAGE(H113:I113)/I32*90</f>
        <v>48.1194151096669</v>
      </c>
      <c r="J157" s="6" t="n">
        <f aca="false">+AVERAGE(I113:J113)/J32*90</f>
        <v>44.7076340010828</v>
      </c>
      <c r="K157" s="6" t="n">
        <f aca="false">+AVERAGE(J113:K113)/K32*90</f>
        <v>43.1795195954488</v>
      </c>
      <c r="L157" s="6"/>
      <c r="M157" s="6"/>
      <c r="N157" s="6"/>
      <c r="O157" s="6"/>
      <c r="P157" s="6"/>
      <c r="Q157" s="6"/>
      <c r="R157" s="6" t="n">
        <f aca="false">+AVERAGE(Q113:R113)/R32*365</f>
        <v>40.9972099720997</v>
      </c>
      <c r="S157" s="6" t="n">
        <f aca="false">+AVERAGE(R113:S113)/S32*365</f>
        <v>46.6270131771596</v>
      </c>
      <c r="T157" s="6" t="n">
        <f aca="false">+AVERAGE(S113:T113)/T32*365</f>
        <v>50.3083848960812</v>
      </c>
      <c r="U157" s="6" t="n">
        <f aca="false">+AVERAGE(T113:U113)/U32*365</f>
        <v>51.205820817455</v>
      </c>
      <c r="V157" s="6" t="n">
        <f aca="false">+AVERAGE(U113:V113)/V32*365</f>
        <v>47.5701105782041</v>
      </c>
      <c r="W157" s="19" t="n">
        <f aca="false">+V157+1</f>
        <v>48.5701105782041</v>
      </c>
      <c r="X157" s="19" t="n">
        <f aca="false">+W157+1</f>
        <v>49.5701105782041</v>
      </c>
      <c r="Y157" s="19" t="n">
        <f aca="false">+X157+1</f>
        <v>50.5701105782041</v>
      </c>
      <c r="Z157" s="19" t="n">
        <f aca="false">+Y157+1</f>
        <v>51.5701105782041</v>
      </c>
      <c r="AA157" s="19" t="n">
        <f aca="false">+Z157+1</f>
        <v>52.5701105782041</v>
      </c>
      <c r="AB157" s="19" t="n">
        <f aca="false">+AA157+1</f>
        <v>53.5701105782041</v>
      </c>
      <c r="AC157" s="19" t="n">
        <f aca="false">+AB157+1</f>
        <v>54.5701105782041</v>
      </c>
      <c r="AD157" s="19" t="n">
        <f aca="false">+AC157+1</f>
        <v>55.5701105782041</v>
      </c>
      <c r="AE157" s="19" t="n">
        <f aca="false">+AD157+1</f>
        <v>56.5701105782041</v>
      </c>
      <c r="AF157" s="19" t="n">
        <f aca="false">+AE157+1</f>
        <v>57.5701105782041</v>
      </c>
      <c r="AG157" s="19" t="n">
        <f aca="false">+AF157+1</f>
        <v>58.5701105782041</v>
      </c>
      <c r="AH157" s="6"/>
      <c r="AI157" s="6"/>
      <c r="AJ157" s="6"/>
      <c r="AK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</row>
    <row r="158" customFormat="false" ht="12.8" hidden="false" customHeight="false" outlineLevel="0" collapsed="false">
      <c r="A158" s="3" t="s">
        <v>139</v>
      </c>
      <c r="C158" s="6" t="n">
        <f aca="false">+C156-C157</f>
        <v>-2.71733147215472</v>
      </c>
      <c r="D158" s="6" t="n">
        <f aca="false">+D156-D157</f>
        <v>-3.48507874984048</v>
      </c>
      <c r="E158" s="6" t="n">
        <f aca="false">+E156-E157</f>
        <v>-2.70225294131497</v>
      </c>
      <c r="F158" s="6" t="n">
        <f aca="false">+F156-F157</f>
        <v>-0.330118448640789</v>
      </c>
      <c r="G158" s="6" t="n">
        <f aca="false">+G156-G157</f>
        <v>-6.79524329855001</v>
      </c>
      <c r="H158" s="6" t="n">
        <f aca="false">+H156-H157</f>
        <v>-15.3625410233123</v>
      </c>
      <c r="I158" s="6" t="n">
        <f aca="false">+I156-I157</f>
        <v>-7.26734035515316</v>
      </c>
      <c r="J158" s="6" t="n">
        <f aca="false">+J156-J157</f>
        <v>4.48379044086353</v>
      </c>
      <c r="K158" s="6" t="n">
        <f aca="false">+K156-K157</f>
        <v>3.05252708318675</v>
      </c>
      <c r="R158" s="6" t="n">
        <f aca="false">+R156-R157</f>
        <v>3.5311208516134</v>
      </c>
      <c r="S158" s="6" t="n">
        <f aca="false">+S156-S157</f>
        <v>-2.72065212527615</v>
      </c>
      <c r="T158" s="6" t="n">
        <f aca="false">+T156-T157</f>
        <v>-4.79506853458118</v>
      </c>
      <c r="U158" s="6" t="n">
        <f aca="false">+U156-U157</f>
        <v>-2.36103543015498</v>
      </c>
      <c r="V158" s="6" t="n">
        <f aca="false">+V156-V157</f>
        <v>0.99470056288461</v>
      </c>
      <c r="W158" s="6" t="n">
        <f aca="false">+W156-W157</f>
        <v>-0.50529943711539</v>
      </c>
      <c r="X158" s="6" t="n">
        <f aca="false">+X156-X157</f>
        <v>-2.00529943711539</v>
      </c>
      <c r="Y158" s="6" t="n">
        <f aca="false">+Y156-Y157</f>
        <v>-3.50529943711539</v>
      </c>
      <c r="Z158" s="6" t="n">
        <f aca="false">+Z156-Z157</f>
        <v>-5.00529943711539</v>
      </c>
      <c r="AA158" s="6" t="n">
        <f aca="false">+AA156-AA157</f>
        <v>-6.50529943711539</v>
      </c>
      <c r="AB158" s="6" t="n">
        <f aca="false">+AB156-AB157</f>
        <v>-8.00529943711539</v>
      </c>
      <c r="AC158" s="6" t="n">
        <f aca="false">+AC156-AC157</f>
        <v>-9.50529943711539</v>
      </c>
      <c r="AD158" s="6" t="n">
        <f aca="false">+AD156-AD157</f>
        <v>-11.0052994371154</v>
      </c>
      <c r="AE158" s="6" t="n">
        <f aca="false">+AE156-AE157</f>
        <v>-12.5052994371154</v>
      </c>
      <c r="AF158" s="6" t="n">
        <f aca="false">+AF156-AF157</f>
        <v>-14.0052994371154</v>
      </c>
      <c r="AG158" s="6" t="n">
        <f aca="false">+AG156-AG157</f>
        <v>-15.5052994371154</v>
      </c>
    </row>
    <row r="159" s="15" customFormat="true" ht="12.8" hidden="false" customHeight="false" outlineLevel="0" collapsed="false">
      <c r="A159" s="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</row>
    <row r="160" customFormat="false" ht="12.8" hidden="false" customHeight="false" outlineLevel="0" collapsed="false">
      <c r="AO160" s="15"/>
      <c r="AP160" s="15"/>
    </row>
    <row r="161" customFormat="false" ht="12.8" hidden="false" customHeight="false" outlineLevel="0" collapsed="false">
      <c r="A161" s="3" t="s">
        <v>140</v>
      </c>
      <c r="B161" s="6" t="n">
        <v>32</v>
      </c>
      <c r="C161" s="6" t="n">
        <f aca="false">+36-B161</f>
        <v>4</v>
      </c>
      <c r="D161" s="6" t="n">
        <f aca="false">+42-C161-B161</f>
        <v>6</v>
      </c>
      <c r="E161" s="6" t="n">
        <f aca="false">+53-D161-C161-B161</f>
        <v>11</v>
      </c>
      <c r="F161" s="6" t="n">
        <v>25</v>
      </c>
      <c r="G161" s="6" t="n">
        <f aca="false">+50-F161</f>
        <v>25</v>
      </c>
      <c r="H161" s="6" t="n">
        <f aca="false">+54-G161-F161</f>
        <v>4</v>
      </c>
      <c r="I161" s="6" t="n">
        <f aca="false">+61-H161-G161-F161</f>
        <v>7</v>
      </c>
      <c r="J161" s="6" t="n">
        <v>26</v>
      </c>
      <c r="K161" s="6" t="n">
        <f aca="false">+32-J161</f>
        <v>6</v>
      </c>
      <c r="Q161" s="6" t="n">
        <v>63</v>
      </c>
      <c r="R161" s="6" t="n">
        <v>66</v>
      </c>
      <c r="S161" s="6" t="n">
        <v>44</v>
      </c>
      <c r="T161" s="6" t="n">
        <v>44</v>
      </c>
      <c r="U161" s="6" t="n">
        <v>53</v>
      </c>
      <c r="V161" s="6" t="n">
        <v>61</v>
      </c>
      <c r="AL161" s="15"/>
      <c r="AM161" s="15"/>
    </row>
    <row r="162" s="15" customFormat="true" ht="10.5" hidden="false" customHeight="true" outlineLevel="0" collapsed="false">
      <c r="Q162" s="15" t="n">
        <f aca="false">+Q161/Q$30</f>
        <v>0.00413983440662374</v>
      </c>
      <c r="R162" s="15" t="n">
        <f aca="false">+R161/R$30</f>
        <v>0.00368077630918521</v>
      </c>
      <c r="S162" s="15" t="n">
        <f aca="false">+S161/S$30</f>
        <v>0.00223372931262057</v>
      </c>
      <c r="T162" s="15" t="n">
        <f aca="false">+T161/T$30</f>
        <v>0.00215411730147851</v>
      </c>
      <c r="U162" s="15" t="n">
        <f aca="false">+U161/U$30</f>
        <v>0.00240221184789013</v>
      </c>
      <c r="V162" s="15" t="n">
        <f aca="false">+V161/V$30</f>
        <v>0.0024202507538486</v>
      </c>
      <c r="AL162" s="6"/>
      <c r="AM162" s="6"/>
    </row>
    <row r="163" s="1" customFormat="true" ht="12.8" hidden="false" customHeight="false" outlineLevel="0" collapsed="false">
      <c r="A163" s="3" t="s">
        <v>141</v>
      </c>
      <c r="B163" s="6" t="n">
        <v>250</v>
      </c>
      <c r="C163" s="6" t="n">
        <f aca="false">+262-B163</f>
        <v>12</v>
      </c>
      <c r="D163" s="6" t="n">
        <f aca="false">+262-C163-B163</f>
        <v>0</v>
      </c>
      <c r="E163" s="6" t="n">
        <f aca="false">+262-D163-C163-B163</f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344</v>
      </c>
      <c r="K163" s="6" t="n">
        <f aca="false">+1003-J163</f>
        <v>659</v>
      </c>
      <c r="L163" s="6"/>
      <c r="M163" s="6"/>
      <c r="N163" s="6"/>
      <c r="O163" s="6"/>
      <c r="P163" s="6"/>
      <c r="Q163" s="6" t="n">
        <v>402</v>
      </c>
      <c r="R163" s="6" t="n">
        <v>1350</v>
      </c>
      <c r="S163" s="6" t="n">
        <v>1500</v>
      </c>
      <c r="T163" s="6" t="n">
        <v>1302</v>
      </c>
      <c r="U163" s="6" t="n">
        <f aca="false">+SUM(B163:E163)</f>
        <v>262</v>
      </c>
      <c r="V163" s="6" t="n">
        <f aca="false">+SUM(F163:I163)</f>
        <v>0</v>
      </c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</row>
    <row r="164" customFormat="false" ht="10.5" hidden="false" customHeight="true" outlineLevel="0" collapsed="false">
      <c r="A164" s="15"/>
      <c r="B164" s="15" t="n">
        <f aca="false">+B163/B30</f>
        <v>0.0484590036828843</v>
      </c>
      <c r="C164" s="15" t="n">
        <f aca="false">+C163/C30</f>
        <v>0.00222139948167345</v>
      </c>
      <c r="D164" s="15" t="n">
        <f aca="false">+D163/D30</f>
        <v>0</v>
      </c>
      <c r="E164" s="15" t="n">
        <f aca="false">+E163/E30</f>
        <v>0</v>
      </c>
      <c r="F164" s="15" t="n">
        <f aca="false">+F163/F30</f>
        <v>0</v>
      </c>
      <c r="G164" s="15" t="n">
        <f aca="false">+G163/G30</f>
        <v>0</v>
      </c>
      <c r="H164" s="15" t="n">
        <f aca="false">+H163/H30</f>
        <v>0</v>
      </c>
      <c r="I164" s="15" t="n">
        <f aca="false">+I163/I30</f>
        <v>0</v>
      </c>
      <c r="J164" s="15" t="n">
        <f aca="false">+J163/J30</f>
        <v>0.0552432953268026</v>
      </c>
      <c r="K164" s="15" t="n">
        <f aca="false">+K163/K$30</f>
        <v>0.0985936564931179</v>
      </c>
      <c r="L164" s="15"/>
      <c r="M164" s="15"/>
      <c r="N164" s="15"/>
      <c r="O164" s="15"/>
      <c r="P164" s="15"/>
      <c r="Q164" s="15" t="n">
        <f aca="false">+Q163/Q$30</f>
        <v>0.0264160862136943</v>
      </c>
      <c r="R164" s="15" t="n">
        <f aca="false">+R163/R$30</f>
        <v>0.0752886063242429</v>
      </c>
      <c r="S164" s="15" t="n">
        <f aca="false">+S163/S$30</f>
        <v>0.0761498629302467</v>
      </c>
      <c r="T164" s="15" t="n">
        <f aca="false">+T163/T$30</f>
        <v>0.0637422892392049</v>
      </c>
      <c r="U164" s="15" t="n">
        <f aca="false">+U163/U$30</f>
        <v>0.0118750849839097</v>
      </c>
      <c r="V164" s="15" t="n">
        <f aca="false">+V163/V$30</f>
        <v>0</v>
      </c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</row>
    <row r="165" customFormat="false" ht="12.8" hidden="false" customHeight="false" outlineLevel="0" collapsed="false">
      <c r="A165" s="3" t="s">
        <v>85</v>
      </c>
      <c r="B165" s="6" t="n">
        <v>307</v>
      </c>
      <c r="C165" s="6" t="n">
        <f aca="false">+608-B165</f>
        <v>301</v>
      </c>
      <c r="D165" s="6" t="n">
        <f aca="false">+909-C165-B165</f>
        <v>301</v>
      </c>
      <c r="E165" s="6" t="n">
        <f aca="false">+1210-D165-C165-B165</f>
        <v>301</v>
      </c>
      <c r="F165" s="6" t="n">
        <v>336</v>
      </c>
      <c r="G165" s="6" t="n">
        <f aca="false">+669-F165</f>
        <v>333</v>
      </c>
      <c r="H165" s="6" t="n">
        <f aca="false">+1001-G165-F165</f>
        <v>332</v>
      </c>
      <c r="I165" s="6" t="n">
        <f aca="false">+1334-H165-G165-F165</f>
        <v>333</v>
      </c>
      <c r="J165" s="6" t="n">
        <v>385</v>
      </c>
      <c r="K165" s="6" t="n">
        <f aca="false">+764-J165</f>
        <v>379</v>
      </c>
      <c r="Q165" s="6" t="n">
        <v>927</v>
      </c>
      <c r="R165" s="6" t="n">
        <v>970</v>
      </c>
      <c r="S165" s="6" t="n">
        <v>1077</v>
      </c>
      <c r="T165" s="6" t="n">
        <v>1136</v>
      </c>
      <c r="U165" s="6" t="n">
        <f aca="false">+SUM(B165:E165)</f>
        <v>1210</v>
      </c>
      <c r="V165" s="6" t="n">
        <f aca="false">+SUM(F165:I165)</f>
        <v>1334</v>
      </c>
      <c r="AL165" s="15"/>
      <c r="AM165" s="15"/>
    </row>
    <row r="166" customFormat="false" ht="10.5" hidden="false" customHeight="true" outlineLevel="0" collapsed="false">
      <c r="A166" s="15"/>
      <c r="B166" s="15" t="n">
        <f aca="false">+B165/B$30</f>
        <v>0.0595076565225819</v>
      </c>
      <c r="C166" s="15" t="n">
        <f aca="false">+C165/C$30</f>
        <v>0.0557201036653092</v>
      </c>
      <c r="D166" s="15" t="n">
        <f aca="false">+D165/D$30</f>
        <v>0.0536637546799786</v>
      </c>
      <c r="E166" s="15" t="n">
        <f aca="false">+E165/E$30</f>
        <v>0.0510775496351604</v>
      </c>
      <c r="F166" s="15" t="n">
        <f aca="false">+F165/F$30</f>
        <v>0.0558325024925224</v>
      </c>
      <c r="G166" s="15" t="n">
        <f aca="false">+G165/G$30</f>
        <v>0.0517884914463453</v>
      </c>
      <c r="H166" s="15" t="n">
        <f aca="false">+H165/H$30</f>
        <v>0.0515287909358994</v>
      </c>
      <c r="I166" s="15" t="n">
        <f aca="false">+I165/I$30</f>
        <v>0.0527399429838454</v>
      </c>
      <c r="J166" s="15" t="n">
        <f aca="false">+J165/J$30</f>
        <v>0.0618275252930785</v>
      </c>
      <c r="K166" s="15" t="n">
        <f aca="false">+K165/K$30</f>
        <v>0.0567025733093956</v>
      </c>
      <c r="L166" s="15"/>
      <c r="M166" s="15"/>
      <c r="N166" s="15"/>
      <c r="O166" s="15"/>
      <c r="P166" s="15"/>
      <c r="Q166" s="15" t="n">
        <f aca="false">+Q165/Q$30</f>
        <v>0.0609147062688921</v>
      </c>
      <c r="R166" s="15" t="n">
        <f aca="false">+R165/R$30</f>
        <v>0.054096257877419</v>
      </c>
      <c r="S166" s="15" t="n">
        <f aca="false">+S165/S$30</f>
        <v>0.0546756015839172</v>
      </c>
      <c r="T166" s="15" t="n">
        <f aca="false">+T165/T$30</f>
        <v>0.0556153921472633</v>
      </c>
      <c r="U166" s="15" t="n">
        <f aca="false">+U165/U$30</f>
        <v>0.0548429497348502</v>
      </c>
      <c r="V166" s="15" t="n">
        <f aca="false">+V165/V$30</f>
        <v>0.0529281066497381</v>
      </c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N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</row>
    <row r="167" customFormat="false" ht="12.8" hidden="false" customHeight="false" outlineLevel="0" collapsed="false">
      <c r="AO167" s="15"/>
      <c r="AP167" s="15"/>
    </row>
    <row r="168" customFormat="false" ht="12.8" hidden="false" customHeight="false" outlineLevel="0" collapsed="false">
      <c r="A168" s="3" t="s">
        <v>142</v>
      </c>
      <c r="B168" s="6" t="n">
        <f aca="false">+B165+B163-B161</f>
        <v>525</v>
      </c>
      <c r="C168" s="6" t="n">
        <f aca="false">+C165+C163-C161</f>
        <v>309</v>
      </c>
      <c r="D168" s="6" t="n">
        <f aca="false">+D165+D163-D161</f>
        <v>295</v>
      </c>
      <c r="E168" s="6" t="n">
        <f aca="false">+E165+E163-E161</f>
        <v>290</v>
      </c>
      <c r="F168" s="6" t="n">
        <f aca="false">+F165+F163-F161</f>
        <v>311</v>
      </c>
      <c r="G168" s="6" t="n">
        <f aca="false">+G165+G163-G161</f>
        <v>308</v>
      </c>
      <c r="H168" s="6" t="n">
        <f aca="false">+H165+H163-H161</f>
        <v>328</v>
      </c>
      <c r="I168" s="6" t="n">
        <f aca="false">+I165+I163-I161</f>
        <v>326</v>
      </c>
      <c r="J168" s="6" t="n">
        <f aca="false">+J165+J163-J161</f>
        <v>703</v>
      </c>
      <c r="K168" s="6" t="n">
        <f aca="false">+K165+K163-K161</f>
        <v>1032</v>
      </c>
      <c r="Q168" s="6" t="n">
        <f aca="false">+Q165+Q163-Q161</f>
        <v>1266</v>
      </c>
      <c r="R168" s="6" t="n">
        <f aca="false">+R165+R163-R161</f>
        <v>2254</v>
      </c>
      <c r="S168" s="6" t="n">
        <f aca="false">+S165+S163-S161</f>
        <v>2533</v>
      </c>
      <c r="T168" s="6" t="n">
        <f aca="false">+T165+T163-T161</f>
        <v>2394</v>
      </c>
      <c r="U168" s="6" t="n">
        <f aca="false">+U165+U163-U161</f>
        <v>1419</v>
      </c>
      <c r="V168" s="6" t="n">
        <f aca="false">+V165+V163-V161</f>
        <v>1273</v>
      </c>
      <c r="W168" s="6" t="n">
        <f aca="false">+W30*0.06</f>
        <v>1587.852</v>
      </c>
      <c r="X168" s="6" t="n">
        <f aca="false">+X30*0.06</f>
        <v>1778.39424</v>
      </c>
      <c r="Y168" s="6" t="n">
        <f aca="false">+Y30*0.06</f>
        <v>1974.0176064</v>
      </c>
      <c r="Z168" s="6" t="n">
        <f aca="false">+Z30*0.06</f>
        <v>2171.41936704</v>
      </c>
      <c r="AA168" s="6" t="n">
        <f aca="false">+AA30*0.06</f>
        <v>2366.8471100736</v>
      </c>
      <c r="AB168" s="6" t="n">
        <f aca="false">+AB30*0.06</f>
        <v>2556.19487887949</v>
      </c>
      <c r="AC168" s="6" t="n">
        <f aca="false">+AC30*0.06</f>
        <v>2735.12852040105</v>
      </c>
      <c r="AD168" s="6" t="n">
        <f aca="false">+AD30*0.06</f>
        <v>2926.58751682913</v>
      </c>
      <c r="AE168" s="6" t="n">
        <f aca="false">+AE30*0.06</f>
        <v>3131.44864300717</v>
      </c>
      <c r="AF168" s="6" t="n">
        <f aca="false">+AF30*0.06</f>
        <v>3350.65004801767</v>
      </c>
      <c r="AG168" s="6" t="n">
        <f aca="false">+AG30*0.06</f>
        <v>3585.19555137891</v>
      </c>
      <c r="AO168" s="15"/>
      <c r="AP168" s="15"/>
    </row>
    <row r="169" customFormat="false" ht="10.5" hidden="false" customHeight="true" outlineLevel="0" collapsed="false">
      <c r="A169" s="15"/>
      <c r="B169" s="15" t="n">
        <f aca="false">+B168/B30</f>
        <v>0.101763907734057</v>
      </c>
      <c r="C169" s="15" t="n">
        <f aca="false">+C168/C30</f>
        <v>0.0572010366530914</v>
      </c>
      <c r="D169" s="15" t="n">
        <f aca="false">+D168/D30</f>
        <v>0.0525940452843644</v>
      </c>
      <c r="E169" s="15" t="n">
        <f aca="false">+E168/E30</f>
        <v>0.0492109282199219</v>
      </c>
      <c r="F169" s="15" t="n">
        <f aca="false">+F168/F30</f>
        <v>0.0516782984380193</v>
      </c>
      <c r="G169" s="15" t="n">
        <f aca="false">+G168/G30</f>
        <v>0.047900466562986</v>
      </c>
      <c r="H169" s="15" t="n">
        <f aca="false">+H168/H30</f>
        <v>0.0509079621294428</v>
      </c>
      <c r="I169" s="15" t="n">
        <f aca="false">+I168/I30</f>
        <v>0.0516312955337346</v>
      </c>
      <c r="J169" s="15" t="n">
        <f aca="false">+J168/J30</f>
        <v>0.112895455275414</v>
      </c>
      <c r="K169" s="15" t="n">
        <f aca="false">+K168/K30</f>
        <v>0.154398563734291</v>
      </c>
      <c r="L169" s="15"/>
      <c r="M169" s="15"/>
      <c r="N169" s="15"/>
      <c r="O169" s="15"/>
      <c r="P169" s="15"/>
      <c r="Q169" s="15" t="n">
        <f aca="false">+Q168/Q30</f>
        <v>0.0831909580759627</v>
      </c>
      <c r="R169" s="15" t="n">
        <f aca="false">+R168/R30</f>
        <v>0.125704087892477</v>
      </c>
      <c r="S169" s="15" t="n">
        <f aca="false">+S168/S30</f>
        <v>0.128591735201543</v>
      </c>
      <c r="T169" s="15" t="n">
        <f aca="false">+T168/T30</f>
        <v>0.11720356408499</v>
      </c>
      <c r="U169" s="15" t="n">
        <f aca="false">+U168/U30</f>
        <v>0.0643158228708698</v>
      </c>
      <c r="V169" s="15" t="n">
        <f aca="false">+V168/V30</f>
        <v>0.0505078558958895</v>
      </c>
      <c r="W169" s="15" t="n">
        <f aca="false">+W168/W30</f>
        <v>0.06</v>
      </c>
      <c r="X169" s="15" t="n">
        <f aca="false">+X168/X30</f>
        <v>0.06</v>
      </c>
      <c r="Y169" s="15" t="n">
        <f aca="false">+Y168/Y30</f>
        <v>0.06</v>
      </c>
      <c r="Z169" s="15" t="n">
        <f aca="false">+Z168/Z30</f>
        <v>0.06</v>
      </c>
      <c r="AA169" s="15" t="n">
        <f aca="false">+AA168/AA30</f>
        <v>0.06</v>
      </c>
      <c r="AB169" s="15" t="n">
        <f aca="false">+AB168/AB30</f>
        <v>0.06</v>
      </c>
      <c r="AC169" s="15" t="n">
        <f aca="false">+AC168/AC30</f>
        <v>0.06</v>
      </c>
      <c r="AD169" s="15" t="n">
        <f aca="false">+AD168/AD30</f>
        <v>0.06</v>
      </c>
      <c r="AE169" s="15" t="n">
        <f aca="false">+AE168/AE30</f>
        <v>0.06</v>
      </c>
      <c r="AF169" s="15" t="n">
        <f aca="false">+AF168/AF30</f>
        <v>0.06</v>
      </c>
      <c r="AG169" s="15" t="n">
        <f aca="false">+AG168/AG30</f>
        <v>0.06</v>
      </c>
      <c r="AH169" s="15"/>
      <c r="AI169" s="15"/>
      <c r="AJ169" s="15"/>
      <c r="AK169" s="15"/>
      <c r="AN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</row>
    <row r="170" customFormat="false" ht="10.5" hidden="false" customHeight="true" outlineLevel="0" collapsed="false">
      <c r="A170" s="15"/>
      <c r="B170" s="15"/>
      <c r="C170" s="15"/>
      <c r="D170" s="15"/>
      <c r="E170" s="15"/>
      <c r="F170" s="15" t="n">
        <f aca="false">+F168/B168-1</f>
        <v>-0.407619047619048</v>
      </c>
      <c r="G170" s="15" t="n">
        <f aca="false">+G168/C168-1</f>
        <v>-0.00323624595469252</v>
      </c>
      <c r="H170" s="15" t="n">
        <f aca="false">+H168/D168-1</f>
        <v>0.111864406779661</v>
      </c>
      <c r="I170" s="15" t="n">
        <f aca="false">+I168/E168-1</f>
        <v>0.124137931034483</v>
      </c>
      <c r="J170" s="15" t="n">
        <f aca="false">+J168/F168-1</f>
        <v>1.2604501607717</v>
      </c>
      <c r="K170" s="15" t="n">
        <f aca="false">+K168/G168-1</f>
        <v>2.35064935064935</v>
      </c>
      <c r="L170" s="15"/>
      <c r="M170" s="15"/>
      <c r="N170" s="15"/>
      <c r="O170" s="15"/>
      <c r="P170" s="15"/>
      <c r="Q170" s="15"/>
      <c r="R170" s="15" t="n">
        <f aca="false">+R168/Q168-1</f>
        <v>0.780410742496051</v>
      </c>
      <c r="S170" s="15" t="n">
        <f aca="false">+S168/R168-1</f>
        <v>0.123779946761313</v>
      </c>
      <c r="T170" s="15" t="n">
        <f aca="false">+T168/S168-1</f>
        <v>-0.0548756415317805</v>
      </c>
      <c r="U170" s="15" t="n">
        <f aca="false">+U168/T168-1</f>
        <v>-0.407268170426065</v>
      </c>
      <c r="V170" s="15" t="n">
        <f aca="false">+V168/U168-1</f>
        <v>-0.102889358703312</v>
      </c>
      <c r="W170" s="15" t="n">
        <f aca="false">+W168/V168-1</f>
        <v>0.247330714846819</v>
      </c>
      <c r="X170" s="15" t="n">
        <f aca="false">+X168/W168-1</f>
        <v>0.12</v>
      </c>
      <c r="Y170" s="15" t="n">
        <f aca="false">+Y168/X168-1</f>
        <v>0.11</v>
      </c>
      <c r="Z170" s="15" t="n">
        <f aca="false">+Z168/Y168-1</f>
        <v>0.1</v>
      </c>
      <c r="AA170" s="15" t="n">
        <f aca="false">+AA168/Z168-1</f>
        <v>0.0900000000000003</v>
      </c>
      <c r="AB170" s="15" t="n">
        <f aca="false">+AB168/AA168-1</f>
        <v>0.0800000000000001</v>
      </c>
      <c r="AC170" s="15" t="n">
        <f aca="false">+AC168/AB168-1</f>
        <v>0.0700000000000001</v>
      </c>
      <c r="AD170" s="15" t="n">
        <f aca="false">+AD168/AC168-1</f>
        <v>0.0700000000000001</v>
      </c>
      <c r="AE170" s="15" t="n">
        <f aca="false">+AE168/AD168-1</f>
        <v>0.0700000000000001</v>
      </c>
      <c r="AF170" s="15" t="n">
        <f aca="false">+AF168/AE168-1</f>
        <v>0.0700000000000001</v>
      </c>
      <c r="AG170" s="15" t="n">
        <f aca="false">+AG168/AF168-1</f>
        <v>0.0700000000000001</v>
      </c>
      <c r="AH170" s="15"/>
      <c r="AI170" s="15"/>
      <c r="AJ170" s="15"/>
      <c r="AK170" s="15"/>
      <c r="AN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</row>
  </sheetData>
  <mergeCells count="1">
    <mergeCell ref="AL66:AM66"/>
  </mergeCells>
  <hyperlinks>
    <hyperlink ref="A1" r:id="rId1" location="Main" display="Ma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B2" colorId="64" zoomScale="75" zoomScaleNormal="75" zoomScalePageLayoutView="100" workbookViewId="0">
      <selection pane="topLeft" activeCell="E37" activeCellId="0" sqref="E3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3" width="15.1"/>
    <col collapsed="false" customWidth="true" hidden="false" outlineLevel="0" max="4" min="4" style="3" width="31.1"/>
    <col collapsed="false" customWidth="true" hidden="false" outlineLevel="0" max="9" min="9" style="3" width="13.41"/>
  </cols>
  <sheetData>
    <row r="1" customFormat="false" ht="12.8" hidden="false" customHeight="false" outlineLevel="0" collapsed="false">
      <c r="A1" s="3" t="s">
        <v>24</v>
      </c>
    </row>
    <row r="3" customFormat="false" ht="12.8" hidden="false" customHeight="false" outlineLevel="0" collapsed="false">
      <c r="B3" s="3" t="s">
        <v>143</v>
      </c>
      <c r="C3" s="3" t="s">
        <v>144</v>
      </c>
      <c r="D3" s="3" t="s">
        <v>145</v>
      </c>
      <c r="E3" s="3" t="s">
        <v>146</v>
      </c>
      <c r="F3" s="3" t="s">
        <v>147</v>
      </c>
      <c r="G3" s="3" t="s">
        <v>148</v>
      </c>
      <c r="H3" s="3" t="s">
        <v>149</v>
      </c>
      <c r="I3" s="3" t="s">
        <v>150</v>
      </c>
      <c r="J3" s="3" t="s">
        <v>151</v>
      </c>
    </row>
    <row r="4" customFormat="false" ht="12.8" hidden="false" customHeight="false" outlineLevel="0" collapsed="false">
      <c r="B4" s="3" t="s">
        <v>152</v>
      </c>
      <c r="C4" s="3" t="s">
        <v>153</v>
      </c>
      <c r="D4" s="3" t="s">
        <v>154</v>
      </c>
      <c r="E4" s="45" t="n">
        <v>4.95</v>
      </c>
      <c r="F4" s="46" t="n">
        <v>46571</v>
      </c>
      <c r="G4" s="3" t="s">
        <v>155</v>
      </c>
      <c r="H4" s="3" t="s">
        <v>156</v>
      </c>
      <c r="I4" s="3" t="s">
        <v>157</v>
      </c>
      <c r="J4" s="3" t="n">
        <v>4.294</v>
      </c>
    </row>
    <row r="5" customFormat="false" ht="12.8" hidden="false" customHeight="false" outlineLevel="0" collapsed="false">
      <c r="B5" s="3" t="s">
        <v>158</v>
      </c>
      <c r="C5" s="3" t="s">
        <v>153</v>
      </c>
      <c r="D5" s="3" t="s">
        <v>154</v>
      </c>
      <c r="E5" s="45" t="n">
        <v>3.15</v>
      </c>
      <c r="F5" s="46" t="n">
        <v>46706</v>
      </c>
      <c r="G5" s="3" t="s">
        <v>155</v>
      </c>
      <c r="H5" s="3" t="s">
        <v>156</v>
      </c>
      <c r="I5" s="3" t="s">
        <v>157</v>
      </c>
      <c r="J5" s="3" t="n">
        <v>4.335</v>
      </c>
    </row>
    <row r="6" customFormat="false" ht="12.8" hidden="false" customHeight="false" outlineLevel="0" collapsed="false">
      <c r="B6" s="3" t="s">
        <v>159</v>
      </c>
      <c r="C6" s="3" t="s">
        <v>153</v>
      </c>
      <c r="D6" s="3" t="s">
        <v>154</v>
      </c>
      <c r="E6" s="45" t="n">
        <v>1.15</v>
      </c>
      <c r="F6" s="46" t="n">
        <v>46827</v>
      </c>
      <c r="G6" s="3" t="s">
        <v>155</v>
      </c>
      <c r="H6" s="3" t="s">
        <v>156</v>
      </c>
      <c r="I6" s="3" t="s">
        <v>157</v>
      </c>
      <c r="J6" s="3" t="n">
        <v>4.358</v>
      </c>
    </row>
    <row r="7" customFormat="false" ht="12.8" hidden="false" customHeight="false" outlineLevel="0" collapsed="false">
      <c r="B7" s="3" t="s">
        <v>160</v>
      </c>
      <c r="C7" s="3" t="s">
        <v>153</v>
      </c>
      <c r="D7" s="3" t="s">
        <v>154</v>
      </c>
      <c r="E7" s="45" t="n">
        <v>4.5</v>
      </c>
      <c r="F7" s="46" t="n">
        <v>46827</v>
      </c>
      <c r="G7" s="3" t="s">
        <v>155</v>
      </c>
      <c r="H7" s="3" t="s">
        <v>156</v>
      </c>
      <c r="I7" s="3" t="s">
        <v>157</v>
      </c>
      <c r="J7" s="3" t="n">
        <v>4.438</v>
      </c>
    </row>
    <row r="8" customFormat="false" ht="12.8" hidden="false" customHeight="false" outlineLevel="0" collapsed="false">
      <c r="B8" s="3" t="s">
        <v>161</v>
      </c>
      <c r="C8" s="3" t="s">
        <v>153</v>
      </c>
      <c r="D8" s="3" t="s">
        <v>154</v>
      </c>
      <c r="E8" s="45" t="n">
        <v>7</v>
      </c>
      <c r="F8" s="46" t="n">
        <v>46949</v>
      </c>
      <c r="G8" s="3" t="s">
        <v>155</v>
      </c>
      <c r="H8" s="3" t="s">
        <v>156</v>
      </c>
      <c r="I8" s="3" t="s">
        <v>157</v>
      </c>
      <c r="J8" s="3" t="n">
        <v>4.544</v>
      </c>
    </row>
    <row r="9" customFormat="false" ht="12.8" hidden="false" customHeight="false" outlineLevel="0" collapsed="false">
      <c r="B9" s="3" t="s">
        <v>162</v>
      </c>
      <c r="C9" s="3" t="s">
        <v>153</v>
      </c>
      <c r="D9" s="3" t="s">
        <v>163</v>
      </c>
      <c r="E9" s="45" t="n">
        <v>3.875</v>
      </c>
      <c r="F9" s="46" t="n">
        <v>47133</v>
      </c>
      <c r="G9" s="3" t="s">
        <v>155</v>
      </c>
      <c r="H9" s="3" t="s">
        <v>156</v>
      </c>
      <c r="I9" s="3" t="s">
        <v>157</v>
      </c>
      <c r="J9" s="3" t="n">
        <v>4.485</v>
      </c>
    </row>
    <row r="10" customFormat="false" ht="12.8" hidden="false" customHeight="false" outlineLevel="0" collapsed="false">
      <c r="B10" s="3" t="s">
        <v>164</v>
      </c>
      <c r="C10" s="3" t="s">
        <v>153</v>
      </c>
      <c r="D10" s="3" t="s">
        <v>154</v>
      </c>
      <c r="E10" s="45" t="n">
        <v>3.875</v>
      </c>
      <c r="F10" s="46" t="n">
        <v>47133</v>
      </c>
      <c r="G10" s="3" t="s">
        <v>155</v>
      </c>
      <c r="H10" s="3" t="s">
        <v>156</v>
      </c>
      <c r="I10" s="3" t="s">
        <v>157</v>
      </c>
      <c r="J10" s="3" t="n">
        <v>4.485</v>
      </c>
    </row>
    <row r="11" customFormat="false" ht="12.8" hidden="false" customHeight="false" outlineLevel="0" collapsed="false">
      <c r="B11" s="3" t="s">
        <v>165</v>
      </c>
      <c r="C11" s="3" t="s">
        <v>153</v>
      </c>
      <c r="D11" s="3" t="s">
        <v>154</v>
      </c>
      <c r="E11" s="45" t="n">
        <v>3.875</v>
      </c>
      <c r="F11" s="46" t="n">
        <v>47133</v>
      </c>
      <c r="G11" s="3" t="s">
        <v>155</v>
      </c>
      <c r="H11" s="3" t="s">
        <v>156</v>
      </c>
      <c r="I11" s="3" t="s">
        <v>157</v>
      </c>
      <c r="J11" s="3" t="n">
        <v>4.485</v>
      </c>
    </row>
    <row r="12" customFormat="false" ht="12.8" hidden="false" customHeight="false" outlineLevel="0" collapsed="false">
      <c r="B12" s="3" t="s">
        <v>166</v>
      </c>
      <c r="C12" s="3" t="s">
        <v>153</v>
      </c>
      <c r="D12" s="3" t="s">
        <v>163</v>
      </c>
      <c r="E12" s="45" t="n">
        <v>3.875</v>
      </c>
      <c r="F12" s="46" t="n">
        <v>47133</v>
      </c>
      <c r="G12" s="3" t="s">
        <v>155</v>
      </c>
      <c r="H12" s="3" t="s">
        <v>156</v>
      </c>
      <c r="I12" s="3" t="s">
        <v>157</v>
      </c>
      <c r="J12" s="3" t="n">
        <v>4.485</v>
      </c>
    </row>
    <row r="13" customFormat="false" ht="12.8" hidden="false" customHeight="false" outlineLevel="0" collapsed="false">
      <c r="B13" s="3" t="s">
        <v>167</v>
      </c>
      <c r="C13" s="3" t="s">
        <v>153</v>
      </c>
      <c r="D13" s="3" t="s">
        <v>154</v>
      </c>
      <c r="E13" s="45" t="n">
        <v>3.875</v>
      </c>
      <c r="F13" s="46" t="n">
        <v>47133</v>
      </c>
      <c r="G13" s="3" t="s">
        <v>155</v>
      </c>
      <c r="H13" s="3" t="s">
        <v>156</v>
      </c>
      <c r="I13" s="3" t="s">
        <v>157</v>
      </c>
      <c r="J13" s="3" t="n">
        <v>4.485</v>
      </c>
    </row>
    <row r="14" customFormat="false" ht="12.8" hidden="false" customHeight="false" outlineLevel="0" collapsed="false">
      <c r="B14" s="3" t="s">
        <v>168</v>
      </c>
      <c r="C14" s="3" t="s">
        <v>153</v>
      </c>
      <c r="D14" s="3" t="s">
        <v>154</v>
      </c>
      <c r="E14" s="45" t="n">
        <v>4.875</v>
      </c>
      <c r="F14" s="46" t="n">
        <v>47164</v>
      </c>
      <c r="G14" s="3" t="s">
        <v>155</v>
      </c>
      <c r="H14" s="3" t="s">
        <v>156</v>
      </c>
      <c r="I14" s="3" t="s">
        <v>157</v>
      </c>
      <c r="J14" s="3" t="n">
        <v>4.533</v>
      </c>
    </row>
    <row r="15" customFormat="false" ht="12.8" hidden="false" customHeight="false" outlineLevel="0" collapsed="false">
      <c r="B15" s="3" t="s">
        <v>169</v>
      </c>
      <c r="C15" s="3" t="s">
        <v>153</v>
      </c>
      <c r="D15" s="3" t="s">
        <v>154</v>
      </c>
      <c r="E15" s="45" t="n">
        <v>7.375</v>
      </c>
      <c r="F15" s="46" t="n">
        <v>47253</v>
      </c>
      <c r="G15" s="3" t="s">
        <v>155</v>
      </c>
      <c r="H15" s="3" t="s">
        <v>156</v>
      </c>
      <c r="I15" s="3" t="s">
        <v>157</v>
      </c>
      <c r="J15" s="3" t="n">
        <v>5.06</v>
      </c>
    </row>
    <row r="16" customFormat="false" ht="12.8" hidden="false" customHeight="false" outlineLevel="0" collapsed="false">
      <c r="B16" s="3" t="s">
        <v>170</v>
      </c>
      <c r="C16" s="3" t="s">
        <v>153</v>
      </c>
      <c r="D16" s="3" t="s">
        <v>154</v>
      </c>
      <c r="E16" s="45" t="n">
        <v>2</v>
      </c>
      <c r="F16" s="46" t="n">
        <v>47270</v>
      </c>
      <c r="G16" s="3" t="s">
        <v>155</v>
      </c>
      <c r="H16" s="3" t="s">
        <v>156</v>
      </c>
      <c r="I16" s="3" t="s">
        <v>157</v>
      </c>
      <c r="J16" s="3" t="n">
        <v>4.493</v>
      </c>
    </row>
    <row r="17" customFormat="false" ht="12.8" hidden="false" customHeight="false" outlineLevel="0" collapsed="false">
      <c r="B17" s="3" t="s">
        <v>171</v>
      </c>
      <c r="C17" s="3" t="s">
        <v>153</v>
      </c>
      <c r="D17" s="3" t="s">
        <v>154</v>
      </c>
      <c r="E17" s="45" t="n">
        <v>4.625</v>
      </c>
      <c r="F17" s="46" t="n">
        <v>47529</v>
      </c>
      <c r="G17" s="3" t="s">
        <v>155</v>
      </c>
      <c r="H17" s="3" t="s">
        <v>156</v>
      </c>
      <c r="I17" s="3" t="s">
        <v>157</v>
      </c>
      <c r="J17" s="3" t="n">
        <v>4.646</v>
      </c>
    </row>
    <row r="18" customFormat="false" ht="12.8" hidden="false" customHeight="false" outlineLevel="0" collapsed="false">
      <c r="B18" s="3" t="s">
        <v>172</v>
      </c>
      <c r="C18" s="3" t="s">
        <v>153</v>
      </c>
      <c r="D18" s="3" t="s">
        <v>154</v>
      </c>
      <c r="E18" s="45" t="n">
        <v>4.65</v>
      </c>
      <c r="F18" s="46" t="n">
        <v>47557</v>
      </c>
      <c r="G18" s="3" t="s">
        <v>155</v>
      </c>
      <c r="H18" s="3" t="s">
        <v>156</v>
      </c>
      <c r="I18" s="3" t="s">
        <v>157</v>
      </c>
      <c r="J18" s="3" t="n">
        <v>4.641</v>
      </c>
    </row>
    <row r="19" customFormat="false" ht="12.8" hidden="false" customHeight="false" outlineLevel="0" collapsed="false">
      <c r="B19" s="3" t="s">
        <v>173</v>
      </c>
      <c r="C19" s="3" t="s">
        <v>153</v>
      </c>
      <c r="D19" s="3" t="s">
        <v>154</v>
      </c>
      <c r="E19" s="45" t="n">
        <v>1.5</v>
      </c>
      <c r="F19" s="46" t="n">
        <v>47922</v>
      </c>
      <c r="G19" s="3" t="s">
        <v>155</v>
      </c>
      <c r="H19" s="3" t="s">
        <v>156</v>
      </c>
      <c r="I19" s="3" t="s">
        <v>157</v>
      </c>
      <c r="J19" s="3" t="n">
        <v>4.746</v>
      </c>
    </row>
    <row r="20" customFormat="false" ht="12.8" hidden="false" customHeight="false" outlineLevel="0" collapsed="false">
      <c r="B20" s="3" t="s">
        <v>174</v>
      </c>
      <c r="C20" s="3" t="s">
        <v>153</v>
      </c>
      <c r="D20" s="3" t="s">
        <v>154</v>
      </c>
      <c r="E20" s="45" t="n">
        <v>4.95</v>
      </c>
      <c r="F20" s="46" t="n">
        <v>48032</v>
      </c>
      <c r="G20" s="3" t="s">
        <v>155</v>
      </c>
      <c r="H20" s="3" t="s">
        <v>156</v>
      </c>
      <c r="I20" s="3" t="s">
        <v>157</v>
      </c>
      <c r="J20" s="3" t="n">
        <v>4.747</v>
      </c>
    </row>
    <row r="21" customFormat="false" ht="12.8" hidden="false" customHeight="false" outlineLevel="0" collapsed="false">
      <c r="B21" s="3" t="s">
        <v>175</v>
      </c>
      <c r="C21" s="3" t="s">
        <v>153</v>
      </c>
      <c r="D21" s="3" t="s">
        <v>154</v>
      </c>
      <c r="E21" s="45" t="n">
        <v>4.8</v>
      </c>
      <c r="F21" s="46" t="n">
        <v>48288</v>
      </c>
      <c r="G21" s="3" t="s">
        <v>155</v>
      </c>
      <c r="H21" s="3" t="s">
        <v>156</v>
      </c>
      <c r="I21" s="3" t="s">
        <v>157</v>
      </c>
      <c r="J21" s="3" t="n">
        <v>4.789</v>
      </c>
    </row>
    <row r="22" customFormat="false" ht="12.8" hidden="false" customHeight="false" outlineLevel="0" collapsed="false">
      <c r="B22" s="3" t="s">
        <v>176</v>
      </c>
      <c r="C22" s="3" t="s">
        <v>153</v>
      </c>
      <c r="D22" s="3" t="s">
        <v>154</v>
      </c>
      <c r="E22" s="45" t="n">
        <v>4.15</v>
      </c>
      <c r="F22" s="46" t="n">
        <v>48319</v>
      </c>
      <c r="G22" s="3" t="s">
        <v>155</v>
      </c>
      <c r="H22" s="3" t="s">
        <v>156</v>
      </c>
      <c r="I22" s="3" t="s">
        <v>157</v>
      </c>
      <c r="J22" s="3" t="n">
        <v>4.757</v>
      </c>
    </row>
    <row r="23" customFormat="false" ht="12.8" hidden="false" customHeight="false" outlineLevel="0" collapsed="false">
      <c r="B23" s="3" t="s">
        <v>177</v>
      </c>
      <c r="C23" s="3" t="s">
        <v>153</v>
      </c>
      <c r="D23" s="3" t="s">
        <v>154</v>
      </c>
      <c r="E23" s="45" t="n">
        <v>7.75</v>
      </c>
      <c r="F23" s="46" t="n">
        <v>48349</v>
      </c>
      <c r="G23" s="3" t="s">
        <v>155</v>
      </c>
      <c r="H23" s="3" t="s">
        <v>156</v>
      </c>
      <c r="I23" s="3" t="s">
        <v>157</v>
      </c>
      <c r="J23" s="3" t="n">
        <v>4.966</v>
      </c>
    </row>
    <row r="24" customFormat="false" ht="12.8" hidden="false" customHeight="false" outlineLevel="0" collapsed="false">
      <c r="B24" s="3" t="s">
        <v>178</v>
      </c>
      <c r="C24" s="3" t="s">
        <v>153</v>
      </c>
      <c r="D24" s="3" t="s">
        <v>154</v>
      </c>
      <c r="E24" s="45" t="n">
        <v>4.625</v>
      </c>
      <c r="F24" s="46" t="n">
        <v>48625</v>
      </c>
      <c r="G24" s="3" t="s">
        <v>155</v>
      </c>
      <c r="H24" s="3" t="s">
        <v>156</v>
      </c>
      <c r="I24" s="3" t="s">
        <v>157</v>
      </c>
      <c r="J24" s="3" t="n">
        <v>4.918</v>
      </c>
    </row>
    <row r="25" customFormat="false" ht="12.8" hidden="false" customHeight="false" outlineLevel="0" collapsed="false">
      <c r="B25" s="3" t="s">
        <v>179</v>
      </c>
      <c r="C25" s="3" t="s">
        <v>153</v>
      </c>
      <c r="D25" s="3" t="s">
        <v>180</v>
      </c>
      <c r="E25" s="45" t="n">
        <v>3.944</v>
      </c>
      <c r="F25" s="46" t="n">
        <v>48775</v>
      </c>
      <c r="G25" s="3" t="s">
        <v>155</v>
      </c>
      <c r="H25" s="3" t="s">
        <v>181</v>
      </c>
      <c r="I25" s="3" t="s">
        <v>157</v>
      </c>
      <c r="J25" s="3" t="n">
        <v>4.081</v>
      </c>
    </row>
    <row r="26" customFormat="false" ht="12.8" hidden="false" customHeight="false" outlineLevel="0" collapsed="false">
      <c r="B26" s="3" t="s">
        <v>182</v>
      </c>
      <c r="C26" s="3" t="s">
        <v>153</v>
      </c>
      <c r="D26" s="3" t="s">
        <v>154</v>
      </c>
      <c r="E26" s="45" t="n">
        <v>4.875</v>
      </c>
      <c r="F26" s="46" t="n">
        <v>48990</v>
      </c>
      <c r="G26" s="3" t="s">
        <v>155</v>
      </c>
      <c r="H26" s="3" t="s">
        <v>156</v>
      </c>
      <c r="I26" s="3" t="s">
        <v>157</v>
      </c>
      <c r="J26" s="3" t="n">
        <v>4.964</v>
      </c>
    </row>
    <row r="27" customFormat="false" ht="12.8" hidden="false" customHeight="false" outlineLevel="0" collapsed="false">
      <c r="B27" s="3" t="s">
        <v>183</v>
      </c>
      <c r="C27" s="3" t="s">
        <v>153</v>
      </c>
      <c r="D27" s="3" t="s">
        <v>154</v>
      </c>
      <c r="E27" s="45" t="n">
        <v>3.9</v>
      </c>
      <c r="F27" s="46" t="n">
        <v>49369</v>
      </c>
      <c r="G27" s="3" t="s">
        <v>155</v>
      </c>
      <c r="H27" s="3" t="s">
        <v>156</v>
      </c>
      <c r="I27" s="3" t="s">
        <v>157</v>
      </c>
      <c r="J27" s="3" t="n">
        <v>5.11</v>
      </c>
    </row>
    <row r="28" customFormat="false" ht="12.8" hidden="false" customHeight="false" outlineLevel="0" collapsed="false">
      <c r="B28" s="3" t="s">
        <v>184</v>
      </c>
      <c r="C28" s="3" t="s">
        <v>153</v>
      </c>
      <c r="D28" s="3" t="s">
        <v>154</v>
      </c>
      <c r="E28" s="45" t="n">
        <v>4.95</v>
      </c>
      <c r="F28" s="46" t="n">
        <v>49383</v>
      </c>
      <c r="G28" s="3" t="s">
        <v>155</v>
      </c>
      <c r="H28" s="3" t="s">
        <v>156</v>
      </c>
      <c r="I28" s="3" t="s">
        <v>157</v>
      </c>
      <c r="J28" s="3" t="n">
        <v>5.132</v>
      </c>
    </row>
    <row r="29" customFormat="false" ht="12.8" hidden="false" customHeight="false" outlineLevel="0" collapsed="false">
      <c r="B29" s="3" t="s">
        <v>185</v>
      </c>
      <c r="C29" s="3" t="s">
        <v>153</v>
      </c>
      <c r="D29" s="3" t="s">
        <v>154</v>
      </c>
      <c r="E29" s="45" t="n">
        <v>6.125</v>
      </c>
      <c r="F29" s="46" t="n">
        <v>51104</v>
      </c>
      <c r="G29" s="3" t="s">
        <v>155</v>
      </c>
      <c r="H29" s="3" t="s">
        <v>156</v>
      </c>
      <c r="I29" s="3" t="s">
        <v>157</v>
      </c>
      <c r="J29" s="3" t="n">
        <v>5.491</v>
      </c>
    </row>
    <row r="30" customFormat="false" ht="12.8" hidden="false" customHeight="false" outlineLevel="0" collapsed="false">
      <c r="B30" s="3" t="s">
        <v>186</v>
      </c>
      <c r="C30" s="3" t="s">
        <v>153</v>
      </c>
      <c r="D30" s="3" t="s">
        <v>154</v>
      </c>
      <c r="E30" s="45" t="n">
        <v>2.95</v>
      </c>
      <c r="F30" s="46" t="n">
        <v>51653</v>
      </c>
      <c r="G30" s="3" t="s">
        <v>155</v>
      </c>
      <c r="H30" s="3" t="s">
        <v>156</v>
      </c>
      <c r="I30" s="3" t="s">
        <v>157</v>
      </c>
      <c r="J30" s="3" t="n">
        <v>5.521</v>
      </c>
    </row>
    <row r="31" customFormat="false" ht="12.8" hidden="false" customHeight="false" outlineLevel="0" collapsed="false">
      <c r="B31" s="3" t="s">
        <v>187</v>
      </c>
      <c r="C31" s="3" t="s">
        <v>153</v>
      </c>
      <c r="D31" s="3" t="s">
        <v>154</v>
      </c>
      <c r="E31" s="45" t="n">
        <v>4.1</v>
      </c>
      <c r="F31" s="46" t="n">
        <v>53022</v>
      </c>
      <c r="G31" s="3" t="s">
        <v>155</v>
      </c>
      <c r="H31" s="3" t="s">
        <v>156</v>
      </c>
      <c r="I31" s="3" t="s">
        <v>157</v>
      </c>
      <c r="J31" s="3" t="n">
        <v>5.701</v>
      </c>
    </row>
    <row r="32" customFormat="false" ht="12.8" hidden="false" customHeight="false" outlineLevel="0" collapsed="false">
      <c r="B32" s="3" t="s">
        <v>188</v>
      </c>
      <c r="C32" s="3" t="s">
        <v>153</v>
      </c>
      <c r="D32" s="3" t="s">
        <v>154</v>
      </c>
      <c r="E32" s="45" t="n">
        <v>4.15</v>
      </c>
      <c r="F32" s="46" t="n">
        <v>54619</v>
      </c>
      <c r="G32" s="3" t="s">
        <v>155</v>
      </c>
      <c r="H32" s="3" t="s">
        <v>156</v>
      </c>
      <c r="I32" s="3" t="s">
        <v>157</v>
      </c>
      <c r="J32" s="3" t="n">
        <v>5.849</v>
      </c>
    </row>
    <row r="33" customFormat="false" ht="12.8" hidden="false" customHeight="false" outlineLevel="0" collapsed="false">
      <c r="B33" s="3" t="s">
        <v>189</v>
      </c>
      <c r="C33" s="3" t="s">
        <v>153</v>
      </c>
      <c r="D33" s="3" t="s">
        <v>154</v>
      </c>
      <c r="E33" s="45" t="n">
        <v>2.5</v>
      </c>
      <c r="F33" s="46" t="n">
        <v>55107</v>
      </c>
      <c r="G33" s="3" t="s">
        <v>155</v>
      </c>
      <c r="H33" s="3" t="s">
        <v>156</v>
      </c>
      <c r="I33" s="3" t="s">
        <v>157</v>
      </c>
      <c r="J33" s="3" t="n">
        <v>5.727</v>
      </c>
    </row>
    <row r="34" customFormat="false" ht="12.8" hidden="false" customHeight="false" outlineLevel="0" collapsed="false">
      <c r="B34" s="3" t="s">
        <v>190</v>
      </c>
      <c r="C34" s="3" t="s">
        <v>153</v>
      </c>
      <c r="D34" s="3" t="s">
        <v>154</v>
      </c>
      <c r="E34" s="45" t="n">
        <v>5.35</v>
      </c>
      <c r="F34" s="46" t="n">
        <v>56537</v>
      </c>
      <c r="G34" s="3" t="s">
        <v>155</v>
      </c>
      <c r="H34" s="3" t="s">
        <v>156</v>
      </c>
      <c r="I34" s="3" t="s">
        <v>157</v>
      </c>
      <c r="J34" s="3" t="n">
        <v>5.852</v>
      </c>
    </row>
    <row r="35" customFormat="false" ht="12.8" hidden="false" customHeight="false" outlineLevel="0" collapsed="false">
      <c r="B35" s="3" t="s">
        <v>191</v>
      </c>
      <c r="C35" s="3" t="s">
        <v>153</v>
      </c>
      <c r="D35" s="3" t="s">
        <v>192</v>
      </c>
      <c r="E35" s="45" t="n">
        <v>10</v>
      </c>
      <c r="F35" s="3" t="s">
        <v>153</v>
      </c>
      <c r="G35" s="3" t="s">
        <v>193</v>
      </c>
      <c r="H35" s="3" t="s">
        <v>156</v>
      </c>
      <c r="I35" s="3" t="s">
        <v>153</v>
      </c>
      <c r="J35" s="3" t="s">
        <v>153</v>
      </c>
    </row>
    <row r="37" customFormat="false" ht="12.8" hidden="false" customHeight="false" outlineLevel="0" collapsed="false">
      <c r="E37" s="45" t="n">
        <f aca="false">+AVERAGE(E4:E35)</f>
        <v>4.50840625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2281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2026-08-04T21:46:19Z</dcterms:created>
  <dc:creator/>
  <dc:description/>
  <dc:language>en-US</dc:language>
  <cp:lastModifiedBy/>
  <dcterms:modified xsi:type="dcterms:W3CDTF">2026-08-17T18:25:37Z</dcterms:modified>
  <cp:revision>192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