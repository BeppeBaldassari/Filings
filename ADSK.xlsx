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ain" sheetId="1" state="visible" r:id="rId3"/>
    <sheet name="Model" sheetId="2" state="visible" r:id="rId4"/>
  </sheets>
  <externalReferences>
    <externalReference r:id="rId5"/>
  </externalReferenc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AN82" authorId="0">
      <text>
        <r>
          <rPr>
            <sz val="10"/>
            <rFont val="Arial"/>
            <family val="2"/>
          </rPr>
          <t xml:space="preserve">ADBE: 11x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40</xdr:col>
                <xdr:colOff>6</xdr:colOff>
                <xdr:row>77</xdr:row>
                <xdr:rowOff>3</xdr:rowOff>
              </xdr:from>
              <xdr:to>
                <xdr:col>41</xdr:col>
                <xdr:colOff>12</xdr:colOff>
                <xdr:row>81</xdr:row>
                <xdr:rowOff>3</xdr:rowOff>
              </xdr:to>
            </anchor>
          </commentPr>
        </mc:Choice>
        <mc:Fallback/>
      </mc:AlternateContent>
    </comment>
    <comment ref="AN83" authorId="0">
      <text>
        <r>
          <rPr>
            <sz val="10"/>
            <rFont val="Arial"/>
            <family val="2"/>
          </rPr>
          <t xml:space="preserve">Synopsys – ANSYS: 46x
Vista + Elliot – Citrix: 28x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40</xdr:col>
                <xdr:colOff>6</xdr:colOff>
                <xdr:row>78</xdr:row>
                <xdr:rowOff>3</xdr:rowOff>
              </xdr:from>
              <xdr:to>
                <xdr:col>41</xdr:col>
                <xdr:colOff>12</xdr:colOff>
                <xdr:row>83</xdr:row>
                <xdr:rowOff>2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<sst xmlns="http://schemas.openxmlformats.org/spreadsheetml/2006/main" count="194" uniqueCount="166">
  <si>
    <t xml:space="preserve">Autodesk Inc.</t>
  </si>
  <si>
    <t xml:space="preserve">Price</t>
  </si>
  <si>
    <t xml:space="preserve">Share</t>
  </si>
  <si>
    <t xml:space="preserve">Q227</t>
  </si>
  <si>
    <t xml:space="preserve">MC</t>
  </si>
  <si>
    <t xml:space="preserve">Cash</t>
  </si>
  <si>
    <t xml:space="preserve">Debt</t>
  </si>
  <si>
    <t xml:space="preserve">EV</t>
  </si>
  <si>
    <t xml:space="preserve">BETA</t>
  </si>
  <si>
    <t xml:space="preserve">WACC</t>
  </si>
  <si>
    <t xml:space="preserve">EV/EBITDA</t>
  </si>
  <si>
    <t xml:space="preserve">CAPM</t>
  </si>
  <si>
    <t xml:space="preserve">EV/FCF</t>
  </si>
  <si>
    <t xml:space="preserve">Cost of Debt</t>
  </si>
  <si>
    <t xml:space="preserve">P/E</t>
  </si>
  <si>
    <t xml:space="preserve">P/EBITDA</t>
  </si>
  <si>
    <t xml:space="preserve">Cr. Spread</t>
  </si>
  <si>
    <t xml:space="preserve">FP/E</t>
  </si>
  <si>
    <t xml:space="preserve">P/FCF</t>
  </si>
  <si>
    <t xml:space="preserve">Rating</t>
  </si>
  <si>
    <t xml:space="preserve">AA-</t>
  </si>
  <si>
    <t xml:space="preserve">A3</t>
  </si>
  <si>
    <t xml:space="preserve">Inc. Margin</t>
  </si>
  <si>
    <t xml:space="preserve">S&amp;P</t>
  </si>
  <si>
    <t xml:space="preserve">Moody’s</t>
  </si>
  <si>
    <t xml:space="preserve">AECO, Architecture, Engineering, Contruction and Operations</t>
  </si>
  <si>
    <t xml:space="preserve">AutoCAD and AutoCAD LT</t>
  </si>
  <si>
    <t xml:space="preserve">MFG, Manufacturing</t>
  </si>
  <si>
    <t xml:space="preserve">M&amp;E, Media and Entertainment</t>
  </si>
  <si>
    <t xml:space="preserve">Other</t>
  </si>
  <si>
    <t xml:space="preserve">Main</t>
  </si>
  <si>
    <t xml:space="preserve">04/23</t>
  </si>
  <si>
    <t xml:space="preserve">07/23</t>
  </si>
  <si>
    <t xml:space="preserve">09/23</t>
  </si>
  <si>
    <t xml:space="preserve">12/23</t>
  </si>
  <si>
    <t xml:space="preserve">04/24</t>
  </si>
  <si>
    <t xml:space="preserve">07/24</t>
  </si>
  <si>
    <t xml:space="preserve">09/24</t>
  </si>
  <si>
    <t xml:space="preserve">12/24</t>
  </si>
  <si>
    <t xml:space="preserve">04/25</t>
  </si>
  <si>
    <t xml:space="preserve">07/25</t>
  </si>
  <si>
    <t xml:space="preserve">09/25</t>
  </si>
  <si>
    <t xml:space="preserve">12/25</t>
  </si>
  <si>
    <t xml:space="preserve">04/26</t>
  </si>
  <si>
    <t xml:space="preserve">07/26</t>
  </si>
  <si>
    <t xml:space="preserve">09/26</t>
  </si>
  <si>
    <t xml:space="preserve">12/26</t>
  </si>
  <si>
    <t xml:space="preserve">01/16</t>
  </si>
  <si>
    <t xml:space="preserve">01/17</t>
  </si>
  <si>
    <t xml:space="preserve">01/18</t>
  </si>
  <si>
    <t xml:space="preserve">01/19</t>
  </si>
  <si>
    <t xml:space="preserve">01/20</t>
  </si>
  <si>
    <t xml:space="preserve">01/21</t>
  </si>
  <si>
    <t xml:space="preserve">01/22</t>
  </si>
  <si>
    <t xml:space="preserve">01/23</t>
  </si>
  <si>
    <t xml:space="preserve">01/24</t>
  </si>
  <si>
    <t xml:space="preserve">01/25</t>
  </si>
  <si>
    <t xml:space="preserve">01/26</t>
  </si>
  <si>
    <t xml:space="preserve">in Millions</t>
  </si>
  <si>
    <t xml:space="preserve">Q124</t>
  </si>
  <si>
    <t xml:space="preserve">Q224</t>
  </si>
  <si>
    <t xml:space="preserve">Q324</t>
  </si>
  <si>
    <t xml:space="preserve">Q424</t>
  </si>
  <si>
    <t xml:space="preserve">Q125</t>
  </si>
  <si>
    <t xml:space="preserve">Q225</t>
  </si>
  <si>
    <t xml:space="preserve">Q325</t>
  </si>
  <si>
    <t xml:space="preserve">Q425</t>
  </si>
  <si>
    <t xml:space="preserve">Q126</t>
  </si>
  <si>
    <t xml:space="preserve">Q226</t>
  </si>
  <si>
    <t xml:space="preserve">Q326</t>
  </si>
  <si>
    <t xml:space="preserve">Q426</t>
  </si>
  <si>
    <t xml:space="preserve">Q127</t>
  </si>
  <si>
    <t xml:space="preserve">Q327</t>
  </si>
  <si>
    <t xml:space="preserve">Q427</t>
  </si>
  <si>
    <t xml:space="preserve">Total Subs (‘000)</t>
  </si>
  <si>
    <t xml:space="preserve">ARR</t>
  </si>
  <si>
    <t xml:space="preserve">ARPS</t>
  </si>
  <si>
    <t xml:space="preserve">AECO</t>
  </si>
  <si>
    <t xml:space="preserve">MFG</t>
  </si>
  <si>
    <t xml:space="preserve">M&amp;E</t>
  </si>
  <si>
    <t xml:space="preserve">Subscriptions</t>
  </si>
  <si>
    <t xml:space="preserve">Revenue</t>
  </si>
  <si>
    <t xml:space="preserve">Cost of Subs</t>
  </si>
  <si>
    <t xml:space="preserve">Cost of Other</t>
  </si>
  <si>
    <t xml:space="preserve">D&amp;A</t>
  </si>
  <si>
    <t xml:space="preserve">COGS</t>
  </si>
  <si>
    <t xml:space="preserve">Gross Profit</t>
  </si>
  <si>
    <t xml:space="preserve">M&amp;S</t>
  </si>
  <si>
    <t xml:space="preserve">R&amp;D</t>
  </si>
  <si>
    <t xml:space="preserve">G&amp;A</t>
  </si>
  <si>
    <t xml:space="preserve">Amortisation purchase</t>
  </si>
  <si>
    <t xml:space="preserve">Restructuring</t>
  </si>
  <si>
    <t xml:space="preserve">Op Ex.</t>
  </si>
  <si>
    <t xml:space="preserve">EBIT</t>
  </si>
  <si>
    <t xml:space="preserve">Interest</t>
  </si>
  <si>
    <t xml:space="preserve">EBT</t>
  </si>
  <si>
    <t xml:space="preserve">Taxes</t>
  </si>
  <si>
    <t xml:space="preserve">Net Income</t>
  </si>
  <si>
    <t xml:space="preserve">EPS</t>
  </si>
  <si>
    <t xml:space="preserve">Shares</t>
  </si>
  <si>
    <t xml:space="preserve">Gross Margin</t>
  </si>
  <si>
    <t xml:space="preserve">OP Margin</t>
  </si>
  <si>
    <t xml:space="preserve">NI Margin</t>
  </si>
  <si>
    <t xml:space="preserve">Tax Rate</t>
  </si>
  <si>
    <t xml:space="preserve">Rule of 40</t>
  </si>
  <si>
    <t xml:space="preserve">EBITDA</t>
  </si>
  <si>
    <t xml:space="preserve">Adj. EBITDA</t>
  </si>
  <si>
    <t xml:space="preserve">Discount</t>
  </si>
  <si>
    <t xml:space="preserve">NOPAT</t>
  </si>
  <si>
    <t xml:space="preserve">Terminal</t>
  </si>
  <si>
    <t xml:space="preserve">NWC</t>
  </si>
  <si>
    <t xml:space="preserve">UFCF</t>
  </si>
  <si>
    <t xml:space="preserve">TV</t>
  </si>
  <si>
    <t xml:space="preserve">Equity Value</t>
  </si>
  <si>
    <t xml:space="preserve">Diff</t>
  </si>
  <si>
    <t xml:space="preserve">Mrk. Sec</t>
  </si>
  <si>
    <t xml:space="preserve">A/R</t>
  </si>
  <si>
    <t xml:space="preserve">Prepaid Exp</t>
  </si>
  <si>
    <t xml:space="preserve">Computer Equip.</t>
  </si>
  <si>
    <t xml:space="preserve">OP Lease ROU</t>
  </si>
  <si>
    <t xml:space="preserve">Intangible</t>
  </si>
  <si>
    <t xml:space="preserve">Goodwill</t>
  </si>
  <si>
    <t xml:space="preserve">D/T</t>
  </si>
  <si>
    <t xml:space="preserve">Other A</t>
  </si>
  <si>
    <t xml:space="preserve">A</t>
  </si>
  <si>
    <t xml:space="preserve">A/P</t>
  </si>
  <si>
    <t xml:space="preserve">Acc. Comp</t>
  </si>
  <si>
    <t xml:space="preserve">Accr. Income Taxes</t>
  </si>
  <si>
    <t xml:space="preserve">D/R</t>
  </si>
  <si>
    <t xml:space="preserve">OP Lease L</t>
  </si>
  <si>
    <t xml:space="preserve">Other, curr</t>
  </si>
  <si>
    <t xml:space="preserve">D/R, non curr</t>
  </si>
  <si>
    <t xml:space="preserve">OP Lease, non curr</t>
  </si>
  <si>
    <t xml:space="preserve">D/ Income/P, non curr</t>
  </si>
  <si>
    <t xml:space="preserve">D/ Income taxes, non curr</t>
  </si>
  <si>
    <t xml:space="preserve">Other, non curr</t>
  </si>
  <si>
    <t xml:space="preserve">L</t>
  </si>
  <si>
    <t xml:space="preserve">Pr. Shares</t>
  </si>
  <si>
    <t xml:space="preserve">Stocks</t>
  </si>
  <si>
    <t xml:space="preserve">AOCI</t>
  </si>
  <si>
    <t xml:space="preserve">Acc. Deficit</t>
  </si>
  <si>
    <t xml:space="preserve">SE</t>
  </si>
  <si>
    <t xml:space="preserve">L+SE</t>
  </si>
  <si>
    <t xml:space="preserve">RPO, curr</t>
  </si>
  <si>
    <t xml:space="preserve">RPO</t>
  </si>
  <si>
    <t xml:space="preserve">Model NI</t>
  </si>
  <si>
    <t xml:space="preserve">SBC</t>
  </si>
  <si>
    <t xml:space="preserve">A/P and Other L</t>
  </si>
  <si>
    <t xml:space="preserve">CFFO</t>
  </si>
  <si>
    <t xml:space="preserve">Cap Ex</t>
  </si>
  <si>
    <t xml:space="preserve">FCF</t>
  </si>
  <si>
    <t xml:space="preserve">Share Issuance</t>
  </si>
  <si>
    <t xml:space="preserve">Y/Y</t>
  </si>
  <si>
    <t xml:space="preserve">Share Repurchase</t>
  </si>
  <si>
    <t xml:space="preserve">Dividends</t>
  </si>
  <si>
    <t xml:space="preserve">Total SH Return</t>
  </si>
  <si>
    <t xml:space="preserve">Revenue by Region</t>
  </si>
  <si>
    <t xml:space="preserve">US</t>
  </si>
  <si>
    <t xml:space="preserve">EMEA</t>
  </si>
  <si>
    <t xml:space="preserve">APAC</t>
  </si>
  <si>
    <t xml:space="preserve">Revenue by Product</t>
  </si>
  <si>
    <t xml:space="preserve">Design</t>
  </si>
  <si>
    <t xml:space="preserve">Make</t>
  </si>
  <si>
    <t xml:space="preserve">DSO</t>
  </si>
  <si>
    <t xml:space="preserve">DPO</t>
  </si>
  <si>
    <t xml:space="preserve">CCC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</si>
</sst>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;\(#,##0\);\-"/>
    <numFmt numFmtId="166" formatCode="0.00%"/>
    <numFmt numFmtId="167" formatCode="#,##0\x"/>
    <numFmt numFmtId="168" formatCode="#,##0.00&quot;bp&quot;"/>
    <numFmt numFmtId="169" formatCode="#,##0.00"/>
    <numFmt numFmtId="170" formatCode="#,##0.00;\(#,##0.00\);\-"/>
    <numFmt numFmtId="171" formatCode="0%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3"/>
      <name val="Arial"/>
      <family val="2"/>
      <charset val="1"/>
    </font>
    <font>
      <sz val="10"/>
      <color rgb="FF0000FF"/>
      <name val="Arial"/>
      <family val="2"/>
      <charset val="1"/>
    </font>
    <font>
      <b val="true"/>
      <i val="true"/>
      <sz val="10"/>
      <name val="Arial"/>
      <family val="2"/>
      <charset val="1"/>
    </font>
    <font>
      <i val="true"/>
      <sz val="8"/>
      <color rgb="FF999999"/>
      <name val="Arial"/>
      <family val="2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  <fill>
      <patternFill patternType="solid">
        <fgColor rgb="FFFFFF00"/>
        <bgColor rgb="FFFFFF00"/>
      </patternFill>
    </fill>
    <fill>
      <patternFill patternType="solid">
        <fgColor rgb="FFB2B2B2"/>
        <bgColor rgb="FF999999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4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4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2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externalLink" Target="externalLinks/externalLink1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15</xdr:col>
      <xdr:colOff>140760</xdr:colOff>
      <xdr:row>1</xdr:row>
      <xdr:rowOff>46080</xdr:rowOff>
    </xdr:from>
    <xdr:to>
      <xdr:col>15</xdr:col>
      <xdr:colOff>143280</xdr:colOff>
      <xdr:row>196</xdr:row>
      <xdr:rowOff>152280</xdr:rowOff>
    </xdr:to>
    <xdr:sp>
      <xdr:nvSpPr>
        <xdr:cNvPr id="1" name="Vertical line 1"/>
        <xdr:cNvSpPr/>
      </xdr:nvSpPr>
      <xdr:spPr>
        <a:xfrm>
          <a:off x="13042800" y="208800"/>
          <a:ext cx="2520" cy="30227760"/>
        </a:xfrm>
        <a:prstGeom prst="line">
          <a:avLst/>
        </a:prstGeom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31</xdr:col>
      <xdr:colOff>143280</xdr:colOff>
      <xdr:row>1</xdr:row>
      <xdr:rowOff>1800</xdr:rowOff>
    </xdr:from>
    <xdr:to>
      <xdr:col>31</xdr:col>
      <xdr:colOff>144360</xdr:colOff>
      <xdr:row>196</xdr:row>
      <xdr:rowOff>42480</xdr:rowOff>
    </xdr:to>
    <xdr:sp>
      <xdr:nvSpPr>
        <xdr:cNvPr id="2" name="Vertical line 2"/>
        <xdr:cNvSpPr/>
      </xdr:nvSpPr>
      <xdr:spPr>
        <a:xfrm flipH="1">
          <a:off x="26049960" y="164520"/>
          <a:ext cx="1080" cy="30162240"/>
        </a:xfrm>
        <a:prstGeom prst="line">
          <a:avLst/>
        </a:prstGeom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Bond%20Analysis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ain"/>
      <sheetName val="Zero-rate curve US"/>
      <sheetName val="Credit Spread US"/>
      <sheetName val="Zero-rate curve ECB"/>
      <sheetName val="Zero-rate curve BoE"/>
    </sheetNames>
    <sheetDataSet>
      <sheetData sheetId="0"/>
      <sheetData sheetId="1"/>
      <sheetData sheetId="2">
        <row r="6">
          <cell r="J6">
            <v>0.795217391304348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ADSK.xlsx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10" activeCellId="0" sqref="B10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5.04"/>
    <col collapsed="false" customWidth="false" hidden="false" outlineLevel="0" max="6" min="2" style="1" width="11.53"/>
    <col collapsed="false" customWidth="true" hidden="false" outlineLevel="0" max="7" min="7" style="1" width="13.41"/>
    <col collapsed="false" customWidth="false" hidden="false" outlineLevel="0" max="16384" min="8" style="1" width="11.53"/>
  </cols>
  <sheetData>
    <row r="1" customFormat="false" ht="12.8" hidden="false" customHeight="false" outlineLevel="0" collapsed="false">
      <c r="A1" s="2" t="s">
        <v>0</v>
      </c>
      <c r="E1" s="1" t="s">
        <v>1</v>
      </c>
      <c r="F1" s="3" t="n">
        <v>230</v>
      </c>
    </row>
    <row r="2" customFormat="false" ht="12.8" hidden="false" customHeight="false" outlineLevel="0" collapsed="false">
      <c r="E2" s="1" t="s">
        <v>2</v>
      </c>
      <c r="F2" s="3" t="n">
        <v>209</v>
      </c>
      <c r="G2" s="4" t="s">
        <v>3</v>
      </c>
    </row>
    <row r="3" customFormat="false" ht="12.8" hidden="false" customHeight="false" outlineLevel="0" collapsed="false">
      <c r="E3" s="1" t="s">
        <v>4</v>
      </c>
      <c r="F3" s="3" t="n">
        <f aca="false">+F2*F1</f>
        <v>48070</v>
      </c>
    </row>
    <row r="4" customFormat="false" ht="12.8" hidden="false" customHeight="false" outlineLevel="0" collapsed="false">
      <c r="E4" s="1" t="s">
        <v>5</v>
      </c>
      <c r="F4" s="3" t="n">
        <v>4357</v>
      </c>
      <c r="G4" s="4" t="s">
        <v>3</v>
      </c>
    </row>
    <row r="5" customFormat="false" ht="12.8" hidden="false" customHeight="false" outlineLevel="0" collapsed="false">
      <c r="E5" s="1" t="s">
        <v>6</v>
      </c>
      <c r="F5" s="3" t="n">
        <f aca="false">+994+499+1985</f>
        <v>3478</v>
      </c>
      <c r="G5" s="4" t="s">
        <v>3</v>
      </c>
    </row>
    <row r="6" customFormat="false" ht="12.8" hidden="false" customHeight="false" outlineLevel="0" collapsed="false">
      <c r="E6" s="1" t="s">
        <v>7</v>
      </c>
      <c r="F6" s="5" t="n">
        <f aca="false">+F3-F4+F5</f>
        <v>47191</v>
      </c>
    </row>
    <row r="10" customFormat="false" ht="16.15" hidden="false" customHeight="false" outlineLevel="0" collapsed="false">
      <c r="A10" s="6" t="s">
        <v>8</v>
      </c>
      <c r="B10" s="6" t="n">
        <v>1.31</v>
      </c>
      <c r="C10" s="6"/>
      <c r="D10" s="6" t="s">
        <v>9</v>
      </c>
      <c r="E10" s="7" t="n">
        <f aca="false">+(F3/(F3+F5))*B11+(F5/(F3+F5))*B12*(1-0.17)</f>
        <v>0.110953686151531</v>
      </c>
      <c r="F10" s="6"/>
      <c r="G10" s="6" t="s">
        <v>10</v>
      </c>
      <c r="H10" s="8" t="n">
        <f aca="false">+F6/SUM(Model!L77:O77)</f>
        <v>16.2391603578802</v>
      </c>
    </row>
    <row r="11" customFormat="false" ht="16.15" hidden="false" customHeight="false" outlineLevel="0" collapsed="false">
      <c r="A11" s="6" t="s">
        <v>11</v>
      </c>
      <c r="B11" s="7" t="n">
        <f aca="false">+0.05+B10*(0.1-0.05)</f>
        <v>0.1155</v>
      </c>
      <c r="C11" s="6"/>
      <c r="D11" s="6"/>
      <c r="E11" s="6"/>
      <c r="F11" s="6"/>
      <c r="G11" s="6" t="s">
        <v>12</v>
      </c>
      <c r="H11" s="8" t="n">
        <f aca="false">+F6/SUM(Model!L151:O151)</f>
        <v>16.6224022543149</v>
      </c>
    </row>
    <row r="12" customFormat="false" ht="16.15" hidden="false" customHeight="false" outlineLevel="0" collapsed="false">
      <c r="A12" s="6" t="s">
        <v>13</v>
      </c>
      <c r="B12" s="7" t="n">
        <f aca="false">+0.05+(B13/100)</f>
        <v>0.0579739130434783</v>
      </c>
      <c r="C12" s="6"/>
      <c r="D12" s="6" t="s">
        <v>14</v>
      </c>
      <c r="E12" s="8" t="n">
        <f aca="false">+F1/SUM(Model!L63:O63)</f>
        <v>29.793611975094</v>
      </c>
      <c r="F12" s="6"/>
      <c r="G12" s="6" t="s">
        <v>15</v>
      </c>
      <c r="H12" s="8" t="n">
        <f aca="false">+F3/SUM(Model!L77:O77)</f>
        <v>16.5416379903648</v>
      </c>
    </row>
    <row r="13" customFormat="false" ht="16.15" hidden="false" customHeight="false" outlineLevel="0" collapsed="false">
      <c r="A13" s="6" t="s">
        <v>16</v>
      </c>
      <c r="B13" s="9" t="n">
        <f aca="false">+'[1]Credit Spread US'!J6</f>
        <v>0.797391304347826</v>
      </c>
      <c r="C13" s="6"/>
      <c r="D13" s="6" t="s">
        <v>17</v>
      </c>
      <c r="E13" s="8"/>
      <c r="F13" s="6"/>
      <c r="G13" s="6" t="s">
        <v>18</v>
      </c>
      <c r="H13" s="8" t="n">
        <f aca="false">+F3/SUM(Model!L151:O151)</f>
        <v>16.9320183163086</v>
      </c>
    </row>
    <row r="14" customFormat="false" ht="16.15" hidden="false" customHeight="false" outlineLevel="0" collapsed="false">
      <c r="A14" s="6" t="s">
        <v>19</v>
      </c>
      <c r="B14" s="10" t="s">
        <v>20</v>
      </c>
      <c r="C14" s="10" t="s">
        <v>21</v>
      </c>
      <c r="D14" s="6"/>
      <c r="E14" s="6"/>
      <c r="F14" s="6"/>
      <c r="G14" s="6" t="s">
        <v>22</v>
      </c>
      <c r="H14" s="7" t="n">
        <f aca="false">+(SUM(Model!L53:O53)-SUM(Model!H53:K53))/(SUM(Model!L29:O29)-SUM(Model!H29:K29))</f>
        <v>0.550210970464135</v>
      </c>
    </row>
    <row r="15" customFormat="false" ht="16.15" hidden="false" customHeight="false" outlineLevel="0" collapsed="false">
      <c r="A15" s="6"/>
      <c r="B15" s="10" t="s">
        <v>23</v>
      </c>
      <c r="C15" s="10" t="s">
        <v>24</v>
      </c>
      <c r="D15" s="6"/>
      <c r="E15" s="6"/>
      <c r="F15" s="6"/>
      <c r="G15" s="6"/>
      <c r="H15" s="6"/>
    </row>
    <row r="21" customFormat="false" ht="12.8" hidden="false" customHeight="false" outlineLevel="0" collapsed="false">
      <c r="A21" s="1" t="s">
        <v>25</v>
      </c>
    </row>
    <row r="22" customFormat="false" ht="12.8" hidden="false" customHeight="false" outlineLevel="0" collapsed="false">
      <c r="A22" s="1" t="s">
        <v>26</v>
      </c>
    </row>
    <row r="23" customFormat="false" ht="12.8" hidden="false" customHeight="false" outlineLevel="0" collapsed="false">
      <c r="A23" s="1" t="s">
        <v>27</v>
      </c>
    </row>
    <row r="24" customFormat="false" ht="12.8" hidden="false" customHeight="false" outlineLevel="0" collapsed="false">
      <c r="A24" s="1" t="s">
        <v>28</v>
      </c>
    </row>
    <row r="25" customFormat="false" ht="12.8" hidden="false" customHeight="false" outlineLevel="0" collapsed="false">
      <c r="A25" s="1" t="s">
        <v>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V196"/>
  <sheetViews>
    <sheetView showFormulas="false" showGridLines="false" showRowColHeaders="true" showZeros="true" rightToLeft="false" tabSelected="true" showOutlineSymbols="true" defaultGridColor="true" view="normal" topLeftCell="A1" colorId="64" zoomScale="60" zoomScaleNormal="60" zoomScalePageLayoutView="100" workbookViewId="0">
      <pane xSplit="1" ySplit="2" topLeftCell="AC13" activePane="bottomRight" state="frozen"/>
      <selection pane="topLeft" activeCell="A1" activeCellId="0" sqref="A1"/>
      <selection pane="topRight" activeCell="AC1" activeCellId="0" sqref="AC1"/>
      <selection pane="bottomLeft" activeCell="A13" activeCellId="0" sqref="A13"/>
      <selection pane="bottomRight" activeCell="AE157" activeCellId="0" sqref="AE157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3" width="21.6"/>
    <col collapsed="false" customWidth="false" hidden="false" outlineLevel="0" max="43" min="2" style="3" width="11.53"/>
    <col collapsed="false" customWidth="false" hidden="false" outlineLevel="0" max="16384" min="49" style="3" width="11.53"/>
  </cols>
  <sheetData>
    <row r="1" s="4" customFormat="true" ht="12.8" hidden="false" customHeight="false" outlineLevel="0" collapsed="false">
      <c r="A1" s="11" t="s">
        <v>30</v>
      </c>
      <c r="B1" s="4" t="s">
        <v>31</v>
      </c>
      <c r="C1" s="4" t="s">
        <v>32</v>
      </c>
      <c r="D1" s="4" t="s">
        <v>33</v>
      </c>
      <c r="E1" s="4" t="s">
        <v>34</v>
      </c>
      <c r="F1" s="4" t="s">
        <v>35</v>
      </c>
      <c r="G1" s="4" t="s">
        <v>36</v>
      </c>
      <c r="H1" s="4" t="s">
        <v>37</v>
      </c>
      <c r="I1" s="4" t="s">
        <v>38</v>
      </c>
      <c r="J1" s="4" t="s">
        <v>39</v>
      </c>
      <c r="K1" s="4" t="s">
        <v>40</v>
      </c>
      <c r="L1" s="4" t="s">
        <v>41</v>
      </c>
      <c r="M1" s="4" t="s">
        <v>42</v>
      </c>
      <c r="N1" s="4" t="s">
        <v>43</v>
      </c>
      <c r="O1" s="4" t="s">
        <v>44</v>
      </c>
      <c r="P1" s="4" t="s">
        <v>45</v>
      </c>
      <c r="Q1" s="4" t="s">
        <v>46</v>
      </c>
      <c r="U1" s="4" t="s">
        <v>47</v>
      </c>
      <c r="V1" s="4" t="s">
        <v>48</v>
      </c>
      <c r="W1" s="4" t="s">
        <v>49</v>
      </c>
      <c r="X1" s="4" t="s">
        <v>50</v>
      </c>
      <c r="Y1" s="4" t="s">
        <v>51</v>
      </c>
      <c r="Z1" s="4" t="s">
        <v>52</v>
      </c>
      <c r="AA1" s="4" t="s">
        <v>53</v>
      </c>
      <c r="AB1" s="4" t="s">
        <v>54</v>
      </c>
      <c r="AC1" s="4" t="s">
        <v>55</v>
      </c>
      <c r="AD1" s="4" t="s">
        <v>56</v>
      </c>
      <c r="AE1" s="4" t="s">
        <v>57</v>
      </c>
      <c r="AR1" s="0"/>
      <c r="AS1" s="0"/>
      <c r="AT1" s="0"/>
      <c r="AU1" s="0"/>
      <c r="AV1" s="0"/>
    </row>
    <row r="2" s="1" customFormat="true" ht="12.8" hidden="false" customHeight="false" outlineLevel="0" collapsed="false">
      <c r="A2" s="12" t="s">
        <v>58</v>
      </c>
      <c r="B2" s="4" t="s">
        <v>59</v>
      </c>
      <c r="C2" s="4" t="s">
        <v>60</v>
      </c>
      <c r="D2" s="4" t="s">
        <v>61</v>
      </c>
      <c r="E2" s="4" t="s">
        <v>62</v>
      </c>
      <c r="F2" s="4" t="s">
        <v>63</v>
      </c>
      <c r="G2" s="4" t="s">
        <v>64</v>
      </c>
      <c r="H2" s="4" t="s">
        <v>65</v>
      </c>
      <c r="I2" s="4" t="s">
        <v>66</v>
      </c>
      <c r="J2" s="4" t="s">
        <v>67</v>
      </c>
      <c r="K2" s="4" t="s">
        <v>68</v>
      </c>
      <c r="L2" s="4" t="s">
        <v>69</v>
      </c>
      <c r="M2" s="4" t="s">
        <v>70</v>
      </c>
      <c r="N2" s="4" t="s">
        <v>71</v>
      </c>
      <c r="O2" s="4" t="s">
        <v>3</v>
      </c>
      <c r="P2" s="4" t="s">
        <v>72</v>
      </c>
      <c r="Q2" s="4" t="s">
        <v>73</v>
      </c>
      <c r="U2" s="1" t="n">
        <v>2016</v>
      </c>
      <c r="V2" s="1" t="n">
        <f aca="false">+U2+1</f>
        <v>2017</v>
      </c>
      <c r="W2" s="1" t="n">
        <f aca="false">+V2+1</f>
        <v>2018</v>
      </c>
      <c r="X2" s="1" t="n">
        <f aca="false">+W2+1</f>
        <v>2019</v>
      </c>
      <c r="Y2" s="1" t="n">
        <f aca="false">+X2+1</f>
        <v>2020</v>
      </c>
      <c r="Z2" s="1" t="n">
        <f aca="false">+Y2+1</f>
        <v>2021</v>
      </c>
      <c r="AA2" s="1" t="n">
        <f aca="false">+Z2+1</f>
        <v>2022</v>
      </c>
      <c r="AB2" s="1" t="n">
        <f aca="false">+AA2+1</f>
        <v>2023</v>
      </c>
      <c r="AC2" s="1" t="n">
        <f aca="false">+AB2+1</f>
        <v>2024</v>
      </c>
      <c r="AD2" s="1" t="n">
        <f aca="false">+AC2+1</f>
        <v>2025</v>
      </c>
      <c r="AE2" s="1" t="n">
        <f aca="false">+AD2+1</f>
        <v>2026</v>
      </c>
      <c r="AF2" s="1" t="n">
        <f aca="false">+AE2+1</f>
        <v>2027</v>
      </c>
      <c r="AG2" s="1" t="n">
        <f aca="false">+AF2+1</f>
        <v>2028</v>
      </c>
      <c r="AH2" s="1" t="n">
        <f aca="false">+AG2+1</f>
        <v>2029</v>
      </c>
      <c r="AI2" s="1" t="n">
        <f aca="false">+AH2+1</f>
        <v>2030</v>
      </c>
      <c r="AJ2" s="1" t="n">
        <f aca="false">+AI2+1</f>
        <v>2031</v>
      </c>
      <c r="AR2" s="0"/>
      <c r="AS2" s="0"/>
      <c r="AT2" s="0"/>
      <c r="AU2" s="0"/>
      <c r="AV2" s="0"/>
    </row>
    <row r="4" customFormat="false" ht="12.8" hidden="false" customHeight="false" outlineLevel="0" collapsed="false">
      <c r="A4" s="3" t="s">
        <v>74</v>
      </c>
      <c r="U4" s="3" t="n">
        <v>2578.2</v>
      </c>
      <c r="V4" s="3" t="n">
        <v>3107</v>
      </c>
      <c r="W4" s="3" t="n">
        <v>3715.7</v>
      </c>
      <c r="X4" s="3" t="n">
        <v>4330</v>
      </c>
    </row>
    <row r="6" s="13" customFormat="true" ht="12.8" hidden="false" customHeight="false" outlineLevel="0" collapsed="false">
      <c r="A6" s="13" t="s">
        <v>75</v>
      </c>
      <c r="U6" s="13" t="n">
        <v>1376.4</v>
      </c>
      <c r="V6" s="13" t="n">
        <v>1599.9</v>
      </c>
      <c r="W6" s="13" t="n">
        <v>2.0541</v>
      </c>
      <c r="X6" s="13" t="n">
        <v>2.7494</v>
      </c>
      <c r="AR6" s="14"/>
      <c r="AS6" s="14"/>
      <c r="AT6" s="14"/>
      <c r="AU6" s="14"/>
      <c r="AV6" s="14"/>
    </row>
    <row r="8" customFormat="false" ht="12.8" hidden="false" customHeight="false" outlineLevel="0" collapsed="false">
      <c r="A8" s="3" t="s">
        <v>76</v>
      </c>
      <c r="U8" s="3" t="n">
        <v>534</v>
      </c>
      <c r="V8" s="3" t="n">
        <v>515</v>
      </c>
      <c r="W8" s="3" t="n">
        <f aca="false">+W4/W6</f>
        <v>1808.91874787011</v>
      </c>
      <c r="X8" s="3" t="n">
        <f aca="false">+X4/X6</f>
        <v>1574.88906670546</v>
      </c>
    </row>
    <row r="12" customFormat="false" ht="12.8" hidden="false" customHeight="false" outlineLevel="0" collapsed="false">
      <c r="A12" s="3" t="s">
        <v>77</v>
      </c>
      <c r="B12" s="3" t="n">
        <v>582</v>
      </c>
      <c r="C12" s="3" t="n">
        <v>627</v>
      </c>
      <c r="D12" s="3" t="n">
        <v>675</v>
      </c>
      <c r="E12" s="3" t="n">
        <v>696</v>
      </c>
      <c r="F12" s="3" t="n">
        <v>674</v>
      </c>
      <c r="G12" s="3" t="n">
        <v>713</v>
      </c>
      <c r="H12" s="3" t="n">
        <v>751</v>
      </c>
      <c r="I12" s="3" t="n">
        <v>799</v>
      </c>
      <c r="J12" s="3" t="n">
        <v>809</v>
      </c>
      <c r="K12" s="3" t="n">
        <v>878</v>
      </c>
      <c r="L12" s="3" t="n">
        <v>921</v>
      </c>
      <c r="M12" s="3" t="n">
        <v>975</v>
      </c>
      <c r="N12" s="3" t="n">
        <v>970</v>
      </c>
      <c r="O12" s="3" t="n">
        <v>1029</v>
      </c>
      <c r="U12" s="3" t="n">
        <v>949.1</v>
      </c>
      <c r="V12" s="3" t="n">
        <v>880.9</v>
      </c>
      <c r="W12" s="3" t="n">
        <v>949.1</v>
      </c>
      <c r="Y12" s="3" t="n">
        <v>1377.1</v>
      </c>
      <c r="Z12" s="3" t="n">
        <v>1648.6</v>
      </c>
      <c r="AA12" s="3" t="n">
        <v>1969</v>
      </c>
      <c r="AB12" s="3" t="n">
        <v>2278</v>
      </c>
      <c r="AC12" s="3" t="n">
        <v>2580</v>
      </c>
      <c r="AD12" s="3" t="n">
        <v>2937</v>
      </c>
      <c r="AE12" s="3" t="n">
        <v>3583</v>
      </c>
    </row>
    <row r="13" s="15" customFormat="true" ht="10.5" hidden="false" customHeight="true" outlineLevel="0" collapsed="false">
      <c r="B13" s="15" t="n">
        <f aca="false">+B12/B$29</f>
        <v>0.458628841607565</v>
      </c>
      <c r="C13" s="15" t="n">
        <f aca="false">+C12/C$29</f>
        <v>0.466171003717472</v>
      </c>
      <c r="D13" s="15" t="n">
        <f aca="false">+D12/D$29</f>
        <v>0.477369165487977</v>
      </c>
      <c r="E13" s="15" t="n">
        <f aca="false">+E12/E$29</f>
        <v>0.473791695030633</v>
      </c>
      <c r="F13" s="15" t="n">
        <f aca="false">+F12/F$29</f>
        <v>0.475652787579393</v>
      </c>
      <c r="G13" s="15" t="n">
        <f aca="false">+G12/G$29</f>
        <v>0.47375415282392</v>
      </c>
      <c r="H13" s="15" t="n">
        <f aca="false">+H12/H$29</f>
        <v>0.478343949044586</v>
      </c>
      <c r="I13" s="15" t="n">
        <f aca="false">+I12/I$29</f>
        <v>0.487492373398414</v>
      </c>
      <c r="J13" s="15" t="n">
        <f aca="false">+J12/J$29</f>
        <v>0.495407225964483</v>
      </c>
      <c r="K13" s="15" t="n">
        <f aca="false">+K12/K$29</f>
        <v>0.498014747589336</v>
      </c>
      <c r="L13" s="15" t="n">
        <f aca="false">+L12/L$29</f>
        <v>0.497031840259039</v>
      </c>
      <c r="M13" s="15" t="n">
        <f aca="false">+M12/M$29</f>
        <v>0.498211548288196</v>
      </c>
      <c r="N13" s="15" t="n">
        <f aca="false">+N12/N$29</f>
        <v>0.501551189245088</v>
      </c>
      <c r="O13" s="15" t="n">
        <f aca="false">+O12/O$29</f>
        <v>0.502932551319648</v>
      </c>
      <c r="Y13" s="15" t="n">
        <f aca="false">+Y12/Y$29</f>
        <v>0.420578444247625</v>
      </c>
      <c r="Z13" s="15" t="n">
        <f aca="false">+Z12/Z$29</f>
        <v>0.434986807387863</v>
      </c>
      <c r="AA13" s="15" t="n">
        <f aca="false">+AA12/AA$29</f>
        <v>0.448928408572731</v>
      </c>
      <c r="AB13" s="15" t="n">
        <f aca="false">+AB12/AB$29</f>
        <v>0.455144855144855</v>
      </c>
      <c r="AC13" s="15" t="n">
        <f aca="false">+AC12/AC$29</f>
        <v>0.469346916499909</v>
      </c>
      <c r="AD13" s="15" t="n">
        <f aca="false">+AD12/AD$29</f>
        <v>0.479040939487849</v>
      </c>
      <c r="AE13" s="15" t="n">
        <f aca="false">+AE12/AE$29</f>
        <v>0.497224535109631</v>
      </c>
      <c r="AR13" s="0"/>
      <c r="AS13" s="0"/>
      <c r="AT13" s="0"/>
      <c r="AU13" s="0"/>
      <c r="AV13" s="0"/>
    </row>
    <row r="14" customFormat="false" ht="12.8" hidden="false" customHeight="false" outlineLevel="0" collapsed="false">
      <c r="A14" s="3" t="s">
        <v>26</v>
      </c>
      <c r="B14" s="3" t="n">
        <v>349</v>
      </c>
      <c r="C14" s="3" t="n">
        <v>364</v>
      </c>
      <c r="D14" s="3" t="n">
        <v>372</v>
      </c>
      <c r="E14" s="3" t="n">
        <v>377</v>
      </c>
      <c r="F14" s="3" t="n">
        <v>376</v>
      </c>
      <c r="G14" s="3" t="n">
        <v>389</v>
      </c>
      <c r="H14" s="3" t="n">
        <v>398</v>
      </c>
      <c r="I14" s="3" t="n">
        <v>409</v>
      </c>
      <c r="J14" s="3" t="n">
        <v>411</v>
      </c>
      <c r="K14" s="3" t="n">
        <v>440</v>
      </c>
      <c r="L14" s="3" t="n">
        <v>458</v>
      </c>
      <c r="M14" s="3" t="n">
        <v>478</v>
      </c>
      <c r="N14" s="3" t="n">
        <v>474</v>
      </c>
      <c r="O14" s="3" t="n">
        <v>500</v>
      </c>
      <c r="U14" s="3" t="n">
        <v>594.8</v>
      </c>
      <c r="V14" s="3" t="n">
        <v>326.7</v>
      </c>
      <c r="W14" s="3" t="n">
        <v>594.8</v>
      </c>
      <c r="Y14" s="3" t="n">
        <v>948.2</v>
      </c>
      <c r="Z14" s="3" t="n">
        <v>1099.4</v>
      </c>
      <c r="AA14" s="3" t="n">
        <v>1244</v>
      </c>
      <c r="AB14" s="3" t="n">
        <v>1387</v>
      </c>
      <c r="AC14" s="3" t="n">
        <v>1462</v>
      </c>
      <c r="AD14" s="3" t="n">
        <v>1572</v>
      </c>
      <c r="AE14" s="3" t="n">
        <v>1787</v>
      </c>
    </row>
    <row r="15" s="15" customFormat="true" ht="10.5" hidden="false" customHeight="true" outlineLevel="0" collapsed="false">
      <c r="B15" s="15" t="n">
        <f aca="false">+B14/B$29</f>
        <v>0.275019700551615</v>
      </c>
      <c r="C15" s="15" t="n">
        <f aca="false">+C14/C$29</f>
        <v>0.270631970260223</v>
      </c>
      <c r="D15" s="15" t="n">
        <f aca="false">+D14/D$29</f>
        <v>0.263083451202263</v>
      </c>
      <c r="E15" s="15" t="n">
        <f aca="false">+E14/E$29</f>
        <v>0.256637168141593</v>
      </c>
      <c r="F15" s="15" t="n">
        <f aca="false">+F14/F$29</f>
        <v>0.265349329569513</v>
      </c>
      <c r="G15" s="15" t="n">
        <f aca="false">+G14/G$29</f>
        <v>0.258471760797342</v>
      </c>
      <c r="H15" s="15" t="n">
        <f aca="false">+H14/H$29</f>
        <v>0.253503184713376</v>
      </c>
      <c r="I15" s="15" t="n">
        <f aca="false">+I14/I$29</f>
        <v>0.24954240390482</v>
      </c>
      <c r="J15" s="15" t="n">
        <f aca="false">+J14/J$29</f>
        <v>0.251684017146356</v>
      </c>
      <c r="K15" s="15" t="n">
        <f aca="false">+K14/K$29</f>
        <v>0.249574588769144</v>
      </c>
      <c r="L15" s="15" t="n">
        <f aca="false">+L14/L$29</f>
        <v>0.247166756610901</v>
      </c>
      <c r="M15" s="15" t="n">
        <f aca="false">+M14/M$29</f>
        <v>0.244251405212059</v>
      </c>
      <c r="N15" s="15" t="n">
        <f aca="false">+N14/N$29</f>
        <v>0.245087900723888</v>
      </c>
      <c r="O15" s="15" t="n">
        <f aca="false">+O14/O$29</f>
        <v>0.244379276637341</v>
      </c>
      <c r="Y15" s="15" t="n">
        <f aca="false">+Y14/Y$29</f>
        <v>0.289588614360321</v>
      </c>
      <c r="Z15" s="15" t="n">
        <f aca="false">+Z14/Z$29</f>
        <v>0.290079155672823</v>
      </c>
      <c r="AA15" s="15" t="n">
        <f aca="false">+AA14/AA$29</f>
        <v>0.283629730962152</v>
      </c>
      <c r="AB15" s="15" t="n">
        <f aca="false">+AB14/AB$29</f>
        <v>0.277122877122877</v>
      </c>
      <c r="AC15" s="15" t="n">
        <f aca="false">+AC14/AC$29</f>
        <v>0.265963252683282</v>
      </c>
      <c r="AD15" s="15" t="n">
        <f aca="false">+AD14/AD$29</f>
        <v>0.25640189202414</v>
      </c>
      <c r="AE15" s="15" t="n">
        <f aca="false">+AE14/AE$29</f>
        <v>0.247987787954482</v>
      </c>
      <c r="AR15" s="0"/>
      <c r="AS15" s="0"/>
      <c r="AT15" s="0"/>
      <c r="AU15" s="0"/>
      <c r="AV15" s="0"/>
    </row>
    <row r="16" customFormat="false" ht="12.8" hidden="false" customHeight="false" outlineLevel="0" collapsed="false">
      <c r="A16" s="3" t="s">
        <v>78</v>
      </c>
      <c r="B16" s="3" t="n">
        <v>246</v>
      </c>
      <c r="C16" s="3" t="n">
        <v>256</v>
      </c>
      <c r="D16" s="3" t="n">
        <v>269</v>
      </c>
      <c r="E16" s="3" t="n">
        <v>292</v>
      </c>
      <c r="F16" s="3" t="n">
        <v>268</v>
      </c>
      <c r="G16" s="3" t="n">
        <v>296</v>
      </c>
      <c r="H16" s="3" t="n">
        <v>307</v>
      </c>
      <c r="I16" s="3" t="n">
        <v>318</v>
      </c>
      <c r="J16" s="3" t="n">
        <v>309</v>
      </c>
      <c r="K16" s="3" t="n">
        <v>334</v>
      </c>
      <c r="L16" s="3" t="n">
        <v>355</v>
      </c>
      <c r="M16" s="3" t="n">
        <v>381</v>
      </c>
      <c r="N16" s="3" t="n">
        <v>367</v>
      </c>
      <c r="O16" s="3" t="n">
        <v>385</v>
      </c>
      <c r="U16" s="3" t="n">
        <v>724.6</v>
      </c>
      <c r="V16" s="3" t="n">
        <v>625.8</v>
      </c>
      <c r="W16" s="3" t="n">
        <v>724.6</v>
      </c>
      <c r="Y16" s="3" t="n">
        <v>726.1</v>
      </c>
      <c r="Z16" s="3" t="n">
        <v>798.6</v>
      </c>
      <c r="AA16" s="3" t="n">
        <v>876</v>
      </c>
      <c r="AB16" s="3" t="n">
        <v>978</v>
      </c>
      <c r="AC16" s="3" t="n">
        <v>1063</v>
      </c>
      <c r="AD16" s="3" t="n">
        <v>1189</v>
      </c>
      <c r="AE16" s="3" t="n">
        <v>1379</v>
      </c>
    </row>
    <row r="17" s="15" customFormat="true" ht="10.5" hidden="false" customHeight="true" outlineLevel="0" collapsed="false">
      <c r="B17" s="15" t="n">
        <f aca="false">+B16/B$29</f>
        <v>0.193853427895981</v>
      </c>
      <c r="C17" s="15" t="n">
        <f aca="false">+C16/C$29</f>
        <v>0.190334572490706</v>
      </c>
      <c r="D17" s="15" t="n">
        <f aca="false">+D16/D$29</f>
        <v>0.19024045261669</v>
      </c>
      <c r="E17" s="15" t="n">
        <f aca="false">+E16/E$29</f>
        <v>0.198774676650783</v>
      </c>
      <c r="F17" s="15" t="n">
        <f aca="false">+F16/F$29</f>
        <v>0.189131968948483</v>
      </c>
      <c r="G17" s="15" t="n">
        <f aca="false">+G16/G$29</f>
        <v>0.196677740863787</v>
      </c>
      <c r="H17" s="15" t="n">
        <f aca="false">+H16/H$29</f>
        <v>0.195541401273885</v>
      </c>
      <c r="I17" s="15" t="n">
        <f aca="false">+I16/I$29</f>
        <v>0.194020744356315</v>
      </c>
      <c r="J17" s="15" t="n">
        <f aca="false">+J16/J$29</f>
        <v>0.189222290263319</v>
      </c>
      <c r="K17" s="15" t="n">
        <f aca="false">+K16/K$29</f>
        <v>0.189449801474759</v>
      </c>
      <c r="L17" s="15" t="n">
        <f aca="false">+L16/L$29</f>
        <v>0.191581219643821</v>
      </c>
      <c r="M17" s="15" t="n">
        <f aca="false">+M16/M$29</f>
        <v>0.194685743484926</v>
      </c>
      <c r="N17" s="15" t="n">
        <f aca="false">+N16/N$29</f>
        <v>0.18976215098242</v>
      </c>
      <c r="O17" s="15" t="n">
        <f aca="false">+O16/O$29</f>
        <v>0.188172043010753</v>
      </c>
      <c r="Y17" s="15" t="n">
        <f aca="false">+Y16/Y$29</f>
        <v>0.221757322175732</v>
      </c>
      <c r="Z17" s="15" t="n">
        <f aca="false">+Z16/Z$29</f>
        <v>0.210712401055409</v>
      </c>
      <c r="AA17" s="15" t="n">
        <f aca="false">+AA16/AA$29</f>
        <v>0.199726402188783</v>
      </c>
      <c r="AB17" s="15" t="n">
        <f aca="false">+AB16/AB$29</f>
        <v>0.195404595404595</v>
      </c>
      <c r="AC17" s="15" t="n">
        <f aca="false">+AC16/AC$29</f>
        <v>0.193378206294342</v>
      </c>
      <c r="AD17" s="15" t="n">
        <f aca="false">+AD16/AD$29</f>
        <v>0.193932474310879</v>
      </c>
      <c r="AE17" s="15" t="n">
        <f aca="false">+AE16/AE$29</f>
        <v>0.191368304190952</v>
      </c>
      <c r="AR17" s="0"/>
      <c r="AS17" s="0"/>
      <c r="AT17" s="0"/>
      <c r="AU17" s="0"/>
      <c r="AV17" s="0"/>
    </row>
    <row r="18" customFormat="false" ht="12.8" hidden="false" customHeight="false" outlineLevel="0" collapsed="false">
      <c r="A18" s="3" t="s">
        <v>79</v>
      </c>
      <c r="B18" s="3" t="n">
        <v>71</v>
      </c>
      <c r="C18" s="3" t="n">
        <v>74</v>
      </c>
      <c r="D18" s="3" t="n">
        <v>73</v>
      </c>
      <c r="E18" s="3" t="n">
        <v>77</v>
      </c>
      <c r="F18" s="3" t="n">
        <v>71</v>
      </c>
      <c r="G18" s="3" t="n">
        <v>77</v>
      </c>
      <c r="H18" s="3" t="n">
        <v>83</v>
      </c>
      <c r="I18" s="3" t="n">
        <v>84</v>
      </c>
      <c r="J18" s="3" t="n">
        <v>76</v>
      </c>
      <c r="K18" s="3" t="n">
        <v>80</v>
      </c>
      <c r="L18" s="3" t="n">
        <v>86</v>
      </c>
      <c r="M18" s="3" t="n">
        <v>90</v>
      </c>
      <c r="N18" s="3" t="n">
        <v>86</v>
      </c>
      <c r="O18" s="3" t="n">
        <v>92</v>
      </c>
      <c r="U18" s="3" t="n">
        <v>160</v>
      </c>
      <c r="V18" s="3" t="n">
        <v>138.9</v>
      </c>
      <c r="W18" s="3" t="n">
        <v>160</v>
      </c>
      <c r="Y18" s="3" t="n">
        <v>199.2</v>
      </c>
      <c r="Z18" s="3" t="n">
        <v>219.4</v>
      </c>
      <c r="AA18" s="3" t="n">
        <v>259</v>
      </c>
      <c r="AB18" s="3" t="n">
        <v>291</v>
      </c>
      <c r="AC18" s="3" t="n">
        <v>295</v>
      </c>
      <c r="AD18" s="3" t="n">
        <v>315</v>
      </c>
      <c r="AE18" s="3" t="n">
        <v>332</v>
      </c>
    </row>
    <row r="19" s="15" customFormat="true" ht="10.5" hidden="false" customHeight="true" outlineLevel="0" collapsed="false">
      <c r="B19" s="15" t="n">
        <f aca="false">+B18/B$29</f>
        <v>0.0559495665878645</v>
      </c>
      <c r="C19" s="15" t="n">
        <f aca="false">+C18/C$29</f>
        <v>0.0550185873605948</v>
      </c>
      <c r="D19" s="15" t="n">
        <f aca="false">+D18/D$29</f>
        <v>0.0516265912305516</v>
      </c>
      <c r="E19" s="15" t="n">
        <f aca="false">+E18/E$29</f>
        <v>0.0524166099387338</v>
      </c>
      <c r="F19" s="15" t="n">
        <f aca="false">+F18/F$29</f>
        <v>0.050105857445307</v>
      </c>
      <c r="G19" s="15" t="n">
        <f aca="false">+G18/G$29</f>
        <v>0.0511627906976744</v>
      </c>
      <c r="H19" s="15" t="n">
        <f aca="false">+H18/H$29</f>
        <v>0.0528662420382166</v>
      </c>
      <c r="I19" s="15" t="n">
        <f aca="false">+I18/I$29</f>
        <v>0.0512507626601586</v>
      </c>
      <c r="J19" s="15" t="n">
        <f aca="false">+J18/J$29</f>
        <v>0.0465401102265769</v>
      </c>
      <c r="K19" s="15" t="n">
        <f aca="false">+K18/K$29</f>
        <v>0.0453771979580261</v>
      </c>
      <c r="L19" s="15" t="n">
        <f aca="false">+L18/L$29</f>
        <v>0.0464112250404749</v>
      </c>
      <c r="M19" s="15" t="n">
        <f aca="false">+M18/M$29</f>
        <v>0.0459887583035258</v>
      </c>
      <c r="N19" s="15" t="n">
        <f aca="false">+N18/N$29</f>
        <v>0.0444674250258532</v>
      </c>
      <c r="O19" s="15" t="n">
        <f aca="false">+O18/O$29</f>
        <v>0.0449657869012708</v>
      </c>
      <c r="Y19" s="15" t="n">
        <f aca="false">+Y18/Y$29</f>
        <v>0.0608374309012613</v>
      </c>
      <c r="Z19" s="15" t="n">
        <f aca="false">+Z18/Z$29</f>
        <v>0.0578891820580475</v>
      </c>
      <c r="AA19" s="15" t="n">
        <f aca="false">+AA18/AA$29</f>
        <v>0.0590515275877793</v>
      </c>
      <c r="AB19" s="15" t="n">
        <f aca="false">+AB18/AB$29</f>
        <v>0.0581418581418581</v>
      </c>
      <c r="AC19" s="15" t="n">
        <f aca="false">+AC18/AC$29</f>
        <v>0.0536656358013462</v>
      </c>
      <c r="AD19" s="15" t="n">
        <f aca="false">+AD18/AD$29</f>
        <v>0.0513782417223944</v>
      </c>
      <c r="AE19" s="15" t="n">
        <f aca="false">+AE18/AE$29</f>
        <v>0.0460727171801277</v>
      </c>
      <c r="AR19" s="0"/>
      <c r="AS19" s="0"/>
      <c r="AT19" s="0"/>
      <c r="AU19" s="0"/>
      <c r="AV19" s="0"/>
    </row>
    <row r="20" customFormat="false" ht="12.8" hidden="false" customHeight="false" outlineLevel="0" collapsed="false">
      <c r="A20" s="3" t="s">
        <v>29</v>
      </c>
      <c r="B20" s="3" t="n">
        <v>21</v>
      </c>
      <c r="C20" s="3" t="n">
        <v>24</v>
      </c>
      <c r="D20" s="3" t="n">
        <v>25</v>
      </c>
      <c r="E20" s="3" t="n">
        <v>27</v>
      </c>
      <c r="F20" s="3" t="n">
        <v>28</v>
      </c>
      <c r="G20" s="3" t="n">
        <v>30</v>
      </c>
      <c r="H20" s="3" t="n">
        <v>31</v>
      </c>
      <c r="I20" s="3" t="n">
        <v>29</v>
      </c>
      <c r="J20" s="3" t="n">
        <v>28</v>
      </c>
      <c r="K20" s="3" t="n">
        <v>31</v>
      </c>
      <c r="L20" s="3" t="n">
        <v>33</v>
      </c>
      <c r="M20" s="3" t="n">
        <v>33</v>
      </c>
      <c r="N20" s="3" t="n">
        <v>37</v>
      </c>
      <c r="O20" s="3" t="n">
        <v>40</v>
      </c>
      <c r="U20" s="3" t="n">
        <v>75.6</v>
      </c>
      <c r="V20" s="3" t="n">
        <v>58.7</v>
      </c>
      <c r="W20" s="3" t="n">
        <v>75.6</v>
      </c>
      <c r="Y20" s="3" t="n">
        <v>23.7</v>
      </c>
      <c r="Z20" s="3" t="n">
        <v>24.4</v>
      </c>
      <c r="AA20" s="3" t="n">
        <v>38</v>
      </c>
      <c r="AB20" s="3" t="n">
        <v>71</v>
      </c>
      <c r="AC20" s="3" t="n">
        <v>97</v>
      </c>
      <c r="AD20" s="3" t="n">
        <v>118</v>
      </c>
      <c r="AE20" s="3" t="n">
        <v>125</v>
      </c>
    </row>
    <row r="21" s="15" customFormat="true" ht="10.5" hidden="false" customHeight="true" outlineLevel="0" collapsed="false">
      <c r="B21" s="15" t="n">
        <f aca="false">+B20/B$29</f>
        <v>0.016548463356974</v>
      </c>
      <c r="C21" s="15" t="n">
        <f aca="false">+C20/C$29</f>
        <v>0.0178438661710037</v>
      </c>
      <c r="D21" s="15" t="n">
        <f aca="false">+D20/D$29</f>
        <v>0.0176803394625177</v>
      </c>
      <c r="E21" s="15" t="n">
        <f aca="false">+E20/E$29</f>
        <v>0.0183798502382573</v>
      </c>
      <c r="F21" s="15" t="n">
        <f aca="false">+F20/F$29</f>
        <v>0.0197600564573042</v>
      </c>
      <c r="G21" s="15" t="n">
        <f aca="false">+G20/G$29</f>
        <v>0.0199335548172757</v>
      </c>
      <c r="H21" s="15" t="n">
        <f aca="false">+H20/H$29</f>
        <v>0.0197452229299363</v>
      </c>
      <c r="I21" s="15" t="n">
        <f aca="false">+I20/I$29</f>
        <v>0.0176937156802929</v>
      </c>
      <c r="J21" s="15" t="n">
        <f aca="false">+J20/J$29</f>
        <v>0.0171463563992652</v>
      </c>
      <c r="K21" s="15" t="n">
        <f aca="false">+K20/K$29</f>
        <v>0.0175836642087351</v>
      </c>
      <c r="L21" s="15" t="n">
        <f aca="false">+L20/L$29</f>
        <v>0.0178089584457636</v>
      </c>
      <c r="M21" s="15" t="n">
        <f aca="false">+M20/M$29</f>
        <v>0.0168625447112928</v>
      </c>
      <c r="N21" s="15" t="n">
        <f aca="false">+N20/N$29</f>
        <v>0.0191313340227508</v>
      </c>
      <c r="O21" s="15" t="n">
        <f aca="false">+O20/O$29</f>
        <v>0.0195503421309873</v>
      </c>
      <c r="Y21" s="15" t="n">
        <f aca="false">+Y20/Y$29</f>
        <v>0.00723818831505971</v>
      </c>
      <c r="Z21" s="15" t="n">
        <f aca="false">+Z20/Z$29</f>
        <v>0.00643799472295514</v>
      </c>
      <c r="AA21" s="15" t="n">
        <f aca="false">+AA20/AA$29</f>
        <v>0.00866393068855449</v>
      </c>
      <c r="AB21" s="15" t="n">
        <f aca="false">+AB20/AB$29</f>
        <v>0.0141858141858142</v>
      </c>
      <c r="AC21" s="15" t="n">
        <f aca="false">+AC20/AC$29</f>
        <v>0.0176459887211206</v>
      </c>
      <c r="AD21" s="15" t="n">
        <f aca="false">+AD20/AD$29</f>
        <v>0.0192464524547382</v>
      </c>
      <c r="AE21" s="15" t="n">
        <f aca="false">+AE20/AE$29</f>
        <v>0.0173466555648071</v>
      </c>
      <c r="AR21" s="0"/>
      <c r="AS21" s="0"/>
      <c r="AT21" s="0"/>
      <c r="AU21" s="0"/>
      <c r="AV21" s="0"/>
    </row>
    <row r="25" customFormat="false" ht="12.8" hidden="false" customHeight="false" outlineLevel="0" collapsed="false">
      <c r="A25" s="3" t="s">
        <v>80</v>
      </c>
      <c r="B25" s="3" t="n">
        <v>1193</v>
      </c>
      <c r="C25" s="3" t="n">
        <v>1270</v>
      </c>
      <c r="D25" s="3" t="n">
        <v>1314</v>
      </c>
      <c r="E25" s="3" t="n">
        <v>1339</v>
      </c>
      <c r="F25" s="3" t="n">
        <v>1330</v>
      </c>
      <c r="G25" s="3" t="n">
        <v>1408</v>
      </c>
      <c r="H25" s="3" t="n">
        <v>1457</v>
      </c>
      <c r="I25" s="3" t="n">
        <v>1522</v>
      </c>
      <c r="J25" s="3" t="n">
        <v>1540</v>
      </c>
      <c r="K25" s="3" t="n">
        <v>1667</v>
      </c>
      <c r="L25" s="3" t="n">
        <v>1734</v>
      </c>
      <c r="M25" s="3" t="n">
        <v>1819</v>
      </c>
      <c r="N25" s="3" t="n">
        <v>1836</v>
      </c>
      <c r="O25" s="3" t="n">
        <v>1952</v>
      </c>
      <c r="U25" s="3" t="n">
        <v>228.1</v>
      </c>
      <c r="V25" s="3" t="n">
        <v>443.1</v>
      </c>
      <c r="W25" s="3" t="n">
        <v>894.3</v>
      </c>
      <c r="X25" s="3" t="n">
        <v>1802.3</v>
      </c>
      <c r="Y25" s="3" t="n">
        <v>2751.9</v>
      </c>
      <c r="Z25" s="3" t="n">
        <v>3381</v>
      </c>
      <c r="AA25" s="3" t="n">
        <v>4060</v>
      </c>
      <c r="AB25" s="3" t="n">
        <v>4651</v>
      </c>
      <c r="AC25" s="3" t="n">
        <v>5116</v>
      </c>
      <c r="AD25" s="3" t="n">
        <v>5717</v>
      </c>
      <c r="AE25" s="3" t="n">
        <v>6743</v>
      </c>
    </row>
    <row r="26" s="15" customFormat="true" ht="10.5" hidden="false" customHeight="true" outlineLevel="0" collapsed="false">
      <c r="B26" s="15" t="n">
        <f aca="false">+B25/B$29</f>
        <v>0.940110323089047</v>
      </c>
      <c r="C26" s="15" t="n">
        <f aca="false">+C25/C$29</f>
        <v>0.944237918215613</v>
      </c>
      <c r="D26" s="15" t="n">
        <f aca="false">+D25/D$29</f>
        <v>0.929278642149929</v>
      </c>
      <c r="E26" s="15" t="n">
        <f aca="false">+E25/E$29</f>
        <v>0.911504424778761</v>
      </c>
      <c r="F26" s="15" t="n">
        <f aca="false">+F25/F$29</f>
        <v>0.938602681721948</v>
      </c>
      <c r="G26" s="15" t="n">
        <f aca="false">+G25/G$29</f>
        <v>0.935548172757475</v>
      </c>
      <c r="H26" s="15" t="n">
        <f aca="false">+H25/H$29</f>
        <v>0.928025477707006</v>
      </c>
      <c r="I26" s="15" t="n">
        <f aca="false">+I25/I$29</f>
        <v>0.928615009151922</v>
      </c>
      <c r="J26" s="15" t="n">
        <f aca="false">+J25/J$29</f>
        <v>0.943049601959584</v>
      </c>
      <c r="K26" s="15" t="n">
        <f aca="false">+K25/K$29</f>
        <v>0.945547362450369</v>
      </c>
      <c r="L26" s="15" t="n">
        <f aca="false">+L25/L$29</f>
        <v>0.935779816513762</v>
      </c>
      <c r="M26" s="15" t="n">
        <f aca="false">+M25/M$29</f>
        <v>0.929483903934594</v>
      </c>
      <c r="N26" s="15" t="n">
        <f aca="false">+N25/N$29</f>
        <v>0.949327817993795</v>
      </c>
      <c r="O26" s="15" t="n">
        <f aca="false">+O25/O$29</f>
        <v>0.95405669599218</v>
      </c>
      <c r="U26" s="15" t="n">
        <f aca="false">+U25/U$29</f>
        <v>0.0910906113973084</v>
      </c>
      <c r="V26" s="15" t="n">
        <f aca="false">+V25/V$29</f>
        <v>0.218168389955687</v>
      </c>
      <c r="W26" s="15" t="n">
        <f aca="false">+W25/W$29</f>
        <v>0.434843917144802</v>
      </c>
      <c r="X26" s="15" t="n">
        <f aca="false">+X25/X$29</f>
        <v>0.701338625573975</v>
      </c>
      <c r="Y26" s="15" t="n">
        <f aca="false">+Y25/Y$29</f>
        <v>0.840454448279022</v>
      </c>
      <c r="Z26" s="15" t="n">
        <f aca="false">+Z25/Z$29</f>
        <v>0.892084432717678</v>
      </c>
      <c r="AA26" s="15" t="n">
        <f aca="false">+AA25/AA$29</f>
        <v>0.925672594619243</v>
      </c>
      <c r="AB26" s="15" t="n">
        <f aca="false">+AB25/AB$29</f>
        <v>0.929270729270729</v>
      </c>
      <c r="AC26" s="15" t="n">
        <f aca="false">+AC25/AC$29</f>
        <v>0.93068946698199</v>
      </c>
      <c r="AD26" s="15" t="n">
        <f aca="false">+AD25/AD$29</f>
        <v>0.932474310879139</v>
      </c>
      <c r="AE26" s="15" t="n">
        <f aca="false">+AE25/AE$29</f>
        <v>0.935747987787954</v>
      </c>
      <c r="AR26" s="0"/>
      <c r="AS26" s="0"/>
      <c r="AT26" s="0"/>
      <c r="AU26" s="0"/>
      <c r="AV26" s="0"/>
    </row>
    <row r="27" customFormat="false" ht="12.8" hidden="false" customHeight="false" outlineLevel="0" collapsed="false">
      <c r="A27" s="3" t="s">
        <v>29</v>
      </c>
      <c r="B27" s="3" t="n">
        <f aca="false">+14+62</f>
        <v>76</v>
      </c>
      <c r="C27" s="3" t="n">
        <f aca="false">+14+61</f>
        <v>75</v>
      </c>
      <c r="D27" s="3" t="n">
        <f aca="false">+12+88</f>
        <v>100</v>
      </c>
      <c r="E27" s="3" t="n">
        <f aca="false">+14+116</f>
        <v>130</v>
      </c>
      <c r="F27" s="3" t="n">
        <f aca="false">+11+76</f>
        <v>87</v>
      </c>
      <c r="G27" s="3" t="n">
        <f aca="false">+11+86</f>
        <v>97</v>
      </c>
      <c r="H27" s="3" t="n">
        <f aca="false">+9+104</f>
        <v>113</v>
      </c>
      <c r="I27" s="3" t="n">
        <f aca="false">+10+107</f>
        <v>117</v>
      </c>
      <c r="J27" s="3" t="n">
        <v>93</v>
      </c>
      <c r="K27" s="3" t="n">
        <v>96</v>
      </c>
      <c r="L27" s="3" t="n">
        <f aca="false">+8+111</f>
        <v>119</v>
      </c>
      <c r="M27" s="3" t="n">
        <f aca="false">+8+130</f>
        <v>138</v>
      </c>
      <c r="N27" s="3" t="n">
        <v>98</v>
      </c>
      <c r="O27" s="3" t="n">
        <v>94</v>
      </c>
      <c r="U27" s="3" t="n">
        <f aca="false">+1123.5+1152.5</f>
        <v>2276</v>
      </c>
      <c r="V27" s="3" t="n">
        <f aca="false">+1103.1+484.8</f>
        <v>1587.9</v>
      </c>
      <c r="W27" s="3" t="n">
        <f aca="false">+989.6+172.7</f>
        <v>1162.3</v>
      </c>
      <c r="X27" s="3" t="n">
        <f aca="false">+635.1+132.4</f>
        <v>767.5</v>
      </c>
      <c r="Y27" s="3" t="n">
        <f aca="false">+386.6+135.8</f>
        <v>522.4</v>
      </c>
      <c r="Z27" s="3" t="n">
        <f aca="false">+183+226</f>
        <v>409</v>
      </c>
      <c r="AA27" s="3" t="n">
        <f aca="false">+76+250</f>
        <v>326</v>
      </c>
      <c r="AB27" s="3" t="n">
        <f aca="false">+65+289</f>
        <v>354</v>
      </c>
      <c r="AC27" s="3" t="n">
        <f aca="false">+54+327</f>
        <v>381</v>
      </c>
      <c r="AD27" s="3" t="n">
        <f aca="false">+41+373</f>
        <v>414</v>
      </c>
      <c r="AE27" s="3" t="n">
        <f aca="false">+430+33</f>
        <v>463</v>
      </c>
    </row>
    <row r="28" s="15" customFormat="true" ht="10.5" hidden="false" customHeight="true" outlineLevel="0" collapsed="false">
      <c r="B28" s="15" t="n">
        <f aca="false">+B27/B$29</f>
        <v>0.0598896769109535</v>
      </c>
      <c r="C28" s="15" t="n">
        <f aca="false">+C27/C$29</f>
        <v>0.0557620817843866</v>
      </c>
      <c r="D28" s="15" t="n">
        <f aca="false">+D27/D$29</f>
        <v>0.0707213578500707</v>
      </c>
      <c r="E28" s="15" t="n">
        <f aca="false">+E27/E$29</f>
        <v>0.0884955752212389</v>
      </c>
      <c r="F28" s="15" t="n">
        <f aca="false">+F27/F$29</f>
        <v>0.0613973182780522</v>
      </c>
      <c r="G28" s="15" t="n">
        <f aca="false">+G27/G$29</f>
        <v>0.0644518272425249</v>
      </c>
      <c r="H28" s="15" t="n">
        <f aca="false">+H27/H$29</f>
        <v>0.0719745222929936</v>
      </c>
      <c r="I28" s="15" t="n">
        <f aca="false">+I27/I$29</f>
        <v>0.0713849908480781</v>
      </c>
      <c r="J28" s="15" t="n">
        <f aca="false">+J27/J$29</f>
        <v>0.0569503980404164</v>
      </c>
      <c r="K28" s="15" t="n">
        <f aca="false">+K27/K$29</f>
        <v>0.0544526375496313</v>
      </c>
      <c r="L28" s="15" t="n">
        <f aca="false">+L27/L$29</f>
        <v>0.0642201834862385</v>
      </c>
      <c r="M28" s="15" t="n">
        <f aca="false">+M27/M$29</f>
        <v>0.0705160960654062</v>
      </c>
      <c r="N28" s="15" t="n">
        <f aca="false">+N27/N$29</f>
        <v>0.0506721820062048</v>
      </c>
      <c r="O28" s="15" t="n">
        <f aca="false">+O27/O$29</f>
        <v>0.0459433040078201</v>
      </c>
      <c r="U28" s="15" t="n">
        <f aca="false">+U27/U$29</f>
        <v>0.908909388602692</v>
      </c>
      <c r="V28" s="15" t="n">
        <f aca="false">+V27/V$29</f>
        <v>0.781831610044313</v>
      </c>
      <c r="W28" s="15" t="n">
        <f aca="false">+W27/W$29</f>
        <v>0.565156082855198</v>
      </c>
      <c r="X28" s="15" t="n">
        <f aca="false">+X27/X$29</f>
        <v>0.298661374426025</v>
      </c>
      <c r="Y28" s="15" t="n">
        <f aca="false">+Y27/Y$29</f>
        <v>0.159545551720979</v>
      </c>
      <c r="Z28" s="15" t="n">
        <f aca="false">+Z27/Z$29</f>
        <v>0.107915567282322</v>
      </c>
      <c r="AA28" s="15" t="n">
        <f aca="false">+AA27/AA$29</f>
        <v>0.074327405380757</v>
      </c>
      <c r="AB28" s="15" t="n">
        <f aca="false">+AB27/AB$29</f>
        <v>0.0707292707292707</v>
      </c>
      <c r="AC28" s="15" t="n">
        <f aca="false">+AC27/AC$29</f>
        <v>0.0693105330180098</v>
      </c>
      <c r="AD28" s="15" t="n">
        <f aca="false">+AD27/AD$29</f>
        <v>0.0675256891208612</v>
      </c>
      <c r="AE28" s="15" t="n">
        <f aca="false">+AE27/AE$29</f>
        <v>0.0642520122120455</v>
      </c>
      <c r="AR28" s="0"/>
      <c r="AS28" s="0"/>
      <c r="AT28" s="0"/>
      <c r="AU28" s="0"/>
      <c r="AV28" s="0"/>
    </row>
    <row r="29" s="16" customFormat="true" ht="12.8" hidden="false" customHeight="false" outlineLevel="0" collapsed="false">
      <c r="A29" s="16" t="s">
        <v>81</v>
      </c>
      <c r="B29" s="16" t="n">
        <f aca="false">+B27+B25</f>
        <v>1269</v>
      </c>
      <c r="C29" s="16" t="n">
        <f aca="false">+C27+C25</f>
        <v>1345</v>
      </c>
      <c r="D29" s="16" t="n">
        <f aca="false">+D27+D25</f>
        <v>1414</v>
      </c>
      <c r="E29" s="16" t="n">
        <f aca="false">+E27+E25</f>
        <v>1469</v>
      </c>
      <c r="F29" s="16" t="n">
        <f aca="false">+F27+F25</f>
        <v>1417</v>
      </c>
      <c r="G29" s="16" t="n">
        <f aca="false">+G27+G25</f>
        <v>1505</v>
      </c>
      <c r="H29" s="16" t="n">
        <f aca="false">+H27+H25</f>
        <v>1570</v>
      </c>
      <c r="I29" s="16" t="n">
        <f aca="false">+I27+I25</f>
        <v>1639</v>
      </c>
      <c r="J29" s="16" t="n">
        <f aca="false">+J27+J25</f>
        <v>1633</v>
      </c>
      <c r="K29" s="16" t="n">
        <f aca="false">+K27+K25</f>
        <v>1763</v>
      </c>
      <c r="L29" s="16" t="n">
        <f aca="false">+L27+L25</f>
        <v>1853</v>
      </c>
      <c r="M29" s="16" t="n">
        <f aca="false">+M27+M25</f>
        <v>1957</v>
      </c>
      <c r="N29" s="16" t="n">
        <f aca="false">+N27+N25</f>
        <v>1934</v>
      </c>
      <c r="O29" s="16" t="n">
        <f aca="false">+O27+O25</f>
        <v>2046</v>
      </c>
      <c r="P29" s="16" t="n">
        <f aca="false">+P27+P25</f>
        <v>0</v>
      </c>
      <c r="Q29" s="16" t="n">
        <f aca="false">+Q27+Q25</f>
        <v>0</v>
      </c>
      <c r="U29" s="16" t="n">
        <f aca="false">+U27+U25</f>
        <v>2504.1</v>
      </c>
      <c r="V29" s="16" t="n">
        <f aca="false">+V27+V25</f>
        <v>2031</v>
      </c>
      <c r="W29" s="16" t="n">
        <f aca="false">+W27+W25</f>
        <v>2056.6</v>
      </c>
      <c r="X29" s="16" t="n">
        <f aca="false">+X27+X25</f>
        <v>2569.8</v>
      </c>
      <c r="Y29" s="16" t="n">
        <f aca="false">+Y27+Y25</f>
        <v>3274.3</v>
      </c>
      <c r="Z29" s="16" t="n">
        <f aca="false">+Z27+Z25</f>
        <v>3790</v>
      </c>
      <c r="AA29" s="16" t="n">
        <f aca="false">+AA27+AA25</f>
        <v>4386</v>
      </c>
      <c r="AB29" s="16" t="n">
        <f aca="false">+AB27+AB25</f>
        <v>5005</v>
      </c>
      <c r="AC29" s="16" t="n">
        <f aca="false">+AC27+AC25</f>
        <v>5497</v>
      </c>
      <c r="AD29" s="16" t="n">
        <f aca="false">+AD27+AD25</f>
        <v>6131</v>
      </c>
      <c r="AE29" s="16" t="n">
        <f aca="false">+AE27+AE25</f>
        <v>7206</v>
      </c>
      <c r="AF29" s="16" t="n">
        <f aca="false">+AE29*1.15</f>
        <v>8286.9</v>
      </c>
      <c r="AG29" s="16" t="n">
        <f aca="false">+AF29*1.14</f>
        <v>9447.066</v>
      </c>
      <c r="AH29" s="16" t="n">
        <f aca="false">+AG29*1.13</f>
        <v>10675.18458</v>
      </c>
      <c r="AI29" s="16" t="n">
        <f aca="false">+AH29*1.12</f>
        <v>11956.2067296</v>
      </c>
      <c r="AJ29" s="16" t="n">
        <f aca="false">+AI29*1.11</f>
        <v>13271.389469856</v>
      </c>
      <c r="AR29" s="0"/>
      <c r="AS29" s="0"/>
      <c r="AT29" s="0"/>
      <c r="AU29" s="0"/>
      <c r="AV29" s="0"/>
    </row>
    <row r="30" s="15" customFormat="true" ht="10.5" hidden="false" customHeight="true" outlineLevel="0" collapsed="false">
      <c r="F30" s="15" t="n">
        <f aca="false">+F29/B29-1</f>
        <v>0.116627265563436</v>
      </c>
      <c r="G30" s="15" t="n">
        <f aca="false">+G29/C29-1</f>
        <v>0.118959107806691</v>
      </c>
      <c r="H30" s="15" t="n">
        <f aca="false">+H29/D29-1</f>
        <v>0.11032531824611</v>
      </c>
      <c r="I30" s="15" t="n">
        <f aca="false">+I29/E29-1</f>
        <v>0.11572498298162</v>
      </c>
      <c r="J30" s="15" t="n">
        <f aca="false">+J29/F29-1</f>
        <v>0.152434721242061</v>
      </c>
      <c r="K30" s="15" t="n">
        <f aca="false">+K29/G29-1</f>
        <v>0.171428571428571</v>
      </c>
      <c r="L30" s="15" t="n">
        <f aca="false">+L29/H29-1</f>
        <v>0.180254777070064</v>
      </c>
      <c r="M30" s="15" t="n">
        <f aca="false">+M29/I29-1</f>
        <v>0.194020744356315</v>
      </c>
      <c r="N30" s="15" t="n">
        <f aca="false">+N29/J29-1</f>
        <v>0.1843233312921</v>
      </c>
      <c r="O30" s="15" t="n">
        <f aca="false">+O29/K29-1</f>
        <v>0.160521837776517</v>
      </c>
      <c r="V30" s="15" t="n">
        <f aca="false">+V29/U29-1</f>
        <v>-0.188930154546544</v>
      </c>
      <c r="W30" s="15" t="n">
        <f aca="false">+W29/V29-1</f>
        <v>0.0126046282619399</v>
      </c>
      <c r="X30" s="15" t="n">
        <f aca="false">+X29/W29-1</f>
        <v>0.249538072546922</v>
      </c>
      <c r="Y30" s="15" t="n">
        <f aca="false">+Y29/X29-1</f>
        <v>0.274145847925909</v>
      </c>
      <c r="Z30" s="15" t="n">
        <f aca="false">+Z29/Y29-1</f>
        <v>0.157499312830223</v>
      </c>
      <c r="AA30" s="15" t="n">
        <f aca="false">+AA29/Z29-1</f>
        <v>0.157255936675462</v>
      </c>
      <c r="AB30" s="15" t="n">
        <f aca="false">+AB29/AA29-1</f>
        <v>0.141130870953032</v>
      </c>
      <c r="AC30" s="15" t="n">
        <f aca="false">+AC29/AB29-1</f>
        <v>0.0983016983016982</v>
      </c>
      <c r="AD30" s="15" t="n">
        <f aca="false">+AD29/AC29-1</f>
        <v>0.11533563762052</v>
      </c>
      <c r="AE30" s="15" t="n">
        <f aca="false">+AE29/AD29-1</f>
        <v>0.175338443973251</v>
      </c>
      <c r="AF30" s="15" t="n">
        <f aca="false">+AF29/AE29-1</f>
        <v>0.15</v>
      </c>
      <c r="AG30" s="15" t="n">
        <f aca="false">+AG29/AF29-1</f>
        <v>0.14</v>
      </c>
      <c r="AH30" s="15" t="n">
        <f aca="false">+AH29/AG29-1</f>
        <v>0.13</v>
      </c>
      <c r="AI30" s="15" t="n">
        <f aca="false">+AI29/AH29-1</f>
        <v>0.12</v>
      </c>
      <c r="AJ30" s="15" t="n">
        <f aca="false">+AJ29/AI29-1</f>
        <v>0.11</v>
      </c>
      <c r="AR30" s="0"/>
      <c r="AS30" s="0"/>
      <c r="AT30" s="0"/>
      <c r="AU30" s="0"/>
      <c r="AV30" s="0"/>
    </row>
    <row r="31" customFormat="false" ht="12.8" hidden="false" customHeight="false" outlineLevel="0" collapsed="false">
      <c r="A31" s="3" t="s">
        <v>82</v>
      </c>
      <c r="B31" s="3" t="n">
        <v>96</v>
      </c>
      <c r="C31" s="3" t="n">
        <v>95</v>
      </c>
      <c r="D31" s="3" t="n">
        <v>94</v>
      </c>
      <c r="E31" s="3" t="n">
        <v>96</v>
      </c>
      <c r="F31" s="3" t="n">
        <v>100</v>
      </c>
      <c r="G31" s="3" t="n">
        <v>100</v>
      </c>
      <c r="H31" s="3" t="n">
        <v>105</v>
      </c>
      <c r="I31" s="3" t="n">
        <v>108</v>
      </c>
      <c r="J31" s="3" t="n">
        <v>111</v>
      </c>
      <c r="K31" s="3" t="n">
        <v>114</v>
      </c>
      <c r="L31" s="3" t="n">
        <v>118</v>
      </c>
      <c r="M31" s="3" t="n">
        <v>120</v>
      </c>
      <c r="N31" s="3" t="n">
        <v>129</v>
      </c>
      <c r="O31" s="3" t="n">
        <v>130</v>
      </c>
      <c r="U31" s="3" t="n">
        <v>162.3</v>
      </c>
      <c r="V31" s="3" t="n">
        <v>191.7</v>
      </c>
      <c r="W31" s="3" t="n">
        <v>214.4</v>
      </c>
      <c r="X31" s="3" t="n">
        <v>216</v>
      </c>
      <c r="Y31" s="3" t="n">
        <v>223.9</v>
      </c>
      <c r="Z31" s="3" t="n">
        <v>242</v>
      </c>
      <c r="AA31" s="3" t="n">
        <v>299</v>
      </c>
      <c r="AB31" s="3" t="n">
        <v>343</v>
      </c>
      <c r="AC31" s="3" t="n">
        <v>381</v>
      </c>
      <c r="AD31" s="3" t="n">
        <v>413</v>
      </c>
      <c r="AE31" s="3" t="n">
        <v>463</v>
      </c>
    </row>
    <row r="32" s="15" customFormat="true" ht="10.5" hidden="false" customHeight="true" outlineLevel="0" collapsed="false">
      <c r="B32" s="15" t="n">
        <f aca="false">+B31/B$29</f>
        <v>0.0756501182033097</v>
      </c>
      <c r="C32" s="15" t="n">
        <f aca="false">+C31/C$29</f>
        <v>0.0706319702602231</v>
      </c>
      <c r="D32" s="15" t="n">
        <f aca="false">+D31/D$29</f>
        <v>0.0664780763790665</v>
      </c>
      <c r="E32" s="15" t="n">
        <f aca="false">+E31/E$29</f>
        <v>0.0653505786249149</v>
      </c>
      <c r="F32" s="15" t="n">
        <f aca="false">+F31/F$29</f>
        <v>0.0705716302046577</v>
      </c>
      <c r="G32" s="15" t="n">
        <f aca="false">+G31/G$29</f>
        <v>0.0664451827242525</v>
      </c>
      <c r="H32" s="15" t="n">
        <f aca="false">+H31/H$29</f>
        <v>0.0668789808917197</v>
      </c>
      <c r="I32" s="15" t="n">
        <f aca="false">+I31/I$29</f>
        <v>0.0658938377059182</v>
      </c>
      <c r="J32" s="15" t="n">
        <f aca="false">+J31/J$29</f>
        <v>0.0679730557256583</v>
      </c>
      <c r="K32" s="15" t="n">
        <f aca="false">+K31/K$29</f>
        <v>0.0646625070901872</v>
      </c>
      <c r="L32" s="15" t="n">
        <f aca="false">+L31/L$29</f>
        <v>0.0636805180787912</v>
      </c>
      <c r="M32" s="15" t="n">
        <f aca="false">+M31/M$29</f>
        <v>0.0613183444047011</v>
      </c>
      <c r="N32" s="15" t="n">
        <f aca="false">+N31/N$29</f>
        <v>0.0667011375387797</v>
      </c>
      <c r="O32" s="15" t="n">
        <f aca="false">+O31/O$29</f>
        <v>0.0635386119257087</v>
      </c>
      <c r="U32" s="15" t="n">
        <f aca="false">+U31/U$29</f>
        <v>0.0648137055229424</v>
      </c>
      <c r="V32" s="15" t="n">
        <f aca="false">+V31/V$29</f>
        <v>0.0943870014771049</v>
      </c>
      <c r="W32" s="15" t="n">
        <f aca="false">+W31/W$29</f>
        <v>0.104249732568317</v>
      </c>
      <c r="X32" s="15" t="n">
        <f aca="false">+X31/X$29</f>
        <v>0.084053233714686</v>
      </c>
      <c r="Y32" s="15" t="n">
        <f aca="false">+Y31/Y$29</f>
        <v>0.068381028005986</v>
      </c>
      <c r="Z32" s="15" t="n">
        <f aca="false">+Z31/Z$29</f>
        <v>0.0638522427440633</v>
      </c>
      <c r="AA32" s="15" t="n">
        <f aca="false">+AA31/AA$29</f>
        <v>0.068171454628363</v>
      </c>
      <c r="AB32" s="15" t="n">
        <f aca="false">+AB31/AB$29</f>
        <v>0.0685314685314685</v>
      </c>
      <c r="AC32" s="15" t="n">
        <f aca="false">+AC31/AC$29</f>
        <v>0.0693105330180098</v>
      </c>
      <c r="AD32" s="15" t="n">
        <f aca="false">+AD31/AD$29</f>
        <v>0.0673625835915838</v>
      </c>
      <c r="AE32" s="15" t="n">
        <f aca="false">+AE31/AE$29</f>
        <v>0.0642520122120455</v>
      </c>
      <c r="AR32" s="0"/>
      <c r="AS32" s="0"/>
      <c r="AT32" s="0"/>
      <c r="AU32" s="0"/>
      <c r="AV32" s="0"/>
    </row>
    <row r="33" customFormat="false" ht="12.8" hidden="false" customHeight="false" outlineLevel="0" collapsed="false">
      <c r="A33" s="3" t="s">
        <v>83</v>
      </c>
      <c r="B33" s="3" t="n">
        <v>20</v>
      </c>
      <c r="C33" s="3" t="n">
        <v>21</v>
      </c>
      <c r="D33" s="3" t="n">
        <v>21</v>
      </c>
      <c r="E33" s="3" t="n">
        <v>20</v>
      </c>
      <c r="F33" s="3" t="n">
        <v>20</v>
      </c>
      <c r="G33" s="3" t="n">
        <v>18</v>
      </c>
      <c r="H33" s="3" t="n">
        <v>19</v>
      </c>
      <c r="I33" s="3" t="n">
        <v>23</v>
      </c>
      <c r="J33" s="3" t="n">
        <v>24</v>
      </c>
      <c r="K33" s="3" t="n">
        <v>22</v>
      </c>
      <c r="L33" s="3" t="n">
        <v>22</v>
      </c>
      <c r="M33" s="3" t="n">
        <v>22</v>
      </c>
      <c r="N33" s="3" t="n">
        <v>21</v>
      </c>
      <c r="O33" s="3" t="n">
        <v>22</v>
      </c>
      <c r="U33" s="3" t="n">
        <v>159.4</v>
      </c>
      <c r="V33" s="3" t="n">
        <v>110.2</v>
      </c>
      <c r="W33" s="3" t="n">
        <v>72.6</v>
      </c>
      <c r="X33" s="3" t="n">
        <v>54.4</v>
      </c>
      <c r="Y33" s="3" t="n">
        <v>66.5</v>
      </c>
      <c r="Z33" s="3" t="n">
        <v>64</v>
      </c>
      <c r="AA33" s="3" t="n">
        <v>67</v>
      </c>
      <c r="AB33" s="3" t="n">
        <v>79</v>
      </c>
      <c r="AC33" s="3" t="n">
        <v>82</v>
      </c>
      <c r="AD33" s="3" t="n">
        <v>80</v>
      </c>
      <c r="AE33" s="3" t="n">
        <v>90</v>
      </c>
    </row>
    <row r="34" s="15" customFormat="true" ht="10.5" hidden="false" customHeight="true" outlineLevel="0" collapsed="false">
      <c r="B34" s="15" t="n">
        <f aca="false">+B33/B$29</f>
        <v>0.0157604412923562</v>
      </c>
      <c r="C34" s="15" t="n">
        <f aca="false">+C33/C$29</f>
        <v>0.0156133828996283</v>
      </c>
      <c r="D34" s="15" t="n">
        <f aca="false">+D33/D$29</f>
        <v>0.0148514851485149</v>
      </c>
      <c r="E34" s="15" t="n">
        <f aca="false">+E33/E$29</f>
        <v>0.0136147038801906</v>
      </c>
      <c r="F34" s="15" t="n">
        <f aca="false">+F33/F$29</f>
        <v>0.0141143260409315</v>
      </c>
      <c r="G34" s="15" t="n">
        <f aca="false">+G33/G$29</f>
        <v>0.0119601328903654</v>
      </c>
      <c r="H34" s="15" t="n">
        <f aca="false">+H33/H$29</f>
        <v>0.0121019108280255</v>
      </c>
      <c r="I34" s="15" t="n">
        <f aca="false">+I33/I$29</f>
        <v>0.014032946918853</v>
      </c>
      <c r="J34" s="15" t="n">
        <f aca="false">+J33/J$29</f>
        <v>0.0146968769136558</v>
      </c>
      <c r="K34" s="15" t="n">
        <f aca="false">+K33/K$29</f>
        <v>0.0124787294384572</v>
      </c>
      <c r="L34" s="15" t="n">
        <f aca="false">+L33/L$29</f>
        <v>0.0118726389638424</v>
      </c>
      <c r="M34" s="15" t="n">
        <f aca="false">+M33/M$29</f>
        <v>0.0112416964741952</v>
      </c>
      <c r="N34" s="15" t="n">
        <f aca="false">+N33/N$29</f>
        <v>0.0108583247156153</v>
      </c>
      <c r="O34" s="15" t="n">
        <f aca="false">+O33/O$29</f>
        <v>0.010752688172043</v>
      </c>
      <c r="U34" s="15" t="n">
        <f aca="false">+U33/U$29</f>
        <v>0.0636556048081147</v>
      </c>
      <c r="V34" s="15" t="n">
        <f aca="false">+V33/V$29</f>
        <v>0.0542589857213196</v>
      </c>
      <c r="W34" s="15" t="n">
        <f aca="false">+W33/W$29</f>
        <v>0.0353009822036371</v>
      </c>
      <c r="X34" s="15" t="n">
        <f aca="false">+X33/X$29</f>
        <v>0.0211689625651802</v>
      </c>
      <c r="Y34" s="15" t="n">
        <f aca="false">+Y33/Y$29</f>
        <v>0.0203096845127203</v>
      </c>
      <c r="Z34" s="15" t="n">
        <f aca="false">+Z33/Z$29</f>
        <v>0.0168865435356201</v>
      </c>
      <c r="AA34" s="15" t="n">
        <f aca="false">+AA33/AA$29</f>
        <v>0.0152758777929777</v>
      </c>
      <c r="AB34" s="15" t="n">
        <f aca="false">+AB33/AB$29</f>
        <v>0.0157842157842158</v>
      </c>
      <c r="AC34" s="15" t="n">
        <f aca="false">+AC33/AC$29</f>
        <v>0.0149172275786793</v>
      </c>
      <c r="AD34" s="15" t="n">
        <f aca="false">+AD33/AD$29</f>
        <v>0.0130484423421954</v>
      </c>
      <c r="AE34" s="15" t="n">
        <f aca="false">+AE33/AE$29</f>
        <v>0.0124895920066611</v>
      </c>
      <c r="AR34" s="0"/>
      <c r="AS34" s="0"/>
      <c r="AT34" s="0"/>
      <c r="AU34" s="0"/>
      <c r="AV34" s="0"/>
    </row>
    <row r="35" customFormat="false" ht="12.8" hidden="false" customHeight="false" outlineLevel="0" collapsed="false">
      <c r="A35" s="3" t="s">
        <v>84</v>
      </c>
      <c r="B35" s="3" t="n">
        <v>11</v>
      </c>
      <c r="C35" s="3" t="n">
        <v>11</v>
      </c>
      <c r="D35" s="3" t="n">
        <v>12</v>
      </c>
      <c r="E35" s="3" t="n">
        <v>14</v>
      </c>
      <c r="F35" s="3" t="n">
        <v>17</v>
      </c>
      <c r="G35" s="3" t="n">
        <v>22</v>
      </c>
      <c r="H35" s="3" t="n">
        <v>23</v>
      </c>
      <c r="I35" s="3" t="n">
        <v>23</v>
      </c>
      <c r="J35" s="3" t="n">
        <v>25</v>
      </c>
      <c r="K35" s="3" t="n">
        <v>23</v>
      </c>
      <c r="L35" s="3" t="n">
        <v>25</v>
      </c>
      <c r="M35" s="3" t="n">
        <v>24</v>
      </c>
      <c r="N35" s="3" t="n">
        <v>25</v>
      </c>
      <c r="O35" s="3" t="n">
        <v>24</v>
      </c>
      <c r="U35" s="3" t="n">
        <v>49</v>
      </c>
      <c r="V35" s="3" t="n">
        <v>40</v>
      </c>
      <c r="W35" s="3" t="n">
        <v>16.4</v>
      </c>
      <c r="X35" s="3" t="n">
        <v>15.5</v>
      </c>
      <c r="Y35" s="3" t="n">
        <v>34.5</v>
      </c>
      <c r="Z35" s="3" t="n">
        <v>31</v>
      </c>
      <c r="AA35" s="3" t="n">
        <v>52</v>
      </c>
      <c r="AB35" s="3" t="n">
        <v>58</v>
      </c>
      <c r="AC35" s="3" t="n">
        <v>48</v>
      </c>
      <c r="AD35" s="3" t="n">
        <v>85</v>
      </c>
      <c r="AE35" s="3" t="n">
        <v>97</v>
      </c>
    </row>
    <row r="36" s="15" customFormat="true" ht="10.5" hidden="false" customHeight="true" outlineLevel="0" collapsed="false">
      <c r="B36" s="15" t="n">
        <f aca="false">+B35/B$29</f>
        <v>0.0086682427107959</v>
      </c>
      <c r="C36" s="15" t="n">
        <f aca="false">+C35/C$29</f>
        <v>0.00817843866171004</v>
      </c>
      <c r="D36" s="15" t="n">
        <f aca="false">+D35/D$29</f>
        <v>0.00848656294200849</v>
      </c>
      <c r="E36" s="15" t="n">
        <f aca="false">+E35/E$29</f>
        <v>0.00953029271613342</v>
      </c>
      <c r="F36" s="15" t="n">
        <f aca="false">+F35/F$29</f>
        <v>0.0119971771347918</v>
      </c>
      <c r="G36" s="15" t="n">
        <f aca="false">+G35/G$29</f>
        <v>0.0146179401993355</v>
      </c>
      <c r="H36" s="15" t="n">
        <f aca="false">+H35/H$29</f>
        <v>0.0146496815286624</v>
      </c>
      <c r="I36" s="15" t="n">
        <f aca="false">+I35/I$29</f>
        <v>0.014032946918853</v>
      </c>
      <c r="J36" s="15" t="n">
        <f aca="false">+J35/J$29</f>
        <v>0.0153092467850582</v>
      </c>
      <c r="K36" s="15" t="n">
        <f aca="false">+K35/K$29</f>
        <v>0.0130459444129325</v>
      </c>
      <c r="L36" s="15" t="n">
        <f aca="false">+L35/L$29</f>
        <v>0.0134916351861846</v>
      </c>
      <c r="M36" s="15" t="n">
        <f aca="false">+M35/M$29</f>
        <v>0.0122636688809402</v>
      </c>
      <c r="N36" s="15" t="n">
        <f aca="false">+N35/N$29</f>
        <v>0.0129265770423992</v>
      </c>
      <c r="O36" s="15" t="n">
        <f aca="false">+O35/O$29</f>
        <v>0.0117302052785924</v>
      </c>
      <c r="U36" s="15" t="n">
        <f aca="false">+U35/U$29</f>
        <v>0.0195679086298471</v>
      </c>
      <c r="V36" s="15" t="n">
        <f aca="false">+V35/V$29</f>
        <v>0.0196947316592811</v>
      </c>
      <c r="W36" s="15" t="n">
        <f aca="false">+W35/W$29</f>
        <v>0.00797432655839736</v>
      </c>
      <c r="X36" s="15" t="n">
        <f aca="false">+X35/X$29</f>
        <v>0.00603159778971126</v>
      </c>
      <c r="Y36" s="15" t="n">
        <f aca="false">+Y35/Y$29</f>
        <v>0.0105366032434413</v>
      </c>
      <c r="Z36" s="15" t="n">
        <f aca="false">+Z35/Z$29</f>
        <v>0.00817941952506596</v>
      </c>
      <c r="AA36" s="15" t="n">
        <f aca="false">+AA35/AA$29</f>
        <v>0.0118559051527588</v>
      </c>
      <c r="AB36" s="15" t="n">
        <f aca="false">+AB35/AB$29</f>
        <v>0.0115884115884116</v>
      </c>
      <c r="AC36" s="15" t="n">
        <f aca="false">+AC35/AC$29</f>
        <v>0.00873203565581226</v>
      </c>
      <c r="AD36" s="15" t="n">
        <f aca="false">+AD35/AD$29</f>
        <v>0.0138639699885826</v>
      </c>
      <c r="AE36" s="15" t="n">
        <f aca="false">+AE35/AE$29</f>
        <v>0.0134610047182903</v>
      </c>
      <c r="AR36" s="0"/>
      <c r="AS36" s="0"/>
      <c r="AT36" s="0"/>
      <c r="AU36" s="0"/>
      <c r="AV36" s="0"/>
    </row>
    <row r="37" customFormat="false" ht="12.8" hidden="false" customHeight="false" outlineLevel="0" collapsed="false">
      <c r="A37" s="3" t="s">
        <v>85</v>
      </c>
      <c r="B37" s="3" t="n">
        <f aca="false">+B35+B33+B31</f>
        <v>127</v>
      </c>
      <c r="C37" s="3" t="n">
        <f aca="false">+C35+C33+C31</f>
        <v>127</v>
      </c>
      <c r="D37" s="3" t="n">
        <f aca="false">+D35+D33+D31</f>
        <v>127</v>
      </c>
      <c r="E37" s="3" t="n">
        <f aca="false">+E35+E33+E31</f>
        <v>130</v>
      </c>
      <c r="F37" s="3" t="n">
        <f aca="false">+F35+F33+F31</f>
        <v>137</v>
      </c>
      <c r="G37" s="3" t="n">
        <f aca="false">+G35+G33+G31</f>
        <v>140</v>
      </c>
      <c r="H37" s="3" t="n">
        <f aca="false">+H35+H33+H31</f>
        <v>147</v>
      </c>
      <c r="I37" s="3" t="n">
        <f aca="false">+I35+I33+I31</f>
        <v>154</v>
      </c>
      <c r="J37" s="3" t="n">
        <f aca="false">+J35+J33+J31</f>
        <v>160</v>
      </c>
      <c r="K37" s="3" t="n">
        <f aca="false">+K35+K33+K31</f>
        <v>159</v>
      </c>
      <c r="L37" s="3" t="n">
        <f aca="false">+L35+L33+L31</f>
        <v>165</v>
      </c>
      <c r="M37" s="3" t="n">
        <f aca="false">+M35+M33+M31</f>
        <v>166</v>
      </c>
      <c r="N37" s="3" t="n">
        <f aca="false">+N35+N33+N31</f>
        <v>175</v>
      </c>
      <c r="O37" s="3" t="n">
        <f aca="false">+O35+O33+O31</f>
        <v>176</v>
      </c>
      <c r="P37" s="3" t="n">
        <f aca="false">+P35+P33+P31</f>
        <v>0</v>
      </c>
      <c r="Q37" s="3" t="n">
        <f aca="false">+Q35+Q33+Q31</f>
        <v>0</v>
      </c>
      <c r="U37" s="3" t="n">
        <f aca="false">+U35+U33+U31</f>
        <v>370.7</v>
      </c>
      <c r="V37" s="3" t="n">
        <f aca="false">+V35+V33+V31</f>
        <v>341.9</v>
      </c>
      <c r="W37" s="3" t="n">
        <f aca="false">+W35+W33+W31</f>
        <v>303.4</v>
      </c>
      <c r="X37" s="3" t="n">
        <f aca="false">+X35+X33+X31</f>
        <v>285.9</v>
      </c>
      <c r="Y37" s="3" t="n">
        <f aca="false">+Y35+Y33+Y31</f>
        <v>324.9</v>
      </c>
      <c r="Z37" s="3" t="n">
        <f aca="false">+Z35+Z33+Z31</f>
        <v>337</v>
      </c>
      <c r="AA37" s="3" t="n">
        <f aca="false">+AA35+AA33+AA31</f>
        <v>418</v>
      </c>
      <c r="AB37" s="3" t="n">
        <f aca="false">+AB35+AB33+AB31</f>
        <v>480</v>
      </c>
      <c r="AC37" s="3" t="n">
        <f aca="false">+AC35+AC33+AC31</f>
        <v>511</v>
      </c>
      <c r="AD37" s="3" t="n">
        <f aca="false">+AD35+AD33+AD31</f>
        <v>578</v>
      </c>
      <c r="AE37" s="3" t="n">
        <f aca="false">+AE35+AE33+AE31</f>
        <v>650</v>
      </c>
      <c r="AF37" s="3" t="n">
        <f aca="false">+AF29-AF39</f>
        <v>745.821</v>
      </c>
      <c r="AG37" s="3" t="n">
        <f aca="false">+AG29-AG39</f>
        <v>850.235940000001</v>
      </c>
      <c r="AH37" s="3" t="n">
        <f aca="false">+AH29-AH39</f>
        <v>960.766612199999</v>
      </c>
      <c r="AI37" s="3" t="n">
        <f aca="false">+AI29-AI39</f>
        <v>1076.058605664</v>
      </c>
      <c r="AJ37" s="3" t="n">
        <f aca="false">+AJ29-AJ39</f>
        <v>1194.42505228704</v>
      </c>
    </row>
    <row r="38" s="15" customFormat="true" ht="10.5" hidden="false" customHeight="true" outlineLevel="0" collapsed="false">
      <c r="B38" s="15" t="n">
        <f aca="false">+B37/B$29</f>
        <v>0.100078802206462</v>
      </c>
      <c r="C38" s="15" t="n">
        <f aca="false">+C37/C$29</f>
        <v>0.0944237918215613</v>
      </c>
      <c r="D38" s="15" t="n">
        <f aca="false">+D37/D$29</f>
        <v>0.0898161244695898</v>
      </c>
      <c r="E38" s="15" t="n">
        <f aca="false">+E37/E$29</f>
        <v>0.0884955752212389</v>
      </c>
      <c r="F38" s="15" t="n">
        <f aca="false">+F37/F$29</f>
        <v>0.0966831333803811</v>
      </c>
      <c r="G38" s="15" t="n">
        <f aca="false">+G37/G$29</f>
        <v>0.0930232558139535</v>
      </c>
      <c r="H38" s="15" t="n">
        <f aca="false">+H37/H$29</f>
        <v>0.0936305732484076</v>
      </c>
      <c r="I38" s="15" t="n">
        <f aca="false">+I37/I$29</f>
        <v>0.0939597315436242</v>
      </c>
      <c r="J38" s="15" t="n">
        <f aca="false">+J37/J$29</f>
        <v>0.0979791794243723</v>
      </c>
      <c r="K38" s="15" t="n">
        <f aca="false">+K37/K$29</f>
        <v>0.0901871809415769</v>
      </c>
      <c r="L38" s="15" t="n">
        <f aca="false">+L37/L$29</f>
        <v>0.0890447922288181</v>
      </c>
      <c r="M38" s="15" t="n">
        <f aca="false">+M37/M$29</f>
        <v>0.0848237097598365</v>
      </c>
      <c r="N38" s="15" t="n">
        <f aca="false">+N37/N$29</f>
        <v>0.0904860392967942</v>
      </c>
      <c r="O38" s="15" t="n">
        <f aca="false">+O37/O$29</f>
        <v>0.0860215053763441</v>
      </c>
      <c r="U38" s="15" t="n">
        <f aca="false">+U37/U$29</f>
        <v>0.148037218960904</v>
      </c>
      <c r="V38" s="15" t="n">
        <f aca="false">+V37/V$29</f>
        <v>0.168340718857706</v>
      </c>
      <c r="W38" s="15" t="n">
        <f aca="false">+W37/W$29</f>
        <v>0.147525041330351</v>
      </c>
      <c r="X38" s="15" t="n">
        <f aca="false">+X37/X$29</f>
        <v>0.111253794069577</v>
      </c>
      <c r="Y38" s="15" t="n">
        <f aca="false">+Y37/Y$29</f>
        <v>0.0992273157621476</v>
      </c>
      <c r="Z38" s="15" t="n">
        <f aca="false">+Z37/Z$29</f>
        <v>0.0889182058047493</v>
      </c>
      <c r="AA38" s="15" t="n">
        <f aca="false">+AA37/AA$29</f>
        <v>0.0953032375740994</v>
      </c>
      <c r="AB38" s="15" t="n">
        <f aca="false">+AB37/AB$29</f>
        <v>0.0959040959040959</v>
      </c>
      <c r="AC38" s="15" t="n">
        <f aca="false">+AC37/AC$29</f>
        <v>0.0929597962525014</v>
      </c>
      <c r="AD38" s="15" t="n">
        <f aca="false">+AD37/AD$29</f>
        <v>0.0942749959223618</v>
      </c>
      <c r="AE38" s="15" t="n">
        <f aca="false">+AE37/AE$29</f>
        <v>0.0902026089369969</v>
      </c>
      <c r="AF38" s="15" t="n">
        <f aca="false">+AF37/AF$29</f>
        <v>0.09</v>
      </c>
      <c r="AG38" s="15" t="n">
        <f aca="false">+AG37/AG$29</f>
        <v>0.0900000000000001</v>
      </c>
      <c r="AH38" s="15" t="n">
        <f aca="false">+AH37/AH$29</f>
        <v>0.0899999999999999</v>
      </c>
      <c r="AI38" s="15" t="n">
        <f aca="false">+AI37/AI$29</f>
        <v>0.0899999999999999</v>
      </c>
      <c r="AJ38" s="15" t="n">
        <f aca="false">+AJ37/AJ$29</f>
        <v>0.0899999999999999</v>
      </c>
      <c r="AR38" s="0"/>
      <c r="AS38" s="0"/>
      <c r="AT38" s="0"/>
      <c r="AU38" s="0"/>
      <c r="AV38" s="0"/>
    </row>
    <row r="39" customFormat="false" ht="12.8" hidden="false" customHeight="false" outlineLevel="0" collapsed="false">
      <c r="A39" s="3" t="s">
        <v>86</v>
      </c>
      <c r="B39" s="3" t="n">
        <f aca="false">+B29-B37</f>
        <v>1142</v>
      </c>
      <c r="C39" s="3" t="n">
        <f aca="false">+C29-C37</f>
        <v>1218</v>
      </c>
      <c r="D39" s="3" t="n">
        <f aca="false">+D29-D37</f>
        <v>1287</v>
      </c>
      <c r="E39" s="3" t="n">
        <f aca="false">+E29-E37</f>
        <v>1339</v>
      </c>
      <c r="F39" s="3" t="n">
        <f aca="false">+F29-F37</f>
        <v>1280</v>
      </c>
      <c r="G39" s="3" t="n">
        <f aca="false">+G29-G37</f>
        <v>1365</v>
      </c>
      <c r="H39" s="3" t="n">
        <f aca="false">+H29-H37</f>
        <v>1423</v>
      </c>
      <c r="I39" s="3" t="n">
        <f aca="false">+I29-I37</f>
        <v>1485</v>
      </c>
      <c r="J39" s="3" t="n">
        <f aca="false">+J29-J37</f>
        <v>1473</v>
      </c>
      <c r="K39" s="3" t="n">
        <f aca="false">+K29-K37</f>
        <v>1604</v>
      </c>
      <c r="L39" s="3" t="n">
        <f aca="false">+L29-L37</f>
        <v>1688</v>
      </c>
      <c r="M39" s="3" t="n">
        <f aca="false">+M29-M37</f>
        <v>1791</v>
      </c>
      <c r="N39" s="3" t="n">
        <f aca="false">+N29-N37</f>
        <v>1759</v>
      </c>
      <c r="O39" s="3" t="n">
        <f aca="false">+O29-O37</f>
        <v>1870</v>
      </c>
      <c r="P39" s="3" t="n">
        <f aca="false">+P29-P37</f>
        <v>0</v>
      </c>
      <c r="Q39" s="3" t="n">
        <f aca="false">+Q29-Q37</f>
        <v>0</v>
      </c>
      <c r="U39" s="3" t="n">
        <f aca="false">+U29-U37</f>
        <v>2133.4</v>
      </c>
      <c r="V39" s="3" t="n">
        <f aca="false">+V29-V37</f>
        <v>1689.1</v>
      </c>
      <c r="W39" s="3" t="n">
        <f aca="false">+W29-W37</f>
        <v>1753.2</v>
      </c>
      <c r="X39" s="3" t="n">
        <f aca="false">+X29-X37</f>
        <v>2283.9</v>
      </c>
      <c r="Y39" s="3" t="n">
        <f aca="false">+Y29-Y37</f>
        <v>2949.4</v>
      </c>
      <c r="Z39" s="3" t="n">
        <f aca="false">+Z29-Z37</f>
        <v>3453</v>
      </c>
      <c r="AA39" s="3" t="n">
        <f aca="false">+AA29-AA37</f>
        <v>3968</v>
      </c>
      <c r="AB39" s="3" t="n">
        <f aca="false">+AB29-AB37</f>
        <v>4525</v>
      </c>
      <c r="AC39" s="3" t="n">
        <f aca="false">+AC29-AC37</f>
        <v>4986</v>
      </c>
      <c r="AD39" s="3" t="n">
        <f aca="false">+AD29-AD37</f>
        <v>5553</v>
      </c>
      <c r="AE39" s="3" t="n">
        <f aca="false">+AE29-AE37</f>
        <v>6556</v>
      </c>
      <c r="AF39" s="3" t="n">
        <f aca="false">+AF29*0.91</f>
        <v>7541.079</v>
      </c>
      <c r="AG39" s="3" t="n">
        <f aca="false">+AG29*0.91</f>
        <v>8596.83006</v>
      </c>
      <c r="AH39" s="3" t="n">
        <f aca="false">+AH29*0.91</f>
        <v>9714.4179678</v>
      </c>
      <c r="AI39" s="3" t="n">
        <f aca="false">+AI29*0.91</f>
        <v>10880.148123936</v>
      </c>
      <c r="AJ39" s="3" t="n">
        <f aca="false">+AJ29*0.91</f>
        <v>12076.964417569</v>
      </c>
    </row>
    <row r="40" s="15" customFormat="true" ht="10.5" hidden="false" customHeight="true" outlineLevel="0" collapsed="false">
      <c r="B40" s="15" t="n">
        <f aca="false">+B39/B$29</f>
        <v>0.899921197793538</v>
      </c>
      <c r="C40" s="15" t="n">
        <f aca="false">+C39/C$29</f>
        <v>0.905576208178439</v>
      </c>
      <c r="D40" s="15" t="n">
        <f aca="false">+D39/D$29</f>
        <v>0.91018387553041</v>
      </c>
      <c r="E40" s="15" t="n">
        <f aca="false">+E39/E$29</f>
        <v>0.911504424778761</v>
      </c>
      <c r="F40" s="15" t="n">
        <f aca="false">+F39/F$29</f>
        <v>0.903316866619619</v>
      </c>
      <c r="G40" s="15" t="n">
        <f aca="false">+G39/G$29</f>
        <v>0.906976744186047</v>
      </c>
      <c r="H40" s="15" t="n">
        <f aca="false">+H39/H$29</f>
        <v>0.906369426751592</v>
      </c>
      <c r="I40" s="15" t="n">
        <f aca="false">+I39/I$29</f>
        <v>0.906040268456376</v>
      </c>
      <c r="J40" s="15" t="n">
        <f aca="false">+J39/J$29</f>
        <v>0.902020820575628</v>
      </c>
      <c r="K40" s="15" t="n">
        <f aca="false">+K39/K$29</f>
        <v>0.909812819058423</v>
      </c>
      <c r="L40" s="15" t="n">
        <f aca="false">+L39/L$29</f>
        <v>0.910955207771182</v>
      </c>
      <c r="M40" s="15" t="n">
        <f aca="false">+M39/M$29</f>
        <v>0.915176290240164</v>
      </c>
      <c r="N40" s="15" t="n">
        <f aca="false">+N39/N$29</f>
        <v>0.909513960703206</v>
      </c>
      <c r="O40" s="15" t="n">
        <f aca="false">+O39/O$29</f>
        <v>0.913978494623656</v>
      </c>
      <c r="U40" s="15" t="n">
        <f aca="false">+U39/U$29</f>
        <v>0.851962781039096</v>
      </c>
      <c r="V40" s="15" t="n">
        <f aca="false">+V39/V$29</f>
        <v>0.831659281142294</v>
      </c>
      <c r="W40" s="15" t="n">
        <f aca="false">+W39/W$29</f>
        <v>0.852474958669649</v>
      </c>
      <c r="X40" s="15" t="n">
        <f aca="false">+X39/X$29</f>
        <v>0.888746205930423</v>
      </c>
      <c r="Y40" s="15" t="n">
        <f aca="false">+Y39/Y$29</f>
        <v>0.900772684237852</v>
      </c>
      <c r="Z40" s="15" t="n">
        <f aca="false">+Z39/Z$29</f>
        <v>0.911081794195251</v>
      </c>
      <c r="AA40" s="15" t="n">
        <f aca="false">+AA39/AA$29</f>
        <v>0.904696762425901</v>
      </c>
      <c r="AB40" s="15" t="n">
        <f aca="false">+AB39/AB$29</f>
        <v>0.904095904095904</v>
      </c>
      <c r="AC40" s="15" t="n">
        <f aca="false">+AC39/AC$29</f>
        <v>0.907040203747499</v>
      </c>
      <c r="AD40" s="15" t="n">
        <f aca="false">+AD39/AD$29</f>
        <v>0.905725004077638</v>
      </c>
      <c r="AE40" s="15" t="n">
        <f aca="false">+AE39/AE$29</f>
        <v>0.909797391063003</v>
      </c>
      <c r="AF40" s="15" t="n">
        <f aca="false">+AF39/AF$29</f>
        <v>0.91</v>
      </c>
      <c r="AG40" s="15" t="n">
        <f aca="false">+AG39/AG$29</f>
        <v>0.91</v>
      </c>
      <c r="AH40" s="15" t="n">
        <f aca="false">+AH39/AH$29</f>
        <v>0.91</v>
      </c>
      <c r="AI40" s="15" t="n">
        <f aca="false">+AI39/AI$29</f>
        <v>0.91</v>
      </c>
      <c r="AJ40" s="15" t="n">
        <f aca="false">+AJ39/AJ$29</f>
        <v>0.91</v>
      </c>
      <c r="AR40" s="0"/>
      <c r="AS40" s="0"/>
      <c r="AT40" s="0"/>
      <c r="AU40" s="0"/>
      <c r="AV40" s="0"/>
    </row>
    <row r="41" customFormat="false" ht="12.8" hidden="false" customHeight="false" outlineLevel="0" collapsed="false">
      <c r="A41" s="3" t="s">
        <v>87</v>
      </c>
      <c r="B41" s="3" t="n">
        <v>456</v>
      </c>
      <c r="C41" s="3" t="n">
        <v>449</v>
      </c>
      <c r="D41" s="3" t="n">
        <v>439</v>
      </c>
      <c r="E41" s="3" t="n">
        <v>479</v>
      </c>
      <c r="F41" s="3" t="n">
        <v>469</v>
      </c>
      <c r="G41" s="3" t="n">
        <v>480</v>
      </c>
      <c r="H41" s="3" t="n">
        <v>525</v>
      </c>
      <c r="I41" s="3" t="n">
        <v>526</v>
      </c>
      <c r="J41" s="3" t="n">
        <v>566</v>
      </c>
      <c r="K41" s="3" t="n">
        <v>559</v>
      </c>
      <c r="L41" s="3" t="n">
        <v>612</v>
      </c>
      <c r="M41" s="3" t="n">
        <v>636</v>
      </c>
      <c r="N41" s="3" t="n">
        <v>593</v>
      </c>
      <c r="O41" s="3" t="n">
        <v>616</v>
      </c>
      <c r="U41" s="3" t="n">
        <v>1015.5</v>
      </c>
      <c r="V41" s="3" t="n">
        <v>1022.5</v>
      </c>
      <c r="W41" s="3" t="n">
        <v>1087.3</v>
      </c>
      <c r="X41" s="3" t="n">
        <v>1183.9</v>
      </c>
      <c r="Y41" s="3" t="n">
        <v>1310.3</v>
      </c>
      <c r="Z41" s="3" t="n">
        <v>1440</v>
      </c>
      <c r="AA41" s="3" t="n">
        <v>1623</v>
      </c>
      <c r="AB41" s="3" t="n">
        <v>1745</v>
      </c>
      <c r="AC41" s="3" t="n">
        <v>1823</v>
      </c>
      <c r="AD41" s="3" t="n">
        <v>2000</v>
      </c>
      <c r="AE41" s="3" t="n">
        <v>2373</v>
      </c>
      <c r="AF41" s="3" t="n">
        <f aca="false">+AF29*0.32</f>
        <v>2651.808</v>
      </c>
      <c r="AG41" s="3" t="n">
        <f aca="false">+AG29*0.32</f>
        <v>3023.06112</v>
      </c>
      <c r="AH41" s="3" t="n">
        <f aca="false">+AH29*0.3</f>
        <v>3202.555374</v>
      </c>
      <c r="AI41" s="3" t="n">
        <f aca="false">+AI29*0.3</f>
        <v>3586.86201888</v>
      </c>
      <c r="AJ41" s="3" t="n">
        <f aca="false">+AJ29*0.3</f>
        <v>3981.4168409568</v>
      </c>
    </row>
    <row r="42" s="15" customFormat="true" ht="10.5" hidden="false" customHeight="true" outlineLevel="0" collapsed="false">
      <c r="B42" s="15" t="n">
        <f aca="false">+B41/B$29</f>
        <v>0.359338061465721</v>
      </c>
      <c r="C42" s="15" t="n">
        <f aca="false">+C41/C$29</f>
        <v>0.333828996282528</v>
      </c>
      <c r="D42" s="15" t="n">
        <f aca="false">+D41/D$29</f>
        <v>0.310466760961811</v>
      </c>
      <c r="E42" s="15" t="n">
        <f aca="false">+E41/E$29</f>
        <v>0.326072157930565</v>
      </c>
      <c r="F42" s="15" t="n">
        <f aca="false">+F41/F$29</f>
        <v>0.330980945659845</v>
      </c>
      <c r="G42" s="15" t="n">
        <f aca="false">+G41/G$29</f>
        <v>0.318936877076412</v>
      </c>
      <c r="H42" s="15" t="n">
        <f aca="false">+H41/H$29</f>
        <v>0.334394904458599</v>
      </c>
      <c r="I42" s="15" t="n">
        <f aca="false">+I41/I$29</f>
        <v>0.320927394752898</v>
      </c>
      <c r="J42" s="15" t="n">
        <f aca="false">+J41/J$29</f>
        <v>0.346601347213717</v>
      </c>
      <c r="K42" s="15" t="n">
        <f aca="false">+K41/K$29</f>
        <v>0.317073170731707</v>
      </c>
      <c r="L42" s="15" t="n">
        <f aca="false">+L41/L$29</f>
        <v>0.330275229357798</v>
      </c>
      <c r="M42" s="15" t="n">
        <f aca="false">+M41/M$29</f>
        <v>0.324987225344916</v>
      </c>
      <c r="N42" s="15" t="n">
        <f aca="false">+N41/N$29</f>
        <v>0.306618407445708</v>
      </c>
      <c r="O42" s="15" t="n">
        <f aca="false">+O41/O$29</f>
        <v>0.301075268817204</v>
      </c>
      <c r="U42" s="15" t="n">
        <f aca="false">+U41/U$29</f>
        <v>0.405534922726728</v>
      </c>
      <c r="V42" s="15" t="n">
        <f aca="false">+V41/V$29</f>
        <v>0.503446578040374</v>
      </c>
      <c r="W42" s="15" t="n">
        <f aca="false">+W41/W$29</f>
        <v>0.528688126033259</v>
      </c>
      <c r="X42" s="15" t="n">
        <f aca="false">+X41/X$29</f>
        <v>0.460697330531559</v>
      </c>
      <c r="Y42" s="15" t="n">
        <f aca="false">+Y41/Y$29</f>
        <v>0.400177137098006</v>
      </c>
      <c r="Z42" s="15" t="n">
        <f aca="false">+Z41/Z$29</f>
        <v>0.379947229551451</v>
      </c>
      <c r="AA42" s="15" t="n">
        <f aca="false">+AA41/AA$29</f>
        <v>0.370041039671683</v>
      </c>
      <c r="AB42" s="15" t="n">
        <f aca="false">+AB41/AB$29</f>
        <v>0.348651348651349</v>
      </c>
      <c r="AC42" s="15" t="n">
        <f aca="false">+AC41/AC$29</f>
        <v>0.33163543751137</v>
      </c>
      <c r="AD42" s="15" t="n">
        <f aca="false">+AD41/AD$29</f>
        <v>0.326211058554885</v>
      </c>
      <c r="AE42" s="15" t="n">
        <f aca="false">+AE41/AE$29</f>
        <v>0.329308909242298</v>
      </c>
      <c r="AF42" s="15" t="n">
        <f aca="false">+AF41/AF$29</f>
        <v>0.32</v>
      </c>
      <c r="AG42" s="15" t="n">
        <f aca="false">+AG41/AG$29</f>
        <v>0.32</v>
      </c>
      <c r="AH42" s="15" t="n">
        <f aca="false">+AH41/AH$29</f>
        <v>0.3</v>
      </c>
      <c r="AI42" s="15" t="n">
        <f aca="false">+AI41/AI$29</f>
        <v>0.3</v>
      </c>
      <c r="AJ42" s="15" t="n">
        <f aca="false">+AJ41/AJ$29</f>
        <v>0.3</v>
      </c>
      <c r="AR42" s="0"/>
      <c r="AS42" s="0"/>
      <c r="AT42" s="0"/>
      <c r="AU42" s="0"/>
      <c r="AV42" s="0"/>
    </row>
    <row r="43" customFormat="false" ht="12.8" hidden="false" customHeight="false" outlineLevel="0" collapsed="false">
      <c r="A43" s="3" t="s">
        <v>88</v>
      </c>
      <c r="B43" s="3" t="n">
        <v>327</v>
      </c>
      <c r="C43" s="3" t="n">
        <v>355</v>
      </c>
      <c r="D43" s="3" t="n">
        <v>339</v>
      </c>
      <c r="E43" s="3" t="n">
        <v>352</v>
      </c>
      <c r="F43" s="3" t="n">
        <v>346</v>
      </c>
      <c r="G43" s="3" t="n">
        <v>368</v>
      </c>
      <c r="H43" s="3" t="n">
        <v>378</v>
      </c>
      <c r="I43" s="3" t="n">
        <v>393</v>
      </c>
      <c r="J43" s="3" t="n">
        <v>394</v>
      </c>
      <c r="K43" s="3" t="n">
        <v>413</v>
      </c>
      <c r="L43" s="3" t="n">
        <v>416</v>
      </c>
      <c r="M43" s="3" t="n">
        <v>420</v>
      </c>
      <c r="N43" s="3" t="n">
        <v>421</v>
      </c>
      <c r="O43" s="3" t="n">
        <v>464</v>
      </c>
      <c r="U43" s="3" t="n">
        <v>790</v>
      </c>
      <c r="V43" s="3" t="n">
        <v>766.1</v>
      </c>
      <c r="W43" s="3" t="n">
        <v>755.5</v>
      </c>
      <c r="X43" s="3" t="n">
        <v>725</v>
      </c>
      <c r="Y43" s="3" t="n">
        <v>851.1</v>
      </c>
      <c r="Z43" s="3" t="n">
        <v>932</v>
      </c>
      <c r="AA43" s="3" t="n">
        <v>1115</v>
      </c>
      <c r="AB43" s="3" t="n">
        <v>1219</v>
      </c>
      <c r="AC43" s="3" t="n">
        <v>1373</v>
      </c>
      <c r="AD43" s="3" t="n">
        <v>1485</v>
      </c>
      <c r="AE43" s="3" t="n">
        <v>1643</v>
      </c>
      <c r="AF43" s="3" t="n">
        <f aca="false">+AF29*0.24</f>
        <v>1988.856</v>
      </c>
      <c r="AG43" s="3" t="n">
        <f aca="false">+AG29*0.22</f>
        <v>2078.35452</v>
      </c>
      <c r="AH43" s="3" t="n">
        <f aca="false">+AH29*0.22</f>
        <v>2348.5406076</v>
      </c>
      <c r="AI43" s="3" t="n">
        <f aca="false">+AI29*0.2</f>
        <v>2391.24134592</v>
      </c>
      <c r="AJ43" s="3" t="n">
        <f aca="false">+AJ29*0.2</f>
        <v>2654.2778939712</v>
      </c>
    </row>
    <row r="44" s="15" customFormat="true" ht="10.5" hidden="false" customHeight="true" outlineLevel="0" collapsed="false">
      <c r="B44" s="15" t="n">
        <f aca="false">+B43/B$29</f>
        <v>0.257683215130024</v>
      </c>
      <c r="C44" s="15" t="n">
        <f aca="false">+C43/C$29</f>
        <v>0.263940520446097</v>
      </c>
      <c r="D44" s="15" t="n">
        <f aca="false">+D43/D$29</f>
        <v>0.23974540311174</v>
      </c>
      <c r="E44" s="15" t="n">
        <f aca="false">+E43/E$29</f>
        <v>0.239618788291355</v>
      </c>
      <c r="F44" s="15" t="n">
        <f aca="false">+F43/F$29</f>
        <v>0.244177840508116</v>
      </c>
      <c r="G44" s="15" t="n">
        <f aca="false">+G43/G$29</f>
        <v>0.244518272425249</v>
      </c>
      <c r="H44" s="15" t="n">
        <f aca="false">+H43/H$29</f>
        <v>0.240764331210191</v>
      </c>
      <c r="I44" s="15" t="n">
        <f aca="false">+I43/I$29</f>
        <v>0.239780353874314</v>
      </c>
      <c r="J44" s="15" t="n">
        <f aca="false">+J43/J$29</f>
        <v>0.241273729332517</v>
      </c>
      <c r="K44" s="15" t="n">
        <f aca="false">+K43/K$29</f>
        <v>0.23425978445831</v>
      </c>
      <c r="L44" s="15" t="n">
        <f aca="false">+L43/L$29</f>
        <v>0.224500809498111</v>
      </c>
      <c r="M44" s="15" t="n">
        <f aca="false">+M43/M$29</f>
        <v>0.214614205416454</v>
      </c>
      <c r="N44" s="15" t="n">
        <f aca="false">+N43/N$29</f>
        <v>0.217683557394002</v>
      </c>
      <c r="O44" s="15" t="n">
        <f aca="false">+O43/O$29</f>
        <v>0.226783968719453</v>
      </c>
      <c r="U44" s="15" t="n">
        <f aca="false">+U43/U$29</f>
        <v>0.315482608522024</v>
      </c>
      <c r="V44" s="15" t="n">
        <f aca="false">+V43/V$29</f>
        <v>0.377203348104382</v>
      </c>
      <c r="W44" s="15" t="n">
        <f aca="false">+W43/W$29</f>
        <v>0.367353885053</v>
      </c>
      <c r="X44" s="15" t="n">
        <f aca="false">+X43/X$29</f>
        <v>0.282123122421978</v>
      </c>
      <c r="Y44" s="15" t="n">
        <f aca="false">+Y43/Y$29</f>
        <v>0.259933420883853</v>
      </c>
      <c r="Z44" s="15" t="n">
        <f aca="false">+Z43/Z$29</f>
        <v>0.245910290237467</v>
      </c>
      <c r="AA44" s="15" t="n">
        <f aca="false">+AA43/AA$29</f>
        <v>0.25421796625627</v>
      </c>
      <c r="AB44" s="15" t="n">
        <f aca="false">+AB43/AB$29</f>
        <v>0.243556443556444</v>
      </c>
      <c r="AC44" s="15" t="n">
        <f aca="false">+AC43/AC$29</f>
        <v>0.24977260323813</v>
      </c>
      <c r="AD44" s="15" t="n">
        <f aca="false">+AD43/AD$29</f>
        <v>0.242211710977002</v>
      </c>
      <c r="AE44" s="15" t="n">
        <f aca="false">+AE43/AE$29</f>
        <v>0.228004440743825</v>
      </c>
      <c r="AF44" s="15" t="n">
        <f aca="false">+AF43/AF$29</f>
        <v>0.24</v>
      </c>
      <c r="AG44" s="15" t="n">
        <f aca="false">+AG43/AG$29</f>
        <v>0.22</v>
      </c>
      <c r="AH44" s="15" t="n">
        <f aca="false">+AH43/AH$29</f>
        <v>0.22</v>
      </c>
      <c r="AI44" s="15" t="n">
        <f aca="false">+AI43/AI$29</f>
        <v>0.2</v>
      </c>
      <c r="AJ44" s="15" t="n">
        <f aca="false">+AJ43/AJ$29</f>
        <v>0.2</v>
      </c>
      <c r="AR44" s="0"/>
      <c r="AS44" s="0"/>
      <c r="AT44" s="0"/>
      <c r="AU44" s="0"/>
      <c r="AV44" s="0"/>
    </row>
    <row r="45" customFormat="false" ht="12.8" hidden="false" customHeight="false" outlineLevel="0" collapsed="false">
      <c r="A45" s="3" t="s">
        <v>89</v>
      </c>
      <c r="B45" s="3" t="n">
        <v>132</v>
      </c>
      <c r="C45" s="3" t="n">
        <v>141</v>
      </c>
      <c r="D45" s="3" t="n">
        <v>165</v>
      </c>
      <c r="E45" s="3" t="n">
        <v>182</v>
      </c>
      <c r="F45" s="3" t="n">
        <v>155</v>
      </c>
      <c r="G45" s="3" t="n">
        <v>161</v>
      </c>
      <c r="H45" s="3" t="n">
        <v>161</v>
      </c>
      <c r="I45" s="3" t="n">
        <v>173</v>
      </c>
      <c r="J45" s="3" t="n">
        <v>162</v>
      </c>
      <c r="K45" s="3" t="n">
        <v>168</v>
      </c>
      <c r="L45" s="3" t="n">
        <v>172</v>
      </c>
      <c r="M45" s="3" t="n">
        <v>191</v>
      </c>
      <c r="N45" s="3" t="n">
        <v>162</v>
      </c>
      <c r="O45" s="3" t="n">
        <v>179</v>
      </c>
      <c r="U45" s="3" t="n">
        <v>293.4</v>
      </c>
      <c r="V45" s="3" t="n">
        <v>287.8</v>
      </c>
      <c r="W45" s="3" t="n">
        <v>305.2</v>
      </c>
      <c r="X45" s="3" t="n">
        <v>340.1</v>
      </c>
      <c r="Y45" s="3" t="n">
        <v>405.6</v>
      </c>
      <c r="Z45" s="3" t="n">
        <v>414</v>
      </c>
      <c r="AA45" s="3" t="n">
        <v>572</v>
      </c>
      <c r="AB45" s="3" t="n">
        <v>532</v>
      </c>
      <c r="AC45" s="3" t="n">
        <v>620</v>
      </c>
      <c r="AD45" s="3" t="n">
        <v>650</v>
      </c>
      <c r="AE45" s="3" t="n">
        <v>693</v>
      </c>
      <c r="AF45" s="3" t="n">
        <f aca="false">+AF29*0.1</f>
        <v>828.69</v>
      </c>
      <c r="AG45" s="3" t="n">
        <f aca="false">+AG29*0.095</f>
        <v>897.47127</v>
      </c>
      <c r="AH45" s="3" t="n">
        <f aca="false">+AH29*0.095</f>
        <v>1014.1425351</v>
      </c>
      <c r="AI45" s="3" t="n">
        <f aca="false">+AI29*0.09</f>
        <v>1076.058605664</v>
      </c>
      <c r="AJ45" s="3" t="n">
        <f aca="false">+AJ29*0.09</f>
        <v>1194.42505228704</v>
      </c>
    </row>
    <row r="46" s="15" customFormat="true" ht="10.5" hidden="false" customHeight="true" outlineLevel="0" collapsed="false">
      <c r="B46" s="15" t="n">
        <f aca="false">+B45/B$29</f>
        <v>0.104018912529551</v>
      </c>
      <c r="C46" s="15" t="n">
        <f aca="false">+C45/C$29</f>
        <v>0.104832713754647</v>
      </c>
      <c r="D46" s="15" t="n">
        <f aca="false">+D45/D$29</f>
        <v>0.116690240452617</v>
      </c>
      <c r="E46" s="15" t="n">
        <f aca="false">+E45/E$29</f>
        <v>0.123893805309735</v>
      </c>
      <c r="F46" s="15" t="n">
        <f aca="false">+F45/F$29</f>
        <v>0.109386026817219</v>
      </c>
      <c r="G46" s="15" t="n">
        <f aca="false">+G45/G$29</f>
        <v>0.106976744186047</v>
      </c>
      <c r="H46" s="15" t="n">
        <f aca="false">+H45/H$29</f>
        <v>0.102547770700637</v>
      </c>
      <c r="I46" s="15" t="n">
        <f aca="false">+I45/I$29</f>
        <v>0.105552165954851</v>
      </c>
      <c r="J46" s="15" t="n">
        <f aca="false">+J45/J$29</f>
        <v>0.099203919167177</v>
      </c>
      <c r="K46" s="15" t="n">
        <f aca="false">+K45/K$29</f>
        <v>0.0952921157118548</v>
      </c>
      <c r="L46" s="15" t="n">
        <f aca="false">+L45/L$29</f>
        <v>0.0928224500809498</v>
      </c>
      <c r="M46" s="15" t="n">
        <f aca="false">+M45/M$29</f>
        <v>0.0975983648441492</v>
      </c>
      <c r="N46" s="15" t="n">
        <f aca="false">+N45/N$29</f>
        <v>0.0837642192347466</v>
      </c>
      <c r="O46" s="15" t="n">
        <f aca="false">+O45/O$29</f>
        <v>0.0874877810361681</v>
      </c>
      <c r="U46" s="15" t="n">
        <f aca="false">+U45/U$29</f>
        <v>0.117167844734635</v>
      </c>
      <c r="V46" s="15" t="n">
        <f aca="false">+V45/V$29</f>
        <v>0.141703594288528</v>
      </c>
      <c r="W46" s="15" t="n">
        <f aca="false">+W45/W$29</f>
        <v>0.148400272294078</v>
      </c>
      <c r="X46" s="15" t="n">
        <f aca="false">+X45/X$29</f>
        <v>0.132344929566503</v>
      </c>
      <c r="Y46" s="15" t="n">
        <f aca="false">+Y45/Y$29</f>
        <v>0.12387380508811</v>
      </c>
      <c r="Z46" s="15" t="n">
        <f aca="false">+Z45/Z$29</f>
        <v>0.109234828496042</v>
      </c>
      <c r="AA46" s="15" t="n">
        <f aca="false">+AA45/AA$29</f>
        <v>0.130414956680347</v>
      </c>
      <c r="AB46" s="15" t="n">
        <f aca="false">+AB45/AB$29</f>
        <v>0.106293706293706</v>
      </c>
      <c r="AC46" s="15" t="n">
        <f aca="false">+AC45/AC$29</f>
        <v>0.112788793887575</v>
      </c>
      <c r="AD46" s="15" t="n">
        <f aca="false">+AD45/AD$29</f>
        <v>0.106018594030338</v>
      </c>
      <c r="AE46" s="15" t="n">
        <f aca="false">+AE45/AE$29</f>
        <v>0.0961698584512906</v>
      </c>
      <c r="AF46" s="15" t="n">
        <f aca="false">+AF45/AF$29</f>
        <v>0.1</v>
      </c>
      <c r="AG46" s="15" t="n">
        <f aca="false">+AG45/AG$29</f>
        <v>0.095</v>
      </c>
      <c r="AH46" s="15" t="n">
        <f aca="false">+AH45/AH$29</f>
        <v>0.095</v>
      </c>
      <c r="AI46" s="15" t="n">
        <f aca="false">+AI45/AI$29</f>
        <v>0.09</v>
      </c>
      <c r="AJ46" s="15" t="n">
        <f aca="false">+AJ45/AJ$29</f>
        <v>0.09</v>
      </c>
      <c r="AR46" s="0"/>
      <c r="AS46" s="0"/>
      <c r="AT46" s="0"/>
      <c r="AU46" s="0"/>
      <c r="AV46" s="0"/>
    </row>
    <row r="47" customFormat="false" ht="12.8" hidden="false" customHeight="false" outlineLevel="0" collapsed="false">
      <c r="A47" s="3" t="s">
        <v>90</v>
      </c>
      <c r="B47" s="3" t="n">
        <v>10</v>
      </c>
      <c r="C47" s="3" t="n">
        <v>11</v>
      </c>
      <c r="D47" s="3" t="n">
        <v>10</v>
      </c>
      <c r="E47" s="3" t="n">
        <v>11</v>
      </c>
      <c r="F47" s="3" t="n">
        <v>11</v>
      </c>
      <c r="G47" s="3" t="n">
        <v>13</v>
      </c>
      <c r="H47" s="3" t="n">
        <v>13</v>
      </c>
      <c r="I47" s="3" t="n">
        <v>12</v>
      </c>
      <c r="J47" s="3" t="n">
        <v>13</v>
      </c>
      <c r="K47" s="3" t="n">
        <v>14</v>
      </c>
      <c r="L47" s="3" t="n">
        <v>13</v>
      </c>
      <c r="M47" s="3" t="n">
        <v>13</v>
      </c>
      <c r="N47" s="3" t="n">
        <v>12</v>
      </c>
      <c r="O47" s="3" t="n">
        <v>13</v>
      </c>
      <c r="U47" s="3" t="n">
        <v>33.2</v>
      </c>
      <c r="V47" s="3" t="n">
        <v>31.8</v>
      </c>
      <c r="W47" s="3" t="n">
        <v>20.2</v>
      </c>
      <c r="X47" s="3" t="n">
        <v>18</v>
      </c>
      <c r="Y47" s="3" t="n">
        <v>38.9</v>
      </c>
      <c r="Z47" s="3" t="n">
        <v>38</v>
      </c>
      <c r="AA47" s="3" t="n">
        <v>40</v>
      </c>
      <c r="AB47" s="3" t="n">
        <v>40</v>
      </c>
      <c r="AC47" s="3" t="n">
        <v>42</v>
      </c>
      <c r="AD47" s="3" t="n">
        <v>49</v>
      </c>
      <c r="AE47" s="3" t="n">
        <v>53</v>
      </c>
      <c r="AF47" s="3" t="n">
        <f aca="false">+AF29*0.008</f>
        <v>66.2952</v>
      </c>
      <c r="AG47" s="3" t="n">
        <f aca="false">+AG29*0.008</f>
        <v>75.576528</v>
      </c>
      <c r="AH47" s="3" t="n">
        <f aca="false">+AH29*0.008</f>
        <v>85.40147664</v>
      </c>
      <c r="AI47" s="3" t="n">
        <f aca="false">+AI29*0.008</f>
        <v>95.6496538368</v>
      </c>
      <c r="AJ47" s="3" t="n">
        <f aca="false">+AJ29*0.008</f>
        <v>106.171115758848</v>
      </c>
    </row>
    <row r="48" s="15" customFormat="true" ht="10.5" hidden="false" customHeight="true" outlineLevel="0" collapsed="false">
      <c r="B48" s="15" t="n">
        <f aca="false">+B47/B$29</f>
        <v>0.00788022064617809</v>
      </c>
      <c r="C48" s="15" t="n">
        <f aca="false">+C47/C$29</f>
        <v>0.00817843866171004</v>
      </c>
      <c r="D48" s="15" t="n">
        <f aca="false">+D47/D$29</f>
        <v>0.00707213578500707</v>
      </c>
      <c r="E48" s="15" t="n">
        <f aca="false">+E47/E$29</f>
        <v>0.00748808713410483</v>
      </c>
      <c r="F48" s="15" t="n">
        <f aca="false">+F47/F$29</f>
        <v>0.00776287932251235</v>
      </c>
      <c r="G48" s="15" t="n">
        <f aca="false">+G47/G$29</f>
        <v>0.00863787375415282</v>
      </c>
      <c r="H48" s="15" t="n">
        <f aca="false">+H47/H$29</f>
        <v>0.00828025477707006</v>
      </c>
      <c r="I48" s="15" t="n">
        <f aca="false">+I47/I$29</f>
        <v>0.00732153752287981</v>
      </c>
      <c r="J48" s="15" t="n">
        <f aca="false">+J47/J$29</f>
        <v>0.00796080832823025</v>
      </c>
      <c r="K48" s="15" t="n">
        <f aca="false">+K47/K$29</f>
        <v>0.00794100964265457</v>
      </c>
      <c r="L48" s="15" t="n">
        <f aca="false">+L47/L$29</f>
        <v>0.00701565029681597</v>
      </c>
      <c r="M48" s="15" t="n">
        <f aca="false">+M47/M$29</f>
        <v>0.00664282064384262</v>
      </c>
      <c r="N48" s="15" t="n">
        <f aca="false">+N47/N$29</f>
        <v>0.0062047569803516</v>
      </c>
      <c r="O48" s="15" t="n">
        <f aca="false">+O47/O$29</f>
        <v>0.00635386119257087</v>
      </c>
      <c r="U48" s="15" t="n">
        <f aca="false">+U47/U$29</f>
        <v>0.0132582564594066</v>
      </c>
      <c r="V48" s="15" t="n">
        <f aca="false">+V47/V$29</f>
        <v>0.0156573116691285</v>
      </c>
      <c r="W48" s="15" t="n">
        <f aca="false">+W47/W$29</f>
        <v>0.00982203637070894</v>
      </c>
      <c r="X48" s="15" t="n">
        <f aca="false">+X47/X$29</f>
        <v>0.0070044361428905</v>
      </c>
      <c r="Y48" s="15" t="n">
        <f aca="false">+Y47/Y$29</f>
        <v>0.0118804019179672</v>
      </c>
      <c r="Z48" s="15" t="n">
        <f aca="false">+Z47/Z$29</f>
        <v>0.0100263852242744</v>
      </c>
      <c r="AA48" s="15" t="n">
        <f aca="false">+AA47/AA$29</f>
        <v>0.00911992704058368</v>
      </c>
      <c r="AB48" s="15" t="n">
        <f aca="false">+AB47/AB$29</f>
        <v>0.00799200799200799</v>
      </c>
      <c r="AC48" s="15" t="n">
        <f aca="false">+AC47/AC$29</f>
        <v>0.00764053119883573</v>
      </c>
      <c r="AD48" s="15" t="n">
        <f aca="false">+AD47/AD$29</f>
        <v>0.00799217093459468</v>
      </c>
      <c r="AE48" s="15" t="n">
        <f aca="false">+AE47/AE$29</f>
        <v>0.00735498195947821</v>
      </c>
      <c r="AF48" s="15" t="n">
        <f aca="false">+AF47/AF$29</f>
        <v>0.008</v>
      </c>
      <c r="AG48" s="15" t="n">
        <f aca="false">+AG47/AG$29</f>
        <v>0.008</v>
      </c>
      <c r="AH48" s="15" t="n">
        <f aca="false">+AH47/AH$29</f>
        <v>0.008</v>
      </c>
      <c r="AI48" s="15" t="n">
        <f aca="false">+AI47/AI$29</f>
        <v>0.008</v>
      </c>
      <c r="AJ48" s="15" t="n">
        <f aca="false">+AJ47/AJ$29</f>
        <v>0.008</v>
      </c>
      <c r="AR48" s="0"/>
      <c r="AS48" s="0"/>
      <c r="AT48" s="0"/>
      <c r="AU48" s="0"/>
      <c r="AV48" s="0"/>
    </row>
    <row r="49" customFormat="false" ht="12.8" hidden="false" customHeight="false" outlineLevel="0" collapsed="false">
      <c r="A49" s="3" t="s">
        <v>91</v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15</v>
      </c>
      <c r="J49" s="3" t="n">
        <v>105</v>
      </c>
      <c r="K49" s="3" t="n">
        <v>6</v>
      </c>
      <c r="L49" s="3" t="n">
        <v>5</v>
      </c>
      <c r="M49" s="3" t="n">
        <v>100</v>
      </c>
      <c r="N49" s="3" t="n">
        <v>30</v>
      </c>
      <c r="O49" s="3" t="n">
        <v>-1</v>
      </c>
      <c r="U49" s="3" t="n">
        <v>0</v>
      </c>
      <c r="V49" s="3" t="n">
        <v>80.5</v>
      </c>
      <c r="W49" s="3" t="n">
        <v>94.1</v>
      </c>
      <c r="X49" s="3" t="n">
        <v>41.9</v>
      </c>
      <c r="Y49" s="3" t="n">
        <v>0.5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15</v>
      </c>
      <c r="AE49" s="3" t="n">
        <v>216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</row>
    <row r="50" s="15" customFormat="true" ht="10.5" hidden="false" customHeight="true" outlineLevel="0" collapsed="false">
      <c r="B50" s="15" t="n">
        <f aca="false">+B49/B$29</f>
        <v>0</v>
      </c>
      <c r="C50" s="15" t="n">
        <f aca="false">+C49/C$29</f>
        <v>0</v>
      </c>
      <c r="D50" s="15" t="n">
        <f aca="false">+D49/D$29</f>
        <v>0</v>
      </c>
      <c r="E50" s="15" t="n">
        <f aca="false">+E49/E$29</f>
        <v>0</v>
      </c>
      <c r="F50" s="15" t="n">
        <f aca="false">+F49/F$29</f>
        <v>0</v>
      </c>
      <c r="G50" s="15" t="n">
        <f aca="false">+G49/G$29</f>
        <v>0</v>
      </c>
      <c r="H50" s="15" t="n">
        <f aca="false">+H49/H$29</f>
        <v>0</v>
      </c>
      <c r="I50" s="15" t="n">
        <f aca="false">+I49/I$29</f>
        <v>0.00915192190359976</v>
      </c>
      <c r="J50" s="15" t="n">
        <f aca="false">+J49/J$29</f>
        <v>0.0642988364972443</v>
      </c>
      <c r="K50" s="15" t="n">
        <f aca="false">+K49/K$29</f>
        <v>0.00340328984685196</v>
      </c>
      <c r="L50" s="15" t="n">
        <f aca="false">+L49/L$29</f>
        <v>0.00269832703723691</v>
      </c>
      <c r="M50" s="15" t="n">
        <f aca="false">+M49/M$29</f>
        <v>0.0510986203372509</v>
      </c>
      <c r="N50" s="15" t="n">
        <f aca="false">+N49/N$29</f>
        <v>0.015511892450879</v>
      </c>
      <c r="O50" s="15" t="n">
        <f aca="false">+O49/O$29</f>
        <v>-0.000488758553274682</v>
      </c>
      <c r="U50" s="15" t="n">
        <f aca="false">+U49/U$29</f>
        <v>0</v>
      </c>
      <c r="V50" s="15" t="n">
        <f aca="false">+V49/V$29</f>
        <v>0.0396356474643033</v>
      </c>
      <c r="W50" s="15" t="n">
        <f aca="false">+W49/W$29</f>
        <v>0.0457551298259263</v>
      </c>
      <c r="X50" s="15" t="n">
        <f aca="false">+X49/X$29</f>
        <v>0.016304770799284</v>
      </c>
      <c r="Y50" s="15" t="n">
        <f aca="false">+Y49/Y$29</f>
        <v>0.000152704394832483</v>
      </c>
      <c r="Z50" s="15" t="n">
        <f aca="false">+Z49/Z$29</f>
        <v>0</v>
      </c>
      <c r="AA50" s="15" t="n">
        <f aca="false">+AA49/AA$29</f>
        <v>0</v>
      </c>
      <c r="AB50" s="15" t="n">
        <f aca="false">+AB49/AB$29</f>
        <v>0</v>
      </c>
      <c r="AC50" s="15" t="n">
        <f aca="false">+AC49/AC$29</f>
        <v>0</v>
      </c>
      <c r="AD50" s="15" t="n">
        <f aca="false">+AD49/AD$29</f>
        <v>0.00244658293916164</v>
      </c>
      <c r="AE50" s="15" t="n">
        <f aca="false">+AE49/AE$29</f>
        <v>0.0299750208159867</v>
      </c>
      <c r="AF50" s="15" t="n">
        <f aca="false">+AF49/AF$29</f>
        <v>0</v>
      </c>
      <c r="AG50" s="15" t="n">
        <f aca="false">+AG49/AG$29</f>
        <v>0</v>
      </c>
      <c r="AH50" s="15" t="n">
        <f aca="false">+AH49/AH$29</f>
        <v>0</v>
      </c>
      <c r="AI50" s="15" t="n">
        <f aca="false">+AI49/AI$29</f>
        <v>0</v>
      </c>
      <c r="AJ50" s="15" t="n">
        <f aca="false">+AJ49/AJ$29</f>
        <v>0</v>
      </c>
      <c r="AR50" s="0"/>
      <c r="AS50" s="0"/>
      <c r="AT50" s="0"/>
      <c r="AU50" s="0"/>
      <c r="AV50" s="0"/>
    </row>
    <row r="51" customFormat="false" ht="12.8" hidden="false" customHeight="false" outlineLevel="0" collapsed="false">
      <c r="A51" s="3" t="s">
        <v>92</v>
      </c>
      <c r="B51" s="3" t="n">
        <f aca="false">+B49+B47+B45+B43+B41</f>
        <v>925</v>
      </c>
      <c r="C51" s="3" t="n">
        <f aca="false">+C49+C47+C45+C43+C41</f>
        <v>956</v>
      </c>
      <c r="D51" s="3" t="n">
        <f aca="false">+D49+D47+D45+D43+D41</f>
        <v>953</v>
      </c>
      <c r="E51" s="3" t="n">
        <f aca="false">+E49+E47+E45+E43+E41</f>
        <v>1024</v>
      </c>
      <c r="F51" s="3" t="n">
        <f aca="false">+F49+F47+F45+F43+F41</f>
        <v>981</v>
      </c>
      <c r="G51" s="3" t="n">
        <f aca="false">+G49+G47+G45+G43+G41</f>
        <v>1022</v>
      </c>
      <c r="H51" s="3" t="n">
        <f aca="false">+H49+H47+H45+H43+H41</f>
        <v>1077</v>
      </c>
      <c r="I51" s="3" t="n">
        <f aca="false">+I49+I47+I45+I43+I41</f>
        <v>1119</v>
      </c>
      <c r="J51" s="3" t="n">
        <f aca="false">+J49+J47+J45+J43+J41</f>
        <v>1240</v>
      </c>
      <c r="K51" s="3" t="n">
        <f aca="false">+K49+K47+K45+K43+K41</f>
        <v>1160</v>
      </c>
      <c r="L51" s="3" t="n">
        <f aca="false">+L49+L47+L45+L43+L41</f>
        <v>1218</v>
      </c>
      <c r="M51" s="3" t="n">
        <f aca="false">+M49+M47+M45+M43+M41</f>
        <v>1360</v>
      </c>
      <c r="N51" s="3" t="n">
        <f aca="false">+N49+N47+N45+N43+N41</f>
        <v>1218</v>
      </c>
      <c r="O51" s="3" t="n">
        <f aca="false">+O49+O47+O45+O43+O41</f>
        <v>1271</v>
      </c>
      <c r="P51" s="3" t="n">
        <f aca="false">+P49+P47+P45+P43+P41</f>
        <v>0</v>
      </c>
      <c r="Q51" s="3" t="n">
        <f aca="false">+Q49+Q47+Q45+Q43+Q41</f>
        <v>0</v>
      </c>
      <c r="U51" s="3" t="n">
        <f aca="false">+U49+U47+U45+U43+U41</f>
        <v>2132.1</v>
      </c>
      <c r="V51" s="3" t="n">
        <f aca="false">+V49+V47+V45+V43+V41</f>
        <v>2188.7</v>
      </c>
      <c r="W51" s="3" t="n">
        <f aca="false">+W49+W47+W45+W43+W41</f>
        <v>2262.3</v>
      </c>
      <c r="X51" s="3" t="n">
        <f aca="false">+X49+X47+X45+X43+X41</f>
        <v>2308.9</v>
      </c>
      <c r="Y51" s="3" t="n">
        <f aca="false">+Y49+Y47+Y45+Y43+Y41</f>
        <v>2606.4</v>
      </c>
      <c r="Z51" s="3" t="n">
        <f aca="false">+Z49+Z47+Z45+Z43+Z41</f>
        <v>2824</v>
      </c>
      <c r="AA51" s="3" t="n">
        <f aca="false">+AA49+AA47+AA45+AA43+AA41</f>
        <v>3350</v>
      </c>
      <c r="AB51" s="3" t="n">
        <f aca="false">+AB49+AB47+AB45+AB43+AB41</f>
        <v>3536</v>
      </c>
      <c r="AC51" s="3" t="n">
        <f aca="false">+AC49+AC47+AC45+AC43+AC41</f>
        <v>3858</v>
      </c>
      <c r="AD51" s="3" t="n">
        <f aca="false">+AD49+AD47+AD45+AD43+AD41</f>
        <v>4199</v>
      </c>
      <c r="AE51" s="3" t="n">
        <f aca="false">+AE49+AE47+AE45+AE43+AE41</f>
        <v>4978</v>
      </c>
      <c r="AF51" s="3" t="n">
        <f aca="false">+AF49+AF47+AF45+AF43+AF41</f>
        <v>5535.6492</v>
      </c>
      <c r="AG51" s="3" t="n">
        <f aca="false">+AG49+AG47+AG45+AG43+AG41</f>
        <v>6074.463438</v>
      </c>
      <c r="AH51" s="3" t="n">
        <f aca="false">+AH49+AH47+AH45+AH43+AH41</f>
        <v>6650.63999334</v>
      </c>
      <c r="AI51" s="3" t="n">
        <f aca="false">+AI49+AI47+AI45+AI43+AI41</f>
        <v>7149.8116243008</v>
      </c>
      <c r="AJ51" s="3" t="n">
        <f aca="false">+AJ49+AJ47+AJ45+AJ43+AJ41</f>
        <v>7936.29090297389</v>
      </c>
    </row>
    <row r="52" s="15" customFormat="true" ht="10.5" hidden="false" customHeight="true" outlineLevel="0" collapsed="false">
      <c r="B52" s="15" t="n">
        <f aca="false">+B51/B$29</f>
        <v>0.728920409771474</v>
      </c>
      <c r="C52" s="15" t="n">
        <f aca="false">+C51/C$29</f>
        <v>0.710780669144981</v>
      </c>
      <c r="D52" s="15" t="n">
        <f aca="false">+D51/D$29</f>
        <v>0.673974540311174</v>
      </c>
      <c r="E52" s="15" t="n">
        <f aca="false">+E51/E$29</f>
        <v>0.697072838665759</v>
      </c>
      <c r="F52" s="15" t="n">
        <f aca="false">+F51/F$29</f>
        <v>0.692307692307692</v>
      </c>
      <c r="G52" s="15" t="n">
        <f aca="false">+G51/G$29</f>
        <v>0.67906976744186</v>
      </c>
      <c r="H52" s="15" t="n">
        <f aca="false">+H51/H$29</f>
        <v>0.685987261146497</v>
      </c>
      <c r="I52" s="15" t="n">
        <f aca="false">+I51/I$29</f>
        <v>0.682733374008542</v>
      </c>
      <c r="J52" s="15" t="n">
        <f aca="false">+J51/J$29</f>
        <v>0.759338640538885</v>
      </c>
      <c r="K52" s="15" t="n">
        <f aca="false">+K51/K$29</f>
        <v>0.657969370391378</v>
      </c>
      <c r="L52" s="15" t="n">
        <f aca="false">+L51/L$29</f>
        <v>0.657312466270912</v>
      </c>
      <c r="M52" s="15" t="n">
        <f aca="false">+M51/M$29</f>
        <v>0.694941236586612</v>
      </c>
      <c r="N52" s="15" t="n">
        <f aca="false">+N51/N$29</f>
        <v>0.629782833505688</v>
      </c>
      <c r="O52" s="15" t="n">
        <f aca="false">+O51/O$29</f>
        <v>0.621212121212121</v>
      </c>
      <c r="U52" s="15" t="n">
        <f aca="false">+U51/U$29</f>
        <v>0.851443632442794</v>
      </c>
      <c r="V52" s="15" t="n">
        <f aca="false">+V51/V$29</f>
        <v>1.07764647956672</v>
      </c>
      <c r="W52" s="15" t="n">
        <f aca="false">+W51/W$29</f>
        <v>1.10001944957697</v>
      </c>
      <c r="X52" s="15" t="n">
        <f aca="false">+X51/X$29</f>
        <v>0.898474589462215</v>
      </c>
      <c r="Y52" s="15" t="n">
        <f aca="false">+Y51/Y$29</f>
        <v>0.796017469382769</v>
      </c>
      <c r="Z52" s="15" t="n">
        <f aca="false">+Z51/Z$29</f>
        <v>0.745118733509235</v>
      </c>
      <c r="AA52" s="15" t="n">
        <f aca="false">+AA51/AA$29</f>
        <v>0.763793889648883</v>
      </c>
      <c r="AB52" s="15" t="n">
        <f aca="false">+AB51/AB$29</f>
        <v>0.706493506493507</v>
      </c>
      <c r="AC52" s="15" t="n">
        <f aca="false">+AC51/AC$29</f>
        <v>0.701837365835911</v>
      </c>
      <c r="AD52" s="15" t="n">
        <f aca="false">+AD51/AD$29</f>
        <v>0.684880117435981</v>
      </c>
      <c r="AE52" s="15" t="n">
        <f aca="false">+AE51/AE$29</f>
        <v>0.690813211212878</v>
      </c>
      <c r="AF52" s="15" t="n">
        <f aca="false">+AF51/AF$29</f>
        <v>0.668</v>
      </c>
      <c r="AG52" s="15" t="n">
        <f aca="false">+AG51/AG$29</f>
        <v>0.643</v>
      </c>
      <c r="AH52" s="15" t="n">
        <f aca="false">+AH51/AH$29</f>
        <v>0.623</v>
      </c>
      <c r="AI52" s="15" t="n">
        <f aca="false">+AI51/AI$29</f>
        <v>0.598</v>
      </c>
      <c r="AJ52" s="15" t="n">
        <f aca="false">+AJ51/AJ$29</f>
        <v>0.598</v>
      </c>
      <c r="AR52" s="0"/>
      <c r="AS52" s="0"/>
      <c r="AT52" s="0"/>
      <c r="AU52" s="0"/>
      <c r="AV52" s="0"/>
    </row>
    <row r="53" customFormat="false" ht="12.8" hidden="false" customHeight="false" outlineLevel="0" collapsed="false">
      <c r="A53" s="3" t="s">
        <v>93</v>
      </c>
      <c r="B53" s="3" t="n">
        <f aca="false">+B39-B51</f>
        <v>217</v>
      </c>
      <c r="C53" s="3" t="n">
        <f aca="false">+C39-C51</f>
        <v>262</v>
      </c>
      <c r="D53" s="3" t="n">
        <f aca="false">+D39-D51</f>
        <v>334</v>
      </c>
      <c r="E53" s="3" t="n">
        <f aca="false">+E39-E51</f>
        <v>315</v>
      </c>
      <c r="F53" s="3" t="n">
        <f aca="false">+F39-F51</f>
        <v>299</v>
      </c>
      <c r="G53" s="3" t="n">
        <f aca="false">+G39-G51</f>
        <v>343</v>
      </c>
      <c r="H53" s="3" t="n">
        <f aca="false">+H39-H51</f>
        <v>346</v>
      </c>
      <c r="I53" s="3" t="n">
        <f aca="false">+I39-I51</f>
        <v>366</v>
      </c>
      <c r="J53" s="3" t="n">
        <f aca="false">+J39-J51</f>
        <v>233</v>
      </c>
      <c r="K53" s="3" t="n">
        <f aca="false">+K39-K51</f>
        <v>444</v>
      </c>
      <c r="L53" s="3" t="n">
        <f aca="false">+L39-L51</f>
        <v>470</v>
      </c>
      <c r="M53" s="3" t="n">
        <f aca="false">+M39-M51</f>
        <v>431</v>
      </c>
      <c r="N53" s="3" t="n">
        <f aca="false">+N39-N51</f>
        <v>541</v>
      </c>
      <c r="O53" s="3" t="n">
        <f aca="false">+O39-O51</f>
        <v>599</v>
      </c>
      <c r="P53" s="3" t="n">
        <f aca="false">+P39-P51</f>
        <v>0</v>
      </c>
      <c r="Q53" s="3" t="n">
        <f aca="false">+Q39-Q51</f>
        <v>0</v>
      </c>
      <c r="U53" s="3" t="n">
        <f aca="false">+U39-U51</f>
        <v>1.30000000000018</v>
      </c>
      <c r="V53" s="3" t="n">
        <f aca="false">+V39-V51</f>
        <v>-499.6</v>
      </c>
      <c r="W53" s="3" t="n">
        <f aca="false">+W39-W51</f>
        <v>-509.1</v>
      </c>
      <c r="X53" s="3" t="n">
        <f aca="false">+X39-X51</f>
        <v>-25</v>
      </c>
      <c r="Y53" s="3" t="n">
        <f aca="false">+Y39-Y51</f>
        <v>343</v>
      </c>
      <c r="Z53" s="3" t="n">
        <f aca="false">+Z39-Z51</f>
        <v>629</v>
      </c>
      <c r="AA53" s="3" t="n">
        <f aca="false">+AA39-AA51</f>
        <v>618</v>
      </c>
      <c r="AB53" s="3" t="n">
        <f aca="false">+AB39-AB51</f>
        <v>989</v>
      </c>
      <c r="AC53" s="3" t="n">
        <f aca="false">+AC39-AC51</f>
        <v>1128</v>
      </c>
      <c r="AD53" s="3" t="n">
        <f aca="false">+AD39-AD51</f>
        <v>1354</v>
      </c>
      <c r="AE53" s="3" t="n">
        <f aca="false">+AE39-AE51</f>
        <v>1578</v>
      </c>
      <c r="AF53" s="3" t="n">
        <f aca="false">+AF39-AF51</f>
        <v>2005.4298</v>
      </c>
      <c r="AG53" s="3" t="n">
        <f aca="false">+AG39-AG51</f>
        <v>2522.366622</v>
      </c>
      <c r="AH53" s="3" t="n">
        <f aca="false">+AH39-AH51</f>
        <v>3063.77797446</v>
      </c>
      <c r="AI53" s="3" t="n">
        <f aca="false">+AI39-AI51</f>
        <v>3730.3364996352</v>
      </c>
      <c r="AJ53" s="3" t="n">
        <f aca="false">+AJ39-AJ51</f>
        <v>4140.67351459507</v>
      </c>
    </row>
    <row r="54" s="15" customFormat="true" ht="10.5" hidden="false" customHeight="true" outlineLevel="0" collapsed="false">
      <c r="B54" s="15" t="n">
        <f aca="false">+B53/B$29</f>
        <v>0.171000788022065</v>
      </c>
      <c r="C54" s="15" t="n">
        <f aca="false">+C53/C$29</f>
        <v>0.194795539033457</v>
      </c>
      <c r="D54" s="15" t="n">
        <f aca="false">+D53/D$29</f>
        <v>0.236209335219236</v>
      </c>
      <c r="E54" s="15" t="n">
        <f aca="false">+E53/E$29</f>
        <v>0.214431586113002</v>
      </c>
      <c r="F54" s="15" t="n">
        <f aca="false">+F53/F$29</f>
        <v>0.211009174311927</v>
      </c>
      <c r="G54" s="15" t="n">
        <f aca="false">+G53/G$29</f>
        <v>0.227906976744186</v>
      </c>
      <c r="H54" s="15" t="n">
        <f aca="false">+H53/H$29</f>
        <v>0.220382165605096</v>
      </c>
      <c r="I54" s="15" t="n">
        <f aca="false">+I53/I$29</f>
        <v>0.223306894447834</v>
      </c>
      <c r="J54" s="15" t="n">
        <f aca="false">+J53/J$29</f>
        <v>0.142682180036742</v>
      </c>
      <c r="K54" s="15" t="n">
        <f aca="false">+K53/K$29</f>
        <v>0.251843448667045</v>
      </c>
      <c r="L54" s="15" t="n">
        <f aca="false">+L53/L$29</f>
        <v>0.25364274150027</v>
      </c>
      <c r="M54" s="15" t="n">
        <f aca="false">+M53/M$29</f>
        <v>0.220235053653551</v>
      </c>
      <c r="N54" s="15" t="n">
        <f aca="false">+N53/N$29</f>
        <v>0.279731127197518</v>
      </c>
      <c r="O54" s="15" t="n">
        <f aca="false">+O53/O$29</f>
        <v>0.292766373411535</v>
      </c>
      <c r="U54" s="15" t="n">
        <f aca="false">+U53/U$29</f>
        <v>0.000519148596302137</v>
      </c>
      <c r="V54" s="15" t="n">
        <f aca="false">+V53/V$29</f>
        <v>-0.245987198424421</v>
      </c>
      <c r="W54" s="15" t="n">
        <f aca="false">+W53/W$29</f>
        <v>-0.247544490907323</v>
      </c>
      <c r="X54" s="15" t="n">
        <f aca="false">+X53/X$29</f>
        <v>-0.00972838353179236</v>
      </c>
      <c r="Y54" s="15" t="n">
        <f aca="false">+Y53/Y$29</f>
        <v>0.104755214855084</v>
      </c>
      <c r="Z54" s="15" t="n">
        <f aca="false">+Z53/Z$29</f>
        <v>0.165963060686016</v>
      </c>
      <c r="AA54" s="15" t="n">
        <f aca="false">+AA53/AA$29</f>
        <v>0.140902872777018</v>
      </c>
      <c r="AB54" s="15" t="n">
        <f aca="false">+AB53/AB$29</f>
        <v>0.197602397602398</v>
      </c>
      <c r="AC54" s="15" t="n">
        <f aca="false">+AC53/AC$29</f>
        <v>0.205202837911588</v>
      </c>
      <c r="AD54" s="15" t="n">
        <f aca="false">+AD53/AD$29</f>
        <v>0.220844886641657</v>
      </c>
      <c r="AE54" s="15" t="n">
        <f aca="false">+AE53/AE$29</f>
        <v>0.218984179850125</v>
      </c>
      <c r="AF54" s="15" t="n">
        <f aca="false">+AF53/AF$29</f>
        <v>0.242</v>
      </c>
      <c r="AG54" s="15" t="n">
        <f aca="false">+AG53/AG$29</f>
        <v>0.267</v>
      </c>
      <c r="AH54" s="15" t="n">
        <f aca="false">+AH53/AH$29</f>
        <v>0.287</v>
      </c>
      <c r="AI54" s="15" t="n">
        <f aca="false">+AI53/AI$29</f>
        <v>0.312</v>
      </c>
      <c r="AJ54" s="15" t="n">
        <f aca="false">+AJ53/AJ$29</f>
        <v>0.312</v>
      </c>
      <c r="AR54" s="0"/>
      <c r="AS54" s="0"/>
      <c r="AT54" s="0"/>
      <c r="AU54" s="0"/>
      <c r="AV54" s="0"/>
    </row>
    <row r="55" customFormat="false" ht="12.8" hidden="false" customHeight="false" outlineLevel="0" collapsed="false">
      <c r="A55" s="3" t="s">
        <v>94</v>
      </c>
      <c r="B55" s="3" t="n">
        <v>4</v>
      </c>
      <c r="C55" s="3" t="n">
        <v>-4</v>
      </c>
      <c r="D55" s="3" t="n">
        <v>-14</v>
      </c>
      <c r="E55" s="3" t="n">
        <v>22</v>
      </c>
      <c r="F55" s="3" t="n">
        <v>10</v>
      </c>
      <c r="G55" s="3" t="n">
        <v>9</v>
      </c>
      <c r="H55" s="3" t="n">
        <v>5</v>
      </c>
      <c r="I55" s="3" t="n">
        <v>6</v>
      </c>
      <c r="J55" s="3" t="n">
        <v>1</v>
      </c>
      <c r="K55" s="3" t="n">
        <v>12</v>
      </c>
      <c r="L55" s="3" t="n">
        <v>-2</v>
      </c>
      <c r="M55" s="3" t="n">
        <v>14</v>
      </c>
      <c r="N55" s="3" t="n">
        <v>58</v>
      </c>
      <c r="O55" s="3" t="n">
        <v>-6</v>
      </c>
      <c r="U55" s="3" t="n">
        <v>-21.6</v>
      </c>
      <c r="V55" s="3" t="n">
        <v>-24.2</v>
      </c>
      <c r="W55" s="3" t="n">
        <v>-48.2</v>
      </c>
      <c r="X55" s="3" t="n">
        <v>-17.7</v>
      </c>
      <c r="Y55" s="3" t="n">
        <v>-48.2</v>
      </c>
      <c r="Z55" s="3" t="n">
        <v>-82</v>
      </c>
      <c r="AA55" s="3" t="n">
        <v>-53</v>
      </c>
      <c r="AB55" s="3" t="n">
        <v>-43</v>
      </c>
      <c r="AC55" s="3" t="n">
        <v>8</v>
      </c>
      <c r="AD55" s="3" t="n">
        <v>30</v>
      </c>
      <c r="AE55" s="3" t="n">
        <v>25</v>
      </c>
      <c r="AF55" s="3" t="n">
        <f aca="false">+AF29*0.003</f>
        <v>24.8607</v>
      </c>
      <c r="AG55" s="3" t="n">
        <f aca="false">+AG29*0.003</f>
        <v>28.341198</v>
      </c>
      <c r="AH55" s="3" t="n">
        <f aca="false">+AH29*0.003</f>
        <v>32.02555374</v>
      </c>
      <c r="AI55" s="3" t="n">
        <f aca="false">+AI29*0.003</f>
        <v>35.8686201888</v>
      </c>
      <c r="AJ55" s="3" t="n">
        <f aca="false">+AJ29*0.003</f>
        <v>39.814168409568</v>
      </c>
    </row>
    <row r="56" s="15" customFormat="true" ht="10.5" hidden="false" customHeight="true" outlineLevel="0" collapsed="false">
      <c r="B56" s="15" t="n">
        <f aca="false">+B55/B$29</f>
        <v>0.00315208825847124</v>
      </c>
      <c r="C56" s="15" t="n">
        <f aca="false">+C55/C$29</f>
        <v>-0.00297397769516729</v>
      </c>
      <c r="D56" s="15" t="n">
        <f aca="false">+D55/D$29</f>
        <v>-0.0099009900990099</v>
      </c>
      <c r="E56" s="15" t="n">
        <f aca="false">+E55/E$29</f>
        <v>0.0149761742682097</v>
      </c>
      <c r="F56" s="15" t="n">
        <f aca="false">+F55/F$29</f>
        <v>0.00705716302046577</v>
      </c>
      <c r="G56" s="15" t="n">
        <f aca="false">+G55/G$29</f>
        <v>0.00598006644518272</v>
      </c>
      <c r="H56" s="15" t="n">
        <f aca="false">+H55/H$29</f>
        <v>0.00318471337579618</v>
      </c>
      <c r="I56" s="15" t="n">
        <f aca="false">+I55/I$29</f>
        <v>0.0036607687614399</v>
      </c>
      <c r="J56" s="15" t="n">
        <f aca="false">+J55/J$29</f>
        <v>0.000612369871402327</v>
      </c>
      <c r="K56" s="15" t="n">
        <f aca="false">+K55/K$29</f>
        <v>0.00680657969370391</v>
      </c>
      <c r="L56" s="15" t="n">
        <f aca="false">+L55/L$29</f>
        <v>-0.00107933081489477</v>
      </c>
      <c r="M56" s="15" t="n">
        <f aca="false">+M55/M$29</f>
        <v>0.00715380684721513</v>
      </c>
      <c r="N56" s="15" t="n">
        <f aca="false">+N55/N$29</f>
        <v>0.0299896587383661</v>
      </c>
      <c r="O56" s="15" t="n">
        <f aca="false">+O55/O$29</f>
        <v>-0.00293255131964809</v>
      </c>
      <c r="U56" s="15" t="n">
        <f aca="false">+U55/U$29</f>
        <v>-0.00862585360009584</v>
      </c>
      <c r="V56" s="15" t="n">
        <f aca="false">+V55/V$29</f>
        <v>-0.0119153126538651</v>
      </c>
      <c r="W56" s="15" t="n">
        <f aca="false">+W55/W$29</f>
        <v>-0.0234367402508995</v>
      </c>
      <c r="X56" s="15" t="n">
        <f aca="false">+X55/X$29</f>
        <v>-0.00688769554050899</v>
      </c>
      <c r="Y56" s="15" t="n">
        <f aca="false">+Y55/Y$29</f>
        <v>-0.0147207036618514</v>
      </c>
      <c r="Z56" s="15" t="n">
        <f aca="false">+Z55/Z$29</f>
        <v>-0.0216358839050132</v>
      </c>
      <c r="AA56" s="15" t="n">
        <f aca="false">+AA55/AA$29</f>
        <v>-0.0120839033287734</v>
      </c>
      <c r="AB56" s="15" t="n">
        <f aca="false">+AB55/AB$29</f>
        <v>-0.00859140859140859</v>
      </c>
      <c r="AC56" s="15" t="n">
        <f aca="false">+AC55/AC$29</f>
        <v>0.00145533927596871</v>
      </c>
      <c r="AD56" s="15" t="n">
        <f aca="false">+AD55/AD$29</f>
        <v>0.00489316587832328</v>
      </c>
      <c r="AE56" s="15" t="n">
        <f aca="false">+AE55/AE$29</f>
        <v>0.00346933111296142</v>
      </c>
      <c r="AF56" s="15" t="n">
        <f aca="false">+AF55/AF$29</f>
        <v>0.003</v>
      </c>
      <c r="AG56" s="15" t="n">
        <f aca="false">+AG55/AG$29</f>
        <v>0.003</v>
      </c>
      <c r="AH56" s="15" t="n">
        <f aca="false">+AH55/AH$29</f>
        <v>0.003</v>
      </c>
      <c r="AI56" s="15" t="n">
        <f aca="false">+AI55/AI$29</f>
        <v>0.003</v>
      </c>
      <c r="AJ56" s="15" t="n">
        <f aca="false">+AJ55/AJ$29</f>
        <v>0.003</v>
      </c>
      <c r="AR56" s="0"/>
      <c r="AS56" s="0"/>
      <c r="AT56" s="0"/>
      <c r="AU56" s="0"/>
      <c r="AV56" s="0"/>
    </row>
    <row r="57" customFormat="false" ht="12.8" hidden="false" customHeight="false" outlineLevel="0" collapsed="false">
      <c r="A57" s="3" t="s">
        <v>95</v>
      </c>
      <c r="B57" s="3" t="n">
        <f aca="false">+B55+B53</f>
        <v>221</v>
      </c>
      <c r="C57" s="3" t="n">
        <f aca="false">+C55+C53</f>
        <v>258</v>
      </c>
      <c r="D57" s="3" t="n">
        <f aca="false">+D55+D53</f>
        <v>320</v>
      </c>
      <c r="E57" s="3" t="n">
        <f aca="false">+E55+E53</f>
        <v>337</v>
      </c>
      <c r="F57" s="3" t="n">
        <f aca="false">+F55+F53</f>
        <v>309</v>
      </c>
      <c r="G57" s="3" t="n">
        <f aca="false">+G55+G53</f>
        <v>352</v>
      </c>
      <c r="H57" s="3" t="n">
        <f aca="false">+H55+H53</f>
        <v>351</v>
      </c>
      <c r="I57" s="3" t="n">
        <f aca="false">+I55+I53</f>
        <v>372</v>
      </c>
      <c r="J57" s="3" t="n">
        <f aca="false">+J55+J53</f>
        <v>234</v>
      </c>
      <c r="K57" s="3" t="n">
        <f aca="false">+K55+K53</f>
        <v>456</v>
      </c>
      <c r="L57" s="3" t="n">
        <f aca="false">+L55+L53</f>
        <v>468</v>
      </c>
      <c r="M57" s="3" t="n">
        <f aca="false">+M55+M53</f>
        <v>445</v>
      </c>
      <c r="N57" s="3" t="n">
        <f aca="false">+N55+N53</f>
        <v>599</v>
      </c>
      <c r="O57" s="3" t="n">
        <f aca="false">+O55+O53</f>
        <v>593</v>
      </c>
      <c r="P57" s="3" t="n">
        <f aca="false">+P55+P53</f>
        <v>0</v>
      </c>
      <c r="Q57" s="3" t="n">
        <f aca="false">+Q55+Q53</f>
        <v>0</v>
      </c>
      <c r="U57" s="3" t="n">
        <f aca="false">+U55+U53</f>
        <v>-20.2999999999998</v>
      </c>
      <c r="V57" s="3" t="n">
        <f aca="false">+V55+V53</f>
        <v>-523.8</v>
      </c>
      <c r="W57" s="3" t="n">
        <f aca="false">+W55+W53</f>
        <v>-557.3</v>
      </c>
      <c r="X57" s="3" t="n">
        <f aca="false">+X55+X53</f>
        <v>-42.7</v>
      </c>
      <c r="Y57" s="3" t="n">
        <f aca="false">+Y55+Y53</f>
        <v>294.8</v>
      </c>
      <c r="Z57" s="3" t="n">
        <f aca="false">+Z55+Z53</f>
        <v>547</v>
      </c>
      <c r="AA57" s="3" t="n">
        <f aca="false">+AA55+AA53</f>
        <v>565</v>
      </c>
      <c r="AB57" s="3" t="n">
        <f aca="false">+AB55+AB53</f>
        <v>946</v>
      </c>
      <c r="AC57" s="3" t="n">
        <f aca="false">+AC55+AC53</f>
        <v>1136</v>
      </c>
      <c r="AD57" s="3" t="n">
        <f aca="false">+AD55+AD53</f>
        <v>1384</v>
      </c>
      <c r="AE57" s="3" t="n">
        <f aca="false">+AE55+AE53</f>
        <v>1603</v>
      </c>
      <c r="AF57" s="3" t="n">
        <f aca="false">+AF55+AF53</f>
        <v>2030.2905</v>
      </c>
      <c r="AG57" s="3" t="n">
        <f aca="false">+AG55+AG53</f>
        <v>2550.70782</v>
      </c>
      <c r="AH57" s="3" t="n">
        <f aca="false">+AH55+AH53</f>
        <v>3095.8035282</v>
      </c>
      <c r="AI57" s="3" t="n">
        <f aca="false">+AI55+AI53</f>
        <v>3766.205119824</v>
      </c>
      <c r="AJ57" s="3" t="n">
        <f aca="false">+AJ55+AJ53</f>
        <v>4180.48768300464</v>
      </c>
    </row>
    <row r="58" s="15" customFormat="true" ht="10.5" hidden="false" customHeight="true" outlineLevel="0" collapsed="false">
      <c r="B58" s="15" t="n">
        <f aca="false">+B57/B$29</f>
        <v>0.174152876280536</v>
      </c>
      <c r="C58" s="15" t="n">
        <f aca="false">+C57/C$29</f>
        <v>0.19182156133829</v>
      </c>
      <c r="D58" s="15" t="n">
        <f aca="false">+D57/D$29</f>
        <v>0.226308345120226</v>
      </c>
      <c r="E58" s="15" t="n">
        <f aca="false">+E57/E$29</f>
        <v>0.229407760381212</v>
      </c>
      <c r="F58" s="15" t="n">
        <f aca="false">+F57/F$29</f>
        <v>0.218066337332392</v>
      </c>
      <c r="G58" s="15" t="n">
        <f aca="false">+G57/G$29</f>
        <v>0.233887043189369</v>
      </c>
      <c r="H58" s="15" t="n">
        <f aca="false">+H57/H$29</f>
        <v>0.223566878980892</v>
      </c>
      <c r="I58" s="15" t="n">
        <f aca="false">+I57/I$29</f>
        <v>0.226967663209274</v>
      </c>
      <c r="J58" s="15" t="n">
        <f aca="false">+J57/J$29</f>
        <v>0.143294549908145</v>
      </c>
      <c r="K58" s="15" t="n">
        <f aca="false">+K57/K$29</f>
        <v>0.258650028360749</v>
      </c>
      <c r="L58" s="15" t="n">
        <f aca="false">+L57/L$29</f>
        <v>0.252563410685375</v>
      </c>
      <c r="M58" s="15" t="n">
        <f aca="false">+M57/M$29</f>
        <v>0.227388860500766</v>
      </c>
      <c r="N58" s="15" t="n">
        <f aca="false">+N57/N$29</f>
        <v>0.309720785935884</v>
      </c>
      <c r="O58" s="15" t="n">
        <f aca="false">+O57/O$29</f>
        <v>0.289833822091887</v>
      </c>
      <c r="U58" s="15" t="n">
        <f aca="false">+U57/U$29</f>
        <v>-0.00810670500379371</v>
      </c>
      <c r="V58" s="15" t="n">
        <f aca="false">+V57/V$29</f>
        <v>-0.257902511078287</v>
      </c>
      <c r="W58" s="15" t="n">
        <f aca="false">+W57/W$29</f>
        <v>-0.270981231158222</v>
      </c>
      <c r="X58" s="15" t="n">
        <f aca="false">+X57/X$29</f>
        <v>-0.0166160790723013</v>
      </c>
      <c r="Y58" s="15" t="n">
        <f aca="false">+Y57/Y$29</f>
        <v>0.0900345111932323</v>
      </c>
      <c r="Z58" s="15" t="n">
        <f aca="false">+Z57/Z$29</f>
        <v>0.144327176781003</v>
      </c>
      <c r="AA58" s="15" t="n">
        <f aca="false">+AA57/AA$29</f>
        <v>0.128818969448244</v>
      </c>
      <c r="AB58" s="15" t="n">
        <f aca="false">+AB57/AB$29</f>
        <v>0.189010989010989</v>
      </c>
      <c r="AC58" s="15" t="n">
        <f aca="false">+AC57/AC$29</f>
        <v>0.206658177187557</v>
      </c>
      <c r="AD58" s="15" t="n">
        <f aca="false">+AD57/AD$29</f>
        <v>0.22573805251998</v>
      </c>
      <c r="AE58" s="15" t="n">
        <f aca="false">+AE57/AE$29</f>
        <v>0.222453510963086</v>
      </c>
      <c r="AF58" s="15" t="n">
        <f aca="false">+AF57/AF$29</f>
        <v>0.245</v>
      </c>
      <c r="AG58" s="15" t="n">
        <f aca="false">+AG57/AG$29</f>
        <v>0.27</v>
      </c>
      <c r="AH58" s="15" t="n">
        <f aca="false">+AH57/AH$29</f>
        <v>0.29</v>
      </c>
      <c r="AI58" s="15" t="n">
        <f aca="false">+AI57/AI$29</f>
        <v>0.315</v>
      </c>
      <c r="AJ58" s="15" t="n">
        <f aca="false">+AJ57/AJ$29</f>
        <v>0.315</v>
      </c>
      <c r="AR58" s="0"/>
      <c r="AS58" s="0"/>
      <c r="AT58" s="0"/>
      <c r="AU58" s="0"/>
      <c r="AV58" s="0"/>
    </row>
    <row r="59" customFormat="false" ht="12.8" hidden="false" customHeight="false" outlineLevel="0" collapsed="false">
      <c r="A59" s="3" t="s">
        <v>96</v>
      </c>
      <c r="B59" s="3" t="n">
        <v>60</v>
      </c>
      <c r="C59" s="3" t="n">
        <v>36</v>
      </c>
      <c r="D59" s="3" t="n">
        <v>79</v>
      </c>
      <c r="E59" s="3" t="n">
        <v>55</v>
      </c>
      <c r="F59" s="3" t="n">
        <v>57</v>
      </c>
      <c r="G59" s="3" t="n">
        <v>70</v>
      </c>
      <c r="H59" s="3" t="n">
        <v>76</v>
      </c>
      <c r="I59" s="3" t="n">
        <v>69</v>
      </c>
      <c r="J59" s="3" t="n">
        <v>82</v>
      </c>
      <c r="K59" s="3" t="n">
        <v>143</v>
      </c>
      <c r="L59" s="3" t="n">
        <v>125</v>
      </c>
      <c r="M59" s="3" t="n">
        <v>129</v>
      </c>
      <c r="N59" s="3" t="n">
        <v>108</v>
      </c>
      <c r="O59" s="3" t="n">
        <v>101</v>
      </c>
      <c r="U59" s="3" t="n">
        <v>310.5</v>
      </c>
      <c r="V59" s="3" t="n">
        <v>58.3</v>
      </c>
      <c r="W59" s="3" t="n">
        <v>9.6</v>
      </c>
      <c r="X59" s="3" t="n">
        <v>38.1</v>
      </c>
      <c r="Y59" s="3" t="n">
        <v>80.3</v>
      </c>
      <c r="Z59" s="17" t="n">
        <v>-661</v>
      </c>
      <c r="AA59" s="3" t="n">
        <v>68</v>
      </c>
      <c r="AB59" s="3" t="n">
        <v>123</v>
      </c>
      <c r="AC59" s="3" t="n">
        <v>230</v>
      </c>
      <c r="AD59" s="3" t="n">
        <v>272</v>
      </c>
      <c r="AE59" s="3" t="n">
        <v>479</v>
      </c>
      <c r="AF59" s="3" t="n">
        <f aca="false">+AF57*0.2</f>
        <v>406.0581</v>
      </c>
      <c r="AG59" s="3" t="n">
        <f aca="false">+AG57*0.2</f>
        <v>510.141564</v>
      </c>
      <c r="AH59" s="3" t="n">
        <f aca="false">+AH57*0.2</f>
        <v>619.16070564</v>
      </c>
      <c r="AI59" s="3" t="n">
        <f aca="false">+AI57*0.2</f>
        <v>753.2410239648</v>
      </c>
      <c r="AJ59" s="3" t="n">
        <f aca="false">+AJ57*0.2</f>
        <v>836.097536600928</v>
      </c>
    </row>
    <row r="60" s="15" customFormat="true" ht="10.5" hidden="false" customHeight="true" outlineLevel="0" collapsed="false">
      <c r="B60" s="15" t="n">
        <f aca="false">+B59/B$29</f>
        <v>0.0472813238770686</v>
      </c>
      <c r="C60" s="15" t="n">
        <f aca="false">+C59/C$29</f>
        <v>0.0267657992565056</v>
      </c>
      <c r="D60" s="15" t="n">
        <f aca="false">+D59/D$29</f>
        <v>0.0558698727015559</v>
      </c>
      <c r="E60" s="15" t="n">
        <f aca="false">+E59/E$29</f>
        <v>0.0374404356705242</v>
      </c>
      <c r="F60" s="15" t="n">
        <f aca="false">+F59/F$29</f>
        <v>0.0402258292166549</v>
      </c>
      <c r="G60" s="15" t="n">
        <f aca="false">+G59/G$29</f>
        <v>0.0465116279069767</v>
      </c>
      <c r="H60" s="15" t="n">
        <f aca="false">+H59/H$29</f>
        <v>0.0484076433121019</v>
      </c>
      <c r="I60" s="15" t="n">
        <f aca="false">+I59/I$29</f>
        <v>0.0420988407565589</v>
      </c>
      <c r="J60" s="15" t="n">
        <f aca="false">+J59/J$29</f>
        <v>0.0502143294549908</v>
      </c>
      <c r="K60" s="15" t="n">
        <f aca="false">+K59/K$29</f>
        <v>0.0811117413499716</v>
      </c>
      <c r="L60" s="15" t="n">
        <f aca="false">+L59/L$29</f>
        <v>0.0674581759309228</v>
      </c>
      <c r="M60" s="15" t="n">
        <f aca="false">+M59/M$29</f>
        <v>0.0659172202350537</v>
      </c>
      <c r="N60" s="15" t="n">
        <f aca="false">+N59/N$29</f>
        <v>0.0558428128231644</v>
      </c>
      <c r="O60" s="15" t="n">
        <f aca="false">+O59/O$29</f>
        <v>0.0493646138807429</v>
      </c>
      <c r="U60" s="15" t="n">
        <f aca="false">+U59/U$29</f>
        <v>0.123996645501378</v>
      </c>
      <c r="V60" s="15" t="n">
        <f aca="false">+V59/V$29</f>
        <v>0.0287050713934023</v>
      </c>
      <c r="W60" s="15" t="n">
        <f aca="false">+W59/W$29</f>
        <v>0.00466789847320821</v>
      </c>
      <c r="X60" s="15" t="n">
        <f aca="false">+X59/X$29</f>
        <v>0.0148260565024516</v>
      </c>
      <c r="Y60" s="15" t="n">
        <f aca="false">+Y59/Y$29</f>
        <v>0.0245243258100968</v>
      </c>
      <c r="Z60" s="15" t="n">
        <f aca="false">+Z59/Z$29</f>
        <v>-0.174406332453826</v>
      </c>
      <c r="AA60" s="15" t="n">
        <f aca="false">+AA59/AA$29</f>
        <v>0.0155038759689922</v>
      </c>
      <c r="AB60" s="15" t="n">
        <f aca="false">+AB59/AB$29</f>
        <v>0.0245754245754246</v>
      </c>
      <c r="AC60" s="15" t="n">
        <f aca="false">+AC59/AC$29</f>
        <v>0.0418410041841004</v>
      </c>
      <c r="AD60" s="15" t="n">
        <f aca="false">+AD59/AD$29</f>
        <v>0.0443647039634644</v>
      </c>
      <c r="AE60" s="15" t="n">
        <f aca="false">+AE59/AE$29</f>
        <v>0.0664723841243408</v>
      </c>
      <c r="AF60" s="15" t="n">
        <f aca="false">+AF59/AF$29</f>
        <v>0.049</v>
      </c>
      <c r="AG60" s="15" t="n">
        <f aca="false">+AG59/AG$29</f>
        <v>0.054</v>
      </c>
      <c r="AH60" s="15" t="n">
        <f aca="false">+AH59/AH$29</f>
        <v>0.058</v>
      </c>
      <c r="AI60" s="15" t="n">
        <f aca="false">+AI59/AI$29</f>
        <v>0.063</v>
      </c>
      <c r="AJ60" s="15" t="n">
        <f aca="false">+AJ59/AJ$29</f>
        <v>0.063</v>
      </c>
      <c r="AR60" s="0"/>
      <c r="AS60" s="0"/>
      <c r="AT60" s="0"/>
      <c r="AU60" s="0"/>
      <c r="AV60" s="0"/>
    </row>
    <row r="61" s="16" customFormat="true" ht="12.8" hidden="false" customHeight="false" outlineLevel="0" collapsed="false">
      <c r="A61" s="16" t="s">
        <v>97</v>
      </c>
      <c r="B61" s="16" t="n">
        <f aca="false">+B57-B59</f>
        <v>161</v>
      </c>
      <c r="C61" s="16" t="n">
        <f aca="false">+C57-C59</f>
        <v>222</v>
      </c>
      <c r="D61" s="16" t="n">
        <f aca="false">+D57-D59</f>
        <v>241</v>
      </c>
      <c r="E61" s="16" t="n">
        <f aca="false">+E57-E59</f>
        <v>282</v>
      </c>
      <c r="F61" s="16" t="n">
        <f aca="false">+F57-F59</f>
        <v>252</v>
      </c>
      <c r="G61" s="16" t="n">
        <f aca="false">+G57-G59</f>
        <v>282</v>
      </c>
      <c r="H61" s="16" t="n">
        <f aca="false">+H57-H59</f>
        <v>275</v>
      </c>
      <c r="I61" s="16" t="n">
        <f aca="false">+I57-I59</f>
        <v>303</v>
      </c>
      <c r="J61" s="16" t="n">
        <f aca="false">+J57-J59</f>
        <v>152</v>
      </c>
      <c r="K61" s="16" t="n">
        <f aca="false">+K57-K59</f>
        <v>313</v>
      </c>
      <c r="L61" s="16" t="n">
        <f aca="false">+L57-L59</f>
        <v>343</v>
      </c>
      <c r="M61" s="16" t="n">
        <f aca="false">+M57-M59</f>
        <v>316</v>
      </c>
      <c r="N61" s="16" t="n">
        <f aca="false">+N57-N59</f>
        <v>491</v>
      </c>
      <c r="O61" s="16" t="n">
        <f aca="false">+O57-O59</f>
        <v>492</v>
      </c>
      <c r="P61" s="16" t="n">
        <f aca="false">+P57-P59</f>
        <v>0</v>
      </c>
      <c r="Q61" s="16" t="n">
        <f aca="false">+Q57-Q59</f>
        <v>0</v>
      </c>
      <c r="U61" s="16" t="n">
        <f aca="false">+U57-U59</f>
        <v>-330.8</v>
      </c>
      <c r="V61" s="16" t="n">
        <f aca="false">+V57-V59</f>
        <v>-582.1</v>
      </c>
      <c r="W61" s="16" t="n">
        <f aca="false">+W57-W59</f>
        <v>-566.9</v>
      </c>
      <c r="X61" s="16" t="n">
        <f aca="false">+X57-X59</f>
        <v>-80.8</v>
      </c>
      <c r="Y61" s="16" t="n">
        <f aca="false">+Y57-Y59</f>
        <v>214.5</v>
      </c>
      <c r="Z61" s="16" t="n">
        <f aca="false">+Z57-Z59</f>
        <v>1208</v>
      </c>
      <c r="AA61" s="16" t="n">
        <f aca="false">+AA57-AA59</f>
        <v>497</v>
      </c>
      <c r="AB61" s="16" t="n">
        <f aca="false">+AB57-AB59</f>
        <v>823</v>
      </c>
      <c r="AC61" s="16" t="n">
        <f aca="false">+AC57-AC59</f>
        <v>906</v>
      </c>
      <c r="AD61" s="16" t="n">
        <f aca="false">+AD57-AD59</f>
        <v>1112</v>
      </c>
      <c r="AE61" s="16" t="n">
        <f aca="false">+AE57-AE59</f>
        <v>1124</v>
      </c>
      <c r="AF61" s="16" t="n">
        <f aca="false">+AF57-AF59</f>
        <v>1624.2324</v>
      </c>
      <c r="AG61" s="16" t="n">
        <f aca="false">+AG57-AG59</f>
        <v>2040.566256</v>
      </c>
      <c r="AH61" s="16" t="n">
        <f aca="false">+AH57-AH59</f>
        <v>2476.64282256</v>
      </c>
      <c r="AI61" s="16" t="n">
        <f aca="false">+AI57-AI59</f>
        <v>3012.9640958592</v>
      </c>
      <c r="AJ61" s="16" t="n">
        <f aca="false">+AJ57-AJ59</f>
        <v>3344.39014640371</v>
      </c>
      <c r="AR61" s="0"/>
      <c r="AS61" s="0"/>
      <c r="AT61" s="0"/>
      <c r="AU61" s="0"/>
      <c r="AV61" s="0"/>
    </row>
    <row r="62" s="15" customFormat="true" ht="10.5" hidden="false" customHeight="true" outlineLevel="0" collapsed="false">
      <c r="B62" s="15" t="n">
        <f aca="false">+B61/B$29</f>
        <v>0.126871552403467</v>
      </c>
      <c r="C62" s="15" t="n">
        <f aca="false">+C61/C$29</f>
        <v>0.165055762081784</v>
      </c>
      <c r="D62" s="15" t="n">
        <f aca="false">+D61/D$29</f>
        <v>0.17043847241867</v>
      </c>
      <c r="E62" s="15" t="n">
        <f aca="false">+E61/E$29</f>
        <v>0.191967324710688</v>
      </c>
      <c r="F62" s="15" t="n">
        <f aca="false">+F61/F$29</f>
        <v>0.177840508115737</v>
      </c>
      <c r="G62" s="15" t="n">
        <f aca="false">+G61/G$29</f>
        <v>0.187375415282392</v>
      </c>
      <c r="H62" s="15" t="n">
        <f aca="false">+H61/H$29</f>
        <v>0.17515923566879</v>
      </c>
      <c r="I62" s="15" t="n">
        <f aca="false">+I61/I$29</f>
        <v>0.184868822452715</v>
      </c>
      <c r="J62" s="15" t="n">
        <f aca="false">+J61/J$29</f>
        <v>0.0930802204531537</v>
      </c>
      <c r="K62" s="15" t="n">
        <f aca="false">+K61/K$29</f>
        <v>0.177538287010777</v>
      </c>
      <c r="L62" s="15" t="n">
        <f aca="false">+L61/L$29</f>
        <v>0.185105234754452</v>
      </c>
      <c r="M62" s="15" t="n">
        <f aca="false">+M61/M$29</f>
        <v>0.161471640265713</v>
      </c>
      <c r="N62" s="15" t="n">
        <f aca="false">+N61/N$29</f>
        <v>0.25387797311272</v>
      </c>
      <c r="O62" s="15" t="n">
        <f aca="false">+O61/O$29</f>
        <v>0.240469208211144</v>
      </c>
      <c r="U62" s="15" t="n">
        <f aca="false">+U61/U$29</f>
        <v>-0.132103350505171</v>
      </c>
      <c r="V62" s="15" t="n">
        <f aca="false">+V61/V$29</f>
        <v>-0.286607582471689</v>
      </c>
      <c r="W62" s="15" t="n">
        <f aca="false">+W61/W$29</f>
        <v>-0.275649129631431</v>
      </c>
      <c r="X62" s="15" t="n">
        <f aca="false">+X61/X$29</f>
        <v>-0.0314421355747529</v>
      </c>
      <c r="Y62" s="15" t="n">
        <f aca="false">+Y61/Y$29</f>
        <v>0.0655101853831355</v>
      </c>
      <c r="Z62" s="15" t="n">
        <f aca="false">+Z61/Z$29</f>
        <v>0.318733509234829</v>
      </c>
      <c r="AA62" s="15" t="n">
        <f aca="false">+AA61/AA$29</f>
        <v>0.113315093479252</v>
      </c>
      <c r="AB62" s="15" t="n">
        <f aca="false">+AB61/AB$29</f>
        <v>0.164435564435564</v>
      </c>
      <c r="AC62" s="15" t="n">
        <f aca="false">+AC61/AC$29</f>
        <v>0.164817173003456</v>
      </c>
      <c r="AD62" s="15" t="n">
        <f aca="false">+AD61/AD$29</f>
        <v>0.181373348556516</v>
      </c>
      <c r="AE62" s="15" t="n">
        <f aca="false">+AE61/AE$29</f>
        <v>0.155981126838746</v>
      </c>
      <c r="AF62" s="15" t="n">
        <f aca="false">+AF61/AF$29</f>
        <v>0.196</v>
      </c>
      <c r="AG62" s="15" t="n">
        <f aca="false">+AG61/AG$29</f>
        <v>0.216</v>
      </c>
      <c r="AH62" s="15" t="n">
        <f aca="false">+AH61/AH$29</f>
        <v>0.232</v>
      </c>
      <c r="AI62" s="15" t="n">
        <f aca="false">+AI61/AI$29</f>
        <v>0.252</v>
      </c>
      <c r="AJ62" s="15" t="n">
        <f aca="false">+AJ61/AJ$29</f>
        <v>0.252</v>
      </c>
      <c r="AR62" s="0"/>
      <c r="AS62" s="0"/>
      <c r="AT62" s="0"/>
      <c r="AU62" s="0"/>
      <c r="AV62" s="0"/>
    </row>
    <row r="63" s="18" customFormat="true" ht="12.8" hidden="false" customHeight="false" outlineLevel="0" collapsed="false">
      <c r="A63" s="18" t="s">
        <v>98</v>
      </c>
      <c r="B63" s="18" t="n">
        <f aca="false">+B61/B65</f>
        <v>0.74537037037037</v>
      </c>
      <c r="C63" s="18" t="n">
        <f aca="false">+C61/C65</f>
        <v>1.03255813953488</v>
      </c>
      <c r="D63" s="18" t="n">
        <f aca="false">+D61/D65</f>
        <v>1.11574074074074</v>
      </c>
      <c r="E63" s="18" t="n">
        <f aca="false">+E61/E65</f>
        <v>1.30555555555556</v>
      </c>
      <c r="F63" s="18" t="n">
        <f aca="false">+F61/F65</f>
        <v>1.16129032258065</v>
      </c>
      <c r="G63" s="18" t="n">
        <f aca="false">+G61/G65</f>
        <v>1.29953917050691</v>
      </c>
      <c r="H63" s="18" t="n">
        <f aca="false">+H61/H65</f>
        <v>1.26728110599078</v>
      </c>
      <c r="I63" s="18" t="n">
        <f aca="false">+I61/I65</f>
        <v>1.3963133640553</v>
      </c>
      <c r="J63" s="18" t="n">
        <f aca="false">+J61/J65</f>
        <v>0.703703703703704</v>
      </c>
      <c r="K63" s="18" t="n">
        <f aca="false">+K61/K65</f>
        <v>1.45581395348837</v>
      </c>
      <c r="L63" s="18" t="n">
        <f aca="false">+L61/L65</f>
        <v>1.5953488372093</v>
      </c>
      <c r="M63" s="18" t="n">
        <f aca="false">+M61/M65</f>
        <v>1.47663551401869</v>
      </c>
      <c r="N63" s="18" t="n">
        <f aca="false">+N61/N65</f>
        <v>2.31603773584906</v>
      </c>
      <c r="O63" s="18" t="n">
        <f aca="false">+O61/O65</f>
        <v>2.33175355450237</v>
      </c>
      <c r="P63" s="18" t="e">
        <f aca="false">+P61/P65</f>
        <v>#DIV/0!</v>
      </c>
      <c r="Q63" s="18" t="e">
        <f aca="false">+Q61/Q65</f>
        <v>#DIV/0!</v>
      </c>
      <c r="U63" s="18" t="n">
        <f aca="false">+U61/U65</f>
        <v>-1.46371681415929</v>
      </c>
      <c r="V63" s="18" t="n">
        <f aca="false">+V61/V65</f>
        <v>-2.6138302649304</v>
      </c>
      <c r="W63" s="18" t="n">
        <f aca="false">+W61/W65</f>
        <v>-2.58268792710706</v>
      </c>
      <c r="X63" s="18" t="n">
        <f aca="false">+X61/X65</f>
        <v>-0.369118318867063</v>
      </c>
      <c r="Y63" s="18" t="n">
        <f aca="false">+Y61/Y65</f>
        <v>0.964044943820227</v>
      </c>
      <c r="Z63" s="18" t="n">
        <f aca="false">+Z61/Z65</f>
        <v>5.43899144529491</v>
      </c>
      <c r="AA63" s="18" t="n">
        <f aca="false">+AA61/AA65</f>
        <v>2.23873873873874</v>
      </c>
      <c r="AB63" s="18" t="n">
        <f aca="false">+AB61/AB65</f>
        <v>3.77522935779817</v>
      </c>
      <c r="AC63" s="18" t="n">
        <f aca="false">+AC61/AC65</f>
        <v>4.19444444444445</v>
      </c>
      <c r="AD63" s="18" t="n">
        <f aca="false">+AD61/AD65</f>
        <v>5.12442396313364</v>
      </c>
      <c r="AE63" s="18" t="n">
        <f aca="false">+AE61/AE65</f>
        <v>5.22790697674419</v>
      </c>
      <c r="AF63" s="18" t="n">
        <f aca="false">+AF61/AF65</f>
        <v>7.59253196213626</v>
      </c>
      <c r="AG63" s="18" t="n">
        <f aca="false">+AG61/AG65</f>
        <v>9.58663250105852</v>
      </c>
      <c r="AH63" s="18" t="n">
        <f aca="false">+AH61/AH65</f>
        <v>11.7528599723041</v>
      </c>
      <c r="AI63" s="18" t="n">
        <f aca="false">+AI61/AI65</f>
        <v>14.442385922079</v>
      </c>
      <c r="AJ63" s="18" t="n">
        <f aca="false">+AJ61/AJ65</f>
        <v>16.1929781550583</v>
      </c>
      <c r="AR63" s="0"/>
      <c r="AS63" s="0"/>
      <c r="AT63" s="0"/>
      <c r="AU63" s="0"/>
      <c r="AV63" s="0"/>
    </row>
    <row r="64" s="15" customFormat="true" ht="10.5" hidden="false" customHeight="true" outlineLevel="0" collapsed="false">
      <c r="F64" s="15" t="n">
        <f aca="false">+F63/B63-1</f>
        <v>0.558004407934282</v>
      </c>
      <c r="G64" s="15" t="n">
        <f aca="false">+G63/C63-1</f>
        <v>0.258562710175613</v>
      </c>
      <c r="H64" s="15" t="n">
        <f aca="false">+H63/D63-1</f>
        <v>0.135820410348586</v>
      </c>
      <c r="I64" s="15" t="n">
        <f aca="false">+I63/E63-1</f>
        <v>0.0695166192763996</v>
      </c>
      <c r="J64" s="15" t="n">
        <f aca="false">+J63/F63-1</f>
        <v>-0.394032921810699</v>
      </c>
      <c r="K64" s="15" t="n">
        <f aca="false">+K63/G63-1</f>
        <v>0.120253999670129</v>
      </c>
      <c r="L64" s="15" t="n">
        <f aca="false">+L63/H63-1</f>
        <v>0.258875264270613</v>
      </c>
      <c r="M64" s="15" t="n">
        <f aca="false">+M63/I63-1</f>
        <v>0.0575244440331884</v>
      </c>
      <c r="N64" s="15" t="n">
        <f aca="false">+N63/J63-1</f>
        <v>2.29121151936445</v>
      </c>
      <c r="O64" s="15" t="n">
        <f aca="false">+O63/K63-1</f>
        <v>0.60168375149524</v>
      </c>
      <c r="V64" s="15" t="n">
        <f aca="false">+V63/U63-1</f>
        <v>0.785748609051604</v>
      </c>
      <c r="W64" s="15" t="n">
        <f aca="false">+W63/V63-1</f>
        <v>-0.0119144453414495</v>
      </c>
      <c r="X64" s="15" t="n">
        <f aca="false">+X63/W63-1</f>
        <v>-0.857079783045828</v>
      </c>
      <c r="Y64" s="15" t="n">
        <f aca="false">+Y63/X63-1</f>
        <v>-3.61175047280009</v>
      </c>
      <c r="Z64" s="15" t="n">
        <f aca="false">+Z63/Y63-1</f>
        <v>4.64184427309144</v>
      </c>
      <c r="AA64" s="15" t="n">
        <f aca="false">+AA63/Z63-1</f>
        <v>-0.588390832885866</v>
      </c>
      <c r="AB64" s="15" t="n">
        <f aca="false">+AB63/AA63-1</f>
        <v>0.686319753382682</v>
      </c>
      <c r="AC64" s="15" t="n">
        <f aca="false">+AC63/AB63-1</f>
        <v>0.111043607398408</v>
      </c>
      <c r="AD64" s="15" t="n">
        <f aca="false">+AD63/AC63-1</f>
        <v>0.221716971343118</v>
      </c>
      <c r="AE64" s="15" t="n">
        <f aca="false">+AE63/AD63-1</f>
        <v>0.0201940772963027</v>
      </c>
      <c r="AF64" s="15" t="n">
        <f aca="false">+AF63/AE63-1</f>
        <v>0.452308160017167</v>
      </c>
      <c r="AG64" s="15" t="n">
        <f aca="false">+AG63/AF63-1</f>
        <v>0.262639729258538</v>
      </c>
      <c r="AH64" s="15" t="n">
        <f aca="false">+AH63/AG63-1</f>
        <v>0.225963337074448</v>
      </c>
      <c r="AI64" s="15" t="n">
        <f aca="false">+AI63/AH63-1</f>
        <v>0.22884012539185</v>
      </c>
      <c r="AJ64" s="15" t="n">
        <f aca="false">+AJ63/AI63-1</f>
        <v>0.121212121212121</v>
      </c>
      <c r="AR64" s="0"/>
      <c r="AS64" s="0"/>
      <c r="AT64" s="0"/>
      <c r="AU64" s="0"/>
      <c r="AV64" s="0"/>
    </row>
    <row r="65" customFormat="false" ht="12.8" hidden="false" customHeight="false" outlineLevel="0" collapsed="false">
      <c r="A65" s="3" t="s">
        <v>99</v>
      </c>
      <c r="B65" s="3" t="n">
        <v>216</v>
      </c>
      <c r="C65" s="3" t="n">
        <v>215</v>
      </c>
      <c r="D65" s="3" t="n">
        <v>216</v>
      </c>
      <c r="E65" s="3" t="n">
        <v>216</v>
      </c>
      <c r="F65" s="3" t="n">
        <v>217</v>
      </c>
      <c r="G65" s="3" t="n">
        <v>217</v>
      </c>
      <c r="H65" s="3" t="n">
        <v>217</v>
      </c>
      <c r="I65" s="3" t="n">
        <v>217</v>
      </c>
      <c r="J65" s="3" t="n">
        <v>216</v>
      </c>
      <c r="K65" s="3" t="n">
        <v>215</v>
      </c>
      <c r="L65" s="3" t="n">
        <v>215</v>
      </c>
      <c r="M65" s="3" t="n">
        <v>214</v>
      </c>
      <c r="N65" s="3" t="n">
        <v>212</v>
      </c>
      <c r="O65" s="3" t="n">
        <v>211</v>
      </c>
      <c r="U65" s="3" t="n">
        <v>226</v>
      </c>
      <c r="V65" s="3" t="n">
        <v>222.7</v>
      </c>
      <c r="W65" s="3" t="n">
        <v>219.5</v>
      </c>
      <c r="X65" s="3" t="n">
        <v>218.9</v>
      </c>
      <c r="Y65" s="3" t="n">
        <v>222.5</v>
      </c>
      <c r="Z65" s="3" t="n">
        <v>222.1</v>
      </c>
      <c r="AA65" s="3" t="n">
        <v>222</v>
      </c>
      <c r="AB65" s="3" t="n">
        <v>218</v>
      </c>
      <c r="AC65" s="3" t="n">
        <v>216</v>
      </c>
      <c r="AD65" s="3" t="n">
        <v>217</v>
      </c>
      <c r="AE65" s="3" t="n">
        <v>215</v>
      </c>
      <c r="AF65" s="3" t="n">
        <f aca="false">+AE65*0.995</f>
        <v>213.925</v>
      </c>
      <c r="AG65" s="3" t="n">
        <f aca="false">+AF65*0.995</f>
        <v>212.855375</v>
      </c>
      <c r="AH65" s="3" t="n">
        <f aca="false">+AG65*0.99</f>
        <v>210.72682125</v>
      </c>
      <c r="AI65" s="3" t="n">
        <f aca="false">+AH65*0.99</f>
        <v>208.6195530375</v>
      </c>
      <c r="AJ65" s="3" t="n">
        <f aca="false">+AI65*0.99</f>
        <v>206.533357507125</v>
      </c>
    </row>
    <row r="66" s="15" customFormat="true" ht="10.5" hidden="false" customHeight="true" outlineLevel="0" collapsed="false">
      <c r="C66" s="15" t="n">
        <f aca="false">+C65/B65-1</f>
        <v>-0.00462962962962965</v>
      </c>
      <c r="D66" s="15" t="n">
        <f aca="false">+D65/C65-1</f>
        <v>0.00465116279069777</v>
      </c>
      <c r="E66" s="15" t="n">
        <f aca="false">+E65/D65-1</f>
        <v>0</v>
      </c>
      <c r="F66" s="15" t="n">
        <f aca="false">+F65/E65-1</f>
        <v>0.00462962962962954</v>
      </c>
      <c r="G66" s="15" t="n">
        <f aca="false">+G65/F65-1</f>
        <v>0</v>
      </c>
      <c r="H66" s="15" t="n">
        <f aca="false">+H65/G65-1</f>
        <v>0</v>
      </c>
      <c r="I66" s="15" t="n">
        <f aca="false">+I65/H65-1</f>
        <v>0</v>
      </c>
      <c r="J66" s="15" t="n">
        <f aca="false">+J65/I65-1</f>
        <v>-0.00460829493087556</v>
      </c>
      <c r="K66" s="15" t="n">
        <f aca="false">+K65/J65-1</f>
        <v>-0.00462962962962965</v>
      </c>
      <c r="L66" s="15" t="n">
        <f aca="false">+L65/K65-1</f>
        <v>0</v>
      </c>
      <c r="M66" s="15" t="n">
        <f aca="false">+M65/L65-1</f>
        <v>-0.00465116279069766</v>
      </c>
      <c r="N66" s="15" t="n">
        <f aca="false">+N65/M65-1</f>
        <v>-0.00934579439252337</v>
      </c>
      <c r="O66" s="15" t="n">
        <f aca="false">+O65/N65-1</f>
        <v>-0.00471698113207553</v>
      </c>
      <c r="V66" s="15" t="n">
        <f aca="false">+V65/U65-1</f>
        <v>-0.0146017699115045</v>
      </c>
      <c r="W66" s="15" t="n">
        <f aca="false">+W65/V65-1</f>
        <v>-0.0143691064211944</v>
      </c>
      <c r="X66" s="15" t="n">
        <f aca="false">+X65/W65-1</f>
        <v>-0.00273348519362182</v>
      </c>
      <c r="Y66" s="15" t="n">
        <f aca="false">+Y65/X65-1</f>
        <v>0.0164458656920967</v>
      </c>
      <c r="Z66" s="15" t="n">
        <f aca="false">+Z65/Y65-1</f>
        <v>-0.00179775280898875</v>
      </c>
      <c r="AA66" s="15" t="n">
        <f aca="false">+AA65/Z65-1</f>
        <v>-0.00045024763619983</v>
      </c>
      <c r="AB66" s="15" t="n">
        <f aca="false">+AB65/AA65-1</f>
        <v>-0.0180180180180181</v>
      </c>
      <c r="AC66" s="15" t="n">
        <f aca="false">+AC65/AB65-1</f>
        <v>-0.00917431192660545</v>
      </c>
      <c r="AD66" s="15" t="n">
        <f aca="false">+AD65/AC65-1</f>
        <v>0.00462962962962954</v>
      </c>
      <c r="AE66" s="15" t="n">
        <f aca="false">+AE65/AD65-1</f>
        <v>-0.00921658986175111</v>
      </c>
      <c r="AF66" s="15" t="n">
        <f aca="false">+AF65/AE65-1</f>
        <v>-0.00499999999999989</v>
      </c>
      <c r="AG66" s="15" t="n">
        <f aca="false">+AG65/AF65-1</f>
        <v>-0.005</v>
      </c>
      <c r="AH66" s="15" t="n">
        <f aca="false">+AH65/AG65-1</f>
        <v>-0.01</v>
      </c>
      <c r="AI66" s="15" t="n">
        <f aca="false">+AI65/AH65-1</f>
        <v>-0.01</v>
      </c>
      <c r="AJ66" s="15" t="n">
        <f aca="false">+AJ65/AI65-1</f>
        <v>-0.01</v>
      </c>
      <c r="AR66" s="0"/>
      <c r="AS66" s="0"/>
      <c r="AT66" s="0"/>
      <c r="AU66" s="0"/>
      <c r="AV66" s="0"/>
    </row>
    <row r="68" s="19" customFormat="true" ht="12.8" hidden="false" customHeight="false" outlineLevel="0" collapsed="false">
      <c r="A68" s="19" t="s">
        <v>81</v>
      </c>
      <c r="F68" s="19" t="n">
        <f aca="false">+F29/B29-1</f>
        <v>0.116627265563436</v>
      </c>
      <c r="G68" s="19" t="n">
        <f aca="false">+G29/C29-1</f>
        <v>0.118959107806691</v>
      </c>
      <c r="H68" s="19" t="n">
        <f aca="false">+H29/D29-1</f>
        <v>0.11032531824611</v>
      </c>
      <c r="I68" s="19" t="n">
        <f aca="false">+I29/E29-1</f>
        <v>0.11572498298162</v>
      </c>
      <c r="J68" s="19" t="n">
        <f aca="false">+J29/F29-1</f>
        <v>0.152434721242061</v>
      </c>
      <c r="K68" s="19" t="n">
        <f aca="false">+K29/G29-1</f>
        <v>0.171428571428571</v>
      </c>
      <c r="L68" s="19" t="n">
        <f aca="false">+L29/H29-1</f>
        <v>0.180254777070064</v>
      </c>
      <c r="M68" s="19" t="n">
        <f aca="false">+M29/I29-1</f>
        <v>0.194020744356315</v>
      </c>
      <c r="N68" s="19" t="n">
        <f aca="false">+N29/J29-1</f>
        <v>0.1843233312921</v>
      </c>
      <c r="O68" s="19" t="n">
        <f aca="false">+O29/K29-1</f>
        <v>0.160521837776517</v>
      </c>
      <c r="V68" s="19" t="n">
        <f aca="false">+V29/U29-1</f>
        <v>-0.188930154546544</v>
      </c>
      <c r="W68" s="19" t="n">
        <f aca="false">+W29/V29-1</f>
        <v>0.0126046282619399</v>
      </c>
      <c r="X68" s="19" t="n">
        <f aca="false">+X29/W29-1</f>
        <v>0.249538072546922</v>
      </c>
      <c r="Y68" s="19" t="n">
        <f aca="false">+Y29/X29-1</f>
        <v>0.274145847925909</v>
      </c>
      <c r="Z68" s="19" t="n">
        <f aca="false">+Z29/Y29-1</f>
        <v>0.157499312830223</v>
      </c>
      <c r="AA68" s="19" t="n">
        <f aca="false">+AA29/Z29-1</f>
        <v>0.157255936675462</v>
      </c>
      <c r="AB68" s="19" t="n">
        <f aca="false">+AB29/AA29-1</f>
        <v>0.141130870953032</v>
      </c>
      <c r="AC68" s="19" t="n">
        <f aca="false">+AC29/AB29-1</f>
        <v>0.0983016983016982</v>
      </c>
      <c r="AD68" s="19" t="n">
        <f aca="false">+AD29/AC29-1</f>
        <v>0.11533563762052</v>
      </c>
      <c r="AE68" s="19" t="n">
        <f aca="false">+AE29/AD29-1</f>
        <v>0.175338443973251</v>
      </c>
      <c r="AF68" s="19" t="n">
        <f aca="false">+AF29/AE29-1</f>
        <v>0.15</v>
      </c>
      <c r="AG68" s="19" t="n">
        <f aca="false">+AG29/AF29-1</f>
        <v>0.14</v>
      </c>
      <c r="AH68" s="19" t="n">
        <f aca="false">+AH29/AG29-1</f>
        <v>0.13</v>
      </c>
      <c r="AI68" s="19" t="n">
        <f aca="false">+AI29/AH29-1</f>
        <v>0.12</v>
      </c>
      <c r="AJ68" s="19" t="n">
        <f aca="false">+AJ29/AI29-1</f>
        <v>0.11</v>
      </c>
      <c r="AR68" s="0"/>
      <c r="AS68" s="0"/>
      <c r="AT68" s="0"/>
      <c r="AU68" s="0"/>
      <c r="AV68" s="0"/>
    </row>
    <row r="69" s="20" customFormat="true" ht="12.8" hidden="false" customHeight="false" outlineLevel="0" collapsed="false">
      <c r="A69" s="20" t="s">
        <v>100</v>
      </c>
      <c r="B69" s="20" t="n">
        <f aca="false">+B39/B29</f>
        <v>0.899921197793538</v>
      </c>
      <c r="C69" s="20" t="n">
        <f aca="false">+C39/C29</f>
        <v>0.905576208178439</v>
      </c>
      <c r="D69" s="20" t="n">
        <f aca="false">+D39/D29</f>
        <v>0.91018387553041</v>
      </c>
      <c r="E69" s="20" t="n">
        <f aca="false">+E39/E29</f>
        <v>0.911504424778761</v>
      </c>
      <c r="F69" s="20" t="n">
        <f aca="false">+F39/F29</f>
        <v>0.903316866619619</v>
      </c>
      <c r="G69" s="20" t="n">
        <f aca="false">+G39/G29</f>
        <v>0.906976744186047</v>
      </c>
      <c r="H69" s="20" t="n">
        <f aca="false">+H39/H29</f>
        <v>0.906369426751592</v>
      </c>
      <c r="I69" s="20" t="n">
        <f aca="false">+I39/I29</f>
        <v>0.906040268456376</v>
      </c>
      <c r="J69" s="20" t="n">
        <f aca="false">+J39/J29</f>
        <v>0.902020820575628</v>
      </c>
      <c r="K69" s="20" t="n">
        <f aca="false">+K39/K29</f>
        <v>0.909812819058423</v>
      </c>
      <c r="L69" s="20" t="n">
        <f aca="false">+L39/L29</f>
        <v>0.910955207771182</v>
      </c>
      <c r="M69" s="20" t="n">
        <f aca="false">+M39/M29</f>
        <v>0.915176290240164</v>
      </c>
      <c r="N69" s="20" t="n">
        <f aca="false">+N39/N29</f>
        <v>0.909513960703206</v>
      </c>
      <c r="O69" s="20" t="n">
        <f aca="false">+O39/O29</f>
        <v>0.913978494623656</v>
      </c>
      <c r="U69" s="20" t="n">
        <f aca="false">+U39/U29</f>
        <v>0.851962781039096</v>
      </c>
      <c r="V69" s="20" t="n">
        <f aca="false">+V39/V29</f>
        <v>0.831659281142294</v>
      </c>
      <c r="W69" s="20" t="n">
        <f aca="false">+W39/W29</f>
        <v>0.852474958669649</v>
      </c>
      <c r="X69" s="20" t="n">
        <f aca="false">+X39/X29</f>
        <v>0.888746205930423</v>
      </c>
      <c r="Y69" s="20" t="n">
        <f aca="false">+Y39/Y29</f>
        <v>0.900772684237852</v>
      </c>
      <c r="Z69" s="20" t="n">
        <f aca="false">+Z39/Z29</f>
        <v>0.911081794195251</v>
      </c>
      <c r="AA69" s="20" t="n">
        <f aca="false">+AA39/AA29</f>
        <v>0.904696762425901</v>
      </c>
      <c r="AB69" s="20" t="n">
        <f aca="false">+AB39/AB29</f>
        <v>0.904095904095904</v>
      </c>
      <c r="AC69" s="20" t="n">
        <f aca="false">+AC39/AC29</f>
        <v>0.907040203747499</v>
      </c>
      <c r="AD69" s="20" t="n">
        <f aca="false">+AD39/AD29</f>
        <v>0.905725004077638</v>
      </c>
      <c r="AE69" s="20" t="n">
        <f aca="false">+AE39/AE29</f>
        <v>0.909797391063003</v>
      </c>
      <c r="AF69" s="20" t="n">
        <f aca="false">+AF39/AF29</f>
        <v>0.91</v>
      </c>
      <c r="AG69" s="20" t="n">
        <f aca="false">+AG39/AG29</f>
        <v>0.91</v>
      </c>
      <c r="AH69" s="20" t="n">
        <f aca="false">+AH39/AH29</f>
        <v>0.91</v>
      </c>
      <c r="AI69" s="20" t="n">
        <f aca="false">+AI39/AI29</f>
        <v>0.91</v>
      </c>
      <c r="AJ69" s="20" t="n">
        <f aca="false">+AJ39/AJ29</f>
        <v>0.91</v>
      </c>
      <c r="AR69" s="0"/>
      <c r="AS69" s="0"/>
      <c r="AT69" s="0"/>
      <c r="AU69" s="0"/>
      <c r="AV69" s="0"/>
    </row>
    <row r="70" s="20" customFormat="true" ht="12.8" hidden="false" customHeight="false" outlineLevel="0" collapsed="false">
      <c r="A70" s="20" t="s">
        <v>101</v>
      </c>
      <c r="B70" s="20" t="n">
        <f aca="false">+B53/B29</f>
        <v>0.171000788022065</v>
      </c>
      <c r="C70" s="20" t="n">
        <f aca="false">+C53/C29</f>
        <v>0.194795539033457</v>
      </c>
      <c r="D70" s="20" t="n">
        <f aca="false">+D53/D29</f>
        <v>0.236209335219236</v>
      </c>
      <c r="E70" s="20" t="n">
        <f aca="false">+E53/E29</f>
        <v>0.214431586113002</v>
      </c>
      <c r="F70" s="20" t="n">
        <f aca="false">+F53/F29</f>
        <v>0.211009174311927</v>
      </c>
      <c r="G70" s="20" t="n">
        <f aca="false">+G53/G29</f>
        <v>0.227906976744186</v>
      </c>
      <c r="H70" s="20" t="n">
        <f aca="false">+H53/H29</f>
        <v>0.220382165605096</v>
      </c>
      <c r="I70" s="20" t="n">
        <f aca="false">+I53/I29</f>
        <v>0.223306894447834</v>
      </c>
      <c r="J70" s="20" t="n">
        <f aca="false">+J53/J29</f>
        <v>0.142682180036742</v>
      </c>
      <c r="K70" s="20" t="n">
        <f aca="false">+K53/K29</f>
        <v>0.251843448667045</v>
      </c>
      <c r="L70" s="20" t="n">
        <f aca="false">+L53/L29</f>
        <v>0.25364274150027</v>
      </c>
      <c r="M70" s="20" t="n">
        <f aca="false">+M53/M29</f>
        <v>0.220235053653551</v>
      </c>
      <c r="N70" s="20" t="n">
        <f aca="false">+N53/N29</f>
        <v>0.279731127197518</v>
      </c>
      <c r="O70" s="20" t="n">
        <f aca="false">+O53/O29</f>
        <v>0.292766373411535</v>
      </c>
      <c r="U70" s="20" t="n">
        <f aca="false">+U53/U29</f>
        <v>0.000519148596302137</v>
      </c>
      <c r="V70" s="20" t="n">
        <f aca="false">+V53/V29</f>
        <v>-0.245987198424421</v>
      </c>
      <c r="W70" s="20" t="n">
        <f aca="false">+W53/W29</f>
        <v>-0.247544490907323</v>
      </c>
      <c r="X70" s="20" t="n">
        <f aca="false">+X53/X29</f>
        <v>-0.00972838353179236</v>
      </c>
      <c r="Y70" s="20" t="n">
        <f aca="false">+Y53/Y29</f>
        <v>0.104755214855084</v>
      </c>
      <c r="Z70" s="20" t="n">
        <f aca="false">+Z53/Z29</f>
        <v>0.165963060686016</v>
      </c>
      <c r="AA70" s="20" t="n">
        <f aca="false">+AA53/AA29</f>
        <v>0.140902872777018</v>
      </c>
      <c r="AB70" s="20" t="n">
        <f aca="false">+AB53/AB29</f>
        <v>0.197602397602398</v>
      </c>
      <c r="AC70" s="20" t="n">
        <f aca="false">+AC53/AC29</f>
        <v>0.205202837911588</v>
      </c>
      <c r="AD70" s="20" t="n">
        <f aca="false">+AD53/AD29</f>
        <v>0.220844886641657</v>
      </c>
      <c r="AE70" s="20" t="n">
        <f aca="false">+AE53/AE29</f>
        <v>0.218984179850125</v>
      </c>
      <c r="AF70" s="20" t="n">
        <f aca="false">+AF53/AF29</f>
        <v>0.242</v>
      </c>
      <c r="AG70" s="20" t="n">
        <f aca="false">+AG53/AG29</f>
        <v>0.267</v>
      </c>
      <c r="AH70" s="20" t="n">
        <f aca="false">+AH53/AH29</f>
        <v>0.287</v>
      </c>
      <c r="AI70" s="20" t="n">
        <f aca="false">+AI53/AI29</f>
        <v>0.312</v>
      </c>
      <c r="AJ70" s="20" t="n">
        <f aca="false">+AJ53/AJ29</f>
        <v>0.312</v>
      </c>
      <c r="AR70" s="0"/>
      <c r="AS70" s="0"/>
      <c r="AT70" s="0"/>
      <c r="AU70" s="0"/>
      <c r="AV70" s="0"/>
    </row>
    <row r="71" s="20" customFormat="true" ht="12.8" hidden="false" customHeight="false" outlineLevel="0" collapsed="false">
      <c r="A71" s="20" t="s">
        <v>102</v>
      </c>
      <c r="B71" s="20" t="n">
        <f aca="false">+B61/B29</f>
        <v>0.126871552403467</v>
      </c>
      <c r="C71" s="20" t="n">
        <f aca="false">+C61/C29</f>
        <v>0.165055762081784</v>
      </c>
      <c r="D71" s="20" t="n">
        <f aca="false">+D61/D29</f>
        <v>0.17043847241867</v>
      </c>
      <c r="E71" s="20" t="n">
        <f aca="false">+E61/E29</f>
        <v>0.191967324710688</v>
      </c>
      <c r="F71" s="20" t="n">
        <f aca="false">+F61/F29</f>
        <v>0.177840508115737</v>
      </c>
      <c r="G71" s="20" t="n">
        <f aca="false">+G61/G29</f>
        <v>0.187375415282392</v>
      </c>
      <c r="H71" s="20" t="n">
        <f aca="false">+H61/H29</f>
        <v>0.17515923566879</v>
      </c>
      <c r="I71" s="20" t="n">
        <f aca="false">+I61/I29</f>
        <v>0.184868822452715</v>
      </c>
      <c r="J71" s="20" t="n">
        <f aca="false">+J61/J29</f>
        <v>0.0930802204531537</v>
      </c>
      <c r="K71" s="20" t="n">
        <f aca="false">+K61/K29</f>
        <v>0.177538287010777</v>
      </c>
      <c r="L71" s="20" t="n">
        <f aca="false">+L61/L29</f>
        <v>0.185105234754452</v>
      </c>
      <c r="M71" s="20" t="n">
        <f aca="false">+M61/M29</f>
        <v>0.161471640265713</v>
      </c>
      <c r="N71" s="20" t="n">
        <f aca="false">+N61/N29</f>
        <v>0.25387797311272</v>
      </c>
      <c r="O71" s="20" t="n">
        <f aca="false">+O61/O29</f>
        <v>0.240469208211144</v>
      </c>
      <c r="U71" s="20" t="n">
        <f aca="false">+U61/U29</f>
        <v>-0.132103350505171</v>
      </c>
      <c r="V71" s="20" t="n">
        <f aca="false">+V61/V29</f>
        <v>-0.286607582471689</v>
      </c>
      <c r="W71" s="20" t="n">
        <f aca="false">+W61/W29</f>
        <v>-0.275649129631431</v>
      </c>
      <c r="X71" s="20" t="n">
        <f aca="false">+X61/X29</f>
        <v>-0.0314421355747529</v>
      </c>
      <c r="Y71" s="20" t="n">
        <f aca="false">+Y61/Y29</f>
        <v>0.0655101853831355</v>
      </c>
      <c r="Z71" s="20" t="n">
        <f aca="false">+Z61/Z29</f>
        <v>0.318733509234829</v>
      </c>
      <c r="AA71" s="20" t="n">
        <f aca="false">+AA61/AA29</f>
        <v>0.113315093479252</v>
      </c>
      <c r="AB71" s="20" t="n">
        <f aca="false">+AB61/AB29</f>
        <v>0.164435564435564</v>
      </c>
      <c r="AC71" s="20" t="n">
        <f aca="false">+AC61/AC29</f>
        <v>0.164817173003456</v>
      </c>
      <c r="AD71" s="20" t="n">
        <f aca="false">+AD61/AD29</f>
        <v>0.181373348556516</v>
      </c>
      <c r="AE71" s="20" t="n">
        <f aca="false">+AE61/AE29</f>
        <v>0.155981126838746</v>
      </c>
      <c r="AF71" s="20" t="n">
        <f aca="false">+AF61/AF29</f>
        <v>0.196</v>
      </c>
      <c r="AG71" s="20" t="n">
        <f aca="false">+AG61/AG29</f>
        <v>0.216</v>
      </c>
      <c r="AH71" s="20" t="n">
        <f aca="false">+AH61/AH29</f>
        <v>0.232</v>
      </c>
      <c r="AI71" s="20" t="n">
        <f aca="false">+AI61/AI29</f>
        <v>0.252</v>
      </c>
      <c r="AJ71" s="20" t="n">
        <f aca="false">+AJ61/AJ29</f>
        <v>0.252</v>
      </c>
      <c r="AR71" s="0"/>
      <c r="AS71" s="0"/>
      <c r="AT71" s="0"/>
      <c r="AU71" s="0"/>
      <c r="AV71" s="0"/>
    </row>
    <row r="72" s="20" customFormat="true" ht="12.8" hidden="false" customHeight="false" outlineLevel="0" collapsed="false">
      <c r="A72" s="20" t="s">
        <v>103</v>
      </c>
      <c r="B72" s="20" t="n">
        <f aca="false">+B59/B57</f>
        <v>0.271493212669683</v>
      </c>
      <c r="C72" s="20" t="n">
        <f aca="false">+C59/C57</f>
        <v>0.13953488372093</v>
      </c>
      <c r="D72" s="20" t="n">
        <f aca="false">+D59/D57</f>
        <v>0.246875</v>
      </c>
      <c r="E72" s="20" t="n">
        <f aca="false">+E59/E57</f>
        <v>0.163204747774481</v>
      </c>
      <c r="F72" s="20" t="n">
        <f aca="false">+F59/F57</f>
        <v>0.184466019417476</v>
      </c>
      <c r="G72" s="20" t="n">
        <f aca="false">+G59/G57</f>
        <v>0.198863636363636</v>
      </c>
      <c r="H72" s="20" t="n">
        <f aca="false">+H59/H57</f>
        <v>0.216524216524217</v>
      </c>
      <c r="I72" s="20" t="n">
        <f aca="false">+I59/I57</f>
        <v>0.185483870967742</v>
      </c>
      <c r="J72" s="20" t="n">
        <f aca="false">+J59/J57</f>
        <v>0.35042735042735</v>
      </c>
      <c r="K72" s="20" t="n">
        <f aca="false">+K59/K57</f>
        <v>0.31359649122807</v>
      </c>
      <c r="L72" s="20" t="n">
        <f aca="false">+L59/L57</f>
        <v>0.267094017094017</v>
      </c>
      <c r="M72" s="20" t="n">
        <f aca="false">+M59/M57</f>
        <v>0.289887640449438</v>
      </c>
      <c r="N72" s="20" t="n">
        <f aca="false">+N59/N57</f>
        <v>0.180300500834725</v>
      </c>
      <c r="O72" s="20" t="n">
        <f aca="false">+O59/O57</f>
        <v>0.170320404721754</v>
      </c>
      <c r="U72" s="20" t="n">
        <f aca="false">+U59/U57</f>
        <v>-15.2955665024632</v>
      </c>
      <c r="V72" s="20" t="n">
        <f aca="false">+V59/V57</f>
        <v>-0.111302023673158</v>
      </c>
      <c r="W72" s="20" t="n">
        <f aca="false">+W59/W57</f>
        <v>-0.0172259106405885</v>
      </c>
      <c r="X72" s="20" t="n">
        <f aca="false">+X59/X57</f>
        <v>-0.892271662763466</v>
      </c>
      <c r="Y72" s="20" t="n">
        <f aca="false">+Y59/Y57</f>
        <v>0.272388059701492</v>
      </c>
      <c r="Z72" s="20" t="n">
        <f aca="false">+Z59/Z57</f>
        <v>-1.20840950639854</v>
      </c>
      <c r="AA72" s="20" t="n">
        <f aca="false">+AA59/AA57</f>
        <v>0.120353982300885</v>
      </c>
      <c r="AB72" s="20" t="n">
        <f aca="false">+AB59/AB57</f>
        <v>0.130021141649049</v>
      </c>
      <c r="AC72" s="20" t="n">
        <f aca="false">+AC59/AC57</f>
        <v>0.202464788732394</v>
      </c>
      <c r="AD72" s="20" t="n">
        <f aca="false">+AD59/AD57</f>
        <v>0.196531791907514</v>
      </c>
      <c r="AE72" s="20" t="n">
        <f aca="false">+AE59/AE57</f>
        <v>0.298814722395508</v>
      </c>
      <c r="AF72" s="20" t="n">
        <f aca="false">+AF59/AF57</f>
        <v>0.2</v>
      </c>
      <c r="AG72" s="20" t="n">
        <f aca="false">+AG59/AG57</f>
        <v>0.2</v>
      </c>
      <c r="AH72" s="20" t="n">
        <f aca="false">+AH59/AH57</f>
        <v>0.2</v>
      </c>
      <c r="AI72" s="20" t="n">
        <f aca="false">+AI59/AI57</f>
        <v>0.2</v>
      </c>
      <c r="AJ72" s="20" t="n">
        <f aca="false">+AJ59/AJ57</f>
        <v>0.2</v>
      </c>
      <c r="AR72" s="0"/>
      <c r="AS72" s="0"/>
      <c r="AT72" s="0"/>
      <c r="AU72" s="0"/>
      <c r="AV72" s="0"/>
    </row>
    <row r="73" s="20" customFormat="true" ht="12.8" hidden="false" customHeight="false" outlineLevel="0" collapsed="false">
      <c r="A73" s="20" t="s">
        <v>22</v>
      </c>
      <c r="I73" s="20" t="n">
        <f aca="false">+(SUM(F53:I53)-SUM(B53:E53))/(SUM(F29:I29)-SUM(B29:E29))</f>
        <v>0.356466876971609</v>
      </c>
      <c r="J73" s="20" t="n">
        <f aca="false">+(SUM(G53:J53)-SUM(C53:F53))/(SUM(G29:J29)-SUM(C29:F29))</f>
        <v>0.111111111111111</v>
      </c>
      <c r="K73" s="20" t="n">
        <f aca="false">+(SUM(H53:K53)-SUM(D53:G53))/(SUM(H29:K29)-SUM(D29:G29))</f>
        <v>0.1225</v>
      </c>
      <c r="L73" s="20" t="n">
        <f aca="false">+(SUM(I53:L53)-SUM(E53:H53))/(SUM(I29:L29)-SUM(E29:H29))</f>
        <v>0.226537216828479</v>
      </c>
      <c r="M73" s="20" t="n">
        <f aca="false">+(SUM(J53:M53)-SUM(F53:I53))/(SUM(J29:M29)-SUM(F29:I29))</f>
        <v>0.208372093023256</v>
      </c>
      <c r="N73" s="20" t="n">
        <f aca="false">+(SUM(K53:N53)-SUM(G53:J53))/(SUM(K29:N29)-SUM(G29:J29))</f>
        <v>0.51551724137931</v>
      </c>
      <c r="O73" s="20" t="n">
        <f aca="false">+(SUM(L53:O53)-SUM(H53:K53))/(SUM(L29:O29)-SUM(H29:K29))</f>
        <v>0.550210970464135</v>
      </c>
      <c r="V73" s="20" t="n">
        <f aca="false">+(V53-U53)/(V29-U29)</f>
        <v>1.05876136123441</v>
      </c>
      <c r="W73" s="20" t="n">
        <f aca="false">+(W53-V53)/(W29-V29)</f>
        <v>-0.371093750000006</v>
      </c>
      <c r="X73" s="20" t="n">
        <f aca="false">+(X53-W53)/(X29-W29)</f>
        <v>0.943296960249416</v>
      </c>
      <c r="Y73" s="20" t="n">
        <f aca="false">+(Y53-X53)/(Y29-X29)</f>
        <v>0.522356281050391</v>
      </c>
      <c r="Z73" s="20" t="n">
        <f aca="false">+(Z53-Y53)/(Z29-Y29)</f>
        <v>0.554585999612177</v>
      </c>
      <c r="AA73" s="20" t="n">
        <f aca="false">+(AA53-Z53)/(AA29-Z29)</f>
        <v>-0.0184563758389262</v>
      </c>
      <c r="AB73" s="20" t="n">
        <f aca="false">+(AB53-AA53)/(AB29-AA29)</f>
        <v>0.599353796445881</v>
      </c>
      <c r="AC73" s="20" t="n">
        <f aca="false">+(AC53-AB53)/(AC29-AB29)</f>
        <v>0.282520325203252</v>
      </c>
      <c r="AD73" s="20" t="n">
        <f aca="false">+(AD53-AC53)/(AD29-AC29)</f>
        <v>0.356466876971609</v>
      </c>
      <c r="AE73" s="20" t="n">
        <f aca="false">+(AE53-AD53)/(AE29-AD29)</f>
        <v>0.208372093023256</v>
      </c>
      <c r="AF73" s="20" t="n">
        <f aca="false">+(AF53-AE53)/(AF29-AE29)</f>
        <v>0.395438800999167</v>
      </c>
      <c r="AG73" s="20" t="n">
        <f aca="false">+(AG53-AF53)/(AG29-AF29)</f>
        <v>0.445571428571429</v>
      </c>
      <c r="AH73" s="20" t="n">
        <f aca="false">+(AH53-AG53)/(AH29-AG29)</f>
        <v>0.440846153846154</v>
      </c>
      <c r="AI73" s="20" t="n">
        <f aca="false">+(AI53-AH53)/(AI29-AH29)</f>
        <v>0.520333333333334</v>
      </c>
      <c r="AJ73" s="20" t="n">
        <f aca="false">+(AJ53-AI53)/(AJ29-AI29)</f>
        <v>0.312</v>
      </c>
      <c r="AR73" s="0"/>
      <c r="AS73" s="0"/>
      <c r="AT73" s="0"/>
      <c r="AU73" s="0"/>
      <c r="AV73" s="0"/>
    </row>
    <row r="74" s="19" customFormat="true" ht="12.8" hidden="false" customHeight="false" outlineLevel="0" collapsed="false">
      <c r="A74" s="19" t="s">
        <v>104</v>
      </c>
      <c r="V74" s="19" t="n">
        <f aca="false">+V68+V70</f>
        <v>-0.434917352970965</v>
      </c>
      <c r="W74" s="19" t="n">
        <f aca="false">+W68+W70</f>
        <v>-0.234939862645383</v>
      </c>
      <c r="X74" s="19" t="n">
        <f aca="false">+X68+X70</f>
        <v>0.23980968901513</v>
      </c>
      <c r="Y74" s="19" t="n">
        <f aca="false">+Y68+Y70</f>
        <v>0.378901062780992</v>
      </c>
      <c r="Z74" s="19" t="n">
        <f aca="false">+Z68+Z70</f>
        <v>0.323462373516239</v>
      </c>
      <c r="AA74" s="19" t="n">
        <f aca="false">+AA68+AA70</f>
        <v>0.29815880945248</v>
      </c>
      <c r="AB74" s="19" t="n">
        <f aca="false">+AB68+AB70</f>
        <v>0.33873326855543</v>
      </c>
      <c r="AC74" s="19" t="n">
        <f aca="false">+AC68+AC70</f>
        <v>0.303504536213286</v>
      </c>
      <c r="AD74" s="19" t="n">
        <f aca="false">+AD68+AD70</f>
        <v>0.336180524262178</v>
      </c>
      <c r="AE74" s="19" t="n">
        <f aca="false">+AE68+AE70</f>
        <v>0.394322623823375</v>
      </c>
      <c r="AF74" s="19" t="n">
        <f aca="false">+AF68+AF70</f>
        <v>0.392</v>
      </c>
      <c r="AG74" s="19" t="n">
        <f aca="false">+AG68+AG70</f>
        <v>0.407</v>
      </c>
      <c r="AH74" s="19" t="n">
        <f aca="false">+AH68+AH70</f>
        <v>0.417</v>
      </c>
      <c r="AI74" s="19" t="n">
        <f aca="false">+AI68+AI70</f>
        <v>0.432</v>
      </c>
      <c r="AJ74" s="19" t="n">
        <f aca="false">+AJ68+AJ70</f>
        <v>0.422</v>
      </c>
      <c r="AR74" s="0"/>
      <c r="AS74" s="0"/>
      <c r="AT74" s="0"/>
      <c r="AU74" s="0"/>
      <c r="AV74" s="0"/>
    </row>
    <row r="75" s="20" customFormat="true" ht="12.8" hidden="false" customHeight="false" outlineLevel="0" collapsed="false">
      <c r="AR75" s="0"/>
      <c r="AS75" s="0"/>
      <c r="AT75" s="0"/>
      <c r="AU75" s="0"/>
      <c r="AV75" s="0"/>
    </row>
    <row r="77" customFormat="false" ht="12.8" hidden="false" customHeight="false" outlineLevel="0" collapsed="false">
      <c r="A77" s="3" t="s">
        <v>105</v>
      </c>
      <c r="B77" s="3" t="n">
        <f aca="false">+B53+B136</f>
        <v>280</v>
      </c>
      <c r="C77" s="3" t="n">
        <f aca="false">+C53+C136</f>
        <v>328</v>
      </c>
      <c r="D77" s="3" t="n">
        <f aca="false">+D53+D136</f>
        <v>404</v>
      </c>
      <c r="E77" s="3" t="n">
        <f aca="false">+E53+E136</f>
        <v>395</v>
      </c>
      <c r="F77" s="3" t="n">
        <f aca="false">+F53+F136</f>
        <v>380</v>
      </c>
      <c r="G77" s="3" t="n">
        <f aca="false">+G53+G136</f>
        <v>433</v>
      </c>
      <c r="H77" s="3" t="n">
        <f aca="false">+H53+H136</f>
        <v>445</v>
      </c>
      <c r="I77" s="3" t="n">
        <f aca="false">+I53+I136</f>
        <v>488</v>
      </c>
      <c r="J77" s="3" t="n">
        <f aca="false">+J53+J136</f>
        <v>377</v>
      </c>
      <c r="K77" s="3" t="n">
        <f aca="false">+K53+K136</f>
        <v>614</v>
      </c>
      <c r="L77" s="3" t="n">
        <f aca="false">+L53+L136</f>
        <v>665</v>
      </c>
      <c r="M77" s="3" t="n">
        <f aca="false">+M53+M136</f>
        <v>653</v>
      </c>
      <c r="N77" s="3" t="n">
        <f aca="false">+N53+N136</f>
        <v>764</v>
      </c>
      <c r="O77" s="3" t="n">
        <f aca="false">+O53+O136</f>
        <v>824</v>
      </c>
      <c r="U77" s="3" t="n">
        <f aca="false">+U53+U136</f>
        <v>147.1</v>
      </c>
      <c r="V77" s="3" t="n">
        <f aca="false">+V53+V136</f>
        <v>-360.4</v>
      </c>
      <c r="W77" s="3" t="n">
        <f aca="false">+W53+W136</f>
        <v>-400.7</v>
      </c>
      <c r="X77" s="3" t="n">
        <f aca="false">+X53+X136</f>
        <v>70.2</v>
      </c>
      <c r="Y77" s="3" t="n">
        <f aca="false">+Y53+Y136</f>
        <v>470.3</v>
      </c>
      <c r="Z77" s="3" t="n">
        <f aca="false">+Z53+Z136</f>
        <v>753</v>
      </c>
      <c r="AA77" s="3" t="n">
        <f aca="false">+AA53+AA136</f>
        <v>766</v>
      </c>
      <c r="AB77" s="3" t="n">
        <f aca="false">+AB53+AB136</f>
        <v>1139</v>
      </c>
      <c r="AC77" s="3" t="n">
        <f aca="false">+AC53+AC136</f>
        <v>1407</v>
      </c>
      <c r="AD77" s="3" t="n">
        <f aca="false">+AD53+AD136</f>
        <v>1746</v>
      </c>
      <c r="AE77" s="3" t="n">
        <f aca="false">+AE53+AE136</f>
        <v>2309</v>
      </c>
      <c r="AF77" s="3" t="n">
        <f aca="false">+AF53+AF136</f>
        <v>2751.2508</v>
      </c>
      <c r="AG77" s="3" t="n">
        <f aca="false">+AG53+AG136</f>
        <v>3372.602562</v>
      </c>
      <c r="AH77" s="3" t="n">
        <f aca="false">+AH53+AH136</f>
        <v>4131.29643246</v>
      </c>
      <c r="AI77" s="3" t="n">
        <f aca="false">+AI53+AI136</f>
        <v>4925.9571725952</v>
      </c>
      <c r="AJ77" s="3" t="n">
        <f aca="false">+AJ53+AJ136</f>
        <v>5467.81246158067</v>
      </c>
    </row>
    <row r="78" customFormat="false" ht="12.8" hidden="false" customHeight="false" outlineLevel="0" collapsed="false">
      <c r="A78" s="3" t="s">
        <v>106</v>
      </c>
      <c r="B78" s="3" t="n">
        <f aca="false">+B77+B139+B140+B141</f>
        <v>239</v>
      </c>
      <c r="C78" s="3" t="n">
        <f aca="false">+C77+C139+C140+C141</f>
        <v>278</v>
      </c>
      <c r="D78" s="3" t="n">
        <f aca="false">+D77+D139+D140+D141</f>
        <v>371</v>
      </c>
      <c r="E78" s="3" t="n">
        <f aca="false">+E77+E139+E140+E141</f>
        <v>395</v>
      </c>
      <c r="F78" s="3" t="n">
        <f aca="false">+F77+F139+F140+F141</f>
        <v>373</v>
      </c>
      <c r="G78" s="3" t="n">
        <f aca="false">+G77+G139+G140+G141</f>
        <v>395</v>
      </c>
      <c r="H78" s="3" t="n">
        <f aca="false">+H77+H139+H140+H141</f>
        <v>423</v>
      </c>
      <c r="I78" s="3" t="n">
        <f aca="false">+I77+I139+I140+I141</f>
        <v>433</v>
      </c>
      <c r="J78" s="3" t="n">
        <f aca="false">+J77+J139+J140+J141</f>
        <v>492</v>
      </c>
      <c r="K78" s="3" t="n">
        <f aca="false">+K77+K139+K140+K141</f>
        <v>649</v>
      </c>
      <c r="L78" s="3" t="n">
        <f aca="false">+L77+L139+L140+L141</f>
        <v>812</v>
      </c>
      <c r="M78" s="3" t="n">
        <f aca="false">+M77+M139+M140+M141</f>
        <v>666</v>
      </c>
      <c r="N78" s="3" t="n">
        <f aca="false">+N77+N139+N140+N141</f>
        <v>755</v>
      </c>
      <c r="O78" s="3" t="n">
        <f aca="false">+O77+O139+O140+O141</f>
        <v>841</v>
      </c>
      <c r="U78" s="3" t="n">
        <f aca="false">+U77+U139+U140+U141</f>
        <v>358</v>
      </c>
      <c r="V78" s="3" t="n">
        <f aca="false">+V77+V139+V140+V141</f>
        <v>-326.4</v>
      </c>
      <c r="W78" s="3" t="n">
        <f aca="false">+W77+W139+W140+W141</f>
        <v>-338.4</v>
      </c>
      <c r="X78" s="3" t="n">
        <f aca="false">+X77+X139+X140+X141</f>
        <v>97.3</v>
      </c>
      <c r="Y78" s="3" t="n">
        <f aca="false">+Y77+Y139+Y140+Y141</f>
        <v>469.200000000001</v>
      </c>
      <c r="Z78" s="3" t="n">
        <f aca="false">+Z77+Z139+Z140+Z141</f>
        <v>13</v>
      </c>
      <c r="AA78" s="3" t="n">
        <f aca="false">+AA77+AA139+AA140+AA141</f>
        <v>880</v>
      </c>
      <c r="AB78" s="3" t="n">
        <f aca="false">+AB77+AB139+AB140+AB141</f>
        <v>888</v>
      </c>
      <c r="AC78" s="3" t="n">
        <f aca="false">+AC77+AC139+AC140+AC141</f>
        <v>1283</v>
      </c>
      <c r="AD78" s="3" t="n">
        <f aca="false">+AD77+AD139+AD140+AD141</f>
        <v>1624</v>
      </c>
      <c r="AE78" s="3" t="n">
        <f aca="false">+AE77+AE139+AE140+AE141</f>
        <v>2619</v>
      </c>
    </row>
    <row r="79" customFormat="false" ht="12.8" hidden="false" customHeight="false" outlineLevel="0" collapsed="false">
      <c r="AL79" s="21" t="s">
        <v>107</v>
      </c>
      <c r="AM79" s="22" t="n">
        <f aca="false">+Main!E10</f>
        <v>0.110953686151531</v>
      </c>
      <c r="AP79" s="3" t="s">
        <v>7</v>
      </c>
      <c r="AQ79" s="3" t="n">
        <f aca="false">+AM81</f>
        <v>50297.39798798</v>
      </c>
    </row>
    <row r="80" customFormat="false" ht="12.8" hidden="false" customHeight="false" outlineLevel="0" collapsed="false">
      <c r="A80" s="3" t="s">
        <v>108</v>
      </c>
      <c r="U80" s="3" t="n">
        <f aca="false">+U53*(1-U72)</f>
        <v>21.1842364532051</v>
      </c>
      <c r="V80" s="3" t="n">
        <f aca="false">+V53*(1-V72)</f>
        <v>-555.20649102711</v>
      </c>
      <c r="W80" s="3" t="n">
        <f aca="false">+W53*(1-W72)</f>
        <v>-517.869711107124</v>
      </c>
      <c r="X80" s="3" t="n">
        <f aca="false">+X53*(1-X72)</f>
        <v>-47.3067915690867</v>
      </c>
      <c r="Y80" s="3" t="n">
        <f aca="false">+Y53*(1-Y72)</f>
        <v>249.570895522389</v>
      </c>
      <c r="Z80" s="3" t="n">
        <f aca="false">+Z53*(1-Z72)</f>
        <v>1389.08957952468</v>
      </c>
      <c r="AA80" s="3" t="n">
        <f aca="false">+AA53*(1-AA72)</f>
        <v>543.621238938053</v>
      </c>
      <c r="AB80" s="3" t="n">
        <f aca="false">+AB53*(1-AB72)</f>
        <v>860.409090909091</v>
      </c>
      <c r="AC80" s="3" t="n">
        <f aca="false">+AC53*(1-AC72)</f>
        <v>899.619718309859</v>
      </c>
      <c r="AD80" s="3" t="n">
        <f aca="false">+AD53*(1-AD72)</f>
        <v>1087.89595375723</v>
      </c>
      <c r="AE80" s="3" t="n">
        <f aca="false">+AE53*(1-AE72)</f>
        <v>1106.47036805989</v>
      </c>
      <c r="AF80" s="3" t="n">
        <f aca="false">+AF53*(1-AF72)</f>
        <v>1604.34384</v>
      </c>
      <c r="AG80" s="3" t="n">
        <f aca="false">+AG53*(1-AG72)</f>
        <v>2017.8932976</v>
      </c>
      <c r="AH80" s="3" t="n">
        <f aca="false">+AH53*(1-AH72)</f>
        <v>2451.022379568</v>
      </c>
      <c r="AI80" s="3" t="n">
        <f aca="false">+AI53*(1-AI72)</f>
        <v>2984.26919970816</v>
      </c>
      <c r="AJ80" s="3" t="n">
        <f aca="false">+AJ53*(1-AJ72)</f>
        <v>3312.53881167606</v>
      </c>
      <c r="AL80" s="23" t="s">
        <v>109</v>
      </c>
      <c r="AM80" s="24" t="n">
        <v>0.02</v>
      </c>
      <c r="AP80" s="3" t="s">
        <v>5</v>
      </c>
      <c r="AQ80" s="3" t="n">
        <f aca="false">+Main!F4</f>
        <v>4357</v>
      </c>
    </row>
    <row r="81" customFormat="false" ht="12.8" hidden="false" customHeight="false" outlineLevel="0" collapsed="false">
      <c r="A81" s="3" t="s">
        <v>110</v>
      </c>
      <c r="U81" s="3" t="n">
        <f aca="false">+U93+U94-(U105+U114+U112+U109+U106)</f>
        <v>-819.4</v>
      </c>
      <c r="V81" s="3" t="n">
        <f aca="false">+V93+V94-(V105+V114+V112+V109+V106)</f>
        <v>-1176</v>
      </c>
      <c r="W81" s="3" t="n">
        <f aca="false">+W93+W94-(W105+W114+W112+W109+W106)</f>
        <v>-1540.5</v>
      </c>
      <c r="X81" s="3" t="n">
        <f aca="false">+X93+X94-(X105+X114+X112+X109+X106)</f>
        <v>-1621.6</v>
      </c>
      <c r="Y81" s="3" t="n">
        <f aca="false">+Y93+Y94-(Y105+Y114+Y112+Y109+Y106)</f>
        <v>-1932.7</v>
      </c>
      <c r="Z81" s="3" t="n">
        <f aca="false">+Z93+Z94-(Z105+Z114+Z112+Z109+Z106)</f>
        <v>-3805.4</v>
      </c>
      <c r="AA81" s="3" t="n">
        <f aca="false">+AA93+AA94-(AA105+AA114+AA112+AA109+AA106)</f>
        <v>-2629</v>
      </c>
      <c r="AB81" s="3" t="n">
        <f aca="false">+AB93+AB94-(AB105+AB114+AB112+AB109+AB106)</f>
        <v>-2698</v>
      </c>
      <c r="AC81" s="3" t="n">
        <f aca="false">+AC93+AC94-(AC105+AC114+AC112+AC109+AC106)</f>
        <v>-2982</v>
      </c>
      <c r="AD81" s="3" t="n">
        <f aca="false">+AD93+AD94-(AD105+AD114+AD112+AD109+AD106)</f>
        <v>-3193</v>
      </c>
      <c r="AE81" s="3" t="n">
        <f aca="false">+AE93+AE94-(AE105+AE114+AE112+AE109+AE106)</f>
        <v>-3409</v>
      </c>
      <c r="AF81" s="3" t="n">
        <f aca="false">+AF93+AF94-(AF105+AF114+AF112+AF109+AF106)</f>
        <v>-4236.09891846154</v>
      </c>
      <c r="AG81" s="3" t="n">
        <f aca="false">+AG93+AG94-(AG105+AG114+AG112+AG109+AG106)</f>
        <v>-4857.49396504615</v>
      </c>
      <c r="AH81" s="3" t="n">
        <f aca="false">+AH93+AH94-(AH105+AH114+AH112+AH109+AH106)</f>
        <v>-5520.99373424215</v>
      </c>
      <c r="AI81" s="3" t="n">
        <f aca="false">+AI93+AI94-(AI105+AI114+AI112+AI109+AI106)</f>
        <v>-6159.60056889201</v>
      </c>
      <c r="AJ81" s="3" t="n">
        <f aca="false">+AJ93+AJ94-(AJ105+AJ114+AJ112+AJ109+AJ106)</f>
        <v>-6810.61385253042</v>
      </c>
      <c r="AL81" s="25" t="s">
        <v>7</v>
      </c>
      <c r="AM81" s="26" t="n">
        <f aca="false">+NPV(AM79,AF82:AI82,AJ82+AN82)</f>
        <v>50297.39798798</v>
      </c>
      <c r="AP81" s="27" t="s">
        <v>6</v>
      </c>
      <c r="AQ81" s="27" t="n">
        <f aca="false">+Main!F5</f>
        <v>3478</v>
      </c>
    </row>
    <row r="82" customFormat="false" ht="12.8" hidden="false" customHeight="false" outlineLevel="0" collapsed="false">
      <c r="A82" s="3" t="s">
        <v>111</v>
      </c>
      <c r="X82" s="3" t="n">
        <f aca="false">+X80+X136-X149-(X81-W81)</f>
        <v>61.9932084309135</v>
      </c>
      <c r="Y82" s="3" t="n">
        <f aca="false">+Y80+Y136-Y149-(Y81-X81)</f>
        <v>634.770895522388</v>
      </c>
      <c r="Z82" s="3" t="n">
        <f aca="false">+Z80+Z136-Z149-(Z81-Y81)</f>
        <v>3294.78957952468</v>
      </c>
      <c r="AA82" s="3" t="n">
        <f aca="false">+AA80+AA136-AA149-(AA81-Z81)</f>
        <v>-540.778761061948</v>
      </c>
      <c r="AB82" s="3" t="n">
        <f aca="false">+AB80+AB136-AB149-(AB81-AA81)</f>
        <v>1039.40909090909</v>
      </c>
      <c r="AC82" s="3" t="n">
        <f aca="false">+AC80+AC136-AC149-(AC81-AB81)</f>
        <v>1431.61971830986</v>
      </c>
      <c r="AD82" s="3" t="n">
        <f aca="false">+AD80+AD136-AD149-(AD81-AC81)</f>
        <v>1650.89595375723</v>
      </c>
      <c r="AE82" s="3" t="n">
        <f aca="false">+AE80+AE136-AE149-(AE81-AD81)</f>
        <v>2010.47036805989</v>
      </c>
      <c r="AF82" s="3" t="n">
        <f aca="false">+AF80+AF136-AF149-(AF81-AE81)</f>
        <v>3119.25545846154</v>
      </c>
      <c r="AG82" s="3" t="n">
        <f aca="false">+AG80+AG136-AG149-(AG81-AF81)</f>
        <v>3423.39482218461</v>
      </c>
      <c r="AH82" s="3" t="n">
        <f aca="false">+AH80+AH136-AH149-(AH81-AG81)</f>
        <v>4107.314314704</v>
      </c>
      <c r="AI82" s="3" t="n">
        <f aca="false">+AI80+AI136-AI149-(AI81-AH81)</f>
        <v>4734.80326021082</v>
      </c>
      <c r="AJ82" s="3" t="n">
        <f aca="false">+AJ80+AJ136-AJ149-(AJ81-AI81)</f>
        <v>5197.79131601108</v>
      </c>
      <c r="AL82" s="23" t="s">
        <v>112</v>
      </c>
      <c r="AM82" s="28" t="n">
        <f aca="false">+AJ82*(1+AM80)/(AM79-AM80)</f>
        <v>58290.6242359267</v>
      </c>
      <c r="AN82" s="3" t="n">
        <f aca="false">+AJ77*11</f>
        <v>60145.9370773874</v>
      </c>
      <c r="AP82" s="3" t="s">
        <v>113</v>
      </c>
      <c r="AQ82" s="3" t="n">
        <f aca="false">+AQ79+AQ80-AQ81</f>
        <v>51176.39798798</v>
      </c>
    </row>
    <row r="83" customFormat="false" ht="12.8" hidden="false" customHeight="false" outlineLevel="0" collapsed="false">
      <c r="AL83" s="29" t="s">
        <v>114</v>
      </c>
      <c r="AM83" s="30" t="n">
        <f aca="false">+AM81/Main!F6-1</f>
        <v>0.0658260682753058</v>
      </c>
      <c r="AN83" s="3" t="n">
        <f aca="false">+AJ77*30</f>
        <v>164034.37384742</v>
      </c>
      <c r="AP83" s="27" t="s">
        <v>99</v>
      </c>
      <c r="AQ83" s="27" t="n">
        <f aca="false">+Main!F2</f>
        <v>209</v>
      </c>
    </row>
    <row r="84" customFormat="false" ht="12.8" hidden="false" customHeight="false" outlineLevel="0" collapsed="false">
      <c r="AP84" s="3" t="s">
        <v>1</v>
      </c>
      <c r="AQ84" s="3" t="n">
        <f aca="false">+AQ82/AQ83</f>
        <v>244.863148267847</v>
      </c>
    </row>
    <row r="85" customFormat="false" ht="12.8" hidden="false" customHeight="false" outlineLevel="0" collapsed="false">
      <c r="AQ85" s="20" t="n">
        <f aca="false">+AQ84/Main!F1-1</f>
        <v>0.0646223837732465</v>
      </c>
    </row>
    <row r="91" customFormat="false" ht="12.8" hidden="false" customHeight="false" outlineLevel="0" collapsed="false">
      <c r="A91" s="3" t="s">
        <v>5</v>
      </c>
      <c r="E91" s="3" t="n">
        <v>1892</v>
      </c>
      <c r="F91" s="3" t="n">
        <v>1681</v>
      </c>
      <c r="G91" s="3" t="n">
        <v>1513</v>
      </c>
      <c r="H91" s="3" t="n">
        <v>1437</v>
      </c>
      <c r="I91" s="3" t="n">
        <v>1599</v>
      </c>
      <c r="J91" s="3" t="n">
        <v>1816</v>
      </c>
      <c r="K91" s="3" t="n">
        <v>2003</v>
      </c>
      <c r="L91" s="3" t="n">
        <v>1989</v>
      </c>
      <c r="M91" s="3" t="n">
        <v>2249</v>
      </c>
      <c r="N91" s="3" t="n">
        <v>2671</v>
      </c>
      <c r="O91" s="3" t="n">
        <v>4098</v>
      </c>
      <c r="U91" s="3" t="n">
        <v>1353</v>
      </c>
      <c r="V91" s="3" t="n">
        <v>1213.1</v>
      </c>
      <c r="W91" s="3" t="n">
        <v>1078</v>
      </c>
      <c r="X91" s="3" t="n">
        <v>886</v>
      </c>
      <c r="Y91" s="3" t="n">
        <v>1774.7</v>
      </c>
      <c r="Z91" s="3" t="n">
        <v>1772.2</v>
      </c>
      <c r="AA91" s="3" t="n">
        <v>1528</v>
      </c>
      <c r="AB91" s="3" t="n">
        <v>1947</v>
      </c>
      <c r="AC91" s="3" t="n">
        <v>1892</v>
      </c>
      <c r="AD91" s="3" t="n">
        <v>1599</v>
      </c>
      <c r="AE91" s="3" t="n">
        <v>2249</v>
      </c>
    </row>
    <row r="92" customFormat="false" ht="12.8" hidden="false" customHeight="false" outlineLevel="0" collapsed="false">
      <c r="A92" s="3" t="s">
        <v>115</v>
      </c>
      <c r="E92" s="3" t="n">
        <f aca="false">+354+234</f>
        <v>588</v>
      </c>
      <c r="F92" s="3" t="n">
        <f aca="false">+308+238</f>
        <v>546</v>
      </c>
      <c r="G92" s="3" t="n">
        <f aca="false">+365+231</f>
        <v>596</v>
      </c>
      <c r="H92" s="3" t="n">
        <f aca="false">+276+264</f>
        <v>540</v>
      </c>
      <c r="I92" s="3" t="n">
        <f aca="false">+287+267</f>
        <v>554</v>
      </c>
      <c r="J92" s="3" t="n">
        <f aca="false">+224+261</f>
        <v>485</v>
      </c>
      <c r="K92" s="3" t="n">
        <f aca="false">+233+282</f>
        <v>515</v>
      </c>
      <c r="L92" s="3" t="n">
        <f aca="false">+300+302</f>
        <v>602</v>
      </c>
      <c r="M92" s="3" t="n">
        <f aca="false">+348+376</f>
        <v>724</v>
      </c>
      <c r="N92" s="3" t="n">
        <f aca="false">+253+385</f>
        <v>638</v>
      </c>
      <c r="O92" s="3" t="n">
        <f aca="false">+57+202</f>
        <v>259</v>
      </c>
      <c r="U92" s="3" t="n">
        <v>897.9</v>
      </c>
      <c r="V92" s="3" t="n">
        <f aca="false">+686.8+306.2</f>
        <v>993</v>
      </c>
      <c r="W92" s="3" t="n">
        <f aca="false">+245.2+190.8</f>
        <v>436</v>
      </c>
      <c r="X92" s="3" t="n">
        <f aca="false">+67.6+0</f>
        <v>67.6</v>
      </c>
      <c r="Y92" s="3" t="n">
        <f aca="false">+69+0</f>
        <v>69</v>
      </c>
      <c r="Z92" s="3" t="n">
        <f aca="false">+4+0</f>
        <v>4</v>
      </c>
      <c r="AA92" s="3" t="n">
        <f aca="false">+236+45</f>
        <v>281</v>
      </c>
      <c r="AB92" s="3" t="n">
        <f aca="false">+125+102</f>
        <v>227</v>
      </c>
      <c r="AC92" s="3" t="n">
        <f aca="false">+354+234</f>
        <v>588</v>
      </c>
      <c r="AD92" s="3" t="n">
        <f aca="false">+287+267</f>
        <v>554</v>
      </c>
      <c r="AE92" s="3" t="n">
        <f aca="false">+348+376</f>
        <v>724</v>
      </c>
    </row>
    <row r="93" customFormat="false" ht="12.8" hidden="false" customHeight="false" outlineLevel="0" collapsed="false">
      <c r="A93" s="3" t="s">
        <v>116</v>
      </c>
      <c r="E93" s="3" t="n">
        <v>876</v>
      </c>
      <c r="F93" s="3" t="n">
        <v>353</v>
      </c>
      <c r="G93" s="3" t="n">
        <v>402</v>
      </c>
      <c r="H93" s="3" t="n">
        <v>702</v>
      </c>
      <c r="I93" s="3" t="n">
        <v>1008</v>
      </c>
      <c r="J93" s="3" t="n">
        <v>494</v>
      </c>
      <c r="K93" s="3" t="n">
        <v>532</v>
      </c>
      <c r="L93" s="3" t="n">
        <v>806</v>
      </c>
      <c r="M93" s="3" t="n">
        <v>1439</v>
      </c>
      <c r="N93" s="3" t="n">
        <v>579</v>
      </c>
      <c r="O93" s="3" t="n">
        <v>684</v>
      </c>
      <c r="U93" s="3" t="n">
        <v>653.6</v>
      </c>
      <c r="V93" s="3" t="n">
        <v>452.3</v>
      </c>
      <c r="W93" s="3" t="n">
        <v>438.2</v>
      </c>
      <c r="X93" s="3" t="n">
        <v>474.3</v>
      </c>
      <c r="Y93" s="3" t="n">
        <v>652.3</v>
      </c>
      <c r="Z93" s="3" t="n">
        <v>643.1</v>
      </c>
      <c r="AA93" s="3" t="n">
        <v>716</v>
      </c>
      <c r="AB93" s="3" t="n">
        <v>961</v>
      </c>
      <c r="AC93" s="3" t="n">
        <v>876</v>
      </c>
      <c r="AD93" s="3" t="n">
        <v>1008</v>
      </c>
      <c r="AE93" s="3" t="n">
        <v>1439</v>
      </c>
      <c r="AF93" s="3" t="n">
        <f aca="false">+AF191*AF29/365</f>
        <v>1429.72883561644</v>
      </c>
      <c r="AG93" s="3" t="n">
        <f aca="false">+AG191*AG29/365</f>
        <v>1655.77324520548</v>
      </c>
      <c r="AH93" s="3" t="n">
        <f aca="false">+AH191*AH29/365</f>
        <v>1900.27084812329</v>
      </c>
      <c r="AI93" s="3" t="n">
        <f aca="false">+AI191*AI29/365</f>
        <v>2161.06008066411</v>
      </c>
      <c r="AJ93" s="3" t="n">
        <f aca="false">+AJ191*AJ29/365</f>
        <v>2435.13666068745</v>
      </c>
    </row>
    <row r="94" customFormat="false" ht="12.8" hidden="false" customHeight="false" outlineLevel="0" collapsed="false">
      <c r="A94" s="3" t="s">
        <v>117</v>
      </c>
      <c r="E94" s="3" t="n">
        <v>457</v>
      </c>
      <c r="F94" s="3" t="n">
        <v>468</v>
      </c>
      <c r="G94" s="3" t="n">
        <v>478</v>
      </c>
      <c r="H94" s="3" t="n">
        <v>484</v>
      </c>
      <c r="I94" s="3" t="n">
        <v>588</v>
      </c>
      <c r="J94" s="3" t="n">
        <v>681</v>
      </c>
      <c r="K94" s="3" t="n">
        <v>721</v>
      </c>
      <c r="L94" s="3" t="n">
        <v>800</v>
      </c>
      <c r="M94" s="3" t="n">
        <v>906</v>
      </c>
      <c r="N94" s="3" t="n">
        <v>871</v>
      </c>
      <c r="O94" s="3" t="n">
        <v>831</v>
      </c>
      <c r="U94" s="3" t="n">
        <v>88.6</v>
      </c>
      <c r="V94" s="3" t="n">
        <v>108.4</v>
      </c>
      <c r="W94" s="3" t="n">
        <v>116.5</v>
      </c>
      <c r="X94" s="3" t="n">
        <v>192.1</v>
      </c>
      <c r="Y94" s="3" t="n">
        <v>163.3</v>
      </c>
      <c r="Z94" s="3" t="n">
        <v>206.2</v>
      </c>
      <c r="AA94" s="3" t="n">
        <v>284</v>
      </c>
      <c r="AB94" s="3" t="n">
        <v>308</v>
      </c>
      <c r="AC94" s="3" t="n">
        <v>457</v>
      </c>
      <c r="AD94" s="3" t="n">
        <v>588</v>
      </c>
      <c r="AE94" s="3" t="n">
        <v>906</v>
      </c>
      <c r="AF94" s="3" t="n">
        <f aca="false">+AF29*0.1</f>
        <v>828.69</v>
      </c>
      <c r="AG94" s="3" t="n">
        <f aca="false">+AG29*0.1</f>
        <v>944.7066</v>
      </c>
      <c r="AH94" s="3" t="n">
        <f aca="false">+AH29*0.1</f>
        <v>1067.518458</v>
      </c>
      <c r="AI94" s="3" t="n">
        <f aca="false">+AI29*0.1</f>
        <v>1195.62067296</v>
      </c>
      <c r="AJ94" s="3" t="n">
        <f aca="false">+AJ29*0.1</f>
        <v>1327.1389469856</v>
      </c>
    </row>
    <row r="95" s="15" customFormat="true" ht="10.5" hidden="false" customHeight="true" outlineLevel="0" collapsed="false">
      <c r="B95" s="15" t="n">
        <f aca="false">+B94/B29</f>
        <v>0</v>
      </c>
      <c r="C95" s="15" t="n">
        <f aca="false">+C94/C29</f>
        <v>0</v>
      </c>
      <c r="D95" s="15" t="n">
        <f aca="false">+D94/D29</f>
        <v>0</v>
      </c>
      <c r="E95" s="15" t="n">
        <f aca="false">+E94/E29</f>
        <v>0.311095983662355</v>
      </c>
      <c r="F95" s="15" t="n">
        <f aca="false">+F94/F29</f>
        <v>0.330275229357798</v>
      </c>
      <c r="G95" s="15" t="n">
        <f aca="false">+G94/G29</f>
        <v>0.317607973421927</v>
      </c>
      <c r="H95" s="15" t="n">
        <f aca="false">+H94/H29</f>
        <v>0.30828025477707</v>
      </c>
      <c r="I95" s="15" t="n">
        <f aca="false">+I94/I29</f>
        <v>0.35875533862111</v>
      </c>
      <c r="J95" s="15" t="n">
        <f aca="false">+J94/J29</f>
        <v>0.417023882424985</v>
      </c>
      <c r="K95" s="15" t="n">
        <f aca="false">+K94/K29</f>
        <v>0.40896199659671</v>
      </c>
      <c r="L95" s="15" t="n">
        <f aca="false">+L94/L29</f>
        <v>0.431732325957906</v>
      </c>
      <c r="M95" s="15" t="n">
        <f aca="false">+M94/M29</f>
        <v>0.462953500255493</v>
      </c>
      <c r="N95" s="15" t="n">
        <f aca="false">+N94/N29</f>
        <v>0.450361944157187</v>
      </c>
      <c r="O95" s="15" t="n">
        <f aca="false">+O94/O29</f>
        <v>0.406158357771261</v>
      </c>
      <c r="U95" s="15" t="n">
        <f aca="false">+U94/U29</f>
        <v>0.0353819735633561</v>
      </c>
      <c r="V95" s="15" t="n">
        <f aca="false">+V94/V29</f>
        <v>0.0533727227966519</v>
      </c>
      <c r="W95" s="15" t="n">
        <f aca="false">+W94/W29</f>
        <v>0.0566468929300788</v>
      </c>
      <c r="X95" s="15" t="n">
        <f aca="false">+X94/X29</f>
        <v>0.0747528990582925</v>
      </c>
      <c r="Y95" s="15" t="n">
        <f aca="false">+Y94/Y29</f>
        <v>0.049873255352289</v>
      </c>
      <c r="Z95" s="15" t="n">
        <f aca="false">+Z94/Z29</f>
        <v>0.0544063324538259</v>
      </c>
      <c r="AA95" s="15" t="n">
        <f aca="false">+AA94/AA29</f>
        <v>0.0647514819881441</v>
      </c>
      <c r="AB95" s="15" t="n">
        <f aca="false">+AB94/AB29</f>
        <v>0.0615384615384615</v>
      </c>
      <c r="AC95" s="15" t="n">
        <f aca="false">+AC94/AC29</f>
        <v>0.0831362561397126</v>
      </c>
      <c r="AD95" s="15" t="n">
        <f aca="false">+AD94/AD$29</f>
        <v>0.0959060512151362</v>
      </c>
      <c r="AE95" s="15" t="n">
        <f aca="false">+AE94/AE$29</f>
        <v>0.125728559533722</v>
      </c>
      <c r="AF95" s="15" t="n">
        <f aca="false">+AF94/AF$29</f>
        <v>0.1</v>
      </c>
      <c r="AG95" s="15" t="n">
        <f aca="false">+AG94/AG$29</f>
        <v>0.1</v>
      </c>
      <c r="AH95" s="15" t="n">
        <f aca="false">+AH94/AH$29</f>
        <v>0.1</v>
      </c>
      <c r="AI95" s="15" t="n">
        <f aca="false">+AI94/AI$29</f>
        <v>0.1</v>
      </c>
      <c r="AJ95" s="15" t="n">
        <f aca="false">+AJ94/AJ$29</f>
        <v>0.1</v>
      </c>
      <c r="AR95" s="0"/>
      <c r="AS95" s="0"/>
      <c r="AT95" s="0"/>
      <c r="AU95" s="0"/>
      <c r="AV95" s="0"/>
    </row>
    <row r="96" customFormat="false" ht="12.8" hidden="false" customHeight="false" outlineLevel="0" collapsed="false">
      <c r="A96" s="3" t="s">
        <v>118</v>
      </c>
      <c r="E96" s="3" t="n">
        <v>121</v>
      </c>
      <c r="F96" s="3" t="n">
        <v>117</v>
      </c>
      <c r="G96" s="3" t="n">
        <v>116</v>
      </c>
      <c r="H96" s="3" t="n">
        <v>116</v>
      </c>
      <c r="I96" s="3" t="n">
        <v>117</v>
      </c>
      <c r="J96" s="3" t="n">
        <v>111</v>
      </c>
      <c r="K96" s="3" t="n">
        <v>109</v>
      </c>
      <c r="L96" s="3" t="n">
        <v>118</v>
      </c>
      <c r="M96" s="3" t="n">
        <v>121</v>
      </c>
      <c r="N96" s="3" t="n">
        <v>122</v>
      </c>
      <c r="O96" s="3" t="n">
        <v>124</v>
      </c>
      <c r="U96" s="3" t="n">
        <v>169.3</v>
      </c>
      <c r="V96" s="3" t="n">
        <v>158.6</v>
      </c>
      <c r="W96" s="3" t="n">
        <v>145</v>
      </c>
      <c r="X96" s="3" t="n">
        <v>149.7</v>
      </c>
      <c r="Y96" s="3" t="n">
        <v>161.7</v>
      </c>
      <c r="Z96" s="3" t="n">
        <v>192.8</v>
      </c>
      <c r="AA96" s="3" t="n">
        <v>162</v>
      </c>
      <c r="AB96" s="3" t="n">
        <v>144</v>
      </c>
      <c r="AC96" s="3" t="n">
        <v>121</v>
      </c>
      <c r="AD96" s="3" t="n">
        <v>117</v>
      </c>
      <c r="AE96" s="3" t="n">
        <v>121</v>
      </c>
    </row>
    <row r="97" customFormat="false" ht="12.8" hidden="false" customHeight="false" outlineLevel="0" collapsed="false">
      <c r="A97" s="3" t="s">
        <v>119</v>
      </c>
      <c r="E97" s="3" t="n">
        <v>224</v>
      </c>
      <c r="F97" s="3" t="n">
        <v>214</v>
      </c>
      <c r="G97" s="3" t="n">
        <v>205</v>
      </c>
      <c r="H97" s="3" t="n">
        <v>184</v>
      </c>
      <c r="I97" s="3" t="n">
        <v>169</v>
      </c>
      <c r="J97" s="3" t="n">
        <v>147</v>
      </c>
      <c r="K97" s="3" t="n">
        <v>149</v>
      </c>
      <c r="L97" s="3" t="n">
        <v>152</v>
      </c>
      <c r="M97" s="3" t="n">
        <v>157</v>
      </c>
      <c r="N97" s="3" t="n">
        <v>152</v>
      </c>
      <c r="O97" s="3" t="n">
        <v>145</v>
      </c>
      <c r="U97" s="3" t="n">
        <v>70.8</v>
      </c>
      <c r="V97" s="3" t="n">
        <v>45.7</v>
      </c>
      <c r="W97" s="3" t="n">
        <v>27.1</v>
      </c>
      <c r="X97" s="3" t="n">
        <v>0</v>
      </c>
      <c r="Y97" s="3" t="n">
        <v>438.8</v>
      </c>
      <c r="Z97" s="3" t="n">
        <v>416.7</v>
      </c>
      <c r="AA97" s="3" t="n">
        <v>305</v>
      </c>
      <c r="AB97" s="3" t="n">
        <v>245</v>
      </c>
      <c r="AC97" s="3" t="n">
        <v>224</v>
      </c>
      <c r="AD97" s="3" t="n">
        <v>169</v>
      </c>
      <c r="AE97" s="3" t="n">
        <v>157</v>
      </c>
    </row>
    <row r="98" customFormat="false" ht="12.8" hidden="false" customHeight="false" outlineLevel="0" collapsed="false">
      <c r="A98" s="3" t="s">
        <v>120</v>
      </c>
      <c r="E98" s="3" t="n">
        <v>406</v>
      </c>
      <c r="F98" s="3" t="n">
        <v>572</v>
      </c>
      <c r="G98" s="3" t="n">
        <v>609</v>
      </c>
      <c r="H98" s="3" t="n">
        <v>594</v>
      </c>
      <c r="I98" s="3" t="n">
        <v>574</v>
      </c>
      <c r="J98" s="3" t="n">
        <v>549</v>
      </c>
      <c r="K98" s="3" t="n">
        <v>521</v>
      </c>
      <c r="L98" s="3" t="n">
        <v>493</v>
      </c>
      <c r="M98" s="3" t="n">
        <v>467</v>
      </c>
      <c r="N98" s="3" t="n">
        <v>453</v>
      </c>
      <c r="O98" s="3" t="n">
        <v>423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70.9</v>
      </c>
      <c r="Z98" s="3" t="n">
        <v>199.3</v>
      </c>
      <c r="AA98" s="3" t="n">
        <v>494</v>
      </c>
      <c r="AB98" s="3" t="n">
        <v>407</v>
      </c>
      <c r="AC98" s="3" t="n">
        <v>406</v>
      </c>
      <c r="AD98" s="3" t="n">
        <v>574</v>
      </c>
      <c r="AE98" s="3" t="n">
        <v>467</v>
      </c>
    </row>
    <row r="99" customFormat="false" ht="12.8" hidden="false" customHeight="false" outlineLevel="0" collapsed="false">
      <c r="A99" s="3" t="s">
        <v>121</v>
      </c>
      <c r="E99" s="3" t="n">
        <v>3653</v>
      </c>
      <c r="F99" s="3" t="n">
        <v>4133</v>
      </c>
      <c r="G99" s="3" t="n">
        <v>4253</v>
      </c>
      <c r="H99" s="3" t="n">
        <v>4256</v>
      </c>
      <c r="I99" s="3" t="n">
        <v>4242</v>
      </c>
      <c r="J99" s="3" t="n">
        <v>4275</v>
      </c>
      <c r="K99" s="3" t="n">
        <v>4275</v>
      </c>
      <c r="L99" s="3" t="n">
        <v>4278</v>
      </c>
      <c r="M99" s="3" t="n">
        <v>4295</v>
      </c>
      <c r="N99" s="3" t="n">
        <v>4337</v>
      </c>
      <c r="O99" s="3" t="n">
        <v>4331</v>
      </c>
      <c r="U99" s="3" t="n">
        <v>1535</v>
      </c>
      <c r="V99" s="3" t="n">
        <v>1561.1</v>
      </c>
      <c r="W99" s="3" t="n">
        <v>1620.2</v>
      </c>
      <c r="X99" s="3" t="n">
        <v>2450.8</v>
      </c>
      <c r="Y99" s="3" t="n">
        <v>2445</v>
      </c>
      <c r="Z99" s="3" t="n">
        <v>2706.5</v>
      </c>
      <c r="AA99" s="3" t="n">
        <v>3604</v>
      </c>
      <c r="AB99" s="3" t="n">
        <v>3625</v>
      </c>
      <c r="AC99" s="3" t="n">
        <v>3653</v>
      </c>
      <c r="AD99" s="3" t="n">
        <v>4242</v>
      </c>
      <c r="AE99" s="3" t="n">
        <v>4295</v>
      </c>
    </row>
    <row r="100" customFormat="false" ht="12.8" hidden="false" customHeight="false" outlineLevel="0" collapsed="false">
      <c r="A100" s="3" t="s">
        <v>122</v>
      </c>
      <c r="E100" s="3" t="n">
        <v>1093</v>
      </c>
      <c r="F100" s="3" t="n">
        <v>1126</v>
      </c>
      <c r="G100" s="3" t="n">
        <v>1129</v>
      </c>
      <c r="H100" s="3" t="n">
        <v>1150</v>
      </c>
      <c r="I100" s="3" t="n">
        <v>1205</v>
      </c>
      <c r="J100" s="3" t="n">
        <v>1128</v>
      </c>
      <c r="K100" s="3" t="n">
        <v>1053</v>
      </c>
      <c r="L100" s="3" t="n">
        <v>936</v>
      </c>
      <c r="M100" s="3" t="n">
        <v>842</v>
      </c>
      <c r="N100" s="3" t="n">
        <v>813</v>
      </c>
      <c r="O100" s="3" t="n">
        <v>808</v>
      </c>
      <c r="U100" s="3" t="n">
        <v>9.2</v>
      </c>
      <c r="V100" s="3" t="n">
        <v>63.9</v>
      </c>
      <c r="W100" s="3" t="n">
        <v>81.7</v>
      </c>
      <c r="X100" s="3" t="n">
        <v>65.3</v>
      </c>
      <c r="Y100" s="3" t="n">
        <v>56.4</v>
      </c>
      <c r="Z100" s="3" t="n">
        <v>763.1</v>
      </c>
      <c r="AA100" s="3" t="n">
        <v>741</v>
      </c>
      <c r="AB100" s="3" t="n">
        <v>1014</v>
      </c>
      <c r="AC100" s="3" t="n">
        <v>1093</v>
      </c>
      <c r="AD100" s="3" t="n">
        <v>1205</v>
      </c>
      <c r="AE100" s="3" t="n">
        <v>842</v>
      </c>
    </row>
    <row r="101" customFormat="false" ht="12.8" hidden="false" customHeight="false" outlineLevel="0" collapsed="false">
      <c r="A101" s="3" t="s">
        <v>123</v>
      </c>
      <c r="E101" s="3" t="n">
        <v>602</v>
      </c>
      <c r="F101" s="3" t="n">
        <v>620</v>
      </c>
      <c r="G101" s="3" t="n">
        <v>659</v>
      </c>
      <c r="H101" s="3" t="n">
        <v>670</v>
      </c>
      <c r="I101" s="3" t="n">
        <v>777</v>
      </c>
      <c r="J101" s="3" t="n">
        <v>899</v>
      </c>
      <c r="K101" s="3" t="n">
        <v>978</v>
      </c>
      <c r="L101" s="3" t="n">
        <v>1024</v>
      </c>
      <c r="M101" s="3" t="n">
        <v>1267</v>
      </c>
      <c r="N101" s="3" t="n">
        <v>1296</v>
      </c>
      <c r="O101" s="3" t="n">
        <v>1280</v>
      </c>
      <c r="U101" s="3" t="n">
        <v>205.6</v>
      </c>
      <c r="V101" s="3" t="n">
        <v>202</v>
      </c>
      <c r="W101" s="3" t="n">
        <v>170.9</v>
      </c>
      <c r="X101" s="3" t="n">
        <f aca="false">+337.8+105.6</f>
        <v>443.4</v>
      </c>
      <c r="Y101" s="3" t="n">
        <v>347.2</v>
      </c>
      <c r="Z101" s="3" t="n">
        <v>375.9</v>
      </c>
      <c r="AA101" s="3" t="n">
        <v>492</v>
      </c>
      <c r="AB101" s="3" t="n">
        <v>560</v>
      </c>
      <c r="AC101" s="3" t="n">
        <v>602</v>
      </c>
      <c r="AD101" s="3" t="n">
        <v>777</v>
      </c>
      <c r="AE101" s="3" t="n">
        <v>1267</v>
      </c>
    </row>
    <row r="102" customFormat="false" ht="12.8" hidden="false" customHeight="false" outlineLevel="0" collapsed="false">
      <c r="A102" s="3" t="s">
        <v>124</v>
      </c>
      <c r="B102" s="3" t="n">
        <f aca="false">+SUM(B91:B101)-B95</f>
        <v>0</v>
      </c>
      <c r="C102" s="3" t="n">
        <f aca="false">+SUM(C91:C101)-C95</f>
        <v>0</v>
      </c>
      <c r="D102" s="3" t="n">
        <f aca="false">+SUM(D91:D101)-D95</f>
        <v>0</v>
      </c>
      <c r="E102" s="3" t="n">
        <f aca="false">+SUM(E91:E101)-E95</f>
        <v>9912</v>
      </c>
      <c r="F102" s="3" t="n">
        <f aca="false">+SUM(F91:F101)-F95</f>
        <v>9830</v>
      </c>
      <c r="G102" s="3" t="n">
        <f aca="false">+SUM(G91:G101)-G95</f>
        <v>9960</v>
      </c>
      <c r="H102" s="3" t="n">
        <f aca="false">+SUM(H91:H101)-H95</f>
        <v>10133</v>
      </c>
      <c r="I102" s="3" t="n">
        <f aca="false">+SUM(I91:I101)-I95</f>
        <v>10833</v>
      </c>
      <c r="J102" s="3" t="n">
        <f aca="false">+SUM(J91:J101)-J95</f>
        <v>10585</v>
      </c>
      <c r="K102" s="3" t="n">
        <f aca="false">+SUM(K91:K101)-K95</f>
        <v>10856</v>
      </c>
      <c r="L102" s="3" t="n">
        <f aca="false">+SUM(L91:L101)-L95</f>
        <v>11198</v>
      </c>
      <c r="M102" s="3" t="n">
        <f aca="false">+SUM(M91:M101)-M95</f>
        <v>12467</v>
      </c>
      <c r="N102" s="3" t="n">
        <f aca="false">+SUM(N91:N101)-N95</f>
        <v>11932</v>
      </c>
      <c r="O102" s="3" t="n">
        <f aca="false">+SUM(O91:O101)-O95</f>
        <v>12983</v>
      </c>
      <c r="P102" s="3" t="n">
        <f aca="false">+SUM(P91:P101)-P95</f>
        <v>0</v>
      </c>
      <c r="Q102" s="3" t="n">
        <f aca="false">+SUM(Q91:Q101)-Q95</f>
        <v>0</v>
      </c>
      <c r="U102" s="3" t="n">
        <f aca="false">+SUM(U91:U101)-U95</f>
        <v>4983</v>
      </c>
      <c r="V102" s="3" t="n">
        <f aca="false">+SUM(V91:V101)-V95</f>
        <v>4798.1</v>
      </c>
      <c r="W102" s="3" t="n">
        <f aca="false">+SUM(W91:W101)-W95</f>
        <v>4113.6</v>
      </c>
      <c r="X102" s="3" t="n">
        <f aca="false">+SUM(X91:X101)-X95</f>
        <v>4729.2</v>
      </c>
      <c r="Y102" s="3" t="n">
        <f aca="false">+SUM(Y91:Y101)-Y95</f>
        <v>6179.3</v>
      </c>
      <c r="Z102" s="3" t="n">
        <f aca="false">+SUM(Z91:Z101)-Z95</f>
        <v>7279.8</v>
      </c>
      <c r="AA102" s="3" t="n">
        <f aca="false">+SUM(AA91:AA101)-AA95</f>
        <v>8607</v>
      </c>
      <c r="AB102" s="3" t="n">
        <f aca="false">+SUM(AB91:AB101)-AB95</f>
        <v>9438</v>
      </c>
      <c r="AC102" s="3" t="n">
        <f aca="false">+SUM(AC91:AC101)-AC95</f>
        <v>9912</v>
      </c>
      <c r="AD102" s="3" t="n">
        <f aca="false">+SUM(AD91:AD101)-AD95</f>
        <v>10833</v>
      </c>
      <c r="AE102" s="3" t="n">
        <f aca="false">+SUM(AE91:AE101)-AE95</f>
        <v>12467</v>
      </c>
    </row>
    <row r="105" customFormat="false" ht="12.8" hidden="false" customHeight="false" outlineLevel="0" collapsed="false">
      <c r="A105" s="3" t="s">
        <v>125</v>
      </c>
      <c r="E105" s="3" t="n">
        <v>100</v>
      </c>
      <c r="F105" s="3" t="n">
        <v>163</v>
      </c>
      <c r="G105" s="3" t="n">
        <v>174</v>
      </c>
      <c r="H105" s="3" t="n">
        <v>217</v>
      </c>
      <c r="I105" s="3" t="n">
        <v>242</v>
      </c>
      <c r="J105" s="3" t="n">
        <v>277</v>
      </c>
      <c r="K105" s="3" t="n">
        <v>324</v>
      </c>
      <c r="L105" s="3" t="n">
        <v>384</v>
      </c>
      <c r="M105" s="3" t="n">
        <v>422</v>
      </c>
      <c r="N105" s="3" t="n">
        <v>403</v>
      </c>
      <c r="O105" s="3" t="n">
        <v>457</v>
      </c>
      <c r="U105" s="3" t="n">
        <v>119.9</v>
      </c>
      <c r="V105" s="3" t="n">
        <v>93.5</v>
      </c>
      <c r="W105" s="3" t="n">
        <v>94.7</v>
      </c>
      <c r="X105" s="3" t="n">
        <v>101.6</v>
      </c>
      <c r="Y105" s="3" t="n">
        <v>83.7</v>
      </c>
      <c r="Z105" s="3" t="n">
        <v>122.5</v>
      </c>
      <c r="AA105" s="3" t="n">
        <v>121</v>
      </c>
      <c r="AB105" s="3" t="n">
        <v>102</v>
      </c>
      <c r="AC105" s="3" t="n">
        <v>100</v>
      </c>
      <c r="AD105" s="3" t="n">
        <v>242</v>
      </c>
      <c r="AE105" s="3" t="n">
        <v>422</v>
      </c>
      <c r="AF105" s="3" t="n">
        <f aca="false">+AF193/365*AF37</f>
        <v>387.072454077977</v>
      </c>
      <c r="AG105" s="3" t="n">
        <f aca="false">+AG193/365*AG37</f>
        <v>448.250838251633</v>
      </c>
      <c r="AH105" s="3" t="n">
        <f aca="false">+AH193/365*AH37</f>
        <v>514.420159105441</v>
      </c>
      <c r="AI105" s="3" t="n">
        <f aca="false">+AI193/365*AI37</f>
        <v>584.994895504921</v>
      </c>
      <c r="AJ105" s="3" t="n">
        <f aca="false">+AJ193/365*AJ37</f>
        <v>659.161526221041</v>
      </c>
    </row>
    <row r="106" customFormat="false" ht="12.8" hidden="false" customHeight="false" outlineLevel="0" collapsed="false">
      <c r="A106" s="3" t="s">
        <v>126</v>
      </c>
      <c r="E106" s="3" t="n">
        <v>476</v>
      </c>
      <c r="F106" s="3" t="n">
        <v>326</v>
      </c>
      <c r="G106" s="3" t="n">
        <v>361</v>
      </c>
      <c r="H106" s="3" t="n">
        <v>394</v>
      </c>
      <c r="I106" s="3" t="n">
        <v>506</v>
      </c>
      <c r="J106" s="3" t="n">
        <v>399</v>
      </c>
      <c r="K106" s="3" t="n">
        <v>388</v>
      </c>
      <c r="L106" s="3" t="n">
        <v>442</v>
      </c>
      <c r="M106" s="3" t="n">
        <v>659</v>
      </c>
      <c r="N106" s="3" t="n">
        <v>360</v>
      </c>
      <c r="O106" s="3" t="n">
        <v>354</v>
      </c>
      <c r="U106" s="3" t="n">
        <v>243.3</v>
      </c>
      <c r="V106" s="3" t="n">
        <v>238.2</v>
      </c>
      <c r="W106" s="3" t="n">
        <v>250.9</v>
      </c>
      <c r="X106" s="3" t="n">
        <v>280.8</v>
      </c>
      <c r="Y106" s="3" t="n">
        <v>272.1</v>
      </c>
      <c r="Z106" s="3" t="n">
        <v>322.6</v>
      </c>
      <c r="AA106" s="3" t="n">
        <v>341</v>
      </c>
      <c r="AB106" s="3" t="n">
        <v>358</v>
      </c>
      <c r="AC106" s="3" t="n">
        <v>476</v>
      </c>
      <c r="AD106" s="3" t="n">
        <v>506</v>
      </c>
      <c r="AE106" s="3" t="n">
        <v>659</v>
      </c>
      <c r="AF106" s="3" t="n">
        <f aca="false">+AF29*0.08</f>
        <v>662.952</v>
      </c>
      <c r="AG106" s="3" t="n">
        <f aca="false">+AG29*0.085</f>
        <v>803.00061</v>
      </c>
      <c r="AH106" s="3" t="n">
        <f aca="false">+AH29*0.09</f>
        <v>960.7666122</v>
      </c>
      <c r="AI106" s="3" t="n">
        <f aca="false">+AI29*0.09</f>
        <v>1076.058605664</v>
      </c>
      <c r="AJ106" s="3" t="n">
        <f aca="false">+AJ29*0.09</f>
        <v>1194.42505228704</v>
      </c>
    </row>
    <row r="107" s="31" customFormat="true" ht="10.5" hidden="false" customHeight="true" outlineLevel="0" collapsed="false">
      <c r="U107" s="15" t="n">
        <f aca="false">+U106/U$29</f>
        <v>0.0971606565233018</v>
      </c>
      <c r="V107" s="15" t="n">
        <f aca="false">+V106/V$29</f>
        <v>0.117282127031019</v>
      </c>
      <c r="W107" s="15" t="n">
        <f aca="false">+W106/W$29</f>
        <v>0.121997471554994</v>
      </c>
      <c r="X107" s="15" t="n">
        <f aca="false">+X106/X$29</f>
        <v>0.109269203829092</v>
      </c>
      <c r="Y107" s="15" t="n">
        <f aca="false">+Y106/Y$29</f>
        <v>0.0831017316678374</v>
      </c>
      <c r="Z107" s="15" t="n">
        <f aca="false">+Z106/Z$29</f>
        <v>0.0851187335092348</v>
      </c>
      <c r="AA107" s="15" t="n">
        <f aca="false">+AA106/AA$29</f>
        <v>0.0777473780209758</v>
      </c>
      <c r="AB107" s="15" t="n">
        <f aca="false">+AB106/AB$29</f>
        <v>0.0715284715284715</v>
      </c>
      <c r="AC107" s="15" t="n">
        <f aca="false">+AC106/AC$29</f>
        <v>0.0865926869201383</v>
      </c>
      <c r="AD107" s="15" t="n">
        <f aca="false">+AD106/AD$29</f>
        <v>0.0825313978143859</v>
      </c>
      <c r="AE107" s="15" t="n">
        <f aca="false">+AE106/AE$29</f>
        <v>0.0914515681376631</v>
      </c>
      <c r="AF107" s="15" t="n">
        <f aca="false">+AF106/AF$29</f>
        <v>0.08</v>
      </c>
      <c r="AG107" s="15" t="n">
        <f aca="false">+AG106/AG$29</f>
        <v>0.085</v>
      </c>
      <c r="AH107" s="15" t="n">
        <f aca="false">+AH106/AH$29</f>
        <v>0.09</v>
      </c>
      <c r="AI107" s="15" t="n">
        <f aca="false">+AI106/AI$29</f>
        <v>0.09</v>
      </c>
      <c r="AJ107" s="15" t="n">
        <f aca="false">+AJ106/AJ$29</f>
        <v>0.09</v>
      </c>
      <c r="AR107" s="0"/>
      <c r="AS107" s="0"/>
      <c r="AT107" s="0"/>
      <c r="AU107" s="0"/>
      <c r="AV107" s="0"/>
    </row>
    <row r="108" customFormat="false" ht="12.8" hidden="false" customHeight="false" outlineLevel="0" collapsed="false">
      <c r="A108" s="3" t="s">
        <v>127</v>
      </c>
      <c r="E108" s="3" t="n">
        <v>36</v>
      </c>
      <c r="F108" s="3" t="n">
        <v>59</v>
      </c>
      <c r="G108" s="3" t="n">
        <v>48</v>
      </c>
      <c r="H108" s="3" t="n">
        <v>73</v>
      </c>
      <c r="I108" s="3" t="n">
        <v>62</v>
      </c>
      <c r="J108" s="3" t="n">
        <v>84</v>
      </c>
      <c r="K108" s="3" t="n">
        <v>60</v>
      </c>
      <c r="L108" s="3" t="n">
        <v>98</v>
      </c>
      <c r="M108" s="3" t="n">
        <v>54</v>
      </c>
      <c r="N108" s="3" t="n">
        <v>75</v>
      </c>
      <c r="O108" s="3" t="n">
        <v>63</v>
      </c>
      <c r="U108" s="3" t="n">
        <v>29.4</v>
      </c>
      <c r="V108" s="3" t="n">
        <v>50</v>
      </c>
      <c r="W108" s="3" t="n">
        <v>28</v>
      </c>
      <c r="X108" s="3" t="n">
        <v>13.2</v>
      </c>
      <c r="Y108" s="3" t="n">
        <v>21.2</v>
      </c>
      <c r="Z108" s="3" t="n">
        <v>42.6</v>
      </c>
      <c r="AA108" s="3" t="n">
        <v>30</v>
      </c>
      <c r="AB108" s="3" t="n">
        <v>33</v>
      </c>
      <c r="AC108" s="3" t="n">
        <v>36</v>
      </c>
      <c r="AD108" s="3" t="n">
        <v>62</v>
      </c>
      <c r="AE108" s="3" t="n">
        <v>54</v>
      </c>
    </row>
    <row r="109" customFormat="false" ht="12.8" hidden="false" customHeight="false" outlineLevel="0" collapsed="false">
      <c r="A109" s="3" t="s">
        <v>128</v>
      </c>
      <c r="E109" s="3" t="n">
        <v>3500</v>
      </c>
      <c r="F109" s="3" t="n">
        <v>3362</v>
      </c>
      <c r="G109" s="3" t="n">
        <v>3228</v>
      </c>
      <c r="H109" s="3" t="n">
        <v>3277</v>
      </c>
      <c r="I109" s="3" t="n">
        <v>3787</v>
      </c>
      <c r="J109" s="3" t="n">
        <v>3620</v>
      </c>
      <c r="K109" s="3" t="n">
        <v>3550</v>
      </c>
      <c r="L109" s="3" t="n">
        <v>3577</v>
      </c>
      <c r="M109" s="3" t="n">
        <v>4406</v>
      </c>
      <c r="N109" s="3" t="n">
        <v>4210</v>
      </c>
      <c r="O109" s="3" t="n">
        <v>4036</v>
      </c>
      <c r="U109" s="3" t="n">
        <v>1068.9</v>
      </c>
      <c r="V109" s="3" t="n">
        <v>1270.1</v>
      </c>
      <c r="W109" s="3" t="n">
        <v>1551.6</v>
      </c>
      <c r="X109" s="3" t="n">
        <v>1763.3</v>
      </c>
      <c r="Y109" s="3" t="n">
        <v>2176.1</v>
      </c>
      <c r="Z109" s="3" t="n">
        <v>2500.9</v>
      </c>
      <c r="AA109" s="3" t="n">
        <v>2863</v>
      </c>
      <c r="AB109" s="3" t="n">
        <v>3203</v>
      </c>
      <c r="AC109" s="3" t="n">
        <v>3500</v>
      </c>
      <c r="AD109" s="3" t="n">
        <v>3787</v>
      </c>
      <c r="AE109" s="3" t="n">
        <v>4406</v>
      </c>
      <c r="AF109" s="3" t="n">
        <f aca="false">+AF29*0.62</f>
        <v>5137.878</v>
      </c>
      <c r="AG109" s="3" t="n">
        <f aca="false">+AG29*0.62</f>
        <v>5857.18092</v>
      </c>
      <c r="AH109" s="3" t="n">
        <f aca="false">+AH29*0.62</f>
        <v>6618.6144396</v>
      </c>
      <c r="AI109" s="3" t="n">
        <f aca="false">+AI29*0.62</f>
        <v>7412.848172352</v>
      </c>
      <c r="AJ109" s="3" t="n">
        <f aca="false">+AJ29*0.62</f>
        <v>8228.26147131072</v>
      </c>
    </row>
    <row r="110" s="31" customFormat="true" ht="10.5" hidden="false" customHeight="true" outlineLevel="0" collapsed="false">
      <c r="U110" s="15" t="n">
        <f aca="false">+U109/U$29</f>
        <v>0.426859949682521</v>
      </c>
      <c r="V110" s="15" t="n">
        <f aca="false">+V109/V$29</f>
        <v>0.625356967011324</v>
      </c>
      <c r="W110" s="15" t="n">
        <f aca="false">+W109/W$29</f>
        <v>0.754449090732277</v>
      </c>
      <c r="X110" s="15" t="n">
        <f aca="false">+X109/X$29</f>
        <v>0.686162347264379</v>
      </c>
      <c r="Y110" s="15" t="n">
        <f aca="false">+Y109/Y$29</f>
        <v>0.664600067189934</v>
      </c>
      <c r="Z110" s="15" t="n">
        <f aca="false">+Z109/Z$29</f>
        <v>0.659868073878628</v>
      </c>
      <c r="AA110" s="15" t="n">
        <f aca="false">+AA109/AA$29</f>
        <v>0.652758777929777</v>
      </c>
      <c r="AB110" s="15" t="n">
        <f aca="false">+AB109/AB$29</f>
        <v>0.63996003996004</v>
      </c>
      <c r="AC110" s="15" t="n">
        <f aca="false">+AC109/AC$29</f>
        <v>0.636710933236311</v>
      </c>
      <c r="AD110" s="15" t="n">
        <f aca="false">+AD109/AD$29</f>
        <v>0.617680639373675</v>
      </c>
      <c r="AE110" s="15" t="n">
        <f aca="false">+AE109/AE$29</f>
        <v>0.611434915348321</v>
      </c>
      <c r="AF110" s="15" t="n">
        <f aca="false">+AF109/AF$29</f>
        <v>0.62</v>
      </c>
      <c r="AG110" s="15" t="n">
        <f aca="false">+AG109/AG$29</f>
        <v>0.62</v>
      </c>
      <c r="AH110" s="15" t="n">
        <f aca="false">+AH109/AH$29</f>
        <v>0.62</v>
      </c>
      <c r="AI110" s="15" t="n">
        <f aca="false">+AI109/AI$29</f>
        <v>0.62</v>
      </c>
      <c r="AJ110" s="15" t="n">
        <f aca="false">+AJ109/AJ$29</f>
        <v>0.62</v>
      </c>
      <c r="AR110" s="0"/>
      <c r="AS110" s="0"/>
      <c r="AT110" s="0"/>
      <c r="AU110" s="0"/>
      <c r="AV110" s="0"/>
    </row>
    <row r="111" customFormat="false" ht="12.8" hidden="false" customHeight="false" outlineLevel="0" collapsed="false">
      <c r="A111" s="3" t="s">
        <v>6</v>
      </c>
      <c r="E111" s="3" t="n">
        <f aca="false">+0+2284</f>
        <v>2284</v>
      </c>
      <c r="F111" s="3" t="n">
        <v>2285</v>
      </c>
      <c r="G111" s="3" t="n">
        <f aca="false">+300+1986</f>
        <v>2286</v>
      </c>
      <c r="H111" s="3" t="n">
        <f aca="false">+300+1986</f>
        <v>2286</v>
      </c>
      <c r="I111" s="3" t="n">
        <f aca="false">+300+1987</f>
        <v>2287</v>
      </c>
      <c r="J111" s="3" t="n">
        <f aca="false">+300+1988</f>
        <v>2288</v>
      </c>
      <c r="K111" s="3" t="n">
        <f aca="false">+56+2481</f>
        <v>2537</v>
      </c>
      <c r="L111" s="3" t="n">
        <f aca="false">+57+2482</f>
        <v>2539</v>
      </c>
      <c r="M111" s="3" t="n">
        <v>2483</v>
      </c>
      <c r="N111" s="3" t="n">
        <v>2484</v>
      </c>
      <c r="O111" s="3" t="n">
        <f aca="false">+994+499+1985</f>
        <v>3478</v>
      </c>
      <c r="U111" s="3" t="n">
        <f aca="false">+0+1487.7</f>
        <v>1487.7</v>
      </c>
      <c r="V111" s="3" t="n">
        <f aca="false">+398.7+1092</f>
        <v>1490.7</v>
      </c>
      <c r="W111" s="3" t="n">
        <v>1586</v>
      </c>
      <c r="X111" s="3" t="n">
        <v>2087.7</v>
      </c>
      <c r="Y111" s="3" t="n">
        <f aca="false">+449.7+1635.1</f>
        <v>2084.8</v>
      </c>
      <c r="AA111" s="3" t="n">
        <f aca="false">+350+2278</f>
        <v>2628</v>
      </c>
      <c r="AB111" s="3" t="n">
        <f aca="false">+0+2281</f>
        <v>2281</v>
      </c>
      <c r="AC111" s="3" t="n">
        <f aca="false">+0+2284</f>
        <v>2284</v>
      </c>
      <c r="AD111" s="3" t="n">
        <f aca="false">+300+1987</f>
        <v>2287</v>
      </c>
      <c r="AE111" s="3" t="n">
        <v>2483</v>
      </c>
    </row>
    <row r="112" customFormat="false" ht="12.8" hidden="false" customHeight="false" outlineLevel="0" collapsed="false">
      <c r="A112" s="3" t="s">
        <v>129</v>
      </c>
      <c r="E112" s="3" t="n">
        <v>67</v>
      </c>
      <c r="F112" s="3" t="n">
        <v>66</v>
      </c>
      <c r="G112" s="3" t="n">
        <v>67</v>
      </c>
      <c r="H112" s="3" t="n">
        <v>60</v>
      </c>
      <c r="I112" s="3" t="n">
        <v>58</v>
      </c>
      <c r="J112" s="3" t="n">
        <v>57</v>
      </c>
      <c r="K112" s="3" t="n">
        <v>0</v>
      </c>
      <c r="L112" s="3" t="n">
        <v>0</v>
      </c>
      <c r="M112" s="3" t="n">
        <v>52</v>
      </c>
      <c r="N112" s="3" t="n">
        <v>53</v>
      </c>
      <c r="O112" s="3" t="n">
        <v>52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48.1</v>
      </c>
      <c r="Z112" s="3" t="n">
        <v>71.5</v>
      </c>
      <c r="AA112" s="3" t="n">
        <v>87</v>
      </c>
      <c r="AB112" s="3" t="n">
        <v>85</v>
      </c>
      <c r="AC112" s="3" t="n">
        <v>67</v>
      </c>
      <c r="AD112" s="3" t="n">
        <v>58</v>
      </c>
      <c r="AE112" s="3" t="n">
        <v>52</v>
      </c>
      <c r="AF112" s="3" t="n">
        <f aca="false">+AF29*0.007</f>
        <v>58.0083</v>
      </c>
      <c r="AG112" s="3" t="n">
        <f aca="false">+AG29*0.007</f>
        <v>66.129462</v>
      </c>
      <c r="AH112" s="3" t="n">
        <f aca="false">+AH29*0.007</f>
        <v>74.72629206</v>
      </c>
      <c r="AI112" s="3" t="n">
        <f aca="false">+AI29*0.007</f>
        <v>83.6934471072</v>
      </c>
      <c r="AJ112" s="3" t="n">
        <f aca="false">+AJ29*0.007</f>
        <v>92.899726288992</v>
      </c>
    </row>
    <row r="113" s="31" customFormat="true" ht="10.5" hidden="false" customHeight="true" outlineLevel="0" collapsed="false">
      <c r="U113" s="15" t="n">
        <f aca="false">+U112/U$29</f>
        <v>0</v>
      </c>
      <c r="V113" s="15" t="n">
        <f aca="false">+V112/V$29</f>
        <v>0</v>
      </c>
      <c r="W113" s="15" t="n">
        <f aca="false">+W112/W$29</f>
        <v>0</v>
      </c>
      <c r="X113" s="15" t="n">
        <f aca="false">+X112/X$29</f>
        <v>0</v>
      </c>
      <c r="Y113" s="15" t="n">
        <f aca="false">+Y112/Y$29</f>
        <v>0.0146901627828849</v>
      </c>
      <c r="Z113" s="15" t="n">
        <f aca="false">+Z112/Z$29</f>
        <v>0.0188654353562005</v>
      </c>
      <c r="AA113" s="15" t="n">
        <f aca="false">+AA112/AA$29</f>
        <v>0.0198358413132695</v>
      </c>
      <c r="AB113" s="15" t="n">
        <f aca="false">+AB112/AB$29</f>
        <v>0.016983016983017</v>
      </c>
      <c r="AC113" s="15" t="n">
        <f aca="false">+AC112/AC$29</f>
        <v>0.0121884664362379</v>
      </c>
      <c r="AD113" s="15" t="n">
        <f aca="false">+AD112/AD$29</f>
        <v>0.00946012069809167</v>
      </c>
      <c r="AE113" s="15" t="n">
        <f aca="false">+AE112/AE$29</f>
        <v>0.00721620871495976</v>
      </c>
      <c r="AF113" s="15" t="n">
        <f aca="false">+AF112/AF$29</f>
        <v>0.007</v>
      </c>
      <c r="AG113" s="15" t="n">
        <f aca="false">+AG112/AG$29</f>
        <v>0.007</v>
      </c>
      <c r="AH113" s="15" t="n">
        <f aca="false">+AH112/AH$29</f>
        <v>0.007</v>
      </c>
      <c r="AI113" s="15" t="n">
        <f aca="false">+AI112/AI$29</f>
        <v>0.007</v>
      </c>
      <c r="AJ113" s="15" t="n">
        <f aca="false">+AJ112/AJ$29</f>
        <v>0.007</v>
      </c>
      <c r="AR113" s="0"/>
      <c r="AS113" s="0"/>
      <c r="AT113" s="0"/>
      <c r="AU113" s="0"/>
      <c r="AV113" s="0"/>
    </row>
    <row r="114" customFormat="false" ht="12.8" hidden="false" customHeight="false" outlineLevel="0" collapsed="false">
      <c r="A114" s="3" t="s">
        <v>130</v>
      </c>
      <c r="E114" s="3" t="n">
        <v>172</v>
      </c>
      <c r="F114" s="3" t="n">
        <v>121</v>
      </c>
      <c r="G114" s="3" t="n">
        <v>159</v>
      </c>
      <c r="H114" s="3" t="n">
        <v>147</v>
      </c>
      <c r="I114" s="3" t="n">
        <v>196</v>
      </c>
      <c r="J114" s="3" t="n">
        <v>182</v>
      </c>
      <c r="K114" s="3" t="n">
        <v>188</v>
      </c>
      <c r="L114" s="3" t="n">
        <v>177</v>
      </c>
      <c r="M114" s="3" t="n">
        <v>215</v>
      </c>
      <c r="N114" s="3" t="n">
        <v>139</v>
      </c>
      <c r="O114" s="3" t="n">
        <v>173</v>
      </c>
      <c r="U114" s="3" t="n">
        <v>129.5</v>
      </c>
      <c r="V114" s="3" t="n">
        <v>134.9</v>
      </c>
      <c r="W114" s="3" t="n">
        <v>198</v>
      </c>
      <c r="X114" s="3" t="n">
        <v>142.3</v>
      </c>
      <c r="Y114" s="3" t="n">
        <v>168.3</v>
      </c>
      <c r="Z114" s="3" t="n">
        <f aca="false">+0+1637.2</f>
        <v>1637.2</v>
      </c>
      <c r="AA114" s="3" t="n">
        <v>217</v>
      </c>
      <c r="AB114" s="3" t="n">
        <v>219</v>
      </c>
      <c r="AC114" s="3" t="n">
        <v>172</v>
      </c>
      <c r="AD114" s="3" t="n">
        <v>196</v>
      </c>
      <c r="AE114" s="3" t="n">
        <v>215</v>
      </c>
      <c r="AF114" s="3" t="n">
        <f aca="false">+AF29*0.03</f>
        <v>248.607</v>
      </c>
      <c r="AG114" s="3" t="n">
        <f aca="false">+AG29*0.03</f>
        <v>283.41198</v>
      </c>
      <c r="AH114" s="3" t="n">
        <f aca="false">+AH29*0.03</f>
        <v>320.2555374</v>
      </c>
      <c r="AI114" s="3" t="n">
        <f aca="false">+AI29*0.03</f>
        <v>358.686201888</v>
      </c>
      <c r="AJ114" s="3" t="n">
        <f aca="false">+AJ29*0.03</f>
        <v>398.14168409568</v>
      </c>
    </row>
    <row r="115" s="15" customFormat="true" ht="10.5" hidden="false" customHeight="true" outlineLevel="0" collapsed="false">
      <c r="B115" s="15" t="n">
        <f aca="false">+B114/B$29</f>
        <v>0</v>
      </c>
      <c r="C115" s="15" t="n">
        <f aca="false">+C114/C$29</f>
        <v>0</v>
      </c>
      <c r="D115" s="15" t="n">
        <f aca="false">+D114/D$29</f>
        <v>0</v>
      </c>
      <c r="E115" s="15" t="n">
        <f aca="false">+E114/E$29</f>
        <v>0.117086453369639</v>
      </c>
      <c r="F115" s="15" t="n">
        <f aca="false">+F114/F$29</f>
        <v>0.0853916725476359</v>
      </c>
      <c r="G115" s="15" t="n">
        <f aca="false">+G114/G$29</f>
        <v>0.105647840531561</v>
      </c>
      <c r="H115" s="15" t="n">
        <f aca="false">+H114/H$29</f>
        <v>0.0936305732484076</v>
      </c>
      <c r="I115" s="15" t="n">
        <f aca="false">+I114/I$29</f>
        <v>0.119585112873703</v>
      </c>
      <c r="J115" s="15" t="n">
        <f aca="false">+J114/J$29</f>
        <v>0.111451316595224</v>
      </c>
      <c r="K115" s="15" t="n">
        <f aca="false">+K114/K$29</f>
        <v>0.106636415201361</v>
      </c>
      <c r="L115" s="15" t="n">
        <f aca="false">+L114/L$29</f>
        <v>0.0955207771181867</v>
      </c>
      <c r="M115" s="15" t="n">
        <f aca="false">+M114/M$29</f>
        <v>0.109862033725089</v>
      </c>
      <c r="N115" s="15" t="n">
        <f aca="false">+N114/N$29</f>
        <v>0.0718717683557394</v>
      </c>
      <c r="O115" s="15" t="n">
        <f aca="false">+O114/O$29</f>
        <v>0.08455522971652</v>
      </c>
      <c r="U115" s="15" t="n">
        <f aca="false">+U114/U$29</f>
        <v>0.0517151870931672</v>
      </c>
      <c r="V115" s="15" t="n">
        <f aca="false">+V114/V$29</f>
        <v>0.0664204825209257</v>
      </c>
      <c r="W115" s="15" t="n">
        <f aca="false">+W114/W$29</f>
        <v>0.0962754060099193</v>
      </c>
      <c r="X115" s="15" t="n">
        <f aca="false">+X114/X$29</f>
        <v>0.0553739590629621</v>
      </c>
      <c r="Y115" s="15" t="n">
        <f aca="false">+Y114/Y$29</f>
        <v>0.0514002993006139</v>
      </c>
      <c r="Z115" s="15" t="n">
        <f aca="false">+Z114/Z$29</f>
        <v>0.43197889182058</v>
      </c>
      <c r="AA115" s="15" t="n">
        <f aca="false">+AA114/AA$29</f>
        <v>0.0494756041951664</v>
      </c>
      <c r="AB115" s="15" t="n">
        <f aca="false">+AB114/AB$29</f>
        <v>0.0437562437562438</v>
      </c>
      <c r="AC115" s="15" t="n">
        <f aca="false">+AC114/AC$29</f>
        <v>0.0312897944333273</v>
      </c>
      <c r="AD115" s="15" t="n">
        <f aca="false">+AD114/AD$29</f>
        <v>0.0319686837383787</v>
      </c>
      <c r="AE115" s="15" t="n">
        <f aca="false">+AE114/AE$29</f>
        <v>0.0298362475714682</v>
      </c>
      <c r="AF115" s="15" t="n">
        <f aca="false">+AF114/AF$29</f>
        <v>0.03</v>
      </c>
      <c r="AG115" s="15" t="n">
        <f aca="false">+AG114/AG$29</f>
        <v>0.03</v>
      </c>
      <c r="AH115" s="15" t="n">
        <f aca="false">+AH114/AH$29</f>
        <v>0.03</v>
      </c>
      <c r="AI115" s="15" t="n">
        <f aca="false">+AI114/AI$29</f>
        <v>0.03</v>
      </c>
      <c r="AJ115" s="15" t="n">
        <f aca="false">+AJ114/AJ$29</f>
        <v>0.03</v>
      </c>
      <c r="AR115" s="0"/>
      <c r="AS115" s="0"/>
      <c r="AT115" s="0"/>
      <c r="AU115" s="0"/>
      <c r="AV115" s="0"/>
    </row>
    <row r="116" customFormat="false" ht="12.8" hidden="false" customHeight="false" outlineLevel="0" collapsed="false">
      <c r="A116" s="3" t="s">
        <v>131</v>
      </c>
      <c r="E116" s="3" t="n">
        <v>764</v>
      </c>
      <c r="F116" s="3" t="n">
        <v>600</v>
      </c>
      <c r="G116" s="3" t="n">
        <v>464</v>
      </c>
      <c r="H116" s="3" t="n">
        <v>381</v>
      </c>
      <c r="I116" s="3" t="n">
        <v>341</v>
      </c>
      <c r="J116" s="3" t="n">
        <v>309</v>
      </c>
      <c r="K116" s="3" t="n">
        <v>294</v>
      </c>
      <c r="L116" s="3" t="n">
        <v>269</v>
      </c>
      <c r="M116" s="3" t="n">
        <v>287</v>
      </c>
      <c r="N116" s="3" t="n">
        <v>247</v>
      </c>
      <c r="O116" s="3" t="n">
        <v>222</v>
      </c>
      <c r="U116" s="3" t="n">
        <v>450.3</v>
      </c>
      <c r="V116" s="3" t="n">
        <v>517.9</v>
      </c>
      <c r="W116" s="3" t="n">
        <v>403.5</v>
      </c>
      <c r="X116" s="3" t="n">
        <v>328.1</v>
      </c>
      <c r="Y116" s="3" t="n">
        <v>831</v>
      </c>
      <c r="Z116" s="3" t="n">
        <v>859.3</v>
      </c>
      <c r="AA116" s="3" t="n">
        <v>927</v>
      </c>
      <c r="AB116" s="3" t="n">
        <v>1377</v>
      </c>
      <c r="AC116" s="3" t="n">
        <v>764</v>
      </c>
      <c r="AD116" s="3" t="n">
        <v>341</v>
      </c>
      <c r="AE116" s="3" t="n">
        <v>287</v>
      </c>
    </row>
    <row r="117" customFormat="false" ht="12.8" hidden="false" customHeight="false" outlineLevel="0" collapsed="false">
      <c r="A117" s="3" t="s">
        <v>132</v>
      </c>
      <c r="E117" s="3" t="n">
        <v>275</v>
      </c>
      <c r="F117" s="3" t="n">
        <v>263</v>
      </c>
      <c r="G117" s="3" t="n">
        <v>250</v>
      </c>
      <c r="H117" s="3" t="n">
        <v>232</v>
      </c>
      <c r="I117" s="3" t="n">
        <v>214</v>
      </c>
      <c r="J117" s="3" t="n">
        <v>199</v>
      </c>
      <c r="K117" s="3" t="n">
        <v>197</v>
      </c>
      <c r="L117" s="3" t="n">
        <v>195</v>
      </c>
      <c r="M117" s="3" t="n">
        <v>199</v>
      </c>
      <c r="N117" s="3" t="n">
        <v>187</v>
      </c>
      <c r="O117" s="3" t="n">
        <v>175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411.7</v>
      </c>
      <c r="Z117" s="3" t="n">
        <v>396</v>
      </c>
      <c r="AA117" s="3" t="n">
        <v>346</v>
      </c>
      <c r="AB117" s="3" t="n">
        <v>300</v>
      </c>
      <c r="AC117" s="3" t="n">
        <v>275</v>
      </c>
      <c r="AD117" s="3" t="n">
        <v>214</v>
      </c>
      <c r="AE117" s="3" t="n">
        <v>199</v>
      </c>
    </row>
    <row r="118" customFormat="false" ht="12.8" hidden="false" customHeight="false" outlineLevel="0" collapsed="false">
      <c r="A118" s="3" t="s">
        <v>133</v>
      </c>
      <c r="E118" s="3" t="n">
        <v>168</v>
      </c>
      <c r="F118" s="3" t="n">
        <v>178</v>
      </c>
      <c r="G118" s="3" t="n">
        <v>183</v>
      </c>
      <c r="H118" s="3" t="n">
        <v>192</v>
      </c>
      <c r="I118" s="3" t="n">
        <v>200</v>
      </c>
      <c r="J118" s="3" t="n">
        <v>206</v>
      </c>
      <c r="K118" s="3" t="n">
        <v>210</v>
      </c>
      <c r="L118" s="3" t="n">
        <v>216</v>
      </c>
      <c r="M118" s="3" t="n">
        <v>181</v>
      </c>
      <c r="N118" s="3" t="n">
        <v>186</v>
      </c>
      <c r="O118" s="3" t="n">
        <v>203</v>
      </c>
      <c r="U118" s="3" t="n">
        <v>67.7</v>
      </c>
      <c r="V118" s="3" t="n">
        <v>91.5</v>
      </c>
      <c r="W118" s="3" t="n">
        <v>66.6</v>
      </c>
      <c r="X118" s="3" t="n">
        <v>79.8</v>
      </c>
      <c r="Y118" s="3" t="n">
        <v>19.1</v>
      </c>
      <c r="Z118" s="3" t="n">
        <v>15.9</v>
      </c>
      <c r="AA118" s="3" t="n">
        <v>20</v>
      </c>
      <c r="AB118" s="3" t="n">
        <v>164</v>
      </c>
      <c r="AC118" s="3" t="n">
        <v>168</v>
      </c>
      <c r="AD118" s="3" t="n">
        <v>200</v>
      </c>
      <c r="AE118" s="3" t="n">
        <v>181</v>
      </c>
    </row>
    <row r="119" customFormat="false" ht="12.8" hidden="false" customHeight="false" outlineLevel="0" collapsed="false">
      <c r="A119" s="3" t="s">
        <v>134</v>
      </c>
      <c r="E119" s="3" t="n">
        <v>25</v>
      </c>
      <c r="F119" s="3" t="n">
        <v>42</v>
      </c>
      <c r="G119" s="3" t="n">
        <v>36</v>
      </c>
      <c r="H119" s="3" t="n">
        <v>35</v>
      </c>
      <c r="I119" s="3" t="n">
        <v>32</v>
      </c>
      <c r="J119" s="3" t="n">
        <v>31</v>
      </c>
      <c r="K119" s="3" t="n">
        <v>30</v>
      </c>
      <c r="L119" s="3" t="n">
        <v>27</v>
      </c>
      <c r="M119" s="3" t="n">
        <v>40</v>
      </c>
      <c r="N119" s="3" t="n">
        <v>45</v>
      </c>
      <c r="O119" s="3" t="n">
        <v>53</v>
      </c>
      <c r="U119" s="3" t="n">
        <v>161.4</v>
      </c>
      <c r="V119" s="3" t="n">
        <v>39.3</v>
      </c>
      <c r="W119" s="3" t="n">
        <v>41.6</v>
      </c>
      <c r="X119" s="3" t="n">
        <v>21.5</v>
      </c>
      <c r="Y119" s="3" t="n">
        <v>82.5</v>
      </c>
      <c r="Z119" s="3" t="n">
        <v>11.4</v>
      </c>
      <c r="AA119" s="3" t="n">
        <v>29</v>
      </c>
      <c r="AB119" s="3" t="n">
        <v>32</v>
      </c>
      <c r="AC119" s="3" t="n">
        <v>25</v>
      </c>
      <c r="AD119" s="3" t="n">
        <v>1987</v>
      </c>
      <c r="AE119" s="3" t="n">
        <v>40</v>
      </c>
    </row>
    <row r="120" customFormat="false" ht="12.8" hidden="false" customHeight="false" outlineLevel="0" collapsed="false">
      <c r="A120" s="3" t="s">
        <v>135</v>
      </c>
      <c r="E120" s="3" t="n">
        <v>190</v>
      </c>
      <c r="F120" s="3" t="n">
        <v>204</v>
      </c>
      <c r="G120" s="3" t="n">
        <v>230</v>
      </c>
      <c r="H120" s="3" t="n">
        <v>223</v>
      </c>
      <c r="I120" s="3" t="n">
        <v>287</v>
      </c>
      <c r="J120" s="3" t="n">
        <v>316</v>
      </c>
      <c r="K120" s="3" t="n">
        <v>363</v>
      </c>
      <c r="L120" s="3" t="n">
        <v>381</v>
      </c>
      <c r="M120" s="3" t="n">
        <v>424</v>
      </c>
      <c r="N120" s="3" t="n">
        <v>354</v>
      </c>
      <c r="O120" s="3" t="n">
        <v>334</v>
      </c>
      <c r="U120" s="3" t="n">
        <v>137.6</v>
      </c>
      <c r="V120" s="3" t="n">
        <v>138.4</v>
      </c>
      <c r="W120" s="3" t="n">
        <v>148.7</v>
      </c>
      <c r="X120" s="3" t="n">
        <v>121.8</v>
      </c>
      <c r="Y120" s="3" t="n">
        <v>119.8</v>
      </c>
      <c r="Z120" s="3" t="n">
        <v>139.8</v>
      </c>
      <c r="AA120" s="3" t="n">
        <v>149</v>
      </c>
      <c r="AB120" s="3" t="n">
        <v>139</v>
      </c>
      <c r="AC120" s="3" t="n">
        <v>190</v>
      </c>
      <c r="AD120" s="3" t="n">
        <v>287</v>
      </c>
      <c r="AE120" s="3" t="n">
        <v>424</v>
      </c>
    </row>
    <row r="121" customFormat="false" ht="12.8" hidden="false" customHeight="false" outlineLevel="0" collapsed="false">
      <c r="A121" s="3" t="s">
        <v>136</v>
      </c>
      <c r="B121" s="3" t="n">
        <f aca="false">+SUM(B105:B120)</f>
        <v>0</v>
      </c>
      <c r="C121" s="3" t="n">
        <f aca="false">+SUM(C105:C120)</f>
        <v>0</v>
      </c>
      <c r="D121" s="3" t="n">
        <f aca="false">+SUM(D105:D120)</f>
        <v>0</v>
      </c>
      <c r="E121" s="3" t="n">
        <f aca="false">+SUM(E105:E120)</f>
        <v>8057.11708645337</v>
      </c>
      <c r="F121" s="3" t="n">
        <f aca="false">+SUM(F105:F120)</f>
        <v>7669.08539167255</v>
      </c>
      <c r="G121" s="3" t="n">
        <f aca="false">+SUM(G105:G120)</f>
        <v>7486.10564784053</v>
      </c>
      <c r="H121" s="3" t="n">
        <f aca="false">+SUM(H105:H120)</f>
        <v>7517.09363057325</v>
      </c>
      <c r="I121" s="3" t="n">
        <f aca="false">+SUM(I105:I120)</f>
        <v>8212.11958511287</v>
      </c>
      <c r="J121" s="3" t="n">
        <f aca="false">+SUM(J105:J120)</f>
        <v>7968.1114513166</v>
      </c>
      <c r="K121" s="3" t="n">
        <f aca="false">+SUM(K105:K120)</f>
        <v>8141.1066364152</v>
      </c>
      <c r="L121" s="3" t="n">
        <f aca="false">+SUM(L105:L120)</f>
        <v>8305.09552077712</v>
      </c>
      <c r="M121" s="3" t="n">
        <f aca="false">+SUM(M105:M120)</f>
        <v>9422.10986203373</v>
      </c>
      <c r="N121" s="3" t="n">
        <f aca="false">+SUM(N105:N120)</f>
        <v>8743.07187176836</v>
      </c>
      <c r="O121" s="3" t="n">
        <f aca="false">+SUM(O105:O120)</f>
        <v>9600.08455522972</v>
      </c>
      <c r="U121" s="3" t="n">
        <f aca="false">+SUM(U105:U120)-U115-U113-U110-U107</f>
        <v>3895.7</v>
      </c>
      <c r="V121" s="3" t="n">
        <f aca="false">+SUM(V105:V120)-V115-V113-V110-V107</f>
        <v>4064.5</v>
      </c>
      <c r="W121" s="3" t="n">
        <f aca="false">+SUM(W105:W120)-W115-W113-W110-W107</f>
        <v>4369.6</v>
      </c>
      <c r="X121" s="3" t="n">
        <f aca="false">+SUM(X105:X120)-X115-X113-X110-X107</f>
        <v>4940.1</v>
      </c>
      <c r="Y121" s="3" t="n">
        <f aca="false">+SUM(Y105:Y120)-Y115-Y113-Y110-Y107</f>
        <v>6318.4</v>
      </c>
      <c r="Z121" s="3" t="n">
        <f aca="false">+SUM(Z105:Z120)-Z115-Z113-Z110-Z107</f>
        <v>6119.7</v>
      </c>
      <c r="AA121" s="3" t="n">
        <f aca="false">+SUM(AA105:AA120)-AA115-AA113-AA110-AA107</f>
        <v>7758</v>
      </c>
      <c r="AB121" s="3" t="n">
        <f aca="false">+SUM(AB105:AB120)-AB115-AB113-AB110-AB107</f>
        <v>8293</v>
      </c>
      <c r="AC121" s="3" t="n">
        <f aca="false">+SUM(AC105:AC120)-AC115-AC113-AC110-AC107</f>
        <v>8057</v>
      </c>
      <c r="AD121" s="3" t="n">
        <f aca="false">+SUM(AD105:AD120)-AD115-AD113-AD110-AD107</f>
        <v>10167</v>
      </c>
      <c r="AE121" s="3" t="n">
        <f aca="false">+SUM(AE105:AE120)-AE115-AE113-AE110-AE107</f>
        <v>9422</v>
      </c>
    </row>
    <row r="122" customFormat="false" ht="12.8" hidden="false" customHeight="false" outlineLevel="0" collapsed="false">
      <c r="A122" s="3" t="s">
        <v>137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</row>
    <row r="123" customFormat="false" ht="12.8" hidden="false" customHeight="false" outlineLevel="0" collapsed="false">
      <c r="A123" s="3" t="s">
        <v>138</v>
      </c>
      <c r="E123" s="3" t="n">
        <v>3802</v>
      </c>
      <c r="F123" s="3" t="n">
        <v>3894</v>
      </c>
      <c r="G123" s="3" t="n">
        <v>4009</v>
      </c>
      <c r="H123" s="3" t="n">
        <v>4100</v>
      </c>
      <c r="I123" s="3" t="n">
        <v>4239</v>
      </c>
      <c r="J123" s="3" t="n">
        <v>43324</v>
      </c>
      <c r="K123" s="3" t="n">
        <v>4456</v>
      </c>
      <c r="L123" s="3" t="n">
        <v>4588</v>
      </c>
      <c r="M123" s="3" t="n">
        <v>4709</v>
      </c>
      <c r="N123" s="3" t="n">
        <v>4726</v>
      </c>
      <c r="O123" s="3" t="n">
        <v>4846</v>
      </c>
      <c r="U123" s="3" t="n">
        <v>1821.5</v>
      </c>
      <c r="V123" s="3" t="n">
        <v>1876.3</v>
      </c>
      <c r="W123" s="3" t="n">
        <v>1952.7</v>
      </c>
      <c r="X123" s="3" t="n">
        <v>2071.5</v>
      </c>
      <c r="Y123" s="3" t="n">
        <v>2317</v>
      </c>
      <c r="Z123" s="3" t="n">
        <v>2578.9</v>
      </c>
      <c r="AA123" s="3" t="n">
        <v>2923</v>
      </c>
      <c r="AB123" s="3" t="n">
        <v>3325</v>
      </c>
      <c r="AC123" s="3" t="n">
        <v>3802</v>
      </c>
      <c r="AD123" s="3" t="n">
        <v>4239</v>
      </c>
      <c r="AE123" s="3" t="n">
        <v>4709</v>
      </c>
    </row>
    <row r="124" customFormat="false" ht="12.8" hidden="false" customHeight="false" outlineLevel="0" collapsed="false">
      <c r="A124" s="3" t="s">
        <v>139</v>
      </c>
      <c r="E124" s="3" t="n">
        <v>-234</v>
      </c>
      <c r="F124" s="3" t="n">
        <v>-263</v>
      </c>
      <c r="G124" s="3" t="n">
        <v>-249</v>
      </c>
      <c r="H124" s="3" t="n">
        <v>-260</v>
      </c>
      <c r="I124" s="3" t="n">
        <v>-285</v>
      </c>
      <c r="J124" s="3" t="n">
        <v>-248</v>
      </c>
      <c r="K124" s="3" t="n">
        <v>-254</v>
      </c>
      <c r="L124" s="3" t="n">
        <v>-263</v>
      </c>
      <c r="M124" s="3" t="n">
        <v>-232</v>
      </c>
      <c r="N124" s="3" t="n">
        <v>-234</v>
      </c>
      <c r="O124" s="3" t="n">
        <v>-233</v>
      </c>
      <c r="U124" s="3" t="n">
        <v>-121.1</v>
      </c>
      <c r="V124" s="3" t="n">
        <v>-178.5</v>
      </c>
      <c r="W124" s="3" t="n">
        <v>-123.8</v>
      </c>
      <c r="X124" s="3" t="n">
        <v>-135</v>
      </c>
      <c r="Y124" s="3" t="n">
        <v>-160.3</v>
      </c>
      <c r="Z124" s="3" t="n">
        <v>-125.9</v>
      </c>
      <c r="AA124" s="3" t="n">
        <v>-124</v>
      </c>
      <c r="AB124" s="3" t="n">
        <v>-185</v>
      </c>
      <c r="AC124" s="3" t="n">
        <v>-234</v>
      </c>
      <c r="AD124" s="3" t="n">
        <v>-285</v>
      </c>
      <c r="AE124" s="3" t="n">
        <v>-232</v>
      </c>
    </row>
    <row r="125" customFormat="false" ht="12.8" hidden="false" customHeight="false" outlineLevel="0" collapsed="false">
      <c r="A125" s="3" t="s">
        <v>140</v>
      </c>
      <c r="E125" s="3" t="n">
        <v>-1713</v>
      </c>
      <c r="F125" s="3" t="n">
        <v>-1470</v>
      </c>
      <c r="G125" s="3" t="n">
        <v>-1286</v>
      </c>
      <c r="H125" s="3" t="n">
        <v>-1224</v>
      </c>
      <c r="I125" s="3" t="n">
        <v>-1333</v>
      </c>
      <c r="J125" s="3" t="n">
        <v>-1459</v>
      </c>
      <c r="K125" s="3" t="n">
        <v>-1487</v>
      </c>
      <c r="L125" s="3" t="n">
        <v>-1432</v>
      </c>
      <c r="M125" s="3" t="n">
        <v>-1432</v>
      </c>
      <c r="N125" s="3" t="n">
        <v>-1303</v>
      </c>
      <c r="O125" s="3" t="n">
        <v>-1230</v>
      </c>
      <c r="U125" s="3" t="n">
        <v>-80.8</v>
      </c>
      <c r="V125" s="3" t="n">
        <v>-964.2</v>
      </c>
      <c r="W125" s="3" t="n">
        <v>-2084.9</v>
      </c>
      <c r="X125" s="3" t="n">
        <v>-2147.4</v>
      </c>
      <c r="Y125" s="3" t="n">
        <v>-2295.8</v>
      </c>
      <c r="Z125" s="3" t="n">
        <v>-1487.5</v>
      </c>
      <c r="AA125" s="3" t="n">
        <v>-1950</v>
      </c>
      <c r="AB125" s="3" t="n">
        <v>-1995</v>
      </c>
      <c r="AC125" s="3" t="n">
        <v>-1713</v>
      </c>
      <c r="AD125" s="3" t="n">
        <v>-1333</v>
      </c>
      <c r="AE125" s="3" t="n">
        <v>-1432</v>
      </c>
    </row>
    <row r="126" customFormat="false" ht="12.8" hidden="false" customHeight="false" outlineLevel="0" collapsed="false">
      <c r="A126" s="3" t="s">
        <v>141</v>
      </c>
      <c r="B126" s="3" t="n">
        <f aca="false">+SUM(B122:B125)</f>
        <v>0</v>
      </c>
      <c r="C126" s="3" t="n">
        <f aca="false">+SUM(C122:C125)</f>
        <v>0</v>
      </c>
      <c r="D126" s="3" t="n">
        <f aca="false">+SUM(D122:D125)</f>
        <v>0</v>
      </c>
      <c r="E126" s="3" t="n">
        <f aca="false">+SUM(E122:E125)</f>
        <v>1855</v>
      </c>
      <c r="F126" s="3" t="n">
        <f aca="false">+SUM(F122:F125)</f>
        <v>2161</v>
      </c>
      <c r="G126" s="3" t="n">
        <f aca="false">+SUM(G122:G125)</f>
        <v>2474</v>
      </c>
      <c r="H126" s="3" t="n">
        <f aca="false">+SUM(H122:H125)</f>
        <v>2616</v>
      </c>
      <c r="I126" s="3" t="n">
        <f aca="false">+SUM(I122:I125)</f>
        <v>2621</v>
      </c>
      <c r="J126" s="3" t="n">
        <f aca="false">+SUM(J122:J125)</f>
        <v>41617</v>
      </c>
      <c r="K126" s="3" t="n">
        <f aca="false">+SUM(K122:K125)</f>
        <v>2715</v>
      </c>
      <c r="L126" s="3" t="n">
        <f aca="false">+SUM(L122:L125)</f>
        <v>2893</v>
      </c>
      <c r="M126" s="3" t="n">
        <f aca="false">+SUM(M122:M125)</f>
        <v>3045</v>
      </c>
      <c r="N126" s="3" t="n">
        <f aca="false">+SUM(N122:N125)</f>
        <v>3189</v>
      </c>
      <c r="O126" s="3" t="n">
        <f aca="false">+SUM(O122:O125)</f>
        <v>3383</v>
      </c>
      <c r="P126" s="3" t="n">
        <f aca="false">+SUM(P122:P125)</f>
        <v>0</v>
      </c>
      <c r="Q126" s="3" t="n">
        <f aca="false">+SUM(Q122:Q125)</f>
        <v>0</v>
      </c>
      <c r="U126" s="3" t="n">
        <f aca="false">+SUM(U122:U125)</f>
        <v>1619.6</v>
      </c>
      <c r="V126" s="3" t="n">
        <f aca="false">+SUM(V122:V125)</f>
        <v>733.6</v>
      </c>
      <c r="W126" s="3" t="n">
        <f aca="false">+SUM(W122:W125)</f>
        <v>-256</v>
      </c>
      <c r="X126" s="3" t="n">
        <f aca="false">+SUM(X122:X125)</f>
        <v>-210.9</v>
      </c>
      <c r="Y126" s="3" t="n">
        <f aca="false">+SUM(Y122:Y125)</f>
        <v>-139.1</v>
      </c>
      <c r="Z126" s="3" t="n">
        <f aca="false">+SUM(Z122:Z125)</f>
        <v>965.5</v>
      </c>
      <c r="AA126" s="3" t="n">
        <f aca="false">+SUM(AA122:AA125)</f>
        <v>849</v>
      </c>
      <c r="AB126" s="3" t="n">
        <f aca="false">+SUM(AB122:AB125)</f>
        <v>1145</v>
      </c>
      <c r="AC126" s="3" t="n">
        <f aca="false">+SUM(AC122:AC125)</f>
        <v>1855</v>
      </c>
      <c r="AD126" s="3" t="n">
        <f aca="false">+SUM(AD122:AD125)</f>
        <v>2621</v>
      </c>
      <c r="AE126" s="3" t="n">
        <f aca="false">+SUM(AE122:AE125)</f>
        <v>3045</v>
      </c>
    </row>
    <row r="127" customFormat="false" ht="12.8" hidden="false" customHeight="false" outlineLevel="0" collapsed="false">
      <c r="A127" s="3" t="s">
        <v>142</v>
      </c>
      <c r="B127" s="3" t="n">
        <f aca="false">+B126+B121</f>
        <v>0</v>
      </c>
      <c r="C127" s="3" t="n">
        <f aca="false">+C126+C121</f>
        <v>0</v>
      </c>
      <c r="D127" s="3" t="n">
        <f aca="false">+D126+D121</f>
        <v>0</v>
      </c>
      <c r="E127" s="3" t="n">
        <f aca="false">+E126+E121</f>
        <v>9912.11708645337</v>
      </c>
      <c r="F127" s="3" t="n">
        <f aca="false">+F126+F121</f>
        <v>9830.08539167255</v>
      </c>
      <c r="G127" s="3" t="n">
        <f aca="false">+G126+G121</f>
        <v>9960.10564784053</v>
      </c>
      <c r="H127" s="3" t="n">
        <f aca="false">+H126+H121</f>
        <v>10133.0936305732</v>
      </c>
      <c r="I127" s="3" t="n">
        <f aca="false">+I126+I121</f>
        <v>10833.1195851129</v>
      </c>
      <c r="J127" s="3" t="n">
        <f aca="false">+J126+J121</f>
        <v>49585.1114513166</v>
      </c>
      <c r="K127" s="3" t="n">
        <f aca="false">+K126+K121</f>
        <v>10856.1066364152</v>
      </c>
      <c r="L127" s="3" t="n">
        <f aca="false">+L126+L121</f>
        <v>11198.0955207771</v>
      </c>
      <c r="M127" s="3" t="n">
        <f aca="false">+M126+M121</f>
        <v>12467.1098620337</v>
      </c>
      <c r="N127" s="3" t="n">
        <f aca="false">+N126+N121</f>
        <v>11932.0718717684</v>
      </c>
      <c r="O127" s="3" t="n">
        <f aca="false">+O126+O121</f>
        <v>12983.0845552297</v>
      </c>
      <c r="P127" s="3" t="n">
        <f aca="false">+P126+P121</f>
        <v>0</v>
      </c>
      <c r="Q127" s="3" t="n">
        <f aca="false">+Q126+Q121</f>
        <v>0</v>
      </c>
      <c r="U127" s="3" t="n">
        <f aca="false">+U126+U121</f>
        <v>5515.3</v>
      </c>
      <c r="V127" s="3" t="n">
        <f aca="false">+V126+V121</f>
        <v>4798.1</v>
      </c>
      <c r="W127" s="3" t="n">
        <f aca="false">+W126+W121</f>
        <v>4113.6</v>
      </c>
      <c r="X127" s="3" t="n">
        <f aca="false">+X126+X121</f>
        <v>4729.2</v>
      </c>
      <c r="Y127" s="3" t="n">
        <f aca="false">+Y126+Y121</f>
        <v>6179.3</v>
      </c>
      <c r="Z127" s="3" t="n">
        <f aca="false">+Z126+Z121</f>
        <v>7085.2</v>
      </c>
      <c r="AA127" s="3" t="n">
        <f aca="false">+AA126+AA121</f>
        <v>8607</v>
      </c>
      <c r="AB127" s="3" t="n">
        <f aca="false">+AB126+AB121</f>
        <v>9438</v>
      </c>
      <c r="AC127" s="3" t="n">
        <f aca="false">+AC126+AC121</f>
        <v>9912</v>
      </c>
      <c r="AD127" s="3" t="n">
        <f aca="false">+AD126+AD121</f>
        <v>12788</v>
      </c>
      <c r="AE127" s="3" t="n">
        <f aca="false">+AE126+AE121</f>
        <v>12467</v>
      </c>
    </row>
    <row r="129" customFormat="false" ht="12.8" hidden="false" customHeight="false" outlineLevel="0" collapsed="false">
      <c r="A129" s="3" t="s">
        <v>143</v>
      </c>
      <c r="E129" s="3" t="n">
        <v>3976</v>
      </c>
      <c r="F129" s="3" t="n">
        <v>3917</v>
      </c>
      <c r="G129" s="3" t="n">
        <v>3896</v>
      </c>
      <c r="H129" s="3" t="n">
        <v>4014</v>
      </c>
      <c r="I129" s="3" t="n">
        <v>4457</v>
      </c>
      <c r="J129" s="3" t="n">
        <v>4552</v>
      </c>
      <c r="K129" s="3" t="n">
        <v>4677</v>
      </c>
      <c r="L129" s="3" t="n">
        <v>4830</v>
      </c>
      <c r="M129" s="3" t="n">
        <v>5479</v>
      </c>
      <c r="N129" s="3" t="n">
        <v>5383</v>
      </c>
      <c r="O129" s="3" t="n">
        <v>5245</v>
      </c>
      <c r="AA129" s="3" t="n">
        <v>3141</v>
      </c>
      <c r="AB129" s="3" t="n">
        <v>3518</v>
      </c>
    </row>
    <row r="130" s="15" customFormat="true" ht="10.5" hidden="false" customHeight="true" outlineLevel="0" collapsed="false">
      <c r="I130" s="15" t="n">
        <f aca="false">+I129/E129-1</f>
        <v>0.120975855130785</v>
      </c>
      <c r="J130" s="15" t="n">
        <f aca="false">+J129/F129-1</f>
        <v>0.162113862649987</v>
      </c>
      <c r="K130" s="15" t="n">
        <f aca="false">+K129/G129-1</f>
        <v>0.200462012320328</v>
      </c>
      <c r="L130" s="15" t="n">
        <f aca="false">+L129/H129-1</f>
        <v>0.203288490284006</v>
      </c>
      <c r="M130" s="15" t="n">
        <f aca="false">+M129/I129-1</f>
        <v>0.229302221225039</v>
      </c>
      <c r="N130" s="15" t="n">
        <f aca="false">+N129/J129-1</f>
        <v>0.182557117750439</v>
      </c>
      <c r="O130" s="15" t="n">
        <f aca="false">+O129/K129-1</f>
        <v>0.121445370964293</v>
      </c>
      <c r="AR130" s="0"/>
      <c r="AS130" s="0"/>
      <c r="AT130" s="0"/>
      <c r="AU130" s="0"/>
      <c r="AV130" s="0"/>
    </row>
    <row r="131" customFormat="false" ht="12.8" hidden="false" customHeight="false" outlineLevel="0" collapsed="false">
      <c r="A131" s="3" t="s">
        <v>144</v>
      </c>
      <c r="E131" s="3" t="n">
        <v>6108</v>
      </c>
      <c r="F131" s="3" t="n">
        <v>5893</v>
      </c>
      <c r="G131" s="3" t="n">
        <v>5863</v>
      </c>
      <c r="H131" s="3" t="n">
        <v>6112</v>
      </c>
      <c r="I131" s="3" t="n">
        <v>6938</v>
      </c>
      <c r="J131" s="3" t="n">
        <v>7157</v>
      </c>
      <c r="K131" s="3" t="n">
        <v>7297</v>
      </c>
      <c r="L131" s="3" t="n">
        <v>7361</v>
      </c>
      <c r="M131" s="3" t="n">
        <v>8300</v>
      </c>
      <c r="N131" s="3" t="n">
        <v>7808</v>
      </c>
      <c r="O131" s="3" t="n">
        <v>7433</v>
      </c>
      <c r="AA131" s="3" t="n">
        <v>1598</v>
      </c>
      <c r="AB131" s="3" t="n">
        <v>2105</v>
      </c>
    </row>
    <row r="132" s="15" customFormat="true" ht="10.5" hidden="false" customHeight="true" outlineLevel="0" collapsed="false">
      <c r="I132" s="15" t="n">
        <f aca="false">+I131/E131-1</f>
        <v>0.135887360838245</v>
      </c>
      <c r="J132" s="15" t="n">
        <f aca="false">+J131/F131-1</f>
        <v>0.214491769896487</v>
      </c>
      <c r="K132" s="15" t="n">
        <f aca="false">+K131/G131-1</f>
        <v>0.244584683609074</v>
      </c>
      <c r="L132" s="15" t="n">
        <f aca="false">+L131/H131-1</f>
        <v>0.204352094240838</v>
      </c>
      <c r="M132" s="15" t="n">
        <f aca="false">+M131/I131-1</f>
        <v>0.196310175843182</v>
      </c>
      <c r="N132" s="15" t="n">
        <f aca="false">+N131/J131-1</f>
        <v>0.0909598993991896</v>
      </c>
      <c r="O132" s="15" t="n">
        <f aca="false">+O131/K131-1</f>
        <v>0.0186377963546662</v>
      </c>
      <c r="AR132" s="0"/>
      <c r="AS132" s="0"/>
      <c r="AT132" s="0"/>
      <c r="AU132" s="0"/>
      <c r="AV132" s="0"/>
    </row>
    <row r="134" customFormat="false" ht="12.8" hidden="false" customHeight="false" outlineLevel="0" collapsed="false">
      <c r="A134" s="3" t="s">
        <v>145</v>
      </c>
      <c r="B134" s="3" t="n">
        <f aca="false">+B61</f>
        <v>161</v>
      </c>
      <c r="C134" s="3" t="n">
        <f aca="false">+C61</f>
        <v>222</v>
      </c>
      <c r="D134" s="3" t="n">
        <f aca="false">+D61</f>
        <v>241</v>
      </c>
      <c r="E134" s="3" t="n">
        <f aca="false">+E61</f>
        <v>282</v>
      </c>
      <c r="F134" s="3" t="n">
        <f aca="false">+F61</f>
        <v>252</v>
      </c>
      <c r="G134" s="3" t="n">
        <f aca="false">+G61</f>
        <v>282</v>
      </c>
      <c r="H134" s="3" t="n">
        <f aca="false">+H61</f>
        <v>275</v>
      </c>
      <c r="I134" s="3" t="n">
        <f aca="false">+I61</f>
        <v>303</v>
      </c>
      <c r="J134" s="3" t="n">
        <f aca="false">+J61</f>
        <v>152</v>
      </c>
      <c r="K134" s="3" t="n">
        <f aca="false">+K61</f>
        <v>313</v>
      </c>
      <c r="L134" s="3" t="n">
        <f aca="false">+L61</f>
        <v>343</v>
      </c>
      <c r="M134" s="3" t="n">
        <f aca="false">+M61</f>
        <v>316</v>
      </c>
      <c r="N134" s="3" t="n">
        <f aca="false">+N61</f>
        <v>491</v>
      </c>
      <c r="O134" s="3" t="n">
        <f aca="false">+O61</f>
        <v>492</v>
      </c>
      <c r="P134" s="3" t="n">
        <f aca="false">+P61</f>
        <v>0</v>
      </c>
      <c r="Q134" s="3" t="n">
        <f aca="false">+Q61</f>
        <v>0</v>
      </c>
      <c r="U134" s="3" t="n">
        <f aca="false">+U61</f>
        <v>-330.8</v>
      </c>
      <c r="V134" s="3" t="n">
        <f aca="false">+V61</f>
        <v>-582.1</v>
      </c>
      <c r="W134" s="3" t="n">
        <f aca="false">+W61</f>
        <v>-566.9</v>
      </c>
      <c r="X134" s="3" t="n">
        <f aca="false">+X61</f>
        <v>-80.8</v>
      </c>
      <c r="Y134" s="3" t="n">
        <f aca="false">+Y61</f>
        <v>214.5</v>
      </c>
      <c r="Z134" s="3" t="n">
        <f aca="false">+Z61</f>
        <v>1208</v>
      </c>
      <c r="AA134" s="3" t="n">
        <f aca="false">+AA61</f>
        <v>497</v>
      </c>
      <c r="AB134" s="3" t="n">
        <f aca="false">+AB61</f>
        <v>823</v>
      </c>
      <c r="AC134" s="3" t="n">
        <f aca="false">+AC61</f>
        <v>906</v>
      </c>
      <c r="AD134" s="3" t="n">
        <f aca="false">+AD61</f>
        <v>1112</v>
      </c>
      <c r="AE134" s="3" t="n">
        <f aca="false">+AE61</f>
        <v>1124</v>
      </c>
      <c r="AF134" s="3" t="n">
        <f aca="false">+AF61</f>
        <v>1624.2324</v>
      </c>
      <c r="AG134" s="3" t="n">
        <f aca="false">+AG61</f>
        <v>2040.566256</v>
      </c>
      <c r="AH134" s="3" t="n">
        <f aca="false">+AH61</f>
        <v>2476.64282256</v>
      </c>
      <c r="AI134" s="3" t="n">
        <f aca="false">+AI61</f>
        <v>3012.9640958592</v>
      </c>
      <c r="AJ134" s="3" t="n">
        <f aca="false">+AJ61</f>
        <v>3344.39014640371</v>
      </c>
    </row>
    <row r="135" customFormat="false" ht="12.8" hidden="false" customHeight="false" outlineLevel="0" collapsed="false">
      <c r="A135" s="3" t="s">
        <v>97</v>
      </c>
      <c r="B135" s="3" t="n">
        <v>161</v>
      </c>
      <c r="C135" s="3" t="n">
        <f aca="false">+383-B135</f>
        <v>222</v>
      </c>
      <c r="D135" s="3" t="n">
        <f aca="false">+624-C135-B135</f>
        <v>241</v>
      </c>
      <c r="E135" s="3" t="n">
        <f aca="false">+906-D135-C135-B135</f>
        <v>282</v>
      </c>
      <c r="F135" s="3" t="n">
        <v>252</v>
      </c>
      <c r="G135" s="3" t="n">
        <f aca="false">+534-F135</f>
        <v>282</v>
      </c>
      <c r="H135" s="3" t="n">
        <f aca="false">+809-G135-F135</f>
        <v>275</v>
      </c>
      <c r="I135" s="3" t="n">
        <f aca="false">+1112-H135-G135-F135</f>
        <v>303</v>
      </c>
      <c r="J135" s="3" t="n">
        <v>152</v>
      </c>
      <c r="K135" s="3" t="n">
        <f aca="false">+465-J135</f>
        <v>313</v>
      </c>
      <c r="L135" s="3" t="n">
        <f aca="false">+808-K135-J135</f>
        <v>343</v>
      </c>
      <c r="M135" s="3" t="n">
        <f aca="false">+1124-L135-K135-J135</f>
        <v>316</v>
      </c>
      <c r="N135" s="3" t="n">
        <v>491</v>
      </c>
      <c r="O135" s="3" t="n">
        <f aca="false">+983-N135</f>
        <v>492</v>
      </c>
      <c r="U135" s="3" t="n">
        <v>-330.5</v>
      </c>
      <c r="V135" s="3" t="n">
        <v>-582.1</v>
      </c>
      <c r="W135" s="3" t="n">
        <v>-566.9</v>
      </c>
      <c r="X135" s="3" t="n">
        <v>-80.8</v>
      </c>
      <c r="Y135" s="3" t="n">
        <v>214.5</v>
      </c>
      <c r="Z135" s="3" t="n">
        <v>1208</v>
      </c>
      <c r="AA135" s="3" t="n">
        <v>497</v>
      </c>
      <c r="AB135" s="3" t="n">
        <v>823</v>
      </c>
      <c r="AC135" s="3" t="n">
        <v>906</v>
      </c>
      <c r="AD135" s="3" t="n">
        <v>1112</v>
      </c>
      <c r="AE135" s="3" t="n">
        <v>1124</v>
      </c>
    </row>
    <row r="136" customFormat="false" ht="12.8" hidden="false" customHeight="false" outlineLevel="0" collapsed="false">
      <c r="A136" s="3" t="s">
        <v>84</v>
      </c>
      <c r="B136" s="3" t="n">
        <f aca="false">+33+30</f>
        <v>63</v>
      </c>
      <c r="C136" s="3" t="n">
        <f aca="false">+66+63-B136</f>
        <v>66</v>
      </c>
      <c r="D136" s="3" t="n">
        <f aca="false">+102+97-C136-B136</f>
        <v>70</v>
      </c>
      <c r="E136" s="3" t="n">
        <f aca="false">+139+140-D136-C136-B136</f>
        <v>80</v>
      </c>
      <c r="F136" s="3" t="n">
        <f aca="false">+40+41</f>
        <v>81</v>
      </c>
      <c r="G136" s="3" t="n">
        <f aca="false">+86+85-F136</f>
        <v>90</v>
      </c>
      <c r="H136" s="3" t="n">
        <f aca="false">+134+136-G136-F136</f>
        <v>99</v>
      </c>
      <c r="I136" s="3" t="n">
        <f aca="false">+180+212-H136-G136-F136</f>
        <v>122</v>
      </c>
      <c r="J136" s="3" t="n">
        <f aca="false">+48+96</f>
        <v>144</v>
      </c>
      <c r="K136" s="3" t="n">
        <f aca="false">+95+219-J136</f>
        <v>170</v>
      </c>
      <c r="L136" s="3" t="n">
        <f aca="false">+145+364-K136-J136</f>
        <v>195</v>
      </c>
      <c r="M136" s="3" t="n">
        <f aca="false">+195-L136-K136-J136+536</f>
        <v>222</v>
      </c>
      <c r="N136" s="3" t="n">
        <f aca="false">+51+172</f>
        <v>223</v>
      </c>
      <c r="O136" s="3" t="n">
        <f aca="false">+101+347-N136</f>
        <v>225</v>
      </c>
      <c r="U136" s="3" t="n">
        <v>145.8</v>
      </c>
      <c r="V136" s="3" t="n">
        <v>139.2</v>
      </c>
      <c r="W136" s="3" t="n">
        <v>108.4</v>
      </c>
      <c r="X136" s="3" t="n">
        <v>95.2</v>
      </c>
      <c r="Y136" s="3" t="n">
        <v>127.3</v>
      </c>
      <c r="Z136" s="3" t="n">
        <v>124</v>
      </c>
      <c r="AA136" s="3" t="n">
        <v>148</v>
      </c>
      <c r="AB136" s="3" t="n">
        <v>150</v>
      </c>
      <c r="AC136" s="3" t="n">
        <f aca="false">+139+140</f>
        <v>279</v>
      </c>
      <c r="AD136" s="3" t="n">
        <f aca="false">+180+212</f>
        <v>392</v>
      </c>
      <c r="AE136" s="3" t="n">
        <f aca="false">+536+195</f>
        <v>731</v>
      </c>
      <c r="AF136" s="3" t="n">
        <f aca="false">+AF29*0.09</f>
        <v>745.821</v>
      </c>
      <c r="AG136" s="3" t="n">
        <f aca="false">+AG29*0.09</f>
        <v>850.23594</v>
      </c>
      <c r="AH136" s="3" t="n">
        <f aca="false">+AH29*0.1</f>
        <v>1067.518458</v>
      </c>
      <c r="AI136" s="3" t="n">
        <f aca="false">+AI29*0.1</f>
        <v>1195.62067296</v>
      </c>
      <c r="AJ136" s="3" t="n">
        <f aca="false">+AJ29*0.1</f>
        <v>1327.1389469856</v>
      </c>
    </row>
    <row r="137" s="15" customFormat="true" ht="10.5" hidden="false" customHeight="true" outlineLevel="0" collapsed="false">
      <c r="B137" s="15" t="n">
        <f aca="false">+B136/B29</f>
        <v>0.049645390070922</v>
      </c>
      <c r="C137" s="15" t="n">
        <f aca="false">+C136/C29</f>
        <v>0.0490706319702602</v>
      </c>
      <c r="D137" s="15" t="n">
        <f aca="false">+D136/D29</f>
        <v>0.0495049504950495</v>
      </c>
      <c r="E137" s="15" t="n">
        <f aca="false">+E136/E29</f>
        <v>0.0544588155207624</v>
      </c>
      <c r="F137" s="15" t="n">
        <f aca="false">+F136/F29</f>
        <v>0.0571630204657728</v>
      </c>
      <c r="G137" s="15" t="n">
        <f aca="false">+G136/G29</f>
        <v>0.0598006644518272</v>
      </c>
      <c r="H137" s="15" t="n">
        <f aca="false">+H136/H29</f>
        <v>0.0630573248407643</v>
      </c>
      <c r="I137" s="15" t="n">
        <f aca="false">+I136/I29</f>
        <v>0.0744356314826113</v>
      </c>
      <c r="J137" s="15" t="n">
        <f aca="false">+J136/J29</f>
        <v>0.0881812614819351</v>
      </c>
      <c r="K137" s="15" t="n">
        <f aca="false">+K136/K29</f>
        <v>0.0964265456608054</v>
      </c>
      <c r="L137" s="15" t="n">
        <f aca="false">+L136/L29</f>
        <v>0.10523475445224</v>
      </c>
      <c r="M137" s="15" t="n">
        <f aca="false">+M136/M29</f>
        <v>0.113438937148697</v>
      </c>
      <c r="N137" s="15" t="n">
        <f aca="false">+N136/N29</f>
        <v>0.115305067218201</v>
      </c>
      <c r="O137" s="15" t="n">
        <f aca="false">+O136/O29</f>
        <v>0.109970674486804</v>
      </c>
      <c r="U137" s="15" t="n">
        <f aca="false">+U136/U29</f>
        <v>0.0582245118006469</v>
      </c>
      <c r="V137" s="15" t="n">
        <f aca="false">+V136/V29</f>
        <v>0.0685376661742984</v>
      </c>
      <c r="W137" s="15" t="n">
        <f aca="false">+W136/W29</f>
        <v>0.0527083535933094</v>
      </c>
      <c r="X137" s="15" t="n">
        <f aca="false">+X136/X29</f>
        <v>0.0370456844890653</v>
      </c>
      <c r="Y137" s="15" t="n">
        <f aca="false">+Y136/Y29</f>
        <v>0.0388785389243502</v>
      </c>
      <c r="Z137" s="15" t="n">
        <f aca="false">+Z136/Z29</f>
        <v>0.0327176781002639</v>
      </c>
      <c r="AA137" s="15" t="n">
        <f aca="false">+AA136/AA29</f>
        <v>0.0337437300501596</v>
      </c>
      <c r="AB137" s="15" t="n">
        <f aca="false">+AB136/AB29</f>
        <v>0.02997002997003</v>
      </c>
      <c r="AC137" s="15" t="n">
        <f aca="false">+AC136/AC29</f>
        <v>0.0507549572494088</v>
      </c>
      <c r="AD137" s="15" t="n">
        <f aca="false">+AD136/AD29</f>
        <v>0.0639373674767575</v>
      </c>
      <c r="AE137" s="15" t="n">
        <f aca="false">+AE136/AE$29</f>
        <v>0.101443241742992</v>
      </c>
      <c r="AF137" s="15" t="n">
        <f aca="false">+AF136/AF$29</f>
        <v>0.09</v>
      </c>
      <c r="AG137" s="15" t="n">
        <f aca="false">+AG136/AG$29</f>
        <v>0.09</v>
      </c>
      <c r="AH137" s="15" t="n">
        <f aca="false">+AH136/AH$29</f>
        <v>0.1</v>
      </c>
      <c r="AI137" s="15" t="n">
        <f aca="false">+AI136/AI$29</f>
        <v>0.1</v>
      </c>
      <c r="AJ137" s="15" t="n">
        <f aca="false">+AJ136/AJ$29</f>
        <v>0.1</v>
      </c>
      <c r="AR137" s="0"/>
      <c r="AS137" s="0"/>
      <c r="AT137" s="0"/>
      <c r="AU137" s="0"/>
      <c r="AV137" s="0"/>
    </row>
    <row r="138" customFormat="false" ht="12.8" hidden="false" customHeight="false" outlineLevel="0" collapsed="false">
      <c r="A138" s="3" t="s">
        <v>146</v>
      </c>
      <c r="B138" s="3" t="n">
        <v>165</v>
      </c>
      <c r="C138" s="3" t="n">
        <f aca="false">+362-B138</f>
        <v>197</v>
      </c>
      <c r="D138" s="3" t="n">
        <f aca="false">+544-C138-B138</f>
        <v>182</v>
      </c>
      <c r="E138" s="3" t="n">
        <f aca="false">+703-D138-C138-B138</f>
        <v>159</v>
      </c>
      <c r="F138" s="3" t="n">
        <v>149</v>
      </c>
      <c r="G138" s="3" t="n">
        <f aca="false">+316-F138</f>
        <v>167</v>
      </c>
      <c r="H138" s="3" t="n">
        <f aca="false">+497-G138-F138</f>
        <v>181</v>
      </c>
      <c r="I138" s="3" t="n">
        <f aca="false">+683-H138-G138-F138</f>
        <v>186</v>
      </c>
      <c r="J138" s="3" t="n">
        <v>230</v>
      </c>
      <c r="K138" s="3" t="n">
        <f aca="false">+421-J138</f>
        <v>191</v>
      </c>
      <c r="L138" s="3" t="n">
        <f aca="false">+607-K138-J138</f>
        <v>186</v>
      </c>
      <c r="M138" s="3" t="n">
        <f aca="false">+788-L138-K138-J138</f>
        <v>181</v>
      </c>
      <c r="N138" s="3" t="n">
        <v>155</v>
      </c>
      <c r="O138" s="3" t="n">
        <f aca="false">+339-N138</f>
        <v>184</v>
      </c>
      <c r="U138" s="3" t="n">
        <v>197.2</v>
      </c>
      <c r="V138" s="3" t="n">
        <v>221.8</v>
      </c>
      <c r="W138" s="3" t="n">
        <v>261.4</v>
      </c>
      <c r="X138" s="3" t="n">
        <v>249.5</v>
      </c>
      <c r="Y138" s="3" t="n">
        <v>362.4</v>
      </c>
      <c r="Z138" s="3" t="n">
        <v>398</v>
      </c>
      <c r="AA138" s="3" t="n">
        <v>555</v>
      </c>
      <c r="AB138" s="3" t="n">
        <v>657</v>
      </c>
      <c r="AC138" s="3" t="n">
        <v>703</v>
      </c>
      <c r="AD138" s="3" t="n">
        <v>683</v>
      </c>
      <c r="AE138" s="3" t="n">
        <v>788</v>
      </c>
    </row>
    <row r="139" customFormat="false" ht="12.8" hidden="false" customHeight="false" outlineLevel="0" collapsed="false">
      <c r="A139" s="3" t="s">
        <v>122</v>
      </c>
      <c r="B139" s="3" t="n">
        <v>-30</v>
      </c>
      <c r="C139" s="3" t="n">
        <f aca="false">-65-B139</f>
        <v>-35</v>
      </c>
      <c r="D139" s="3" t="n">
        <f aca="false">-116-C139-B139</f>
        <v>-51</v>
      </c>
      <c r="E139" s="3" t="n">
        <f aca="false">-86-D139-C139-B139</f>
        <v>30</v>
      </c>
      <c r="F139" s="3" t="n">
        <v>-25</v>
      </c>
      <c r="G139" s="3" t="n">
        <f aca="false">-40-F139</f>
        <v>-15</v>
      </c>
      <c r="H139" s="3" t="n">
        <f aca="false">-60-G139-F139</f>
        <v>-20</v>
      </c>
      <c r="I139" s="3" t="n">
        <f aca="false">-121-H139-G139-F139</f>
        <v>-61</v>
      </c>
      <c r="J139" s="3" t="n">
        <v>78</v>
      </c>
      <c r="K139" s="3" t="n">
        <f aca="false">+153-J139</f>
        <v>75</v>
      </c>
      <c r="L139" s="3" t="n">
        <f aca="false">+271-K139-J139</f>
        <v>118</v>
      </c>
      <c r="M139" s="3" t="n">
        <f aca="false">+301-L139-K139-J139</f>
        <v>30</v>
      </c>
      <c r="N139" s="3" t="n">
        <v>29</v>
      </c>
      <c r="O139" s="3" t="n">
        <f aca="false">+40-N139</f>
        <v>11</v>
      </c>
      <c r="U139" s="3" t="n">
        <v>235.9</v>
      </c>
      <c r="V139" s="3" t="n">
        <v>-38.8</v>
      </c>
      <c r="W139" s="3" t="n">
        <v>-39.1</v>
      </c>
      <c r="X139" s="3" t="n">
        <v>-6.8</v>
      </c>
      <c r="Y139" s="3" t="n">
        <v>10.3</v>
      </c>
      <c r="Z139" s="3" t="n">
        <v>-779</v>
      </c>
      <c r="AA139" s="3" t="n">
        <v>-8</v>
      </c>
      <c r="AB139" s="3" t="n">
        <v>-277</v>
      </c>
      <c r="AC139" s="3" t="n">
        <v>-86</v>
      </c>
      <c r="AD139" s="3" t="n">
        <v>-121</v>
      </c>
      <c r="AE139" s="3" t="n">
        <v>301</v>
      </c>
    </row>
    <row r="140" customFormat="false" ht="12.8" hidden="false" customHeight="false" outlineLevel="0" collapsed="false">
      <c r="A140" s="3" t="s">
        <v>91</v>
      </c>
      <c r="B140" s="3" t="n">
        <v>0</v>
      </c>
      <c r="C140" s="3" t="n">
        <f aca="false">+0-B140</f>
        <v>0</v>
      </c>
      <c r="D140" s="3" t="n">
        <f aca="false">+0-C140-B140</f>
        <v>0</v>
      </c>
      <c r="E140" s="3" t="n">
        <f aca="false">+0-D140-C140-B140</f>
        <v>0</v>
      </c>
      <c r="F140" s="3" t="n">
        <v>0</v>
      </c>
      <c r="G140" s="3" t="n">
        <f aca="false">+0-F140</f>
        <v>0</v>
      </c>
      <c r="H140" s="3" t="n">
        <f aca="false">+0-G140-F140</f>
        <v>0</v>
      </c>
      <c r="I140" s="3" t="n">
        <f aca="false">+15-H140-G140-F140</f>
        <v>15</v>
      </c>
      <c r="J140" s="3" t="n">
        <v>14</v>
      </c>
      <c r="K140" s="3" t="n">
        <f aca="false">+17-J140</f>
        <v>3</v>
      </c>
      <c r="L140" s="3" t="n">
        <f aca="false">+19-K140-J140</f>
        <v>2</v>
      </c>
      <c r="M140" s="3" t="n">
        <f aca="false">+19-L140-K140-J140</f>
        <v>0</v>
      </c>
      <c r="N140" s="3" t="n">
        <v>0</v>
      </c>
      <c r="O140" s="3" t="n">
        <f aca="false">+0-N140</f>
        <v>0</v>
      </c>
      <c r="U140" s="3" t="n">
        <v>0</v>
      </c>
      <c r="V140" s="3" t="n">
        <v>80.5</v>
      </c>
      <c r="W140" s="3" t="n">
        <v>94.1</v>
      </c>
      <c r="X140" s="3" t="n">
        <v>31.7</v>
      </c>
      <c r="Y140" s="3" t="n">
        <v>0.5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15</v>
      </c>
      <c r="AE140" s="3" t="n">
        <v>19</v>
      </c>
    </row>
    <row r="141" customFormat="false" ht="12.8" hidden="false" customHeight="false" outlineLevel="0" collapsed="false">
      <c r="A141" s="3" t="s">
        <v>29</v>
      </c>
      <c r="B141" s="3" t="n">
        <v>-11</v>
      </c>
      <c r="C141" s="3" t="n">
        <f aca="false">+7-33-B141</f>
        <v>-15</v>
      </c>
      <c r="D141" s="3" t="n">
        <f aca="false">-15+7-C141-B141</f>
        <v>18</v>
      </c>
      <c r="E141" s="3" t="n">
        <f aca="false">+14-52-D141-C141-B141</f>
        <v>-30</v>
      </c>
      <c r="F141" s="3" t="n">
        <v>18</v>
      </c>
      <c r="G141" s="3" t="n">
        <f aca="false">-5-F141</f>
        <v>-23</v>
      </c>
      <c r="H141" s="3" t="n">
        <f aca="false">-7-G141-F141</f>
        <v>-2</v>
      </c>
      <c r="I141" s="3" t="n">
        <f aca="false">-16-H141-G141-F141</f>
        <v>-9</v>
      </c>
      <c r="J141" s="3" t="n">
        <v>23</v>
      </c>
      <c r="K141" s="3" t="n">
        <f aca="false">-20-J141</f>
        <v>-43</v>
      </c>
      <c r="L141" s="3" t="n">
        <f aca="false">+7-K141-J141</f>
        <v>27</v>
      </c>
      <c r="M141" s="3" t="n">
        <f aca="false">-10-L141-K141-J141</f>
        <v>-17</v>
      </c>
      <c r="N141" s="3" t="n">
        <v>-38</v>
      </c>
      <c r="O141" s="3" t="n">
        <f aca="false">-32-N141</f>
        <v>6</v>
      </c>
      <c r="U141" s="3" t="n">
        <v>-25</v>
      </c>
      <c r="V141" s="3" t="n">
        <v>-7.7</v>
      </c>
      <c r="W141" s="3" t="n">
        <v>7.3</v>
      </c>
      <c r="X141" s="3" t="n">
        <v>2.2</v>
      </c>
      <c r="Y141" s="3" t="n">
        <v>-11.9</v>
      </c>
      <c r="Z141" s="3" t="n">
        <f aca="false">+0+39</f>
        <v>39</v>
      </c>
      <c r="AA141" s="3" t="n">
        <f aca="false">+18+104</f>
        <v>122</v>
      </c>
      <c r="AB141" s="3" t="n">
        <f aca="false">-8+34</f>
        <v>26</v>
      </c>
      <c r="AC141" s="3" t="n">
        <f aca="false">-52+14</f>
        <v>-38</v>
      </c>
      <c r="AD141" s="3" t="n">
        <v>-16</v>
      </c>
      <c r="AE141" s="3" t="n">
        <f aca="false">+0-10</f>
        <v>-10</v>
      </c>
    </row>
    <row r="142" customFormat="false" ht="12.8" hidden="false" customHeight="false" outlineLevel="0" collapsed="false">
      <c r="A142" s="3" t="s">
        <v>116</v>
      </c>
      <c r="B142" s="3" t="n">
        <v>630</v>
      </c>
      <c r="C142" s="3" t="n">
        <f aca="false">+559-B142</f>
        <v>-71</v>
      </c>
      <c r="D142" s="3" t="n">
        <f aca="false">+380-C142-B142</f>
        <v>-179</v>
      </c>
      <c r="E142" s="3" t="n">
        <f aca="false">+86-D142-C142-B142</f>
        <v>-294</v>
      </c>
      <c r="F142" s="3" t="n">
        <v>526</v>
      </c>
      <c r="G142" s="3" t="n">
        <f aca="false">+477-F142</f>
        <v>-49</v>
      </c>
      <c r="H142" s="3" t="n">
        <f aca="false">+177-G142-F142</f>
        <v>-300</v>
      </c>
      <c r="I142" s="3" t="n">
        <f aca="false">-132-H142-G142-F142</f>
        <v>-309</v>
      </c>
      <c r="J142" s="3" t="n">
        <v>515</v>
      </c>
      <c r="K142" s="3" t="n">
        <f aca="false">+476-J142</f>
        <v>-39</v>
      </c>
      <c r="L142" s="3" t="n">
        <f aca="false">+202-K142-J142</f>
        <v>-274</v>
      </c>
      <c r="M142" s="3" t="n">
        <f aca="false">-431-L142-K142-J142</f>
        <v>-633</v>
      </c>
      <c r="N142" s="3" t="n">
        <v>859</v>
      </c>
      <c r="O142" s="3" t="n">
        <f aca="false">+753-N142</f>
        <v>-106</v>
      </c>
      <c r="U142" s="3" t="n">
        <v>-195.5</v>
      </c>
      <c r="V142" s="3" t="n">
        <v>201.5</v>
      </c>
      <c r="W142" s="3" t="n">
        <v>13.3</v>
      </c>
      <c r="X142" s="3" t="n">
        <v>-25.4</v>
      </c>
      <c r="Y142" s="3" t="n">
        <v>-178.5</v>
      </c>
      <c r="Z142" s="3" t="n">
        <v>13</v>
      </c>
      <c r="AA142" s="3" t="n">
        <v>-66</v>
      </c>
      <c r="AB142" s="3" t="n">
        <v>-247</v>
      </c>
      <c r="AC142" s="3" t="n">
        <v>86</v>
      </c>
      <c r="AD142" s="3" t="n">
        <v>-132</v>
      </c>
      <c r="AE142" s="3" t="n">
        <v>-431</v>
      </c>
    </row>
    <row r="143" customFormat="false" ht="12.8" hidden="false" customHeight="false" outlineLevel="0" collapsed="false">
      <c r="A143" s="3" t="s">
        <v>117</v>
      </c>
      <c r="B143" s="3" t="n">
        <v>-73</v>
      </c>
      <c r="C143" s="3" t="n">
        <f aca="false">-95-B143</f>
        <v>-22</v>
      </c>
      <c r="D143" s="3" t="n">
        <f aca="false">-160-C143-B143</f>
        <v>-65</v>
      </c>
      <c r="E143" s="3" t="n">
        <f aca="false">-256-D143-C143-B143</f>
        <v>-96</v>
      </c>
      <c r="F143" s="3" t="n">
        <v>-69</v>
      </c>
      <c r="G143" s="3" t="n">
        <f aca="false">-167-F143</f>
        <v>-98</v>
      </c>
      <c r="H143" s="3" t="n">
        <f aca="false">-221-G143-F143</f>
        <v>-54</v>
      </c>
      <c r="I143" s="3" t="n">
        <f aca="false">-488-H143-G143-F143</f>
        <v>-267</v>
      </c>
      <c r="J143" s="3" t="n">
        <v>-304</v>
      </c>
      <c r="K143" s="3" t="n">
        <f aca="false">-539-J143</f>
        <v>-235</v>
      </c>
      <c r="L143" s="3" t="n">
        <f aca="false">-819-K143-J143</f>
        <v>-280</v>
      </c>
      <c r="M143" s="3" t="n">
        <f aca="false">-1051-L143-K143-J143</f>
        <v>-232</v>
      </c>
      <c r="N143" s="3" t="n">
        <v>-126</v>
      </c>
      <c r="O143" s="3" t="n">
        <f aca="false">-253-N143</f>
        <v>-127</v>
      </c>
      <c r="U143" s="3" t="n">
        <v>-2.8</v>
      </c>
      <c r="V143" s="3" t="n">
        <v>-13.5</v>
      </c>
      <c r="W143" s="3" t="n">
        <v>-9.9</v>
      </c>
      <c r="X143" s="3" t="n">
        <v>7.5</v>
      </c>
      <c r="Y143" s="3" t="n">
        <v>58.5</v>
      </c>
      <c r="Z143" s="3" t="n">
        <v>-56</v>
      </c>
      <c r="AA143" s="3" t="n">
        <v>-134</v>
      </c>
      <c r="AB143" s="3" t="n">
        <v>-3</v>
      </c>
      <c r="AC143" s="3" t="n">
        <v>-256</v>
      </c>
      <c r="AD143" s="3" t="n">
        <v>-488</v>
      </c>
      <c r="AE143" s="3" t="n">
        <v>-1051</v>
      </c>
    </row>
    <row r="144" customFormat="false" ht="12.8" hidden="false" customHeight="false" outlineLevel="0" collapsed="false">
      <c r="A144" s="3" t="s">
        <v>147</v>
      </c>
      <c r="B144" s="3" t="n">
        <v>-157</v>
      </c>
      <c r="C144" s="3" t="n">
        <f aca="false">-106-B144</f>
        <v>51</v>
      </c>
      <c r="D144" s="3" t="n">
        <f aca="false">-65-C144-B144</f>
        <v>41</v>
      </c>
      <c r="E144" s="3" t="n">
        <f aca="false">+27-D144-C144-B144</f>
        <v>92</v>
      </c>
      <c r="F144" s="3" t="n">
        <v>-166</v>
      </c>
      <c r="G144" s="3" t="n">
        <f aca="false">-30-F144</f>
        <v>136</v>
      </c>
      <c r="H144" s="3" t="n">
        <f aca="false">+1-G144-F144</f>
        <v>31</v>
      </c>
      <c r="I144" s="3" t="n">
        <f aca="false">+238-H144-G144-F144</f>
        <v>237</v>
      </c>
      <c r="J144" s="3" t="n">
        <v>-111</v>
      </c>
      <c r="K144" s="3" t="n">
        <f aca="false">+17-J144</f>
        <v>128</v>
      </c>
      <c r="L144" s="3" t="n">
        <f aca="false">+95-K144-J144</f>
        <v>78</v>
      </c>
      <c r="M144" s="3" t="n">
        <f aca="false">+455-L144-K144-J144</f>
        <v>360</v>
      </c>
      <c r="N144" s="3" t="n">
        <v>-488</v>
      </c>
      <c r="O144" s="3" t="n">
        <f aca="false">-408-N144</f>
        <v>80</v>
      </c>
      <c r="U144" s="3" t="n">
        <v>24.9</v>
      </c>
      <c r="V144" s="3" t="n">
        <v>2.7</v>
      </c>
      <c r="W144" s="3" t="n">
        <v>-13.9</v>
      </c>
      <c r="X144" s="3" t="n">
        <v>58.5</v>
      </c>
      <c r="Y144" s="3" t="n">
        <v>-90.8</v>
      </c>
      <c r="Z144" s="3" t="n">
        <v>130</v>
      </c>
      <c r="AA144" s="3" t="n">
        <v>10</v>
      </c>
      <c r="AB144" s="3" t="n">
        <v>-5</v>
      </c>
      <c r="AC144" s="3" t="n">
        <v>27</v>
      </c>
      <c r="AD144" s="3" t="n">
        <v>238</v>
      </c>
      <c r="AE144" s="3" t="n">
        <v>455</v>
      </c>
    </row>
    <row r="145" customFormat="false" ht="12.8" hidden="false" customHeight="false" outlineLevel="0" collapsed="false">
      <c r="A145" s="3" t="s">
        <v>128</v>
      </c>
      <c r="B145" s="3" t="n">
        <v>-98</v>
      </c>
      <c r="C145" s="3" t="n">
        <f aca="false">-350-B145</f>
        <v>-252</v>
      </c>
      <c r="D145" s="3" t="n">
        <f aca="false">-551-C145-B145</f>
        <v>-201</v>
      </c>
      <c r="E145" s="3" t="n">
        <f aca="false">-316-D145-C145-B145</f>
        <v>235</v>
      </c>
      <c r="F145" s="3" t="n">
        <v>-305</v>
      </c>
      <c r="G145" s="3" t="n">
        <f aca="false">-577-F145</f>
        <v>-272</v>
      </c>
      <c r="H145" s="3" t="n">
        <f aca="false">-612-G145-F145</f>
        <v>-35</v>
      </c>
      <c r="I145" s="3" t="n">
        <f aca="false">-134-H145-G145-F145</f>
        <v>478</v>
      </c>
      <c r="J145" s="3" t="n">
        <v>-204</v>
      </c>
      <c r="K145" s="3" t="n">
        <f aca="false">-287-J145</f>
        <v>-83</v>
      </c>
      <c r="L145" s="3" t="n">
        <f aca="false">-286-K145-J145</f>
        <v>1</v>
      </c>
      <c r="M145" s="3" t="n">
        <f aca="false">+555-L145-K145-J145</f>
        <v>841</v>
      </c>
      <c r="N145" s="3" t="n">
        <v>-238</v>
      </c>
      <c r="O145" s="3" t="n">
        <f aca="false">-434-N145</f>
        <v>-196</v>
      </c>
      <c r="U145" s="3" t="n">
        <v>360.5</v>
      </c>
      <c r="V145" s="3" t="n">
        <v>267</v>
      </c>
      <c r="W145" s="3" t="n">
        <v>168.3</v>
      </c>
      <c r="X145" s="3" t="n">
        <v>197</v>
      </c>
      <c r="Y145" s="3" t="n">
        <v>916.7</v>
      </c>
      <c r="Z145" s="3" t="n">
        <v>344</v>
      </c>
      <c r="AA145" s="3" t="n">
        <v>419</v>
      </c>
      <c r="AB145" s="3" t="n">
        <v>798</v>
      </c>
      <c r="AC145" s="3" t="n">
        <v>-316</v>
      </c>
      <c r="AD145" s="3" t="n">
        <v>-134</v>
      </c>
      <c r="AE145" s="3" t="n">
        <v>555</v>
      </c>
    </row>
    <row r="146" customFormat="false" ht="12.8" hidden="false" customHeight="false" outlineLevel="0" collapsed="false">
      <c r="A146" s="3" t="s">
        <v>127</v>
      </c>
      <c r="B146" s="3" t="n">
        <v>73</v>
      </c>
      <c r="C146" s="3" t="n">
        <f aca="false">+67-B146</f>
        <v>-6</v>
      </c>
      <c r="D146" s="3" t="n">
        <f aca="false">+29-C146-B146</f>
        <v>-38</v>
      </c>
      <c r="E146" s="3" t="n">
        <f aca="false">+8-D146-C146-B146</f>
        <v>-21</v>
      </c>
      <c r="F146" s="3" t="n">
        <v>33</v>
      </c>
      <c r="G146" s="3" t="n">
        <f aca="false">+27-F146</f>
        <v>-6</v>
      </c>
      <c r="H146" s="3" t="n">
        <f aca="false">+61-G146-F146</f>
        <v>34</v>
      </c>
      <c r="I146" s="3" t="n">
        <f aca="false">+58-H146-G146-F146</f>
        <v>-3</v>
      </c>
      <c r="J146" s="3" t="n">
        <v>27</v>
      </c>
      <c r="K146" s="3" t="n">
        <f aca="false">+7-J146</f>
        <v>-20</v>
      </c>
      <c r="L146" s="3" t="n">
        <f aca="false">+50-K146-J146</f>
        <v>43</v>
      </c>
      <c r="M146" s="3" t="n">
        <f aca="false">-29-L146-K146-J146</f>
        <v>-79</v>
      </c>
      <c r="N146" s="3" t="n">
        <v>26</v>
      </c>
      <c r="O146" s="3" t="n">
        <f aca="false">+32-N146</f>
        <v>6</v>
      </c>
      <c r="U146" s="3" t="n">
        <v>3.5</v>
      </c>
      <c r="V146" s="3" t="n">
        <v>-100.9</v>
      </c>
      <c r="W146" s="3" t="n">
        <v>-22.1</v>
      </c>
      <c r="X146" s="3" t="n">
        <v>-34.5</v>
      </c>
      <c r="Y146" s="3" t="n">
        <v>6.1</v>
      </c>
      <c r="Z146" s="3" t="n">
        <v>16</v>
      </c>
      <c r="AA146" s="3" t="n">
        <v>-12</v>
      </c>
      <c r="AB146" s="3" t="n">
        <v>149</v>
      </c>
      <c r="AC146" s="3" t="n">
        <v>8</v>
      </c>
      <c r="AD146" s="3" t="n">
        <v>58</v>
      </c>
      <c r="AE146" s="3" t="n">
        <v>-29</v>
      </c>
    </row>
    <row r="147" customFormat="false" ht="12.8" hidden="false" customHeight="false" outlineLevel="0" collapsed="false">
      <c r="A147" s="3" t="s">
        <v>148</v>
      </c>
      <c r="B147" s="3" t="n">
        <f aca="false">+SUM(B135:B146)-B137</f>
        <v>723</v>
      </c>
      <c r="C147" s="3" t="n">
        <f aca="false">+SUM(C135:C146)-C137</f>
        <v>135</v>
      </c>
      <c r="D147" s="3" t="n">
        <f aca="false">+SUM(D135:D146)-D137</f>
        <v>18</v>
      </c>
      <c r="E147" s="3" t="n">
        <f aca="false">+SUM(E135:E146)-E137</f>
        <v>437</v>
      </c>
      <c r="F147" s="3" t="n">
        <f aca="false">+SUM(F135:F146)-F137</f>
        <v>494</v>
      </c>
      <c r="G147" s="3" t="n">
        <f aca="false">+SUM(G135:G146)-G137</f>
        <v>212</v>
      </c>
      <c r="H147" s="3" t="n">
        <f aca="false">+SUM(H135:H146)-H137</f>
        <v>209</v>
      </c>
      <c r="I147" s="3" t="n">
        <f aca="false">+SUM(I135:I146)-I137</f>
        <v>692</v>
      </c>
      <c r="J147" s="3" t="n">
        <f aca="false">+SUM(J135:J146)-J137</f>
        <v>564</v>
      </c>
      <c r="K147" s="3" t="n">
        <f aca="false">+SUM(K135:K146)-K137</f>
        <v>460</v>
      </c>
      <c r="L147" s="3" t="n">
        <f aca="false">+SUM(L135:L146)-L137</f>
        <v>439</v>
      </c>
      <c r="M147" s="3" t="n">
        <f aca="false">+SUM(M135:M146)-M137</f>
        <v>989</v>
      </c>
      <c r="N147" s="3" t="n">
        <f aca="false">+SUM(N135:N146)-N137</f>
        <v>893</v>
      </c>
      <c r="O147" s="3" t="n">
        <f aca="false">+SUM(O135:O146)-O137</f>
        <v>575</v>
      </c>
      <c r="P147" s="3" t="n">
        <f aca="false">+SUM(P135:P146)-P137</f>
        <v>0</v>
      </c>
      <c r="Q147" s="3" t="n">
        <f aca="false">+SUM(Q135:Q146)-Q137</f>
        <v>0</v>
      </c>
      <c r="U147" s="3" t="n">
        <f aca="false">+SUM(U135:U146)-U137</f>
        <v>414</v>
      </c>
      <c r="V147" s="3" t="n">
        <f aca="false">+SUM(V135:V146)-V137</f>
        <v>169.7</v>
      </c>
      <c r="W147" s="3" t="n">
        <f aca="false">+SUM(W135:W146)-W137</f>
        <v>0.900000000000008</v>
      </c>
      <c r="X147" s="3" t="n">
        <f aca="false">+SUM(X135:X146)-X137</f>
        <v>494.1</v>
      </c>
      <c r="Y147" s="3" t="n">
        <f aca="false">+SUM(Y135:Y146)-Y137</f>
        <v>1415.1</v>
      </c>
      <c r="Z147" s="3" t="n">
        <f aca="false">+SUM(Z135:Z146)-Z137</f>
        <v>1437</v>
      </c>
      <c r="AA147" s="3" t="n">
        <f aca="false">+SUM(AA135:AA146)-AA137</f>
        <v>1531</v>
      </c>
      <c r="AB147" s="3" t="n">
        <f aca="false">+SUM(AB135:AB146)-AB137</f>
        <v>2071</v>
      </c>
      <c r="AC147" s="3" t="n">
        <f aca="false">+SUM(AC135:AC146)-AC137</f>
        <v>1313</v>
      </c>
      <c r="AD147" s="3" t="n">
        <f aca="false">+SUM(AD135:AD146)-AD137</f>
        <v>1607</v>
      </c>
      <c r="AE147" s="3" t="n">
        <f aca="false">+SUM(AE135:AE146)-AE137</f>
        <v>2452</v>
      </c>
      <c r="AF147" s="3" t="n">
        <f aca="false">+SUM(AF135:AF146)-AF137</f>
        <v>745.821</v>
      </c>
      <c r="AG147" s="3" t="n">
        <f aca="false">+SUM(AG135:AG146)-AG137</f>
        <v>850.23594</v>
      </c>
      <c r="AH147" s="3" t="n">
        <f aca="false">+SUM(AH135:AH146)-AH137</f>
        <v>1067.518458</v>
      </c>
      <c r="AI147" s="3" t="n">
        <f aca="false">+SUM(AI135:AI146)-AI137</f>
        <v>1195.62067296</v>
      </c>
      <c r="AJ147" s="3" t="n">
        <f aca="false">+SUM(AJ135:AJ146)-AJ137</f>
        <v>1327.1389469856</v>
      </c>
    </row>
    <row r="149" customFormat="false" ht="12.8" hidden="false" customHeight="false" outlineLevel="0" collapsed="false">
      <c r="A149" s="3" t="s">
        <v>149</v>
      </c>
      <c r="B149" s="3" t="n">
        <v>9</v>
      </c>
      <c r="C149" s="3" t="n">
        <f aca="false">+16-B149</f>
        <v>7</v>
      </c>
      <c r="D149" s="3" t="n">
        <f aca="false">+21-C149-B149</f>
        <v>5</v>
      </c>
      <c r="E149" s="3" t="n">
        <f aca="false">+31-D149-C149-B149</f>
        <v>10</v>
      </c>
      <c r="F149" s="3" t="n">
        <v>7</v>
      </c>
      <c r="G149" s="3" t="n">
        <f aca="false">+16-F149</f>
        <v>9</v>
      </c>
      <c r="H149" s="3" t="n">
        <f aca="false">+26-G149-F149</f>
        <v>10</v>
      </c>
      <c r="I149" s="3" t="n">
        <f aca="false">+40-H149-G149-F149</f>
        <v>14</v>
      </c>
      <c r="J149" s="3" t="n">
        <v>8</v>
      </c>
      <c r="K149" s="3" t="n">
        <f aca="false">+17-J149</f>
        <v>9</v>
      </c>
      <c r="L149" s="3" t="n">
        <f aca="false">+26-K149-J149</f>
        <v>9</v>
      </c>
      <c r="M149" s="3" t="n">
        <f aca="false">+43-L149-K149-J149</f>
        <v>17</v>
      </c>
      <c r="N149" s="3" t="n">
        <v>17</v>
      </c>
      <c r="O149" s="3" t="n">
        <f aca="false">+31-N149</f>
        <v>14</v>
      </c>
      <c r="U149" s="3" t="n">
        <v>72.4</v>
      </c>
      <c r="V149" s="3" t="n">
        <v>76</v>
      </c>
      <c r="W149" s="3" t="n">
        <v>50.7</v>
      </c>
      <c r="X149" s="3" t="n">
        <v>67</v>
      </c>
      <c r="Y149" s="3" t="n">
        <v>53.2</v>
      </c>
      <c r="Z149" s="3" t="n">
        <v>91</v>
      </c>
      <c r="AA149" s="3" t="n">
        <v>56</v>
      </c>
      <c r="AB149" s="3" t="n">
        <v>40</v>
      </c>
      <c r="AC149" s="3" t="n">
        <v>31</v>
      </c>
      <c r="AD149" s="3" t="n">
        <v>40</v>
      </c>
      <c r="AE149" s="3" t="n">
        <v>43</v>
      </c>
      <c r="AF149" s="3" t="n">
        <f aca="false">+AF29*0.007</f>
        <v>58.0083</v>
      </c>
      <c r="AG149" s="3" t="n">
        <f aca="false">+AG29*0.007</f>
        <v>66.129462</v>
      </c>
      <c r="AH149" s="3" t="n">
        <f aca="false">+AH29*0.007</f>
        <v>74.72629206</v>
      </c>
      <c r="AI149" s="3" t="n">
        <f aca="false">+AI29*0.007</f>
        <v>83.6934471072</v>
      </c>
      <c r="AJ149" s="3" t="n">
        <f aca="false">+AJ29*0.007</f>
        <v>92.899726288992</v>
      </c>
    </row>
    <row r="150" s="15" customFormat="true" ht="10.5" hidden="false" customHeight="true" outlineLevel="0" collapsed="false">
      <c r="B150" s="15" t="n">
        <f aca="false">+B149/B$29</f>
        <v>0.00709219858156028</v>
      </c>
      <c r="C150" s="15" t="n">
        <f aca="false">+C149/C$29</f>
        <v>0.00520446096654275</v>
      </c>
      <c r="D150" s="15" t="n">
        <f aca="false">+D149/D$29</f>
        <v>0.00353606789250354</v>
      </c>
      <c r="E150" s="15" t="n">
        <f aca="false">+E149/E$29</f>
        <v>0.0068073519400953</v>
      </c>
      <c r="F150" s="15" t="n">
        <f aca="false">+F149/F$29</f>
        <v>0.00494001411432604</v>
      </c>
      <c r="G150" s="15" t="n">
        <f aca="false">+G149/G$29</f>
        <v>0.00598006644518272</v>
      </c>
      <c r="H150" s="15" t="n">
        <f aca="false">+H149/H$29</f>
        <v>0.00636942675159236</v>
      </c>
      <c r="I150" s="15" t="n">
        <f aca="false">+I149/I$29</f>
        <v>0.00854179377669311</v>
      </c>
      <c r="J150" s="15" t="n">
        <f aca="false">+J149/J$29</f>
        <v>0.00489895897121862</v>
      </c>
      <c r="K150" s="15" t="n">
        <f aca="false">+K149/K$29</f>
        <v>0.00510493477027794</v>
      </c>
      <c r="L150" s="15" t="n">
        <f aca="false">+L149/L$29</f>
        <v>0.00485698866702644</v>
      </c>
      <c r="M150" s="15" t="n">
        <f aca="false">+M149/M$29</f>
        <v>0.00868676545733265</v>
      </c>
      <c r="N150" s="15" t="n">
        <f aca="false">+N149/N$29</f>
        <v>0.00879007238883144</v>
      </c>
      <c r="O150" s="15" t="n">
        <f aca="false">+O149/O$29</f>
        <v>0.00684261974584555</v>
      </c>
      <c r="U150" s="15" t="n">
        <f aca="false">+U149/U$29</f>
        <v>0.0289125833632842</v>
      </c>
      <c r="V150" s="15" t="n">
        <f aca="false">+V149/V$29</f>
        <v>0.0374199901526342</v>
      </c>
      <c r="W150" s="15" t="n">
        <f aca="false">+W149/W$29</f>
        <v>0.0246523388116309</v>
      </c>
      <c r="X150" s="15" t="n">
        <f aca="false">+X149/X$29</f>
        <v>0.0260720678652035</v>
      </c>
      <c r="Y150" s="15" t="n">
        <f aca="false">+Y149/Y$29</f>
        <v>0.0162477476101762</v>
      </c>
      <c r="Z150" s="15" t="n">
        <f aca="false">+Z149/Z$29</f>
        <v>0.0240105540897098</v>
      </c>
      <c r="AA150" s="15" t="n">
        <f aca="false">+AA149/AA$29</f>
        <v>0.0127678978568171</v>
      </c>
      <c r="AB150" s="15" t="n">
        <f aca="false">+AB149/AB$29</f>
        <v>0.00799200799200799</v>
      </c>
      <c r="AC150" s="15" t="n">
        <f aca="false">+AC149/AC$29</f>
        <v>0.00563943969437875</v>
      </c>
      <c r="AD150" s="15" t="n">
        <f aca="false">+AD149/AD$29</f>
        <v>0.0065242211710977</v>
      </c>
      <c r="AE150" s="15" t="n">
        <f aca="false">+AE149/AE$29</f>
        <v>0.00596724951429364</v>
      </c>
      <c r="AF150" s="15" t="n">
        <f aca="false">+AF149/AF$29</f>
        <v>0.007</v>
      </c>
      <c r="AG150" s="15" t="n">
        <f aca="false">+AG149/AG$29</f>
        <v>0.007</v>
      </c>
      <c r="AH150" s="15" t="n">
        <f aca="false">+AH149/AH$29</f>
        <v>0.007</v>
      </c>
      <c r="AI150" s="15" t="n">
        <f aca="false">+AI149/AI$29</f>
        <v>0.007</v>
      </c>
      <c r="AJ150" s="15" t="n">
        <f aca="false">+AJ149/AJ$29</f>
        <v>0.007</v>
      </c>
      <c r="AR150" s="0"/>
      <c r="AS150" s="0"/>
      <c r="AT150" s="0"/>
      <c r="AU150" s="0"/>
      <c r="AV150" s="0"/>
    </row>
    <row r="151" s="16" customFormat="true" ht="12.8" hidden="false" customHeight="false" outlineLevel="0" collapsed="false">
      <c r="A151" s="16" t="s">
        <v>150</v>
      </c>
      <c r="B151" s="16" t="n">
        <f aca="false">+B147-B149</f>
        <v>714</v>
      </c>
      <c r="C151" s="16" t="n">
        <f aca="false">+C147-C149</f>
        <v>128</v>
      </c>
      <c r="D151" s="16" t="n">
        <f aca="false">+D147-D149</f>
        <v>13</v>
      </c>
      <c r="E151" s="16" t="n">
        <f aca="false">+E147-E149</f>
        <v>427</v>
      </c>
      <c r="F151" s="16" t="n">
        <f aca="false">+F147-F149</f>
        <v>487</v>
      </c>
      <c r="G151" s="16" t="n">
        <f aca="false">+G147-G149</f>
        <v>203</v>
      </c>
      <c r="H151" s="16" t="n">
        <f aca="false">+H147-H149</f>
        <v>199</v>
      </c>
      <c r="I151" s="16" t="n">
        <f aca="false">+I147-I149</f>
        <v>678</v>
      </c>
      <c r="J151" s="16" t="n">
        <f aca="false">+J147-J149</f>
        <v>556</v>
      </c>
      <c r="K151" s="16" t="n">
        <f aca="false">+K147-K149</f>
        <v>451</v>
      </c>
      <c r="L151" s="16" t="n">
        <f aca="false">+L147-L149</f>
        <v>430</v>
      </c>
      <c r="M151" s="16" t="n">
        <f aca="false">+M147-M149</f>
        <v>972</v>
      </c>
      <c r="N151" s="16" t="n">
        <f aca="false">+N147-N149</f>
        <v>876</v>
      </c>
      <c r="O151" s="16" t="n">
        <f aca="false">+O147-O149</f>
        <v>561</v>
      </c>
      <c r="U151" s="16" t="n">
        <f aca="false">+U147-U149</f>
        <v>341.6</v>
      </c>
      <c r="V151" s="16" t="n">
        <f aca="false">+V147-V149</f>
        <v>93.7</v>
      </c>
      <c r="W151" s="16" t="n">
        <f aca="false">+W147-W149</f>
        <v>-49.8</v>
      </c>
      <c r="X151" s="16" t="n">
        <f aca="false">+X147-X149</f>
        <v>427.1</v>
      </c>
      <c r="Y151" s="16" t="n">
        <f aca="false">+Y147-Y149</f>
        <v>1361.9</v>
      </c>
      <c r="Z151" s="16" t="n">
        <f aca="false">+Z147-Z149</f>
        <v>1346</v>
      </c>
      <c r="AA151" s="16" t="n">
        <f aca="false">+AA147-AA149</f>
        <v>1475</v>
      </c>
      <c r="AB151" s="16" t="n">
        <f aca="false">+AB147-AB149</f>
        <v>2031</v>
      </c>
      <c r="AC151" s="16" t="n">
        <f aca="false">+AC147-AC149</f>
        <v>1282</v>
      </c>
      <c r="AD151" s="16" t="n">
        <f aca="false">+AD147-AD149</f>
        <v>1567</v>
      </c>
      <c r="AE151" s="16" t="n">
        <f aca="false">+AE147-AE149</f>
        <v>2409</v>
      </c>
      <c r="AF151" s="16" t="n">
        <f aca="false">+AF147-AF149</f>
        <v>687.8127</v>
      </c>
      <c r="AG151" s="16" t="n">
        <f aca="false">+AG147-AG149</f>
        <v>784.106478</v>
      </c>
      <c r="AH151" s="16" t="n">
        <f aca="false">+AH147-AH149</f>
        <v>992.79216594</v>
      </c>
      <c r="AI151" s="16" t="n">
        <f aca="false">+AI147-AI149</f>
        <v>1111.9272258528</v>
      </c>
      <c r="AJ151" s="16" t="n">
        <f aca="false">+AJ147-AJ149</f>
        <v>1234.23922069661</v>
      </c>
      <c r="AR151" s="0"/>
      <c r="AS151" s="0"/>
      <c r="AT151" s="0"/>
      <c r="AU151" s="0"/>
      <c r="AV151" s="0"/>
    </row>
    <row r="152" s="15" customFormat="true" ht="10.5" hidden="false" customHeight="true" outlineLevel="0" collapsed="false">
      <c r="F152" s="15" t="n">
        <f aca="false">+F151/B151-1</f>
        <v>-0.317927170868347</v>
      </c>
      <c r="G152" s="15" t="n">
        <f aca="false">+G151/C151-1</f>
        <v>0.5859375</v>
      </c>
      <c r="H152" s="15" t="n">
        <f aca="false">+H151/D151-1</f>
        <v>14.3076923076923</v>
      </c>
      <c r="I152" s="15" t="n">
        <f aca="false">+I151/E151-1</f>
        <v>0.587822014051522</v>
      </c>
      <c r="J152" s="15" t="n">
        <f aca="false">+J151/F151-1</f>
        <v>0.141683778234086</v>
      </c>
      <c r="K152" s="15" t="n">
        <f aca="false">+K151/G151-1</f>
        <v>1.22167487684729</v>
      </c>
      <c r="L152" s="15" t="n">
        <f aca="false">+L151/H151-1</f>
        <v>1.1608040201005</v>
      </c>
      <c r="M152" s="15" t="n">
        <f aca="false">+M151/I151-1</f>
        <v>0.433628318584071</v>
      </c>
      <c r="N152" s="15" t="n">
        <f aca="false">+N151/J151-1</f>
        <v>0.575539568345324</v>
      </c>
      <c r="O152" s="15" t="n">
        <f aca="false">+O151/K151-1</f>
        <v>0.24390243902439</v>
      </c>
      <c r="V152" s="15" t="n">
        <f aca="false">+V151/U151-1</f>
        <v>-0.725702576112412</v>
      </c>
      <c r="W152" s="15" t="n">
        <f aca="false">+W151/V151-1</f>
        <v>-1.53148345784418</v>
      </c>
      <c r="X152" s="15" t="n">
        <f aca="false">+X151/W151-1</f>
        <v>-9.57630522088354</v>
      </c>
      <c r="Y152" s="15" t="n">
        <f aca="false">+Y151/X151-1</f>
        <v>2.18871458674783</v>
      </c>
      <c r="Z152" s="15" t="n">
        <f aca="false">+Z151/Y151-1</f>
        <v>-0.0116748659960351</v>
      </c>
      <c r="AA152" s="15" t="n">
        <f aca="false">+AA151/Z151-1</f>
        <v>0.0958395245170878</v>
      </c>
      <c r="AB152" s="15" t="n">
        <f aca="false">+AB151/AA151-1</f>
        <v>0.376949152542373</v>
      </c>
      <c r="AC152" s="15" t="n">
        <f aca="false">+AC151/AB151-1</f>
        <v>-0.368783850320039</v>
      </c>
      <c r="AD152" s="15" t="n">
        <f aca="false">+AD151/AC151-1</f>
        <v>0.222308892355694</v>
      </c>
      <c r="AE152" s="15" t="n">
        <f aca="false">+AE151/AD151-1</f>
        <v>0.537332482450543</v>
      </c>
      <c r="AR152" s="0"/>
      <c r="AS152" s="0"/>
      <c r="AT152" s="0"/>
      <c r="AU152" s="0"/>
      <c r="AV152" s="0"/>
    </row>
    <row r="156" customFormat="false" ht="12.8" hidden="false" customHeight="false" outlineLevel="0" collapsed="false">
      <c r="A156" s="3" t="s">
        <v>151</v>
      </c>
      <c r="B156" s="3" t="n">
        <v>71</v>
      </c>
      <c r="C156" s="3" t="n">
        <f aca="false">+71-B156</f>
        <v>0</v>
      </c>
      <c r="D156" s="3" t="n">
        <f aca="false">+130-C156-B156</f>
        <v>59</v>
      </c>
      <c r="E156" s="3" t="n">
        <f aca="false">+130-D156-C156-B156</f>
        <v>0</v>
      </c>
      <c r="F156" s="3" t="n">
        <v>71</v>
      </c>
      <c r="G156" s="3" t="n">
        <f aca="false">+71-F156</f>
        <v>0</v>
      </c>
      <c r="H156" s="3" t="n">
        <f aca="false">+121-G156-F156</f>
        <v>50</v>
      </c>
      <c r="I156" s="3" t="n">
        <f aca="false">+121-H156-G156-F156</f>
        <v>0</v>
      </c>
      <c r="J156" s="3" t="n">
        <v>75</v>
      </c>
      <c r="K156" s="3" t="n">
        <f aca="false">+75-J156</f>
        <v>0</v>
      </c>
      <c r="L156" s="3" t="n">
        <f aca="false">+137-K156-J156</f>
        <v>62</v>
      </c>
      <c r="M156" s="3" t="n">
        <f aca="false">+137-L156-K156-J156</f>
        <v>0</v>
      </c>
      <c r="N156" s="3" t="n">
        <v>76</v>
      </c>
      <c r="O156" s="3" t="n">
        <f aca="false">+76-N156</f>
        <v>0</v>
      </c>
      <c r="U156" s="3" t="n">
        <v>110.8</v>
      </c>
      <c r="V156" s="32" t="n">
        <v>119.6</v>
      </c>
      <c r="W156" s="3" t="n">
        <v>94.4</v>
      </c>
      <c r="X156" s="3" t="n">
        <v>90.9</v>
      </c>
      <c r="Y156" s="3" t="n">
        <v>93.7</v>
      </c>
      <c r="Z156" s="3" t="n">
        <v>114</v>
      </c>
      <c r="AA156" s="3" t="n">
        <v>114</v>
      </c>
      <c r="AB156" s="3" t="n">
        <v>124</v>
      </c>
      <c r="AC156" s="3" t="n">
        <v>130</v>
      </c>
      <c r="AD156" s="3" t="n">
        <v>121</v>
      </c>
      <c r="AE156" s="3" t="n">
        <v>137</v>
      </c>
    </row>
    <row r="157" s="15" customFormat="true" ht="10.5" hidden="false" customHeight="true" outlineLevel="0" collapsed="false">
      <c r="A157" s="33" t="s">
        <v>152</v>
      </c>
      <c r="F157" s="15" t="n">
        <f aca="false">+F156/B156-1</f>
        <v>0</v>
      </c>
      <c r="G157" s="15" t="e">
        <f aca="false">+G156/C156-1</f>
        <v>#DIV/0!</v>
      </c>
      <c r="H157" s="15" t="n">
        <f aca="false">+H156/D156-1</f>
        <v>-0.152542372881356</v>
      </c>
      <c r="I157" s="15" t="e">
        <f aca="false">+I156/E156-1</f>
        <v>#DIV/0!</v>
      </c>
      <c r="J157" s="15" t="n">
        <f aca="false">+J156/F156-1</f>
        <v>0.056338028169014</v>
      </c>
      <c r="K157" s="15" t="e">
        <f aca="false">+K156/G156-1</f>
        <v>#DIV/0!</v>
      </c>
      <c r="L157" s="15" t="n">
        <f aca="false">+L156/H156-1</f>
        <v>0.24</v>
      </c>
      <c r="M157" s="15" t="e">
        <f aca="false">+M156/I156-1</f>
        <v>#DIV/0!</v>
      </c>
      <c r="N157" s="15" t="n">
        <f aca="false">+N156/J156-1</f>
        <v>0.0133333333333334</v>
      </c>
      <c r="O157" s="15" t="e">
        <f aca="false">+O156/K156-1</f>
        <v>#DIV/0!</v>
      </c>
      <c r="V157" s="15" t="n">
        <f aca="false">+V156/U156-1</f>
        <v>0.0794223826714802</v>
      </c>
      <c r="W157" s="15" t="n">
        <f aca="false">+W156/V156-1</f>
        <v>-0.210702341137124</v>
      </c>
      <c r="X157" s="15" t="n">
        <f aca="false">+X156/W156-1</f>
        <v>-0.0370762711864406</v>
      </c>
      <c r="Y157" s="15" t="n">
        <f aca="false">+Y156/X156-1</f>
        <v>0.0308030803080308</v>
      </c>
      <c r="Z157" s="15" t="n">
        <f aca="false">+Z156/Y156-1</f>
        <v>0.216648879402348</v>
      </c>
      <c r="AA157" s="15" t="n">
        <f aca="false">+AA156/Z156-1</f>
        <v>0</v>
      </c>
      <c r="AB157" s="15" t="n">
        <f aca="false">+AB156/AA156-1</f>
        <v>0.0877192982456141</v>
      </c>
      <c r="AC157" s="15" t="n">
        <f aca="false">+AC156/AB156-1</f>
        <v>0.0483870967741935</v>
      </c>
      <c r="AD157" s="15" t="n">
        <f aca="false">+AD156/AC156-1</f>
        <v>-0.0692307692307692</v>
      </c>
      <c r="AE157" s="15" t="n">
        <f aca="false">+AE156/AD156-1</f>
        <v>0.132231404958678</v>
      </c>
      <c r="AR157" s="0"/>
      <c r="AS157" s="0"/>
      <c r="AT157" s="0"/>
      <c r="AU157" s="0"/>
      <c r="AV157" s="0"/>
    </row>
    <row r="158" s="15" customFormat="true" ht="10.5" hidden="false" customHeight="true" outlineLevel="0" collapsed="false">
      <c r="B158" s="15" t="n">
        <f aca="false">+B156/B$29</f>
        <v>0.0559495665878645</v>
      </c>
      <c r="C158" s="15" t="n">
        <f aca="false">+C156/C$29</f>
        <v>0</v>
      </c>
      <c r="D158" s="15" t="n">
        <f aca="false">+D156/D$29</f>
        <v>0.0417256011315417</v>
      </c>
      <c r="E158" s="15" t="n">
        <f aca="false">+E156/E$29</f>
        <v>0</v>
      </c>
      <c r="F158" s="15" t="n">
        <f aca="false">+F156/F$29</f>
        <v>0.050105857445307</v>
      </c>
      <c r="G158" s="15" t="n">
        <f aca="false">+G156/G$29</f>
        <v>0</v>
      </c>
      <c r="H158" s="15" t="n">
        <f aca="false">+H156/H$29</f>
        <v>0.0318471337579618</v>
      </c>
      <c r="I158" s="15" t="n">
        <f aca="false">+I156/I$29</f>
        <v>0</v>
      </c>
      <c r="J158" s="15" t="n">
        <f aca="false">+J156/J$29</f>
        <v>0.0459277403551745</v>
      </c>
      <c r="K158" s="15" t="n">
        <f aca="false">+K156/K$29</f>
        <v>0</v>
      </c>
      <c r="L158" s="15" t="n">
        <f aca="false">+L156/L$29</f>
        <v>0.0334592552617377</v>
      </c>
      <c r="M158" s="15" t="n">
        <f aca="false">+M156/M$29</f>
        <v>0</v>
      </c>
      <c r="N158" s="15" t="n">
        <f aca="false">+N156/N$29</f>
        <v>0.0392967942088935</v>
      </c>
      <c r="O158" s="15" t="n">
        <f aca="false">+O156/O$29</f>
        <v>0</v>
      </c>
      <c r="V158" s="15" t="n">
        <f aca="false">+V156/U$29</f>
        <v>0.04776167085979</v>
      </c>
      <c r="W158" s="15" t="n">
        <f aca="false">+W156/V$29</f>
        <v>0.0464795667159035</v>
      </c>
      <c r="X158" s="15" t="n">
        <f aca="false">+X156/W$29</f>
        <v>0.0441991636681902</v>
      </c>
      <c r="Y158" s="15" t="n">
        <f aca="false">+Y156/Y$29</f>
        <v>0.0286168035916074</v>
      </c>
      <c r="Z158" s="15" t="n">
        <f aca="false">+Z156/Z$29</f>
        <v>0.0300791556728232</v>
      </c>
      <c r="AA158" s="15" t="n">
        <f aca="false">+AA156/AA$29</f>
        <v>0.0259917920656635</v>
      </c>
      <c r="AB158" s="15" t="n">
        <f aca="false">+AB156/AB$29</f>
        <v>0.0247752247752248</v>
      </c>
      <c r="AC158" s="15" t="n">
        <f aca="false">+AC156/AC$29</f>
        <v>0.0236492632344915</v>
      </c>
      <c r="AD158" s="15" t="n">
        <f aca="false">+AD156/AD$29</f>
        <v>0.0197357690425705</v>
      </c>
      <c r="AE158" s="15" t="n">
        <f aca="false">+AE156/AE$29</f>
        <v>0.0190119344990286</v>
      </c>
      <c r="AR158" s="0"/>
      <c r="AS158" s="0"/>
      <c r="AT158" s="0"/>
      <c r="AU158" s="0"/>
      <c r="AV158" s="0"/>
    </row>
    <row r="159" customFormat="false" ht="12.8" hidden="false" customHeight="false" outlineLevel="0" collapsed="false">
      <c r="A159" s="3" t="s">
        <v>153</v>
      </c>
      <c r="B159" s="3" t="n">
        <v>512</v>
      </c>
      <c r="C159" s="3" t="n">
        <f aca="false">+616-B159</f>
        <v>104</v>
      </c>
      <c r="D159" s="3" t="n">
        <f aca="false">+730-C159-B159</f>
        <v>114</v>
      </c>
      <c r="E159" s="3" t="n">
        <f aca="false">+795-D159-C159-B159</f>
        <v>65</v>
      </c>
      <c r="F159" s="3" t="n">
        <v>9</v>
      </c>
      <c r="G159" s="3" t="n">
        <f aca="false">+120-F159</f>
        <v>111</v>
      </c>
      <c r="H159" s="3" t="n">
        <f aca="false">+443-G159-F159</f>
        <v>323</v>
      </c>
      <c r="I159" s="3" t="n">
        <f aca="false">+852-H159-G159-F159</f>
        <v>409</v>
      </c>
      <c r="J159" s="3" t="n">
        <v>354</v>
      </c>
      <c r="K159" s="3" t="n">
        <f aca="false">+712-J159</f>
        <v>358</v>
      </c>
      <c r="L159" s="3" t="n">
        <f aca="false">+1071-K159-J159</f>
        <v>359</v>
      </c>
      <c r="M159" s="3" t="n">
        <f aca="false">+1402-L159-K159-J159</f>
        <v>331</v>
      </c>
      <c r="N159" s="3" t="n">
        <v>448</v>
      </c>
      <c r="O159" s="3" t="n">
        <f aca="false">+901-N159</f>
        <v>453</v>
      </c>
      <c r="U159" s="3" t="n">
        <v>458</v>
      </c>
      <c r="V159" s="32" t="n">
        <v>621.7</v>
      </c>
      <c r="W159" s="3" t="n">
        <v>699</v>
      </c>
      <c r="X159" s="3" t="n">
        <v>293.5</v>
      </c>
      <c r="Y159" s="3" t="n">
        <v>442.5</v>
      </c>
      <c r="Z159" s="3" t="n">
        <v>552</v>
      </c>
      <c r="AA159" s="3" t="n">
        <v>1079</v>
      </c>
      <c r="AB159" s="3" t="n">
        <v>1101</v>
      </c>
      <c r="AC159" s="3" t="n">
        <v>795</v>
      </c>
      <c r="AD159" s="3" t="n">
        <v>852</v>
      </c>
      <c r="AE159" s="3" t="n">
        <v>1402</v>
      </c>
    </row>
    <row r="160" s="15" customFormat="true" ht="10.5" hidden="false" customHeight="true" outlineLevel="0" collapsed="false">
      <c r="F160" s="15" t="n">
        <f aca="false">+F159/B159-1</f>
        <v>-0.982421875</v>
      </c>
      <c r="G160" s="15" t="n">
        <f aca="false">+G159/C159-1</f>
        <v>0.0673076923076923</v>
      </c>
      <c r="H160" s="15" t="n">
        <f aca="false">+H159/D159-1</f>
        <v>1.83333333333333</v>
      </c>
      <c r="I160" s="15" t="n">
        <f aca="false">+I159/E159-1</f>
        <v>5.29230769230769</v>
      </c>
      <c r="J160" s="15" t="n">
        <f aca="false">+J159/F159-1</f>
        <v>38.3333333333333</v>
      </c>
      <c r="K160" s="15" t="n">
        <f aca="false">+K159/G159-1</f>
        <v>2.22522522522523</v>
      </c>
      <c r="L160" s="15" t="n">
        <f aca="false">+L159/H159-1</f>
        <v>0.111455108359133</v>
      </c>
      <c r="M160" s="15" t="n">
        <f aca="false">+M159/I159-1</f>
        <v>-0.190709046454768</v>
      </c>
      <c r="N160" s="15" t="n">
        <f aca="false">+N159/J159-1</f>
        <v>0.265536723163842</v>
      </c>
      <c r="O160" s="15" t="n">
        <f aca="false">+O159/K159-1</f>
        <v>0.26536312849162</v>
      </c>
      <c r="V160" s="15" t="n">
        <f aca="false">+V159/U159-1</f>
        <v>0.357423580786026</v>
      </c>
      <c r="W160" s="15" t="n">
        <f aca="false">+W159/V159-1</f>
        <v>0.12433649670259</v>
      </c>
      <c r="X160" s="15" t="n">
        <f aca="false">+X159/W159-1</f>
        <v>-0.580114449213162</v>
      </c>
      <c r="Z160" s="15" t="n">
        <f aca="false">+Z159/Y159-1</f>
        <v>0.247457627118644</v>
      </c>
      <c r="AA160" s="15" t="n">
        <f aca="false">+AA159/Z159-1</f>
        <v>0.954710144927536</v>
      </c>
      <c r="AB160" s="15" t="n">
        <f aca="false">+AB159/AA159-1</f>
        <v>0.020389249304912</v>
      </c>
      <c r="AC160" s="15" t="n">
        <f aca="false">+AC159/AB159-1</f>
        <v>-0.277929155313352</v>
      </c>
      <c r="AD160" s="15" t="n">
        <f aca="false">+AD159/AC159-1</f>
        <v>0.0716981132075472</v>
      </c>
      <c r="AE160" s="15" t="n">
        <f aca="false">+AE159/AD159-1</f>
        <v>0.645539906103287</v>
      </c>
      <c r="AR160" s="0"/>
      <c r="AS160" s="0"/>
      <c r="AT160" s="0"/>
      <c r="AU160" s="0"/>
      <c r="AV160" s="0"/>
    </row>
    <row r="161" s="15" customFormat="true" ht="10.5" hidden="false" customHeight="true" outlineLevel="0" collapsed="false">
      <c r="B161" s="15" t="n">
        <f aca="false">+B159/B$29</f>
        <v>0.403467297084318</v>
      </c>
      <c r="C161" s="15" t="n">
        <f aca="false">+C159/C$29</f>
        <v>0.0773234200743495</v>
      </c>
      <c r="D161" s="15" t="n">
        <f aca="false">+D159/D$29</f>
        <v>0.0806223479490806</v>
      </c>
      <c r="E161" s="15" t="n">
        <f aca="false">+E159/E$29</f>
        <v>0.0442477876106195</v>
      </c>
      <c r="F161" s="15" t="n">
        <f aca="false">+F159/F$29</f>
        <v>0.0063514467184192</v>
      </c>
      <c r="G161" s="15" t="n">
        <f aca="false">+G159/G$29</f>
        <v>0.0737541528239203</v>
      </c>
      <c r="H161" s="15" t="n">
        <f aca="false">+H159/H$29</f>
        <v>0.205732484076433</v>
      </c>
      <c r="I161" s="15" t="n">
        <f aca="false">+I159/I$29</f>
        <v>0.24954240390482</v>
      </c>
      <c r="J161" s="15" t="n">
        <f aca="false">+J159/J$29</f>
        <v>0.216778934476424</v>
      </c>
      <c r="K161" s="15" t="n">
        <f aca="false">+K159/K$29</f>
        <v>0.203062960862167</v>
      </c>
      <c r="L161" s="15" t="n">
        <f aca="false">+L159/L$29</f>
        <v>0.19373988127361</v>
      </c>
      <c r="M161" s="15" t="n">
        <f aca="false">+M159/M$29</f>
        <v>0.1691364333163</v>
      </c>
      <c r="N161" s="15" t="n">
        <f aca="false">+N159/N$29</f>
        <v>0.231644260599793</v>
      </c>
      <c r="O161" s="15" t="n">
        <f aca="false">+O159/O$29</f>
        <v>0.221407624633431</v>
      </c>
      <c r="V161" s="15" t="n">
        <f aca="false">+V159/U$29</f>
        <v>0.24827283255461</v>
      </c>
      <c r="W161" s="15" t="n">
        <f aca="false">+W159/V$29</f>
        <v>0.344165435745938</v>
      </c>
      <c r="X161" s="15" t="n">
        <f aca="false">+X159/W$29</f>
        <v>0.142711271029855</v>
      </c>
      <c r="Y161" s="15" t="n">
        <f aca="false">+Y159/Y$29</f>
        <v>0.135143389426748</v>
      </c>
      <c r="Z161" s="15" t="n">
        <f aca="false">+Z159/Z$29</f>
        <v>0.145646437994723</v>
      </c>
      <c r="AA161" s="15" t="n">
        <f aca="false">+AA159/AA$29</f>
        <v>0.246010031919745</v>
      </c>
      <c r="AB161" s="15" t="n">
        <f aca="false">+AB159/AB$29</f>
        <v>0.21998001998002</v>
      </c>
      <c r="AC161" s="15" t="n">
        <f aca="false">+AC159/AC$29</f>
        <v>0.144624340549391</v>
      </c>
      <c r="AD161" s="15" t="n">
        <f aca="false">+AD159/AD$29</f>
        <v>0.138965910944381</v>
      </c>
      <c r="AE161" s="15" t="n">
        <f aca="false">+AE159/AE$29</f>
        <v>0.194560088814877</v>
      </c>
      <c r="AR161" s="0"/>
      <c r="AS161" s="0"/>
      <c r="AT161" s="0"/>
      <c r="AU161" s="0"/>
      <c r="AV161" s="0"/>
    </row>
    <row r="162" customFormat="false" ht="12.8" hidden="false" customHeight="false" outlineLevel="0" collapsed="false">
      <c r="A162" s="3" t="s">
        <v>154</v>
      </c>
      <c r="B162" s="3" t="n">
        <v>0</v>
      </c>
      <c r="C162" s="3" t="n">
        <f aca="false">+0-B162</f>
        <v>0</v>
      </c>
      <c r="D162" s="3" t="n">
        <f aca="false">+0-C162-B162</f>
        <v>0</v>
      </c>
      <c r="E162" s="3" t="n">
        <f aca="false">+0-D162-C162-B162</f>
        <v>0</v>
      </c>
      <c r="F162" s="3" t="n">
        <v>0</v>
      </c>
      <c r="G162" s="3" t="n">
        <f aca="false">+0-F162</f>
        <v>0</v>
      </c>
      <c r="H162" s="3" t="n">
        <f aca="false">+0-G162-F162</f>
        <v>0</v>
      </c>
      <c r="I162" s="3" t="n">
        <f aca="false">+0-H162-G162-F162</f>
        <v>0</v>
      </c>
      <c r="J162" s="3" t="n">
        <v>0</v>
      </c>
      <c r="K162" s="3" t="n">
        <f aca="false">+0-J162</f>
        <v>0</v>
      </c>
      <c r="L162" s="3" t="n">
        <f aca="false">+0-K162-J162</f>
        <v>0</v>
      </c>
      <c r="M162" s="3" t="n">
        <v>0</v>
      </c>
      <c r="N162" s="3" t="n">
        <v>0</v>
      </c>
      <c r="O162" s="3" t="n">
        <f aca="false">+0-N162</f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</row>
    <row r="163" s="15" customFormat="true" ht="10.5" hidden="false" customHeight="true" outlineLevel="0" collapsed="false">
      <c r="F163" s="15" t="e">
        <f aca="false">+F162/B162-1</f>
        <v>#DIV/0!</v>
      </c>
      <c r="G163" s="15" t="e">
        <f aca="false">+G162/C162-1</f>
        <v>#DIV/0!</v>
      </c>
      <c r="H163" s="15" t="e">
        <f aca="false">+H162/D162-1</f>
        <v>#DIV/0!</v>
      </c>
      <c r="I163" s="15" t="e">
        <f aca="false">+I162/E162-1</f>
        <v>#DIV/0!</v>
      </c>
      <c r="J163" s="15" t="e">
        <f aca="false">+J162/F162-1</f>
        <v>#DIV/0!</v>
      </c>
      <c r="K163" s="15" t="e">
        <f aca="false">+K162/G162-1</f>
        <v>#DIV/0!</v>
      </c>
      <c r="L163" s="15" t="e">
        <f aca="false">+L162/H162-1</f>
        <v>#DIV/0!</v>
      </c>
      <c r="M163" s="15" t="e">
        <f aca="false">+M162/I162-1</f>
        <v>#DIV/0!</v>
      </c>
      <c r="N163" s="15" t="e">
        <f aca="false">+N162/J162-1</f>
        <v>#DIV/0!</v>
      </c>
      <c r="O163" s="15" t="e">
        <f aca="false">+O162/K162-1</f>
        <v>#DIV/0!</v>
      </c>
      <c r="V163" s="32"/>
      <c r="X163" s="15" t="e">
        <f aca="false">+X162/W162-1</f>
        <v>#DIV/0!</v>
      </c>
      <c r="Z163" s="15" t="e">
        <f aca="false">+Z162/Y162-1</f>
        <v>#DIV/0!</v>
      </c>
      <c r="AA163" s="15" t="e">
        <f aca="false">+AA162/Z162-1</f>
        <v>#DIV/0!</v>
      </c>
      <c r="AB163" s="15" t="e">
        <f aca="false">+AB162/AA162-1</f>
        <v>#DIV/0!</v>
      </c>
      <c r="AC163" s="15" t="e">
        <f aca="false">+AC162/AB162-1</f>
        <v>#DIV/0!</v>
      </c>
      <c r="AD163" s="15" t="e">
        <f aca="false">+AD162/AC162-1</f>
        <v>#DIV/0!</v>
      </c>
      <c r="AE163" s="15" t="e">
        <f aca="false">+AE162/AD162-1</f>
        <v>#DIV/0!</v>
      </c>
      <c r="AR163" s="0"/>
      <c r="AS163" s="0"/>
      <c r="AT163" s="0"/>
      <c r="AU163" s="0"/>
      <c r="AV163" s="0"/>
    </row>
    <row r="164" s="15" customFormat="true" ht="10.5" hidden="false" customHeight="true" outlineLevel="0" collapsed="false">
      <c r="B164" s="15" t="n">
        <f aca="false">+B162/B$29</f>
        <v>0</v>
      </c>
      <c r="C164" s="15" t="n">
        <f aca="false">+C162/C$29</f>
        <v>0</v>
      </c>
      <c r="D164" s="15" t="n">
        <f aca="false">+D162/D$29</f>
        <v>0</v>
      </c>
      <c r="E164" s="15" t="n">
        <f aca="false">+E162/E$29</f>
        <v>0</v>
      </c>
      <c r="F164" s="15" t="n">
        <f aca="false">+F162/F$29</f>
        <v>0</v>
      </c>
      <c r="G164" s="15" t="n">
        <f aca="false">+G162/G$29</f>
        <v>0</v>
      </c>
      <c r="H164" s="15" t="n">
        <f aca="false">+H162/H$29</f>
        <v>0</v>
      </c>
      <c r="I164" s="15" t="n">
        <f aca="false">+I162/I$29</f>
        <v>0</v>
      </c>
      <c r="J164" s="15" t="n">
        <f aca="false">+J162/J$29</f>
        <v>0</v>
      </c>
      <c r="K164" s="15" t="n">
        <f aca="false">+K162/K$29</f>
        <v>0</v>
      </c>
      <c r="L164" s="15" t="n">
        <f aca="false">+L162/L$29</f>
        <v>0</v>
      </c>
      <c r="M164" s="15" t="n">
        <f aca="false">+M162/M$29</f>
        <v>0</v>
      </c>
      <c r="N164" s="15" t="n">
        <f aca="false">+N162/N$29</f>
        <v>0</v>
      </c>
      <c r="O164" s="15" t="n">
        <f aca="false">+O162/O$29</f>
        <v>0</v>
      </c>
      <c r="V164" s="32"/>
      <c r="W164" s="15" t="n">
        <f aca="false">+W162/V$29</f>
        <v>0</v>
      </c>
      <c r="X164" s="15" t="n">
        <f aca="false">+X162/W$29</f>
        <v>0</v>
      </c>
      <c r="Y164" s="15" t="n">
        <f aca="false">+Y162/Y$29</f>
        <v>0</v>
      </c>
      <c r="Z164" s="15" t="n">
        <f aca="false">+Z162/Z$29</f>
        <v>0</v>
      </c>
      <c r="AA164" s="15" t="n">
        <f aca="false">+AA162/AA$29</f>
        <v>0</v>
      </c>
      <c r="AB164" s="15" t="n">
        <f aca="false">+AB162/AB$29</f>
        <v>0</v>
      </c>
      <c r="AC164" s="15" t="n">
        <f aca="false">+AC162/AC$29</f>
        <v>0</v>
      </c>
      <c r="AD164" s="15" t="n">
        <f aca="false">+AD162/AD$29</f>
        <v>0</v>
      </c>
      <c r="AE164" s="15" t="n">
        <f aca="false">+AE162/AE$29</f>
        <v>0</v>
      </c>
      <c r="AR164" s="0"/>
      <c r="AS164" s="0"/>
      <c r="AT164" s="0"/>
      <c r="AU164" s="0"/>
      <c r="AV164" s="0"/>
    </row>
    <row r="165" customFormat="false" ht="12.8" hidden="false" customHeight="false" outlineLevel="0" collapsed="false">
      <c r="A165" s="3" t="s">
        <v>155</v>
      </c>
      <c r="B165" s="3" t="n">
        <f aca="false">+B162+B159-B156</f>
        <v>441</v>
      </c>
      <c r="C165" s="3" t="n">
        <f aca="false">+C162+C159-C156</f>
        <v>104</v>
      </c>
      <c r="D165" s="3" t="n">
        <f aca="false">+D162+D159-D156</f>
        <v>55</v>
      </c>
      <c r="E165" s="3" t="n">
        <f aca="false">+E162+E159-E156</f>
        <v>65</v>
      </c>
      <c r="F165" s="3" t="n">
        <f aca="false">+F162+F159-F156</f>
        <v>-62</v>
      </c>
      <c r="G165" s="3" t="n">
        <f aca="false">+G162+G159-G156</f>
        <v>111</v>
      </c>
      <c r="H165" s="3" t="n">
        <f aca="false">+H162+H159-H156</f>
        <v>273</v>
      </c>
      <c r="I165" s="3" t="n">
        <f aca="false">+I162+I159-I156</f>
        <v>409</v>
      </c>
      <c r="J165" s="3" t="n">
        <f aca="false">+J162+J159-J156</f>
        <v>279</v>
      </c>
      <c r="K165" s="3" t="n">
        <f aca="false">+K162+K159-K156</f>
        <v>358</v>
      </c>
      <c r="L165" s="3" t="n">
        <f aca="false">+L162+L159-L156</f>
        <v>297</v>
      </c>
      <c r="M165" s="3" t="n">
        <f aca="false">+M162+M159-M156</f>
        <v>331</v>
      </c>
      <c r="N165" s="3" t="n">
        <f aca="false">+N162+N159-N156</f>
        <v>372</v>
      </c>
      <c r="O165" s="3" t="n">
        <f aca="false">+O162+O159-O156</f>
        <v>453</v>
      </c>
      <c r="P165" s="3" t="n">
        <f aca="false">+P162+P159-P156</f>
        <v>0</v>
      </c>
      <c r="Q165" s="3" t="n">
        <f aca="false">+Q162+Q159-Q156</f>
        <v>0</v>
      </c>
      <c r="U165" s="3" t="n">
        <f aca="false">+U162+U159-U156</f>
        <v>347.2</v>
      </c>
      <c r="V165" s="3" t="n">
        <f aca="false">+V162+V159-V156</f>
        <v>502.1</v>
      </c>
      <c r="W165" s="3" t="n">
        <f aca="false">+W162+W159-W156</f>
        <v>604.6</v>
      </c>
      <c r="X165" s="3" t="n">
        <f aca="false">+X162+X159-X156</f>
        <v>202.6</v>
      </c>
      <c r="Y165" s="3" t="n">
        <f aca="false">+Y162+Y159-Y156</f>
        <v>348.8</v>
      </c>
      <c r="Z165" s="3" t="n">
        <f aca="false">+Z162+Z159-Z156</f>
        <v>438</v>
      </c>
      <c r="AA165" s="3" t="n">
        <f aca="false">+AA162+AA159-AA156</f>
        <v>965</v>
      </c>
      <c r="AB165" s="3" t="n">
        <f aca="false">+AB162+AB159-AB156</f>
        <v>977</v>
      </c>
      <c r="AC165" s="3" t="n">
        <f aca="false">+AC162+AC159-AC156</f>
        <v>665</v>
      </c>
      <c r="AD165" s="3" t="n">
        <f aca="false">+AD162+AD159-AD156</f>
        <v>731</v>
      </c>
      <c r="AE165" s="3" t="n">
        <f aca="false">+AE162+AE159-AE156</f>
        <v>1265</v>
      </c>
      <c r="AF165" s="3" t="n">
        <f aca="false">+AF162+AF159-AF156</f>
        <v>0</v>
      </c>
      <c r="AG165" s="3" t="n">
        <f aca="false">+AG162+AG159-AG156</f>
        <v>0</v>
      </c>
      <c r="AH165" s="3" t="n">
        <f aca="false">+AH162+AH159-AH156</f>
        <v>0</v>
      </c>
      <c r="AI165" s="3" t="n">
        <f aca="false">+AI162+AI159-AI156</f>
        <v>0</v>
      </c>
      <c r="AJ165" s="3" t="n">
        <f aca="false">+AJ162+AJ159-AJ156</f>
        <v>0</v>
      </c>
    </row>
    <row r="166" s="15" customFormat="true" ht="10.5" hidden="false" customHeight="true" outlineLevel="0" collapsed="false">
      <c r="F166" s="15" t="n">
        <f aca="false">+F165/B165-1</f>
        <v>-1.140589569161</v>
      </c>
      <c r="G166" s="15" t="n">
        <f aca="false">+G165/C165-1</f>
        <v>0.0673076923076923</v>
      </c>
      <c r="H166" s="15" t="n">
        <f aca="false">+H165/D165-1</f>
        <v>3.96363636363636</v>
      </c>
      <c r="I166" s="15" t="n">
        <f aca="false">+I165/E165-1</f>
        <v>5.29230769230769</v>
      </c>
      <c r="J166" s="15" t="n">
        <f aca="false">+J165/F165-1</f>
        <v>-5.5</v>
      </c>
      <c r="K166" s="15" t="n">
        <f aca="false">+K165/G165-1</f>
        <v>2.22522522522523</v>
      </c>
      <c r="L166" s="15" t="n">
        <f aca="false">+L165/H165-1</f>
        <v>0.0879120879120878</v>
      </c>
      <c r="M166" s="15" t="n">
        <f aca="false">+M165/I165-1</f>
        <v>-0.190709046454768</v>
      </c>
      <c r="N166" s="15" t="n">
        <f aca="false">+N165/J165-1</f>
        <v>0.333333333333333</v>
      </c>
      <c r="O166" s="15" t="n">
        <f aca="false">+O165/K165-1</f>
        <v>0.26536312849162</v>
      </c>
      <c r="V166" s="15" t="n">
        <f aca="false">+V165/U165-1</f>
        <v>0.446140552995392</v>
      </c>
      <c r="W166" s="15" t="n">
        <f aca="false">+W165/V165-1</f>
        <v>0.204142601075483</v>
      </c>
      <c r="X166" s="15" t="n">
        <f aca="false">+X165/W165-1</f>
        <v>-0.664902414819716</v>
      </c>
      <c r="Y166" s="15" t="n">
        <f aca="false">+Y165/X165-1</f>
        <v>0.721618953603159</v>
      </c>
      <c r="Z166" s="15" t="n">
        <f aca="false">+Z165/Y165-1</f>
        <v>0.255733944954129</v>
      </c>
      <c r="AA166" s="15" t="n">
        <f aca="false">+AA165/Z165-1</f>
        <v>1.20319634703196</v>
      </c>
      <c r="AB166" s="15" t="n">
        <f aca="false">+AB165/AA165-1</f>
        <v>0.0124352331606217</v>
      </c>
      <c r="AC166" s="15" t="n">
        <f aca="false">+AC165/AB165-1</f>
        <v>-0.319344933469806</v>
      </c>
      <c r="AD166" s="15" t="n">
        <f aca="false">+AD165/AC165-1</f>
        <v>0.0992481203007518</v>
      </c>
      <c r="AE166" s="15" t="n">
        <f aca="false">+AE165/AD165-1</f>
        <v>0.730506155950752</v>
      </c>
      <c r="AR166" s="0"/>
      <c r="AS166" s="0"/>
      <c r="AT166" s="0"/>
      <c r="AU166" s="0"/>
      <c r="AV166" s="0"/>
    </row>
    <row r="167" s="15" customFormat="true" ht="10.5" hidden="false" customHeight="true" outlineLevel="0" collapsed="false">
      <c r="B167" s="15" t="n">
        <f aca="false">+B165/B$29</f>
        <v>0.347517730496454</v>
      </c>
      <c r="C167" s="15" t="n">
        <f aca="false">+C165/C$29</f>
        <v>0.0773234200743495</v>
      </c>
      <c r="D167" s="15" t="n">
        <f aca="false">+D165/D$29</f>
        <v>0.0388967468175389</v>
      </c>
      <c r="E167" s="15" t="n">
        <f aca="false">+E165/E$29</f>
        <v>0.0442477876106195</v>
      </c>
      <c r="F167" s="15" t="n">
        <f aca="false">+F165/F$29</f>
        <v>-0.0437544107268878</v>
      </c>
      <c r="G167" s="15" t="n">
        <f aca="false">+G165/G$29</f>
        <v>0.0737541528239203</v>
      </c>
      <c r="H167" s="15" t="n">
        <f aca="false">+H165/H$29</f>
        <v>0.173885350318471</v>
      </c>
      <c r="I167" s="15" t="n">
        <f aca="false">+I165/I$29</f>
        <v>0.24954240390482</v>
      </c>
      <c r="J167" s="15" t="n">
        <f aca="false">+J165/J$29</f>
        <v>0.170851194121249</v>
      </c>
      <c r="K167" s="15" t="n">
        <f aca="false">+K165/K$29</f>
        <v>0.203062960862167</v>
      </c>
      <c r="L167" s="15" t="n">
        <f aca="false">+L165/L$29</f>
        <v>0.160280626011873</v>
      </c>
      <c r="M167" s="15" t="n">
        <f aca="false">+M165/M$29</f>
        <v>0.1691364333163</v>
      </c>
      <c r="N167" s="15" t="n">
        <f aca="false">+N165/N$29</f>
        <v>0.1923474663909</v>
      </c>
      <c r="O167" s="15" t="n">
        <f aca="false">+O165/O$29</f>
        <v>0.221407624633431</v>
      </c>
      <c r="U167" s="15" t="n">
        <f aca="false">+U165/U$29</f>
        <v>0.138652609720059</v>
      </c>
      <c r="V167" s="15" t="n">
        <f aca="false">+V165/V$29</f>
        <v>0.247218119153127</v>
      </c>
      <c r="W167" s="15" t="n">
        <f aca="false">+W165/W$29</f>
        <v>0.293980355927259</v>
      </c>
      <c r="X167" s="15" t="n">
        <f aca="false">+X165/X$29</f>
        <v>0.0788388201416453</v>
      </c>
      <c r="Y167" s="15" t="n">
        <f aca="false">+Y165/Y$29</f>
        <v>0.10652658583514</v>
      </c>
      <c r="Z167" s="15" t="n">
        <f aca="false">+Z165/Z$29</f>
        <v>0.1155672823219</v>
      </c>
      <c r="AA167" s="15" t="n">
        <f aca="false">+AA165/AA$29</f>
        <v>0.220018239854081</v>
      </c>
      <c r="AB167" s="15" t="n">
        <f aca="false">+AB165/AB$29</f>
        <v>0.195204795204795</v>
      </c>
      <c r="AC167" s="15" t="n">
        <f aca="false">+AC165/AC$29</f>
        <v>0.120975077314899</v>
      </c>
      <c r="AD167" s="15" t="n">
        <f aca="false">+AD165/AD$29</f>
        <v>0.11923014190181</v>
      </c>
      <c r="AE167" s="15" t="n">
        <f aca="false">+AE165/AE$29</f>
        <v>0.175548154315848</v>
      </c>
      <c r="AR167" s="0"/>
      <c r="AS167" s="0"/>
      <c r="AT167" s="0"/>
      <c r="AU167" s="0"/>
      <c r="AV167" s="0"/>
    </row>
    <row r="170" customFormat="false" ht="12.8" hidden="false" customHeight="false" outlineLevel="0" collapsed="false">
      <c r="A170" s="3" t="s">
        <v>156</v>
      </c>
    </row>
    <row r="171" customFormat="false" ht="12.8" hidden="false" customHeight="false" outlineLevel="0" collapsed="false">
      <c r="A171" s="3" t="s">
        <v>157</v>
      </c>
      <c r="B171" s="3" t="n">
        <v>456</v>
      </c>
      <c r="C171" s="3" t="n">
        <v>485</v>
      </c>
      <c r="D171" s="3" t="n">
        <v>520</v>
      </c>
      <c r="E171" s="3" t="n">
        <v>517</v>
      </c>
      <c r="F171" s="3" t="n">
        <v>509</v>
      </c>
      <c r="G171" s="3" t="n">
        <v>543</v>
      </c>
      <c r="H171" s="3" t="n">
        <v>579</v>
      </c>
      <c r="I171" s="3" t="n">
        <v>597</v>
      </c>
      <c r="J171" s="3" t="n">
        <v>585</v>
      </c>
      <c r="K171" s="3" t="n">
        <v>629</v>
      </c>
      <c r="L171" s="3" t="n">
        <v>666</v>
      </c>
      <c r="M171" s="3" t="n">
        <f aca="false">+AE171-L171-K171-J171</f>
        <v>686</v>
      </c>
      <c r="N171" s="3" t="n">
        <v>682</v>
      </c>
      <c r="O171" s="3" t="n">
        <v>727</v>
      </c>
      <c r="U171" s="3" t="n">
        <v>803.9</v>
      </c>
      <c r="V171" s="3" t="n">
        <v>742.1</v>
      </c>
      <c r="W171" s="3" t="n">
        <v>740.4</v>
      </c>
      <c r="X171" s="3" t="n">
        <v>874.6</v>
      </c>
      <c r="Y171" s="3" t="n">
        <v>1108.9</v>
      </c>
      <c r="Z171" s="3" t="n">
        <v>1282</v>
      </c>
      <c r="AA171" s="3" t="n">
        <v>1457</v>
      </c>
      <c r="AB171" s="3" t="n">
        <v>1720</v>
      </c>
      <c r="AC171" s="3" t="n">
        <v>1978</v>
      </c>
      <c r="AD171" s="3" t="n">
        <v>2228</v>
      </c>
      <c r="AE171" s="3" t="n">
        <v>2566</v>
      </c>
    </row>
    <row r="172" s="15" customFormat="true" ht="10.5" hidden="false" customHeight="true" outlineLevel="0" collapsed="false">
      <c r="B172" s="15" t="n">
        <f aca="false">+B171/B$187</f>
        <v>0.359338061465721</v>
      </c>
      <c r="C172" s="15" t="n">
        <f aca="false">+C171/C$187</f>
        <v>0.360594795539033</v>
      </c>
      <c r="D172" s="15" t="n">
        <f aca="false">+D171/D$187</f>
        <v>0.367751060820368</v>
      </c>
      <c r="E172" s="15" t="n">
        <f aca="false">+E171/E$187</f>
        <v>0.351940095302927</v>
      </c>
      <c r="F172" s="15" t="n">
        <f aca="false">+F171/F$187</f>
        <v>0.359209597741708</v>
      </c>
      <c r="G172" s="15" t="n">
        <f aca="false">+G171/G$187</f>
        <v>0.360797342192691</v>
      </c>
      <c r="H172" s="15" t="n">
        <f aca="false">+H171/H$187</f>
        <v>0.368789808917197</v>
      </c>
      <c r="I172" s="15" t="n">
        <f aca="false">+I171/I$187</f>
        <v>0.36424649176327</v>
      </c>
      <c r="J172" s="15" t="n">
        <f aca="false">+J171/J$187</f>
        <v>0.358236374770361</v>
      </c>
      <c r="K172" s="15" t="n">
        <f aca="false">+K171/K$187</f>
        <v>0.35677821894498</v>
      </c>
      <c r="L172" s="15" t="n">
        <f aca="false">+L171/L$187</f>
        <v>0.359417161359957</v>
      </c>
      <c r="M172" s="15" t="n">
        <f aca="false">+M171/M$187</f>
        <v>0.350536535513541</v>
      </c>
      <c r="N172" s="15" t="n">
        <f aca="false">+N171/N$187</f>
        <v>0.352637021716649</v>
      </c>
      <c r="O172" s="15" t="n">
        <f aca="false">+O171/O$187</f>
        <v>0.355327468230694</v>
      </c>
      <c r="U172" s="15" t="n">
        <f aca="false">+U171/U$29</f>
        <v>0.321033505051715</v>
      </c>
      <c r="V172" s="15" t="n">
        <f aca="false">+V171/V$29</f>
        <v>0.365386509108813</v>
      </c>
      <c r="W172" s="15" t="n">
        <f aca="false">+W171/W$29</f>
        <v>0.360011669746183</v>
      </c>
      <c r="X172" s="15" t="n">
        <f aca="false">+X171/X$29</f>
        <v>0.340337769476224</v>
      </c>
      <c r="Y172" s="15" t="n">
        <f aca="false">+Y171/Y$187</f>
        <v>0.338667806859481</v>
      </c>
      <c r="Z172" s="15" t="n">
        <f aca="false">+Z171/Z$187</f>
        <v>0.338222878851836</v>
      </c>
      <c r="AA172" s="15" t="n">
        <f aca="false">+AA171/AA$187</f>
        <v>0.33219334245326</v>
      </c>
      <c r="AB172" s="15" t="n">
        <f aca="false">+AB171/AB$187</f>
        <v>0.343656343656344</v>
      </c>
      <c r="AC172" s="15" t="n">
        <f aca="false">+AC171/AC$187</f>
        <v>0.359832635983264</v>
      </c>
      <c r="AD172" s="15" t="n">
        <f aca="false">+AD171/AD$187</f>
        <v>0.363399119230142</v>
      </c>
      <c r="AE172" s="15" t="n">
        <f aca="false">+AE171/AE$187</f>
        <v>0.35609214543436</v>
      </c>
      <c r="AR172" s="0"/>
      <c r="AS172" s="0"/>
      <c r="AT172" s="0"/>
      <c r="AU172" s="0"/>
      <c r="AV172" s="0"/>
    </row>
    <row r="173" customFormat="false" ht="12.8" hidden="false" customHeight="false" outlineLevel="0" collapsed="false">
      <c r="A173" s="3" t="s">
        <v>29</v>
      </c>
      <c r="B173" s="3" t="n">
        <v>97</v>
      </c>
      <c r="C173" s="3" t="n">
        <v>104</v>
      </c>
      <c r="D173" s="3" t="n">
        <v>120</v>
      </c>
      <c r="E173" s="3" t="n">
        <v>139</v>
      </c>
      <c r="F173" s="3" t="n">
        <v>110</v>
      </c>
      <c r="G173" s="3" t="n">
        <v>119</v>
      </c>
      <c r="H173" s="3" t="n">
        <v>126</v>
      </c>
      <c r="I173" s="3" t="n">
        <v>133</v>
      </c>
      <c r="J173" s="3" t="n">
        <v>140</v>
      </c>
      <c r="K173" s="3" t="n">
        <v>157</v>
      </c>
      <c r="L173" s="3" t="n">
        <v>154</v>
      </c>
      <c r="M173" s="3" t="n">
        <f aca="false">+AE173-L173-K173-J173</f>
        <v>161</v>
      </c>
      <c r="N173" s="3" t="n">
        <v>162</v>
      </c>
      <c r="O173" s="3" t="n">
        <v>171</v>
      </c>
      <c r="U173" s="3" t="n">
        <v>168.9</v>
      </c>
      <c r="V173" s="3" t="n">
        <v>129.8</v>
      </c>
      <c r="W173" s="3" t="n">
        <v>130.7</v>
      </c>
      <c r="X173" s="3" t="n">
        <v>175.3</v>
      </c>
      <c r="Y173" s="3" t="n">
        <v>226.9</v>
      </c>
      <c r="Z173" s="3" t="n">
        <v>260</v>
      </c>
      <c r="AA173" s="3" t="n">
        <v>308</v>
      </c>
      <c r="AB173" s="3" t="n">
        <v>372</v>
      </c>
      <c r="AC173" s="3" t="n">
        <v>460</v>
      </c>
      <c r="AD173" s="3" t="n">
        <v>488</v>
      </c>
      <c r="AE173" s="3" t="n">
        <v>612</v>
      </c>
    </row>
    <row r="174" s="15" customFormat="true" ht="10.5" hidden="false" customHeight="true" outlineLevel="0" collapsed="false">
      <c r="B174" s="15" t="n">
        <f aca="false">+B173/B$187</f>
        <v>0.0764381402679275</v>
      </c>
      <c r="C174" s="15" t="n">
        <f aca="false">+C173/C$187</f>
        <v>0.0773234200743495</v>
      </c>
      <c r="D174" s="15" t="n">
        <f aca="false">+D173/D$187</f>
        <v>0.0848656294200849</v>
      </c>
      <c r="E174" s="15" t="n">
        <f aca="false">+E173/E$187</f>
        <v>0.0946221919673247</v>
      </c>
      <c r="F174" s="15" t="n">
        <f aca="false">+F173/F$187</f>
        <v>0.0776287932251235</v>
      </c>
      <c r="G174" s="15" t="n">
        <f aca="false">+G173/G$187</f>
        <v>0.0790697674418605</v>
      </c>
      <c r="H174" s="15" t="n">
        <f aca="false">+H173/H$187</f>
        <v>0.0802547770700637</v>
      </c>
      <c r="I174" s="15" t="n">
        <f aca="false">+I173/I$187</f>
        <v>0.0811470408785845</v>
      </c>
      <c r="J174" s="15" t="n">
        <f aca="false">+J173/J$187</f>
        <v>0.0857317819963258</v>
      </c>
      <c r="K174" s="15" t="n">
        <f aca="false">+K173/K$187</f>
        <v>0.0890527509926262</v>
      </c>
      <c r="L174" s="15" t="n">
        <f aca="false">+L173/L$187</f>
        <v>0.0831084727468969</v>
      </c>
      <c r="M174" s="15" t="n">
        <f aca="false">+M173/M$187</f>
        <v>0.0822687787429739</v>
      </c>
      <c r="N174" s="15" t="n">
        <f aca="false">+N173/N$187</f>
        <v>0.0837642192347466</v>
      </c>
      <c r="O174" s="15" t="n">
        <f aca="false">+O173/O$187</f>
        <v>0.0835777126099707</v>
      </c>
      <c r="U174" s="15" t="n">
        <f aca="false">+U173/U$29</f>
        <v>0.0674493830118606</v>
      </c>
      <c r="V174" s="15" t="n">
        <f aca="false">+V173/V$29</f>
        <v>0.0639094042343673</v>
      </c>
      <c r="W174" s="15" t="n">
        <f aca="false">+W173/W$29</f>
        <v>0.0635514927550326</v>
      </c>
      <c r="X174" s="15" t="n">
        <f aca="false">+X173/X$29</f>
        <v>0.068215425324928</v>
      </c>
      <c r="Y174" s="15" t="n">
        <f aca="false">+Y173/Y$187</f>
        <v>0.0692972543749809</v>
      </c>
      <c r="Z174" s="15" t="n">
        <f aca="false">+Z173/Z$187</f>
        <v>0.0685943436048966</v>
      </c>
      <c r="AA174" s="15" t="n">
        <f aca="false">+AA173/AA$187</f>
        <v>0.0702234382124943</v>
      </c>
      <c r="AB174" s="15" t="n">
        <f aca="false">+AB173/AB$187</f>
        <v>0.0743256743256743</v>
      </c>
      <c r="AC174" s="15" t="n">
        <f aca="false">+AC173/AC$187</f>
        <v>0.0836820083682008</v>
      </c>
      <c r="AD174" s="15" t="n">
        <f aca="false">+AD173/AD$187</f>
        <v>0.0795954982873919</v>
      </c>
      <c r="AE174" s="15" t="n">
        <f aca="false">+AE173/AE$187</f>
        <v>0.0849292256452956</v>
      </c>
      <c r="AR174" s="0"/>
      <c r="AS174" s="0"/>
      <c r="AT174" s="0"/>
      <c r="AU174" s="0"/>
      <c r="AV174" s="0"/>
    </row>
    <row r="175" customFormat="false" ht="12.8" hidden="false" customHeight="false" outlineLevel="0" collapsed="false">
      <c r="A175" s="3" t="s">
        <v>158</v>
      </c>
      <c r="B175" s="3" t="n">
        <v>474</v>
      </c>
      <c r="C175" s="3" t="n">
        <v>506</v>
      </c>
      <c r="D175" s="3" t="n">
        <v>516</v>
      </c>
      <c r="E175" s="3" t="n">
        <v>546</v>
      </c>
      <c r="F175" s="3" t="n">
        <v>534</v>
      </c>
      <c r="G175" s="3" t="n">
        <v>570</v>
      </c>
      <c r="H175" s="3" t="n">
        <v>580</v>
      </c>
      <c r="I175" s="3" t="n">
        <v>623</v>
      </c>
      <c r="J175" s="3" t="n">
        <v>627</v>
      </c>
      <c r="K175" s="3" t="n">
        <v>675</v>
      </c>
      <c r="L175" s="3" t="n">
        <v>715</v>
      </c>
      <c r="M175" s="3" t="n">
        <f aca="false">+AE175-L175-K175-J175</f>
        <v>777</v>
      </c>
      <c r="N175" s="3" t="n">
        <v>761</v>
      </c>
      <c r="O175" s="3" t="n">
        <v>804</v>
      </c>
      <c r="U175" s="3" t="n">
        <v>934.6</v>
      </c>
      <c r="V175" s="3" t="n">
        <v>800.4</v>
      </c>
      <c r="W175" s="3" t="n">
        <v>815.4</v>
      </c>
      <c r="X175" s="3" t="n">
        <v>1034.3</v>
      </c>
      <c r="Y175" s="3" t="n">
        <v>1303.5</v>
      </c>
      <c r="Z175" s="3" t="n">
        <v>1473</v>
      </c>
      <c r="AA175" s="3" t="n">
        <v>1700</v>
      </c>
      <c r="AB175" s="3" t="n">
        <v>1906</v>
      </c>
      <c r="AC175" s="3" t="n">
        <v>2042</v>
      </c>
      <c r="AD175" s="3" t="n">
        <v>2307</v>
      </c>
      <c r="AE175" s="3" t="n">
        <v>2794</v>
      </c>
    </row>
    <row r="176" s="15" customFormat="true" ht="10.5" hidden="false" customHeight="true" outlineLevel="0" collapsed="false">
      <c r="B176" s="15" t="n">
        <f aca="false">+B175/B$187</f>
        <v>0.373522458628842</v>
      </c>
      <c r="C176" s="15" t="n">
        <f aca="false">+C175/C$187</f>
        <v>0.376208178438662</v>
      </c>
      <c r="D176" s="15" t="n">
        <f aca="false">+D175/D$187</f>
        <v>0.364922206506365</v>
      </c>
      <c r="E176" s="15" t="n">
        <f aca="false">+E175/E$187</f>
        <v>0.371681415929204</v>
      </c>
      <c r="F176" s="15" t="n">
        <f aca="false">+F175/F$187</f>
        <v>0.376852505292872</v>
      </c>
      <c r="G176" s="15" t="n">
        <f aca="false">+G175/G$187</f>
        <v>0.378737541528239</v>
      </c>
      <c r="H176" s="15" t="n">
        <f aca="false">+H175/H$187</f>
        <v>0.369426751592357</v>
      </c>
      <c r="I176" s="15" t="n">
        <f aca="false">+I175/I$187</f>
        <v>0.380109823062843</v>
      </c>
      <c r="J176" s="15" t="n">
        <f aca="false">+J175/J$187</f>
        <v>0.383955909369259</v>
      </c>
      <c r="K176" s="15" t="n">
        <f aca="false">+K175/K$187</f>
        <v>0.382870107770845</v>
      </c>
      <c r="L176" s="15" t="n">
        <f aca="false">+L175/L$187</f>
        <v>0.385860766324879</v>
      </c>
      <c r="M176" s="15" t="n">
        <f aca="false">+M175/M$187</f>
        <v>0.397036280020439</v>
      </c>
      <c r="N176" s="15" t="n">
        <f aca="false">+N175/N$187</f>
        <v>0.393485005170631</v>
      </c>
      <c r="O176" s="15" t="n">
        <f aca="false">+O175/O$187</f>
        <v>0.392961876832845</v>
      </c>
      <c r="U176" s="15" t="n">
        <f aca="false">+U175/U$29</f>
        <v>0.373227906233777</v>
      </c>
      <c r="V176" s="15" t="n">
        <f aca="false">+V175/V$29</f>
        <v>0.394091580502216</v>
      </c>
      <c r="W176" s="15" t="n">
        <f aca="false">+W175/W$29</f>
        <v>0.396479626568122</v>
      </c>
      <c r="X176" s="15" t="n">
        <f aca="false">+X175/X$29</f>
        <v>0.402482683477313</v>
      </c>
      <c r="Y176" s="15" t="n">
        <f aca="false">+Y175/Y$187</f>
        <v>0.398100357328284</v>
      </c>
      <c r="Z176" s="15" t="n">
        <f aca="false">+Z175/Z$187</f>
        <v>0.388613338961587</v>
      </c>
      <c r="AA176" s="15" t="n">
        <f aca="false">+AA175/AA$187</f>
        <v>0.387596899224806</v>
      </c>
      <c r="AB176" s="15" t="n">
        <f aca="false">+AB175/AB$187</f>
        <v>0.380819180819181</v>
      </c>
      <c r="AC176" s="15" t="n">
        <f aca="false">+AC175/AC$187</f>
        <v>0.371475350191013</v>
      </c>
      <c r="AD176" s="15" t="n">
        <f aca="false">+AD175/AD$187</f>
        <v>0.37628445604306</v>
      </c>
      <c r="AE176" s="15" t="n">
        <f aca="false">+AE175/AE$187</f>
        <v>0.387732445184568</v>
      </c>
      <c r="AR176" s="0"/>
      <c r="AS176" s="0"/>
      <c r="AT176" s="0"/>
      <c r="AU176" s="0"/>
      <c r="AV176" s="0"/>
    </row>
    <row r="177" customFormat="false" ht="12.8" hidden="false" customHeight="false" outlineLevel="0" collapsed="false">
      <c r="A177" s="3" t="s">
        <v>159</v>
      </c>
      <c r="B177" s="3" t="n">
        <v>242</v>
      </c>
      <c r="C177" s="3" t="n">
        <v>250</v>
      </c>
      <c r="D177" s="3" t="n">
        <v>258</v>
      </c>
      <c r="E177" s="3" t="n">
        <v>267</v>
      </c>
      <c r="F177" s="3" t="n">
        <v>264</v>
      </c>
      <c r="G177" s="3" t="n">
        <v>273</v>
      </c>
      <c r="H177" s="3" t="n">
        <v>285</v>
      </c>
      <c r="I177" s="3" t="n">
        <v>286</v>
      </c>
      <c r="J177" s="3" t="n">
        <v>281</v>
      </c>
      <c r="K177" s="3" t="n">
        <v>302</v>
      </c>
      <c r="L177" s="3" t="n">
        <v>318</v>
      </c>
      <c r="M177" s="3" t="n">
        <f aca="false">+AE177-L177-K177-J177</f>
        <v>333</v>
      </c>
      <c r="N177" s="3" t="n">
        <v>329</v>
      </c>
      <c r="O177" s="3" t="n">
        <v>344</v>
      </c>
      <c r="U177" s="3" t="n">
        <v>596.7</v>
      </c>
      <c r="V177" s="3" t="n">
        <v>358.7</v>
      </c>
      <c r="W177" s="3" t="n">
        <v>370.1</v>
      </c>
      <c r="X177" s="3" t="n">
        <v>485.6</v>
      </c>
      <c r="Y177" s="3" t="n">
        <v>635</v>
      </c>
      <c r="Z177" s="3" t="n">
        <v>775</v>
      </c>
      <c r="AA177" s="3" t="n">
        <v>921</v>
      </c>
      <c r="AB177" s="3" t="n">
        <v>1007</v>
      </c>
      <c r="AC177" s="3" t="n">
        <v>1017</v>
      </c>
      <c r="AD177" s="3" t="n">
        <v>1108</v>
      </c>
      <c r="AE177" s="3" t="n">
        <v>1234</v>
      </c>
    </row>
    <row r="178" s="15" customFormat="true" ht="10.5" hidden="false" customHeight="true" outlineLevel="0" collapsed="false">
      <c r="B178" s="15" t="n">
        <f aca="false">+B177/B$187</f>
        <v>0.19070133963751</v>
      </c>
      <c r="C178" s="15" t="n">
        <f aca="false">+C177/C$187</f>
        <v>0.185873605947955</v>
      </c>
      <c r="D178" s="15" t="n">
        <f aca="false">+D177/D$187</f>
        <v>0.182461103253182</v>
      </c>
      <c r="E178" s="15" t="n">
        <f aca="false">+E177/E$187</f>
        <v>0.181756296800545</v>
      </c>
      <c r="F178" s="15" t="n">
        <f aca="false">+F177/F$187</f>
        <v>0.186309103740296</v>
      </c>
      <c r="G178" s="15" t="n">
        <f aca="false">+G177/G$187</f>
        <v>0.181395348837209</v>
      </c>
      <c r="H178" s="15" t="n">
        <f aca="false">+H177/H$187</f>
        <v>0.181528662420382</v>
      </c>
      <c r="I178" s="15" t="n">
        <f aca="false">+I177/I$187</f>
        <v>0.174496644295302</v>
      </c>
      <c r="J178" s="15" t="n">
        <f aca="false">+J177/J$187</f>
        <v>0.172075933864054</v>
      </c>
      <c r="K178" s="15" t="n">
        <f aca="false">+K177/K$187</f>
        <v>0.171298922291549</v>
      </c>
      <c r="L178" s="15" t="n">
        <f aca="false">+L177/L$187</f>
        <v>0.171613599568268</v>
      </c>
      <c r="M178" s="15" t="n">
        <f aca="false">+M177/M$187</f>
        <v>0.170158405723045</v>
      </c>
      <c r="N178" s="15" t="n">
        <f aca="false">+N177/N$187</f>
        <v>0.170113753877973</v>
      </c>
      <c r="O178" s="15" t="n">
        <f aca="false">+O177/O$187</f>
        <v>0.168132942326491</v>
      </c>
      <c r="U178" s="15" t="n">
        <f aca="false">+U177/U$29</f>
        <v>0.238289205702648</v>
      </c>
      <c r="V178" s="15" t="n">
        <f aca="false">+V177/V$29</f>
        <v>0.176612506154604</v>
      </c>
      <c r="W178" s="15" t="n">
        <f aca="false">+W177/W$29</f>
        <v>0.179957210930662</v>
      </c>
      <c r="X178" s="15" t="n">
        <f aca="false">+X177/X$29</f>
        <v>0.188964121721535</v>
      </c>
      <c r="Y178" s="15" t="n">
        <f aca="false">+Y177/Y$187</f>
        <v>0.193934581437254</v>
      </c>
      <c r="Z178" s="15" t="n">
        <f aca="false">+Z177/Z$187</f>
        <v>0.204463908822288</v>
      </c>
      <c r="AA178" s="15" t="n">
        <f aca="false">+AA177/AA$187</f>
        <v>0.209986320109439</v>
      </c>
      <c r="AB178" s="15" t="n">
        <f aca="false">+AB177/AB$187</f>
        <v>0.201198801198801</v>
      </c>
      <c r="AC178" s="15" t="n">
        <f aca="false">+AC177/AC$187</f>
        <v>0.185010005457522</v>
      </c>
      <c r="AD178" s="15" t="n">
        <f aca="false">+AD177/AD$187</f>
        <v>0.180720926439406</v>
      </c>
      <c r="AE178" s="15" t="n">
        <f aca="false">+AE177/AE$187</f>
        <v>0.171246183735776</v>
      </c>
      <c r="AR178" s="0"/>
      <c r="AS178" s="0"/>
      <c r="AT178" s="0"/>
      <c r="AU178" s="0"/>
      <c r="AV178" s="0"/>
    </row>
    <row r="180" customFormat="false" ht="12.8" hidden="false" customHeight="false" outlineLevel="0" collapsed="false">
      <c r="A180" s="3" t="s">
        <v>160</v>
      </c>
    </row>
    <row r="181" customFormat="false" ht="12.8" hidden="false" customHeight="false" outlineLevel="0" collapsed="false">
      <c r="A181" s="3" t="s">
        <v>161</v>
      </c>
      <c r="B181" s="3" t="n">
        <v>1086</v>
      </c>
      <c r="C181" s="3" t="n">
        <v>1154</v>
      </c>
      <c r="D181" s="3" t="n">
        <v>1192</v>
      </c>
      <c r="E181" s="3" t="n">
        <f aca="false">+AC181-D181-C181-B181</f>
        <v>1215</v>
      </c>
      <c r="F181" s="3" t="n">
        <v>1196</v>
      </c>
      <c r="G181" s="3" t="n">
        <v>1257</v>
      </c>
      <c r="H181" s="3" t="n">
        <v>1295</v>
      </c>
      <c r="I181" s="3" t="n">
        <f aca="false">+AD181-H181-G181-F181</f>
        <v>1356</v>
      </c>
      <c r="J181" s="3" t="n">
        <v>1361</v>
      </c>
      <c r="K181" s="3" t="n">
        <v>1472</v>
      </c>
      <c r="L181" s="3" t="n">
        <v>1537</v>
      </c>
      <c r="M181" s="3" t="n">
        <f aca="false">+AE181-L181-K181-J181</f>
        <v>1610</v>
      </c>
      <c r="N181" s="3" t="n">
        <v>1612</v>
      </c>
      <c r="O181" s="3" t="n">
        <v>1708</v>
      </c>
      <c r="Y181" s="3" t="n">
        <v>2920.1</v>
      </c>
      <c r="Z181" s="3" t="n">
        <v>3365.8</v>
      </c>
      <c r="AA181" s="3" t="n">
        <v>3772</v>
      </c>
      <c r="AB181" s="3" t="n">
        <v>4264</v>
      </c>
      <c r="AC181" s="3" t="n">
        <v>4647</v>
      </c>
      <c r="AD181" s="3" t="n">
        <v>5104</v>
      </c>
      <c r="AE181" s="3" t="n">
        <v>5980</v>
      </c>
    </row>
    <row r="182" s="15" customFormat="true" ht="10.5" hidden="false" customHeight="true" outlineLevel="0" collapsed="false">
      <c r="B182" s="15" t="n">
        <f aca="false">+B181/B$187</f>
        <v>0.855791962174941</v>
      </c>
      <c r="C182" s="15" t="n">
        <f aca="false">+C181/C$187</f>
        <v>0.857992565055762</v>
      </c>
      <c r="D182" s="15" t="n">
        <f aca="false">+D181/D$187</f>
        <v>0.842998585572843</v>
      </c>
      <c r="E182" s="15" t="n">
        <f aca="false">+E181/E$187</f>
        <v>0.827093260721579</v>
      </c>
      <c r="F182" s="15" t="n">
        <f aca="false">+F181/F$187</f>
        <v>0.844036697247707</v>
      </c>
      <c r="G182" s="15" t="n">
        <f aca="false">+G181/G$187</f>
        <v>0.835215946843854</v>
      </c>
      <c r="H182" s="15" t="n">
        <f aca="false">+H181/H$187</f>
        <v>0.82484076433121</v>
      </c>
      <c r="I182" s="15" t="n">
        <f aca="false">+I181/I$187</f>
        <v>0.827333740085418</v>
      </c>
      <c r="J182" s="15" t="n">
        <f aca="false">+J181/J$187</f>
        <v>0.833435394978567</v>
      </c>
      <c r="K182" s="15" t="n">
        <f aca="false">+K181/K$187</f>
        <v>0.83494044242768</v>
      </c>
      <c r="L182" s="15" t="n">
        <f aca="false">+L181/L$187</f>
        <v>0.829465731246627</v>
      </c>
      <c r="M182" s="15" t="n">
        <f aca="false">+M181/M$187</f>
        <v>0.822687787429739</v>
      </c>
      <c r="N182" s="15" t="n">
        <f aca="false">+N181/N$187</f>
        <v>0.833505687693899</v>
      </c>
      <c r="O182" s="15" t="n">
        <f aca="false">+O181/O$187</f>
        <v>0.834799608993157</v>
      </c>
      <c r="X182" s="15" t="e">
        <f aca="false">+X181/X$187</f>
        <v>#DIV/0!</v>
      </c>
      <c r="Y182" s="15" t="n">
        <f aca="false">+Y181/Y$187</f>
        <v>0.891824206700669</v>
      </c>
      <c r="Z182" s="15" t="n">
        <f aca="false">+Z181/Z$187</f>
        <v>0.887980160405234</v>
      </c>
      <c r="AA182" s="15" t="n">
        <f aca="false">+AA181/AA$187</f>
        <v>0.860009119927041</v>
      </c>
      <c r="AB182" s="15" t="n">
        <f aca="false">+AB181/AB$187</f>
        <v>0.851948051948052</v>
      </c>
      <c r="AC182" s="15" t="n">
        <f aca="false">+AC181/AC$187</f>
        <v>0.845370201928325</v>
      </c>
      <c r="AD182" s="15" t="n">
        <f aca="false">+AD181/AD$187</f>
        <v>0.832490621432067</v>
      </c>
      <c r="AE182" s="15" t="n">
        <f aca="false">+AE181/AE$187</f>
        <v>0.829864002220372</v>
      </c>
      <c r="AR182" s="0"/>
      <c r="AS182" s="0"/>
      <c r="AT182" s="0"/>
      <c r="AU182" s="0"/>
      <c r="AV182" s="0"/>
    </row>
    <row r="183" customFormat="false" ht="12.8" hidden="false" customHeight="false" outlineLevel="0" collapsed="false">
      <c r="A183" s="3" t="s">
        <v>162</v>
      </c>
      <c r="B183" s="3" t="n">
        <v>121</v>
      </c>
      <c r="C183" s="3" t="n">
        <v>130</v>
      </c>
      <c r="D183" s="3" t="n">
        <v>134</v>
      </c>
      <c r="E183" s="3" t="n">
        <f aca="false">+AC183-D183-C183-B183</f>
        <v>138</v>
      </c>
      <c r="F183" s="3" t="n">
        <v>145</v>
      </c>
      <c r="G183" s="3" t="n">
        <v>162</v>
      </c>
      <c r="H183" s="3" t="n">
        <v>171</v>
      </c>
      <c r="I183" s="3" t="n">
        <f aca="false">+AD183-H183-G183-F183</f>
        <v>176</v>
      </c>
      <c r="J183" s="3" t="n">
        <v>179</v>
      </c>
      <c r="K183" s="3" t="n">
        <v>194</v>
      </c>
      <c r="L183" s="3" t="n">
        <v>205</v>
      </c>
      <c r="M183" s="3" t="n">
        <f aca="false">+AE183-L183-K183-J183</f>
        <v>218</v>
      </c>
      <c r="N183" s="3" t="n">
        <v>224</v>
      </c>
      <c r="O183" s="3" t="n">
        <v>244</v>
      </c>
      <c r="Y183" s="3" t="n">
        <v>218.4</v>
      </c>
      <c r="Z183" s="3" t="n">
        <v>296.4</v>
      </c>
      <c r="AA183" s="3" t="n">
        <v>364</v>
      </c>
      <c r="AB183" s="3" t="n">
        <v>452</v>
      </c>
      <c r="AC183" s="3" t="n">
        <v>523</v>
      </c>
      <c r="AD183" s="3" t="n">
        <v>654</v>
      </c>
      <c r="AE183" s="3" t="n">
        <v>796</v>
      </c>
    </row>
    <row r="184" s="15" customFormat="true" ht="10.5" hidden="false" customHeight="true" outlineLevel="0" collapsed="false">
      <c r="B184" s="15" t="n">
        <f aca="false">+B183/B$187</f>
        <v>0.0953506698187549</v>
      </c>
      <c r="C184" s="15" t="n">
        <f aca="false">+C183/C$187</f>
        <v>0.0966542750929368</v>
      </c>
      <c r="D184" s="15" t="n">
        <f aca="false">+D183/D$187</f>
        <v>0.0947666195190948</v>
      </c>
      <c r="E184" s="15" t="n">
        <f aca="false">+E183/E$187</f>
        <v>0.0939414567733152</v>
      </c>
      <c r="F184" s="15" t="n">
        <f aca="false">+F183/F$187</f>
        <v>0.102328863796754</v>
      </c>
      <c r="G184" s="15" t="n">
        <f aca="false">+G183/G$187</f>
        <v>0.107641196013289</v>
      </c>
      <c r="H184" s="15" t="n">
        <f aca="false">+H183/H$187</f>
        <v>0.108917197452229</v>
      </c>
      <c r="I184" s="15" t="n">
        <f aca="false">+I183/I$187</f>
        <v>0.10738255033557</v>
      </c>
      <c r="J184" s="15" t="n">
        <f aca="false">+J183/J$187</f>
        <v>0.109614206981017</v>
      </c>
      <c r="K184" s="15" t="n">
        <f aca="false">+K183/K$187</f>
        <v>0.110039705048213</v>
      </c>
      <c r="L184" s="15" t="n">
        <f aca="false">+L183/L$187</f>
        <v>0.110631408526713</v>
      </c>
      <c r="M184" s="15" t="n">
        <f aca="false">+M183/M$187</f>
        <v>0.111394992335207</v>
      </c>
      <c r="N184" s="15" t="n">
        <f aca="false">+N183/N$187</f>
        <v>0.115822130299897</v>
      </c>
      <c r="O184" s="15" t="n">
        <f aca="false">+O183/O$187</f>
        <v>0.119257086999022</v>
      </c>
      <c r="X184" s="15" t="e">
        <f aca="false">+X183/X$187</f>
        <v>#DIV/0!</v>
      </c>
      <c r="Y184" s="15" t="n">
        <f aca="false">+Y183/Y$187</f>
        <v>0.0667012796628287</v>
      </c>
      <c r="Z184" s="15" t="n">
        <f aca="false">+Z183/Z$187</f>
        <v>0.0781975517095821</v>
      </c>
      <c r="AA184" s="15" t="n">
        <f aca="false">+AA183/AA$187</f>
        <v>0.0829913360693114</v>
      </c>
      <c r="AB184" s="15" t="n">
        <f aca="false">+AB183/AB$187</f>
        <v>0.0903096903096903</v>
      </c>
      <c r="AC184" s="15" t="n">
        <f aca="false">+AC183/AC$187</f>
        <v>0.0951428051664544</v>
      </c>
      <c r="AD184" s="15" t="n">
        <f aca="false">+AD183/AD$187</f>
        <v>0.106671016147447</v>
      </c>
      <c r="AE184" s="15" t="n">
        <f aca="false">+AE183/AE$187</f>
        <v>0.110463502636692</v>
      </c>
      <c r="AR184" s="0"/>
      <c r="AS184" s="0"/>
      <c r="AT184" s="0"/>
      <c r="AU184" s="0"/>
      <c r="AV184" s="0"/>
    </row>
    <row r="185" customFormat="false" ht="12.8" hidden="false" customHeight="false" outlineLevel="0" collapsed="false">
      <c r="A185" s="3" t="s">
        <v>29</v>
      </c>
      <c r="B185" s="3" t="n">
        <v>62</v>
      </c>
      <c r="C185" s="3" t="n">
        <v>61</v>
      </c>
      <c r="D185" s="3" t="n">
        <v>88</v>
      </c>
      <c r="E185" s="3" t="n">
        <f aca="false">+AC185-D185-C185-B185</f>
        <v>116</v>
      </c>
      <c r="F185" s="3" t="n">
        <v>76</v>
      </c>
      <c r="G185" s="3" t="n">
        <v>86</v>
      </c>
      <c r="H185" s="3" t="n">
        <v>104</v>
      </c>
      <c r="I185" s="3" t="n">
        <f aca="false">+AD185-H185-G185-F185</f>
        <v>107</v>
      </c>
      <c r="J185" s="3" t="n">
        <v>93</v>
      </c>
      <c r="K185" s="3" t="n">
        <v>97</v>
      </c>
      <c r="L185" s="3" t="n">
        <v>111</v>
      </c>
      <c r="M185" s="3" t="n">
        <f aca="false">+AE185-L185-K185-J185</f>
        <v>129</v>
      </c>
      <c r="N185" s="3" t="n">
        <v>98</v>
      </c>
      <c r="O185" s="3" t="n">
        <v>94</v>
      </c>
      <c r="Y185" s="3" t="n">
        <v>135.8</v>
      </c>
      <c r="Z185" s="3" t="n">
        <v>128.2</v>
      </c>
      <c r="AA185" s="3" t="n">
        <v>250</v>
      </c>
      <c r="AB185" s="3" t="n">
        <v>289</v>
      </c>
      <c r="AC185" s="3" t="n">
        <v>327</v>
      </c>
      <c r="AD185" s="3" t="n">
        <v>373</v>
      </c>
      <c r="AE185" s="3" t="n">
        <v>430</v>
      </c>
    </row>
    <row r="186" s="15" customFormat="true" ht="10.5" hidden="false" customHeight="true" outlineLevel="0" collapsed="false">
      <c r="B186" s="15" t="n">
        <f aca="false">+B185/B$187</f>
        <v>0.0488573680063042</v>
      </c>
      <c r="C186" s="15" t="n">
        <f aca="false">+C185/C$187</f>
        <v>0.0453531598513011</v>
      </c>
      <c r="D186" s="15" t="n">
        <f aca="false">+D185/D$187</f>
        <v>0.0622347949080622</v>
      </c>
      <c r="E186" s="15" t="n">
        <f aca="false">+E185/E$187</f>
        <v>0.0789652825051055</v>
      </c>
      <c r="F186" s="15" t="n">
        <f aca="false">+F185/F$187</f>
        <v>0.0536344389555399</v>
      </c>
      <c r="G186" s="15" t="n">
        <f aca="false">+G185/G$187</f>
        <v>0.0571428571428571</v>
      </c>
      <c r="H186" s="15" t="n">
        <f aca="false">+H185/H$187</f>
        <v>0.0662420382165605</v>
      </c>
      <c r="I186" s="15" t="n">
        <f aca="false">+I185/I$187</f>
        <v>0.0652837095790116</v>
      </c>
      <c r="J186" s="15" t="n">
        <f aca="false">+J185/J$187</f>
        <v>0.0569503980404164</v>
      </c>
      <c r="K186" s="15" t="n">
        <f aca="false">+K185/K$187</f>
        <v>0.0550198525241066</v>
      </c>
      <c r="L186" s="15" t="n">
        <f aca="false">+L185/L$187</f>
        <v>0.0599028602266595</v>
      </c>
      <c r="M186" s="15" t="n">
        <f aca="false">+M185/M$187</f>
        <v>0.0659172202350537</v>
      </c>
      <c r="N186" s="15" t="n">
        <f aca="false">+N185/N$187</f>
        <v>0.0506721820062048</v>
      </c>
      <c r="O186" s="15" t="n">
        <f aca="false">+O185/O$187</f>
        <v>0.0459433040078201</v>
      </c>
      <c r="X186" s="15" t="e">
        <f aca="false">+X185/X$187</f>
        <v>#DIV/0!</v>
      </c>
      <c r="Y186" s="15" t="n">
        <f aca="false">+Y185/Y$187</f>
        <v>0.0414745136365025</v>
      </c>
      <c r="Z186" s="15" t="n">
        <f aca="false">+Z185/Z$187</f>
        <v>0.0338222878851836</v>
      </c>
      <c r="AA186" s="15" t="n">
        <f aca="false">+AA185/AA$187</f>
        <v>0.056999544003648</v>
      </c>
      <c r="AB186" s="15" t="n">
        <f aca="false">+AB185/AB$187</f>
        <v>0.0577422577422577</v>
      </c>
      <c r="AC186" s="15" t="n">
        <f aca="false">+AC185/AC$187</f>
        <v>0.059486992905221</v>
      </c>
      <c r="AD186" s="15" t="n">
        <f aca="false">+AD185/AD$187</f>
        <v>0.0608383624204861</v>
      </c>
      <c r="AE186" s="15" t="n">
        <f aca="false">+AE185/AE$187</f>
        <v>0.0596724951429364</v>
      </c>
      <c r="AR186" s="0"/>
      <c r="AS186" s="0"/>
      <c r="AT186" s="0"/>
      <c r="AU186" s="0"/>
      <c r="AV186" s="0"/>
    </row>
    <row r="187" customFormat="false" ht="12.8" hidden="false" customHeight="false" outlineLevel="0" collapsed="false">
      <c r="A187" s="3" t="s">
        <v>81</v>
      </c>
      <c r="B187" s="3" t="n">
        <f aca="false">+B185+B183+B181</f>
        <v>1269</v>
      </c>
      <c r="C187" s="3" t="n">
        <f aca="false">+C185+C183+C181</f>
        <v>1345</v>
      </c>
      <c r="D187" s="3" t="n">
        <f aca="false">+D185+D183+D181</f>
        <v>1414</v>
      </c>
      <c r="E187" s="3" t="n">
        <f aca="false">+E185+E183+E181</f>
        <v>1469</v>
      </c>
      <c r="F187" s="3" t="n">
        <f aca="false">+F185+F183+F181</f>
        <v>1417</v>
      </c>
      <c r="G187" s="3" t="n">
        <f aca="false">+G185+G183+G181</f>
        <v>1505</v>
      </c>
      <c r="H187" s="3" t="n">
        <f aca="false">+H185+H183+H181</f>
        <v>1570</v>
      </c>
      <c r="I187" s="3" t="n">
        <f aca="false">+I185+I183+I181</f>
        <v>1639</v>
      </c>
      <c r="J187" s="3" t="n">
        <f aca="false">+J185+J183+J181</f>
        <v>1633</v>
      </c>
      <c r="K187" s="3" t="n">
        <f aca="false">+K185+K183+K181</f>
        <v>1763</v>
      </c>
      <c r="L187" s="3" t="n">
        <f aca="false">+L185+L183+L181</f>
        <v>1853</v>
      </c>
      <c r="M187" s="3" t="n">
        <f aca="false">+M185+M183+M181</f>
        <v>1957</v>
      </c>
      <c r="N187" s="3" t="n">
        <f aca="false">+N185+N183+N181</f>
        <v>1934</v>
      </c>
      <c r="O187" s="3" t="n">
        <f aca="false">+O185+O183+O181</f>
        <v>2046</v>
      </c>
      <c r="P187" s="3" t="n">
        <f aca="false">+P185+P183+P181</f>
        <v>0</v>
      </c>
      <c r="Q187" s="3" t="n">
        <f aca="false">+Q185+Q183+Q181</f>
        <v>0</v>
      </c>
      <c r="U187" s="3" t="n">
        <f aca="false">+U185+U183+U181</f>
        <v>0</v>
      </c>
      <c r="V187" s="3" t="n">
        <f aca="false">+V185+V183+V181</f>
        <v>0</v>
      </c>
      <c r="W187" s="3" t="n">
        <f aca="false">+W185+W183+W181</f>
        <v>0</v>
      </c>
      <c r="X187" s="3" t="n">
        <f aca="false">+X185+X183+X181</f>
        <v>0</v>
      </c>
      <c r="Y187" s="3" t="n">
        <f aca="false">+Y185+Y183+Y181</f>
        <v>3274.3</v>
      </c>
      <c r="Z187" s="3" t="n">
        <f aca="false">+Z185+Z183+Z181</f>
        <v>3790.4</v>
      </c>
      <c r="AA187" s="3" t="n">
        <f aca="false">+AA185+AA183+AA181</f>
        <v>4386</v>
      </c>
      <c r="AB187" s="3" t="n">
        <f aca="false">+AB185+AB183+AB181</f>
        <v>5005</v>
      </c>
      <c r="AC187" s="3" t="n">
        <f aca="false">+AC185+AC183+AC181</f>
        <v>5497</v>
      </c>
      <c r="AD187" s="3" t="n">
        <f aca="false">+AD185+AD183+AD181</f>
        <v>6131</v>
      </c>
      <c r="AE187" s="3" t="n">
        <f aca="false">+AE185+AE183+AE181</f>
        <v>7206</v>
      </c>
    </row>
    <row r="191" customFormat="false" ht="12.8" hidden="false" customHeight="false" outlineLevel="0" collapsed="false">
      <c r="A191" s="3" t="s">
        <v>163</v>
      </c>
      <c r="F191" s="3" t="n">
        <f aca="false">+AVERAGE(E93:F93)/F29*90</f>
        <v>39.029640084686</v>
      </c>
      <c r="G191" s="3" t="n">
        <f aca="false">+AVERAGE(F93:G93)/G29*90</f>
        <v>22.5747508305648</v>
      </c>
      <c r="H191" s="3" t="n">
        <f aca="false">+AVERAGE(G93:H93)/H29*90</f>
        <v>31.6433121019108</v>
      </c>
      <c r="I191" s="3" t="n">
        <f aca="false">+AVERAGE(H93:I93)/I29*90</f>
        <v>46.9493593654668</v>
      </c>
      <c r="J191" s="3" t="n">
        <f aca="false">+AVERAGE(I93:J93)/J29*90</f>
        <v>41.3900796080833</v>
      </c>
      <c r="K191" s="3" t="n">
        <f aca="false">+AVERAGE(J93:K93)/K29*90</f>
        <v>26.1883153715258</v>
      </c>
      <c r="L191" s="3" t="n">
        <f aca="false">+AVERAGE(K93:L93)/L29*90</f>
        <v>32.4932541824069</v>
      </c>
      <c r="M191" s="3" t="n">
        <f aca="false">+AVERAGE(L93:M93)/M29*90</f>
        <v>51.6223811957077</v>
      </c>
      <c r="N191" s="3" t="n">
        <f aca="false">+AVERAGE(M93:N93)/N29*90</f>
        <v>46.9544984488108</v>
      </c>
      <c r="O191" s="3" t="n">
        <f aca="false">+AVERAGE(N93:O93)/O29*90</f>
        <v>27.7785923753666</v>
      </c>
      <c r="U191" s="3" t="n">
        <f aca="false">+AVERAGE(U93)/U29*365</f>
        <v>95.269358252466</v>
      </c>
      <c r="V191" s="3" t="n">
        <f aca="false">+AVERAGE(U93:V93)/V29*365</f>
        <v>99.3730920728705</v>
      </c>
      <c r="W191" s="3" t="n">
        <f aca="false">+AVERAGE(V93:W93)/W29*365</f>
        <v>79.0218078381795</v>
      </c>
      <c r="X191" s="3" t="n">
        <f aca="false">+AVERAGE(W93:X93)/X29*365</f>
        <v>64.8031948011518</v>
      </c>
      <c r="Y191" s="3" t="n">
        <f aca="false">+AVERAGE(X93:Y93)/Y29*365</f>
        <v>62.7934214946706</v>
      </c>
      <c r="Z191" s="3" t="n">
        <f aca="false">+AVERAGE(Y93:Z93)/Z29*365</f>
        <v>62.3774406332454</v>
      </c>
      <c r="AA191" s="3" t="n">
        <f aca="false">+AVERAGE(Z93:AA93)/AA29*365</f>
        <v>56.5516985864113</v>
      </c>
      <c r="AB191" s="3" t="n">
        <f aca="false">+AVERAGE(AA93:AB93)/AB29*365</f>
        <v>61.1493506493507</v>
      </c>
      <c r="AC191" s="3" t="n">
        <f aca="false">+AVERAGE(AB93:AC93)/AC29*365</f>
        <v>60.9882663270875</v>
      </c>
      <c r="AD191" s="3" t="n">
        <f aca="false">+AVERAGE(AC93:AD93)/AD29*365</f>
        <v>56.0805741314631</v>
      </c>
      <c r="AE191" s="3" t="n">
        <f aca="false">+AVERAGE(AD93:AE93)/AE29*365</f>
        <v>61.9730086039412</v>
      </c>
      <c r="AF191" s="3" t="n">
        <f aca="false">+AE191+1</f>
        <v>62.9730086039412</v>
      </c>
      <c r="AG191" s="3" t="n">
        <f aca="false">+AF191+1</f>
        <v>63.9730086039412</v>
      </c>
      <c r="AH191" s="3" t="n">
        <f aca="false">+AG191+1</f>
        <v>64.9730086039412</v>
      </c>
      <c r="AI191" s="3" t="n">
        <f aca="false">+AH191+1</f>
        <v>65.9730086039412</v>
      </c>
      <c r="AJ191" s="3" t="n">
        <f aca="false">+AI191+1</f>
        <v>66.9730086039412</v>
      </c>
    </row>
    <row r="192" s="15" customFormat="true" ht="10.5" hidden="false" customHeight="true" outlineLevel="0" collapsed="false">
      <c r="J192" s="15" t="n">
        <f aca="false">+J191/F191-1</f>
        <v>0.0604781268358017</v>
      </c>
      <c r="K192" s="15" t="n">
        <f aca="false">+K191/G191-1</f>
        <v>0.160071070909385</v>
      </c>
      <c r="L192" s="15" t="n">
        <f aca="false">+L191/H191-1</f>
        <v>0.026860085877191</v>
      </c>
      <c r="M192" s="15" t="n">
        <f aca="false">+M191/I191-1</f>
        <v>0.0995332395031181</v>
      </c>
      <c r="N192" s="15" t="n">
        <f aca="false">+N191/J191-1</f>
        <v>0.134438466739281</v>
      </c>
      <c r="O192" s="15" t="n">
        <f aca="false">+O191/K191-1</f>
        <v>0.0607246774479371</v>
      </c>
      <c r="U192" s="15" t="e">
        <f aca="false">+U191/#REF!-1</f>
        <v>#REF!</v>
      </c>
      <c r="V192" s="15" t="n">
        <f aca="false">+V191/U191-1</f>
        <v>0.0430750652222256</v>
      </c>
      <c r="W192" s="15" t="n">
        <f aca="false">+W191/V191-1</f>
        <v>-0.204796729277251</v>
      </c>
      <c r="X192" s="15" t="n">
        <f aca="false">+X191/W191-1</f>
        <v>-0.179932773319291</v>
      </c>
      <c r="Y192" s="15" t="n">
        <f aca="false">+Y191/X191-1</f>
        <v>-0.0310134911195074</v>
      </c>
      <c r="Z192" s="15" t="n">
        <f aca="false">+Z191/Y191-1</f>
        <v>-0.00662459301505847</v>
      </c>
      <c r="AA192" s="15" t="n">
        <f aca="false">+AA191/Z191-1</f>
        <v>-0.0933950156930473</v>
      </c>
      <c r="AB192" s="15" t="n">
        <f aca="false">+AB191/AA191-1</f>
        <v>0.0812999817488083</v>
      </c>
      <c r="AC192" s="15" t="n">
        <f aca="false">+AC191/AB191-1</f>
        <v>-0.00263427690650153</v>
      </c>
      <c r="AD192" s="15" t="n">
        <f aca="false">+AD191/AC191-1</f>
        <v>-0.0804694491445928</v>
      </c>
      <c r="AE192" s="15" t="n">
        <f aca="false">+AE191/AD191-1</f>
        <v>0.105070865691659</v>
      </c>
      <c r="AR192" s="0"/>
      <c r="AS192" s="0"/>
      <c r="AT192" s="0"/>
      <c r="AU192" s="0"/>
      <c r="AV192" s="0"/>
    </row>
    <row r="193" customFormat="false" ht="12.8" hidden="false" customHeight="false" outlineLevel="0" collapsed="false">
      <c r="A193" s="3" t="s">
        <v>164</v>
      </c>
      <c r="F193" s="3" t="n">
        <f aca="false">+AVERAGE(E105:F105)/F37*90</f>
        <v>86.3868613138686</v>
      </c>
      <c r="G193" s="3" t="n">
        <f aca="false">+AVERAGE(F105:G105)/G37*90</f>
        <v>108.321428571429</v>
      </c>
      <c r="H193" s="3" t="n">
        <f aca="false">+AVERAGE(G105:H105)/H37*90</f>
        <v>119.69387755102</v>
      </c>
      <c r="I193" s="3" t="n">
        <f aca="false">+AVERAGE(H105:I105)/I37*90</f>
        <v>134.123376623377</v>
      </c>
      <c r="J193" s="3" t="n">
        <f aca="false">+AVERAGE(I105:J105)/J37*90</f>
        <v>145.96875</v>
      </c>
      <c r="K193" s="3" t="n">
        <f aca="false">+AVERAGE(J105:K105)/K37*90</f>
        <v>170.094339622642</v>
      </c>
      <c r="L193" s="3" t="n">
        <f aca="false">+AVERAGE(K105:L105)/L37*90</f>
        <v>193.090909090909</v>
      </c>
      <c r="M193" s="3" t="n">
        <f aca="false">+AVERAGE(L105:M105)/M37*90</f>
        <v>218.493975903614</v>
      </c>
      <c r="N193" s="3" t="n">
        <f aca="false">+AVERAGE(M105:N105)/N37*90</f>
        <v>212.142857142857</v>
      </c>
      <c r="O193" s="3" t="n">
        <f aca="false">+AVERAGE(N105:O105)/O37*90</f>
        <v>219.886363636364</v>
      </c>
      <c r="U193" s="3" t="n">
        <f aca="false">+AVERAGE(U105)/U37*365</f>
        <v>118.056379821958</v>
      </c>
      <c r="V193" s="3" t="n">
        <f aca="false">+AVERAGE(U105:V105)/V37*365</f>
        <v>113.909037730331</v>
      </c>
      <c r="W193" s="3" t="n">
        <f aca="false">+AVERAGE(V105:W105)/W37*365</f>
        <v>113.205339485827</v>
      </c>
      <c r="X193" s="3" t="n">
        <f aca="false">+AVERAGE(W105:X105)/X37*365</f>
        <v>125.305176635187</v>
      </c>
      <c r="Y193" s="3" t="n">
        <f aca="false">+AVERAGE(X105:Y105)/Y37*365</f>
        <v>104.085103108649</v>
      </c>
      <c r="Z193" s="3" t="n">
        <f aca="false">+AVERAGE(Y105:Z105)/Z37*365</f>
        <v>111.666172106825</v>
      </c>
      <c r="AA193" s="3" t="n">
        <f aca="false">+AVERAGE(Z105:AA105)/AA37*365</f>
        <v>106.312799043062</v>
      </c>
      <c r="AB193" s="3" t="n">
        <f aca="false">+AVERAGE(AA105:AB105)/AB37*365</f>
        <v>84.7864583333333</v>
      </c>
      <c r="AC193" s="3" t="n">
        <f aca="false">+AVERAGE(AB105:AC105)/AC37*365</f>
        <v>72.1428571428571</v>
      </c>
      <c r="AD193" s="3" t="n">
        <f aca="false">+AVERAGE(AC105:AD105)/AD37*365</f>
        <v>107.984429065744</v>
      </c>
      <c r="AE193" s="3" t="n">
        <f aca="false">+AVERAGE(AD105:AE105)/AE37*365</f>
        <v>186.430769230769</v>
      </c>
      <c r="AF193" s="3" t="n">
        <f aca="false">+AE193+3</f>
        <v>189.430769230769</v>
      </c>
      <c r="AG193" s="3" t="n">
        <f aca="false">+AF193+3</f>
        <v>192.430769230769</v>
      </c>
      <c r="AH193" s="3" t="n">
        <f aca="false">+AG193+3</f>
        <v>195.430769230769</v>
      </c>
      <c r="AI193" s="3" t="n">
        <f aca="false">+AH193+3</f>
        <v>198.430769230769</v>
      </c>
      <c r="AJ193" s="3" t="n">
        <f aca="false">+AI193+3</f>
        <v>201.430769230769</v>
      </c>
    </row>
    <row r="194" s="15" customFormat="true" ht="10.5" hidden="false" customHeight="true" outlineLevel="0" collapsed="false">
      <c r="J194" s="15" t="n">
        <f aca="false">+J193/F193-1</f>
        <v>0.689710076045627</v>
      </c>
      <c r="K194" s="15" t="n">
        <f aca="false">+K193/G193-1</f>
        <v>0.570274154116044</v>
      </c>
      <c r="L194" s="15" t="n">
        <f aca="false">+L193/H193-1</f>
        <v>0.613206231109045</v>
      </c>
      <c r="M194" s="15" t="n">
        <f aca="false">+M193/I193-1</f>
        <v>0.629052156337769</v>
      </c>
      <c r="N194" s="15" t="n">
        <f aca="false">+N193/J193-1</f>
        <v>0.453344343517754</v>
      </c>
      <c r="O194" s="15" t="n">
        <f aca="false">+O193/K193-1</f>
        <v>0.292731810618666</v>
      </c>
      <c r="U194" s="15" t="e">
        <f aca="false">+U193/#REF!-1</f>
        <v>#REF!</v>
      </c>
      <c r="V194" s="15" t="n">
        <f aca="false">+V193/U193-1</f>
        <v>-0.035130181849406</v>
      </c>
      <c r="W194" s="15" t="n">
        <f aca="false">+W193/V193-1</f>
        <v>-0.00617772091244817</v>
      </c>
      <c r="X194" s="15" t="n">
        <f aca="false">+X193/W193-1</f>
        <v>0.10688397918611</v>
      </c>
      <c r="Y194" s="15" t="n">
        <f aca="false">+Y193/X193-1</f>
        <v>-0.169347141884795</v>
      </c>
      <c r="Z194" s="15" t="n">
        <f aca="false">+Z193/Y193-1</f>
        <v>0.0728352931568181</v>
      </c>
      <c r="AA194" s="15" t="n">
        <f aca="false">+AA193/Z193-1</f>
        <v>-0.0479408666273743</v>
      </c>
      <c r="AB194" s="15" t="n">
        <f aca="false">+AB193/AA193-1</f>
        <v>-0.202481177275838</v>
      </c>
      <c r="AC194" s="15" t="n">
        <f aca="false">+AC193/AB193-1</f>
        <v>-0.149122883996034</v>
      </c>
      <c r="AD194" s="15" t="n">
        <f aca="false">+AD193/AC193-1</f>
        <v>0.496813868238035</v>
      </c>
      <c r="AE194" s="15" t="n">
        <f aca="false">+AE193/AD193-1</f>
        <v>0.726459739091318</v>
      </c>
      <c r="AR194" s="0"/>
      <c r="AS194" s="0"/>
      <c r="AT194" s="0"/>
      <c r="AU194" s="0"/>
      <c r="AV194" s="0"/>
    </row>
    <row r="195" customFormat="false" ht="12.8" hidden="false" customHeight="false" outlineLevel="0" collapsed="false">
      <c r="A195" s="3" t="s">
        <v>165</v>
      </c>
      <c r="F195" s="3" t="n">
        <f aca="false">+F191-F193</f>
        <v>-47.3572212291827</v>
      </c>
      <c r="G195" s="3" t="n">
        <f aca="false">+G191-G193</f>
        <v>-85.7466777408638</v>
      </c>
      <c r="H195" s="3" t="n">
        <f aca="false">+H191-H193</f>
        <v>-88.0505654491096</v>
      </c>
      <c r="I195" s="3" t="n">
        <f aca="false">+I191-I193</f>
        <v>-87.1740172579099</v>
      </c>
      <c r="J195" s="3" t="n">
        <f aca="false">+J191-J193</f>
        <v>-104.578670391917</v>
      </c>
      <c r="K195" s="3" t="n">
        <f aca="false">+K191-K193</f>
        <v>-143.906024251116</v>
      </c>
      <c r="L195" s="3" t="n">
        <f aca="false">+L191-L193</f>
        <v>-160.597654908502</v>
      </c>
      <c r="M195" s="3" t="n">
        <f aca="false">+M191-M193</f>
        <v>-166.871594707907</v>
      </c>
      <c r="N195" s="3" t="n">
        <f aca="false">+N191-N193</f>
        <v>-165.188358694046</v>
      </c>
      <c r="O195" s="3" t="n">
        <f aca="false">+O191-O193</f>
        <v>-192.107771260997</v>
      </c>
      <c r="U195" s="3" t="n">
        <f aca="false">+U191-U193</f>
        <v>-22.7870215694925</v>
      </c>
      <c r="V195" s="3" t="n">
        <f aca="false">+V191-V193</f>
        <v>-14.53594565746</v>
      </c>
      <c r="W195" s="3" t="n">
        <f aca="false">+W191-W193</f>
        <v>-34.1835316476478</v>
      </c>
      <c r="X195" s="3" t="n">
        <f aca="false">+X191-X193</f>
        <v>-60.5019818340353</v>
      </c>
      <c r="Y195" s="3" t="n">
        <f aca="false">+Y191-Y193</f>
        <v>-41.2916816139782</v>
      </c>
      <c r="Z195" s="3" t="n">
        <f aca="false">+Z191-Z193</f>
        <v>-49.2887314735795</v>
      </c>
      <c r="AA195" s="3" t="n">
        <f aca="false">+AA191-AA193</f>
        <v>-49.7611004566509</v>
      </c>
      <c r="AB195" s="3" t="n">
        <f aca="false">+AB191-AB193</f>
        <v>-23.6371076839827</v>
      </c>
      <c r="AC195" s="3" t="n">
        <f aca="false">+AC191-AC193</f>
        <v>-11.1545908157696</v>
      </c>
      <c r="AD195" s="3" t="n">
        <f aca="false">+AD191-AD193</f>
        <v>-51.9038549342809</v>
      </c>
      <c r="AE195" s="3" t="n">
        <f aca="false">+AE191-AE193</f>
        <v>-124.457760626828</v>
      </c>
      <c r="AF195" s="3" t="n">
        <f aca="false">+AF191-AF193</f>
        <v>-126.457760626828</v>
      </c>
      <c r="AG195" s="3" t="n">
        <f aca="false">+AG191-AG193</f>
        <v>-128.457760626828</v>
      </c>
      <c r="AH195" s="3" t="n">
        <f aca="false">+AH191-AH193</f>
        <v>-130.457760626828</v>
      </c>
      <c r="AI195" s="3" t="n">
        <f aca="false">+AI191-AI193</f>
        <v>-132.457760626828</v>
      </c>
      <c r="AJ195" s="3" t="n">
        <f aca="false">+AJ191-AJ193</f>
        <v>-134.457760626828</v>
      </c>
    </row>
    <row r="196" s="15" customFormat="true" ht="10.5" hidden="false" customHeight="true" outlineLevel="0" collapsed="false">
      <c r="J196" s="15" t="n">
        <f aca="false">+J195/F195-1</f>
        <v>1.20829406112774</v>
      </c>
      <c r="K196" s="15" t="n">
        <f aca="false">+K195/G195-1</f>
        <v>0.678269386552982</v>
      </c>
      <c r="L196" s="15" t="n">
        <f aca="false">+L195/H195-1</f>
        <v>0.823925310295963</v>
      </c>
      <c r="M196" s="15" t="n">
        <f aca="false">+M195/I195-1</f>
        <v>0.914235456354002</v>
      </c>
      <c r="N196" s="15" t="n">
        <f aca="false">+N195/J195-1</f>
        <v>0.579560708459862</v>
      </c>
      <c r="O196" s="15" t="n">
        <f aca="false">+O195/K195-1</f>
        <v>0.334952947666523</v>
      </c>
      <c r="U196" s="15" t="e">
        <f aca="false">+U195/#REF!-1</f>
        <v>#REF!</v>
      </c>
      <c r="V196" s="15" t="n">
        <f aca="false">+V195/U195-1</f>
        <v>-0.362095409743199</v>
      </c>
      <c r="W196" s="15" t="n">
        <f aca="false">+W195/V195-1</f>
        <v>1.35165516253182</v>
      </c>
      <c r="X196" s="15" t="n">
        <f aca="false">+X195/W195-1</f>
        <v>0.769916065363555</v>
      </c>
      <c r="Y196" s="15" t="n">
        <f aca="false">+Y195/X195-1</f>
        <v>-0.31751522243938</v>
      </c>
      <c r="Z196" s="15" t="n">
        <f aca="false">+Z195/Y195-1</f>
        <v>0.193672176744047</v>
      </c>
      <c r="AA196" s="15" t="n">
        <f aca="false">+AA195/Z195-1</f>
        <v>0.00958371150867543</v>
      </c>
      <c r="AB196" s="15" t="n">
        <f aca="false">+AB195/AA195-1</f>
        <v>-0.524988244490814</v>
      </c>
      <c r="AC196" s="15" t="n">
        <f aca="false">+AC195/AB195-1</f>
        <v>-0.528089859178144</v>
      </c>
      <c r="AD196" s="15" t="n">
        <f aca="false">+AD195/AC195-1</f>
        <v>3.65313840655657</v>
      </c>
      <c r="AE196" s="15" t="n">
        <f aca="false">+AE195/AD195-1</f>
        <v>1.3978519665719</v>
      </c>
      <c r="AR196" s="0"/>
      <c r="AS196" s="0"/>
      <c r="AT196" s="0"/>
      <c r="AU196" s="0"/>
      <c r="AV196" s="0"/>
    </row>
  </sheetData>
  <hyperlinks>
    <hyperlink ref="A1" r:id="rId2" location="Main" display="Main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3215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2026-09-09T13:31:00Z</dcterms:created>
  <dc:creator/>
  <dc:description/>
  <dc:language>en-US</dc:language>
  <cp:lastModifiedBy/>
  <dcterms:modified xsi:type="dcterms:W3CDTF">2026-10-01T19:39:35Z</dcterms:modified>
  <cp:revision>380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