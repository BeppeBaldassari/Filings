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Model" sheetId="2" state="visible" r:id="rId4"/>
    <sheet name="Bond" sheetId="3" state="visible" r:id="rId5"/>
    <sheet name="Board" sheetId="4" state="visible" r:id="rId6"/>
  </sheets>
  <externalReferences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J37" authorId="0">
      <text>
        <r>
          <rPr>
            <sz val="10"/>
            <rFont val="Arial"/>
            <family val="2"/>
          </rPr>
          <t xml:space="preserve">One time transition tax on previously untaxed foreign earnings 17.9B$ 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1</xdr:colOff>
                <xdr:row>32</xdr:row>
                <xdr:rowOff>1</xdr:rowOff>
              </xdr:from>
              <xdr:to>
                <xdr:col>37</xdr:col>
                <xdr:colOff>2</xdr:colOff>
                <xdr:row>38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<sst xmlns="http://schemas.openxmlformats.org/spreadsheetml/2006/main" count="685" uniqueCount="286">
  <si>
    <t xml:space="preserve">Microsoft Corporation</t>
  </si>
  <si>
    <t xml:space="preserve">Price</t>
  </si>
  <si>
    <t xml:space="preserve">Share</t>
  </si>
  <si>
    <t xml:space="preserve">Q426</t>
  </si>
  <si>
    <t xml:space="preserve">MC</t>
  </si>
  <si>
    <t xml:space="preserve">Cash</t>
  </si>
  <si>
    <t xml:space="preserve">Debt</t>
  </si>
  <si>
    <t xml:space="preserve">EV</t>
  </si>
  <si>
    <t xml:space="preserve">Foundation</t>
  </si>
  <si>
    <t xml:space="preserve">CAPM</t>
  </si>
  <si>
    <t xml:space="preserve">WACC</t>
  </si>
  <si>
    <t xml:space="preserve">Cost of Debt</t>
  </si>
  <si>
    <t xml:space="preserve">P/FCF</t>
  </si>
  <si>
    <t xml:space="preserve">P/E</t>
  </si>
  <si>
    <t xml:space="preserve">EV/EBITDA</t>
  </si>
  <si>
    <t xml:space="preserve">EV/FCF</t>
  </si>
  <si>
    <t xml:space="preserve">Inc. Margin</t>
  </si>
  <si>
    <t xml:space="preserve">Cr. Spread</t>
  </si>
  <si>
    <t xml:space="preserve">Rating</t>
  </si>
  <si>
    <t xml:space="preserve">AAA</t>
  </si>
  <si>
    <t xml:space="preserve">Aaa</t>
  </si>
  <si>
    <t xml:space="preserve">S&amp;P</t>
  </si>
  <si>
    <t xml:space="preserve">Moody’s</t>
  </si>
  <si>
    <t xml:space="preserve">Productivity and Business Process</t>
  </si>
  <si>
    <t xml:space="preserve">-&gt;</t>
  </si>
  <si>
    <t xml:space="preserve">Microsoft 365 Commercial Products</t>
  </si>
  <si>
    <t xml:space="preserve">AI-powered business and productivity solutions</t>
  </si>
  <si>
    <t xml:space="preserve">Microsoft 365 Consumer Products</t>
  </si>
  <si>
    <t xml:space="preserve">Linkedin</t>
  </si>
  <si>
    <t xml:space="preserve">Premium subscriptions and monetized solutions</t>
  </si>
  <si>
    <t xml:space="preserve">Dynamics Products (Dynamics 365)</t>
  </si>
  <si>
    <t xml:space="preserve">Enterprise resource planning, customer relationship management and supply chain management</t>
  </si>
  <si>
    <t xml:space="preserve">Intelligent Cloud</t>
  </si>
  <si>
    <t xml:space="preserve">public and private server products, cloud and AI based services. GitHub cloud services, Windows Server, Visual Studio</t>
  </si>
  <si>
    <t xml:space="preserve">Azure</t>
  </si>
  <si>
    <t xml:space="preserve">Enterprice and partner services (Enterprise support services, Industry solutions, Microsoft Partner Network)</t>
  </si>
  <si>
    <t xml:space="preserve">More Personal Computing</t>
  </si>
  <si>
    <t xml:space="preserve">product and services</t>
  </si>
  <si>
    <t xml:space="preserve">Windows devices (including licences)</t>
  </si>
  <si>
    <t xml:space="preserve">Windows Licences, Surface (PC), PC accessories</t>
  </si>
  <si>
    <t xml:space="preserve">Gaming (Xbox hardware and software)</t>
  </si>
  <si>
    <t xml:space="preserve">Search and news advertising (Bing, Copilot, Microsoft News)</t>
  </si>
  <si>
    <t xml:space="preserve">Main</t>
  </si>
  <si>
    <t xml:space="preserve">09/22</t>
  </si>
  <si>
    <t xml:space="preserve">09/23</t>
  </si>
  <si>
    <t xml:space="preserve">12/23</t>
  </si>
  <si>
    <t xml:space="preserve">03/24</t>
  </si>
  <si>
    <t xml:space="preserve">06/24</t>
  </si>
  <si>
    <t xml:space="preserve">09/24</t>
  </si>
  <si>
    <t xml:space="preserve">12/24</t>
  </si>
  <si>
    <t xml:space="preserve">03/25</t>
  </si>
  <si>
    <t xml:space="preserve">06/25</t>
  </si>
  <si>
    <t xml:space="preserve">09/25</t>
  </si>
  <si>
    <t xml:space="preserve">12/25</t>
  </si>
  <si>
    <t xml:space="preserve">03/26</t>
  </si>
  <si>
    <t xml:space="preserve">06/26</t>
  </si>
  <si>
    <t xml:space="preserve">in Millions</t>
  </si>
  <si>
    <t xml:space="preserve">Q122</t>
  </si>
  <si>
    <t xml:space="preserve">Q222</t>
  </si>
  <si>
    <t xml:space="preserve">Q322</t>
  </si>
  <si>
    <t xml:space="preserve">Q422</t>
  </si>
  <si>
    <t xml:space="preserve">Q123</t>
  </si>
  <si>
    <t xml:space="preserve">Q223</t>
  </si>
  <si>
    <t xml:space="preserve">Q323</t>
  </si>
  <si>
    <t xml:space="preserve">Q423</t>
  </si>
  <si>
    <t xml:space="preserve">Q124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</si>
  <si>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</si>
  <si>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</si>
  <si>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</si>
  <si>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</si>
  <si>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</si>
  <si>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</si>
  <si>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Q425</t>
  </si>
  <si>
    <t xml:space="preserve">Q126</t>
  </si>
  <si>
    <t xml:space="preserve">Q226</t>
  </si>
  <si>
    <t xml:space="preserve">Q326</t>
  </si>
  <si>
    <t xml:space="preserve">Q127</t>
  </si>
  <si>
    <t xml:space="preserve">Q227</t>
  </si>
  <si>
    <t xml:space="preserve">Productivity</t>
  </si>
  <si>
    <t xml:space="preserve">More PC</t>
  </si>
  <si>
    <t xml:space="preserve">Product</t>
  </si>
  <si>
    <t xml:space="preserve">Service and other</t>
  </si>
  <si>
    <t xml:space="preserve">Revenue</t>
  </si>
  <si>
    <t xml:space="preserve">Service and Other</t>
  </si>
  <si>
    <t xml:space="preserve">COGS</t>
  </si>
  <si>
    <t xml:space="preserve">Gross Margin</t>
  </si>
  <si>
    <t xml:space="preserve">R&amp;D</t>
  </si>
  <si>
    <t xml:space="preserve">S&amp;M</t>
  </si>
  <si>
    <t xml:space="preserve">G&amp;A</t>
  </si>
  <si>
    <t xml:space="preserve">OP Exp.</t>
  </si>
  <si>
    <t xml:space="preserve">EBIT</t>
  </si>
  <si>
    <t xml:space="preserve">Other Income</t>
  </si>
  <si>
    <t xml:space="preserve">EBT</t>
  </si>
  <si>
    <t xml:space="preserve">Taxes</t>
  </si>
  <si>
    <t xml:space="preserve">Net Income</t>
  </si>
  <si>
    <t xml:space="preserve">EPS</t>
  </si>
  <si>
    <t xml:space="preserve">Shares</t>
  </si>
  <si>
    <t xml:space="preserve">Gordon Growth Model</t>
  </si>
  <si>
    <t xml:space="preserve">Terminal</t>
  </si>
  <si>
    <t xml:space="preserve">Payout Ratio</t>
  </si>
  <si>
    <t xml:space="preserve">OP Margin</t>
  </si>
  <si>
    <t xml:space="preserve">Discount</t>
  </si>
  <si>
    <t xml:space="preserve">Sustained Growth</t>
  </si>
  <si>
    <t xml:space="preserve">NI Margin</t>
  </si>
  <si>
    <t xml:space="preserve">ROIC</t>
  </si>
  <si>
    <t xml:space="preserve">Equity Value</t>
  </si>
  <si>
    <t xml:space="preserve">Diff</t>
  </si>
  <si>
    <t xml:space="preserve">Tax Rate</t>
  </si>
  <si>
    <t xml:space="preserve">NPV</t>
  </si>
  <si>
    <t xml:space="preserve">Just. P/E</t>
  </si>
  <si>
    <t xml:space="preserve">CapEx Margin</t>
  </si>
  <si>
    <t xml:space="preserve">Dividend yield</t>
  </si>
  <si>
    <t xml:space="preserve">Debt-to-EBITDA</t>
  </si>
  <si>
    <t xml:space="preserve">ROA</t>
  </si>
  <si>
    <t xml:space="preserve">ROE</t>
  </si>
  <si>
    <t xml:space="preserve">Asset Turnover</t>
  </si>
  <si>
    <t xml:space="preserve">Financial Leverage</t>
  </si>
  <si>
    <t xml:space="preserve">Financial Leverage %</t>
  </si>
  <si>
    <t xml:space="preserve">NOPAT</t>
  </si>
  <si>
    <t xml:space="preserve">NWC</t>
  </si>
  <si>
    <t xml:space="preserve">TV</t>
  </si>
  <si>
    <t xml:space="preserve">UFCF</t>
  </si>
  <si>
    <t xml:space="preserve">EBITDA</t>
  </si>
  <si>
    <t xml:space="preserve">Net Cash</t>
  </si>
  <si>
    <t xml:space="preserve">Investments</t>
  </si>
  <si>
    <t xml:space="preserve">A/R</t>
  </si>
  <si>
    <t xml:space="preserve">Inventories</t>
  </si>
  <si>
    <t xml:space="preserve">PP&amp;E</t>
  </si>
  <si>
    <t xml:space="preserve">Op Lease ROU</t>
  </si>
  <si>
    <t xml:space="preserve">Goodwill</t>
  </si>
  <si>
    <t xml:space="preserve">Intangible</t>
  </si>
  <si>
    <t xml:space="preserve">Other Current </t>
  </si>
  <si>
    <t xml:space="preserve">Other Non Current</t>
  </si>
  <si>
    <t xml:space="preserve">A</t>
  </si>
  <si>
    <t xml:space="preserve">A/P</t>
  </si>
  <si>
    <t xml:space="preserve">Accr. Compensation</t>
  </si>
  <si>
    <t xml:space="preserve">Income Taxes Curr.</t>
  </si>
  <si>
    <t xml:space="preserve">Income Taxes Non Current</t>
  </si>
  <si>
    <t xml:space="preserve">U/R Curr</t>
  </si>
  <si>
    <t xml:space="preserve">U/R Non Curr</t>
  </si>
  <si>
    <t xml:space="preserve">D/T Curr.</t>
  </si>
  <si>
    <t xml:space="preserve">Op Lease Liab.</t>
  </si>
  <si>
    <t xml:space="preserve">Other Liab. Curr</t>
  </si>
  <si>
    <t xml:space="preserve">Other Liab. Non Curr</t>
  </si>
  <si>
    <t xml:space="preserve">L</t>
  </si>
  <si>
    <t xml:space="preserve">Stocks</t>
  </si>
  <si>
    <t xml:space="preserve">Retain. Earnings</t>
  </si>
  <si>
    <t xml:space="preserve">Acc. Comprehensive loss</t>
  </si>
  <si>
    <t xml:space="preserve">SE</t>
  </si>
  <si>
    <t xml:space="preserve">L+SE</t>
  </si>
  <si>
    <t xml:space="preserve">Model NI</t>
  </si>
  <si>
    <t xml:space="preserve">D&amp;A</t>
  </si>
  <si>
    <t xml:space="preserve">SBC</t>
  </si>
  <si>
    <t xml:space="preserve">Loss on Investments</t>
  </si>
  <si>
    <t xml:space="preserve">D/T</t>
  </si>
  <si>
    <t xml:space="preserve">Other current A</t>
  </si>
  <si>
    <t xml:space="preserve">Other long A</t>
  </si>
  <si>
    <t xml:space="preserve">Unr. Revenue</t>
  </si>
  <si>
    <t xml:space="preserve">Income Taxes</t>
  </si>
  <si>
    <t xml:space="preserve">Other current L</t>
  </si>
  <si>
    <t xml:space="preserve">Other long L</t>
  </si>
  <si>
    <t xml:space="preserve">CFFO</t>
  </si>
  <si>
    <t xml:space="preserve">CapEx</t>
  </si>
  <si>
    <t xml:space="preserve">FCF</t>
  </si>
  <si>
    <t xml:space="preserve">Employees</t>
  </si>
  <si>
    <t xml:space="preserve">Revenue / Employee</t>
  </si>
  <si>
    <t xml:space="preserve">Accruals</t>
  </si>
  <si>
    <t xml:space="preserve">Accruals Ratio</t>
  </si>
  <si>
    <t xml:space="preserve">Server Products and cloud</t>
  </si>
  <si>
    <t xml:space="preserve">Microsoft 365 Commercial</t>
  </si>
  <si>
    <t xml:space="preserve">Gaming</t>
  </si>
  <si>
    <t xml:space="preserve">Windows</t>
  </si>
  <si>
    <t xml:space="preserve">Seach and News</t>
  </si>
  <si>
    <t xml:space="preserve">Windows 365 Consumer</t>
  </si>
  <si>
    <t xml:space="preserve">Dynamics products</t>
  </si>
  <si>
    <t xml:space="preserve">Enterprise partner services</t>
  </si>
  <si>
    <t xml:space="preserve">Other</t>
  </si>
  <si>
    <t xml:space="preserve">DSO</t>
  </si>
  <si>
    <t xml:space="preserve">DIO</t>
  </si>
  <si>
    <t xml:space="preserve">DPO</t>
  </si>
  <si>
    <t xml:space="preserve">CCC</t>
  </si>
  <si>
    <t xml:space="preserve">Share Issuance</t>
  </si>
  <si>
    <t xml:space="preserve">Share Repurchase</t>
  </si>
  <si>
    <t xml:space="preserve">Dividends</t>
  </si>
  <si>
    <t xml:space="preserve">Total SH return</t>
  </si>
  <si>
    <t xml:space="preserve">isin</t>
  </si>
  <si>
    <t xml:space="preserve">bondType</t>
  </si>
  <si>
    <t xml:space="preserve">immediateIssuer</t>
  </si>
  <si>
    <t xml:space="preserve">coupon</t>
  </si>
  <si>
    <t xml:space="preserve">couponType</t>
  </si>
  <si>
    <t xml:space="preserve">maturityDate</t>
  </si>
  <si>
    <t xml:space="preserve">callable</t>
  </si>
  <si>
    <t xml:space="preserve">currency</t>
  </si>
  <si>
    <t xml:space="preserve">seniorityLevel</t>
  </si>
  <si>
    <t xml:space="preserve">liquidityScore</t>
  </si>
  <si>
    <t xml:space="preserve">US594918BR43</t>
  </si>
  <si>
    <t xml:space="preserve">—</t>
  </si>
  <si>
    <t xml:space="preserve">Fixed Listing</t>
  </si>
  <si>
    <t xml:space="preserve">08/08/2026</t>
  </si>
  <si>
    <t xml:space="preserve">Y</t>
  </si>
  <si>
    <t xml:space="preserve">USD</t>
  </si>
  <si>
    <t xml:space="preserve">Senior</t>
  </si>
  <si>
    <t xml:space="preserve">US00507VAK52</t>
  </si>
  <si>
    <t xml:space="preserve">Activision Blizzard, Inc.</t>
  </si>
  <si>
    <t xml:space="preserve">15/09/2026</t>
  </si>
  <si>
    <t xml:space="preserve">US594918CG78</t>
  </si>
  <si>
    <t xml:space="preserve">US594918CM47</t>
  </si>
  <si>
    <t xml:space="preserve">US594918CN20</t>
  </si>
  <si>
    <t xml:space="preserve">USU59340AH90</t>
  </si>
  <si>
    <t xml:space="preserve">US594918BY93</t>
  </si>
  <si>
    <t xml:space="preserve">06/02/2027</t>
  </si>
  <si>
    <t xml:space="preserve">US00507VAM19</t>
  </si>
  <si>
    <t xml:space="preserve">15/06/2027</t>
  </si>
  <si>
    <t xml:space="preserve">MSFT acquired Blizzard in 2013</t>
  </si>
  <si>
    <t xml:space="preserve">US594918CH51</t>
  </si>
  <si>
    <t xml:space="preserve">US594918CP77</t>
  </si>
  <si>
    <t xml:space="preserve">US594918CQ50</t>
  </si>
  <si>
    <t xml:space="preserve">USU59340AJ56</t>
  </si>
  <si>
    <t xml:space="preserve">XS1001749289</t>
  </si>
  <si>
    <t xml:space="preserve">06/12/2028</t>
  </si>
  <si>
    <t xml:space="preserve">EUR</t>
  </si>
  <si>
    <t xml:space="preserve">US00507VAP40</t>
  </si>
  <si>
    <t xml:space="preserve">15/09/2030</t>
  </si>
  <si>
    <t xml:space="preserve">US594918CJ18</t>
  </si>
  <si>
    <t xml:space="preserve">US594918CR34</t>
  </si>
  <si>
    <t xml:space="preserve">US594918CS17</t>
  </si>
  <si>
    <t xml:space="preserve">USU59340AK20</t>
  </si>
  <si>
    <t xml:space="preserve">XS0922885362</t>
  </si>
  <si>
    <t xml:space="preserve">02/05/2033</t>
  </si>
  <si>
    <t xml:space="preserve">US594918BC73</t>
  </si>
  <si>
    <t xml:space="preserve">12/02/2035</t>
  </si>
  <si>
    <t xml:space="preserve">US594918BK99</t>
  </si>
  <si>
    <t xml:space="preserve">03/11/2035</t>
  </si>
  <si>
    <t xml:space="preserve">US594918BS26</t>
  </si>
  <si>
    <t xml:space="preserve">08/08/2036</t>
  </si>
  <si>
    <t xml:space="preserve">US594918BZ68</t>
  </si>
  <si>
    <t xml:space="preserve">06/02/2037</t>
  </si>
  <si>
    <t xml:space="preserve">US594918AD65</t>
  </si>
  <si>
    <t xml:space="preserve">01/06/2039</t>
  </si>
  <si>
    <t xml:space="preserve">N</t>
  </si>
  <si>
    <t xml:space="preserve">US594918AJ36</t>
  </si>
  <si>
    <t xml:space="preserve">01/10/2040</t>
  </si>
  <si>
    <t xml:space="preserve">US594918AM64</t>
  </si>
  <si>
    <t xml:space="preserve">08/02/2041</t>
  </si>
  <si>
    <t xml:space="preserve">US594918AR51</t>
  </si>
  <si>
    <t xml:space="preserve">15/11/2042</t>
  </si>
  <si>
    <t xml:space="preserve">US594918AU80</t>
  </si>
  <si>
    <t xml:space="preserve">01/05/2043</t>
  </si>
  <si>
    <t xml:space="preserve">US594918AX20</t>
  </si>
  <si>
    <t xml:space="preserve">15/12/2043</t>
  </si>
  <si>
    <t xml:space="preserve">US594918BD56</t>
  </si>
  <si>
    <t xml:space="preserve">12/02/2045</t>
  </si>
  <si>
    <t xml:space="preserve">US594918BL72</t>
  </si>
  <si>
    <t xml:space="preserve">03/11/2045</t>
  </si>
  <si>
    <t xml:space="preserve">US594918BT09</t>
  </si>
  <si>
    <t xml:space="preserve">08/08/2046</t>
  </si>
  <si>
    <t xml:space="preserve">US594918CA09</t>
  </si>
  <si>
    <t xml:space="preserve">06/02/2047</t>
  </si>
  <si>
    <t xml:space="preserve">US00507VAN91</t>
  </si>
  <si>
    <t xml:space="preserve">15/06/2047</t>
  </si>
  <si>
    <t xml:space="preserve">US594918CK80</t>
  </si>
  <si>
    <t xml:space="preserve">US594918CT99</t>
  </si>
  <si>
    <t xml:space="preserve">US594918CU62</t>
  </si>
  <si>
    <t xml:space="preserve">USU59340AL03</t>
  </si>
  <si>
    <t xml:space="preserve">US594918CC64</t>
  </si>
  <si>
    <t xml:space="preserve">01/06/2050</t>
  </si>
  <si>
    <t xml:space="preserve">US00507VAQ23</t>
  </si>
  <si>
    <t xml:space="preserve">15/09/2050</t>
  </si>
  <si>
    <t xml:space="preserve">US594918CL63</t>
  </si>
  <si>
    <t xml:space="preserve">US594918CV46</t>
  </si>
  <si>
    <t xml:space="preserve">US594918CW29</t>
  </si>
  <si>
    <t xml:space="preserve">USU59340AM85</t>
  </si>
  <si>
    <t xml:space="preserve">US594918CE21</t>
  </si>
  <si>
    <t xml:space="preserve">17/03/2052</t>
  </si>
  <si>
    <t xml:space="preserve">US594918BE30</t>
  </si>
  <si>
    <t xml:space="preserve">12/02/2055</t>
  </si>
  <si>
    <t xml:space="preserve">US594918BM55</t>
  </si>
  <si>
    <t xml:space="preserve">03/11/2055</t>
  </si>
  <si>
    <t xml:space="preserve">US594918BU71</t>
  </si>
  <si>
    <t xml:space="preserve">08/08/2056</t>
  </si>
  <si>
    <t xml:space="preserve">US594918CB81</t>
  </si>
  <si>
    <t xml:space="preserve">06/02/2057</t>
  </si>
  <si>
    <t xml:space="preserve">US594918CD48</t>
  </si>
  <si>
    <t xml:space="preserve">01/06/2060</t>
  </si>
  <si>
    <t xml:space="preserve">US594918CF95</t>
  </si>
  <si>
    <t xml:space="preserve">17/03/2062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</si>
</sst>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#,##0;\(#,##0\);\-"/>
    <numFmt numFmtId="167" formatCode="0.00%"/>
    <numFmt numFmtId="168" formatCode="#,##0.00"/>
    <numFmt numFmtId="169" formatCode="#,##0.00&quot;bp&quot;"/>
    <numFmt numFmtId="170" formatCode="mm/dd"/>
    <numFmt numFmtId="171" formatCode="#,##0.00;\(#,##0.00\);\-"/>
    <numFmt numFmtId="172" formatCode="0.00%;\(0.00%\);\-"/>
    <numFmt numFmtId="173" formatCode="0%"/>
    <numFmt numFmtId="174" formatCode="#,##0\x"/>
    <numFmt numFmtId="175" formatCode="#,###.00;\(#,###.00\);\-"/>
    <numFmt numFmtId="176" formatCode="mm/dd/yy"/>
    <numFmt numFmtId="177" formatCode="#,##0.00;[RED]\-#,##0.00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b val="true"/>
      <i val="true"/>
      <sz val="13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8"/>
      <color rgb="FF808080"/>
      <name val="Arial"/>
      <family val="2"/>
      <charset val="1"/>
    </font>
    <font>
      <i val="true"/>
      <sz val="10"/>
      <name val="Arial"/>
      <family val="2"/>
      <charset val="1"/>
    </font>
    <font>
      <i val="true"/>
      <sz val="8"/>
      <color rgb="FF666666"/>
      <name val="Arial"/>
      <family val="2"/>
      <charset val="1"/>
    </font>
    <font>
      <sz val="10"/>
      <name val="Arial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4B4B4B"/>
      <name val="Arial"/>
      <family val="2"/>
      <charset val="1"/>
    </font>
    <font>
      <sz val="10"/>
      <color rgb="FF4B4B4B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DDDDDD"/>
      </patternFill>
    </fill>
    <fill>
      <patternFill patternType="solid">
        <fgColor rgb="FFDDDDDD"/>
        <bgColor rgb="FFE1E1E1"/>
      </patternFill>
    </fill>
    <fill>
      <patternFill patternType="solid">
        <fgColor rgb="FFB2B2B2"/>
        <bgColor rgb="FFB3B3B3"/>
      </patternFill>
    </fill>
    <fill>
      <patternFill patternType="solid">
        <fgColor rgb="FFE1E1E1"/>
        <bgColor rgb="FFDDDDDD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7" fontId="15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1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7" fontId="15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1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1E1"/>
      <rgbColor rgb="FFFFFF99"/>
      <rgbColor rgb="FFB3B3B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4586"/>
      <rgbColor rgb="FF339966"/>
      <rgbColor rgb="FF003300"/>
      <rgbColor rgb="FF333300"/>
      <rgbColor rgb="FF993300"/>
      <rgbColor rgb="FF993366"/>
      <rgbColor rgb="FF333399"/>
      <rgbColor rgb="FF4B4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GB" sz="1300" b="0" u="none" strike="noStrike">
                <a:uFillTx/>
                <a:latin typeface="Arial"/>
              </a:defRPr>
            </a:pPr>
            <a:r>
              <a:rPr lang="en-GB"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Empoyees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n-GB"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Model!$AB$2:$AR$2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strCache>
            </c:strRef>
          </c:cat>
          <c:val>
            <c:numRef>
              <c:f>Model!$AB$125:$AR$125</c:f>
              <c:numCache>
                <c:formatCode>#,##0;\(#,##0\);\-</c:formatCode>
                <c:ptCount val="17"/>
                <c:pt idx="0">
                  <c:v>89000</c:v>
                </c:pt>
                <c:pt idx="1">
                  <c:v>90000</c:v>
                </c:pt>
                <c:pt idx="2">
                  <c:v>94000</c:v>
                </c:pt>
                <c:pt idx="3">
                  <c:v>99000</c:v>
                </c:pt>
                <c:pt idx="4">
                  <c:v>128000</c:v>
                </c:pt>
                <c:pt idx="5">
                  <c:v>118000</c:v>
                </c:pt>
                <c:pt idx="6">
                  <c:v>114000</c:v>
                </c:pt>
                <c:pt idx="7">
                  <c:v>124000</c:v>
                </c:pt>
                <c:pt idx="8">
                  <c:v>131000</c:v>
                </c:pt>
                <c:pt idx="9">
                  <c:v>144000</c:v>
                </c:pt>
                <c:pt idx="10">
                  <c:v>163000</c:v>
                </c:pt>
                <c:pt idx="11">
                  <c:v>181000</c:v>
                </c:pt>
                <c:pt idx="12">
                  <c:v>221000</c:v>
                </c:pt>
                <c:pt idx="13">
                  <c:v>221000</c:v>
                </c:pt>
                <c:pt idx="14">
                  <c:v>228000</c:v>
                </c:pt>
                <c:pt idx="15">
                  <c:v>228000</c:v>
                </c:pt>
                <c:pt idx="16">
                  <c:v>223000</c:v>
                </c:pt>
              </c:numCache>
            </c:numRef>
          </c:val>
        </c:ser>
        <c:gapWidth val="100"/>
        <c:overlap val="0"/>
        <c:axId val="93119432"/>
        <c:axId val="99174868"/>
      </c:barChart>
      <c:catAx>
        <c:axId val="93119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174868"/>
        <c:crosses val="autoZero"/>
        <c:auto val="1"/>
        <c:lblAlgn val="ctr"/>
        <c:lblOffset val="100"/>
        <c:noMultiLvlLbl val="0"/>
      </c:catAx>
      <c:valAx>
        <c:axId val="991748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311943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44</xdr:col>
      <xdr:colOff>98640</xdr:colOff>
      <xdr:row>1</xdr:row>
      <xdr:rowOff>43920</xdr:rowOff>
    </xdr:from>
    <xdr:to>
      <xdr:col>44</xdr:col>
      <xdr:colOff>106560</xdr:colOff>
      <xdr:row>160</xdr:row>
      <xdr:rowOff>56160</xdr:rowOff>
    </xdr:to>
    <xdr:sp>
      <xdr:nvSpPr>
        <xdr:cNvPr id="1" name="Vertical line 1"/>
        <xdr:cNvSpPr/>
      </xdr:nvSpPr>
      <xdr:spPr>
        <a:xfrm>
          <a:off x="36938880" y="206640"/>
          <a:ext cx="7920" cy="247676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96120</xdr:colOff>
      <xdr:row>0</xdr:row>
      <xdr:rowOff>112680</xdr:rowOff>
    </xdr:from>
    <xdr:to>
      <xdr:col>21</xdr:col>
      <xdr:colOff>98640</xdr:colOff>
      <xdr:row>137</xdr:row>
      <xdr:rowOff>720</xdr:rowOff>
    </xdr:to>
    <xdr:sp>
      <xdr:nvSpPr>
        <xdr:cNvPr id="2" name="Vertical line 2"/>
        <xdr:cNvSpPr/>
      </xdr:nvSpPr>
      <xdr:spPr>
        <a:xfrm>
          <a:off x="18241920" y="112680"/>
          <a:ext cx="2520" cy="212824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33</xdr:col>
      <xdr:colOff>682920</xdr:colOff>
      <xdr:row>188</xdr:row>
      <xdr:rowOff>103680</xdr:rowOff>
    </xdr:from>
    <xdr:to>
      <xdr:col>44</xdr:col>
      <xdr:colOff>565560</xdr:colOff>
      <xdr:row>219</xdr:row>
      <xdr:rowOff>26640</xdr:rowOff>
    </xdr:to>
    <xdr:graphicFrame>
      <xdr:nvGraphicFramePr>
        <xdr:cNvPr id="3" name=""/>
        <xdr:cNvGraphicFramePr/>
      </xdr:nvGraphicFramePr>
      <xdr:xfrm>
        <a:off x="28582200" y="29397960"/>
        <a:ext cx="8823600" cy="496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</sheetNames>
    <sheetDataSet>
      <sheetData sheetId="0"/>
      <sheetData sheetId="1"/>
      <sheetData sheetId="2">
        <row r="6">
          <cell r="J6">
            <v>0.784782608695652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SFT.od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SFT.ods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SFT.od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D12" activeCellId="0" sqref="D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45"/>
    <col collapsed="false" customWidth="false" hidden="false" outlineLevel="0" max="3" min="2" style="1" width="11.53"/>
    <col collapsed="false" customWidth="true" hidden="false" outlineLevel="0" max="4" min="4" style="1" width="10.4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D1" s="1" t="s">
        <v>1</v>
      </c>
      <c r="E1" s="3" t="n">
        <v>484</v>
      </c>
    </row>
    <row r="2" customFormat="false" ht="12.8" hidden="false" customHeight="false" outlineLevel="0" collapsed="false">
      <c r="D2" s="1" t="s">
        <v>2</v>
      </c>
      <c r="E2" s="3" t="n">
        <v>7425.545491</v>
      </c>
      <c r="F2" s="4" t="s">
        <v>3</v>
      </c>
    </row>
    <row r="3" customFormat="false" ht="12.8" hidden="false" customHeight="false" outlineLevel="0" collapsed="false">
      <c r="D3" s="1" t="s">
        <v>4</v>
      </c>
      <c r="E3" s="3" t="n">
        <f aca="false">+E2*E1</f>
        <v>3593964.017644</v>
      </c>
      <c r="F3" s="4"/>
    </row>
    <row r="4" customFormat="false" ht="12.8" hidden="false" customHeight="false" outlineLevel="0" collapsed="false">
      <c r="D4" s="1" t="s">
        <v>5</v>
      </c>
      <c r="E4" s="3" t="n">
        <v>113191</v>
      </c>
      <c r="F4" s="4" t="s">
        <v>3</v>
      </c>
    </row>
    <row r="5" customFormat="false" ht="12.8" hidden="false" customHeight="false" outlineLevel="0" collapsed="false">
      <c r="D5" s="1" t="s">
        <v>6</v>
      </c>
      <c r="E5" s="5" t="n">
        <f aca="false">+31067+9227</f>
        <v>40294</v>
      </c>
      <c r="F5" s="4" t="s">
        <v>3</v>
      </c>
    </row>
    <row r="6" customFormat="false" ht="12.8" hidden="false" customHeight="false" outlineLevel="0" collapsed="false">
      <c r="D6" s="1" t="s">
        <v>7</v>
      </c>
      <c r="E6" s="6" t="n">
        <f aca="false">+E3-E4+E5</f>
        <v>3521067.017644</v>
      </c>
    </row>
    <row r="8" customFormat="false" ht="12.8" hidden="false" customHeight="false" outlineLevel="0" collapsed="false">
      <c r="D8" s="1" t="s">
        <v>8</v>
      </c>
      <c r="E8" s="1" t="n">
        <v>1975</v>
      </c>
    </row>
    <row r="11" customFormat="false" ht="16.15" hidden="false" customHeight="false" outlineLevel="0" collapsed="false">
      <c r="A11" s="7" t="s">
        <v>9</v>
      </c>
      <c r="B11" s="8" t="n">
        <f aca="false">+0.04+1.11*(0.1-0.04)</f>
        <v>0.1066</v>
      </c>
      <c r="C11" s="7"/>
      <c r="D11" s="7" t="s">
        <v>10</v>
      </c>
      <c r="E11" s="8" t="n">
        <f aca="false">+(E3/(E3+E5))*B11+(E5/(E5+E3))*B12*(1-0.17)</f>
        <v>0.105945836606579</v>
      </c>
    </row>
    <row r="12" customFormat="false" ht="16.15" hidden="false" customHeight="false" outlineLevel="0" collapsed="false">
      <c r="A12" s="7" t="s">
        <v>11</v>
      </c>
      <c r="B12" s="8" t="n">
        <f aca="false">+0.0495 + (B18/100)</f>
        <v>0.0573478260869565</v>
      </c>
      <c r="C12" s="7"/>
      <c r="D12" s="7"/>
      <c r="E12" s="7"/>
    </row>
    <row r="13" customFormat="false" ht="16.15" hidden="false" customHeight="false" outlineLevel="0" collapsed="false">
      <c r="A13" s="7" t="s">
        <v>12</v>
      </c>
      <c r="B13" s="9" t="n">
        <f aca="false">+E3/SUM(Model!R122:U122)</f>
        <v>53.6516640190485</v>
      </c>
      <c r="C13" s="7"/>
      <c r="D13" s="7"/>
      <c r="E13" s="7"/>
    </row>
    <row r="14" customFormat="false" ht="16.15" hidden="false" customHeight="false" outlineLevel="0" collapsed="false">
      <c r="A14" s="7" t="s">
        <v>13</v>
      </c>
      <c r="B14" s="9" t="n">
        <f aca="false">+E1/SUM(Model!R41:U41)</f>
        <v>22.8949383604789</v>
      </c>
      <c r="C14" s="7"/>
      <c r="D14" s="7"/>
      <c r="E14" s="7"/>
    </row>
    <row r="15" customFormat="false" ht="16.15" hidden="false" customHeight="false" outlineLevel="0" collapsed="false">
      <c r="A15" s="7" t="s">
        <v>14</v>
      </c>
      <c r="B15" s="9" t="n">
        <f aca="false">+E6/SUM(Model!R65:U65)</f>
        <v>16.8164742797566</v>
      </c>
      <c r="C15" s="7"/>
      <c r="D15" s="7"/>
      <c r="E15" s="7"/>
    </row>
    <row r="16" customFormat="false" ht="16.15" hidden="false" customHeight="false" outlineLevel="0" collapsed="false">
      <c r="A16" s="7" t="s">
        <v>15</v>
      </c>
      <c r="B16" s="9" t="n">
        <f aca="false">+E6/SUM(Model!R122:U122)</f>
        <v>52.5634379453327</v>
      </c>
      <c r="C16" s="7"/>
      <c r="D16" s="7"/>
      <c r="E16" s="7"/>
    </row>
    <row r="17" customFormat="false" ht="16.15" hidden="false" customHeight="false" outlineLevel="0" collapsed="false">
      <c r="A17" s="7" t="s">
        <v>16</v>
      </c>
      <c r="B17" s="8" t="n">
        <f aca="false">+((Model!U31+Model!T31+Model!S31+Model!R31)-(Model!Q31+Model!P31+Model!O31+Model!N31))/((Model!U13+Model!T13+Model!S13+Model!R13)-(Model!Q13+Model!P13+Model!O13+Model!N13))</f>
        <v>0.532954205327746</v>
      </c>
      <c r="C17" s="7"/>
      <c r="D17" s="7"/>
      <c r="E17" s="7"/>
    </row>
    <row r="18" customFormat="false" ht="16.15" hidden="false" customHeight="false" outlineLevel="0" collapsed="false">
      <c r="A18" s="7" t="s">
        <v>17</v>
      </c>
      <c r="B18" s="10" t="n">
        <f aca="false">+'[1]Credit Spread US'!J6</f>
        <v>0.784782608695652</v>
      </c>
      <c r="C18" s="7"/>
      <c r="D18" s="7"/>
      <c r="E18" s="7"/>
    </row>
    <row r="19" customFormat="false" ht="16.15" hidden="false" customHeight="false" outlineLevel="0" collapsed="false">
      <c r="A19" s="7" t="s">
        <v>18</v>
      </c>
      <c r="B19" s="11" t="s">
        <v>19</v>
      </c>
      <c r="C19" s="12" t="s">
        <v>20</v>
      </c>
      <c r="D19" s="7"/>
      <c r="E19" s="7"/>
    </row>
    <row r="20" customFormat="false" ht="16.15" hidden="false" customHeight="false" outlineLevel="0" collapsed="false">
      <c r="A20" s="7"/>
      <c r="B20" s="11" t="s">
        <v>21</v>
      </c>
      <c r="C20" s="12" t="s">
        <v>22</v>
      </c>
      <c r="D20" s="7"/>
      <c r="E20" s="7"/>
    </row>
    <row r="23" customFormat="false" ht="12.8" hidden="false" customHeight="false" outlineLevel="0" collapsed="false">
      <c r="A23" s="2" t="s">
        <v>23</v>
      </c>
    </row>
    <row r="24" customFormat="false" ht="12.8" hidden="false" customHeight="false" outlineLevel="0" collapsed="false">
      <c r="B24" s="4" t="s">
        <v>24</v>
      </c>
      <c r="C24" s="1" t="s">
        <v>25</v>
      </c>
    </row>
    <row r="25" customFormat="false" ht="12.8" hidden="false" customHeight="false" outlineLevel="0" collapsed="false">
      <c r="B25" s="4"/>
      <c r="C25" s="1" t="s">
        <v>26</v>
      </c>
    </row>
    <row r="26" customFormat="false" ht="12.8" hidden="false" customHeight="false" outlineLevel="0" collapsed="false">
      <c r="B26" s="4" t="s">
        <v>24</v>
      </c>
      <c r="C26" s="1" t="s">
        <v>27</v>
      </c>
    </row>
    <row r="27" customFormat="false" ht="12.8" hidden="false" customHeight="false" outlineLevel="0" collapsed="false">
      <c r="B27" s="4" t="s">
        <v>24</v>
      </c>
      <c r="C27" s="1" t="s">
        <v>28</v>
      </c>
    </row>
    <row r="28" customFormat="false" ht="12.8" hidden="false" customHeight="false" outlineLevel="0" collapsed="false">
      <c r="B28" s="4"/>
      <c r="C28" s="1" t="s">
        <v>29</v>
      </c>
    </row>
    <row r="29" customFormat="false" ht="12.8" hidden="false" customHeight="false" outlineLevel="0" collapsed="false">
      <c r="B29" s="4" t="s">
        <v>24</v>
      </c>
      <c r="C29" s="1" t="s">
        <v>30</v>
      </c>
    </row>
    <row r="30" customFormat="false" ht="12.8" hidden="false" customHeight="false" outlineLevel="0" collapsed="false">
      <c r="C30" s="1" t="s">
        <v>31</v>
      </c>
    </row>
    <row r="32" customFormat="false" ht="12.8" hidden="false" customHeight="false" outlineLevel="0" collapsed="false">
      <c r="A32" s="2" t="s">
        <v>32</v>
      </c>
    </row>
    <row r="33" customFormat="false" ht="12.8" hidden="false" customHeight="false" outlineLevel="0" collapsed="false">
      <c r="B33" s="4" t="s">
        <v>24</v>
      </c>
      <c r="C33" s="13" t="s">
        <v>33</v>
      </c>
    </row>
    <row r="34" customFormat="false" ht="12.8" hidden="false" customHeight="false" outlineLevel="0" collapsed="false">
      <c r="B34" s="4"/>
      <c r="C34" s="13" t="s">
        <v>34</v>
      </c>
    </row>
    <row r="35" customFormat="false" ht="12.8" hidden="false" customHeight="false" outlineLevel="0" collapsed="false">
      <c r="B35" s="4" t="s">
        <v>24</v>
      </c>
      <c r="C35" s="1" t="s">
        <v>35</v>
      </c>
    </row>
    <row r="36" customFormat="false" ht="12.8" hidden="false" customHeight="false" outlineLevel="0" collapsed="false">
      <c r="B36" s="4"/>
    </row>
    <row r="37" customFormat="false" ht="12.8" hidden="false" customHeight="false" outlineLevel="0" collapsed="false">
      <c r="A37" s="2" t="s">
        <v>36</v>
      </c>
    </row>
    <row r="38" customFormat="false" ht="12.8" hidden="false" customHeight="false" outlineLevel="0" collapsed="false">
      <c r="B38" s="1" t="s">
        <v>37</v>
      </c>
    </row>
    <row r="39" customFormat="false" ht="12.8" hidden="false" customHeight="false" outlineLevel="0" collapsed="false">
      <c r="B39" s="4" t="s">
        <v>24</v>
      </c>
      <c r="C39" s="1" t="s">
        <v>38</v>
      </c>
    </row>
    <row r="40" customFormat="false" ht="12.8" hidden="false" customHeight="false" outlineLevel="0" collapsed="false">
      <c r="B40" s="4"/>
      <c r="C40" s="1" t="s">
        <v>39</v>
      </c>
    </row>
    <row r="41" customFormat="false" ht="12.8" hidden="false" customHeight="false" outlineLevel="0" collapsed="false">
      <c r="B41" s="4" t="s">
        <v>24</v>
      </c>
      <c r="C41" s="1" t="s">
        <v>40</v>
      </c>
    </row>
    <row r="42" customFormat="false" ht="12.8" hidden="false" customHeight="false" outlineLevel="0" collapsed="false">
      <c r="B42" s="4" t="s">
        <v>24</v>
      </c>
      <c r="C42" s="1" t="s">
        <v>41</v>
      </c>
    </row>
    <row r="43" customFormat="false" ht="12.8" hidden="false" customHeight="false" outlineLevel="0" collapsed="false">
      <c r="B43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X17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1" ySplit="2" topLeftCell="N3" activePane="bottomRight" state="frozen"/>
      <selection pane="topLeft" activeCell="A1" activeCellId="0" sqref="A1"/>
      <selection pane="topRight" activeCell="N1" activeCellId="0" sqref="N1"/>
      <selection pane="bottomLeft" activeCell="A3" activeCellId="0" sqref="A3"/>
      <selection pane="bottomRight" activeCell="BD37" activeCellId="0" sqref="BD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.52"/>
    <col collapsed="false" customWidth="false" hidden="false" outlineLevel="0" max="8" min="2" style="5" width="11.53"/>
    <col collapsed="false" customWidth="true" hidden="false" outlineLevel="0" max="9" min="9" style="5" width="11.82"/>
    <col collapsed="false" customWidth="false" hidden="false" outlineLevel="0" max="58" min="10" style="5" width="11.53"/>
    <col collapsed="false" customWidth="true" hidden="false" outlineLevel="0" max="59" min="59" style="5" width="14.93"/>
    <col collapsed="false" customWidth="true" hidden="false" outlineLevel="0" max="60" min="60" style="5" width="12.2"/>
    <col collapsed="false" customWidth="false" hidden="false" outlineLevel="0" max="16384" min="61" style="5" width="11.53"/>
  </cols>
  <sheetData>
    <row r="1" s="1" customFormat="true" ht="12.8" hidden="false" customHeight="true" outlineLevel="0" collapsed="false">
      <c r="A1" s="14" t="s">
        <v>42</v>
      </c>
      <c r="B1" s="15"/>
      <c r="C1" s="15"/>
      <c r="D1" s="15"/>
      <c r="E1" s="15"/>
      <c r="F1" s="15" t="s">
        <v>43</v>
      </c>
      <c r="G1" s="15"/>
      <c r="H1" s="15"/>
      <c r="I1" s="15"/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  <c r="T1" s="15" t="s">
        <v>54</v>
      </c>
      <c r="U1" s="15" t="s">
        <v>55</v>
      </c>
      <c r="V1" s="16"/>
      <c r="W1" s="16"/>
      <c r="X1" s="16"/>
      <c r="Y1" s="16"/>
      <c r="Z1" s="16"/>
      <c r="AA1" s="16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</row>
    <row r="2" s="1" customFormat="true" ht="12.8" hidden="false" customHeight="true" outlineLevel="0" collapsed="false">
      <c r="A2" s="17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4" t="s">
        <v>65</v>
      </c>
      <c r="K2" s="4" t="s">
        <v>66</v>
      </c>
      <c r="L2" s="4" t="s">
        <v>67</v>
      </c>
      <c r="M2" s="4" t="s">
        <v>68</v>
      </c>
      <c r="N2" s="4" t="s">
        <v>69</v>
      </c>
      <c r="O2" s="4" t="s">
        <v>70</v>
      </c>
      <c r="P2" s="4" t="s">
        <v>71</v>
      </c>
      <c r="Q2" s="4" t="s">
        <v>72</v>
      </c>
      <c r="R2" s="4" t="s">
        <v>73</v>
      </c>
      <c r="S2" s="4" t="s">
        <v>74</v>
      </c>
      <c r="T2" s="4" t="s">
        <v>75</v>
      </c>
      <c r="U2" s="4" t="s">
        <v>3</v>
      </c>
      <c r="V2" s="4" t="s">
        <v>76</v>
      </c>
      <c r="W2" s="4" t="s">
        <v>77</v>
      </c>
      <c r="X2" s="4"/>
      <c r="Y2" s="4"/>
      <c r="Z2" s="4"/>
      <c r="AA2" s="4"/>
      <c r="AB2" s="4" t="n">
        <f aca="false">+AC2-1</f>
        <v>2010</v>
      </c>
      <c r="AC2" s="4" t="n">
        <f aca="false">+AD2-1</f>
        <v>2011</v>
      </c>
      <c r="AD2" s="4" t="n">
        <f aca="false">+AE2-1</f>
        <v>2012</v>
      </c>
      <c r="AE2" s="4" t="n">
        <f aca="false">+AF2-1</f>
        <v>2013</v>
      </c>
      <c r="AF2" s="4" t="n">
        <f aca="false">+AG2-1</f>
        <v>2014</v>
      </c>
      <c r="AG2" s="4" t="n">
        <f aca="false">+AH2-1</f>
        <v>2015</v>
      </c>
      <c r="AH2" s="4" t="n">
        <f aca="false">+AI2-1</f>
        <v>2016</v>
      </c>
      <c r="AI2" s="4" t="n">
        <f aca="false">+AJ2-1</f>
        <v>2017</v>
      </c>
      <c r="AJ2" s="4" t="n">
        <f aca="false">+AK2-1</f>
        <v>2018</v>
      </c>
      <c r="AK2" s="4" t="n">
        <f aca="false">+AL2-1</f>
        <v>2019</v>
      </c>
      <c r="AL2" s="4" t="n">
        <v>2020</v>
      </c>
      <c r="AM2" s="4" t="n">
        <f aca="false">+AL2+1</f>
        <v>2021</v>
      </c>
      <c r="AN2" s="4" t="n">
        <f aca="false">+AM2+1</f>
        <v>2022</v>
      </c>
      <c r="AO2" s="4" t="n">
        <f aca="false">+AN2+1</f>
        <v>2023</v>
      </c>
      <c r="AP2" s="4" t="n">
        <f aca="false">+AO2+1</f>
        <v>2024</v>
      </c>
      <c r="AQ2" s="4" t="n">
        <f aca="false">+AP2+1</f>
        <v>2025</v>
      </c>
      <c r="AR2" s="4" t="n">
        <f aca="false">+AQ2+1</f>
        <v>2026</v>
      </c>
      <c r="AS2" s="4" t="n">
        <f aca="false">+AR2+1</f>
        <v>2027</v>
      </c>
      <c r="AT2" s="4" t="n">
        <f aca="false">+AS2+1</f>
        <v>2028</v>
      </c>
      <c r="AU2" s="4" t="n">
        <f aca="false">+AT2+1</f>
        <v>2029</v>
      </c>
      <c r="AV2" s="4" t="n">
        <f aca="false">+AU2+1</f>
        <v>2030</v>
      </c>
      <c r="AW2" s="4" t="n">
        <f aca="false">+AV2+1</f>
        <v>2031</v>
      </c>
      <c r="AX2" s="4" t="n">
        <f aca="false">+AW2+1</f>
        <v>2032</v>
      </c>
      <c r="AY2" s="4" t="n">
        <f aca="false">+AX2+1</f>
        <v>2033</v>
      </c>
      <c r="AZ2" s="4" t="n">
        <f aca="false">+AY2+1</f>
        <v>2034</v>
      </c>
      <c r="BA2" s="4" t="n">
        <f aca="false">+AZ2+1</f>
        <v>2035</v>
      </c>
      <c r="BB2" s="4" t="n">
        <f aca="false">+BA2+1</f>
        <v>2036</v>
      </c>
    </row>
    <row r="3" customFormat="false" ht="12.8" hidden="false" customHeight="true" outlineLevel="0" collapsed="false">
      <c r="A3" s="1" t="s">
        <v>78</v>
      </c>
      <c r="K3" s="5" t="n">
        <v>25854</v>
      </c>
      <c r="L3" s="5" t="n">
        <v>27113</v>
      </c>
      <c r="N3" s="5" t="n">
        <v>28317</v>
      </c>
      <c r="O3" s="5" t="n">
        <v>29437</v>
      </c>
      <c r="P3" s="5" t="n">
        <v>29944</v>
      </c>
      <c r="Q3" s="5" t="n">
        <f aca="false">+AQ3-P3-O3-N3</f>
        <v>33112</v>
      </c>
      <c r="R3" s="5" t="n">
        <v>33020</v>
      </c>
      <c r="S3" s="5" t="n">
        <v>34116</v>
      </c>
      <c r="T3" s="5" t="n">
        <v>35013</v>
      </c>
      <c r="U3" s="5" t="n">
        <f aca="false">+AR3-T3-S3-R3</f>
        <v>37847</v>
      </c>
      <c r="AG3" s="5" t="n">
        <v>26430</v>
      </c>
      <c r="AH3" s="5" t="n">
        <v>26467</v>
      </c>
      <c r="AI3" s="5" t="n">
        <v>30444</v>
      </c>
      <c r="AJ3" s="5" t="n">
        <v>35865</v>
      </c>
      <c r="AK3" s="5" t="n">
        <v>41160</v>
      </c>
      <c r="AL3" s="5" t="n">
        <v>46398</v>
      </c>
      <c r="AM3" s="5" t="n">
        <v>53915</v>
      </c>
      <c r="AN3" s="5" t="n">
        <v>63364</v>
      </c>
      <c r="AO3" s="5" t="n">
        <v>69274</v>
      </c>
      <c r="AP3" s="5" t="n">
        <v>106820</v>
      </c>
      <c r="AQ3" s="5" t="n">
        <v>120810</v>
      </c>
      <c r="AR3" s="5" t="n">
        <v>139996</v>
      </c>
    </row>
    <row r="4" s="18" customFormat="true" ht="10.5" hidden="false" customHeight="true" outlineLevel="0" collapsed="false">
      <c r="O4" s="18" t="n">
        <f aca="false">+O3/K3-1</f>
        <v>0.138585905469173</v>
      </c>
      <c r="P4" s="18" t="n">
        <f aca="false">+P3/L3-1</f>
        <v>0.104414856341976</v>
      </c>
      <c r="Q4" s="18" t="e">
        <f aca="false">+Q3/M3-1</f>
        <v>#DIV/0!</v>
      </c>
      <c r="R4" s="18" t="n">
        <f aca="false">+R3/N3-1</f>
        <v>0.166083977822509</v>
      </c>
      <c r="S4" s="18" t="n">
        <f aca="false">+S3/O3-1</f>
        <v>0.158949621224989</v>
      </c>
      <c r="T4" s="18" t="n">
        <f aca="false">+T3/P3-1</f>
        <v>0.169282660967139</v>
      </c>
      <c r="U4" s="18" t="n">
        <f aca="false">+U3/Q3-1</f>
        <v>0.142999516791495</v>
      </c>
      <c r="AH4" s="18" t="n">
        <f aca="false">+AH3/AG3-1</f>
        <v>0.00139992432841463</v>
      </c>
      <c r="AI4" s="18" t="n">
        <f aca="false">+AI3/AH3-1</f>
        <v>0.150262591151245</v>
      </c>
      <c r="AJ4" s="18" t="n">
        <f aca="false">+AJ3/AI3-1</f>
        <v>0.178064643279464</v>
      </c>
      <c r="AK4" s="18" t="n">
        <f aca="false">+AK3/AJ3-1</f>
        <v>0.147636971978252</v>
      </c>
      <c r="AL4" s="18" t="n">
        <f aca="false">+AL3/AK3-1</f>
        <v>0.127259475218659</v>
      </c>
      <c r="AM4" s="18" t="n">
        <f aca="false">+AM3/AL3-1</f>
        <v>0.162011293590241</v>
      </c>
      <c r="AN4" s="18" t="n">
        <f aca="false">+AN3/AM3-1</f>
        <v>0.17525734953167</v>
      </c>
      <c r="AO4" s="18" t="n">
        <f aca="false">+AO3/AN3-1</f>
        <v>0.0932706268543653</v>
      </c>
      <c r="AP4" s="18" t="n">
        <f aca="false">+AP3/AO3-1</f>
        <v>0.541992666801398</v>
      </c>
      <c r="AQ4" s="18" t="n">
        <f aca="false">+AQ3/AP3-1</f>
        <v>0.130967983523685</v>
      </c>
      <c r="AR4" s="18" t="n">
        <f aca="false">+AR3/AQ3-1</f>
        <v>0.158811356675772</v>
      </c>
    </row>
    <row r="5" customFormat="false" ht="12.8" hidden="false" customHeight="true" outlineLevel="0" collapsed="false">
      <c r="A5" s="1" t="s">
        <v>32</v>
      </c>
      <c r="K5" s="5" t="n">
        <v>21525</v>
      </c>
      <c r="L5" s="5" t="n">
        <v>22141</v>
      </c>
      <c r="N5" s="5" t="n">
        <v>24092</v>
      </c>
      <c r="O5" s="5" t="n">
        <v>25544</v>
      </c>
      <c r="P5" s="5" t="n">
        <v>26751</v>
      </c>
      <c r="Q5" s="5" t="n">
        <f aca="false">+AQ5-P5-O5-N5</f>
        <v>29878</v>
      </c>
      <c r="R5" s="5" t="n">
        <v>30897</v>
      </c>
      <c r="S5" s="5" t="n">
        <v>32907</v>
      </c>
      <c r="T5" s="5" t="n">
        <v>34681</v>
      </c>
      <c r="U5" s="5" t="n">
        <f aca="false">+AR5-T5-S5-R5</f>
        <v>39306</v>
      </c>
      <c r="AG5" s="5" t="n">
        <v>23715</v>
      </c>
      <c r="AH5" s="5" t="n">
        <v>25042</v>
      </c>
      <c r="AI5" s="5" t="n">
        <v>27440</v>
      </c>
      <c r="AJ5" s="5" t="n">
        <v>32219</v>
      </c>
      <c r="AK5" s="5" t="n">
        <v>38985</v>
      </c>
      <c r="AL5" s="5" t="n">
        <v>48366</v>
      </c>
      <c r="AM5" s="5" t="n">
        <v>60080</v>
      </c>
      <c r="AN5" s="5" t="n">
        <v>74965</v>
      </c>
      <c r="AO5" s="5" t="n">
        <v>87907</v>
      </c>
      <c r="AP5" s="5" t="n">
        <v>87464</v>
      </c>
      <c r="AQ5" s="5" t="n">
        <v>106265</v>
      </c>
      <c r="AR5" s="5" t="n">
        <v>137791</v>
      </c>
    </row>
    <row r="6" s="18" customFormat="true" ht="10.5" hidden="false" customHeight="true" outlineLevel="0" collapsed="false">
      <c r="O6" s="18" t="n">
        <f aca="false">+O5/K5-1</f>
        <v>0.1867131242741</v>
      </c>
      <c r="P6" s="18" t="n">
        <f aca="false">+P5/L5-1</f>
        <v>0.208211011246104</v>
      </c>
      <c r="Q6" s="18" t="e">
        <f aca="false">+Q5/M5-1</f>
        <v>#DIV/0!</v>
      </c>
      <c r="R6" s="18" t="n">
        <f aca="false">+R5/N5-1</f>
        <v>0.282458907521169</v>
      </c>
      <c r="S6" s="18" t="n">
        <f aca="false">+S5/O5-1</f>
        <v>0.28824772940808</v>
      </c>
      <c r="T6" s="18" t="n">
        <f aca="false">+T5/P5-1</f>
        <v>0.296437516354529</v>
      </c>
      <c r="U6" s="18" t="n">
        <f aca="false">+U5/Q5-1</f>
        <v>0.315549902938617</v>
      </c>
      <c r="AH6" s="18" t="n">
        <f aca="false">+AH5/AG5-1</f>
        <v>0.0559561458992199</v>
      </c>
      <c r="AI6" s="18" t="n">
        <f aca="false">+AI5/AH5-1</f>
        <v>0.0957591246705534</v>
      </c>
      <c r="AJ6" s="18" t="n">
        <f aca="false">+AJ5/AI5-1</f>
        <v>0.174161807580175</v>
      </c>
      <c r="AK6" s="18" t="n">
        <f aca="false">+AK5/AJ5-1</f>
        <v>0.210000310375865</v>
      </c>
      <c r="AL6" s="18" t="n">
        <f aca="false">+AL5/AK5-1</f>
        <v>0.240631011927664</v>
      </c>
      <c r="AM6" s="18" t="n">
        <f aca="false">+AM5/AL5-1</f>
        <v>0.242194930322954</v>
      </c>
      <c r="AN6" s="18" t="n">
        <f aca="false">+AN5/AM5-1</f>
        <v>0.247752996005326</v>
      </c>
      <c r="AO6" s="18" t="n">
        <f aca="false">+AO5/AN5-1</f>
        <v>0.172640565597279</v>
      </c>
      <c r="AP6" s="18" t="n">
        <f aca="false">+AP5/AO5-1</f>
        <v>-0.00503941665623897</v>
      </c>
      <c r="AQ6" s="18" t="n">
        <f aca="false">+AQ5/AP5-1</f>
        <v>0.214957010884478</v>
      </c>
      <c r="AR6" s="18" t="n">
        <f aca="false">+AR5/AQ5-1</f>
        <v>0.296673410812591</v>
      </c>
    </row>
    <row r="7" customFormat="false" ht="12.8" hidden="false" customHeight="true" outlineLevel="0" collapsed="false">
      <c r="A7" s="1" t="s">
        <v>79</v>
      </c>
      <c r="K7" s="5" t="n">
        <v>14641</v>
      </c>
      <c r="L7" s="5" t="n">
        <v>12604</v>
      </c>
      <c r="N7" s="5" t="n">
        <v>13176</v>
      </c>
      <c r="O7" s="5" t="n">
        <v>14651</v>
      </c>
      <c r="P7" s="5" t="n">
        <v>13371</v>
      </c>
      <c r="Q7" s="5" t="n">
        <f aca="false">+AQ7-P7-O7-N7</f>
        <v>13451</v>
      </c>
      <c r="R7" s="5" t="n">
        <v>13756</v>
      </c>
      <c r="S7" s="5" t="n">
        <v>14250</v>
      </c>
      <c r="T7" s="5" t="n">
        <v>13192</v>
      </c>
      <c r="U7" s="5" t="n">
        <f aca="false">+AR7-T7-S7-R7</f>
        <v>12854</v>
      </c>
      <c r="AG7" s="5" t="n">
        <v>43435</v>
      </c>
      <c r="AH7" s="5" t="n">
        <f aca="false">+40434-6643</f>
        <v>33791</v>
      </c>
      <c r="AI7" s="5" t="n">
        <f aca="false">+38773-6707</f>
        <v>32066</v>
      </c>
      <c r="AJ7" s="5" t="n">
        <v>42276</v>
      </c>
      <c r="AK7" s="5" t="n">
        <v>45698</v>
      </c>
      <c r="AL7" s="5" t="n">
        <v>48251</v>
      </c>
      <c r="AM7" s="5" t="n">
        <v>54093</v>
      </c>
      <c r="AN7" s="5" t="n">
        <v>59941</v>
      </c>
      <c r="AO7" s="5" t="n">
        <v>54734</v>
      </c>
      <c r="AP7" s="5" t="n">
        <v>50838</v>
      </c>
      <c r="AQ7" s="5" t="n">
        <v>54649</v>
      </c>
      <c r="AR7" s="5" t="n">
        <v>54052</v>
      </c>
    </row>
    <row r="8" s="18" customFormat="true" ht="10.5" hidden="false" customHeight="true" outlineLevel="0" collapsed="false">
      <c r="O8" s="18" t="n">
        <f aca="false">+O7/K7-1</f>
        <v>0.000683013455365034</v>
      </c>
      <c r="P8" s="18" t="n">
        <f aca="false">+P7/L7-1</f>
        <v>0.0608536972389717</v>
      </c>
      <c r="Q8" s="18" t="e">
        <f aca="false">+Q7/M7-1</f>
        <v>#DIV/0!</v>
      </c>
      <c r="R8" s="18" t="n">
        <f aca="false">+R7/N7-1</f>
        <v>0.0440194292653309</v>
      </c>
      <c r="S8" s="18" t="n">
        <f aca="false">+S7/O7-1</f>
        <v>-0.0273701453825678</v>
      </c>
      <c r="T8" s="18" t="n">
        <f aca="false">+T7/P7-1</f>
        <v>-0.013387181213073</v>
      </c>
      <c r="U8" s="18" t="n">
        <f aca="false">+U7/Q7-1</f>
        <v>-0.0443833172254851</v>
      </c>
      <c r="AH8" s="18" t="n">
        <f aca="false">+AH7/AG7-1</f>
        <v>-0.222032922758144</v>
      </c>
      <c r="AI8" s="18" t="n">
        <f aca="false">+AI7/AH7-1</f>
        <v>-0.0510490959131129</v>
      </c>
      <c r="AJ8" s="18" t="n">
        <f aca="false">+AJ7/AI7-1</f>
        <v>0.318405788062122</v>
      </c>
      <c r="AK8" s="18" t="n">
        <f aca="false">+AK7/AJ7-1</f>
        <v>0.0809442709811714</v>
      </c>
      <c r="AL8" s="18" t="n">
        <f aca="false">+AL7/AK7-1</f>
        <v>0.0558667775394985</v>
      </c>
      <c r="AM8" s="18" t="n">
        <f aca="false">+AM7/AL7-1</f>
        <v>0.121075210876459</v>
      </c>
      <c r="AN8" s="18" t="n">
        <f aca="false">+AN7/AM7-1</f>
        <v>0.108110106668146</v>
      </c>
      <c r="AO8" s="18" t="n">
        <f aca="false">+AO7/AN7-1</f>
        <v>-0.0868687542750372</v>
      </c>
      <c r="AP8" s="18" t="n">
        <f aca="false">+AP7/AO7-1</f>
        <v>-0.0711806189936786</v>
      </c>
      <c r="AQ8" s="18" t="n">
        <f aca="false">+AQ7/AP7-1</f>
        <v>0.0749636098981077</v>
      </c>
      <c r="AR8" s="18" t="n">
        <f aca="false">+AR7/AQ7-1</f>
        <v>-0.0109242621090963</v>
      </c>
    </row>
    <row r="9" customFormat="false" ht="12.8" hidden="false" customHeight="true" outlineLevel="0" collapsed="false">
      <c r="A9" s="1" t="s">
        <v>80</v>
      </c>
      <c r="D9" s="5" t="n">
        <v>17366</v>
      </c>
      <c r="E9" s="5" t="n">
        <v>17956</v>
      </c>
      <c r="F9" s="5" t="n">
        <v>15741</v>
      </c>
      <c r="H9" s="5" t="n">
        <v>15588</v>
      </c>
      <c r="I9" s="5" t="n">
        <v>16853</v>
      </c>
      <c r="J9" s="5" t="n">
        <v>15535</v>
      </c>
      <c r="K9" s="5" t="n">
        <v>18941</v>
      </c>
      <c r="L9" s="5" t="n">
        <v>17080</v>
      </c>
      <c r="M9" s="5" t="n">
        <v>13217</v>
      </c>
      <c r="N9" s="5" t="n">
        <v>15272</v>
      </c>
      <c r="O9" s="5" t="n">
        <v>16219</v>
      </c>
      <c r="P9" s="5" t="n">
        <v>15319</v>
      </c>
      <c r="Q9" s="5" t="n">
        <v>17136</v>
      </c>
      <c r="R9" s="5" t="n">
        <v>15922</v>
      </c>
      <c r="S9" s="5" t="n">
        <v>16451</v>
      </c>
      <c r="T9" s="5" t="n">
        <v>15089</v>
      </c>
      <c r="U9" s="5" t="n">
        <v>17234</v>
      </c>
      <c r="AF9" s="5" t="n">
        <v>72948</v>
      </c>
      <c r="AG9" s="5" t="n">
        <v>75956</v>
      </c>
      <c r="AH9" s="5" t="n">
        <v>61502</v>
      </c>
      <c r="AI9" s="5" t="n">
        <v>57190</v>
      </c>
      <c r="AJ9" s="5" t="n">
        <v>64497</v>
      </c>
      <c r="AK9" s="5" t="n">
        <v>66069</v>
      </c>
      <c r="AL9" s="5" t="n">
        <v>68041</v>
      </c>
      <c r="AM9" s="5" t="n">
        <v>71074</v>
      </c>
      <c r="AN9" s="5" t="n">
        <v>72732</v>
      </c>
      <c r="AO9" s="5" t="n">
        <v>64699</v>
      </c>
      <c r="AP9" s="5" t="n">
        <v>64773</v>
      </c>
      <c r="AQ9" s="5" t="n">
        <v>63946</v>
      </c>
      <c r="AR9" s="5" t="n">
        <v>64696</v>
      </c>
    </row>
    <row r="10" s="18" customFormat="true" ht="10.5" hidden="false" customHeight="true" outlineLevel="0" collapsed="false">
      <c r="F10" s="18" t="e">
        <f aca="false">+F9/B9-1</f>
        <v>#DIV/0!</v>
      </c>
      <c r="G10" s="18" t="e">
        <f aca="false">+G9/C9-1</f>
        <v>#DIV/0!</v>
      </c>
      <c r="H10" s="18" t="n">
        <f aca="false">+H9/D9-1</f>
        <v>-0.102383968674421</v>
      </c>
      <c r="I10" s="18" t="n">
        <f aca="false">+I9/E9-1</f>
        <v>-0.0614279349521052</v>
      </c>
      <c r="J10" s="18" t="n">
        <f aca="false">+J9/F9-1</f>
        <v>-0.0130868432755226</v>
      </c>
      <c r="K10" s="18" t="e">
        <f aca="false">+K9/G9-1</f>
        <v>#DIV/0!</v>
      </c>
      <c r="L10" s="18" t="n">
        <f aca="false">+L9/H9-1</f>
        <v>0.0957146522966383</v>
      </c>
      <c r="M10" s="18" t="n">
        <f aca="false">+M9/I9-1</f>
        <v>-0.215747938052572</v>
      </c>
      <c r="N10" s="18" t="n">
        <f aca="false">+N9/J9-1</f>
        <v>-0.0169295140006437</v>
      </c>
      <c r="O10" s="18" t="n">
        <f aca="false">+O9/K9-1</f>
        <v>-0.14370941344174</v>
      </c>
      <c r="P10" s="18" t="n">
        <f aca="false">+P9/L9-1</f>
        <v>-0.103103044496487</v>
      </c>
      <c r="Q10" s="18" t="n">
        <f aca="false">+Q9/M9-1</f>
        <v>0.296512067791481</v>
      </c>
      <c r="R10" s="18" t="n">
        <f aca="false">+R9/N9-1</f>
        <v>0.0425615505500261</v>
      </c>
      <c r="S10" s="18" t="n">
        <f aca="false">+S9/O9-1</f>
        <v>0.0143042111104261</v>
      </c>
      <c r="T10" s="18" t="n">
        <f aca="false">+T9/P9-1</f>
        <v>-0.0150140348586723</v>
      </c>
      <c r="U10" s="18" t="n">
        <f aca="false">+U9/Q9-1</f>
        <v>0.00571895424836599</v>
      </c>
      <c r="AG10" s="18" t="n">
        <f aca="false">+AG9/AF9-1</f>
        <v>0.0412348522235018</v>
      </c>
      <c r="AH10" s="18" t="n">
        <f aca="false">+AH9/AG9-1</f>
        <v>-0.190294380957396</v>
      </c>
      <c r="AI10" s="18" t="n">
        <f aca="false">+AI9/AH9-1</f>
        <v>-0.0701115410880947</v>
      </c>
      <c r="AJ10" s="18" t="n">
        <f aca="false">+AJ9/AI9-1</f>
        <v>0.127767092148977</v>
      </c>
      <c r="AK10" s="18" t="n">
        <f aca="false">+AK9/AJ9-1</f>
        <v>0.0243732266617052</v>
      </c>
      <c r="AL10" s="18" t="n">
        <f aca="false">+AL9/AK9-1</f>
        <v>0.0298475835868561</v>
      </c>
      <c r="AM10" s="18" t="n">
        <f aca="false">+AM9/AL9-1</f>
        <v>0.0445760644317397</v>
      </c>
      <c r="AN10" s="18" t="n">
        <f aca="false">+AN9/AM9-1</f>
        <v>0.023327799195205</v>
      </c>
      <c r="AO10" s="18" t="n">
        <f aca="false">+AO9/AN9-1</f>
        <v>-0.110446570972887</v>
      </c>
      <c r="AP10" s="18" t="n">
        <f aca="false">+AP9/AO9-1</f>
        <v>0.00114375801789834</v>
      </c>
      <c r="AQ10" s="18" t="n">
        <f aca="false">+AQ9/AP9-1</f>
        <v>-0.0127676655396539</v>
      </c>
      <c r="AR10" s="18" t="n">
        <f aca="false">+AR9/AQ9-1</f>
        <v>0.0117286460451005</v>
      </c>
    </row>
    <row r="11" customFormat="false" ht="12.8" hidden="false" customHeight="true" outlineLevel="0" collapsed="false">
      <c r="A11" s="1" t="s">
        <v>81</v>
      </c>
      <c r="D11" s="5" t="n">
        <v>31994</v>
      </c>
      <c r="E11" s="5" t="n">
        <v>33909</v>
      </c>
      <c r="F11" s="5" t="n">
        <v>34381</v>
      </c>
      <c r="H11" s="5" t="n">
        <v>37269</v>
      </c>
      <c r="I11" s="5" t="n">
        <v>39336</v>
      </c>
      <c r="J11" s="5" t="n">
        <v>40982</v>
      </c>
      <c r="K11" s="5" t="n">
        <v>43079</v>
      </c>
      <c r="L11" s="5" t="n">
        <v>44778</v>
      </c>
      <c r="M11" s="5" t="n">
        <v>51510</v>
      </c>
      <c r="N11" s="5" t="n">
        <v>50313</v>
      </c>
      <c r="O11" s="5" t="n">
        <v>53413</v>
      </c>
      <c r="P11" s="5" t="n">
        <v>54747</v>
      </c>
      <c r="Q11" s="5" t="n">
        <v>59305</v>
      </c>
      <c r="R11" s="5" t="n">
        <v>61751</v>
      </c>
      <c r="S11" s="5" t="n">
        <v>64822</v>
      </c>
      <c r="T11" s="5" t="n">
        <v>67797</v>
      </c>
      <c r="U11" s="5" t="n">
        <v>72773</v>
      </c>
      <c r="AF11" s="5" t="n">
        <v>13885</v>
      </c>
      <c r="AG11" s="5" t="n">
        <v>17624</v>
      </c>
      <c r="AH11" s="5" t="n">
        <v>23818</v>
      </c>
      <c r="AI11" s="5" t="n">
        <v>32760</v>
      </c>
      <c r="AJ11" s="5" t="n">
        <v>45863</v>
      </c>
      <c r="AK11" s="5" t="n">
        <v>59774</v>
      </c>
      <c r="AL11" s="5" t="n">
        <v>74974</v>
      </c>
      <c r="AM11" s="5" t="n">
        <v>97014</v>
      </c>
      <c r="AN11" s="5" t="n">
        <v>125538</v>
      </c>
      <c r="AO11" s="5" t="n">
        <v>147216</v>
      </c>
      <c r="AP11" s="5" t="n">
        <v>180349</v>
      </c>
      <c r="AQ11" s="5" t="n">
        <v>217778</v>
      </c>
      <c r="AR11" s="5" t="n">
        <v>267143</v>
      </c>
    </row>
    <row r="12" s="18" customFormat="true" ht="10.5" hidden="false" customHeight="true" outlineLevel="0" collapsed="false">
      <c r="F12" s="18" t="e">
        <f aca="false">+F11/B11-1</f>
        <v>#DIV/0!</v>
      </c>
      <c r="G12" s="18" t="e">
        <f aca="false">+G11/C11-1</f>
        <v>#DIV/0!</v>
      </c>
      <c r="H12" s="18" t="n">
        <f aca="false">+H11/D11-1</f>
        <v>0.1648746639995</v>
      </c>
      <c r="I12" s="18" t="n">
        <f aca="false">+I11/E11-1</f>
        <v>0.160046005485269</v>
      </c>
      <c r="J12" s="18" t="n">
        <f aca="false">+J11/F11-1</f>
        <v>0.191995578953492</v>
      </c>
      <c r="K12" s="18" t="e">
        <f aca="false">+K11/G11-1</f>
        <v>#DIV/0!</v>
      </c>
      <c r="L12" s="18" t="n">
        <f aca="false">+L11/H11-1</f>
        <v>0.201481123722128</v>
      </c>
      <c r="M12" s="18" t="n">
        <f aca="false">+M11/I11-1</f>
        <v>0.309487492373398</v>
      </c>
      <c r="N12" s="18" t="n">
        <f aca="false">+N11/J11-1</f>
        <v>0.22768532526475</v>
      </c>
      <c r="O12" s="18" t="n">
        <f aca="false">+O11/K11-1</f>
        <v>0.23988486269412</v>
      </c>
      <c r="P12" s="18" t="n">
        <f aca="false">+P11/L11-1</f>
        <v>0.222631649470722</v>
      </c>
      <c r="Q12" s="18" t="n">
        <f aca="false">+Q11/M11-1</f>
        <v>0.15132983886624</v>
      </c>
      <c r="R12" s="18" t="n">
        <f aca="false">+R11/N11-1</f>
        <v>0.227336871186373</v>
      </c>
      <c r="S12" s="18" t="n">
        <f aca="false">+S11/O11-1</f>
        <v>0.213599685469829</v>
      </c>
      <c r="T12" s="18" t="n">
        <f aca="false">+T11/P11-1</f>
        <v>0.238369225710998</v>
      </c>
      <c r="U12" s="18" t="n">
        <f aca="false">+U11/Q11-1</f>
        <v>0.22709720934154</v>
      </c>
      <c r="AG12" s="18" t="n">
        <f aca="false">+AG11/AF11-1</f>
        <v>0.269283399351818</v>
      </c>
      <c r="AH12" s="18" t="n">
        <f aca="false">+AH11/AG11-1</f>
        <v>0.351452564684521</v>
      </c>
      <c r="AI12" s="18" t="n">
        <f aca="false">+AI11/AH11-1</f>
        <v>0.375430346796541</v>
      </c>
      <c r="AJ12" s="18" t="n">
        <f aca="false">+AJ11/AI11-1</f>
        <v>0.399969474969475</v>
      </c>
      <c r="AK12" s="18" t="n">
        <f aca="false">+AK11/AJ11-1</f>
        <v>0.303316398840024</v>
      </c>
      <c r="AL12" s="18" t="n">
        <f aca="false">+AL11/AK11-1</f>
        <v>0.254291163382073</v>
      </c>
      <c r="AM12" s="18" t="n">
        <f aca="false">+AM11/AL11-1</f>
        <v>0.293968575772935</v>
      </c>
      <c r="AN12" s="18" t="n">
        <f aca="false">+AN11/AM11-1</f>
        <v>0.294019419877543</v>
      </c>
      <c r="AO12" s="18" t="n">
        <f aca="false">+AO11/AN11-1</f>
        <v>0.172680781914639</v>
      </c>
      <c r="AP12" s="18" t="n">
        <f aca="false">+AP11/AO11-1</f>
        <v>0.225063851755244</v>
      </c>
      <c r="AQ12" s="18" t="n">
        <f aca="false">+AQ11/AP11-1</f>
        <v>0.207536498677564</v>
      </c>
      <c r="AR12" s="18" t="n">
        <f aca="false">+AR11/AQ11-1</f>
        <v>0.226675789106338</v>
      </c>
    </row>
    <row r="13" s="20" customFormat="true" ht="12.8" hidden="false" customHeight="true" outlineLevel="0" collapsed="false">
      <c r="A13" s="19" t="s">
        <v>82</v>
      </c>
      <c r="B13" s="20" t="n">
        <f aca="false">+B11+B9</f>
        <v>0</v>
      </c>
      <c r="C13" s="20" t="n">
        <f aca="false">+C11+C9</f>
        <v>0</v>
      </c>
      <c r="D13" s="20" t="n">
        <f aca="false">+D11+D9</f>
        <v>49360</v>
      </c>
      <c r="E13" s="20" t="n">
        <f aca="false">+E11+E9</f>
        <v>51865</v>
      </c>
      <c r="F13" s="20" t="n">
        <f aca="false">+F11+F9</f>
        <v>50122</v>
      </c>
      <c r="G13" s="20" t="n">
        <f aca="false">+G11+G9</f>
        <v>0</v>
      </c>
      <c r="H13" s="20" t="n">
        <f aca="false">+H11+H9</f>
        <v>52857</v>
      </c>
      <c r="I13" s="20" t="n">
        <f aca="false">+I11+I9</f>
        <v>56189</v>
      </c>
      <c r="J13" s="20" t="n">
        <f aca="false">+J11+J9</f>
        <v>56517</v>
      </c>
      <c r="K13" s="20" t="n">
        <f aca="false">+K11+K9</f>
        <v>62020</v>
      </c>
      <c r="L13" s="20" t="n">
        <f aca="false">+L11+L9</f>
        <v>61858</v>
      </c>
      <c r="M13" s="20" t="n">
        <f aca="false">+M11+M9</f>
        <v>64727</v>
      </c>
      <c r="N13" s="20" t="n">
        <f aca="false">+N11+N9</f>
        <v>65585</v>
      </c>
      <c r="O13" s="20" t="n">
        <f aca="false">+O11+O9</f>
        <v>69632</v>
      </c>
      <c r="P13" s="20" t="n">
        <f aca="false">+P11+P9</f>
        <v>70066</v>
      </c>
      <c r="Q13" s="20" t="n">
        <f aca="false">+Q11+Q9</f>
        <v>76441</v>
      </c>
      <c r="R13" s="20" t="n">
        <f aca="false">+R11+R9</f>
        <v>77673</v>
      </c>
      <c r="S13" s="20" t="n">
        <f aca="false">+S11+S9</f>
        <v>81273</v>
      </c>
      <c r="T13" s="20" t="n">
        <f aca="false">+T11+T9</f>
        <v>82886</v>
      </c>
      <c r="U13" s="20" t="n">
        <f aca="false">+U11+U9</f>
        <v>90007</v>
      </c>
      <c r="V13" s="20" t="n">
        <f aca="false">+V11+V9</f>
        <v>0</v>
      </c>
      <c r="W13" s="20" t="n">
        <f aca="false">+W11+W9</f>
        <v>0</v>
      </c>
      <c r="AB13" s="20" t="n">
        <v>62484</v>
      </c>
      <c r="AC13" s="20" t="n">
        <v>69943</v>
      </c>
      <c r="AD13" s="20" t="n">
        <v>73723</v>
      </c>
      <c r="AE13" s="20" t="n">
        <v>77849</v>
      </c>
      <c r="AF13" s="20" t="n">
        <f aca="false">+AF11+AF9</f>
        <v>86833</v>
      </c>
      <c r="AG13" s="20" t="n">
        <f aca="false">+AG11+AG9</f>
        <v>93580</v>
      </c>
      <c r="AH13" s="20" t="n">
        <f aca="false">+AH11+AH9</f>
        <v>85320</v>
      </c>
      <c r="AI13" s="20" t="n">
        <f aca="false">+AI11+AI9</f>
        <v>89950</v>
      </c>
      <c r="AJ13" s="20" t="n">
        <f aca="false">+AJ11+AJ9</f>
        <v>110360</v>
      </c>
      <c r="AK13" s="20" t="n">
        <f aca="false">+AK11+AK9</f>
        <v>125843</v>
      </c>
      <c r="AL13" s="20" t="n">
        <f aca="false">+AL11+AL9</f>
        <v>143015</v>
      </c>
      <c r="AM13" s="20" t="n">
        <f aca="false">+AM11+AM9</f>
        <v>168088</v>
      </c>
      <c r="AN13" s="20" t="n">
        <f aca="false">+AN11+AN9</f>
        <v>198270</v>
      </c>
      <c r="AO13" s="20" t="n">
        <f aca="false">+AO11+AO9</f>
        <v>211915</v>
      </c>
      <c r="AP13" s="20" t="n">
        <f aca="false">+AP11+AP9</f>
        <v>245122</v>
      </c>
      <c r="AQ13" s="20" t="n">
        <f aca="false">+AQ11+AQ9</f>
        <v>281724</v>
      </c>
      <c r="AR13" s="20" t="n">
        <f aca="false">+AR11+AR9</f>
        <v>331839</v>
      </c>
      <c r="AS13" s="20" t="n">
        <f aca="false">+AR13*1.17</f>
        <v>388251.63</v>
      </c>
      <c r="AT13" s="20" t="n">
        <f aca="false">+AS13*1.16</f>
        <v>450371.8908</v>
      </c>
      <c r="AU13" s="20" t="n">
        <f aca="false">+AT13*1.15</f>
        <v>517927.67442</v>
      </c>
      <c r="AV13" s="20" t="n">
        <f aca="false">+AU13*1.14</f>
        <v>590437.5488388</v>
      </c>
      <c r="AW13" s="20" t="n">
        <f aca="false">+AV13*1.13</f>
        <v>667194.430187844</v>
      </c>
      <c r="AX13" s="20" t="n">
        <f aca="false">+AW13*1.12</f>
        <v>747257.761810385</v>
      </c>
      <c r="AY13" s="20" t="n">
        <f aca="false">+AX13*1.11</f>
        <v>829456.115609528</v>
      </c>
      <c r="AZ13" s="20" t="n">
        <f aca="false">+AY13*1.11</f>
        <v>920696.288326576</v>
      </c>
      <c r="BA13" s="20" t="n">
        <f aca="false">+AZ13*1.11</f>
        <v>1021972.8800425</v>
      </c>
      <c r="BB13" s="20" t="n">
        <f aca="false">+BA13*1.11</f>
        <v>1134389.89684717</v>
      </c>
    </row>
    <row r="14" s="18" customFormat="true" ht="10.5" hidden="false" customHeight="true" outlineLevel="0" collapsed="false">
      <c r="F14" s="18" t="e">
        <f aca="false">+F13/B13-1</f>
        <v>#DIV/0!</v>
      </c>
      <c r="G14" s="18" t="e">
        <f aca="false">+G13/C13-1</f>
        <v>#DIV/0!</v>
      </c>
      <c r="H14" s="18" t="n">
        <f aca="false">+H13/D13-1</f>
        <v>0.0708468395461912</v>
      </c>
      <c r="I14" s="18" t="n">
        <f aca="false">+I13/E13-1</f>
        <v>0.0833702882483369</v>
      </c>
      <c r="J14" s="18" t="n">
        <f aca="false">+J13/F13-1</f>
        <v>0.127588683611987</v>
      </c>
      <c r="K14" s="18" t="e">
        <f aca="false">+K13/G13-1</f>
        <v>#DIV/0!</v>
      </c>
      <c r="L14" s="18" t="n">
        <f aca="false">+L13/H13-1</f>
        <v>0.170289649431485</v>
      </c>
      <c r="M14" s="18" t="n">
        <f aca="false">+M13/I13-1</f>
        <v>0.15195144957198</v>
      </c>
      <c r="N14" s="18" t="n">
        <f aca="false">+N13/J13-1</f>
        <v>0.160447299042766</v>
      </c>
      <c r="O14" s="18" t="n">
        <f aca="false">+O13/K13-1</f>
        <v>0.122734601741374</v>
      </c>
      <c r="P14" s="18" t="n">
        <f aca="false">+P13/L13-1</f>
        <v>0.132691001972259</v>
      </c>
      <c r="Q14" s="18" t="n">
        <f aca="false">+Q13/M13-1</f>
        <v>0.180975481638265</v>
      </c>
      <c r="R14" s="18" t="n">
        <f aca="false">+R13/N13-1</f>
        <v>0.184310436837692</v>
      </c>
      <c r="S14" s="18" t="n">
        <f aca="false">+S13/O13-1</f>
        <v>0.167178883272059</v>
      </c>
      <c r="T14" s="18" t="n">
        <f aca="false">+T13/P13-1</f>
        <v>0.182970342248737</v>
      </c>
      <c r="U14" s="18" t="n">
        <f aca="false">+U13/Q13-1</f>
        <v>0.177470205779621</v>
      </c>
      <c r="AC14" s="18" t="n">
        <f aca="false">+AC13/AB13-1</f>
        <v>0.119374559887331</v>
      </c>
      <c r="AD14" s="18" t="n">
        <f aca="false">+AD13/AC13-1</f>
        <v>0.054044007263057</v>
      </c>
      <c r="AE14" s="18" t="n">
        <f aca="false">+AE13/AD13-1</f>
        <v>0.0559662520515984</v>
      </c>
      <c r="AF14" s="18" t="n">
        <f aca="false">+AF13/AE13-1</f>
        <v>0.115402895348688</v>
      </c>
      <c r="AG14" s="18" t="n">
        <f aca="false">+AG13/AF13-1</f>
        <v>0.0777008740916472</v>
      </c>
      <c r="AH14" s="18" t="n">
        <f aca="false">+AH13/AG13-1</f>
        <v>-0.0882667236589014</v>
      </c>
      <c r="AI14" s="18" t="n">
        <f aca="false">+AI13/AH13-1</f>
        <v>0.0542662916080638</v>
      </c>
      <c r="AJ14" s="18" t="n">
        <f aca="false">+AJ13/AI13-1</f>
        <v>0.226903835464147</v>
      </c>
      <c r="AK14" s="18" t="n">
        <f aca="false">+AK13/AJ13-1</f>
        <v>0.140295396882929</v>
      </c>
      <c r="AL14" s="18" t="n">
        <f aca="false">+AL13/AK13-1</f>
        <v>0.136455742472764</v>
      </c>
      <c r="AM14" s="18" t="n">
        <f aca="false">+AM13/AL13-1</f>
        <v>0.175317274411775</v>
      </c>
      <c r="AN14" s="18" t="n">
        <f aca="false">+AN13/AM13-1</f>
        <v>0.179560706296702</v>
      </c>
      <c r="AO14" s="18" t="n">
        <f aca="false">+AO13/AN13-1</f>
        <v>0.0688202955565642</v>
      </c>
      <c r="AP14" s="18" t="n">
        <f aca="false">+AP13/AO13-1</f>
        <v>0.156699620130713</v>
      </c>
      <c r="AQ14" s="18" t="n">
        <f aca="false">+AQ13/AP13-1</f>
        <v>0.149321562324067</v>
      </c>
      <c r="AR14" s="18" t="n">
        <f aca="false">+AR13/AQ13-1</f>
        <v>0.177886867998467</v>
      </c>
      <c r="AS14" s="18" t="n">
        <f aca="false">+AS13/AR13-1</f>
        <v>0.17</v>
      </c>
      <c r="AT14" s="18" t="n">
        <f aca="false">+AT13/AS13-1</f>
        <v>0.16</v>
      </c>
      <c r="AU14" s="18" t="n">
        <f aca="false">+AU13/AT13-1</f>
        <v>0.15</v>
      </c>
      <c r="AV14" s="18" t="n">
        <f aca="false">+AV13/AU13-1</f>
        <v>0.14</v>
      </c>
      <c r="AW14" s="18" t="n">
        <f aca="false">+AW13/AV13-1</f>
        <v>0.13</v>
      </c>
      <c r="AX14" s="18" t="n">
        <f aca="false">+AX13/AW13-1</f>
        <v>0.12</v>
      </c>
      <c r="AY14" s="18" t="n">
        <f aca="false">+AY13/AX13-1</f>
        <v>0.11</v>
      </c>
      <c r="AZ14" s="18" t="n">
        <f aca="false">+AZ13/AY13-1</f>
        <v>0.11</v>
      </c>
      <c r="BA14" s="18" t="n">
        <f aca="false">+BA13/AZ13-1</f>
        <v>0.11</v>
      </c>
      <c r="BB14" s="18" t="n">
        <f aca="false">+BB13/BA13-1</f>
        <v>0.11</v>
      </c>
    </row>
    <row r="15" customFormat="false" ht="12.8" hidden="false" customHeight="true" outlineLevel="0" collapsed="false">
      <c r="A15" s="1" t="s">
        <v>80</v>
      </c>
      <c r="D15" s="5" t="n">
        <v>4584</v>
      </c>
      <c r="E15" s="5" t="n">
        <v>4357</v>
      </c>
      <c r="F15" s="5" t="n">
        <v>4302</v>
      </c>
      <c r="H15" s="5" t="n">
        <v>3941</v>
      </c>
      <c r="I15" s="5" t="n">
        <v>3871</v>
      </c>
      <c r="J15" s="5" t="n">
        <v>3531</v>
      </c>
      <c r="K15" s="5" t="n">
        <v>5964</v>
      </c>
      <c r="L15" s="5" t="n">
        <v>4339</v>
      </c>
      <c r="M15" s="5" t="n">
        <v>1438</v>
      </c>
      <c r="N15" s="5" t="n">
        <v>3294</v>
      </c>
      <c r="O15" s="5" t="n">
        <v>3856</v>
      </c>
      <c r="P15" s="5" t="n">
        <v>3037</v>
      </c>
      <c r="Q15" s="5" t="n">
        <v>3314</v>
      </c>
      <c r="R15" s="5" t="n">
        <v>2922</v>
      </c>
      <c r="S15" s="5" t="n">
        <v>3505</v>
      </c>
      <c r="T15" s="5" t="n">
        <v>2733</v>
      </c>
      <c r="U15" s="5" t="n">
        <v>2938</v>
      </c>
      <c r="AF15" s="5" t="n">
        <v>16681</v>
      </c>
      <c r="AG15" s="5" t="n">
        <v>21410</v>
      </c>
      <c r="AH15" s="5" t="n">
        <v>17880</v>
      </c>
      <c r="AI15" s="5" t="n">
        <v>15175</v>
      </c>
      <c r="AJ15" s="5" t="n">
        <v>15420</v>
      </c>
      <c r="AK15" s="5" t="n">
        <v>16273</v>
      </c>
      <c r="AL15" s="5" t="n">
        <v>16017</v>
      </c>
      <c r="AM15" s="5" t="n">
        <v>18219</v>
      </c>
      <c r="AN15" s="5" t="n">
        <v>19064</v>
      </c>
      <c r="AO15" s="5" t="n">
        <v>17804</v>
      </c>
      <c r="AP15" s="5" t="n">
        <v>15272</v>
      </c>
      <c r="AQ15" s="5" t="n">
        <v>13501</v>
      </c>
      <c r="AR15" s="5" t="n">
        <v>12098</v>
      </c>
    </row>
    <row r="16" s="18" customFormat="true" ht="10.5" hidden="false" customHeight="true" outlineLevel="0" collapsed="false">
      <c r="D16" s="18" t="n">
        <f aca="false">+D15/D$13</f>
        <v>0.0928687196110211</v>
      </c>
      <c r="E16" s="18" t="n">
        <f aca="false">+E15/E$13</f>
        <v>0.0840065554805746</v>
      </c>
      <c r="F16" s="18" t="n">
        <f aca="false">+F15/F$13</f>
        <v>0.0858305734009018</v>
      </c>
      <c r="G16" s="18" t="e">
        <f aca="false">+G15/G$13</f>
        <v>#DIV/0!</v>
      </c>
      <c r="H16" s="18" t="n">
        <f aca="false">+H15/H$13</f>
        <v>0.0745596609720567</v>
      </c>
      <c r="I16" s="18" t="n">
        <f aca="false">+I15/I$13</f>
        <v>0.0688924878534945</v>
      </c>
      <c r="J16" s="18" t="n">
        <f aca="false">+J15/J$13</f>
        <v>0.0624767768989862</v>
      </c>
      <c r="K16" s="18" t="n">
        <f aca="false">+K15/K$13</f>
        <v>0.0961625282167043</v>
      </c>
      <c r="L16" s="18" t="n">
        <f aca="false">+L15/L$13</f>
        <v>0.0701445245562417</v>
      </c>
      <c r="M16" s="18" t="n">
        <f aca="false">+M15/M$13</f>
        <v>0.0222163857431984</v>
      </c>
      <c r="N16" s="18" t="n">
        <f aca="false">+N15/N$13</f>
        <v>0.0502248989860486</v>
      </c>
      <c r="O16" s="18" t="n">
        <f aca="false">+O15/O$13</f>
        <v>0.0553768382352941</v>
      </c>
      <c r="P16" s="18" t="n">
        <f aca="false">+P15/P$13</f>
        <v>0.0433448462877858</v>
      </c>
      <c r="Q16" s="18" t="n">
        <f aca="false">+Q15/Q$13</f>
        <v>0.0433536976230034</v>
      </c>
      <c r="R16" s="18" t="n">
        <f aca="false">+R15/R$13</f>
        <v>0.0376192499324089</v>
      </c>
      <c r="S16" s="18" t="n">
        <f aca="false">+S15/S$13</f>
        <v>0.0431262534913194</v>
      </c>
      <c r="T16" s="18" t="n">
        <f aca="false">+T15/T$13</f>
        <v>0.0329729990589484</v>
      </c>
      <c r="U16" s="18" t="n">
        <f aca="false">+U15/U$13</f>
        <v>0.0326419056295621</v>
      </c>
      <c r="V16" s="18" t="e">
        <f aca="false">+V15/V$13</f>
        <v>#DIV/0!</v>
      </c>
      <c r="W16" s="18" t="e">
        <f aca="false">+W15/W$13</f>
        <v>#DIV/0!</v>
      </c>
      <c r="AG16" s="18" t="n">
        <f aca="false">+AG15/AF15-1</f>
        <v>0.283496193273785</v>
      </c>
      <c r="AH16" s="18" t="n">
        <f aca="false">+AH15/AG15-1</f>
        <v>-0.164876226062588</v>
      </c>
      <c r="AI16" s="18" t="n">
        <f aca="false">+AI15/AH15-1</f>
        <v>-0.151286353467561</v>
      </c>
      <c r="AJ16" s="18" t="n">
        <f aca="false">+AJ15/AI15-1</f>
        <v>0.0161449752883032</v>
      </c>
      <c r="AK16" s="18" t="n">
        <f aca="false">+AK15/AJ15-1</f>
        <v>0.0553177691309987</v>
      </c>
      <c r="AL16" s="18" t="n">
        <f aca="false">+AL15/AK15-1</f>
        <v>-0.0157315799176551</v>
      </c>
      <c r="AM16" s="18" t="n">
        <f aca="false">+AM15/AL15-1</f>
        <v>0.137478928638322</v>
      </c>
      <c r="AN16" s="18" t="n">
        <f aca="false">+AN15/AM15-1</f>
        <v>0.0463801525879577</v>
      </c>
      <c r="AO16" s="18" t="n">
        <f aca="false">+AO15/AN15-1</f>
        <v>-0.0660931598825011</v>
      </c>
      <c r="AP16" s="18" t="n">
        <f aca="false">+AP15/AO15-1</f>
        <v>-0.142215232532015</v>
      </c>
      <c r="AQ16" s="18" t="n">
        <f aca="false">+AQ15/AP15-1</f>
        <v>-0.115963855421687</v>
      </c>
      <c r="AR16" s="18" t="n">
        <f aca="false">+AR15/AQ15-1</f>
        <v>-0.103918228279387</v>
      </c>
    </row>
    <row r="17" customFormat="false" ht="12.8" hidden="false" customHeight="true" outlineLevel="0" collapsed="false">
      <c r="A17" s="1" t="s">
        <v>83</v>
      </c>
      <c r="D17" s="5" t="n">
        <v>11031</v>
      </c>
      <c r="E17" s="5" t="n">
        <v>12072</v>
      </c>
      <c r="F17" s="5" t="n">
        <v>11150</v>
      </c>
      <c r="H17" s="5" t="n">
        <v>12187</v>
      </c>
      <c r="I17" s="5" t="n">
        <v>12924</v>
      </c>
      <c r="J17" s="5" t="n">
        <v>12771</v>
      </c>
      <c r="K17" s="5" t="n">
        <v>13659</v>
      </c>
      <c r="L17" s="5" t="n">
        <v>14166</v>
      </c>
      <c r="M17" s="5" t="n">
        <v>18246</v>
      </c>
      <c r="N17" s="5" t="n">
        <v>16805</v>
      </c>
      <c r="O17" s="5" t="n">
        <v>17943</v>
      </c>
      <c r="P17" s="5" t="n">
        <v>18882</v>
      </c>
      <c r="Q17" s="5" t="n">
        <v>20700</v>
      </c>
      <c r="R17" s="5" t="n">
        <v>21121</v>
      </c>
      <c r="S17" s="5" t="n">
        <v>22473</v>
      </c>
      <c r="T17" s="5" t="n">
        <v>24095</v>
      </c>
      <c r="U17" s="5" t="n">
        <v>26587</v>
      </c>
      <c r="AF17" s="5" t="n">
        <v>10397</v>
      </c>
      <c r="AG17" s="5" t="n">
        <v>11628</v>
      </c>
      <c r="AH17" s="5" t="n">
        <v>14900</v>
      </c>
      <c r="AI17" s="5" t="n">
        <v>19086</v>
      </c>
      <c r="AJ17" s="5" t="n">
        <v>22933</v>
      </c>
      <c r="AK17" s="5" t="n">
        <v>26637</v>
      </c>
      <c r="AL17" s="5" t="n">
        <v>30061</v>
      </c>
      <c r="AM17" s="5" t="n">
        <v>34013</v>
      </c>
      <c r="AN17" s="5" t="n">
        <v>43586</v>
      </c>
      <c r="AO17" s="5" t="n">
        <v>48059</v>
      </c>
      <c r="AP17" s="5" t="n">
        <v>58842</v>
      </c>
      <c r="AQ17" s="5" t="n">
        <v>74330</v>
      </c>
      <c r="AR17" s="5" t="n">
        <v>94276</v>
      </c>
    </row>
    <row r="18" s="18" customFormat="true" ht="10.5" hidden="false" customHeight="true" outlineLevel="0" collapsed="false">
      <c r="D18" s="18" t="n">
        <f aca="false">+D17/D$13</f>
        <v>0.223480551053485</v>
      </c>
      <c r="E18" s="18" t="n">
        <f aca="false">+E17/E$13</f>
        <v>0.232758122047624</v>
      </c>
      <c r="F18" s="18" t="n">
        <f aca="false">+F17/F$13</f>
        <v>0.222457204421212</v>
      </c>
      <c r="G18" s="18" t="e">
        <f aca="false">+G17/G$13</f>
        <v>#DIV/0!</v>
      </c>
      <c r="H18" s="18" t="n">
        <f aca="false">+H17/H$13</f>
        <v>0.230565488014832</v>
      </c>
      <c r="I18" s="18" t="n">
        <f aca="false">+I17/I$13</f>
        <v>0.230009432451192</v>
      </c>
      <c r="J18" s="18" t="n">
        <f aca="false">+J17/J$13</f>
        <v>0.22596740803652</v>
      </c>
      <c r="K18" s="18" t="n">
        <f aca="false">+K17/K$13</f>
        <v>0.220235407932925</v>
      </c>
      <c r="L18" s="18" t="n">
        <f aca="false">+L17/L$13</f>
        <v>0.229008374017912</v>
      </c>
      <c r="M18" s="18" t="n">
        <f aca="false">+M17/M$13</f>
        <v>0.281891637183865</v>
      </c>
      <c r="N18" s="18" t="n">
        <f aca="false">+N17/N$13</f>
        <v>0.256232370206602</v>
      </c>
      <c r="O18" s="18" t="n">
        <f aca="false">+O17/O$13</f>
        <v>0.257683249080882</v>
      </c>
      <c r="P18" s="18" t="n">
        <f aca="false">+P17/P$13</f>
        <v>0.26948876773328</v>
      </c>
      <c r="Q18" s="18" t="n">
        <f aca="false">+Q17/Q$13</f>
        <v>0.270797085333787</v>
      </c>
      <c r="R18" s="18" t="n">
        <f aca="false">+R17/R$13</f>
        <v>0.27192203210897</v>
      </c>
      <c r="S18" s="18" t="n">
        <f aca="false">+S17/S$13</f>
        <v>0.276512494924514</v>
      </c>
      <c r="T18" s="18" t="n">
        <f aca="false">+T17/T$13</f>
        <v>0.290700480177593</v>
      </c>
      <c r="U18" s="18" t="n">
        <f aca="false">+U17/U$13</f>
        <v>0.295388136478274</v>
      </c>
      <c r="V18" s="18" t="e">
        <f aca="false">+V17/V$13</f>
        <v>#DIV/0!</v>
      </c>
      <c r="W18" s="18" t="e">
        <f aca="false">+W17/W$13</f>
        <v>#DIV/0!</v>
      </c>
      <c r="AG18" s="18" t="n">
        <f aca="false">+AG17/AF17-1</f>
        <v>0.118399538328364</v>
      </c>
      <c r="AH18" s="18" t="n">
        <f aca="false">+AH17/AG17-1</f>
        <v>0.281389748882009</v>
      </c>
      <c r="AI18" s="18" t="n">
        <f aca="false">+AI17/AH17-1</f>
        <v>0.280939597315436</v>
      </c>
      <c r="AJ18" s="18" t="n">
        <f aca="false">+AJ17/AI17-1</f>
        <v>0.201561353871948</v>
      </c>
      <c r="AK18" s="18" t="n">
        <f aca="false">+AK17/AJ17-1</f>
        <v>0.16151397549383</v>
      </c>
      <c r="AL18" s="18" t="n">
        <f aca="false">+AL17/AK17-1</f>
        <v>0.128543004092052</v>
      </c>
      <c r="AM18" s="18" t="n">
        <f aca="false">+AM17/AL17-1</f>
        <v>0.131466019094508</v>
      </c>
      <c r="AN18" s="18" t="n">
        <f aca="false">+AN17/AM17-1</f>
        <v>0.281451209831535</v>
      </c>
      <c r="AO18" s="18" t="n">
        <f aca="false">+AO17/AN17-1</f>
        <v>0.102624696003304</v>
      </c>
      <c r="AP18" s="18" t="n">
        <f aca="false">+AP17/AO17-1</f>
        <v>0.224370045152833</v>
      </c>
      <c r="AQ18" s="18" t="n">
        <f aca="false">+AQ17/AP17-1</f>
        <v>0.263213351007784</v>
      </c>
      <c r="AR18" s="18" t="n">
        <f aca="false">+AR17/AQ17-1</f>
        <v>0.268343871922508</v>
      </c>
    </row>
    <row r="19" customFormat="false" ht="12.8" hidden="false" customHeight="true" outlineLevel="0" collapsed="false">
      <c r="A19" s="1" t="s">
        <v>84</v>
      </c>
      <c r="B19" s="5" t="n">
        <f aca="false">+B17+B15</f>
        <v>0</v>
      </c>
      <c r="C19" s="5" t="n">
        <f aca="false">+C17+C15</f>
        <v>0</v>
      </c>
      <c r="D19" s="5" t="n">
        <f aca="false">+D17+D15</f>
        <v>15615</v>
      </c>
      <c r="E19" s="5" t="n">
        <f aca="false">+E17+E15</f>
        <v>16429</v>
      </c>
      <c r="F19" s="5" t="n">
        <f aca="false">+F17+F15</f>
        <v>15452</v>
      </c>
      <c r="G19" s="5" t="n">
        <f aca="false">+G17+G15</f>
        <v>0</v>
      </c>
      <c r="H19" s="5" t="n">
        <f aca="false">+H17+H15</f>
        <v>16128</v>
      </c>
      <c r="I19" s="5" t="n">
        <f aca="false">+I17+I15</f>
        <v>16795</v>
      </c>
      <c r="J19" s="5" t="n">
        <f aca="false">+J17+J15</f>
        <v>16302</v>
      </c>
      <c r="K19" s="5" t="n">
        <f aca="false">+K17+K15</f>
        <v>19623</v>
      </c>
      <c r="L19" s="5" t="n">
        <f aca="false">+L17+L15</f>
        <v>18505</v>
      </c>
      <c r="M19" s="5" t="n">
        <f aca="false">+M17+M15</f>
        <v>19684</v>
      </c>
      <c r="N19" s="5" t="n">
        <f aca="false">+N17+N15</f>
        <v>20099</v>
      </c>
      <c r="O19" s="5" t="n">
        <f aca="false">+O17+O15</f>
        <v>21799</v>
      </c>
      <c r="P19" s="5" t="n">
        <f aca="false">+P17+P15</f>
        <v>21919</v>
      </c>
      <c r="Q19" s="5" t="n">
        <f aca="false">+Q17+Q15</f>
        <v>24014</v>
      </c>
      <c r="R19" s="5" t="n">
        <f aca="false">+R17+R15</f>
        <v>24043</v>
      </c>
      <c r="S19" s="5" t="n">
        <f aca="false">+S17+S15</f>
        <v>25978</v>
      </c>
      <c r="T19" s="5" t="n">
        <f aca="false">+T17+T15</f>
        <v>26828</v>
      </c>
      <c r="U19" s="5" t="n">
        <f aca="false">+U17+U15</f>
        <v>29525</v>
      </c>
      <c r="V19" s="5" t="n">
        <f aca="false">+V17+V15</f>
        <v>0</v>
      </c>
      <c r="W19" s="5" t="n">
        <f aca="false">+W17+W15</f>
        <v>0</v>
      </c>
      <c r="AB19" s="5" t="n">
        <v>12395</v>
      </c>
      <c r="AC19" s="5" t="n">
        <v>15577</v>
      </c>
      <c r="AD19" s="5" t="n">
        <v>17530</v>
      </c>
      <c r="AE19" s="5" t="n">
        <v>20249</v>
      </c>
      <c r="AF19" s="5" t="n">
        <f aca="false">+AF17+AF15</f>
        <v>27078</v>
      </c>
      <c r="AG19" s="5" t="n">
        <f aca="false">+AG17+AG15</f>
        <v>33038</v>
      </c>
      <c r="AH19" s="5" t="n">
        <f aca="false">+AH17+AH15</f>
        <v>32780</v>
      </c>
      <c r="AI19" s="5" t="n">
        <f aca="false">+AI17+AI15</f>
        <v>34261</v>
      </c>
      <c r="AJ19" s="5" t="n">
        <f aca="false">+AJ17+AJ15</f>
        <v>38353</v>
      </c>
      <c r="AK19" s="5" t="n">
        <f aca="false">+AK17+AK15</f>
        <v>42910</v>
      </c>
      <c r="AL19" s="5" t="n">
        <f aca="false">+AL17+AL15</f>
        <v>46078</v>
      </c>
      <c r="AM19" s="5" t="n">
        <f aca="false">+AM17+AM15</f>
        <v>52232</v>
      </c>
      <c r="AN19" s="5" t="n">
        <f aca="false">+AN17+AN15</f>
        <v>62650</v>
      </c>
      <c r="AO19" s="5" t="n">
        <f aca="false">+AO17+AO15</f>
        <v>65863</v>
      </c>
      <c r="AP19" s="5" t="n">
        <f aca="false">+AP17+AP15</f>
        <v>74114</v>
      </c>
      <c r="AQ19" s="5" t="n">
        <f aca="false">+AQ17+AQ15</f>
        <v>87831</v>
      </c>
      <c r="AR19" s="5" t="n">
        <f aca="false">+AR17+AR15</f>
        <v>106374</v>
      </c>
      <c r="AS19" s="5" t="n">
        <f aca="false">+AS13-AS21</f>
        <v>122299.26345</v>
      </c>
      <c r="AT19" s="5" t="n">
        <f aca="false">+AT13-AT21</f>
        <v>137363.426694</v>
      </c>
      <c r="AU19" s="5" t="n">
        <f aca="false">+AU13-AU21</f>
        <v>152788.6639539</v>
      </c>
      <c r="AV19" s="5" t="n">
        <f aca="false">+AV13-AV21</f>
        <v>171226.889163252</v>
      </c>
      <c r="AW19" s="5" t="n">
        <f aca="false">+AW13-AW21</f>
        <v>190150.412603536</v>
      </c>
      <c r="AX19" s="5" t="n">
        <f aca="false">+AX13-AX21</f>
        <v>209232.173306908</v>
      </c>
      <c r="AY19" s="5" t="n">
        <f aca="false">+AY13-AY21</f>
        <v>228100.43179262</v>
      </c>
      <c r="AZ19" s="5" t="n">
        <f aca="false">+AZ13-AZ21</f>
        <v>248587.997848175</v>
      </c>
      <c r="BA19" s="5" t="n">
        <f aca="false">+BA13-BA21</f>
        <v>270822.813211262</v>
      </c>
      <c r="BB19" s="5" t="n">
        <f aca="false">+BB13-BB21</f>
        <v>294941.373180265</v>
      </c>
    </row>
    <row r="20" s="18" customFormat="true" ht="10.5" hidden="false" customHeight="true" outlineLevel="0" collapsed="false">
      <c r="D20" s="18" t="n">
        <f aca="false">+D19/D$13</f>
        <v>0.316349270664506</v>
      </c>
      <c r="E20" s="18" t="n">
        <f aca="false">+E19/E$13</f>
        <v>0.316764677528198</v>
      </c>
      <c r="F20" s="18" t="n">
        <f aca="false">+F19/F$13</f>
        <v>0.308287777822114</v>
      </c>
      <c r="G20" s="18" t="e">
        <f aca="false">+G19/G$13</f>
        <v>#DIV/0!</v>
      </c>
      <c r="H20" s="18" t="n">
        <f aca="false">+H19/H$13</f>
        <v>0.305125148986889</v>
      </c>
      <c r="I20" s="18" t="n">
        <f aca="false">+I19/I$13</f>
        <v>0.298901920304686</v>
      </c>
      <c r="J20" s="18" t="n">
        <f aca="false">+J19/J$13</f>
        <v>0.288444184935506</v>
      </c>
      <c r="K20" s="18" t="n">
        <f aca="false">+K19/K$13</f>
        <v>0.316397936149629</v>
      </c>
      <c r="L20" s="18" t="n">
        <f aca="false">+L19/L$13</f>
        <v>0.299152898574154</v>
      </c>
      <c r="M20" s="18" t="n">
        <f aca="false">+M19/M$13</f>
        <v>0.304108022927063</v>
      </c>
      <c r="N20" s="18" t="n">
        <f aca="false">+N19/N$13</f>
        <v>0.306457269192651</v>
      </c>
      <c r="O20" s="18" t="n">
        <f aca="false">+O19/O$13</f>
        <v>0.313060087316176</v>
      </c>
      <c r="P20" s="18" t="n">
        <f aca="false">+P19/P$13</f>
        <v>0.312833614021066</v>
      </c>
      <c r="Q20" s="18" t="n">
        <f aca="false">+Q19/Q$13</f>
        <v>0.31415078295679</v>
      </c>
      <c r="R20" s="18" t="n">
        <f aca="false">+R19/R$13</f>
        <v>0.309541282041379</v>
      </c>
      <c r="S20" s="18" t="n">
        <f aca="false">+S19/S$13</f>
        <v>0.319638748415833</v>
      </c>
      <c r="T20" s="18" t="n">
        <f aca="false">+T19/T$13</f>
        <v>0.323673479236542</v>
      </c>
      <c r="U20" s="18" t="n">
        <f aca="false">+U19/U$13</f>
        <v>0.328030042107836</v>
      </c>
      <c r="V20" s="18" t="e">
        <f aca="false">+V19/V$13</f>
        <v>#DIV/0!</v>
      </c>
      <c r="W20" s="18" t="e">
        <f aca="false">+W19/W$13</f>
        <v>#DIV/0!</v>
      </c>
      <c r="AB20" s="18" t="n">
        <f aca="false">+AB19/AB$13</f>
        <v>0.198370782920428</v>
      </c>
      <c r="AC20" s="18" t="n">
        <f aca="false">+AC19/AC$13</f>
        <v>0.222709920935619</v>
      </c>
      <c r="AD20" s="18" t="n">
        <f aca="false">+AD19/AD$13</f>
        <v>0.237781967635609</v>
      </c>
      <c r="AE20" s="18" t="n">
        <f aca="false">+AE19/AE$13</f>
        <v>0.260106102840114</v>
      </c>
      <c r="AF20" s="18" t="n">
        <f aca="false">+AF19/AF$13</f>
        <v>0.311839968675504</v>
      </c>
      <c r="AG20" s="18" t="n">
        <f aca="false">+AG19/AG$13</f>
        <v>0.353045522547553</v>
      </c>
      <c r="AH20" s="18" t="n">
        <f aca="false">+AH19/AH$13</f>
        <v>0.384200656352555</v>
      </c>
      <c r="AI20" s="18" t="n">
        <f aca="false">+AI19/AI$13</f>
        <v>0.38088938299055</v>
      </c>
      <c r="AJ20" s="18" t="n">
        <f aca="false">+AJ19/AJ$13</f>
        <v>0.347526277636825</v>
      </c>
      <c r="AK20" s="18" t="n">
        <f aca="false">+AK19/AK$13</f>
        <v>0.340980427993611</v>
      </c>
      <c r="AL20" s="18" t="n">
        <f aca="false">+AL19/AL$13</f>
        <v>0.32218998007202</v>
      </c>
      <c r="AM20" s="18" t="n">
        <f aca="false">+AM19/AM$13</f>
        <v>0.310741992289753</v>
      </c>
      <c r="AN20" s="18" t="n">
        <f aca="false">+AN19/AN$13</f>
        <v>0.315983255157109</v>
      </c>
      <c r="AO20" s="18" t="n">
        <f aca="false">+AO19/AO$13</f>
        <v>0.31079914116509</v>
      </c>
      <c r="AP20" s="18" t="n">
        <f aca="false">+AP19/AP$13</f>
        <v>0.302355561720286</v>
      </c>
      <c r="AQ20" s="18" t="n">
        <f aca="false">+AQ19/AQ$13</f>
        <v>0.311762576138348</v>
      </c>
      <c r="AR20" s="18" t="n">
        <f aca="false">+AR19/AR$13</f>
        <v>0.320559066294197</v>
      </c>
      <c r="AS20" s="18" t="n">
        <f aca="false">+AS19/AS$13</f>
        <v>0.315</v>
      </c>
      <c r="AT20" s="18" t="n">
        <f aca="false">+AT19/AT$13</f>
        <v>0.305</v>
      </c>
      <c r="AU20" s="18" t="n">
        <f aca="false">+AU19/AU$13</f>
        <v>0.295</v>
      </c>
      <c r="AV20" s="18" t="n">
        <f aca="false">+AV19/AV$13</f>
        <v>0.29</v>
      </c>
      <c r="AW20" s="18" t="n">
        <f aca="false">+AW19/AW$13</f>
        <v>0.285000000000001</v>
      </c>
      <c r="AX20" s="18" t="n">
        <f aca="false">+AX19/AX$13</f>
        <v>0.28</v>
      </c>
      <c r="AY20" s="18" t="n">
        <f aca="false">+AY19/AY$13</f>
        <v>0.275</v>
      </c>
      <c r="AZ20" s="18" t="n">
        <f aca="false">+AZ19/AZ$13</f>
        <v>0.269999999999999</v>
      </c>
      <c r="BA20" s="18" t="n">
        <f aca="false">+BA19/BA$13</f>
        <v>0.265</v>
      </c>
      <c r="BB20" s="18" t="n">
        <f aca="false">+BB19/BB$13</f>
        <v>0.260000000000001</v>
      </c>
    </row>
    <row r="21" customFormat="false" ht="12.8" hidden="false" customHeight="true" outlineLevel="0" collapsed="false">
      <c r="A21" s="1" t="s">
        <v>85</v>
      </c>
      <c r="B21" s="5" t="n">
        <f aca="false">+B13-B19</f>
        <v>0</v>
      </c>
      <c r="C21" s="5" t="n">
        <f aca="false">+C13-C19</f>
        <v>0</v>
      </c>
      <c r="D21" s="5" t="n">
        <f aca="false">+D13-D19</f>
        <v>33745</v>
      </c>
      <c r="E21" s="5" t="n">
        <f aca="false">+E13-E19</f>
        <v>35436</v>
      </c>
      <c r="F21" s="5" t="n">
        <f aca="false">+F13-F19</f>
        <v>34670</v>
      </c>
      <c r="G21" s="5" t="n">
        <f aca="false">+G13-G19</f>
        <v>0</v>
      </c>
      <c r="H21" s="5" t="n">
        <f aca="false">+H13-H19</f>
        <v>36729</v>
      </c>
      <c r="I21" s="5" t="n">
        <f aca="false">+I13-I19</f>
        <v>39394</v>
      </c>
      <c r="J21" s="5" t="n">
        <f aca="false">+J13-J19</f>
        <v>40215</v>
      </c>
      <c r="K21" s="5" t="n">
        <f aca="false">+K13-K19</f>
        <v>42397</v>
      </c>
      <c r="L21" s="5" t="n">
        <f aca="false">+L13-L19</f>
        <v>43353</v>
      </c>
      <c r="M21" s="5" t="n">
        <f aca="false">+M13-M19</f>
        <v>45043</v>
      </c>
      <c r="N21" s="5" t="n">
        <f aca="false">+N13-N19</f>
        <v>45486</v>
      </c>
      <c r="O21" s="5" t="n">
        <f aca="false">+O13-O19</f>
        <v>47833</v>
      </c>
      <c r="P21" s="5" t="n">
        <f aca="false">+P13-P19</f>
        <v>48147</v>
      </c>
      <c r="Q21" s="5" t="n">
        <f aca="false">+Q13-Q19</f>
        <v>52427</v>
      </c>
      <c r="R21" s="5" t="n">
        <f aca="false">+R13-R19</f>
        <v>53630</v>
      </c>
      <c r="S21" s="5" t="n">
        <f aca="false">+S13-S19</f>
        <v>55295</v>
      </c>
      <c r="T21" s="5" t="n">
        <f aca="false">+T13-T19</f>
        <v>56058</v>
      </c>
      <c r="U21" s="5" t="n">
        <f aca="false">+U13-U19</f>
        <v>60482</v>
      </c>
      <c r="V21" s="5" t="n">
        <f aca="false">+V13-V19</f>
        <v>0</v>
      </c>
      <c r="W21" s="5" t="n">
        <f aca="false">+W13-W19</f>
        <v>0</v>
      </c>
      <c r="AB21" s="5" t="n">
        <f aca="false">+AB13-AB19</f>
        <v>50089</v>
      </c>
      <c r="AC21" s="5" t="n">
        <f aca="false">+AC13-AC19</f>
        <v>54366</v>
      </c>
      <c r="AD21" s="5" t="n">
        <f aca="false">+AD13-AD19</f>
        <v>56193</v>
      </c>
      <c r="AE21" s="5" t="n">
        <f aca="false">+AE13-AE19</f>
        <v>57600</v>
      </c>
      <c r="AF21" s="5" t="n">
        <f aca="false">+AF13-AF19</f>
        <v>59755</v>
      </c>
      <c r="AG21" s="5" t="n">
        <f aca="false">+AG13-AG19</f>
        <v>60542</v>
      </c>
      <c r="AH21" s="5" t="n">
        <f aca="false">+AH13-AH19</f>
        <v>52540</v>
      </c>
      <c r="AI21" s="5" t="n">
        <f aca="false">+AI13-AI19</f>
        <v>55689</v>
      </c>
      <c r="AJ21" s="5" t="n">
        <f aca="false">+AJ13-AJ19</f>
        <v>72007</v>
      </c>
      <c r="AK21" s="5" t="n">
        <f aca="false">+AK13-AK19</f>
        <v>82933</v>
      </c>
      <c r="AL21" s="5" t="n">
        <f aca="false">+AL13-AL19</f>
        <v>96937</v>
      </c>
      <c r="AM21" s="5" t="n">
        <f aca="false">+AM13-AM19</f>
        <v>115856</v>
      </c>
      <c r="AN21" s="5" t="n">
        <f aca="false">+AN13-AN19</f>
        <v>135620</v>
      </c>
      <c r="AO21" s="5" t="n">
        <f aca="false">+AO13-AO19</f>
        <v>146052</v>
      </c>
      <c r="AP21" s="5" t="n">
        <f aca="false">+AP13-AP19</f>
        <v>171008</v>
      </c>
      <c r="AQ21" s="5" t="n">
        <f aca="false">+AQ13-AQ19</f>
        <v>193893</v>
      </c>
      <c r="AR21" s="5" t="n">
        <f aca="false">+AR13-AR19</f>
        <v>225465</v>
      </c>
      <c r="AS21" s="5" t="n">
        <f aca="false">+AS13*0.685</f>
        <v>265952.36655</v>
      </c>
      <c r="AT21" s="5" t="n">
        <f aca="false">+AT13*0.695</f>
        <v>313008.464106</v>
      </c>
      <c r="AU21" s="5" t="n">
        <f aca="false">+AU13*0.705</f>
        <v>365139.0104661</v>
      </c>
      <c r="AV21" s="5" t="n">
        <f aca="false">+AV13*0.71</f>
        <v>419210.659675548</v>
      </c>
      <c r="AW21" s="5" t="n">
        <f aca="false">+AW13*0.715</f>
        <v>477044.017584308</v>
      </c>
      <c r="AX21" s="5" t="n">
        <f aca="false">+AX13*0.72</f>
        <v>538025.588503477</v>
      </c>
      <c r="AY21" s="5" t="n">
        <f aca="false">+AY13*0.725</f>
        <v>601355.683816908</v>
      </c>
      <c r="AZ21" s="5" t="n">
        <f aca="false">+AZ13*0.73</f>
        <v>672108.2904784</v>
      </c>
      <c r="BA21" s="5" t="n">
        <f aca="false">+BA13*0.735</f>
        <v>751150.066831237</v>
      </c>
      <c r="BB21" s="5" t="n">
        <f aca="false">+BB13*0.74</f>
        <v>839448.523666909</v>
      </c>
    </row>
    <row r="22" s="18" customFormat="true" ht="10.5" hidden="false" customHeight="true" outlineLevel="0" collapsed="false">
      <c r="D22" s="18" t="n">
        <f aca="false">+D21/D$13</f>
        <v>0.683650729335494</v>
      </c>
      <c r="E22" s="18" t="n">
        <f aca="false">+E21/E$13</f>
        <v>0.683235322471802</v>
      </c>
      <c r="F22" s="18" t="n">
        <f aca="false">+F21/F$13</f>
        <v>0.691712222177886</v>
      </c>
      <c r="G22" s="18" t="e">
        <f aca="false">+G21/G$13</f>
        <v>#DIV/0!</v>
      </c>
      <c r="H22" s="18" t="n">
        <f aca="false">+H21/H$13</f>
        <v>0.694874851013111</v>
      </c>
      <c r="I22" s="18" t="n">
        <f aca="false">+I21/I$13</f>
        <v>0.701098079695314</v>
      </c>
      <c r="J22" s="18" t="n">
        <f aca="false">+J21/J$13</f>
        <v>0.711555815064494</v>
      </c>
      <c r="K22" s="18" t="n">
        <f aca="false">+K21/K$13</f>
        <v>0.683602063850371</v>
      </c>
      <c r="L22" s="18" t="n">
        <f aca="false">+L21/L$13</f>
        <v>0.700847101425846</v>
      </c>
      <c r="M22" s="18" t="n">
        <f aca="false">+M21/M$13</f>
        <v>0.695891977072937</v>
      </c>
      <c r="N22" s="18" t="n">
        <f aca="false">+N21/N$13</f>
        <v>0.693542730807349</v>
      </c>
      <c r="O22" s="18" t="n">
        <f aca="false">+O21/O$13</f>
        <v>0.686939912683824</v>
      </c>
      <c r="P22" s="18" t="n">
        <f aca="false">+P21/P$13</f>
        <v>0.687166385978934</v>
      </c>
      <c r="Q22" s="18" t="n">
        <f aca="false">+Q21/Q$13</f>
        <v>0.68584921704321</v>
      </c>
      <c r="R22" s="18" t="n">
        <f aca="false">+R21/R$13</f>
        <v>0.690458717958621</v>
      </c>
      <c r="S22" s="18" t="n">
        <f aca="false">+S21/S$13</f>
        <v>0.680361251584167</v>
      </c>
      <c r="T22" s="18" t="n">
        <f aca="false">+T21/T$13</f>
        <v>0.676326520763458</v>
      </c>
      <c r="U22" s="18" t="n">
        <f aca="false">+U21/U$13</f>
        <v>0.671969957892164</v>
      </c>
      <c r="V22" s="18" t="e">
        <f aca="false">+V21/V$13</f>
        <v>#DIV/0!</v>
      </c>
      <c r="W22" s="18" t="e">
        <f aca="false">+W21/W$13</f>
        <v>#DIV/0!</v>
      </c>
      <c r="AB22" s="18" t="n">
        <f aca="false">+AB21/AB$13</f>
        <v>0.801629217079572</v>
      </c>
      <c r="AC22" s="18" t="n">
        <f aca="false">+AC21/AC$13</f>
        <v>0.777290079064381</v>
      </c>
      <c r="AD22" s="18" t="n">
        <f aca="false">+AD21/AD$13</f>
        <v>0.762218032364391</v>
      </c>
      <c r="AE22" s="18" t="n">
        <f aca="false">+AE21/AE$13</f>
        <v>0.739893897159886</v>
      </c>
      <c r="AF22" s="18" t="n">
        <f aca="false">+AF21/AF$13</f>
        <v>0.688160031324496</v>
      </c>
      <c r="AG22" s="18" t="n">
        <f aca="false">+AG21/AG$13</f>
        <v>0.646954477452447</v>
      </c>
      <c r="AH22" s="18" t="n">
        <f aca="false">+AH21/AH$13</f>
        <v>0.615799343647445</v>
      </c>
      <c r="AI22" s="18" t="n">
        <f aca="false">+AI21/AI$13</f>
        <v>0.61911061700945</v>
      </c>
      <c r="AJ22" s="18" t="n">
        <f aca="false">+AJ21/AJ$13</f>
        <v>0.652473722363175</v>
      </c>
      <c r="AK22" s="18" t="n">
        <f aca="false">+AK21/AK$13</f>
        <v>0.659019572006389</v>
      </c>
      <c r="AL22" s="18" t="n">
        <f aca="false">+AL21/AL$13</f>
        <v>0.67781001992798</v>
      </c>
      <c r="AM22" s="18" t="n">
        <f aca="false">+AM21/AM$13</f>
        <v>0.689258007710247</v>
      </c>
      <c r="AN22" s="18" t="n">
        <f aca="false">+AN21/AN$13</f>
        <v>0.684016744842891</v>
      </c>
      <c r="AO22" s="18" t="n">
        <f aca="false">+AO21/AO$13</f>
        <v>0.68920085883491</v>
      </c>
      <c r="AP22" s="18" t="n">
        <f aca="false">+AP21/AP$13</f>
        <v>0.697644438279714</v>
      </c>
      <c r="AQ22" s="18" t="n">
        <f aca="false">+AQ21/AQ$13</f>
        <v>0.688237423861652</v>
      </c>
      <c r="AR22" s="18" t="n">
        <f aca="false">+AR21/AR$13</f>
        <v>0.679440933705803</v>
      </c>
      <c r="AS22" s="18" t="n">
        <f aca="false">+AS21/AS$13</f>
        <v>0.685</v>
      </c>
      <c r="AT22" s="18" t="n">
        <f aca="false">+AT21/AT$13</f>
        <v>0.695</v>
      </c>
      <c r="AU22" s="18" t="n">
        <f aca="false">+AU21/AU$13</f>
        <v>0.705</v>
      </c>
      <c r="AV22" s="18" t="n">
        <f aca="false">+AV21/AV$13</f>
        <v>0.71</v>
      </c>
      <c r="AW22" s="18" t="n">
        <f aca="false">+AW21/AW$13</f>
        <v>0.714999999999999</v>
      </c>
      <c r="AX22" s="18" t="n">
        <f aca="false">+AX21/AX$13</f>
        <v>0.72</v>
      </c>
      <c r="AY22" s="18" t="n">
        <f aca="false">+AY21/AY$13</f>
        <v>0.725</v>
      </c>
      <c r="AZ22" s="18" t="n">
        <f aca="false">+AZ21/AZ$13</f>
        <v>0.729999999999999</v>
      </c>
      <c r="BA22" s="18" t="n">
        <f aca="false">+BA21/BA$13</f>
        <v>0.735</v>
      </c>
      <c r="BB22" s="18" t="n">
        <f aca="false">+BB21/BB$13</f>
        <v>0.740000000000003</v>
      </c>
    </row>
    <row r="23" customFormat="false" ht="12.8" hidden="false" customHeight="true" outlineLevel="0" collapsed="false">
      <c r="A23" s="1" t="s">
        <v>86</v>
      </c>
      <c r="D23" s="5" t="n">
        <v>6306</v>
      </c>
      <c r="E23" s="5" t="n">
        <v>6849</v>
      </c>
      <c r="F23" s="5" t="n">
        <v>6628</v>
      </c>
      <c r="H23" s="5" t="n">
        <v>6984</v>
      </c>
      <c r="I23" s="5" t="n">
        <v>6739</v>
      </c>
      <c r="J23" s="5" t="n">
        <v>6659</v>
      </c>
      <c r="K23" s="5" t="n">
        <v>7142</v>
      </c>
      <c r="L23" s="5" t="n">
        <v>7653</v>
      </c>
      <c r="M23" s="5" t="n">
        <v>8056</v>
      </c>
      <c r="N23" s="5" t="n">
        <v>7544</v>
      </c>
      <c r="O23" s="5" t="n">
        <v>7917</v>
      </c>
      <c r="P23" s="5" t="n">
        <v>8198</v>
      </c>
      <c r="Q23" s="5" t="n">
        <v>8829</v>
      </c>
      <c r="R23" s="5" t="n">
        <v>8146</v>
      </c>
      <c r="S23" s="5" t="n">
        <v>8504</v>
      </c>
      <c r="T23" s="5" t="n">
        <v>8915</v>
      </c>
      <c r="U23" s="5" t="n">
        <v>9997</v>
      </c>
      <c r="AB23" s="5" t="n">
        <v>8714</v>
      </c>
      <c r="AC23" s="5" t="n">
        <v>9043</v>
      </c>
      <c r="AD23" s="5" t="n">
        <v>9811</v>
      </c>
      <c r="AE23" s="5" t="n">
        <v>10411</v>
      </c>
      <c r="AF23" s="5" t="n">
        <v>11381</v>
      </c>
      <c r="AG23" s="5" t="n">
        <v>12046</v>
      </c>
      <c r="AH23" s="5" t="n">
        <v>11988</v>
      </c>
      <c r="AI23" s="5" t="n">
        <v>13037</v>
      </c>
      <c r="AJ23" s="5" t="n">
        <v>14726</v>
      </c>
      <c r="AK23" s="5" t="n">
        <v>16876</v>
      </c>
      <c r="AL23" s="5" t="n">
        <v>19269</v>
      </c>
      <c r="AM23" s="5" t="n">
        <v>20716</v>
      </c>
      <c r="AN23" s="5" t="n">
        <v>24512</v>
      </c>
      <c r="AO23" s="5" t="n">
        <v>27195</v>
      </c>
      <c r="AP23" s="5" t="n">
        <v>29510</v>
      </c>
      <c r="AQ23" s="5" t="n">
        <v>32488</v>
      </c>
      <c r="AR23" s="5" t="n">
        <v>35562</v>
      </c>
      <c r="AS23" s="5" t="n">
        <f aca="false">+AS13*0.105</f>
        <v>40766.42115</v>
      </c>
      <c r="AT23" s="5" t="n">
        <f aca="false">+AT13*0.105</f>
        <v>47289.048534</v>
      </c>
      <c r="AU23" s="5" t="n">
        <f aca="false">+AU13*0.105</f>
        <v>54382.4058141</v>
      </c>
      <c r="AV23" s="5" t="n">
        <f aca="false">+AV13*0.1</f>
        <v>59043.75488388</v>
      </c>
      <c r="AW23" s="5" t="n">
        <f aca="false">+AW13*0.1</f>
        <v>66719.4430187844</v>
      </c>
      <c r="AX23" s="5" t="n">
        <f aca="false">+AX13*0.1</f>
        <v>74725.7761810385</v>
      </c>
      <c r="AY23" s="5" t="n">
        <f aca="false">+AY13*0.095</f>
        <v>78798.3309829052</v>
      </c>
      <c r="AZ23" s="5" t="n">
        <f aca="false">+AZ13*0.095</f>
        <v>87466.1473910247</v>
      </c>
      <c r="BA23" s="5" t="n">
        <f aca="false">+BA13*0.095</f>
        <v>97087.4236040375</v>
      </c>
      <c r="BB23" s="5" t="n">
        <f aca="false">+BB13*0.095</f>
        <v>107767.040200481</v>
      </c>
    </row>
    <row r="24" s="18" customFormat="true" ht="10.5" hidden="false" customHeight="true" outlineLevel="0" collapsed="false">
      <c r="D24" s="18" t="n">
        <f aca="false">+D23/D$13</f>
        <v>0.127755267423015</v>
      </c>
      <c r="E24" s="18" t="n">
        <f aca="false">+E23/E$13</f>
        <v>0.132054371927118</v>
      </c>
      <c r="F24" s="18" t="n">
        <f aca="false">+F23/F$13</f>
        <v>0.132237340888233</v>
      </c>
      <c r="G24" s="18" t="e">
        <f aca="false">+G23/G$13</f>
        <v>#DIV/0!</v>
      </c>
      <c r="H24" s="18" t="n">
        <f aca="false">+H23/H$13</f>
        <v>0.132130086838073</v>
      </c>
      <c r="I24" s="18" t="n">
        <f aca="false">+I23/I$13</f>
        <v>0.119934506753991</v>
      </c>
      <c r="J24" s="18" t="n">
        <f aca="false">+J23/J$13</f>
        <v>0.117822955924766</v>
      </c>
      <c r="K24" s="18" t="n">
        <f aca="false">+K23/K$13</f>
        <v>0.115156401160916</v>
      </c>
      <c r="L24" s="18" t="n">
        <f aca="false">+L23/L$13</f>
        <v>0.123718839923696</v>
      </c>
      <c r="M24" s="18" t="n">
        <f aca="false">+M23/M$13</f>
        <v>0.124461198572466</v>
      </c>
      <c r="N24" s="18" t="n">
        <f aca="false">+N23/N$13</f>
        <v>0.115026301745826</v>
      </c>
      <c r="O24" s="18" t="n">
        <f aca="false">+O23/O$13</f>
        <v>0.113697725183824</v>
      </c>
      <c r="P24" s="18" t="n">
        <f aca="false">+P23/P$13</f>
        <v>0.117003967687609</v>
      </c>
      <c r="Q24" s="18" t="n">
        <f aca="false">+Q23/Q$13</f>
        <v>0.11550084378802</v>
      </c>
      <c r="R24" s="18" t="n">
        <f aca="false">+R23/R$13</f>
        <v>0.104875568086723</v>
      </c>
      <c r="S24" s="18" t="n">
        <f aca="false">+S23/S$13</f>
        <v>0.104634995632006</v>
      </c>
      <c r="T24" s="18" t="n">
        <f aca="false">+T23/T$13</f>
        <v>0.107557367951162</v>
      </c>
      <c r="U24" s="18" t="n">
        <f aca="false">+U23/U$13</f>
        <v>0.111069139066961</v>
      </c>
      <c r="V24" s="18" t="e">
        <f aca="false">+V23/V$13</f>
        <v>#DIV/0!</v>
      </c>
      <c r="W24" s="18" t="e">
        <f aca="false">+W23/W$13</f>
        <v>#DIV/0!</v>
      </c>
      <c r="AB24" s="18" t="n">
        <f aca="false">+AB23/AB$13</f>
        <v>0.139459701683631</v>
      </c>
      <c r="AC24" s="18" t="n">
        <f aca="false">+AC23/AC$13</f>
        <v>0.129290994095192</v>
      </c>
      <c r="AD24" s="18" t="n">
        <f aca="false">+AD23/AD$13</f>
        <v>0.133079229005873</v>
      </c>
      <c r="AE24" s="18" t="n">
        <f aca="false">+AE23/AE$13</f>
        <v>0.133733252835618</v>
      </c>
      <c r="AF24" s="18" t="n">
        <f aca="false">+AF23/AF$13</f>
        <v>0.131067681641772</v>
      </c>
      <c r="AG24" s="18" t="n">
        <f aca="false">+AG23/AG$13</f>
        <v>0.128724086343236</v>
      </c>
      <c r="AH24" s="18" t="n">
        <f aca="false">+AH23/AH$13</f>
        <v>0.140506329113924</v>
      </c>
      <c r="AI24" s="18" t="n">
        <f aca="false">+AI23/AI$13</f>
        <v>0.144936075597554</v>
      </c>
      <c r="AJ24" s="18" t="n">
        <f aca="false">+AJ23/AJ$13</f>
        <v>0.133436027546212</v>
      </c>
      <c r="AK24" s="18" t="n">
        <f aca="false">+AK23/AK$13</f>
        <v>0.134103605285952</v>
      </c>
      <c r="AL24" s="18" t="n">
        <f aca="false">+AL23/AL$13</f>
        <v>0.134734118798727</v>
      </c>
      <c r="AM24" s="18" t="n">
        <f aca="false">+AM23/AM$13</f>
        <v>0.123244966922088</v>
      </c>
      <c r="AN24" s="18" t="n">
        <f aca="false">+AN23/AN$13</f>
        <v>0.123629394260352</v>
      </c>
      <c r="AO24" s="18" t="n">
        <f aca="false">+AO23/AO$13</f>
        <v>0.128329754854541</v>
      </c>
      <c r="AP24" s="18" t="n">
        <f aca="false">+AP23/AP$13</f>
        <v>0.120389030768352</v>
      </c>
      <c r="AQ24" s="18" t="n">
        <f aca="false">+AQ23/AQ$13</f>
        <v>0.115318538711647</v>
      </c>
      <c r="AR24" s="18" t="n">
        <f aca="false">+AR23/AR$13</f>
        <v>0.107166427092656</v>
      </c>
      <c r="AS24" s="18" t="n">
        <f aca="false">+AS23/AS$13</f>
        <v>0.105</v>
      </c>
      <c r="AT24" s="18" t="n">
        <f aca="false">+AT23/AT$13</f>
        <v>0.105</v>
      </c>
      <c r="AU24" s="18" t="n">
        <f aca="false">+AU23/AU$13</f>
        <v>0.105</v>
      </c>
      <c r="AV24" s="18" t="n">
        <f aca="false">+AV23/AV$13</f>
        <v>0.1</v>
      </c>
      <c r="AW24" s="18" t="n">
        <f aca="false">+AW23/AW$13</f>
        <v>0.1</v>
      </c>
      <c r="AX24" s="18" t="n">
        <f aca="false">+AX23/AX$13</f>
        <v>0.1</v>
      </c>
      <c r="AY24" s="18" t="n">
        <f aca="false">+AY23/AY$13</f>
        <v>0.095</v>
      </c>
      <c r="AZ24" s="18" t="n">
        <f aca="false">+AZ23/AZ$13</f>
        <v>0.095</v>
      </c>
      <c r="BA24" s="18" t="n">
        <f aca="false">+BA23/BA$13</f>
        <v>0.095</v>
      </c>
      <c r="BB24" s="18" t="n">
        <f aca="false">+BB23/BB$13</f>
        <v>0.095</v>
      </c>
    </row>
    <row r="25" customFormat="false" ht="12.8" hidden="false" customHeight="true" outlineLevel="0" collapsed="false">
      <c r="A25" s="1" t="s">
        <v>87</v>
      </c>
      <c r="D25" s="5" t="n">
        <v>5595</v>
      </c>
      <c r="E25" s="5" t="n">
        <v>6304</v>
      </c>
      <c r="F25" s="5" t="n">
        <v>5126</v>
      </c>
      <c r="H25" s="5" t="n">
        <v>5750</v>
      </c>
      <c r="I25" s="5" t="n">
        <v>6204</v>
      </c>
      <c r="J25" s="5" t="n">
        <v>5187</v>
      </c>
      <c r="K25" s="5" t="n">
        <v>6246</v>
      </c>
      <c r="L25" s="5" t="n">
        <v>6207</v>
      </c>
      <c r="M25" s="5" t="n">
        <v>6816</v>
      </c>
      <c r="N25" s="5" t="n">
        <v>5717</v>
      </c>
      <c r="O25" s="5" t="n">
        <v>6440</v>
      </c>
      <c r="P25" s="5" t="n">
        <v>6212</v>
      </c>
      <c r="Q25" s="5" t="n">
        <v>7285</v>
      </c>
      <c r="R25" s="5" t="n">
        <v>5717</v>
      </c>
      <c r="S25" s="5" t="n">
        <v>6584</v>
      </c>
      <c r="T25" s="5" t="n">
        <v>6814</v>
      </c>
      <c r="U25" s="5" t="n">
        <v>7595</v>
      </c>
      <c r="AB25" s="5" t="n">
        <v>13214</v>
      </c>
      <c r="AC25" s="5" t="n">
        <v>13940</v>
      </c>
      <c r="AD25" s="5" t="n">
        <v>13857</v>
      </c>
      <c r="AE25" s="5" t="n">
        <v>15276</v>
      </c>
      <c r="AF25" s="5" t="n">
        <v>15811</v>
      </c>
      <c r="AG25" s="5" t="n">
        <v>15713</v>
      </c>
      <c r="AH25" s="5" t="n">
        <v>14697</v>
      </c>
      <c r="AI25" s="5" t="n">
        <v>15539</v>
      </c>
      <c r="AJ25" s="5" t="n">
        <v>17469</v>
      </c>
      <c r="AK25" s="5" t="n">
        <v>18213</v>
      </c>
      <c r="AL25" s="5" t="n">
        <v>19598</v>
      </c>
      <c r="AM25" s="5" t="n">
        <v>20117</v>
      </c>
      <c r="AN25" s="5" t="n">
        <v>21825</v>
      </c>
      <c r="AO25" s="5" t="n">
        <v>22759</v>
      </c>
      <c r="AP25" s="5" t="n">
        <v>24456</v>
      </c>
      <c r="AQ25" s="5" t="n">
        <v>25654</v>
      </c>
      <c r="AR25" s="5" t="n">
        <v>26710</v>
      </c>
      <c r="AS25" s="5" t="n">
        <f aca="false">+AS13*0.09</f>
        <v>34942.6467</v>
      </c>
      <c r="AT25" s="5" t="n">
        <f aca="false">+AT13*0.09</f>
        <v>40533.470172</v>
      </c>
      <c r="AU25" s="5" t="n">
        <f aca="false">+AU13*0.09</f>
        <v>46613.4906978</v>
      </c>
      <c r="AV25" s="5" t="n">
        <f aca="false">+AV13*0.09</f>
        <v>53139.379395492</v>
      </c>
      <c r="AW25" s="5" t="n">
        <f aca="false">+AW13*0.09</f>
        <v>60047.498716906</v>
      </c>
      <c r="AX25" s="5" t="n">
        <f aca="false">+AX13*0.09</f>
        <v>67253.1985629347</v>
      </c>
      <c r="AY25" s="5" t="n">
        <f aca="false">+AY13*0.09</f>
        <v>74651.0504048575</v>
      </c>
      <c r="AZ25" s="5" t="n">
        <f aca="false">+AZ13*0.09</f>
        <v>82862.6659493918</v>
      </c>
      <c r="BA25" s="5" t="n">
        <f aca="false">+BA13*0.09</f>
        <v>91977.559203825</v>
      </c>
      <c r="BB25" s="5" t="n">
        <f aca="false">+BB13*0.09</f>
        <v>102095.090716245</v>
      </c>
    </row>
    <row r="26" s="18" customFormat="true" ht="10.5" hidden="false" customHeight="true" outlineLevel="0" collapsed="false">
      <c r="D26" s="18" t="n">
        <f aca="false">+D25/D$13</f>
        <v>0.113350891410049</v>
      </c>
      <c r="E26" s="18" t="n">
        <f aca="false">+E25/E$13</f>
        <v>0.121546322182589</v>
      </c>
      <c r="F26" s="18" t="n">
        <f aca="false">+F25/F$13</f>
        <v>0.102270460077411</v>
      </c>
      <c r="G26" s="18" t="e">
        <f aca="false">+G25/G$13</f>
        <v>#DIV/0!</v>
      </c>
      <c r="H26" s="18" t="n">
        <f aca="false">+H25/H$13</f>
        <v>0.108784077794805</v>
      </c>
      <c r="I26" s="18" t="n">
        <f aca="false">+I25/I$13</f>
        <v>0.110413070173877</v>
      </c>
      <c r="J26" s="18" t="n">
        <f aca="false">+J25/J$13</f>
        <v>0.091777695206752</v>
      </c>
      <c r="K26" s="18" t="n">
        <f aca="false">+K25/K$13</f>
        <v>0.100709448564979</v>
      </c>
      <c r="L26" s="18" t="n">
        <f aca="false">+L25/L$13</f>
        <v>0.100342720424197</v>
      </c>
      <c r="M26" s="18" t="n">
        <f aca="false">+M25/M$13</f>
        <v>0.105303814482364</v>
      </c>
      <c r="N26" s="18" t="n">
        <f aca="false">+N25/N$13</f>
        <v>0.0871693222535641</v>
      </c>
      <c r="O26" s="18" t="n">
        <f aca="false">+O25/O$13</f>
        <v>0.0924862132352941</v>
      </c>
      <c r="P26" s="18" t="n">
        <f aca="false">+P25/P$13</f>
        <v>0.0886592641223989</v>
      </c>
      <c r="Q26" s="18" t="n">
        <f aca="false">+Q25/Q$13</f>
        <v>0.0953022592587747</v>
      </c>
      <c r="R26" s="18" t="n">
        <f aca="false">+R25/R$13</f>
        <v>0.0736034400628275</v>
      </c>
      <c r="S26" s="18" t="n">
        <f aca="false">+S25/S$13</f>
        <v>0.0810109138336225</v>
      </c>
      <c r="T26" s="18" t="n">
        <f aca="false">+T25/T$13</f>
        <v>0.0822092995198224</v>
      </c>
      <c r="U26" s="18" t="n">
        <f aca="false">+U25/U$13</f>
        <v>0.084382325819103</v>
      </c>
      <c r="V26" s="18" t="e">
        <f aca="false">+V25/V$13</f>
        <v>#DIV/0!</v>
      </c>
      <c r="W26" s="18" t="e">
        <f aca="false">+W25/W$13</f>
        <v>#DIV/0!</v>
      </c>
      <c r="AB26" s="18" t="n">
        <f aca="false">+AB25/AB$13</f>
        <v>0.211478138403431</v>
      </c>
      <c r="AC26" s="18" t="n">
        <f aca="false">+AC25/AC$13</f>
        <v>0.199305148478046</v>
      </c>
      <c r="AD26" s="18" t="n">
        <f aca="false">+AD25/AD$13</f>
        <v>0.187960338022056</v>
      </c>
      <c r="AE26" s="18" t="n">
        <f aca="false">+AE25/AE$13</f>
        <v>0.196226027309278</v>
      </c>
      <c r="AF26" s="18" t="n">
        <f aca="false">+AF25/AF$13</f>
        <v>0.182085151958357</v>
      </c>
      <c r="AG26" s="18" t="n">
        <f aca="false">+AG25/AG$13</f>
        <v>0.167909809788416</v>
      </c>
      <c r="AH26" s="18" t="n">
        <f aca="false">+AH25/AH$13</f>
        <v>0.172257383966245</v>
      </c>
      <c r="AI26" s="18" t="n">
        <f aca="false">+AI25/AI$13</f>
        <v>0.172751528627015</v>
      </c>
      <c r="AJ26" s="18" t="n">
        <f aca="false">+AJ25/AJ$13</f>
        <v>0.158291047480971</v>
      </c>
      <c r="AK26" s="18" t="n">
        <f aca="false">+AK25/AK$13</f>
        <v>0.144727954673681</v>
      </c>
      <c r="AL26" s="18" t="n">
        <f aca="false">+AL25/AL$13</f>
        <v>0.137034576792644</v>
      </c>
      <c r="AM26" s="18" t="n">
        <f aca="false">+AM25/AM$13</f>
        <v>0.119681357384227</v>
      </c>
      <c r="AN26" s="18" t="n">
        <f aca="false">+AN25/AN$13</f>
        <v>0.110077167498865</v>
      </c>
      <c r="AO26" s="18" t="n">
        <f aca="false">+AO25/AO$13</f>
        <v>0.107396833636128</v>
      </c>
      <c r="AP26" s="18" t="n">
        <f aca="false">+AP25/AP$13</f>
        <v>0.0997707264137858</v>
      </c>
      <c r="AQ26" s="18" t="n">
        <f aca="false">+AQ25/AQ$13</f>
        <v>0.0910607544973094</v>
      </c>
      <c r="AR26" s="18" t="n">
        <f aca="false">+AR25/AR$13</f>
        <v>0.0804908404376821</v>
      </c>
      <c r="AS26" s="18" t="n">
        <f aca="false">+AS25/AS$13</f>
        <v>0.09</v>
      </c>
      <c r="AT26" s="18" t="n">
        <f aca="false">+AT25/AT$13</f>
        <v>0.09</v>
      </c>
      <c r="AU26" s="18" t="n">
        <f aca="false">+AU25/AU$13</f>
        <v>0.09</v>
      </c>
      <c r="AV26" s="18" t="n">
        <f aca="false">+AV25/AV$13</f>
        <v>0.09</v>
      </c>
      <c r="AW26" s="18" t="n">
        <f aca="false">+AW25/AW$13</f>
        <v>0.09</v>
      </c>
      <c r="AX26" s="18" t="n">
        <f aca="false">+AX25/AX$13</f>
        <v>0.09</v>
      </c>
      <c r="AY26" s="18" t="n">
        <f aca="false">+AY25/AY$13</f>
        <v>0.09</v>
      </c>
      <c r="AZ26" s="18" t="n">
        <f aca="false">+AZ25/AZ$13</f>
        <v>0.09</v>
      </c>
      <c r="BA26" s="18" t="n">
        <f aca="false">+BA25/BA$13</f>
        <v>0.09</v>
      </c>
      <c r="BB26" s="18" t="n">
        <f aca="false">+BB25/BB$13</f>
        <v>0.09</v>
      </c>
    </row>
    <row r="27" customFormat="false" ht="12.8" hidden="false" customHeight="true" outlineLevel="0" collapsed="false">
      <c r="A27" s="1" t="s">
        <v>88</v>
      </c>
      <c r="D27" s="5" t="n">
        <v>1480</v>
      </c>
      <c r="E27" s="5" t="n">
        <v>1749</v>
      </c>
      <c r="F27" s="5" t="n">
        <v>1398</v>
      </c>
      <c r="H27" s="5" t="n">
        <v>1643</v>
      </c>
      <c r="I27" s="5" t="n">
        <v>2197</v>
      </c>
      <c r="J27" s="5" t="n">
        <v>1474</v>
      </c>
      <c r="K27" s="5" t="n">
        <v>1977</v>
      </c>
      <c r="L27" s="5" t="n">
        <v>1912</v>
      </c>
      <c r="M27" s="5" t="n">
        <v>2246</v>
      </c>
      <c r="N27" s="5" t="n">
        <v>1673</v>
      </c>
      <c r="O27" s="5" t="n">
        <v>1823</v>
      </c>
      <c r="P27" s="5" t="n">
        <v>1737</v>
      </c>
      <c r="Q27" s="5" t="n">
        <v>1990</v>
      </c>
      <c r="R27" s="5" t="n">
        <v>1806</v>
      </c>
      <c r="S27" s="5" t="n">
        <v>1932</v>
      </c>
      <c r="T27" s="5" t="n">
        <v>1931</v>
      </c>
      <c r="U27" s="5" t="n">
        <v>2287</v>
      </c>
      <c r="AB27" s="5" t="n">
        <v>4063</v>
      </c>
      <c r="AC27" s="5" t="n">
        <v>4222</v>
      </c>
      <c r="AD27" s="5" t="n">
        <f aca="false">+4569+6193</f>
        <v>10762</v>
      </c>
      <c r="AE27" s="5" t="n">
        <v>5149</v>
      </c>
      <c r="AF27" s="5" t="n">
        <f aca="false">+4677+127</f>
        <v>4804</v>
      </c>
      <c r="AG27" s="5" t="n">
        <f aca="false">+4611+10011</f>
        <v>14622</v>
      </c>
      <c r="AH27" s="5" t="n">
        <f aca="false">+4563+1110</f>
        <v>5673</v>
      </c>
      <c r="AI27" s="5" t="n">
        <f aca="false">+4481+306</f>
        <v>4787</v>
      </c>
      <c r="AJ27" s="5" t="n">
        <v>4754</v>
      </c>
      <c r="AK27" s="5" t="n">
        <v>4885</v>
      </c>
      <c r="AL27" s="5" t="n">
        <v>5111</v>
      </c>
      <c r="AM27" s="5" t="n">
        <v>5107</v>
      </c>
      <c r="AN27" s="5" t="n">
        <v>5900</v>
      </c>
      <c r="AO27" s="5" t="n">
        <v>7575</v>
      </c>
      <c r="AP27" s="5" t="n">
        <v>7609</v>
      </c>
      <c r="AQ27" s="5" t="n">
        <v>7223</v>
      </c>
      <c r="AR27" s="5" t="n">
        <v>7956</v>
      </c>
      <c r="AS27" s="5" t="n">
        <f aca="false">+AS13*0.024</f>
        <v>9318.03912</v>
      </c>
      <c r="AT27" s="5" t="n">
        <f aca="false">+AT13*0.024</f>
        <v>10808.9253792</v>
      </c>
      <c r="AU27" s="5" t="n">
        <f aca="false">+AU13*0.024</f>
        <v>12430.26418608</v>
      </c>
      <c r="AV27" s="5" t="n">
        <f aca="false">+AV13*0.024</f>
        <v>14170.5011721312</v>
      </c>
      <c r="AW27" s="5" t="n">
        <f aca="false">+AW13*0.024</f>
        <v>16012.6663245083</v>
      </c>
      <c r="AX27" s="5" t="n">
        <f aca="false">+AX13*0.024</f>
        <v>17934.1862834492</v>
      </c>
      <c r="AY27" s="5" t="n">
        <f aca="false">+AY13*0.024</f>
        <v>19906.9467746287</v>
      </c>
      <c r="AZ27" s="5" t="n">
        <f aca="false">+AZ13*0.024</f>
        <v>22096.7109198378</v>
      </c>
      <c r="BA27" s="5" t="n">
        <f aca="false">+BA13*0.024</f>
        <v>24527.34912102</v>
      </c>
      <c r="BB27" s="5" t="n">
        <f aca="false">+BB13*0.024</f>
        <v>27225.3575243321</v>
      </c>
    </row>
    <row r="28" s="18" customFormat="true" ht="10.5" hidden="false" customHeight="true" outlineLevel="0" collapsed="false">
      <c r="D28" s="18" t="n">
        <f aca="false">+D27/D$13</f>
        <v>0.0299837925445705</v>
      </c>
      <c r="E28" s="18" t="n">
        <f aca="false">+E27/E$13</f>
        <v>0.0337221633085896</v>
      </c>
      <c r="F28" s="18" t="n">
        <f aca="false">+F27/F$13</f>
        <v>0.0278919436574758</v>
      </c>
      <c r="G28" s="18" t="e">
        <f aca="false">+G27/G$13</f>
        <v>#DIV/0!</v>
      </c>
      <c r="H28" s="18" t="n">
        <f aca="false">+H27/H$13</f>
        <v>0.0310838677942373</v>
      </c>
      <c r="I28" s="18" t="n">
        <f aca="false">+I27/I$13</f>
        <v>0.039100179750485</v>
      </c>
      <c r="J28" s="18" t="n">
        <f aca="false">+J27/J$13</f>
        <v>0.0260806483005114</v>
      </c>
      <c r="K28" s="18" t="n">
        <f aca="false">+K27/K$13</f>
        <v>0.03187681393099</v>
      </c>
      <c r="L28" s="18" t="n">
        <f aca="false">+L27/L$13</f>
        <v>0.0309095024087426</v>
      </c>
      <c r="M28" s="18" t="n">
        <f aca="false">+M27/M$13</f>
        <v>0.0346995844083613</v>
      </c>
      <c r="N28" s="18" t="n">
        <f aca="false">+N27/N$13</f>
        <v>0.0255088816040253</v>
      </c>
      <c r="O28" s="18" t="n">
        <f aca="false">+O27/O$13</f>
        <v>0.0261804917279412</v>
      </c>
      <c r="P28" s="18" t="n">
        <f aca="false">+P27/P$13</f>
        <v>0.0247909114263694</v>
      </c>
      <c r="Q28" s="18" t="n">
        <f aca="false">+Q27/Q$13</f>
        <v>0.02603314974948</v>
      </c>
      <c r="R28" s="18" t="n">
        <f aca="false">+R27/R$13</f>
        <v>0.0232513228535012</v>
      </c>
      <c r="S28" s="18" t="n">
        <f aca="false">+S27/S$13</f>
        <v>0.0237717323096231</v>
      </c>
      <c r="T28" s="18" t="n">
        <f aca="false">+T27/T$13</f>
        <v>0.0232970586106218</v>
      </c>
      <c r="U28" s="18" t="n">
        <f aca="false">+U27/U$13</f>
        <v>0.0254091348450676</v>
      </c>
      <c r="V28" s="18" t="e">
        <f aca="false">+V27/V$13</f>
        <v>#DIV/0!</v>
      </c>
      <c r="W28" s="18" t="e">
        <f aca="false">+W27/W$13</f>
        <v>#DIV/0!</v>
      </c>
      <c r="AB28" s="18" t="n">
        <f aca="false">+AB27/AB$13</f>
        <v>0.0650246463094552</v>
      </c>
      <c r="AC28" s="18" t="n">
        <f aca="false">+AC27/AC$13</f>
        <v>0.0603634388001659</v>
      </c>
      <c r="AD28" s="18" t="n">
        <f aca="false">+AD27/AD$13</f>
        <v>0.145978866839385</v>
      </c>
      <c r="AE28" s="18" t="n">
        <f aca="false">+AE27/AE$13</f>
        <v>0.0661408624388239</v>
      </c>
      <c r="AF28" s="18" t="n">
        <f aca="false">+AF27/AF$13</f>
        <v>0.0553245885780752</v>
      </c>
      <c r="AG28" s="18" t="n">
        <f aca="false">+AG27/AG$13</f>
        <v>0.156251335755503</v>
      </c>
      <c r="AH28" s="18" t="n">
        <f aca="false">+AH27/AH$13</f>
        <v>0.0664908579465542</v>
      </c>
      <c r="AI28" s="18" t="n">
        <f aca="false">+AI27/AI$13</f>
        <v>0.0532184546970539</v>
      </c>
      <c r="AJ28" s="18" t="n">
        <f aca="false">+AJ27/AJ$13</f>
        <v>0.0430772018847408</v>
      </c>
      <c r="AK28" s="18" t="n">
        <f aca="false">+AK27/AK$13</f>
        <v>0.0388182099918152</v>
      </c>
      <c r="AL28" s="18" t="n">
        <f aca="false">+AL27/AL$13</f>
        <v>0.0357375100513932</v>
      </c>
      <c r="AM28" s="18" t="n">
        <f aca="false">+AM27/AM$13</f>
        <v>0.0303828946742183</v>
      </c>
      <c r="AN28" s="18" t="n">
        <f aca="false">+AN27/AN$13</f>
        <v>0.0297574015231755</v>
      </c>
      <c r="AO28" s="18" t="n">
        <f aca="false">+AO27/AO$13</f>
        <v>0.0357454639832008</v>
      </c>
      <c r="AP28" s="18" t="n">
        <f aca="false">+AP27/AP$13</f>
        <v>0.0310416853648387</v>
      </c>
      <c r="AQ28" s="18" t="n">
        <f aca="false">+AQ27/AQ$13</f>
        <v>0.0256385682440971</v>
      </c>
      <c r="AR28" s="18" t="n">
        <f aca="false">+AR27/AR$13</f>
        <v>0.0239754820861924</v>
      </c>
      <c r="AS28" s="18" t="n">
        <f aca="false">+AS27/AS$13</f>
        <v>0.024</v>
      </c>
      <c r="AT28" s="18" t="n">
        <f aca="false">+AT27/AT$13</f>
        <v>0.024</v>
      </c>
      <c r="AU28" s="18" t="n">
        <f aca="false">+AU27/AU$13</f>
        <v>0.024</v>
      </c>
      <c r="AV28" s="18" t="n">
        <f aca="false">+AV27/AV$13</f>
        <v>0.024</v>
      </c>
      <c r="AW28" s="18" t="n">
        <f aca="false">+AW27/AW$13</f>
        <v>0.024</v>
      </c>
      <c r="AX28" s="18" t="n">
        <f aca="false">+AX27/AX$13</f>
        <v>0.024</v>
      </c>
      <c r="AY28" s="18" t="n">
        <f aca="false">+AY27/AY$13</f>
        <v>0.024</v>
      </c>
      <c r="AZ28" s="18" t="n">
        <f aca="false">+AZ27/AZ$13</f>
        <v>0.024</v>
      </c>
      <c r="BA28" s="18" t="n">
        <f aca="false">+BA27/BA$13</f>
        <v>0.024</v>
      </c>
      <c r="BB28" s="18" t="n">
        <f aca="false">+BB27/BB$13</f>
        <v>0.024</v>
      </c>
    </row>
    <row r="29" customFormat="false" ht="12.8" hidden="false" customHeight="true" outlineLevel="0" collapsed="false">
      <c r="A29" s="1" t="s">
        <v>89</v>
      </c>
      <c r="B29" s="5" t="n">
        <f aca="false">+B27+B25+B23</f>
        <v>0</v>
      </c>
      <c r="C29" s="5" t="n">
        <f aca="false">+C27+C25+C23</f>
        <v>0</v>
      </c>
      <c r="D29" s="5" t="n">
        <f aca="false">+D27+D25+D23</f>
        <v>13381</v>
      </c>
      <c r="E29" s="5" t="n">
        <f aca="false">+E27+E25+E23</f>
        <v>14902</v>
      </c>
      <c r="F29" s="5" t="n">
        <f aca="false">+F27+F25+F23</f>
        <v>13152</v>
      </c>
      <c r="G29" s="5" t="n">
        <f aca="false">+G27+G25+G23</f>
        <v>0</v>
      </c>
      <c r="H29" s="5" t="n">
        <f aca="false">+H27+H25+H23</f>
        <v>14377</v>
      </c>
      <c r="I29" s="5" t="n">
        <f aca="false">+I27+I25+I23</f>
        <v>15140</v>
      </c>
      <c r="J29" s="5" t="n">
        <f aca="false">+J27+J25+J23</f>
        <v>13320</v>
      </c>
      <c r="K29" s="5" t="n">
        <f aca="false">+K27+K25+K23</f>
        <v>15365</v>
      </c>
      <c r="L29" s="5" t="n">
        <f aca="false">+L27+L25+L23</f>
        <v>15772</v>
      </c>
      <c r="M29" s="5" t="n">
        <f aca="false">+M27+M25+M23</f>
        <v>17118</v>
      </c>
      <c r="N29" s="5" t="n">
        <f aca="false">+N27+N25+N23</f>
        <v>14934</v>
      </c>
      <c r="O29" s="5" t="n">
        <f aca="false">+O27+O25+O23</f>
        <v>16180</v>
      </c>
      <c r="P29" s="5" t="n">
        <f aca="false">+P27+P25+P23</f>
        <v>16147</v>
      </c>
      <c r="Q29" s="5" t="n">
        <f aca="false">+Q27+Q25+Q23</f>
        <v>18104</v>
      </c>
      <c r="R29" s="5" t="n">
        <f aca="false">+R27+R25+R23</f>
        <v>15669</v>
      </c>
      <c r="S29" s="5" t="n">
        <f aca="false">+S27+S25+S23</f>
        <v>17020</v>
      </c>
      <c r="T29" s="5" t="n">
        <f aca="false">+T27+T25+T23</f>
        <v>17660</v>
      </c>
      <c r="U29" s="5" t="n">
        <f aca="false">+U27+U25+U23</f>
        <v>19879</v>
      </c>
      <c r="V29" s="5" t="n">
        <f aca="false">+V27+V25+V23</f>
        <v>0</v>
      </c>
      <c r="W29" s="5" t="n">
        <f aca="false">+W27+W25+W23</f>
        <v>0</v>
      </c>
      <c r="AB29" s="5" t="n">
        <f aca="false">+AB27+AB25+AB23</f>
        <v>25991</v>
      </c>
      <c r="AC29" s="5" t="n">
        <f aca="false">+AC27+AC25+AC23</f>
        <v>27205</v>
      </c>
      <c r="AD29" s="5" t="n">
        <f aca="false">+AD27+AD25+AD23</f>
        <v>34430</v>
      </c>
      <c r="AE29" s="5" t="n">
        <f aca="false">+AE27+AE25+AE23</f>
        <v>30836</v>
      </c>
      <c r="AF29" s="5" t="n">
        <f aca="false">+AF27+AF25+AF23</f>
        <v>31996</v>
      </c>
      <c r="AG29" s="5" t="n">
        <f aca="false">+AG27+AG25+AG23</f>
        <v>42381</v>
      </c>
      <c r="AH29" s="5" t="n">
        <f aca="false">+AH27+AH25+AH23</f>
        <v>32358</v>
      </c>
      <c r="AI29" s="5" t="n">
        <f aca="false">+AI27+AI25+AI23</f>
        <v>33363</v>
      </c>
      <c r="AJ29" s="5" t="n">
        <f aca="false">+AJ27+AJ25+AJ23</f>
        <v>36949</v>
      </c>
      <c r="AK29" s="5" t="n">
        <f aca="false">+AK27+AK25+AK23</f>
        <v>39974</v>
      </c>
      <c r="AL29" s="5" t="n">
        <f aca="false">+AL27+AL25+AL23</f>
        <v>43978</v>
      </c>
      <c r="AM29" s="5" t="n">
        <f aca="false">+AM27+AM25+AM23</f>
        <v>45940</v>
      </c>
      <c r="AN29" s="5" t="n">
        <f aca="false">+AN27+AN25+AN23</f>
        <v>52237</v>
      </c>
      <c r="AO29" s="5" t="n">
        <f aca="false">+AO27+AO25+AO23</f>
        <v>57529</v>
      </c>
      <c r="AP29" s="5" t="n">
        <f aca="false">+AP27+AP25+AP23</f>
        <v>61575</v>
      </c>
      <c r="AQ29" s="5" t="n">
        <f aca="false">+AQ27+AQ25+AQ23</f>
        <v>65365</v>
      </c>
      <c r="AR29" s="5" t="n">
        <f aca="false">+AR27+AR25+AR23</f>
        <v>70228</v>
      </c>
      <c r="AS29" s="5" t="n">
        <f aca="false">+AS27+AS25+AS23</f>
        <v>85027.10697</v>
      </c>
      <c r="AT29" s="5" t="n">
        <f aca="false">+AT27+AT25+AT23</f>
        <v>98631.4440852</v>
      </c>
      <c r="AU29" s="5" t="n">
        <f aca="false">+AU27+AU25+AU23</f>
        <v>113426.16069798</v>
      </c>
      <c r="AV29" s="5" t="n">
        <f aca="false">+AV27+AV25+AV23</f>
        <v>126353.635451503</v>
      </c>
      <c r="AW29" s="5" t="n">
        <f aca="false">+AW27+AW25+AW23</f>
        <v>142779.608060199</v>
      </c>
      <c r="AX29" s="5" t="n">
        <f aca="false">+AX27+AX25+AX23</f>
        <v>159913.161027422</v>
      </c>
      <c r="AY29" s="5" t="n">
        <f aca="false">+AY27+AY25+AY23</f>
        <v>173356.328162391</v>
      </c>
      <c r="AZ29" s="5" t="n">
        <f aca="false">+AZ27+AZ25+AZ23</f>
        <v>192425.524260254</v>
      </c>
      <c r="BA29" s="5" t="n">
        <f aca="false">+BA27+BA25+BA23</f>
        <v>213592.331928883</v>
      </c>
      <c r="BB29" s="5" t="n">
        <f aca="false">+BB27+BB25+BB23</f>
        <v>237087.488441059</v>
      </c>
    </row>
    <row r="30" s="18" customFormat="true" ht="10.5" hidden="false" customHeight="true" outlineLevel="0" collapsed="false">
      <c r="D30" s="18" t="n">
        <f aca="false">+D29/D$13</f>
        <v>0.271089951377634</v>
      </c>
      <c r="E30" s="18" t="n">
        <f aca="false">+E29/E$13</f>
        <v>0.287322857418298</v>
      </c>
      <c r="F30" s="18" t="n">
        <f aca="false">+F29/F$13</f>
        <v>0.26239974462312</v>
      </c>
      <c r="G30" s="18" t="e">
        <f aca="false">+G29/G$13</f>
        <v>#DIV/0!</v>
      </c>
      <c r="H30" s="18" t="n">
        <f aca="false">+H29/H$13</f>
        <v>0.271998032427115</v>
      </c>
      <c r="I30" s="18" t="n">
        <f aca="false">+I29/I$13</f>
        <v>0.269447756678353</v>
      </c>
      <c r="J30" s="18" t="n">
        <f aca="false">+J29/J$13</f>
        <v>0.235681299432029</v>
      </c>
      <c r="K30" s="18" t="n">
        <f aca="false">+K29/K$13</f>
        <v>0.247742663656885</v>
      </c>
      <c r="L30" s="18" t="n">
        <f aca="false">+L29/L$13</f>
        <v>0.254971062756636</v>
      </c>
      <c r="M30" s="18" t="n">
        <f aca="false">+M29/M$13</f>
        <v>0.264464597463192</v>
      </c>
      <c r="N30" s="18" t="n">
        <f aca="false">+N29/N$13</f>
        <v>0.227704505603415</v>
      </c>
      <c r="O30" s="18" t="n">
        <f aca="false">+O29/O$13</f>
        <v>0.232364430147059</v>
      </c>
      <c r="P30" s="18" t="n">
        <f aca="false">+P29/P$13</f>
        <v>0.230454143236377</v>
      </c>
      <c r="Q30" s="18" t="n">
        <f aca="false">+Q29/Q$13</f>
        <v>0.236836252796274</v>
      </c>
      <c r="R30" s="18" t="n">
        <f aca="false">+R29/R$13</f>
        <v>0.201730331003051</v>
      </c>
      <c r="S30" s="18" t="n">
        <f aca="false">+S29/S$13</f>
        <v>0.209417641775251</v>
      </c>
      <c r="T30" s="18" t="n">
        <f aca="false">+T29/T$13</f>
        <v>0.213063726081606</v>
      </c>
      <c r="U30" s="18" t="n">
        <f aca="false">+U29/U$13</f>
        <v>0.220860599731132</v>
      </c>
      <c r="V30" s="18" t="e">
        <f aca="false">+V29/V$13</f>
        <v>#DIV/0!</v>
      </c>
      <c r="W30" s="18" t="e">
        <f aca="false">+W29/W$13</f>
        <v>#DIV/0!</v>
      </c>
      <c r="AB30" s="18" t="n">
        <f aca="false">+AB29/AB$13</f>
        <v>0.415962486396518</v>
      </c>
      <c r="AC30" s="18" t="n">
        <f aca="false">+AC29/AC$13</f>
        <v>0.388959581373404</v>
      </c>
      <c r="AD30" s="18" t="n">
        <f aca="false">+AD29/AD$13</f>
        <v>0.467018433867314</v>
      </c>
      <c r="AE30" s="18" t="n">
        <f aca="false">+AE29/AE$13</f>
        <v>0.39610014258372</v>
      </c>
      <c r="AF30" s="18" t="n">
        <f aca="false">+AF29/AF$13</f>
        <v>0.368477422178204</v>
      </c>
      <c r="AG30" s="18" t="n">
        <f aca="false">+AG29/AG$13</f>
        <v>0.452885231887155</v>
      </c>
      <c r="AH30" s="18" t="n">
        <f aca="false">+AH29/AH$13</f>
        <v>0.379254571026723</v>
      </c>
      <c r="AI30" s="18" t="n">
        <f aca="false">+AI29/AI$13</f>
        <v>0.370906058921623</v>
      </c>
      <c r="AJ30" s="18" t="n">
        <f aca="false">+AJ29/AJ$13</f>
        <v>0.334804276911925</v>
      </c>
      <c r="AK30" s="18" t="n">
        <f aca="false">+AK29/AK$13</f>
        <v>0.317649769951447</v>
      </c>
      <c r="AL30" s="18" t="n">
        <f aca="false">+AL29/AL$13</f>
        <v>0.307506205642765</v>
      </c>
      <c r="AM30" s="18" t="n">
        <f aca="false">+AM29/AM$13</f>
        <v>0.273309218980534</v>
      </c>
      <c r="AN30" s="18" t="n">
        <f aca="false">+AN29/AN$13</f>
        <v>0.263463963282393</v>
      </c>
      <c r="AO30" s="18" t="n">
        <f aca="false">+AO29/AO$13</f>
        <v>0.271472052473869</v>
      </c>
      <c r="AP30" s="18" t="n">
        <f aca="false">+AP29/AP$13</f>
        <v>0.251201442546977</v>
      </c>
      <c r="AQ30" s="18" t="n">
        <f aca="false">+AQ29/AQ$13</f>
        <v>0.232017861453053</v>
      </c>
      <c r="AR30" s="18" t="n">
        <f aca="false">+AR29/AR$13</f>
        <v>0.211632749616531</v>
      </c>
      <c r="AS30" s="18" t="n">
        <f aca="false">+AS29/AS$13</f>
        <v>0.219</v>
      </c>
      <c r="AT30" s="18" t="n">
        <f aca="false">+AT29/AT$13</f>
        <v>0.219</v>
      </c>
      <c r="AU30" s="18" t="n">
        <f aca="false">+AU29/AU$13</f>
        <v>0.219</v>
      </c>
      <c r="AV30" s="18" t="n">
        <f aca="false">+AV29/AV$13</f>
        <v>0.214</v>
      </c>
      <c r="AW30" s="18" t="n">
        <f aca="false">+AW29/AW$13</f>
        <v>0.214</v>
      </c>
      <c r="AX30" s="18" t="n">
        <f aca="false">+AX29/AX$13</f>
        <v>0.214</v>
      </c>
      <c r="AY30" s="18" t="n">
        <f aca="false">+AY29/AY$13</f>
        <v>0.209</v>
      </c>
      <c r="AZ30" s="18" t="n">
        <f aca="false">+AZ29/AZ$13</f>
        <v>0.209</v>
      </c>
      <c r="BA30" s="18" t="n">
        <f aca="false">+BA29/BA$13</f>
        <v>0.209</v>
      </c>
      <c r="BB30" s="18" t="n">
        <f aca="false">+BB29/BB$13</f>
        <v>0.209</v>
      </c>
    </row>
    <row r="31" customFormat="false" ht="12.8" hidden="false" customHeight="true" outlineLevel="0" collapsed="false">
      <c r="A31" s="1" t="s">
        <v>90</v>
      </c>
      <c r="B31" s="5" t="n">
        <f aca="false">+B21-B29</f>
        <v>0</v>
      </c>
      <c r="C31" s="5" t="n">
        <f aca="false">+C21-C29</f>
        <v>0</v>
      </c>
      <c r="D31" s="5" t="n">
        <f aca="false">+D21-D29</f>
        <v>20364</v>
      </c>
      <c r="E31" s="5" t="n">
        <f aca="false">+E21-E29</f>
        <v>20534</v>
      </c>
      <c r="F31" s="5" t="n">
        <f aca="false">+F21-F29</f>
        <v>21518</v>
      </c>
      <c r="G31" s="5" t="n">
        <f aca="false">+G21-G29</f>
        <v>0</v>
      </c>
      <c r="H31" s="5" t="n">
        <f aca="false">+H21-H29</f>
        <v>22352</v>
      </c>
      <c r="I31" s="5" t="n">
        <f aca="false">+I21-I29</f>
        <v>24254</v>
      </c>
      <c r="J31" s="5" t="n">
        <f aca="false">+J21-J29</f>
        <v>26895</v>
      </c>
      <c r="K31" s="5" t="n">
        <f aca="false">+K21-K29</f>
        <v>27032</v>
      </c>
      <c r="L31" s="5" t="n">
        <f aca="false">+L21-L29</f>
        <v>27581</v>
      </c>
      <c r="M31" s="5" t="n">
        <f aca="false">+M21-M29</f>
        <v>27925</v>
      </c>
      <c r="N31" s="5" t="n">
        <f aca="false">+N21-N29</f>
        <v>30552</v>
      </c>
      <c r="O31" s="5" t="n">
        <f aca="false">+O21-O29</f>
        <v>31653</v>
      </c>
      <c r="P31" s="5" t="n">
        <f aca="false">+P21-P29</f>
        <v>32000</v>
      </c>
      <c r="Q31" s="5" t="n">
        <f aca="false">+Q21-Q29</f>
        <v>34323</v>
      </c>
      <c r="R31" s="5" t="n">
        <f aca="false">+R21-R29</f>
        <v>37961</v>
      </c>
      <c r="S31" s="5" t="n">
        <f aca="false">+S21-S29</f>
        <v>38275</v>
      </c>
      <c r="T31" s="5" t="n">
        <f aca="false">+T21-T29</f>
        <v>38398</v>
      </c>
      <c r="U31" s="5" t="n">
        <f aca="false">+U21-U29</f>
        <v>40603</v>
      </c>
      <c r="V31" s="5" t="n">
        <f aca="false">+V21-V29</f>
        <v>0</v>
      </c>
      <c r="W31" s="5" t="n">
        <f aca="false">+W21-W29</f>
        <v>0</v>
      </c>
      <c r="AB31" s="5" t="n">
        <f aca="false">+AB21-AB29</f>
        <v>24098</v>
      </c>
      <c r="AC31" s="5" t="n">
        <f aca="false">+AC21-AC29</f>
        <v>27161</v>
      </c>
      <c r="AD31" s="5" t="n">
        <f aca="false">+AD21-AD29</f>
        <v>21763</v>
      </c>
      <c r="AE31" s="5" t="n">
        <f aca="false">+AE21-AE29</f>
        <v>26764</v>
      </c>
      <c r="AF31" s="5" t="n">
        <f aca="false">+AF21-AF29</f>
        <v>27759</v>
      </c>
      <c r="AG31" s="5" t="n">
        <f aca="false">+AG21-AG29</f>
        <v>18161</v>
      </c>
      <c r="AH31" s="5" t="n">
        <f aca="false">+AH21-AH29</f>
        <v>20182</v>
      </c>
      <c r="AI31" s="5" t="n">
        <f aca="false">+AI21-AI29</f>
        <v>22326</v>
      </c>
      <c r="AJ31" s="5" t="n">
        <f aca="false">+AJ21-AJ29</f>
        <v>35058</v>
      </c>
      <c r="AK31" s="5" t="n">
        <f aca="false">+AK21-AK29</f>
        <v>42959</v>
      </c>
      <c r="AL31" s="5" t="n">
        <f aca="false">+AL21-AL29</f>
        <v>52959</v>
      </c>
      <c r="AM31" s="5" t="n">
        <f aca="false">+AM21-AM29</f>
        <v>69916</v>
      </c>
      <c r="AN31" s="5" t="n">
        <f aca="false">+AN21-AN29</f>
        <v>83383</v>
      </c>
      <c r="AO31" s="5" t="n">
        <f aca="false">+AO21-AO29</f>
        <v>88523</v>
      </c>
      <c r="AP31" s="5" t="n">
        <f aca="false">+AP21-AP29</f>
        <v>109433</v>
      </c>
      <c r="AQ31" s="5" t="n">
        <f aca="false">+AQ21-AQ29</f>
        <v>128528</v>
      </c>
      <c r="AR31" s="5" t="n">
        <f aca="false">+AR21-AR29</f>
        <v>155237</v>
      </c>
      <c r="AS31" s="5" t="n">
        <f aca="false">+AS21-AS29</f>
        <v>180925.25958</v>
      </c>
      <c r="AT31" s="5" t="n">
        <f aca="false">+AT21-AT29</f>
        <v>214377.0200208</v>
      </c>
      <c r="AU31" s="5" t="n">
        <f aca="false">+AU21-AU29</f>
        <v>251712.84976812</v>
      </c>
      <c r="AV31" s="5" t="n">
        <f aca="false">+AV21-AV29</f>
        <v>292857.024224045</v>
      </c>
      <c r="AW31" s="5" t="n">
        <f aca="false">+AW21-AW29</f>
        <v>334264.409524109</v>
      </c>
      <c r="AX31" s="5" t="n">
        <f aca="false">+AX21-AX29</f>
        <v>378112.427476055</v>
      </c>
      <c r="AY31" s="5" t="n">
        <f aca="false">+AY21-AY29</f>
        <v>427999.355654517</v>
      </c>
      <c r="AZ31" s="5" t="n">
        <f aca="false">+AZ21-AZ29</f>
        <v>479682.766218146</v>
      </c>
      <c r="BA31" s="5" t="n">
        <f aca="false">+BA21-BA29</f>
        <v>537557.734902355</v>
      </c>
      <c r="BB31" s="5" t="n">
        <f aca="false">+BB21-BB29</f>
        <v>602361.03522585</v>
      </c>
    </row>
    <row r="32" s="18" customFormat="true" ht="10.5" hidden="false" customHeight="true" outlineLevel="0" collapsed="false">
      <c r="D32" s="18" t="n">
        <f aca="false">+D31/D$13</f>
        <v>0.412560777957861</v>
      </c>
      <c r="E32" s="18" t="n">
        <f aca="false">+E31/E$13</f>
        <v>0.395912465053504</v>
      </c>
      <c r="F32" s="18" t="n">
        <f aca="false">+F31/F$13</f>
        <v>0.429312477554766</v>
      </c>
      <c r="G32" s="18" t="e">
        <f aca="false">+G31/G$13</f>
        <v>#DIV/0!</v>
      </c>
      <c r="H32" s="18" t="n">
        <f aca="false">+H31/H$13</f>
        <v>0.422876818585996</v>
      </c>
      <c r="I32" s="18" t="n">
        <f aca="false">+I31/I$13</f>
        <v>0.431650323016961</v>
      </c>
      <c r="J32" s="18" t="n">
        <f aca="false">+J31/J$13</f>
        <v>0.475874515632465</v>
      </c>
      <c r="K32" s="18" t="n">
        <f aca="false">+K31/K$13</f>
        <v>0.435859400193486</v>
      </c>
      <c r="L32" s="18" t="n">
        <f aca="false">+L31/L$13</f>
        <v>0.44587603866921</v>
      </c>
      <c r="M32" s="18" t="n">
        <f aca="false">+M31/M$13</f>
        <v>0.431427379609746</v>
      </c>
      <c r="N32" s="18" t="n">
        <f aca="false">+N31/N$13</f>
        <v>0.465838225203934</v>
      </c>
      <c r="O32" s="18" t="n">
        <f aca="false">+O31/O$13</f>
        <v>0.454575482536765</v>
      </c>
      <c r="P32" s="18" t="n">
        <f aca="false">+P31/P$13</f>
        <v>0.456712242742557</v>
      </c>
      <c r="Q32" s="18" t="n">
        <f aca="false">+Q31/Q$13</f>
        <v>0.449012964246936</v>
      </c>
      <c r="R32" s="18" t="n">
        <f aca="false">+R31/R$13</f>
        <v>0.48872838695557</v>
      </c>
      <c r="S32" s="18" t="n">
        <f aca="false">+S31/S$13</f>
        <v>0.470943609808916</v>
      </c>
      <c r="T32" s="18" t="n">
        <f aca="false">+T31/T$13</f>
        <v>0.463262794681852</v>
      </c>
      <c r="U32" s="18" t="n">
        <f aca="false">+U31/U$13</f>
        <v>0.451109358161032</v>
      </c>
      <c r="V32" s="18" t="e">
        <f aca="false">+V31/V$13</f>
        <v>#DIV/0!</v>
      </c>
      <c r="W32" s="18" t="e">
        <f aca="false">+W31/W$13</f>
        <v>#DIV/0!</v>
      </c>
      <c r="AB32" s="18" t="n">
        <f aca="false">+AB31/AB$13</f>
        <v>0.385666730683055</v>
      </c>
      <c r="AC32" s="18" t="n">
        <f aca="false">+AC31/AC$13</f>
        <v>0.388330497690977</v>
      </c>
      <c r="AD32" s="18" t="n">
        <f aca="false">+AD31/AD$13</f>
        <v>0.295199598497077</v>
      </c>
      <c r="AE32" s="18" t="n">
        <f aca="false">+AE31/AE$13</f>
        <v>0.343793754576167</v>
      </c>
      <c r="AF32" s="18" t="n">
        <f aca="false">+AF31/AF$13</f>
        <v>0.319682609146292</v>
      </c>
      <c r="AG32" s="18" t="n">
        <f aca="false">+AG31/AG$13</f>
        <v>0.194069245565292</v>
      </c>
      <c r="AH32" s="18" t="n">
        <f aca="false">+AH31/AH$13</f>
        <v>0.236544772620722</v>
      </c>
      <c r="AI32" s="18" t="n">
        <f aca="false">+AI31/AI$13</f>
        <v>0.248204558087827</v>
      </c>
      <c r="AJ32" s="18" t="n">
        <f aca="false">+AJ31/AJ$13</f>
        <v>0.317669445451251</v>
      </c>
      <c r="AK32" s="18" t="n">
        <f aca="false">+AK31/AK$13</f>
        <v>0.341369802054942</v>
      </c>
      <c r="AL32" s="18" t="n">
        <f aca="false">+AL31/AL$13</f>
        <v>0.370303814285215</v>
      </c>
      <c r="AM32" s="18" t="n">
        <f aca="false">+AM31/AM$13</f>
        <v>0.415948788729713</v>
      </c>
      <c r="AN32" s="18" t="n">
        <f aca="false">+AN31/AN$13</f>
        <v>0.420552781560498</v>
      </c>
      <c r="AO32" s="18" t="n">
        <f aca="false">+AO31/AO$13</f>
        <v>0.417728806361041</v>
      </c>
      <c r="AP32" s="18" t="n">
        <f aca="false">+AP31/AP$13</f>
        <v>0.446442995732737</v>
      </c>
      <c r="AQ32" s="18" t="n">
        <f aca="false">+AQ31/AQ$13</f>
        <v>0.456219562408599</v>
      </c>
      <c r="AR32" s="18" t="n">
        <f aca="false">+AR31/AR$13</f>
        <v>0.467808184089272</v>
      </c>
      <c r="AS32" s="18" t="n">
        <f aca="false">+AS31/AS$13</f>
        <v>0.466</v>
      </c>
      <c r="AT32" s="18" t="n">
        <f aca="false">+AT31/AT$13</f>
        <v>0.476</v>
      </c>
      <c r="AU32" s="18" t="n">
        <f aca="false">+AU31/AU$13</f>
        <v>0.486</v>
      </c>
      <c r="AV32" s="18" t="n">
        <f aca="false">+AV31/AV$13</f>
        <v>0.496</v>
      </c>
      <c r="AW32" s="18" t="n">
        <f aca="false">+AW31/AW$13</f>
        <v>0.500999999999999</v>
      </c>
      <c r="AX32" s="18" t="n">
        <f aca="false">+AX31/AX$13</f>
        <v>0.506</v>
      </c>
      <c r="AY32" s="18" t="n">
        <f aca="false">+AY31/AY$13</f>
        <v>0.516</v>
      </c>
      <c r="AZ32" s="18" t="n">
        <f aca="false">+AZ31/AZ$13</f>
        <v>0.521</v>
      </c>
      <c r="BA32" s="18" t="n">
        <f aca="false">+BA31/BA$13</f>
        <v>0.526</v>
      </c>
      <c r="BB32" s="18" t="n">
        <f aca="false">+BB31/BB$13</f>
        <v>0.531000000000003</v>
      </c>
    </row>
    <row r="33" customFormat="false" ht="12.8" hidden="false" customHeight="true" outlineLevel="0" collapsed="false">
      <c r="A33" s="1" t="s">
        <v>91</v>
      </c>
      <c r="D33" s="5" t="n">
        <v>-174</v>
      </c>
      <c r="E33" s="5" t="n">
        <v>-47</v>
      </c>
      <c r="F33" s="5" t="n">
        <v>54</v>
      </c>
      <c r="H33" s="5" t="n">
        <v>321</v>
      </c>
      <c r="I33" s="5" t="n">
        <v>473</v>
      </c>
      <c r="J33" s="5" t="n">
        <v>389</v>
      </c>
      <c r="K33" s="5" t="n">
        <v>-506</v>
      </c>
      <c r="L33" s="5" t="n">
        <v>-854</v>
      </c>
      <c r="M33" s="5" t="n">
        <v>-675</v>
      </c>
      <c r="N33" s="5" t="n">
        <v>-283</v>
      </c>
      <c r="O33" s="5" t="n">
        <v>-2288</v>
      </c>
      <c r="P33" s="5" t="n">
        <v>-623</v>
      </c>
      <c r="Q33" s="5" t="n">
        <v>-1707</v>
      </c>
      <c r="R33" s="5" t="n">
        <v>-3660</v>
      </c>
      <c r="S33" s="5" t="n">
        <v>9971</v>
      </c>
      <c r="T33" s="5" t="n">
        <v>942</v>
      </c>
      <c r="U33" s="5" t="n">
        <v>3444</v>
      </c>
      <c r="AB33" s="5" t="n">
        <v>915</v>
      </c>
      <c r="AC33" s="5" t="n">
        <v>910</v>
      </c>
      <c r="AD33" s="5" t="n">
        <v>504</v>
      </c>
      <c r="AE33" s="5" t="n">
        <v>288</v>
      </c>
      <c r="AF33" s="5" t="n">
        <v>61</v>
      </c>
      <c r="AG33" s="5" t="n">
        <v>346</v>
      </c>
      <c r="AH33" s="5" t="n">
        <v>-431</v>
      </c>
      <c r="AI33" s="5" t="n">
        <v>823</v>
      </c>
      <c r="AJ33" s="5" t="n">
        <v>1416</v>
      </c>
      <c r="AK33" s="5" t="n">
        <v>729</v>
      </c>
      <c r="AL33" s="5" t="n">
        <v>77</v>
      </c>
      <c r="AM33" s="5" t="n">
        <v>1186</v>
      </c>
      <c r="AN33" s="5" t="n">
        <v>333</v>
      </c>
      <c r="AO33" s="5" t="n">
        <v>788</v>
      </c>
      <c r="AP33" s="5" t="n">
        <v>-1646</v>
      </c>
      <c r="AQ33" s="5" t="n">
        <v>-4901</v>
      </c>
      <c r="AR33" s="5" t="n">
        <v>10697</v>
      </c>
      <c r="AS33" s="5" t="n">
        <f aca="false">+AR66*$BE$48</f>
        <v>1851.63</v>
      </c>
      <c r="AT33" s="5" t="n">
        <f aca="false">+AS66*$BE$48</f>
        <v>3313.84511664</v>
      </c>
      <c r="AU33" s="5" t="n">
        <f aca="false">+AT66*$BE$48</f>
        <v>5055.37203773952</v>
      </c>
      <c r="AV33" s="5" t="n">
        <f aca="false">+AU66*$BE$48</f>
        <v>7058.16416782522</v>
      </c>
      <c r="AW33" s="5" t="n">
        <f aca="false">+AV66*$BE$48</f>
        <v>9397.50263728181</v>
      </c>
      <c r="AX33" s="5" t="n">
        <f aca="false">+AW66*$BE$48</f>
        <v>12078.0655521407</v>
      </c>
      <c r="AY33" s="5" t="n">
        <f aca="false">+AX66*$BE$48</f>
        <v>14809.399003338</v>
      </c>
      <c r="AZ33" s="5" t="n">
        <f aca="false">+AY66*$BE$48</f>
        <v>17909.060285943</v>
      </c>
      <c r="BA33" s="5" t="n">
        <f aca="false">+AZ66*$BE$48</f>
        <v>21392.2030714716</v>
      </c>
      <c r="BB33" s="5" t="n">
        <f aca="false">+BA66*$BE$48</f>
        <v>25304.8526372884</v>
      </c>
    </row>
    <row r="34" s="18" customFormat="true" ht="10.5" hidden="false" customHeight="true" outlineLevel="0" collapsed="false">
      <c r="D34" s="18" t="n">
        <f aca="false">+D33/D$13</f>
        <v>-0.00352512155591572</v>
      </c>
      <c r="E34" s="18" t="n">
        <f aca="false">+E33/E$13</f>
        <v>-0.000906198785308011</v>
      </c>
      <c r="F34" s="18" t="n">
        <f aca="false">+F33/F$13</f>
        <v>0.00107737121423726</v>
      </c>
      <c r="G34" s="18" t="e">
        <f aca="false">+G33/G$13</f>
        <v>#DIV/0!</v>
      </c>
      <c r="H34" s="18" t="n">
        <f aca="false">+H33/H$13</f>
        <v>0.0060729893864578</v>
      </c>
      <c r="I34" s="18" t="n">
        <f aca="false">+I33/I$13</f>
        <v>0.00841801776148356</v>
      </c>
      <c r="J34" s="18" t="n">
        <f aca="false">+J33/J$13</f>
        <v>0.00688288479572518</v>
      </c>
      <c r="K34" s="18" t="n">
        <f aca="false">+K33/K$13</f>
        <v>-0.00815865849725895</v>
      </c>
      <c r="L34" s="18" t="n">
        <f aca="false">+L33/L$13</f>
        <v>-0.0138058133143652</v>
      </c>
      <c r="M34" s="18" t="n">
        <f aca="false">+M33/M$13</f>
        <v>-0.0104284147264665</v>
      </c>
      <c r="N34" s="18" t="n">
        <f aca="false">+N33/N$13</f>
        <v>-0.00431501105435694</v>
      </c>
      <c r="O34" s="18" t="n">
        <f aca="false">+O33/O$13</f>
        <v>-0.0328584558823529</v>
      </c>
      <c r="P34" s="18" t="n">
        <f aca="false">+P33/P$13</f>
        <v>-0.00889161647589416</v>
      </c>
      <c r="Q34" s="18" t="n">
        <f aca="false">+Q33/Q$13</f>
        <v>-0.0223309480514384</v>
      </c>
      <c r="R34" s="18" t="n">
        <f aca="false">+R33/R$13</f>
        <v>-0.047120621065235</v>
      </c>
      <c r="S34" s="18" t="n">
        <f aca="false">+S33/S$13</f>
        <v>0.122685270631083</v>
      </c>
      <c r="T34" s="18" t="n">
        <f aca="false">+T33/T$13</f>
        <v>0.0113650073595058</v>
      </c>
      <c r="U34" s="18" t="n">
        <f aca="false">+U33/U$13</f>
        <v>0.0382636906018421</v>
      </c>
      <c r="V34" s="18" t="e">
        <f aca="false">+V33/V$13</f>
        <v>#DIV/0!</v>
      </c>
      <c r="W34" s="18" t="e">
        <f aca="false">+W33/W$13</f>
        <v>#DIV/0!</v>
      </c>
      <c r="AB34" s="18" t="n">
        <f aca="false">+AB33/AB$13</f>
        <v>0.0146437487996927</v>
      </c>
      <c r="AC34" s="18" t="n">
        <f aca="false">+AC33/AC$13</f>
        <v>0.0130105943411063</v>
      </c>
      <c r="AD34" s="18" t="n">
        <f aca="false">+AD33/AD$13</f>
        <v>0.00683640112312304</v>
      </c>
      <c r="AE34" s="18" t="n">
        <f aca="false">+AE33/AE$13</f>
        <v>0.00369946948579943</v>
      </c>
      <c r="AF34" s="18" t="n">
        <f aca="false">+AF33/AF$13</f>
        <v>0.000702497898264485</v>
      </c>
      <c r="AG34" s="18" t="n">
        <f aca="false">+AG33/AG$13</f>
        <v>0.00369737123316948</v>
      </c>
      <c r="AH34" s="18" t="n">
        <f aca="false">+AH33/AH$13</f>
        <v>-0.00505157055789967</v>
      </c>
      <c r="AI34" s="18" t="n">
        <f aca="false">+AI33/AI$13</f>
        <v>0.00914952751528627</v>
      </c>
      <c r="AJ34" s="18" t="n">
        <f aca="false">+AJ33/AJ$13</f>
        <v>0.0128307357738311</v>
      </c>
      <c r="AK34" s="18" t="n">
        <f aca="false">+AK33/AK$13</f>
        <v>0.00579293246346638</v>
      </c>
      <c r="AL34" s="18" t="n">
        <f aca="false">+AL33/AL$13</f>
        <v>0.000538405062406041</v>
      </c>
      <c r="AM34" s="18" t="n">
        <f aca="false">+AM33/AM$13</f>
        <v>0.0070558278996716</v>
      </c>
      <c r="AN34" s="18" t="n">
        <f aca="false">+AN33/AN$13</f>
        <v>0.00167952791647753</v>
      </c>
      <c r="AO34" s="18" t="n">
        <f aca="false">+AO33/AO$13</f>
        <v>0.0037184720288795</v>
      </c>
      <c r="AP34" s="18" t="n">
        <f aca="false">+AP33/AP$13</f>
        <v>-0.0067150235392988</v>
      </c>
      <c r="AQ34" s="18" t="n">
        <f aca="false">+AQ33/AQ$13</f>
        <v>-0.0173964589456347</v>
      </c>
      <c r="AR34" s="18" t="n">
        <f aca="false">+AR33/AR$13</f>
        <v>0.0322355117993967</v>
      </c>
      <c r="AS34" s="18" t="n">
        <f aca="false">+AS33/AS$13</f>
        <v>0.00476914932720308</v>
      </c>
      <c r="AT34" s="18" t="n">
        <f aca="false">+AT33/AT$13</f>
        <v>0.00735801941536268</v>
      </c>
      <c r="AU34" s="18" t="n">
        <f aca="false">+AU33/AU$13</f>
        <v>0.00976076832233529</v>
      </c>
      <c r="AV34" s="18" t="n">
        <f aca="false">+AV33/AV$13</f>
        <v>0.0119541248379382</v>
      </c>
      <c r="AW34" s="18" t="n">
        <f aca="false">+AW33/AW$13</f>
        <v>0.0140851035501541</v>
      </c>
      <c r="AX34" s="18" t="n">
        <f aca="false">+AX33/AX$13</f>
        <v>0.0161631851409333</v>
      </c>
      <c r="AY34" s="18" t="n">
        <f aca="false">+AY33/AY$13</f>
        <v>0.0178543490422701</v>
      </c>
      <c r="AZ34" s="18" t="n">
        <f aca="false">+AZ33/AZ$13</f>
        <v>0.0194516481851946</v>
      </c>
      <c r="BA34" s="18" t="n">
        <f aca="false">+BA33/BA$13</f>
        <v>0.0209322610112531</v>
      </c>
      <c r="BB34" s="18" t="n">
        <f aca="false">+BB33/BB$13</f>
        <v>0.0223070151696684</v>
      </c>
    </row>
    <row r="35" customFormat="false" ht="12.8" hidden="false" customHeight="true" outlineLevel="0" collapsed="false">
      <c r="A35" s="1" t="s">
        <v>92</v>
      </c>
      <c r="B35" s="5" t="n">
        <f aca="false">+B31+B33</f>
        <v>0</v>
      </c>
      <c r="C35" s="5" t="n">
        <f aca="false">+C31+C33</f>
        <v>0</v>
      </c>
      <c r="D35" s="5" t="n">
        <f aca="false">+D31+D33</f>
        <v>20190</v>
      </c>
      <c r="E35" s="5" t="n">
        <f aca="false">+E31+E33</f>
        <v>20487</v>
      </c>
      <c r="F35" s="5" t="n">
        <f aca="false">+F31+F33</f>
        <v>21572</v>
      </c>
      <c r="G35" s="5" t="n">
        <f aca="false">+G31+G33</f>
        <v>0</v>
      </c>
      <c r="H35" s="5" t="n">
        <f aca="false">+H31+H33</f>
        <v>22673</v>
      </c>
      <c r="I35" s="5" t="n">
        <f aca="false">+I31+I33</f>
        <v>24727</v>
      </c>
      <c r="J35" s="5" t="n">
        <f aca="false">+J31+J33</f>
        <v>27284</v>
      </c>
      <c r="K35" s="5" t="n">
        <f aca="false">+K31+K33</f>
        <v>26526</v>
      </c>
      <c r="L35" s="5" t="n">
        <f aca="false">+L31+L33</f>
        <v>26727</v>
      </c>
      <c r="M35" s="5" t="n">
        <f aca="false">+M31+M33</f>
        <v>27250</v>
      </c>
      <c r="N35" s="5" t="n">
        <f aca="false">+N31+N33</f>
        <v>30269</v>
      </c>
      <c r="O35" s="5" t="n">
        <f aca="false">+O31+O33</f>
        <v>29365</v>
      </c>
      <c r="P35" s="5" t="n">
        <f aca="false">+P31+P33</f>
        <v>31377</v>
      </c>
      <c r="Q35" s="5" t="n">
        <f aca="false">+Q31+Q33</f>
        <v>32616</v>
      </c>
      <c r="R35" s="5" t="n">
        <f aca="false">+R31+R33</f>
        <v>34301</v>
      </c>
      <c r="S35" s="5" t="n">
        <f aca="false">+S31+S33</f>
        <v>48246</v>
      </c>
      <c r="T35" s="5" t="n">
        <f aca="false">+T31+T33</f>
        <v>39340</v>
      </c>
      <c r="U35" s="5" t="n">
        <f aca="false">+U31+U33</f>
        <v>44047</v>
      </c>
      <c r="V35" s="5" t="n">
        <f aca="false">+V31+V33</f>
        <v>0</v>
      </c>
      <c r="W35" s="5" t="n">
        <f aca="false">+W31+W33</f>
        <v>0</v>
      </c>
      <c r="AB35" s="5" t="n">
        <f aca="false">+AB31+AB33</f>
        <v>25013</v>
      </c>
      <c r="AC35" s="5" t="n">
        <f aca="false">+AC31+AC33</f>
        <v>28071</v>
      </c>
      <c r="AD35" s="5" t="n">
        <f aca="false">+AD31+AD33</f>
        <v>22267</v>
      </c>
      <c r="AE35" s="5" t="n">
        <f aca="false">+AE31+AE33</f>
        <v>27052</v>
      </c>
      <c r="AF35" s="5" t="n">
        <f aca="false">+AF31+AF33</f>
        <v>27820</v>
      </c>
      <c r="AG35" s="5" t="n">
        <f aca="false">+AG31+AG33</f>
        <v>18507</v>
      </c>
      <c r="AH35" s="5" t="n">
        <f aca="false">+AH31+AH33</f>
        <v>19751</v>
      </c>
      <c r="AI35" s="5" t="n">
        <f aca="false">+AI31+AI33</f>
        <v>23149</v>
      </c>
      <c r="AJ35" s="5" t="n">
        <f aca="false">+AJ31+AJ33</f>
        <v>36474</v>
      </c>
      <c r="AK35" s="5" t="n">
        <f aca="false">+AK31+AK33</f>
        <v>43688</v>
      </c>
      <c r="AL35" s="5" t="n">
        <f aca="false">+AL31+AL33</f>
        <v>53036</v>
      </c>
      <c r="AM35" s="5" t="n">
        <f aca="false">+AM31+AM33</f>
        <v>71102</v>
      </c>
      <c r="AN35" s="5" t="n">
        <f aca="false">+AN31+AN33</f>
        <v>83716</v>
      </c>
      <c r="AO35" s="5" t="n">
        <f aca="false">+AO31+AO33</f>
        <v>89311</v>
      </c>
      <c r="AP35" s="5" t="n">
        <f aca="false">+AP31+AP33</f>
        <v>107787</v>
      </c>
      <c r="AQ35" s="5" t="n">
        <f aca="false">+AQ31+AQ33</f>
        <v>123627</v>
      </c>
      <c r="AR35" s="5" t="n">
        <f aca="false">+AR31+AR33</f>
        <v>165934</v>
      </c>
      <c r="AS35" s="5" t="n">
        <f aca="false">+AS31+AS33</f>
        <v>182776.88958</v>
      </c>
      <c r="AT35" s="5" t="n">
        <f aca="false">+AT31+AT33</f>
        <v>217690.86513744</v>
      </c>
      <c r="AU35" s="5" t="n">
        <f aca="false">+AU31+AU33</f>
        <v>256768.22180586</v>
      </c>
      <c r="AV35" s="5" t="n">
        <f aca="false">+AV31+AV33</f>
        <v>299915.18839187</v>
      </c>
      <c r="AW35" s="5" t="n">
        <f aca="false">+AW31+AW33</f>
        <v>343661.912161391</v>
      </c>
      <c r="AX35" s="5" t="n">
        <f aca="false">+AX31+AX33</f>
        <v>390190.493028195</v>
      </c>
      <c r="AY35" s="5" t="n">
        <f aca="false">+AY31+AY33</f>
        <v>442808.754657855</v>
      </c>
      <c r="AZ35" s="5" t="n">
        <f aca="false">+AZ31+AZ33</f>
        <v>497591.826504089</v>
      </c>
      <c r="BA35" s="5" t="n">
        <f aca="false">+BA31+BA33</f>
        <v>558949.937973826</v>
      </c>
      <c r="BB35" s="5" t="n">
        <f aca="false">+BB31+BB33</f>
        <v>627665.887863139</v>
      </c>
    </row>
    <row r="36" s="18" customFormat="true" ht="10.5" hidden="false" customHeight="true" outlineLevel="0" collapsed="false">
      <c r="D36" s="18" t="n">
        <f aca="false">+D35/D$13</f>
        <v>0.409035656401945</v>
      </c>
      <c r="E36" s="18" t="n">
        <f aca="false">+E35/E$13</f>
        <v>0.395006266268196</v>
      </c>
      <c r="F36" s="18" t="n">
        <f aca="false">+F35/F$13</f>
        <v>0.430389848769004</v>
      </c>
      <c r="G36" s="18" t="e">
        <f aca="false">+G35/G$13</f>
        <v>#DIV/0!</v>
      </c>
      <c r="H36" s="18" t="n">
        <f aca="false">+H35/H$13</f>
        <v>0.428949807972454</v>
      </c>
      <c r="I36" s="18" t="n">
        <f aca="false">+I35/I$13</f>
        <v>0.440068340778444</v>
      </c>
      <c r="J36" s="18" t="n">
        <f aca="false">+J35/J$13</f>
        <v>0.48275740042819</v>
      </c>
      <c r="K36" s="18" t="n">
        <f aca="false">+K35/K$13</f>
        <v>0.427700741696227</v>
      </c>
      <c r="L36" s="18" t="n">
        <f aca="false">+L35/L$13</f>
        <v>0.432070225354845</v>
      </c>
      <c r="M36" s="18" t="n">
        <f aca="false">+M35/M$13</f>
        <v>0.420998964883279</v>
      </c>
      <c r="N36" s="18" t="n">
        <f aca="false">+N35/N$13</f>
        <v>0.461523214149577</v>
      </c>
      <c r="O36" s="18" t="n">
        <f aca="false">+O35/O$13</f>
        <v>0.421717026654412</v>
      </c>
      <c r="P36" s="18" t="n">
        <f aca="false">+P35/P$13</f>
        <v>0.447820626266663</v>
      </c>
      <c r="Q36" s="18" t="n">
        <f aca="false">+Q35/Q$13</f>
        <v>0.426682016195497</v>
      </c>
      <c r="R36" s="18" t="n">
        <f aca="false">+R35/R$13</f>
        <v>0.441607765890335</v>
      </c>
      <c r="S36" s="18" t="n">
        <f aca="false">+S35/S$13</f>
        <v>0.593628880439999</v>
      </c>
      <c r="T36" s="18" t="n">
        <f aca="false">+T35/T$13</f>
        <v>0.474627802041358</v>
      </c>
      <c r="U36" s="18" t="n">
        <f aca="false">+U35/U$13</f>
        <v>0.489373048762874</v>
      </c>
      <c r="V36" s="18" t="e">
        <f aca="false">+V35/V$13</f>
        <v>#DIV/0!</v>
      </c>
      <c r="W36" s="18" t="e">
        <f aca="false">+W35/W$13</f>
        <v>#DIV/0!</v>
      </c>
      <c r="AB36" s="18" t="n">
        <f aca="false">+AB35/AB$13</f>
        <v>0.400310479482748</v>
      </c>
      <c r="AC36" s="18" t="n">
        <f aca="false">+AC35/AC$13</f>
        <v>0.401341092032083</v>
      </c>
      <c r="AD36" s="18" t="n">
        <f aca="false">+AD35/AD$13</f>
        <v>0.3020359996202</v>
      </c>
      <c r="AE36" s="18" t="n">
        <f aca="false">+AE35/AE$13</f>
        <v>0.347493224061966</v>
      </c>
      <c r="AF36" s="18" t="n">
        <f aca="false">+AF35/AF$13</f>
        <v>0.320385107044557</v>
      </c>
      <c r="AG36" s="18" t="n">
        <f aca="false">+AG35/AG$13</f>
        <v>0.197766616798461</v>
      </c>
      <c r="AH36" s="18" t="n">
        <f aca="false">+AH35/AH$13</f>
        <v>0.231493202062822</v>
      </c>
      <c r="AI36" s="18" t="n">
        <f aca="false">+AI35/AI$13</f>
        <v>0.257354085603113</v>
      </c>
      <c r="AJ36" s="18" t="n">
        <f aca="false">+AJ35/AJ$13</f>
        <v>0.330500181225082</v>
      </c>
      <c r="AK36" s="18" t="n">
        <f aca="false">+AK35/AK$13</f>
        <v>0.347162734518408</v>
      </c>
      <c r="AL36" s="18" t="n">
        <f aca="false">+AL35/AL$13</f>
        <v>0.370842219347621</v>
      </c>
      <c r="AM36" s="18" t="n">
        <f aca="false">+AM35/AM$13</f>
        <v>0.423004616629385</v>
      </c>
      <c r="AN36" s="18" t="n">
        <f aca="false">+AN35/AN$13</f>
        <v>0.422232309476976</v>
      </c>
      <c r="AO36" s="18" t="n">
        <f aca="false">+AO35/AO$13</f>
        <v>0.42144727838992</v>
      </c>
      <c r="AP36" s="18" t="n">
        <f aca="false">+AP35/AP$13</f>
        <v>0.439727972193438</v>
      </c>
      <c r="AQ36" s="18" t="n">
        <f aca="false">+AQ35/AQ$13</f>
        <v>0.438823103462964</v>
      </c>
      <c r="AR36" s="18" t="n">
        <f aca="false">+AR35/AR$13</f>
        <v>0.500043695888669</v>
      </c>
      <c r="AS36" s="18" t="n">
        <f aca="false">+AS35/AS$13</f>
        <v>0.470769149327203</v>
      </c>
      <c r="AT36" s="18" t="n">
        <f aca="false">+AT35/AT$13</f>
        <v>0.483358019415363</v>
      </c>
      <c r="AU36" s="18" t="n">
        <f aca="false">+AU35/AU$13</f>
        <v>0.495760768322335</v>
      </c>
      <c r="AV36" s="18" t="n">
        <f aca="false">+AV35/AV$13</f>
        <v>0.507954124837938</v>
      </c>
      <c r="AW36" s="18" t="n">
        <f aca="false">+AW35/AW$13</f>
        <v>0.515085103550154</v>
      </c>
      <c r="AX36" s="18" t="n">
        <f aca="false">+AX35/AX$13</f>
        <v>0.522163185140933</v>
      </c>
      <c r="AY36" s="18" t="n">
        <f aca="false">+AY35/AY$13</f>
        <v>0.53385434904227</v>
      </c>
      <c r="AZ36" s="18" t="n">
        <f aca="false">+AZ35/AZ$13</f>
        <v>0.540451648185194</v>
      </c>
      <c r="BA36" s="18" t="n">
        <f aca="false">+BA35/BA$13</f>
        <v>0.546932261011253</v>
      </c>
      <c r="BB36" s="18" t="n">
        <f aca="false">+BB35/BB$13</f>
        <v>0.553307015169671</v>
      </c>
    </row>
    <row r="37" customFormat="false" ht="12.8" hidden="false" customHeight="true" outlineLevel="0" collapsed="false">
      <c r="A37" s="1" t="s">
        <v>93</v>
      </c>
      <c r="D37" s="5" t="n">
        <v>3462</v>
      </c>
      <c r="E37" s="5" t="n">
        <v>3747</v>
      </c>
      <c r="F37" s="5" t="n">
        <v>4016</v>
      </c>
      <c r="H37" s="5" t="n">
        <v>4374</v>
      </c>
      <c r="I37" s="5" t="n">
        <v>4646</v>
      </c>
      <c r="J37" s="5" t="n">
        <v>4993</v>
      </c>
      <c r="K37" s="5" t="n">
        <v>4656</v>
      </c>
      <c r="L37" s="5" t="n">
        <v>4788</v>
      </c>
      <c r="M37" s="5" t="n">
        <v>5214</v>
      </c>
      <c r="N37" s="5" t="n">
        <v>5602</v>
      </c>
      <c r="O37" s="5" t="n">
        <v>5257</v>
      </c>
      <c r="P37" s="5" t="n">
        <v>5553</v>
      </c>
      <c r="Q37" s="5" t="n">
        <v>5383</v>
      </c>
      <c r="R37" s="5" t="n">
        <v>6554</v>
      </c>
      <c r="S37" s="5" t="n">
        <v>9788</v>
      </c>
      <c r="T37" s="5" t="n">
        <v>7562</v>
      </c>
      <c r="U37" s="5" t="n">
        <v>8281</v>
      </c>
      <c r="AB37" s="5" t="n">
        <v>6253</v>
      </c>
      <c r="AC37" s="5" t="n">
        <v>4921</v>
      </c>
      <c r="AD37" s="5" t="n">
        <v>5289</v>
      </c>
      <c r="AE37" s="5" t="n">
        <v>5189</v>
      </c>
      <c r="AF37" s="5" t="n">
        <v>5746</v>
      </c>
      <c r="AG37" s="5" t="n">
        <v>6314</v>
      </c>
      <c r="AH37" s="5" t="n">
        <v>2953</v>
      </c>
      <c r="AI37" s="5" t="n">
        <v>1945</v>
      </c>
      <c r="AJ37" s="5" t="n">
        <v>19903</v>
      </c>
      <c r="AK37" s="5" t="n">
        <v>4448</v>
      </c>
      <c r="AL37" s="5" t="n">
        <v>8755</v>
      </c>
      <c r="AM37" s="5" t="n">
        <v>9831</v>
      </c>
      <c r="AN37" s="5" t="n">
        <v>10978</v>
      </c>
      <c r="AO37" s="5" t="n">
        <v>16950</v>
      </c>
      <c r="AP37" s="5" t="n">
        <v>19651</v>
      </c>
      <c r="AQ37" s="5" t="n">
        <v>21795</v>
      </c>
      <c r="AR37" s="5" t="n">
        <v>32185</v>
      </c>
      <c r="AS37" s="5" t="n">
        <f aca="false">+AS35*0.2</f>
        <v>36555.377916</v>
      </c>
      <c r="AT37" s="5" t="n">
        <f aca="false">+AT35*0.2</f>
        <v>43538.173027488</v>
      </c>
      <c r="AU37" s="5" t="n">
        <f aca="false">+AU35*0.22</f>
        <v>56489.0087972891</v>
      </c>
      <c r="AV37" s="5" t="n">
        <f aca="false">+AV35*0.22</f>
        <v>65981.3414462114</v>
      </c>
      <c r="AW37" s="5" t="n">
        <f aca="false">+AW35*0.22</f>
        <v>75605.6206755061</v>
      </c>
      <c r="AX37" s="5" t="n">
        <f aca="false">+AX35*0.3</f>
        <v>117057.147908459</v>
      </c>
      <c r="AY37" s="5" t="n">
        <f aca="false">+AY35*0.3</f>
        <v>132842.626397356</v>
      </c>
      <c r="AZ37" s="5" t="n">
        <f aca="false">+AZ35*0.3</f>
        <v>149277.547951227</v>
      </c>
      <c r="BA37" s="5" t="n">
        <f aca="false">+BA35*0.3</f>
        <v>167684.981392148</v>
      </c>
      <c r="BB37" s="5" t="n">
        <f aca="false">+BB35*0.3</f>
        <v>188299.766358942</v>
      </c>
    </row>
    <row r="38" s="18" customFormat="true" ht="10.5" hidden="false" customHeight="true" outlineLevel="0" collapsed="false">
      <c r="D38" s="18" t="n">
        <f aca="false">+D37/D$13</f>
        <v>0.0701377633711507</v>
      </c>
      <c r="E38" s="18" t="n">
        <f aca="false">+E37/E$13</f>
        <v>0.0722452520967897</v>
      </c>
      <c r="F38" s="18" t="n">
        <f aca="false">+F37/F$13</f>
        <v>0.0801244962292008</v>
      </c>
      <c r="G38" s="18" t="e">
        <f aca="false">+G37/G$13</f>
        <v>#DIV/0!</v>
      </c>
      <c r="H38" s="18" t="n">
        <f aca="false">+H37/H$13</f>
        <v>0.0827515750042568</v>
      </c>
      <c r="I38" s="18" t="n">
        <f aca="false">+I37/I$13</f>
        <v>0.0826852230863692</v>
      </c>
      <c r="J38" s="18" t="n">
        <f aca="false">+J37/J$13</f>
        <v>0.0883450997045137</v>
      </c>
      <c r="K38" s="18" t="n">
        <f aca="false">+K37/K$13</f>
        <v>0.0750725572396001</v>
      </c>
      <c r="L38" s="18" t="n">
        <f aca="false">+L37/L$13</f>
        <v>0.0774030844838178</v>
      </c>
      <c r="M38" s="18" t="n">
        <f aca="false">+M37/M$13</f>
        <v>0.0805537101982171</v>
      </c>
      <c r="N38" s="18" t="n">
        <f aca="false">+N37/N$13</f>
        <v>0.0854158725318289</v>
      </c>
      <c r="O38" s="18" t="n">
        <f aca="false">+O37/O$13</f>
        <v>0.0754968979779412</v>
      </c>
      <c r="P38" s="18" t="n">
        <f aca="false">+P37/P$13</f>
        <v>0.0792538463734194</v>
      </c>
      <c r="Q38" s="18" t="n">
        <f aca="false">+Q37/Q$13</f>
        <v>0.0704203241715833</v>
      </c>
      <c r="R38" s="18" t="n">
        <f aca="false">+R37/R$13</f>
        <v>0.0843793853720083</v>
      </c>
      <c r="S38" s="18" t="n">
        <f aca="false">+S37/S$13</f>
        <v>0.120433600334675</v>
      </c>
      <c r="T38" s="18" t="n">
        <f aca="false">+T37/T$13</f>
        <v>0.0912337427309799</v>
      </c>
      <c r="U38" s="18" t="n">
        <f aca="false">+U37/U$13</f>
        <v>0.0920039552479252</v>
      </c>
      <c r="V38" s="18" t="e">
        <f aca="false">+V37/V$13</f>
        <v>#DIV/0!</v>
      </c>
      <c r="W38" s="18" t="e">
        <f aca="false">+W37/W$13</f>
        <v>#DIV/0!</v>
      </c>
      <c r="AB38" s="18" t="n">
        <f aca="false">+AB37/AB$13</f>
        <v>0.100073618846425</v>
      </c>
      <c r="AC38" s="18" t="n">
        <f aca="false">+AC37/AC$13</f>
        <v>0.0703572909369058</v>
      </c>
      <c r="AD38" s="18" t="n">
        <f aca="false">+AD37/AD$13</f>
        <v>0.0717415189289638</v>
      </c>
      <c r="AE38" s="18" t="n">
        <f aca="false">+AE37/AE$13</f>
        <v>0.0666546776451849</v>
      </c>
      <c r="AF38" s="18" t="n">
        <f aca="false">+AF37/AF$13</f>
        <v>0.0661729987447169</v>
      </c>
      <c r="AG38" s="18" t="n">
        <f aca="false">+AG37/AG$13</f>
        <v>0.0674716819833298</v>
      </c>
      <c r="AH38" s="18" t="n">
        <f aca="false">+AH37/AH$13</f>
        <v>0.0346108766994843</v>
      </c>
      <c r="AI38" s="18" t="n">
        <f aca="false">+AI37/AI$13</f>
        <v>0.0216231239577543</v>
      </c>
      <c r="AJ38" s="18" t="n">
        <f aca="false">+AJ37/AJ$13</f>
        <v>0.180346139905763</v>
      </c>
      <c r="AK38" s="18" t="n">
        <f aca="false">+AK37/AK$13</f>
        <v>0.0353456290775013</v>
      </c>
      <c r="AL38" s="18" t="n">
        <f aca="false">+AL37/AL$13</f>
        <v>0.0612173548229207</v>
      </c>
      <c r="AM38" s="18" t="n">
        <f aca="false">+AM37/AM$13</f>
        <v>0.0584872209794869</v>
      </c>
      <c r="AN38" s="18" t="n">
        <f aca="false">+AN37/AN$13</f>
        <v>0.0553689413426136</v>
      </c>
      <c r="AO38" s="18" t="n">
        <f aca="false">+AO37/AO$13</f>
        <v>0.0799848996059741</v>
      </c>
      <c r="AP38" s="18" t="n">
        <f aca="false">+AP37/AP$13</f>
        <v>0.0801682427525885</v>
      </c>
      <c r="AQ38" s="18" t="n">
        <f aca="false">+AQ37/AQ$13</f>
        <v>0.077362950973293</v>
      </c>
      <c r="AR38" s="18" t="n">
        <f aca="false">+AR37/AR$13</f>
        <v>0.0969898052971471</v>
      </c>
      <c r="AS38" s="18" t="n">
        <f aca="false">+AS37/AS$13</f>
        <v>0.0941538298654406</v>
      </c>
      <c r="AT38" s="18" t="n">
        <f aca="false">+AT37/AT$13</f>
        <v>0.0966716038830725</v>
      </c>
      <c r="AU38" s="18" t="n">
        <f aca="false">+AU37/AU$13</f>
        <v>0.109067369030914</v>
      </c>
      <c r="AV38" s="18" t="n">
        <f aca="false">+AV37/AV$13</f>
        <v>0.111749907464346</v>
      </c>
      <c r="AW38" s="18" t="n">
        <f aca="false">+AW37/AW$13</f>
        <v>0.113318722781034</v>
      </c>
      <c r="AX38" s="18" t="n">
        <f aca="false">+AX37/AX$13</f>
        <v>0.15664895554228</v>
      </c>
      <c r="AY38" s="18" t="n">
        <f aca="false">+AY37/AY$13</f>
        <v>0.160156304712681</v>
      </c>
      <c r="AZ38" s="18" t="n">
        <f aca="false">+AZ37/AZ$13</f>
        <v>0.162135494455558</v>
      </c>
      <c r="BA38" s="18" t="n">
        <f aca="false">+BA37/BA$13</f>
        <v>0.164079678303376</v>
      </c>
      <c r="BB38" s="18" t="n">
        <f aca="false">+BB37/BB$13</f>
        <v>0.165992104550901</v>
      </c>
    </row>
    <row r="39" s="20" customFormat="true" ht="12.8" hidden="false" customHeight="true" outlineLevel="0" collapsed="false">
      <c r="A39" s="19" t="s">
        <v>94</v>
      </c>
      <c r="B39" s="20" t="n">
        <f aca="false">+B35-B37</f>
        <v>0</v>
      </c>
      <c r="C39" s="20" t="n">
        <f aca="false">+C35-C37</f>
        <v>0</v>
      </c>
      <c r="D39" s="20" t="n">
        <f aca="false">+D35-D37</f>
        <v>16728</v>
      </c>
      <c r="E39" s="20" t="n">
        <f aca="false">+E35-E37</f>
        <v>16740</v>
      </c>
      <c r="F39" s="20" t="n">
        <f aca="false">+F35-F37</f>
        <v>17556</v>
      </c>
      <c r="G39" s="20" t="n">
        <f aca="false">+G35-G37</f>
        <v>0</v>
      </c>
      <c r="H39" s="20" t="n">
        <f aca="false">+H35-H37</f>
        <v>18299</v>
      </c>
      <c r="I39" s="20" t="n">
        <f aca="false">+I35-I37</f>
        <v>20081</v>
      </c>
      <c r="J39" s="20" t="n">
        <f aca="false">+J35-J37</f>
        <v>22291</v>
      </c>
      <c r="K39" s="20" t="n">
        <f aca="false">+K35-K37</f>
        <v>21870</v>
      </c>
      <c r="L39" s="20" t="n">
        <f aca="false">+L35-L37</f>
        <v>21939</v>
      </c>
      <c r="M39" s="20" t="n">
        <f aca="false">+M35-M37</f>
        <v>22036</v>
      </c>
      <c r="N39" s="20" t="n">
        <f aca="false">+N35-N37</f>
        <v>24667</v>
      </c>
      <c r="O39" s="20" t="n">
        <f aca="false">+O35-O37</f>
        <v>24108</v>
      </c>
      <c r="P39" s="20" t="n">
        <f aca="false">+P35-P37</f>
        <v>25824</v>
      </c>
      <c r="Q39" s="20" t="n">
        <f aca="false">+Q35-Q37</f>
        <v>27233</v>
      </c>
      <c r="R39" s="20" t="n">
        <f aca="false">+R35-R37</f>
        <v>27747</v>
      </c>
      <c r="S39" s="20" t="n">
        <f aca="false">+S35-S37</f>
        <v>38458</v>
      </c>
      <c r="T39" s="20" t="n">
        <f aca="false">+T35-T37</f>
        <v>31778</v>
      </c>
      <c r="U39" s="20" t="n">
        <f aca="false">+U35-U37</f>
        <v>35766</v>
      </c>
      <c r="V39" s="20" t="n">
        <f aca="false">+V35-V37</f>
        <v>0</v>
      </c>
      <c r="W39" s="20" t="n">
        <f aca="false">+W35-W37</f>
        <v>0</v>
      </c>
      <c r="AB39" s="20" t="n">
        <f aca="false">+AB35-AB37</f>
        <v>18760</v>
      </c>
      <c r="AC39" s="20" t="n">
        <f aca="false">+AC35-AC37</f>
        <v>23150</v>
      </c>
      <c r="AD39" s="20" t="n">
        <f aca="false">+AD35-AD37</f>
        <v>16978</v>
      </c>
      <c r="AE39" s="20" t="n">
        <f aca="false">+AE35-AE37</f>
        <v>21863</v>
      </c>
      <c r="AF39" s="20" t="n">
        <f aca="false">+AF35-AF37</f>
        <v>22074</v>
      </c>
      <c r="AG39" s="20" t="n">
        <f aca="false">+AG35-AG37</f>
        <v>12193</v>
      </c>
      <c r="AH39" s="20" t="n">
        <f aca="false">+AH35-AH37</f>
        <v>16798</v>
      </c>
      <c r="AI39" s="20" t="n">
        <f aca="false">+AI35-AI37</f>
        <v>21204</v>
      </c>
      <c r="AJ39" s="20" t="n">
        <f aca="false">+AJ35-AJ37</f>
        <v>16571</v>
      </c>
      <c r="AK39" s="20" t="n">
        <f aca="false">+AK35-AK37</f>
        <v>39240</v>
      </c>
      <c r="AL39" s="20" t="n">
        <f aca="false">+AL35-AL37</f>
        <v>44281</v>
      </c>
      <c r="AM39" s="20" t="n">
        <f aca="false">+AM35-AM37</f>
        <v>61271</v>
      </c>
      <c r="AN39" s="20" t="n">
        <f aca="false">+AN35-AN37</f>
        <v>72738</v>
      </c>
      <c r="AO39" s="20" t="n">
        <f aca="false">+AO35-AO37</f>
        <v>72361</v>
      </c>
      <c r="AP39" s="20" t="n">
        <f aca="false">+AP35-AP37</f>
        <v>88136</v>
      </c>
      <c r="AQ39" s="20" t="n">
        <f aca="false">+AQ35-AQ37</f>
        <v>101832</v>
      </c>
      <c r="AR39" s="20" t="n">
        <f aca="false">+AR35-AR37</f>
        <v>133749</v>
      </c>
      <c r="AS39" s="20" t="n">
        <f aca="false">+AS35-AS37</f>
        <v>146221.511664</v>
      </c>
      <c r="AT39" s="20" t="n">
        <f aca="false">+AT35-AT37</f>
        <v>174152.692109952</v>
      </c>
      <c r="AU39" s="20" t="n">
        <f aca="false">+AU35-AU37</f>
        <v>200279.21300857</v>
      </c>
      <c r="AV39" s="20" t="n">
        <f aca="false">+AV35-AV37</f>
        <v>233933.846945659</v>
      </c>
      <c r="AW39" s="20" t="n">
        <f aca="false">+AW35-AW37</f>
        <v>268056.291485885</v>
      </c>
      <c r="AX39" s="20" t="n">
        <f aca="false">+AX35-AX37</f>
        <v>273133.345119737</v>
      </c>
      <c r="AY39" s="20" t="n">
        <f aca="false">+AY35-AY37</f>
        <v>309966.128260498</v>
      </c>
      <c r="AZ39" s="20" t="n">
        <f aca="false">+AZ35-AZ37</f>
        <v>348314.278552862</v>
      </c>
      <c r="BA39" s="20" t="n">
        <f aca="false">+BA35-BA37</f>
        <v>391264.956581678</v>
      </c>
      <c r="BB39" s="20" t="n">
        <f aca="false">+BB35-BB37</f>
        <v>439366.121504197</v>
      </c>
      <c r="BC39" s="20" t="n">
        <f aca="false">+BB39*(1+$BE$46)</f>
        <v>448153.443934281</v>
      </c>
      <c r="BD39" s="20" t="n">
        <f aca="false">+BC39*(1+$BE$46)</f>
        <v>457116.512812967</v>
      </c>
      <c r="BE39" s="20" t="n">
        <f aca="false">+BD39*(1+$BE$46)</f>
        <v>466258.843069226</v>
      </c>
      <c r="BF39" s="20" t="n">
        <f aca="false">+BE39*(1+$BE$46)</f>
        <v>475584.019930611</v>
      </c>
      <c r="BG39" s="20" t="n">
        <f aca="false">+BF39*(1+$BE$46)</f>
        <v>485095.700329223</v>
      </c>
      <c r="BH39" s="20" t="n">
        <f aca="false">+BG39*(1+$BE$46)</f>
        <v>494797.614335807</v>
      </c>
      <c r="BI39" s="20" t="n">
        <f aca="false">+BH39*(1+$BE$46)</f>
        <v>504693.566622523</v>
      </c>
      <c r="BJ39" s="20" t="n">
        <f aca="false">+BI39*(1+$BE$46)</f>
        <v>514787.437954974</v>
      </c>
      <c r="BK39" s="20" t="n">
        <f aca="false">+BJ39*(1+$BE$46)</f>
        <v>525083.186714073</v>
      </c>
      <c r="BL39" s="20" t="n">
        <f aca="false">+BK39*(1+$BE$46)</f>
        <v>535584.850448355</v>
      </c>
      <c r="BM39" s="20" t="n">
        <f aca="false">+BL39*(1+$BE$46)</f>
        <v>546296.547457322</v>
      </c>
      <c r="BN39" s="20" t="n">
        <f aca="false">+BM39*(1+$BE$46)</f>
        <v>557222.478406468</v>
      </c>
      <c r="BO39" s="20" t="n">
        <f aca="false">+BN39*(1+$BE$46)</f>
        <v>568366.927974598</v>
      </c>
      <c r="BP39" s="20" t="n">
        <f aca="false">+BO39*(1+$BE$46)</f>
        <v>579734.26653409</v>
      </c>
      <c r="BQ39" s="20" t="n">
        <f aca="false">+BP39*(1+$BE$46)</f>
        <v>591328.951864771</v>
      </c>
      <c r="BR39" s="20" t="n">
        <f aca="false">+BQ39*(1+$BE$46)</f>
        <v>603155.530902067</v>
      </c>
      <c r="BS39" s="20" t="n">
        <f aca="false">+BR39*(1+$BE$46)</f>
        <v>615218.641520108</v>
      </c>
      <c r="BT39" s="20" t="n">
        <f aca="false">+BS39*(1+$BE$46)</f>
        <v>627523.01435051</v>
      </c>
      <c r="BU39" s="20" t="n">
        <f aca="false">+BT39*(1+$BE$46)</f>
        <v>640073.474637521</v>
      </c>
      <c r="BV39" s="20" t="n">
        <f aca="false">+BU39*(1+$BE$46)</f>
        <v>652874.944130271</v>
      </c>
      <c r="BW39" s="20" t="n">
        <f aca="false">+BV39*(1+$BE$46)</f>
        <v>665932.443012877</v>
      </c>
      <c r="BX39" s="20" t="n">
        <f aca="false">+BW39*(1+$BE$46)</f>
        <v>679251.091873134</v>
      </c>
      <c r="BY39" s="20" t="n">
        <f aca="false">+BX39*(1+$BE$46)</f>
        <v>692836.113710597</v>
      </c>
      <c r="BZ39" s="20" t="n">
        <f aca="false">+BY39*(1+$BE$46)</f>
        <v>706692.835984809</v>
      </c>
      <c r="CA39" s="20" t="n">
        <f aca="false">+BZ39*(1+$BE$46)</f>
        <v>720826.692704505</v>
      </c>
      <c r="CB39" s="20" t="n">
        <f aca="false">+CA39*(1+$BE$46)</f>
        <v>735243.226558595</v>
      </c>
      <c r="CC39" s="20" t="n">
        <f aca="false">+CB39*(1+$BE$46)</f>
        <v>749948.091089767</v>
      </c>
      <c r="CD39" s="20" t="n">
        <f aca="false">+CC39*(1+$BE$46)</f>
        <v>764947.052911562</v>
      </c>
      <c r="CE39" s="20" t="n">
        <f aca="false">+CD39*(1+$BE$46)</f>
        <v>780245.993969794</v>
      </c>
      <c r="CF39" s="20" t="n">
        <f aca="false">+CE39*(1+$BE$46)</f>
        <v>795850.913849189</v>
      </c>
      <c r="CG39" s="20" t="n">
        <f aca="false">+CF39*(1+$BE$46)</f>
        <v>811767.932126173</v>
      </c>
      <c r="CH39" s="20" t="n">
        <f aca="false">+CG39*(1+$BE$46)</f>
        <v>828003.290768697</v>
      </c>
      <c r="CI39" s="20" t="n">
        <f aca="false">+CH39*(1+$BE$46)</f>
        <v>844563.356584071</v>
      </c>
      <c r="CJ39" s="20" t="n">
        <f aca="false">+CI39*(1+$BE$46)</f>
        <v>861454.623715752</v>
      </c>
      <c r="CK39" s="20" t="n">
        <f aca="false">+CJ39*(1+$BE$46)</f>
        <v>878683.716190067</v>
      </c>
      <c r="CL39" s="20" t="n">
        <f aca="false">+CK39*(1+$BE$46)</f>
        <v>896257.390513868</v>
      </c>
      <c r="CM39" s="20" t="n">
        <f aca="false">+CL39*(1+$BE$46)</f>
        <v>914182.538324146</v>
      </c>
      <c r="CN39" s="20" t="n">
        <f aca="false">+CM39*(1+$BE$46)</f>
        <v>932466.189090629</v>
      </c>
      <c r="CO39" s="20" t="n">
        <f aca="false">+CN39*(1+$BE$46)</f>
        <v>951115.512872441</v>
      </c>
      <c r="CP39" s="20" t="n">
        <f aca="false">+CO39*(1+$BE$46)</f>
        <v>970137.82312989</v>
      </c>
      <c r="CQ39" s="20" t="n">
        <f aca="false">+CP39*(1+$BE$46)</f>
        <v>989540.579592488</v>
      </c>
      <c r="CR39" s="20" t="n">
        <f aca="false">+CQ39*(1+$BE$46)</f>
        <v>1009331.39118434</v>
      </c>
      <c r="CS39" s="20" t="n">
        <f aca="false">+CR39*(1+$BE$46)</f>
        <v>1029518.01900802</v>
      </c>
      <c r="CT39" s="20" t="n">
        <f aca="false">+CS39*(1+$BE$46)</f>
        <v>1050108.37938819</v>
      </c>
      <c r="CU39" s="20" t="n">
        <f aca="false">+CT39*(1+$BE$46)</f>
        <v>1071110.54697595</v>
      </c>
      <c r="CV39" s="20" t="n">
        <f aca="false">+CU39*(1+$BE$46)</f>
        <v>1092532.75791547</v>
      </c>
      <c r="CW39" s="20" t="n">
        <f aca="false">+CV39*(1+$BE$46)</f>
        <v>1114383.41307378</v>
      </c>
      <c r="CX39" s="20" t="n">
        <f aca="false">+CW39*(1+$BE$46)</f>
        <v>1136671.08133525</v>
      </c>
      <c r="CY39" s="20" t="n">
        <f aca="false">+CX39*(1+$BE$46)</f>
        <v>1159404.50296196</v>
      </c>
      <c r="CZ39" s="20" t="n">
        <f aca="false">+CY39*(1+$BE$46)</f>
        <v>1182592.5930212</v>
      </c>
      <c r="DA39" s="20" t="n">
        <f aca="false">+CZ39*(1+$BE$46)</f>
        <v>1206244.44488162</v>
      </c>
      <c r="DB39" s="20" t="n">
        <f aca="false">+DA39*(1+$BE$46)</f>
        <v>1230369.33377925</v>
      </c>
      <c r="DC39" s="20" t="n">
        <f aca="false">+DB39*(1+$BE$46)</f>
        <v>1254976.72045484</v>
      </c>
      <c r="DD39" s="20" t="n">
        <f aca="false">+DC39*(1+$BE$46)</f>
        <v>1280076.25486394</v>
      </c>
      <c r="DE39" s="20" t="n">
        <f aca="false">+DD39*(1+$BE$46)</f>
        <v>1305677.77996121</v>
      </c>
      <c r="DF39" s="20" t="n">
        <f aca="false">+DE39*(1+$BE$46)</f>
        <v>1331791.33556044</v>
      </c>
      <c r="DG39" s="20" t="n">
        <f aca="false">+DF39*(1+$BE$46)</f>
        <v>1358427.16227165</v>
      </c>
      <c r="DH39" s="20" t="n">
        <f aca="false">+DG39*(1+$BE$46)</f>
        <v>1385595.70551708</v>
      </c>
      <c r="DI39" s="20" t="n">
        <f aca="false">+DH39*(1+$BE$46)</f>
        <v>1413307.61962742</v>
      </c>
      <c r="DJ39" s="20" t="n">
        <f aca="false">+DI39*(1+$BE$46)</f>
        <v>1441573.77201997</v>
      </c>
      <c r="DK39" s="20" t="n">
        <f aca="false">+DJ39*(1+$BE$46)</f>
        <v>1470405.24746037</v>
      </c>
      <c r="DL39" s="20" t="n">
        <f aca="false">+DK39*(1+$BE$46)</f>
        <v>1499813.35240958</v>
      </c>
      <c r="DM39" s="20" t="n">
        <f aca="false">+DL39*(1+$BE$46)</f>
        <v>1529809.61945777</v>
      </c>
      <c r="DN39" s="20" t="n">
        <f aca="false">+DM39*(1+$BE$46)</f>
        <v>1560405.81184692</v>
      </c>
      <c r="DO39" s="20" t="n">
        <f aca="false">+DN39*(1+$BE$46)</f>
        <v>1591613.92808386</v>
      </c>
      <c r="DP39" s="20" t="n">
        <f aca="false">+DO39*(1+$BE$46)</f>
        <v>1623446.20664554</v>
      </c>
      <c r="DQ39" s="20" t="n">
        <f aca="false">+DP39*(1+$BE$46)</f>
        <v>1655915.13077845</v>
      </c>
      <c r="DR39" s="20" t="n">
        <f aca="false">+DQ39*(1+$BE$46)</f>
        <v>1689033.43339402</v>
      </c>
      <c r="DS39" s="20" t="n">
        <f aca="false">+DR39*(1+$BE$46)</f>
        <v>1722814.1020619</v>
      </c>
      <c r="DT39" s="20" t="n">
        <f aca="false">+DS39*(1+$BE$46)</f>
        <v>1757270.38410314</v>
      </c>
      <c r="DU39" s="20" t="n">
        <f aca="false">+DT39*(1+$BE$46)</f>
        <v>1792415.7917852</v>
      </c>
      <c r="DV39" s="20" t="n">
        <f aca="false">+DU39*(1+$BE$46)</f>
        <v>1828264.1076209</v>
      </c>
      <c r="DW39" s="20" t="n">
        <f aca="false">+DV39*(1+$BE$46)</f>
        <v>1864829.38977332</v>
      </c>
      <c r="DX39" s="20" t="n">
        <f aca="false">+DW39*(1+$BE$46)</f>
        <v>1902125.97756879</v>
      </c>
    </row>
    <row r="40" s="18" customFormat="true" ht="10.5" hidden="false" customHeight="true" outlineLevel="0" collapsed="false">
      <c r="D40" s="18" t="n">
        <f aca="false">+D39/D$13</f>
        <v>0.338897893030794</v>
      </c>
      <c r="E40" s="18" t="n">
        <f aca="false">+E39/E$13</f>
        <v>0.322761014171407</v>
      </c>
      <c r="F40" s="18" t="n">
        <f aca="false">+F39/F$13</f>
        <v>0.350265352539803</v>
      </c>
      <c r="G40" s="18" t="e">
        <f aca="false">+G39/G$13</f>
        <v>#DIV/0!</v>
      </c>
      <c r="H40" s="18" t="n">
        <f aca="false">+H39/H$13</f>
        <v>0.346198232968197</v>
      </c>
      <c r="I40" s="18" t="n">
        <f aca="false">+I39/I$13</f>
        <v>0.357383117692075</v>
      </c>
      <c r="J40" s="18" t="n">
        <f aca="false">+J39/J$13</f>
        <v>0.394412300723676</v>
      </c>
      <c r="K40" s="18" t="n">
        <f aca="false">+K39/K$13</f>
        <v>0.352628184456627</v>
      </c>
      <c r="L40" s="18" t="n">
        <f aca="false">+L39/L$13</f>
        <v>0.354667140871027</v>
      </c>
      <c r="M40" s="18" t="n">
        <f aca="false">+M39/M$13</f>
        <v>0.340445254685062</v>
      </c>
      <c r="N40" s="18" t="n">
        <f aca="false">+N39/N$13</f>
        <v>0.376107341617748</v>
      </c>
      <c r="O40" s="18" t="n">
        <f aca="false">+O39/O$13</f>
        <v>0.346220128676471</v>
      </c>
      <c r="P40" s="18" t="n">
        <f aca="false">+P39/P$13</f>
        <v>0.368566779893244</v>
      </c>
      <c r="Q40" s="18" t="n">
        <f aca="false">+Q39/Q$13</f>
        <v>0.356261692023914</v>
      </c>
      <c r="R40" s="18" t="n">
        <f aca="false">+R39/R$13</f>
        <v>0.357228380518327</v>
      </c>
      <c r="S40" s="18" t="n">
        <f aca="false">+S39/S$13</f>
        <v>0.473195280105324</v>
      </c>
      <c r="T40" s="18" t="n">
        <f aca="false">+T39/T$13</f>
        <v>0.383394059310378</v>
      </c>
      <c r="U40" s="18" t="n">
        <f aca="false">+U39/U$13</f>
        <v>0.397369093514949</v>
      </c>
      <c r="V40" s="18" t="e">
        <f aca="false">+V39/V$13</f>
        <v>#DIV/0!</v>
      </c>
      <c r="W40" s="18" t="e">
        <f aca="false">+W39/W$13</f>
        <v>#DIV/0!</v>
      </c>
      <c r="AB40" s="18" t="n">
        <f aca="false">+AB39/AB$13</f>
        <v>0.300236860636323</v>
      </c>
      <c r="AC40" s="18" t="n">
        <f aca="false">+AC39/AC$13</f>
        <v>0.330983801095178</v>
      </c>
      <c r="AD40" s="18" t="n">
        <f aca="false">+AD39/AD$13</f>
        <v>0.230294480691236</v>
      </c>
      <c r="AE40" s="18" t="n">
        <f aca="false">+AE39/AE$13</f>
        <v>0.280838546416781</v>
      </c>
      <c r="AF40" s="18" t="n">
        <f aca="false">+AF39/AF$13</f>
        <v>0.25421210829984</v>
      </c>
      <c r="AG40" s="18" t="n">
        <f aca="false">+AG39/AG$13</f>
        <v>0.130294934815131</v>
      </c>
      <c r="AH40" s="18" t="n">
        <f aca="false">+AH39/AH$13</f>
        <v>0.196882325363338</v>
      </c>
      <c r="AI40" s="18" t="n">
        <f aca="false">+AI39/AI$13</f>
        <v>0.235730961645359</v>
      </c>
      <c r="AJ40" s="18" t="n">
        <f aca="false">+AJ39/AJ$13</f>
        <v>0.150154041319319</v>
      </c>
      <c r="AK40" s="18" t="n">
        <f aca="false">+AK39/AK$13</f>
        <v>0.311817105440907</v>
      </c>
      <c r="AL40" s="18" t="n">
        <f aca="false">+AL39/AL$13</f>
        <v>0.3096248645247</v>
      </c>
      <c r="AM40" s="18" t="n">
        <f aca="false">+AM39/AM$13</f>
        <v>0.364517395649898</v>
      </c>
      <c r="AN40" s="18" t="n">
        <f aca="false">+AN39/AN$13</f>
        <v>0.366863368134362</v>
      </c>
      <c r="AO40" s="18" t="n">
        <f aca="false">+AO39/AO$13</f>
        <v>0.341462378783946</v>
      </c>
      <c r="AP40" s="18" t="n">
        <f aca="false">+AP39/AP$13</f>
        <v>0.35955972944085</v>
      </c>
      <c r="AQ40" s="18" t="n">
        <f aca="false">+AQ39/AQ$13</f>
        <v>0.361460152489671</v>
      </c>
      <c r="AR40" s="18" t="n">
        <f aca="false">+AR39/AR$13</f>
        <v>0.403053890591522</v>
      </c>
      <c r="AS40" s="18" t="n">
        <f aca="false">+AS39/AS$13</f>
        <v>0.376615319461763</v>
      </c>
      <c r="AT40" s="18" t="n">
        <f aca="false">+AT39/AT$13</f>
        <v>0.38668641553229</v>
      </c>
      <c r="AU40" s="18" t="n">
        <f aca="false">+AU39/AU$13</f>
        <v>0.386693399291422</v>
      </c>
      <c r="AV40" s="18" t="n">
        <f aca="false">+AV39/AV$13</f>
        <v>0.396204217373592</v>
      </c>
      <c r="AW40" s="18" t="n">
        <f aca="false">+AW39/AW$13</f>
        <v>0.40176638076912</v>
      </c>
      <c r="AX40" s="18" t="n">
        <f aca="false">+AX39/AX$13</f>
        <v>0.365514229598653</v>
      </c>
      <c r="AY40" s="18" t="n">
        <f aca="false">+AY39/AY$13</f>
        <v>0.373698044329589</v>
      </c>
      <c r="AZ40" s="18" t="n">
        <f aca="false">+AZ39/AZ$13</f>
        <v>0.378316153729636</v>
      </c>
      <c r="BA40" s="18" t="n">
        <f aca="false">+BA39/BA$13</f>
        <v>0.382852582707877</v>
      </c>
      <c r="BB40" s="18" t="n">
        <f aca="false">+BB39/BB$13</f>
        <v>0.38731491061877</v>
      </c>
    </row>
    <row r="41" s="21" customFormat="true" ht="12.8" hidden="false" customHeight="true" outlineLevel="0" collapsed="false">
      <c r="A41" s="21" t="s">
        <v>95</v>
      </c>
      <c r="B41" s="21" t="e">
        <f aca="false">+B39/B43</f>
        <v>#DIV/0!</v>
      </c>
      <c r="C41" s="21" t="e">
        <f aca="false">+C39/C43</f>
        <v>#DIV/0!</v>
      </c>
      <c r="D41" s="21" t="n">
        <f aca="false">+D39/D43</f>
        <v>2.22033448367401</v>
      </c>
      <c r="E41" s="21" t="n">
        <f aca="false">+E39/E43</f>
        <v>2.23021582733813</v>
      </c>
      <c r="F41" s="21" t="n">
        <f aca="false">+F39/F43</f>
        <v>2.34549098196393</v>
      </c>
      <c r="G41" s="21" t="e">
        <f aca="false">+G39/G43</f>
        <v>#DIV/0!</v>
      </c>
      <c r="H41" s="21" t="n">
        <f aca="false">+H39/H43</f>
        <v>2.45163451232583</v>
      </c>
      <c r="I41" s="21" t="n">
        <f aca="false">+I39/I43</f>
        <v>2.68929958483996</v>
      </c>
      <c r="J41" s="21" t="n">
        <f aca="false">+J39/J43</f>
        <v>2.98726882873224</v>
      </c>
      <c r="K41" s="21" t="n">
        <f aca="false">+K39/K43</f>
        <v>2.92849491162292</v>
      </c>
      <c r="L41" s="21" t="n">
        <f aca="false">+L39/L43</f>
        <v>2.93616167023555</v>
      </c>
      <c r="M41" s="21" t="n">
        <f aca="false">+M39/M43</f>
        <v>2.94914346895075</v>
      </c>
      <c r="N41" s="21" t="n">
        <f aca="false">+N39/N43</f>
        <v>3.30214190093708</v>
      </c>
      <c r="O41" s="21" t="n">
        <f aca="false">+O39/O43</f>
        <v>3.22817354043921</v>
      </c>
      <c r="P41" s="21" t="n">
        <f aca="false">+P39/P43</f>
        <v>3.46119823080016</v>
      </c>
      <c r="Q41" s="21" t="n">
        <f aca="false">+Q39/Q43</f>
        <v>3.6500469106018</v>
      </c>
      <c r="R41" s="21" t="n">
        <f aca="false">+R39/R43</f>
        <v>3.71644789713367</v>
      </c>
      <c r="S41" s="21" t="n">
        <f aca="false">+S39/S43</f>
        <v>5.15522788203753</v>
      </c>
      <c r="T41" s="21" t="n">
        <f aca="false">+T39/T43</f>
        <v>4.2683680322364</v>
      </c>
      <c r="U41" s="21" t="n">
        <v>8</v>
      </c>
      <c r="V41" s="21" t="e">
        <f aca="false">+V39/V43</f>
        <v>#DIV/0!</v>
      </c>
      <c r="W41" s="21" t="e">
        <f aca="false">+W39/W43</f>
        <v>#DIV/0!</v>
      </c>
      <c r="AB41" s="21" t="n">
        <f aca="false">+AB39/AB43</f>
        <v>2.10148986221575</v>
      </c>
      <c r="AC41" s="21" t="n">
        <f aca="false">+AC39/AC43</f>
        <v>2.69405329919702</v>
      </c>
      <c r="AD41" s="21" t="n">
        <f aca="false">+AD39/AD43</f>
        <v>1.99600282153774</v>
      </c>
      <c r="AE41" s="21" t="n">
        <f aca="false">+AE39/AE43</f>
        <v>2.58122786304605</v>
      </c>
      <c r="AF41" s="21" t="n">
        <f aca="false">+AF39/AF43</f>
        <v>2.6281700202405</v>
      </c>
      <c r="AG41" s="21" t="n">
        <f aca="false">+AG39/AG43</f>
        <v>1.47722316452629</v>
      </c>
      <c r="AH41" s="21" t="n">
        <f aca="false">+AH39/AH43</f>
        <v>2.0963434419069</v>
      </c>
      <c r="AI41" s="21" t="n">
        <f aca="false">+AI39/AI43</f>
        <v>2.7073544433095</v>
      </c>
      <c r="AJ41" s="21" t="n">
        <f aca="false">+AJ39/AJ43</f>
        <v>2.12612265845522</v>
      </c>
      <c r="AK41" s="21" t="n">
        <f aca="false">+AK39/AK43</f>
        <v>5.06126660647491</v>
      </c>
      <c r="AL41" s="21" t="n">
        <f aca="false">+AL39/AL43</f>
        <v>5.76350383964597</v>
      </c>
      <c r="AM41" s="21" t="n">
        <f aca="false">+AM39/AM43</f>
        <v>8.05349631966351</v>
      </c>
      <c r="AN41" s="21" t="n">
        <f aca="false">+AN39/AN43</f>
        <v>9.64694960212202</v>
      </c>
      <c r="AO41" s="21" t="n">
        <f aca="false">+AO39/AO43</f>
        <v>9.68428800856531</v>
      </c>
      <c r="AP41" s="21" t="n">
        <f aca="false">+AP39/AP43</f>
        <v>11.8002409961173</v>
      </c>
      <c r="AQ41" s="21" t="n">
        <f aca="false">+AQ39/AQ43</f>
        <v>13.641259209645</v>
      </c>
      <c r="AR41" s="21" t="n">
        <f aca="false">+AR39/AR43</f>
        <v>17.9456594659869</v>
      </c>
      <c r="AS41" s="21" t="n">
        <f aca="false">+AS39/AS43</f>
        <v>19.7177369018715</v>
      </c>
      <c r="AT41" s="21" t="n">
        <f aca="false">+AT39/AT43</f>
        <v>23.6022230117828</v>
      </c>
      <c r="AU41" s="21" t="n">
        <f aca="false">+AU39/AU43</f>
        <v>27.2794438917906</v>
      </c>
      <c r="AV41" s="21" t="n">
        <f aca="false">+AV39/AV43</f>
        <v>32.0235606251813</v>
      </c>
      <c r="AW41" s="21" t="n">
        <f aca="false">+AW39/AW43</f>
        <v>36.8790291778494</v>
      </c>
      <c r="AX41" s="21" t="n">
        <f aca="false">+AX39/AX43</f>
        <v>37.7663590687327</v>
      </c>
      <c r="AY41" s="21" t="n">
        <f aca="false">+AY39/AY43</f>
        <v>43.0746296550154</v>
      </c>
      <c r="AZ41" s="21" t="n">
        <f aca="false">+AZ39/AZ43</f>
        <v>48.6469381418467</v>
      </c>
      <c r="BA41" s="21" t="n">
        <f aca="false">+BA39/BA43</f>
        <v>54.920199273247</v>
      </c>
      <c r="BB41" s="21" t="n">
        <f aca="false">+BB39/BB43</f>
        <v>61.9818647108672</v>
      </c>
    </row>
    <row r="42" s="18" customFormat="true" ht="10.5" hidden="false" customHeight="true" outlineLevel="0" collapsed="false">
      <c r="F42" s="18" t="e">
        <f aca="false">+F41/B41-1</f>
        <v>#DIV/0!</v>
      </c>
      <c r="G42" s="18" t="e">
        <f aca="false">+G41/C41-1</f>
        <v>#DIV/0!</v>
      </c>
      <c r="H42" s="18" t="n">
        <f aca="false">+H41/D41-1</f>
        <v>0.10417350644804</v>
      </c>
      <c r="I42" s="18" t="n">
        <f aca="false">+I41/E41-1</f>
        <v>0.205847233202435</v>
      </c>
      <c r="J42" s="18" t="n">
        <f aca="false">+J41/F41-1</f>
        <v>0.273621963036047</v>
      </c>
      <c r="K42" s="18" t="e">
        <f aca="false">+K41/G41-1</f>
        <v>#DIV/0!</v>
      </c>
      <c r="L42" s="18" t="n">
        <f aca="false">+L41/H41-1</f>
        <v>0.197634335572333</v>
      </c>
      <c r="M42" s="18" t="n">
        <f aca="false">+M41/I41-1</f>
        <v>0.0966213974729968</v>
      </c>
      <c r="N42" s="18" t="n">
        <f aca="false">+N41/J41-1</f>
        <v>0.105405000439303</v>
      </c>
      <c r="O42" s="18" t="n">
        <f aca="false">+O41/K41-1</f>
        <v>0.102331961591221</v>
      </c>
      <c r="P42" s="18" t="n">
        <f aca="false">+P41/L41-1</f>
        <v>0.178817319865938</v>
      </c>
      <c r="Q42" s="18" t="n">
        <f aca="false">+Q41/M41-1</f>
        <v>0.237663392449474</v>
      </c>
      <c r="R42" s="18" t="n">
        <f aca="false">+R41/N41-1</f>
        <v>0.125465836607149</v>
      </c>
      <c r="S42" s="18" t="n">
        <f aca="false">+S41/O41-1</f>
        <v>0.596948806332184</v>
      </c>
      <c r="T42" s="18" t="n">
        <f aca="false">+T41/P41-1</f>
        <v>0.233205308570159</v>
      </c>
      <c r="U42" s="18" t="n">
        <f aca="false">+U41/Q41-1</f>
        <v>1.19175265303125</v>
      </c>
      <c r="AC42" s="18" t="n">
        <f aca="false">+AC41/AB41-1</f>
        <v>0.281973017160544</v>
      </c>
      <c r="AD42" s="18" t="n">
        <f aca="false">+AD41/AC41-1</f>
        <v>-0.259107894363983</v>
      </c>
      <c r="AE42" s="18" t="n">
        <f aca="false">+AE41/AD41-1</f>
        <v>0.293198504127086</v>
      </c>
      <c r="AF42" s="18" t="n">
        <f aca="false">+AF41/AE41-1</f>
        <v>0.0181859795744899</v>
      </c>
      <c r="AG42" s="18" t="n">
        <f aca="false">+AG41/AF41-1</f>
        <v>-0.437927092558833</v>
      </c>
      <c r="AH42" s="18" t="n">
        <f aca="false">+AH41/AG41-1</f>
        <v>0.419110864389368</v>
      </c>
      <c r="AI42" s="18" t="n">
        <f aca="false">+AI41/AH41-1</f>
        <v>0.291465124076617</v>
      </c>
      <c r="AJ42" s="18" t="n">
        <f aca="false">+AJ41/AI41-1</f>
        <v>-0.214686254432121</v>
      </c>
      <c r="AK42" s="18" t="n">
        <f aca="false">+AK41/AJ41-1</f>
        <v>1.38051487121269</v>
      </c>
      <c r="AL42" s="18" t="n">
        <f aca="false">+AL41/AK41-1</f>
        <v>0.138747331008543</v>
      </c>
      <c r="AM42" s="18" t="n">
        <f aca="false">+AM41/AL41-1</f>
        <v>0.397326443033689</v>
      </c>
      <c r="AN42" s="18" t="n">
        <f aca="false">+AN41/AM41-1</f>
        <v>0.197858572129462</v>
      </c>
      <c r="AO42" s="18" t="n">
        <f aca="false">+AO41/AN41-1</f>
        <v>0.00387048839097104</v>
      </c>
      <c r="AP42" s="18" t="n">
        <f aca="false">+AP41/AO41-1</f>
        <v>0.218493397313309</v>
      </c>
      <c r="AQ42" s="18" t="n">
        <f aca="false">+AQ41/AP41-1</f>
        <v>0.15601530630887</v>
      </c>
      <c r="AR42" s="18" t="n">
        <f aca="false">+AR41/AQ41-1</f>
        <v>0.315542736208578</v>
      </c>
      <c r="AS42" s="18" t="n">
        <f aca="false">+AS41/AR41-1</f>
        <v>0.0987468551514246</v>
      </c>
      <c r="AT42" s="18" t="n">
        <f aca="false">+AT41/AS41-1</f>
        <v>0.197004662819223</v>
      </c>
      <c r="AU42" s="18" t="n">
        <f aca="false">+AU41/AT41-1</f>
        <v>0.155799768444356</v>
      </c>
      <c r="AV42" s="18" t="n">
        <f aca="false">+AV41/AU41-1</f>
        <v>0.173908117489825</v>
      </c>
      <c r="AW42" s="18" t="n">
        <f aca="false">+AW41/AV41-1</f>
        <v>0.151621757789484</v>
      </c>
      <c r="AX42" s="18" t="n">
        <f aca="false">+AX41/AW41-1</f>
        <v>0.0240605544848846</v>
      </c>
      <c r="AY42" s="18" t="n">
        <f aca="false">+AY41/AX41-1</f>
        <v>0.140555529237594</v>
      </c>
      <c r="AZ42" s="18" t="n">
        <f aca="false">+AZ41/AY41-1</f>
        <v>0.129364048662982</v>
      </c>
      <c r="BA42" s="18" t="n">
        <f aca="false">+BA41/AZ41-1</f>
        <v>0.128954901809205</v>
      </c>
      <c r="BB42" s="18" t="n">
        <f aca="false">+BB41/BA41-1</f>
        <v>0.128580477330133</v>
      </c>
    </row>
    <row r="43" customFormat="false" ht="12.8" hidden="false" customHeight="true" outlineLevel="0" collapsed="false">
      <c r="A43" s="1" t="s">
        <v>96</v>
      </c>
      <c r="D43" s="5" t="n">
        <v>7534</v>
      </c>
      <c r="E43" s="5" t="n">
        <v>7506</v>
      </c>
      <c r="F43" s="5" t="n">
        <v>7485</v>
      </c>
      <c r="H43" s="5" t="n">
        <v>7464</v>
      </c>
      <c r="I43" s="5" t="n">
        <v>7467</v>
      </c>
      <c r="J43" s="5" t="n">
        <v>7462</v>
      </c>
      <c r="K43" s="5" t="n">
        <v>7468</v>
      </c>
      <c r="L43" s="5" t="n">
        <v>7472</v>
      </c>
      <c r="M43" s="5" t="n">
        <v>7472</v>
      </c>
      <c r="N43" s="5" t="n">
        <v>7470</v>
      </c>
      <c r="O43" s="5" t="n">
        <v>7468</v>
      </c>
      <c r="P43" s="5" t="n">
        <v>7461</v>
      </c>
      <c r="Q43" s="5" t="n">
        <v>7461</v>
      </c>
      <c r="R43" s="5" t="n">
        <v>7466</v>
      </c>
      <c r="S43" s="5" t="n">
        <v>7460</v>
      </c>
      <c r="T43" s="5" t="n">
        <v>7445</v>
      </c>
      <c r="U43" s="5" t="n">
        <v>7443</v>
      </c>
      <c r="AB43" s="5" t="n">
        <v>8927</v>
      </c>
      <c r="AC43" s="5" t="n">
        <v>8593</v>
      </c>
      <c r="AD43" s="5" t="n">
        <v>8506</v>
      </c>
      <c r="AE43" s="5" t="n">
        <v>8470</v>
      </c>
      <c r="AF43" s="5" t="n">
        <v>8399</v>
      </c>
      <c r="AG43" s="5" t="n">
        <v>8254</v>
      </c>
      <c r="AH43" s="5" t="n">
        <v>8013</v>
      </c>
      <c r="AI43" s="5" t="n">
        <v>7832</v>
      </c>
      <c r="AJ43" s="5" t="n">
        <v>7794</v>
      </c>
      <c r="AK43" s="5" t="n">
        <v>7753</v>
      </c>
      <c r="AL43" s="5" t="n">
        <v>7683</v>
      </c>
      <c r="AM43" s="5" t="n">
        <v>7608</v>
      </c>
      <c r="AN43" s="5" t="n">
        <v>7540</v>
      </c>
      <c r="AO43" s="5" t="n">
        <v>7472</v>
      </c>
      <c r="AP43" s="5" t="n">
        <v>7469</v>
      </c>
      <c r="AQ43" s="5" t="n">
        <v>7465</v>
      </c>
      <c r="AR43" s="5" t="n">
        <v>7453</v>
      </c>
      <c r="AS43" s="5" t="n">
        <f aca="false">+AR43*0.995</f>
        <v>7415.735</v>
      </c>
      <c r="AT43" s="5" t="n">
        <f aca="false">+AS43*0.995</f>
        <v>7378.656325</v>
      </c>
      <c r="AU43" s="5" t="n">
        <f aca="false">+AT43*0.995</f>
        <v>7341.763043375</v>
      </c>
      <c r="AV43" s="5" t="n">
        <f aca="false">+AU43*0.995</f>
        <v>7305.05422815813</v>
      </c>
      <c r="AW43" s="5" t="n">
        <f aca="false">+AV43*0.995</f>
        <v>7268.52895701733</v>
      </c>
      <c r="AX43" s="5" t="n">
        <f aca="false">+AW43*0.995</f>
        <v>7232.18631223225</v>
      </c>
      <c r="AY43" s="5" t="n">
        <f aca="false">+AX43*0.995</f>
        <v>7196.02538067109</v>
      </c>
      <c r="AZ43" s="5" t="n">
        <f aca="false">+AY43*0.995</f>
        <v>7160.04525376773</v>
      </c>
      <c r="BA43" s="5" t="n">
        <f aca="false">+AZ43*0.995</f>
        <v>7124.24502749889</v>
      </c>
      <c r="BB43" s="5" t="n">
        <f aca="false">+BA43*0.995</f>
        <v>7088.6238023614</v>
      </c>
    </row>
    <row r="44" s="18" customFormat="true" ht="10.5" hidden="false" customHeight="true" outlineLevel="0" collapsed="false">
      <c r="E44" s="18" t="n">
        <f aca="false">+E43/D43-1</f>
        <v>-0.00371648526679058</v>
      </c>
      <c r="F44" s="18" t="n">
        <f aca="false">+F43/E43-1</f>
        <v>-0.00279776179056757</v>
      </c>
      <c r="G44" s="18" t="n">
        <f aca="false">+G43/F43-1</f>
        <v>-1</v>
      </c>
      <c r="H44" s="18" t="e">
        <f aca="false">+H43/G43-1</f>
        <v>#DIV/0!</v>
      </c>
      <c r="I44" s="18" t="n">
        <f aca="false">+I43/H43-1</f>
        <v>0.00040192926045024</v>
      </c>
      <c r="J44" s="18" t="n">
        <f aca="false">+J43/I43-1</f>
        <v>-0.000669612963706934</v>
      </c>
      <c r="K44" s="18" t="n">
        <f aca="false">+K43/J43-1</f>
        <v>0.000804073974805641</v>
      </c>
      <c r="L44" s="18" t="n">
        <f aca="false">+L43/K43-1</f>
        <v>0.000535618639528668</v>
      </c>
      <c r="M44" s="18" t="n">
        <f aca="false">+M43/L43-1</f>
        <v>0</v>
      </c>
      <c r="N44" s="18" t="n">
        <f aca="false">+N43/M43-1</f>
        <v>-0.000267665952890739</v>
      </c>
      <c r="O44" s="18" t="n">
        <f aca="false">+O43/N43-1</f>
        <v>-0.000267737617135166</v>
      </c>
      <c r="P44" s="18" t="n">
        <f aca="false">+P43/O43-1</f>
        <v>-0.000937332619175169</v>
      </c>
      <c r="Q44" s="18" t="n">
        <f aca="false">+Q43/P43-1</f>
        <v>0</v>
      </c>
      <c r="R44" s="18" t="n">
        <f aca="false">+R43/Q43-1</f>
        <v>0.000670151454228662</v>
      </c>
      <c r="S44" s="18" t="n">
        <f aca="false">+S43/R43-1</f>
        <v>-0.000803643182426983</v>
      </c>
      <c r="T44" s="18" t="n">
        <f aca="false">+T43/S43-1</f>
        <v>-0.00201072386058976</v>
      </c>
      <c r="U44" s="18" t="n">
        <f aca="false">+U43/T43-1</f>
        <v>-0.000268636668905309</v>
      </c>
      <c r="AC44" s="18" t="n">
        <f aca="false">+AC43/AB43-1</f>
        <v>-0.0374145849669542</v>
      </c>
      <c r="AD44" s="18" t="n">
        <f aca="false">+AD43/AC43-1</f>
        <v>-0.0101245199581055</v>
      </c>
      <c r="AE44" s="18" t="n">
        <f aca="false">+AE43/AD43-1</f>
        <v>-0.00423230660710083</v>
      </c>
      <c r="AF44" s="18" t="n">
        <f aca="false">+AF43/AE43-1</f>
        <v>-0.00838252656434479</v>
      </c>
      <c r="AG44" s="18" t="n">
        <f aca="false">+AG43/AF43-1</f>
        <v>-0.0172639599952376</v>
      </c>
      <c r="AH44" s="18" t="n">
        <f aca="false">+AH43/AG43-1</f>
        <v>-0.029197964623213</v>
      </c>
      <c r="AI44" s="18" t="n">
        <f aca="false">+AI43/AH43-1</f>
        <v>-0.0225882940222139</v>
      </c>
      <c r="AJ44" s="18" t="n">
        <f aca="false">+AJ43/AI43-1</f>
        <v>-0.00485188968335037</v>
      </c>
      <c r="AK44" s="18" t="n">
        <f aca="false">+AK43/AJ43-1</f>
        <v>-0.00526045676161147</v>
      </c>
      <c r="AL44" s="18" t="n">
        <f aca="false">+AL43/AK43-1</f>
        <v>-0.00902876305946088</v>
      </c>
      <c r="AM44" s="18" t="n">
        <f aca="false">+AM43/AL43-1</f>
        <v>-0.00976181179226865</v>
      </c>
      <c r="AN44" s="18" t="n">
        <f aca="false">+AN43/AM43-1</f>
        <v>-0.00893796004206104</v>
      </c>
      <c r="AO44" s="18" t="n">
        <f aca="false">+AO43/AN43-1</f>
        <v>-0.00901856763925735</v>
      </c>
      <c r="AP44" s="18" t="n">
        <f aca="false">+AP43/AO43-1</f>
        <v>-0.000401498929336164</v>
      </c>
      <c r="AQ44" s="18" t="n">
        <f aca="false">+AQ43/AP43-1</f>
        <v>-0.000535546927299513</v>
      </c>
      <c r="AR44" s="18" t="n">
        <f aca="false">+AR43/AQ43-1</f>
        <v>-0.00160750167448087</v>
      </c>
      <c r="AS44" s="18" t="n">
        <f aca="false">+AS43/AR43-1</f>
        <v>-0.005</v>
      </c>
      <c r="AT44" s="18" t="n">
        <f aca="false">+AT43/AS43-1</f>
        <v>-0.005</v>
      </c>
      <c r="AU44" s="18" t="n">
        <f aca="false">+AU43/AT43-1</f>
        <v>-0.005</v>
      </c>
      <c r="AV44" s="18" t="n">
        <f aca="false">+AV43/AU43-1</f>
        <v>-0.005</v>
      </c>
      <c r="AW44" s="18" t="n">
        <f aca="false">+AW43/AV43-1</f>
        <v>-0.00499999999999989</v>
      </c>
      <c r="AX44" s="18" t="n">
        <f aca="false">+AX43/AW43-1</f>
        <v>-0.005</v>
      </c>
      <c r="AY44" s="18" t="n">
        <f aca="false">+AY43/AX43-1</f>
        <v>-0.005</v>
      </c>
      <c r="AZ44" s="18" t="n">
        <f aca="false">+AZ43/AY43-1</f>
        <v>-0.005</v>
      </c>
      <c r="BA44" s="18" t="n">
        <f aca="false">+BA43/AZ43-1</f>
        <v>-0.005</v>
      </c>
      <c r="BB44" s="18" t="n">
        <f aca="false">+BB43/BA43-1</f>
        <v>-0.005</v>
      </c>
    </row>
    <row r="45" customFormat="false" ht="12.8" hidden="false" customHeight="true" outlineLevel="0" collapsed="false">
      <c r="BG45" s="22" t="s">
        <v>97</v>
      </c>
      <c r="BH45" s="22"/>
    </row>
    <row r="46" s="27" customFormat="true" ht="12.8" hidden="false" customHeight="true" outlineLevel="0" collapsed="false">
      <c r="A46" s="23" t="s">
        <v>85</v>
      </c>
      <c r="B46" s="23" t="e">
        <f aca="false">+B21/B13</f>
        <v>#DIV/0!</v>
      </c>
      <c r="C46" s="23" t="e">
        <f aca="false">+C21/C13</f>
        <v>#DIV/0!</v>
      </c>
      <c r="D46" s="23" t="n">
        <f aca="false">+D21/D13</f>
        <v>0.683650729335494</v>
      </c>
      <c r="E46" s="23" t="n">
        <f aca="false">+E21/E13</f>
        <v>0.683235322471802</v>
      </c>
      <c r="F46" s="23" t="n">
        <f aca="false">+F21/F13</f>
        <v>0.691712222177886</v>
      </c>
      <c r="G46" s="23" t="e">
        <f aca="false">+G21/G13</f>
        <v>#DIV/0!</v>
      </c>
      <c r="H46" s="23" t="n">
        <f aca="false">+H21/H13</f>
        <v>0.694874851013111</v>
      </c>
      <c r="I46" s="23" t="n">
        <f aca="false">+I21/I13</f>
        <v>0.701098079695314</v>
      </c>
      <c r="J46" s="23" t="n">
        <f aca="false">+J21/J13</f>
        <v>0.711555815064494</v>
      </c>
      <c r="K46" s="23" t="n">
        <f aca="false">+K21/K13</f>
        <v>0.683602063850371</v>
      </c>
      <c r="L46" s="23" t="n">
        <f aca="false">+L21/L13</f>
        <v>0.700847101425846</v>
      </c>
      <c r="M46" s="23" t="n">
        <f aca="false">+M21/M13</f>
        <v>0.695891977072937</v>
      </c>
      <c r="N46" s="23" t="n">
        <f aca="false">+N21/N13</f>
        <v>0.693542730807349</v>
      </c>
      <c r="O46" s="23" t="n">
        <f aca="false">+O21/O13</f>
        <v>0.686939912683824</v>
      </c>
      <c r="P46" s="23" t="n">
        <f aca="false">+P21/P13</f>
        <v>0.687166385978934</v>
      </c>
      <c r="Q46" s="23" t="n">
        <f aca="false">+Q21/Q13</f>
        <v>0.68584921704321</v>
      </c>
      <c r="R46" s="23" t="n">
        <f aca="false">+R21/R13</f>
        <v>0.690458717958621</v>
      </c>
      <c r="S46" s="23" t="n">
        <f aca="false">+S21/S13</f>
        <v>0.680361251584167</v>
      </c>
      <c r="T46" s="23" t="n">
        <f aca="false">+T21/T13</f>
        <v>0.676326520763458</v>
      </c>
      <c r="U46" s="23" t="n">
        <f aca="false">+U21/U13</f>
        <v>0.671969957892164</v>
      </c>
      <c r="V46" s="23"/>
      <c r="W46" s="23"/>
      <c r="X46" s="23"/>
      <c r="Y46" s="23"/>
      <c r="Z46" s="23"/>
      <c r="AA46" s="23"/>
      <c r="AB46" s="23" t="n">
        <f aca="false">+AB21/AB13</f>
        <v>0.801629217079572</v>
      </c>
      <c r="AC46" s="23" t="n">
        <f aca="false">+AC21/AC13</f>
        <v>0.777290079064381</v>
      </c>
      <c r="AD46" s="23" t="n">
        <f aca="false">+AD21/AD13</f>
        <v>0.762218032364391</v>
      </c>
      <c r="AE46" s="23" t="n">
        <f aca="false">+AE21/AE13</f>
        <v>0.739893897159886</v>
      </c>
      <c r="AF46" s="23" t="n">
        <f aca="false">+AF21/AF13</f>
        <v>0.688160031324496</v>
      </c>
      <c r="AG46" s="23" t="n">
        <f aca="false">+AG21/AG13</f>
        <v>0.646954477452447</v>
      </c>
      <c r="AH46" s="23" t="n">
        <f aca="false">+AH21/AH13</f>
        <v>0.615799343647445</v>
      </c>
      <c r="AI46" s="23" t="n">
        <f aca="false">+AI21/AI13</f>
        <v>0.61911061700945</v>
      </c>
      <c r="AJ46" s="23" t="n">
        <f aca="false">+AJ21/AJ13</f>
        <v>0.652473722363175</v>
      </c>
      <c r="AK46" s="23" t="n">
        <f aca="false">+AK21/AK13</f>
        <v>0.659019572006389</v>
      </c>
      <c r="AL46" s="23" t="n">
        <f aca="false">+AL21/AL13</f>
        <v>0.67781001992798</v>
      </c>
      <c r="AM46" s="23" t="n">
        <f aca="false">+AM21/AM13</f>
        <v>0.689258007710247</v>
      </c>
      <c r="AN46" s="23" t="n">
        <f aca="false">+AN21/AN13</f>
        <v>0.684016744842891</v>
      </c>
      <c r="AO46" s="23" t="n">
        <f aca="false">+AO21/AO13</f>
        <v>0.68920085883491</v>
      </c>
      <c r="AP46" s="23" t="n">
        <f aca="false">+AP21/AP13</f>
        <v>0.697644438279714</v>
      </c>
      <c r="AQ46" s="23" t="n">
        <f aca="false">+AQ21/AQ13</f>
        <v>0.688237423861652</v>
      </c>
      <c r="AR46" s="23" t="n">
        <f aca="false">+AR21/AR13</f>
        <v>0.679440933705803</v>
      </c>
      <c r="AS46" s="23" t="n">
        <f aca="false">+AS21/AS13</f>
        <v>0.685</v>
      </c>
      <c r="AT46" s="23" t="n">
        <f aca="false">+AT21/AT13</f>
        <v>0.695</v>
      </c>
      <c r="AU46" s="23" t="n">
        <f aca="false">+AU21/AU13</f>
        <v>0.705</v>
      </c>
      <c r="AV46" s="23" t="n">
        <f aca="false">+AV21/AV13</f>
        <v>0.71</v>
      </c>
      <c r="AW46" s="23" t="n">
        <f aca="false">+AW21/AW13</f>
        <v>0.715</v>
      </c>
      <c r="AX46" s="23" t="n">
        <f aca="false">+AX21/AX13</f>
        <v>0.72</v>
      </c>
      <c r="AY46" s="23" t="n">
        <f aca="false">+AY21/AY13</f>
        <v>0.725</v>
      </c>
      <c r="AZ46" s="23" t="n">
        <f aca="false">+AZ21/AZ13</f>
        <v>0.73</v>
      </c>
      <c r="BA46" s="23" t="n">
        <f aca="false">+BA21/BA13</f>
        <v>0.735</v>
      </c>
      <c r="BB46" s="23" t="n">
        <f aca="false">+BB21/BB13</f>
        <v>0.74</v>
      </c>
      <c r="BC46" s="24"/>
      <c r="BD46" s="25" t="s">
        <v>98</v>
      </c>
      <c r="BE46" s="26" t="n">
        <v>0.02</v>
      </c>
      <c r="BF46" s="24"/>
      <c r="BG46" s="27" t="s">
        <v>99</v>
      </c>
      <c r="BH46" s="27" t="n">
        <f aca="false">+SUM(R174:U174)/SUM(R39:U39)</f>
        <v>0.349213825897764</v>
      </c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</row>
    <row r="47" s="27" customFormat="true" ht="12.8" hidden="false" customHeight="true" outlineLevel="0" collapsed="false">
      <c r="A47" s="23" t="s">
        <v>100</v>
      </c>
      <c r="B47" s="23" t="e">
        <f aca="false">+B31/B13</f>
        <v>#DIV/0!</v>
      </c>
      <c r="C47" s="23" t="e">
        <f aca="false">+C31/C13</f>
        <v>#DIV/0!</v>
      </c>
      <c r="D47" s="23" t="n">
        <f aca="false">+D31/D13</f>
        <v>0.412560777957861</v>
      </c>
      <c r="E47" s="23" t="n">
        <f aca="false">+E31/E13</f>
        <v>0.395912465053504</v>
      </c>
      <c r="F47" s="23" t="n">
        <f aca="false">+F31/F13</f>
        <v>0.429312477554766</v>
      </c>
      <c r="G47" s="23" t="e">
        <f aca="false">+G31/G13</f>
        <v>#DIV/0!</v>
      </c>
      <c r="H47" s="23" t="n">
        <f aca="false">+H31/H13</f>
        <v>0.422876818585996</v>
      </c>
      <c r="I47" s="23" t="n">
        <f aca="false">+I31/I13</f>
        <v>0.431650323016961</v>
      </c>
      <c r="J47" s="23" t="n">
        <f aca="false">+J31/J13</f>
        <v>0.475874515632465</v>
      </c>
      <c r="K47" s="23" t="n">
        <f aca="false">+K31/K13</f>
        <v>0.435859400193486</v>
      </c>
      <c r="L47" s="23" t="n">
        <f aca="false">+L31/L13</f>
        <v>0.44587603866921</v>
      </c>
      <c r="M47" s="23" t="n">
        <f aca="false">+M31/M13</f>
        <v>0.431427379609746</v>
      </c>
      <c r="N47" s="23" t="n">
        <f aca="false">+N31/N13</f>
        <v>0.465838225203934</v>
      </c>
      <c r="O47" s="23" t="n">
        <f aca="false">+O31/O13</f>
        <v>0.454575482536765</v>
      </c>
      <c r="P47" s="23" t="n">
        <f aca="false">+P31/P13</f>
        <v>0.456712242742557</v>
      </c>
      <c r="Q47" s="23" t="n">
        <f aca="false">+Q31/Q13</f>
        <v>0.449012964246936</v>
      </c>
      <c r="R47" s="23" t="n">
        <f aca="false">+R31/R13</f>
        <v>0.48872838695557</v>
      </c>
      <c r="S47" s="23" t="n">
        <f aca="false">+S31/S13</f>
        <v>0.470943609808916</v>
      </c>
      <c r="T47" s="23" t="n">
        <f aca="false">+T31/T13</f>
        <v>0.463262794681852</v>
      </c>
      <c r="U47" s="23" t="n">
        <f aca="false">+U31/U13</f>
        <v>0.451109358161032</v>
      </c>
      <c r="V47" s="23"/>
      <c r="W47" s="23"/>
      <c r="X47" s="23"/>
      <c r="Y47" s="23"/>
      <c r="Z47" s="23"/>
      <c r="AA47" s="23"/>
      <c r="AB47" s="23" t="n">
        <f aca="false">+AB31/AB13</f>
        <v>0.385666730683055</v>
      </c>
      <c r="AC47" s="23" t="n">
        <f aca="false">+AC31/AC13</f>
        <v>0.388330497690977</v>
      </c>
      <c r="AD47" s="23" t="n">
        <f aca="false">+AD31/AD13</f>
        <v>0.295199598497077</v>
      </c>
      <c r="AE47" s="23" t="n">
        <f aca="false">+AE31/AE13</f>
        <v>0.343793754576167</v>
      </c>
      <c r="AF47" s="23" t="n">
        <f aca="false">+AF31/AF13</f>
        <v>0.319682609146292</v>
      </c>
      <c r="AG47" s="23" t="n">
        <f aca="false">+AG31/AG13</f>
        <v>0.194069245565292</v>
      </c>
      <c r="AH47" s="23" t="n">
        <f aca="false">+AH31/AH13</f>
        <v>0.236544772620722</v>
      </c>
      <c r="AI47" s="23" t="n">
        <f aca="false">+AI31/AI13</f>
        <v>0.248204558087827</v>
      </c>
      <c r="AJ47" s="23" t="n">
        <f aca="false">+AJ31/AJ13</f>
        <v>0.317669445451251</v>
      </c>
      <c r="AK47" s="23" t="n">
        <f aca="false">+AK31/AK13</f>
        <v>0.341369802054942</v>
      </c>
      <c r="AL47" s="23" t="n">
        <f aca="false">+AL31/AL13</f>
        <v>0.370303814285215</v>
      </c>
      <c r="AM47" s="23" t="n">
        <f aca="false">+AM31/AM13</f>
        <v>0.415948788729713</v>
      </c>
      <c r="AN47" s="23" t="n">
        <f aca="false">+AN31/AN13</f>
        <v>0.420552781560498</v>
      </c>
      <c r="AO47" s="23" t="n">
        <f aca="false">+AO31/AO13</f>
        <v>0.417728806361041</v>
      </c>
      <c r="AP47" s="23" t="n">
        <f aca="false">+AP31/AP13</f>
        <v>0.446442995732737</v>
      </c>
      <c r="AQ47" s="23" t="n">
        <f aca="false">+AQ31/AQ13</f>
        <v>0.456219562408599</v>
      </c>
      <c r="AR47" s="23" t="n">
        <f aca="false">+AR31/AR13</f>
        <v>0.467808184089272</v>
      </c>
      <c r="AS47" s="23" t="n">
        <f aca="false">+AS31/AS13</f>
        <v>0.466</v>
      </c>
      <c r="AT47" s="23" t="n">
        <f aca="false">+AT31/AT13</f>
        <v>0.476</v>
      </c>
      <c r="AU47" s="23" t="n">
        <f aca="false">+AU31/AU13</f>
        <v>0.486</v>
      </c>
      <c r="AV47" s="23" t="n">
        <f aca="false">+AV31/AV13</f>
        <v>0.496</v>
      </c>
      <c r="AW47" s="23" t="n">
        <f aca="false">+AW31/AW13</f>
        <v>0.500999999999999</v>
      </c>
      <c r="AX47" s="23" t="n">
        <f aca="false">+AX31/AX13</f>
        <v>0.506</v>
      </c>
      <c r="AY47" s="23" t="n">
        <f aca="false">+AY31/AY13</f>
        <v>0.516</v>
      </c>
      <c r="AZ47" s="23" t="n">
        <f aca="false">+AZ31/AZ13</f>
        <v>0.521</v>
      </c>
      <c r="BA47" s="23" t="n">
        <f aca="false">+BA31/BA13</f>
        <v>0.526</v>
      </c>
      <c r="BB47" s="23" t="n">
        <f aca="false">+BB31/BB13</f>
        <v>0.531000000000003</v>
      </c>
      <c r="BD47" s="28" t="s">
        <v>101</v>
      </c>
      <c r="BE47" s="29" t="n">
        <f aca="false">+Main!E11</f>
        <v>0.105945836606579</v>
      </c>
      <c r="BG47" s="27" t="s">
        <v>102</v>
      </c>
      <c r="BH47" s="27" t="n">
        <f aca="false">+(1-BH46)*U54</f>
        <v>0.217343721204705</v>
      </c>
    </row>
    <row r="48" s="27" customFormat="true" ht="12.8" hidden="false" customHeight="true" outlineLevel="0" collapsed="false">
      <c r="A48" s="23" t="s">
        <v>103</v>
      </c>
      <c r="B48" s="23" t="e">
        <f aca="false">+B39/B13</f>
        <v>#DIV/0!</v>
      </c>
      <c r="C48" s="23" t="e">
        <f aca="false">+C39/C13</f>
        <v>#DIV/0!</v>
      </c>
      <c r="D48" s="23" t="n">
        <f aca="false">+D39/D13</f>
        <v>0.338897893030794</v>
      </c>
      <c r="E48" s="23" t="n">
        <f aca="false">+E39/E13</f>
        <v>0.322761014171407</v>
      </c>
      <c r="F48" s="23" t="n">
        <f aca="false">+F39/F13</f>
        <v>0.350265352539803</v>
      </c>
      <c r="G48" s="23" t="e">
        <f aca="false">+G39/G13</f>
        <v>#DIV/0!</v>
      </c>
      <c r="H48" s="23" t="n">
        <f aca="false">+H39/H13</f>
        <v>0.346198232968197</v>
      </c>
      <c r="I48" s="23" t="n">
        <f aca="false">+I39/I13</f>
        <v>0.357383117692075</v>
      </c>
      <c r="J48" s="23" t="n">
        <f aca="false">+J39/J13</f>
        <v>0.394412300723676</v>
      </c>
      <c r="K48" s="23" t="n">
        <f aca="false">+K39/K13</f>
        <v>0.352628184456627</v>
      </c>
      <c r="L48" s="23" t="n">
        <f aca="false">+L39/L13</f>
        <v>0.354667140871027</v>
      </c>
      <c r="M48" s="23" t="n">
        <f aca="false">+M39/M13</f>
        <v>0.340445254685062</v>
      </c>
      <c r="N48" s="23" t="n">
        <f aca="false">+N39/N13</f>
        <v>0.376107341617748</v>
      </c>
      <c r="O48" s="23" t="n">
        <f aca="false">+O39/O13</f>
        <v>0.346220128676471</v>
      </c>
      <c r="P48" s="23" t="n">
        <f aca="false">+P39/P13</f>
        <v>0.368566779893244</v>
      </c>
      <c r="Q48" s="23" t="n">
        <f aca="false">+Q39/Q13</f>
        <v>0.356261692023914</v>
      </c>
      <c r="R48" s="23" t="n">
        <f aca="false">+R39/R13</f>
        <v>0.357228380518327</v>
      </c>
      <c r="S48" s="23" t="n">
        <f aca="false">+S39/S13</f>
        <v>0.473195280105324</v>
      </c>
      <c r="T48" s="23" t="n">
        <f aca="false">+T39/T13</f>
        <v>0.383394059310378</v>
      </c>
      <c r="U48" s="23" t="n">
        <f aca="false">+U39/U13</f>
        <v>0.397369093514949</v>
      </c>
      <c r="V48" s="23"/>
      <c r="W48" s="23"/>
      <c r="X48" s="23"/>
      <c r="Y48" s="23"/>
      <c r="Z48" s="23"/>
      <c r="AA48" s="23"/>
      <c r="AB48" s="23" t="n">
        <f aca="false">+AB39/AB13</f>
        <v>0.300236860636323</v>
      </c>
      <c r="AC48" s="23" t="n">
        <f aca="false">+AC39/AC13</f>
        <v>0.330983801095178</v>
      </c>
      <c r="AD48" s="23" t="n">
        <f aca="false">+AD39/AD13</f>
        <v>0.230294480691236</v>
      </c>
      <c r="AE48" s="23" t="n">
        <f aca="false">+AE39/AE13</f>
        <v>0.280838546416781</v>
      </c>
      <c r="AF48" s="23" t="n">
        <f aca="false">+AF39/AF13</f>
        <v>0.25421210829984</v>
      </c>
      <c r="AG48" s="23" t="n">
        <f aca="false">+AG39/AG13</f>
        <v>0.130294934815131</v>
      </c>
      <c r="AH48" s="23" t="n">
        <f aca="false">+AH39/AH13</f>
        <v>0.196882325363338</v>
      </c>
      <c r="AI48" s="23" t="n">
        <f aca="false">+AI39/AI13</f>
        <v>0.235730961645359</v>
      </c>
      <c r="AJ48" s="23" t="n">
        <f aca="false">+AJ39/AJ13</f>
        <v>0.150154041319319</v>
      </c>
      <c r="AK48" s="23" t="n">
        <f aca="false">+AK39/AK13</f>
        <v>0.311817105440907</v>
      </c>
      <c r="AL48" s="23" t="n">
        <f aca="false">+AL39/AL13</f>
        <v>0.3096248645247</v>
      </c>
      <c r="AM48" s="23" t="n">
        <f aca="false">+AM39/AM13</f>
        <v>0.364517395649898</v>
      </c>
      <c r="AN48" s="23" t="n">
        <f aca="false">+AN39/AN13</f>
        <v>0.366863368134362</v>
      </c>
      <c r="AO48" s="23" t="n">
        <f aca="false">+AO39/AO13</f>
        <v>0.341462378783946</v>
      </c>
      <c r="AP48" s="23" t="n">
        <f aca="false">+AP39/AP13</f>
        <v>0.35955972944085</v>
      </c>
      <c r="AQ48" s="23" t="n">
        <f aca="false">+AQ39/AQ13</f>
        <v>0.361460152489671</v>
      </c>
      <c r="AR48" s="23" t="n">
        <f aca="false">+AR39/AR13</f>
        <v>0.403053890591522</v>
      </c>
      <c r="AS48" s="23" t="n">
        <f aca="false">+AS39/AS13</f>
        <v>0.376615319461763</v>
      </c>
      <c r="AT48" s="23" t="n">
        <f aca="false">+AT39/AT13</f>
        <v>0.38668641553229</v>
      </c>
      <c r="AU48" s="23" t="n">
        <f aca="false">+AU39/AU13</f>
        <v>0.386693399291422</v>
      </c>
      <c r="AV48" s="23" t="n">
        <f aca="false">+AV39/AV13</f>
        <v>0.396204217373592</v>
      </c>
      <c r="AW48" s="23" t="n">
        <f aca="false">+AW39/AW13</f>
        <v>0.40176638076912</v>
      </c>
      <c r="AX48" s="23" t="n">
        <f aca="false">+AX39/AX13</f>
        <v>0.365514229598653</v>
      </c>
      <c r="AY48" s="23" t="n">
        <f aca="false">+AY39/AY13</f>
        <v>0.373698044329589</v>
      </c>
      <c r="AZ48" s="23" t="n">
        <f aca="false">+AZ39/AZ13</f>
        <v>0.378316153729636</v>
      </c>
      <c r="BA48" s="23" t="n">
        <f aca="false">+BA39/BA13</f>
        <v>0.382852582707877</v>
      </c>
      <c r="BB48" s="23" t="n">
        <f aca="false">+BB39/BB13</f>
        <v>0.38731491061877</v>
      </c>
      <c r="BD48" s="30" t="s">
        <v>104</v>
      </c>
      <c r="BE48" s="31" t="n">
        <v>0.01</v>
      </c>
      <c r="BG48" s="27" t="s">
        <v>105</v>
      </c>
      <c r="BH48" s="32" t="n">
        <f aca="false">+SUM(AO174:AR174)/(Main!E11-0.06)</f>
        <v>3577146.74797036</v>
      </c>
      <c r="BJ48" s="27" t="s">
        <v>106</v>
      </c>
      <c r="BK48" s="27" t="n">
        <f aca="false">+BH48/Main!E6-1</f>
        <v>0.0159269136444578</v>
      </c>
    </row>
    <row r="49" s="27" customFormat="true" ht="12.8" hidden="false" customHeight="true" outlineLevel="0" collapsed="false">
      <c r="A49" s="23" t="s">
        <v>107</v>
      </c>
      <c r="B49" s="23" t="e">
        <f aca="false">+B37/B35</f>
        <v>#DIV/0!</v>
      </c>
      <c r="C49" s="23" t="e">
        <f aca="false">+C37/C35</f>
        <v>#DIV/0!</v>
      </c>
      <c r="D49" s="23" t="n">
        <f aca="false">+D37/D35</f>
        <v>0.17147102526003</v>
      </c>
      <c r="E49" s="23" t="n">
        <f aca="false">+E37/E35</f>
        <v>0.182896470932787</v>
      </c>
      <c r="F49" s="23" t="n">
        <f aca="false">+F37/F35</f>
        <v>0.18616725384758</v>
      </c>
      <c r="G49" s="23" t="e">
        <f aca="false">+G37/G35</f>
        <v>#DIV/0!</v>
      </c>
      <c r="H49" s="23" t="n">
        <f aca="false">+H37/H35</f>
        <v>0.192916685043885</v>
      </c>
      <c r="I49" s="23" t="n">
        <f aca="false">+I37/I35</f>
        <v>0.187891778218142</v>
      </c>
      <c r="J49" s="23" t="n">
        <f aca="false">+J37/J35</f>
        <v>0.183001026242486</v>
      </c>
      <c r="K49" s="23" t="n">
        <f aca="false">+K37/K35</f>
        <v>0.175525899117847</v>
      </c>
      <c r="L49" s="23" t="n">
        <f aca="false">+L37/L35</f>
        <v>0.179144685149848</v>
      </c>
      <c r="M49" s="23" t="n">
        <f aca="false">+M37/M35</f>
        <v>0.191339449541284</v>
      </c>
      <c r="N49" s="23" t="n">
        <f aca="false">+N37/N35</f>
        <v>0.185073837919984</v>
      </c>
      <c r="O49" s="23" t="n">
        <f aca="false">+O37/O35</f>
        <v>0.179022646007151</v>
      </c>
      <c r="P49" s="23" t="n">
        <f aca="false">+P37/P35</f>
        <v>0.176976766421264</v>
      </c>
      <c r="Q49" s="23" t="n">
        <f aca="false">+Q37/Q35</f>
        <v>0.165041697326466</v>
      </c>
      <c r="R49" s="23" t="n">
        <f aca="false">+R37/R35</f>
        <v>0.191073146555494</v>
      </c>
      <c r="S49" s="23" t="n">
        <f aca="false">+S37/S35</f>
        <v>0.202876922439166</v>
      </c>
      <c r="T49" s="23" t="n">
        <f aca="false">+T37/T35</f>
        <v>0.192221657346213</v>
      </c>
      <c r="U49" s="23" t="n">
        <f aca="false">+U37/U35</f>
        <v>0.188003723295571</v>
      </c>
      <c r="V49" s="23"/>
      <c r="W49" s="23"/>
      <c r="X49" s="23"/>
      <c r="Y49" s="23"/>
      <c r="Z49" s="23"/>
      <c r="AA49" s="23"/>
      <c r="AB49" s="23" t="n">
        <f aca="false">+AB37/AB35</f>
        <v>0.249990005197297</v>
      </c>
      <c r="AC49" s="23" t="n">
        <f aca="false">+AC37/AC35</f>
        <v>0.17530547540166</v>
      </c>
      <c r="AD49" s="23" t="n">
        <f aca="false">+AD37/AD35</f>
        <v>0.237526384335564</v>
      </c>
      <c r="AE49" s="23" t="n">
        <f aca="false">+AE37/AE35</f>
        <v>0.191815762235694</v>
      </c>
      <c r="AF49" s="23" t="n">
        <f aca="false">+AF37/AF35</f>
        <v>0.206542056074766</v>
      </c>
      <c r="AG49" s="23" t="n">
        <f aca="false">+AG37/AG35</f>
        <v>0.34116820662452</v>
      </c>
      <c r="AH49" s="23" t="n">
        <f aca="false">+AH37/AH35</f>
        <v>0.149511417143436</v>
      </c>
      <c r="AI49" s="23" t="n">
        <f aca="false">+AI37/AI35</f>
        <v>0.0840209080305845</v>
      </c>
      <c r="AJ49" s="23" t="n">
        <f aca="false">+AJ37/AJ35</f>
        <v>0.545676372210342</v>
      </c>
      <c r="AK49" s="23" t="n">
        <f aca="false">+AK37/AK35</f>
        <v>0.1018128547885</v>
      </c>
      <c r="AL49" s="23" t="n">
        <f aca="false">+AL37/AL35</f>
        <v>0.165076551776152</v>
      </c>
      <c r="AM49" s="23" t="n">
        <f aca="false">+AM37/AM35</f>
        <v>0.138266152850834</v>
      </c>
      <c r="AN49" s="23" t="n">
        <f aca="false">+AN37/AN35</f>
        <v>0.131133833436858</v>
      </c>
      <c r="AO49" s="23" t="n">
        <f aca="false">+AO37/AO35</f>
        <v>0.189786252533283</v>
      </c>
      <c r="AP49" s="23" t="n">
        <f aca="false">+AP37/AP35</f>
        <v>0.182313265978272</v>
      </c>
      <c r="AQ49" s="23" t="n">
        <f aca="false">+AQ37/AQ35</f>
        <v>0.176296440098037</v>
      </c>
      <c r="AR49" s="23" t="n">
        <f aca="false">+AR37/AR35</f>
        <v>0.193962659852713</v>
      </c>
      <c r="AS49" s="23" t="n">
        <f aca="false">+AS37/AS35</f>
        <v>0.2</v>
      </c>
      <c r="AT49" s="23" t="n">
        <f aca="false">+AT37/AT35</f>
        <v>0.2</v>
      </c>
      <c r="AU49" s="23" t="n">
        <f aca="false">+AU37/AU35</f>
        <v>0.22</v>
      </c>
      <c r="AV49" s="23" t="n">
        <f aca="false">+AV37/AV35</f>
        <v>0.22</v>
      </c>
      <c r="AW49" s="23" t="n">
        <f aca="false">+AW37/AW35</f>
        <v>0.22</v>
      </c>
      <c r="AX49" s="23" t="n">
        <f aca="false">+AX37/AX35</f>
        <v>0.3</v>
      </c>
      <c r="AY49" s="23" t="n">
        <f aca="false">+AY37/AY35</f>
        <v>0.3</v>
      </c>
      <c r="AZ49" s="23" t="n">
        <f aca="false">+AZ37/AZ35</f>
        <v>0.3</v>
      </c>
      <c r="BA49" s="23" t="n">
        <f aca="false">+BA37/BA35</f>
        <v>0.3</v>
      </c>
      <c r="BB49" s="23" t="n">
        <f aca="false">+BB37/BB35</f>
        <v>0.3</v>
      </c>
      <c r="BD49" s="28" t="s">
        <v>108</v>
      </c>
      <c r="BE49" s="33" t="n">
        <f aca="false">+NPV(BE47,AR39:DX39)+Main!E4-Main!E5</f>
        <v>3284196.02021009</v>
      </c>
      <c r="BG49" s="27" t="s">
        <v>109</v>
      </c>
      <c r="BH49" s="34" t="n">
        <f aca="false">+BH46*(1+0.06)/(Main!B11-0.06)</f>
        <v>7.9434904603354</v>
      </c>
    </row>
    <row r="50" s="27" customFormat="true" ht="12.8" hidden="false" customHeight="true" outlineLevel="0" collapsed="false">
      <c r="A50" s="23" t="s">
        <v>110</v>
      </c>
      <c r="B50" s="23" t="e">
        <f aca="false">+B120/B39</f>
        <v>#DIV/0!</v>
      </c>
      <c r="C50" s="23" t="e">
        <f aca="false">+C120/C39</f>
        <v>#DIV/0!</v>
      </c>
      <c r="D50" s="23" t="n">
        <f aca="false">+D120/D39</f>
        <v>0.31922525107604</v>
      </c>
      <c r="E50" s="23" t="n">
        <f aca="false">+E120/E39</f>
        <v>0.410454002389486</v>
      </c>
      <c r="F50" s="23" t="n">
        <f aca="false">+F120/F39</f>
        <v>0.35788334472545</v>
      </c>
      <c r="G50" s="23" t="e">
        <f aca="false">+G120/G39</f>
        <v>#DIV/0!</v>
      </c>
      <c r="H50" s="23" t="n">
        <f aca="false">+H120/H39</f>
        <v>0.361057981310454</v>
      </c>
      <c r="I50" s="23" t="n">
        <f aca="false">+I120/I39</f>
        <v>0.445346347293462</v>
      </c>
      <c r="J50" s="23" t="n">
        <f aca="false">+J120/J39</f>
        <v>0.444888071418958</v>
      </c>
      <c r="K50" s="23" t="n">
        <f aca="false">+K120/K39</f>
        <v>0.445130315500686</v>
      </c>
      <c r="L50" s="23" t="n">
        <f aca="false">+L120/L39</f>
        <v>0.499202333743562</v>
      </c>
      <c r="M50" s="23" t="n">
        <f aca="false">+M120/M39</f>
        <v>0.629560718823743</v>
      </c>
      <c r="N50" s="23" t="n">
        <f aca="false">+N120/N39</f>
        <v>0.604978311103904</v>
      </c>
      <c r="O50" s="23" t="n">
        <f aca="false">+O120/O39</f>
        <v>0.655550024888004</v>
      </c>
      <c r="P50" s="23" t="n">
        <f aca="false">+P120/P39</f>
        <v>0.648427819083024</v>
      </c>
      <c r="Q50" s="23" t="n">
        <f aca="false">+Q120/Q39</f>
        <v>0.627143539088606</v>
      </c>
      <c r="R50" s="23" t="n">
        <f aca="false">+R120/R39</f>
        <v>0.698958445958122</v>
      </c>
      <c r="S50" s="23" t="n">
        <f aca="false">+S120/S39</f>
        <v>0.776847469967237</v>
      </c>
      <c r="T50" s="23" t="n">
        <f aca="false">+T120/T39</f>
        <v>0.971615583107811</v>
      </c>
      <c r="U50" s="23" t="n">
        <f aca="false">+U120/U39</f>
        <v>1.00100654252642</v>
      </c>
      <c r="V50" s="23"/>
      <c r="W50" s="23"/>
      <c r="X50" s="23"/>
      <c r="Y50" s="23"/>
      <c r="Z50" s="23"/>
      <c r="AA50" s="23"/>
      <c r="AB50" s="23" t="n">
        <f aca="false">+AB120/AB39</f>
        <v>0.105383795309168</v>
      </c>
      <c r="AC50" s="23" t="n">
        <f aca="false">+AC120/AC39</f>
        <v>0.101727861771058</v>
      </c>
      <c r="AD50" s="23" t="n">
        <f aca="false">+AD120/AD39</f>
        <v>0.135763929791495</v>
      </c>
      <c r="AE50" s="23" t="n">
        <f aca="false">+AE120/AE39</f>
        <v>0.194712528015368</v>
      </c>
      <c r="AF50" s="23" t="n">
        <f aca="false">+AF120/AF39</f>
        <v>0.248482377457642</v>
      </c>
      <c r="AG50" s="23" t="n">
        <f aca="false">+AG120/AG39</f>
        <v>0.487492823751333</v>
      </c>
      <c r="AH50" s="23" t="n">
        <f aca="false">+AH120/AH39</f>
        <v>0.496666269794023</v>
      </c>
      <c r="AI50" s="23" t="n">
        <f aca="false">+AI120/AI39</f>
        <v>0.383371062063762</v>
      </c>
      <c r="AJ50" s="23" t="n">
        <f aca="false">+AJ120/AJ39</f>
        <v>0.701949188341078</v>
      </c>
      <c r="AK50" s="23" t="n">
        <f aca="false">+AK120/AK39</f>
        <v>0.35486748216106</v>
      </c>
      <c r="AL50" s="23" t="n">
        <f aca="false">+AL120/AL39</f>
        <v>0.348704862130485</v>
      </c>
      <c r="AM50" s="23" t="n">
        <f aca="false">+AM120/AM39</f>
        <v>0.336570318747858</v>
      </c>
      <c r="AN50" s="23" t="n">
        <f aca="false">+AN120/AN39</f>
        <v>0.302977810772911</v>
      </c>
      <c r="AO50" s="23" t="n">
        <f aca="false">+AO120/AO39</f>
        <v>0.388427467834883</v>
      </c>
      <c r="AP50" s="23" t="n">
        <f aca="false">+AP120/AP39</f>
        <v>0.504640555505128</v>
      </c>
      <c r="AQ50" s="23" t="n">
        <f aca="false">+AQ120/AQ39</f>
        <v>0.633897006834787</v>
      </c>
      <c r="AR50" s="23" t="n">
        <f aca="false">+AR120/AR39</f>
        <v>0.866907416130214</v>
      </c>
      <c r="AS50" s="23" t="n">
        <f aca="false">+AS120/AS39</f>
        <v>0.872257430172644</v>
      </c>
      <c r="AT50" s="23" t="n">
        <f aca="false">+AT120/AT39</f>
        <v>0.805598112209617</v>
      </c>
      <c r="AU50" s="23" t="n">
        <f aca="false">+AU120/AU39</f>
        <v>0.517205621731534</v>
      </c>
      <c r="AV50" s="23" t="n">
        <f aca="false">+AV120/AV39</f>
        <v>0.504790184531061</v>
      </c>
      <c r="AW50" s="23" t="n">
        <f aca="false">+AW120/AW39</f>
        <v>0.497801731486669</v>
      </c>
      <c r="AX50" s="23" t="n">
        <f aca="false">+AX120/AX39</f>
        <v>0.547174319915279</v>
      </c>
      <c r="AY50" s="23" t="n">
        <f aca="false">+AY120/AY39</f>
        <v>0.267595727399107</v>
      </c>
      <c r="AZ50" s="23" t="n">
        <f aca="false">+AZ120/AZ39</f>
        <v>0.264329183446566</v>
      </c>
      <c r="BA50" s="23" t="n">
        <f aca="false">+BA120/BA39</f>
        <v>0.261197140927483</v>
      </c>
      <c r="BB50" s="23" t="n">
        <f aca="false">+BB120/BB39</f>
        <v>0.258187839554747</v>
      </c>
      <c r="BD50" s="30" t="s">
        <v>96</v>
      </c>
      <c r="BE50" s="35" t="n">
        <f aca="false">+BE49/Main!E2</f>
        <v>442.283469166089</v>
      </c>
    </row>
    <row r="51" s="27" customFormat="true" ht="12.8" hidden="false" customHeight="tru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D51" s="36" t="s">
        <v>106</v>
      </c>
      <c r="BE51" s="37" t="n">
        <f aca="false">+BE50/Main!E1-1</f>
        <v>-0.0861911794089076</v>
      </c>
      <c r="BG51" s="27" t="s">
        <v>111</v>
      </c>
      <c r="BH51" s="27" t="n">
        <f aca="false">+SUM(R170:U170)/SUM(R39:U39)</f>
        <v>0.197721104456856</v>
      </c>
    </row>
    <row r="52" customFormat="false" ht="12.8" hidden="false" customHeight="true" outlineLevel="0" collapsed="false">
      <c r="BD52" s="27"/>
      <c r="BE52" s="27"/>
      <c r="BF52" s="27"/>
      <c r="BG52" s="27" t="s">
        <v>112</v>
      </c>
      <c r="BH52" s="27" t="n">
        <f aca="false">+(-U68+U81)/SUM(R65:U65)</f>
        <v>0.0924578043957933</v>
      </c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</row>
    <row r="53" s="27" customFormat="true" ht="12.8" hidden="false" customHeight="true" outlineLevel="0" collapsed="false">
      <c r="A53" s="27" t="s">
        <v>113</v>
      </c>
      <c r="D53" s="27" t="e">
        <f aca="false">+(D39*4)/AVERAGE(C78:D78)</f>
        <v>#DIV/0!</v>
      </c>
      <c r="E53" s="27" t="n">
        <f aca="false">+(E39*4)/AVERAGE(D78:E78)</f>
        <v>0.367065014801009</v>
      </c>
      <c r="F53" s="27" t="n">
        <f aca="false">+(F39*4)/AVERAGE(E78:F78)</f>
        <v>0.38495778971604</v>
      </c>
      <c r="G53" s="27" t="e">
        <f aca="false">+(G39*4)/AVERAGE(F78:G78)</f>
        <v>#DIV/0!</v>
      </c>
      <c r="H53" s="27" t="n">
        <f aca="false">+(H39*4)/AVERAGE(G78:H78)</f>
        <v>0.385152911957231</v>
      </c>
      <c r="I53" s="27" t="n">
        <f aca="false">+(I39*4)/AVERAGE(H78:I78)</f>
        <v>0.202821994182288</v>
      </c>
      <c r="J53" s="27" t="n">
        <f aca="false">+(J39*4)/AVERAGE(I78:J78)</f>
        <v>0.207899403213716</v>
      </c>
      <c r="K53" s="27" t="n">
        <f aca="false">+(K39*4)/AVERAGE(J78:K78)</f>
        <v>0.39247619368081</v>
      </c>
      <c r="L53" s="27" t="e">
        <f aca="false">+(L39*4)/AVERAGE(K78:L78)</f>
        <v>#DIV/0!</v>
      </c>
      <c r="M53" s="27" t="n">
        <f aca="false">+(M39*4)/AVERAGE(L78:M78)</f>
        <v>0.344202919773588</v>
      </c>
      <c r="N53" s="27" t="n">
        <f aca="false">+(N39*4)/AVERAGE(M78:N78)</f>
        <v>0.190630385557625</v>
      </c>
      <c r="O53" s="27" t="n">
        <f aca="false">+(O39*4)/AVERAGE(N78:O78)</f>
        <v>0.182478940989355</v>
      </c>
      <c r="P53" s="27" t="n">
        <f aca="false">+(P39*4)/AVERAGE(O78:P78)</f>
        <v>0.188406616556713</v>
      </c>
      <c r="Q53" s="27" t="n">
        <f aca="false">+(Q39*4)/AVERAGE(P78:Q78)</f>
        <v>0.184376287948735</v>
      </c>
      <c r="R53" s="27" t="n">
        <f aca="false">+(R39*4)/AVERAGE(Q78:R78)</f>
        <v>0.176823429885116</v>
      </c>
      <c r="S53" s="27" t="n">
        <f aca="false">+(S39*4)/AVERAGE(R78:S78)</f>
        <v>0.236364069379474</v>
      </c>
      <c r="T53" s="27" t="n">
        <f aca="false">+(T39*4)/AVERAGE(S78:T78)</f>
        <v>0.186994034703169</v>
      </c>
      <c r="U53" s="27" t="n">
        <f aca="false">+(U39*4)/AVERAGE(T78:U78)</f>
        <v>0.196975913600679</v>
      </c>
      <c r="AC53" s="27" t="n">
        <f aca="false">+SUM(AC39)/AVERAGE(AB78:AC78)</f>
        <v>0.237658931202103</v>
      </c>
      <c r="AD53" s="27" t="n">
        <f aca="false">+SUM(AD39)/AVERAGE(AC78:AD78)</f>
        <v>0.147650831612132</v>
      </c>
      <c r="AE53" s="27" t="n">
        <f aca="false">+SUM(AE39)/AVERAGE(AD78:AE78)</f>
        <v>0.16581595892333</v>
      </c>
      <c r="AF53" s="27" t="n">
        <f aca="false">+SUM(AF39)/AVERAGE(AE78:AF78)</f>
        <v>0.140234741038388</v>
      </c>
      <c r="AG53" s="27" t="n">
        <f aca="false">+SUM(AG39)/AVERAGE(AF78:AG78)</f>
        <v>0.0703058329681482</v>
      </c>
      <c r="AH53" s="27" t="n">
        <f aca="false">+SUM(AH39)/AVERAGE(AG78:AH78)</f>
        <v>0.0913083654943741</v>
      </c>
      <c r="AI53" s="27" t="n">
        <f aca="false">+SUM(AI39)/AVERAGE(AH78:AI78)</f>
        <v>0.0955608634909189</v>
      </c>
      <c r="AJ53" s="27" t="n">
        <f aca="false">+SUM(AJ39)/AVERAGE(AI78:AJ78)</f>
        <v>0.0650915232932673</v>
      </c>
      <c r="AK53" s="27" t="n">
        <f aca="false">+SUM(AK39)/AVERAGE(AJ78:AK78)</f>
        <v>0.143893334115628</v>
      </c>
      <c r="AL53" s="27" t="n">
        <f aca="false">+SUM(AL39)/AVERAGE(AK78:AL78)</f>
        <v>0.150649721790813</v>
      </c>
      <c r="AM53" s="27" t="n">
        <f aca="false">+SUM(AM39)/AVERAGE(AL78:AM78)</f>
        <v>0.192952180005983</v>
      </c>
      <c r="AN53" s="27" t="n">
        <f aca="false">+SUM(AN39)/AVERAGE(AM78:AN78)</f>
        <v>0.208233672430896</v>
      </c>
      <c r="AO53" s="27" t="n">
        <f aca="false">+SUM(AO39)/AVERAGE(AN78:AO78)</f>
        <v>0.186301517991391</v>
      </c>
      <c r="AP53" s="27" t="n">
        <f aca="false">+SUM(AP39)/AVERAGE(AO78:AP78)</f>
        <v>0.190741868917987</v>
      </c>
      <c r="AQ53" s="27" t="n">
        <f aca="false">+SUM(AQ39)/AVERAGE(AP78:AQ78)</f>
        <v>0.180047844436626</v>
      </c>
      <c r="AR53" s="27" t="n">
        <f aca="false">+SUM(AR39)/AVERAGE(AQ78:AR78)</f>
        <v>0.194207984875622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</row>
    <row r="54" s="27" customFormat="true" ht="12.8" hidden="false" customHeight="true" outlineLevel="0" collapsed="false">
      <c r="A54" s="27" t="s">
        <v>114</v>
      </c>
      <c r="J54" s="27" t="n">
        <f aca="false">+J55*J56*J48</f>
        <v>0.417691603210778</v>
      </c>
      <c r="K54" s="27" t="n">
        <f aca="false">+K55*K56*K48</f>
        <v>0.792700055275153</v>
      </c>
      <c r="L54" s="27" t="e">
        <f aca="false">+L55*L56*L48</f>
        <v>#DIV/0!</v>
      </c>
      <c r="M54" s="27" t="n">
        <f aca="false">+M55*M56*M48</f>
        <v>0.656622354987578</v>
      </c>
      <c r="N54" s="27" t="n">
        <f aca="false">+N55*N56*N48</f>
        <v>0.354793239841784</v>
      </c>
      <c r="O54" s="27" t="n">
        <f aca="false">+O55*O56*O48</f>
        <v>0.326656707620703</v>
      </c>
      <c r="P54" s="27" t="n">
        <f aca="false">+P55*P56*P48</f>
        <v>0.330766299596853</v>
      </c>
      <c r="Q54" s="27" t="n">
        <f aca="false">+Q55*Q56*Q48</f>
        <v>0.327432856906684</v>
      </c>
      <c r="R54" s="27" t="n">
        <f aca="false">+R55*R56*R48</f>
        <v>0.314166625386559</v>
      </c>
      <c r="S54" s="27" t="n">
        <f aca="false">+S55*S56*S48</f>
        <v>0.408068959388608</v>
      </c>
      <c r="T54" s="27" t="n">
        <f aca="false">+T55*T56*T48</f>
        <v>0.315714830365869</v>
      </c>
      <c r="U54" s="27" t="n">
        <f aca="false">+U55*U56*U48</f>
        <v>0.333971018214288</v>
      </c>
      <c r="AC54" s="27" t="n">
        <f aca="false">+AC55*AC56*AC48</f>
        <v>0.448391407929653</v>
      </c>
      <c r="AD54" s="27" t="n">
        <f aca="false">+AD55*AD56*AD48</f>
        <v>0.275067640911816</v>
      </c>
      <c r="AE54" s="27" t="n">
        <f aca="false">+AE55*AE56*AE48</f>
        <v>0.300921497243767</v>
      </c>
      <c r="AF54" s="27" t="n">
        <f aca="false">+AF55*AF56*AF48</f>
        <v>0.261651889431511</v>
      </c>
      <c r="AG54" s="27" t="n">
        <f aca="false">+AG55*AG56*AG48</f>
        <v>0.143559372921167</v>
      </c>
      <c r="AH54" s="27" t="n">
        <f aca="false">+AH55*AH56*AH48</f>
        <v>0.220910047343503</v>
      </c>
      <c r="AI54" s="27" t="n">
        <f aca="false">+AI55*AI56*AI48</f>
        <v>0.26553460064618</v>
      </c>
      <c r="AJ54" s="27" t="n">
        <f aca="false">+AJ55*AJ56*AJ48</f>
        <v>0.194462210069883</v>
      </c>
      <c r="AK54" s="27" t="n">
        <f aca="false">+AK55*AK56*AK48</f>
        <v>0.424106177856557</v>
      </c>
      <c r="AL54" s="27" t="n">
        <f aca="false">+AL55*AL56*AL48</f>
        <v>0.401397790005167</v>
      </c>
      <c r="AM54" s="27" t="n">
        <f aca="false">+AM55*AM56*AM48</f>
        <v>0.470786654987476</v>
      </c>
      <c r="AN54" s="27" t="n">
        <f aca="false">+AN55*AN56*AN48</f>
        <v>0.471513305027064</v>
      </c>
      <c r="AO54" s="27" t="n">
        <f aca="false">+AO55*AO56*AO48</f>
        <v>0.388239239198959</v>
      </c>
      <c r="AP54" s="27" t="n">
        <f aca="false">+AP55*AP56*AP48</f>
        <v>0.371333473772909</v>
      </c>
      <c r="AQ54" s="27" t="n">
        <f aca="false">+AQ55*AQ56*AQ48</f>
        <v>0.332808241115375</v>
      </c>
      <c r="AR54" s="27" t="n">
        <f aca="false">+AR55*AR56*AR48</f>
        <v>0.340386274504814</v>
      </c>
    </row>
    <row r="55" s="27" customFormat="true" ht="12.8" hidden="false" customHeight="true" outlineLevel="0" collapsed="false">
      <c r="A55" s="27" t="s">
        <v>115</v>
      </c>
      <c r="D55" s="27" t="e">
        <f aca="false">+(D13*4)/AVERAGE(C78:D78)</f>
        <v>#DIV/0!</v>
      </c>
      <c r="E55" s="27" t="n">
        <f aca="false">+(E13*4)/AVERAGE(D78:E78)</f>
        <v>1.1372656506962</v>
      </c>
      <c r="F55" s="27" t="n">
        <f aca="false">+(F13*4)/AVERAGE(E78:F78)</f>
        <v>1.0990461572196</v>
      </c>
      <c r="G55" s="27" t="e">
        <f aca="false">+(G13*4)/AVERAGE(F78:G78)</f>
        <v>#DIV/0!</v>
      </c>
      <c r="H55" s="27" t="n">
        <f aca="false">+(H13*4)/AVERAGE(G78:H78)</f>
        <v>1.11252131085433</v>
      </c>
      <c r="I55" s="27" t="n">
        <f aca="false">+(I13*4)/AVERAGE(H78:I78)</f>
        <v>0.567519796380091</v>
      </c>
      <c r="J55" s="27" t="n">
        <f aca="false">+(J13*4)/AVERAGE(I78:J78)</f>
        <v>0.527111864493723</v>
      </c>
      <c r="K55" s="27" t="n">
        <f aca="false">+(K13*4)/AVERAGE(J78:K78)</f>
        <v>1.11300290498783</v>
      </c>
      <c r="L55" s="27" t="e">
        <f aca="false">+(L13*4)/AVERAGE(K78:L78)</f>
        <v>#DIV/0!</v>
      </c>
      <c r="M55" s="27" t="n">
        <f aca="false">+(M13*4)/AVERAGE(L78:M78)</f>
        <v>1.01103750173285</v>
      </c>
      <c r="N55" s="27" t="n">
        <f aca="false">+(N13*4)/AVERAGE(M78:N78)</f>
        <v>0.506851008910562</v>
      </c>
      <c r="O55" s="27" t="n">
        <f aca="false">+(O13*4)/AVERAGE(N78:O78)</f>
        <v>0.527060462044581</v>
      </c>
      <c r="P55" s="27" t="n">
        <f aca="false">+(P13*4)/AVERAGE(O78:P78)</f>
        <v>0.511187190042699</v>
      </c>
      <c r="Q55" s="27" t="n">
        <f aca="false">+(Q13*4)/AVERAGE(P78:Q78)</f>
        <v>0.517530489739994</v>
      </c>
      <c r="R55" s="27" t="n">
        <f aca="false">+(R13*4)/AVERAGE(Q78:R78)</f>
        <v>0.494987071375883</v>
      </c>
      <c r="S55" s="27" t="n">
        <f aca="false">+(S13*4)/AVERAGE(R78:S78)</f>
        <v>0.499506396866139</v>
      </c>
      <c r="T55" s="27" t="n">
        <f aca="false">+(T13*4)/AVERAGE(S78:T78)</f>
        <v>0.487733260759233</v>
      </c>
      <c r="U55" s="27" t="n">
        <f aca="false">+(U13*4)/AVERAGE(T78:U78)</f>
        <v>0.495700135756201</v>
      </c>
      <c r="AC55" s="27" t="n">
        <f aca="false">+SUM(AC13)/AVERAGE(AB78:AC78)</f>
        <v>0.718037953566681</v>
      </c>
      <c r="AD55" s="27" t="n">
        <f aca="false">+SUM(AD13)/AVERAGE(AC78:AD78)</f>
        <v>0.641139254266768</v>
      </c>
      <c r="AE55" s="27" t="n">
        <f aca="false">+SUM(AE13)/AVERAGE(AD78:AE78)</f>
        <v>0.590431623575096</v>
      </c>
      <c r="AF55" s="27" t="n">
        <f aca="false">+SUM(AF13)/AVERAGE(AE78:AF78)</f>
        <v>0.551644616679637</v>
      </c>
      <c r="AG55" s="27" t="n">
        <f aca="false">+SUM(AG13)/AVERAGE(AF78:AG78)</f>
        <v>0.539589916276495</v>
      </c>
      <c r="AH55" s="27" t="n">
        <f aca="false">+SUM(AH13)/AVERAGE(AG78:AH78)</f>
        <v>0.463771267054411</v>
      </c>
      <c r="AI55" s="27" t="n">
        <f aca="false">+SUM(AI13)/AVERAGE(AH78:AI78)</f>
        <v>0.405381044661769</v>
      </c>
      <c r="AJ55" s="27" t="n">
        <f aca="false">+SUM(AJ13)/AVERAGE(AI78:AJ78)</f>
        <v>0.433498310943515</v>
      </c>
      <c r="AK55" s="27" t="n">
        <f aca="false">+SUM(AK13)/AVERAGE(AJ78:AK78)</f>
        <v>0.461467095950891</v>
      </c>
      <c r="AL55" s="27" t="n">
        <f aca="false">+SUM(AL13)/AVERAGE(AK78:AL78)</f>
        <v>0.486555632481497</v>
      </c>
      <c r="AM55" s="27" t="n">
        <f aca="false">+SUM(AM13)/AVERAGE(AL78:AM78)</f>
        <v>0.529335999622101</v>
      </c>
      <c r="AN55" s="27" t="n">
        <f aca="false">+SUM(AN13)/AVERAGE(AM78:AN78)</f>
        <v>0.567605518887978</v>
      </c>
      <c r="AO55" s="27" t="n">
        <f aca="false">+SUM(AO13)/AVERAGE(AN78:AO78)</f>
        <v>0.545598957796956</v>
      </c>
      <c r="AP55" s="27" t="n">
        <f aca="false">+SUM(AP13)/AVERAGE(AO78:AP78)</f>
        <v>0.530487296824395</v>
      </c>
      <c r="AQ55" s="27" t="n">
        <f aca="false">+SUM(AQ13)/AVERAGE(AP78:AQ78)</f>
        <v>0.498112567032602</v>
      </c>
      <c r="AR55" s="27" t="n">
        <f aca="false">+SUM(AR13)/AVERAGE(AQ78:AR78)</f>
        <v>0.481841236144881</v>
      </c>
    </row>
    <row r="56" s="38" customFormat="true" ht="12.8" hidden="false" customHeight="true" outlineLevel="0" collapsed="false">
      <c r="A56" s="38" t="s">
        <v>116</v>
      </c>
      <c r="D56" s="38" t="e">
        <f aca="false">+AVERAGE(C78:D78)/AVERAGE(C99:D99)</f>
        <v>#DIV/0!</v>
      </c>
      <c r="E56" s="38" t="n">
        <f aca="false">+AVERAGE(D78:E78)/AVERAGE(D99:E99)</f>
        <v>2.19067862761345</v>
      </c>
      <c r="F56" s="38" t="n">
        <f aca="false">+AVERAGE(E78:F78)/AVERAGE(E99:F99)</f>
        <v>2.19067862761345</v>
      </c>
      <c r="G56" s="38" t="e">
        <f aca="false">+AVERAGE(F78:G78)/AVERAGE(F99:G99)</f>
        <v>#DIV/0!</v>
      </c>
      <c r="H56" s="38" t="n">
        <f aca="false">+AVERAGE(G78:H78)/AVERAGE(G99:H99)</f>
        <v>1.95234303971071</v>
      </c>
      <c r="I56" s="38" t="n">
        <f aca="false">+AVERAGE(H78:I78)/AVERAGE(H99:I99)</f>
        <v>1.97568507330896</v>
      </c>
      <c r="J56" s="38" t="n">
        <f aca="false">+AVERAGE(I78:J78)/AVERAGE(I99:J99)</f>
        <v>2.00910438776681</v>
      </c>
      <c r="K56" s="38" t="n">
        <f aca="false">+AVERAGE(J78:K78)/AVERAGE(J99:K99)</f>
        <v>2.01974047862845</v>
      </c>
      <c r="L56" s="38" t="e">
        <f aca="false">+AVERAGE(K78:L78)/AVERAGE(K99:L99)</f>
        <v>#DIV/0!</v>
      </c>
      <c r="M56" s="38" t="n">
        <f aca="false">+AVERAGE(L78:M78)/AVERAGE(L99:M99)</f>
        <v>1.90766061897295</v>
      </c>
      <c r="N56" s="38" t="n">
        <f aca="false">+AVERAGE(M78:N78)/AVERAGE(M99:N99)</f>
        <v>1.86115785688601</v>
      </c>
      <c r="O56" s="38" t="n">
        <f aca="false">+AVERAGE(N78:O78)/AVERAGE(N99:O99)</f>
        <v>1.79010633144653</v>
      </c>
      <c r="P56" s="38" t="n">
        <f aca="false">+AVERAGE(O78:P78)/AVERAGE(O99:P99)</f>
        <v>1.75559810818686</v>
      </c>
      <c r="Q56" s="38" t="n">
        <f aca="false">+AVERAGE(P78:Q78)/AVERAGE(P99:Q99)</f>
        <v>1.77589461502623</v>
      </c>
      <c r="R56" s="38" t="n">
        <f aca="false">+AVERAGE(Q78:R78)/AVERAGE(Q99:R99)</f>
        <v>1.77672509571088</v>
      </c>
      <c r="S56" s="38" t="n">
        <f aca="false">+AVERAGE(R78:S78)/AVERAGE(R99:S99)</f>
        <v>1.72644243458792</v>
      </c>
      <c r="T56" s="38" t="n">
        <f aca="false">+AVERAGE(S78:T78)/AVERAGE(S99:T99)</f>
        <v>1.68836845981225</v>
      </c>
      <c r="U56" s="38" t="n">
        <f aca="false">+AVERAGE(T78:U78)/AVERAGE(T99:U99)</f>
        <v>1.69549165737763</v>
      </c>
      <c r="AC56" s="38" t="n">
        <f aca="false">+AVERAGE(AB78:AC78)/AVERAGE(AB99:AC99)</f>
        <v>1.88670127254063</v>
      </c>
      <c r="AD56" s="38" t="n">
        <f aca="false">+AVERAGE(AC78:AD78)/AVERAGE(AC99:AD99)</f>
        <v>1.86296032273221</v>
      </c>
      <c r="AE56" s="38" t="n">
        <f aca="false">+AVERAGE(AD78:AE78)/AVERAGE(AD99:AE99)</f>
        <v>1.81479212976663</v>
      </c>
      <c r="AF56" s="38" t="n">
        <f aca="false">+AVERAGE(AE78:AF78)/AVERAGE(AE99:AF99)</f>
        <v>1.86581361718268</v>
      </c>
      <c r="AG56" s="38" t="n">
        <f aca="false">+AVERAGE(AF78:AG78)/AVERAGE(AF99:AG99)</f>
        <v>2.04192691929568</v>
      </c>
      <c r="AH56" s="38" t="n">
        <f aca="false">+AVERAGE(AG78:AH78)/AVERAGE(AG99:AH99)</f>
        <v>2.41938453445555</v>
      </c>
      <c r="AI56" s="38" t="n">
        <f aca="false">+AVERAGE(AH78:AI78)/AVERAGE(AH99:AI99)</f>
        <v>2.77869612041977</v>
      </c>
      <c r="AJ56" s="38" t="n">
        <f aca="false">+AVERAGE(AI78:AJ78)/AVERAGE(AI99:AJ99)</f>
        <v>2.98751972962348</v>
      </c>
      <c r="AK56" s="38" t="n">
        <f aca="false">+AVERAGE(AJ78:AK78)/AVERAGE(AJ99:AK99)</f>
        <v>2.94736500799793</v>
      </c>
      <c r="AL56" s="38" t="n">
        <f aca="false">+AVERAGE(AK78:AL78)/AVERAGE(AK99:AL99)</f>
        <v>2.66444428329269</v>
      </c>
      <c r="AM56" s="38" t="n">
        <f aca="false">+AVERAGE(AL78:AM78)/AVERAGE(AL99:AM99)</f>
        <v>2.43991363545557</v>
      </c>
      <c r="AN56" s="38" t="n">
        <f aca="false">+AVERAGE(AM78:AN78)/AVERAGE(AM99:AN99)</f>
        <v>2.26434706511522</v>
      </c>
      <c r="AO56" s="38" t="n">
        <f aca="false">+AVERAGE(AN78:AO78)/AVERAGE(AN99:AO99)</f>
        <v>2.08392955347203</v>
      </c>
      <c r="AP56" s="38" t="n">
        <f aca="false">+AVERAGE(AO78:AP78)/AVERAGE(AO99:AP99)</f>
        <v>1.94678533810828</v>
      </c>
      <c r="AQ56" s="38" t="n">
        <f aca="false">+AVERAGE(AP78:AQ78)/AVERAGE(AP99:AQ99)</f>
        <v>1.84844335213643</v>
      </c>
      <c r="AR56" s="38" t="n">
        <f aca="false">+AVERAGE(AQ78:AR78)/AVERAGE(AQ99:AR99)</f>
        <v>1.75268938979419</v>
      </c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</row>
    <row r="57" s="27" customFormat="true" ht="12.8" hidden="false" customHeight="true" outlineLevel="0" collapsed="false">
      <c r="A57" s="27" t="s">
        <v>117</v>
      </c>
      <c r="J57" s="27" t="n">
        <f aca="false">+J54-J53</f>
        <v>0.209792199997062</v>
      </c>
      <c r="K57" s="27" t="n">
        <f aca="false">+K54-K53</f>
        <v>0.400223861594343</v>
      </c>
      <c r="L57" s="27" t="e">
        <f aca="false">+L54-L53</f>
        <v>#DIV/0!</v>
      </c>
      <c r="M57" s="27" t="n">
        <f aca="false">+M54-M53</f>
        <v>0.312419435213991</v>
      </c>
      <c r="N57" s="27" t="n">
        <f aca="false">+N54-N53</f>
        <v>0.164162854284159</v>
      </c>
      <c r="O57" s="27" t="n">
        <f aca="false">+O54-O53</f>
        <v>0.144177766631348</v>
      </c>
      <c r="P57" s="27" t="n">
        <f aca="false">+P54-P53</f>
        <v>0.14235968304014</v>
      </c>
      <c r="Q57" s="27" t="n">
        <f aca="false">+Q54-Q53</f>
        <v>0.143056568957948</v>
      </c>
      <c r="R57" s="27" t="n">
        <f aca="false">+R54-R53</f>
        <v>0.137343195501443</v>
      </c>
      <c r="S57" s="27" t="n">
        <f aca="false">+S54-S53</f>
        <v>0.171704890009134</v>
      </c>
      <c r="T57" s="27" t="n">
        <f aca="false">+T54-T53</f>
        <v>0.1287207956627</v>
      </c>
      <c r="U57" s="27" t="n">
        <f aca="false">+U54-U53</f>
        <v>0.136995104613609</v>
      </c>
      <c r="AC57" s="27" t="n">
        <f aca="false">+AC54-AC53</f>
        <v>0.21073247672755</v>
      </c>
      <c r="AD57" s="27" t="n">
        <f aca="false">+AD54-AD53</f>
        <v>0.127416809299684</v>
      </c>
      <c r="AE57" s="27" t="n">
        <f aca="false">+AE54-AE53</f>
        <v>0.135105538320436</v>
      </c>
      <c r="AF57" s="27" t="n">
        <f aca="false">+AF54-AF53</f>
        <v>0.121417148393123</v>
      </c>
      <c r="AG57" s="27" t="n">
        <f aca="false">+AG54-AG53</f>
        <v>0.0732535399530191</v>
      </c>
      <c r="AH57" s="27" t="n">
        <f aca="false">+AH54-AH53</f>
        <v>0.129601681849129</v>
      </c>
      <c r="AI57" s="27" t="n">
        <f aca="false">+AI54-AI53</f>
        <v>0.169973737155261</v>
      </c>
      <c r="AJ57" s="27" t="n">
        <f aca="false">+AJ54-AJ53</f>
        <v>0.129370686776616</v>
      </c>
      <c r="AK57" s="27" t="n">
        <f aca="false">+AK54-AK53</f>
        <v>0.280212843740929</v>
      </c>
      <c r="AL57" s="27" t="n">
        <f aca="false">+AL54-AL53</f>
        <v>0.250748068214353</v>
      </c>
      <c r="AM57" s="27" t="n">
        <f aca="false">+AM54-AM53</f>
        <v>0.277834474981493</v>
      </c>
      <c r="AN57" s="27" t="n">
        <f aca="false">+AN54-AN53</f>
        <v>0.263279632596168</v>
      </c>
      <c r="AO57" s="27" t="n">
        <f aca="false">+AO54-AO53</f>
        <v>0.201937721207568</v>
      </c>
      <c r="AP57" s="27" t="n">
        <f aca="false">+AP54-AP53</f>
        <v>0.180591604854922</v>
      </c>
      <c r="AQ57" s="27" t="n">
        <f aca="false">+AQ54-AQ53</f>
        <v>0.152760396678749</v>
      </c>
      <c r="AR57" s="27" t="n">
        <f aca="false">+AR54-AR53</f>
        <v>0.146178289629192</v>
      </c>
    </row>
    <row r="58" customFormat="false" ht="12.8" hidden="false" customHeight="true" outlineLevel="0" collapsed="false">
      <c r="BD58" s="25" t="s">
        <v>98</v>
      </c>
      <c r="BE58" s="26" t="n">
        <v>0.02</v>
      </c>
    </row>
    <row r="59" s="39" customFormat="true" ht="12.8" hidden="false" customHeight="true" outlineLevel="0" collapsed="false">
      <c r="BC59" s="5"/>
      <c r="BD59" s="28" t="s">
        <v>101</v>
      </c>
      <c r="BE59" s="29" t="n">
        <f aca="false">+Main!E11</f>
        <v>0.105945836606579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</row>
    <row r="60" customFormat="false" ht="12.8" hidden="false" customHeight="true" outlineLevel="0" collapsed="false">
      <c r="A60" s="40" t="s">
        <v>118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 t="n">
        <f aca="false">+AB31*(1-AB49)</f>
        <v>18073.7408547555</v>
      </c>
      <c r="AC60" s="40" t="n">
        <f aca="false">+AC31*(1-AC49)</f>
        <v>22399.5279826155</v>
      </c>
      <c r="AD60" s="40" t="n">
        <f aca="false">+AD31*(1-AD49)</f>
        <v>16593.7132977051</v>
      </c>
      <c r="AE60" s="40" t="n">
        <f aca="false">+AE31*(1-AE49)</f>
        <v>21630.2429395239</v>
      </c>
      <c r="AF60" s="40" t="n">
        <f aca="false">+AF31*(1-AF49)</f>
        <v>22025.5990654206</v>
      </c>
      <c r="AG60" s="40" t="n">
        <f aca="false">+AG31*(1-AG49)</f>
        <v>11965.0441994921</v>
      </c>
      <c r="AH60" s="40" t="n">
        <f aca="false">+AH31*(1-AH49)</f>
        <v>17164.5605792112</v>
      </c>
      <c r="AI60" s="40" t="n">
        <f aca="false">+AI31*(1-AI49)</f>
        <v>20450.1492073092</v>
      </c>
      <c r="AJ60" s="40" t="n">
        <f aca="false">+AJ31*(1-AJ49)</f>
        <v>15927.6777430498</v>
      </c>
      <c r="AK60" s="40" t="n">
        <f aca="false">+AK31*(1-AK49)</f>
        <v>38585.2215711408</v>
      </c>
      <c r="AL60" s="40" t="n">
        <f aca="false">+AL31*(1-AL49)</f>
        <v>44216.7108944868</v>
      </c>
      <c r="AM60" s="40" t="n">
        <f aca="false">+AM31*(1-AM49)</f>
        <v>60248.9836572811</v>
      </c>
      <c r="AN60" s="40" t="n">
        <f aca="false">+AN31*(1-AN49)</f>
        <v>72448.6675665345</v>
      </c>
      <c r="AO60" s="40" t="n">
        <f aca="false">+AO31*(1-AO49)</f>
        <v>71722.5515669962</v>
      </c>
      <c r="AP60" s="40" t="n">
        <f aca="false">+AP31*(1-AP49)</f>
        <v>89481.9123641998</v>
      </c>
      <c r="AQ60" s="40" t="n">
        <f aca="false">+AQ31*(1-AQ49)</f>
        <v>105868.97114708</v>
      </c>
      <c r="AR60" s="40" t="n">
        <f aca="false">+AR31*(1-AR49)</f>
        <v>125126.818572444</v>
      </c>
      <c r="AS60" s="40" t="n">
        <f aca="false">+AS31*(1-AS49)</f>
        <v>144740.207664</v>
      </c>
      <c r="AT60" s="40" t="n">
        <f aca="false">+AT31*(1-AT49)</f>
        <v>171501.61601664</v>
      </c>
      <c r="AU60" s="40" t="n">
        <f aca="false">+AU31*(1-AU49)</f>
        <v>196336.022819134</v>
      </c>
      <c r="AV60" s="40" t="n">
        <f aca="false">+AV31*(1-AV49)</f>
        <v>228428.478894755</v>
      </c>
      <c r="AW60" s="40" t="n">
        <f aca="false">+AW31*(1-AW49)</f>
        <v>260726.239428805</v>
      </c>
      <c r="AX60" s="40" t="n">
        <f aca="false">+AX31*(1-AX49)</f>
        <v>264678.699233238</v>
      </c>
      <c r="AY60" s="40" t="n">
        <f aca="false">+AY31*(1-AY49)</f>
        <v>299599.548958162</v>
      </c>
      <c r="AZ60" s="40" t="n">
        <f aca="false">+AZ31*(1-AZ49)</f>
        <v>335777.936352702</v>
      </c>
      <c r="BA60" s="40" t="n">
        <f aca="false">+BA31*(1-BA49)</f>
        <v>376290.414431648</v>
      </c>
      <c r="BB60" s="40" t="n">
        <f aca="false">+BB31*(1-BB49)</f>
        <v>421652.724658095</v>
      </c>
      <c r="BD60" s="30" t="s">
        <v>7</v>
      </c>
      <c r="BE60" s="41" t="n">
        <f aca="false">+NPV(BE59,AS62:BA62,BB62+BE61)</f>
        <v>3550536.51030851</v>
      </c>
    </row>
    <row r="61" customFormat="false" ht="12.8" hidden="false" customHeight="true" outlineLevel="0" collapsed="false">
      <c r="A61" s="40" t="s">
        <v>119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 t="n">
        <f aca="false">+SUM(AB70,AB71)-SUM(AB80,AB82,AB84,AB87,AB92)</f>
        <v>-11211</v>
      </c>
      <c r="AC61" s="40" t="n">
        <f aca="false">+SUM(AC70,AC71)-SUM(AC80,AC82,AC84,AC87,AC92)</f>
        <v>-11207</v>
      </c>
      <c r="AD61" s="40" t="n">
        <f aca="false">+SUM(AD70,AD71)-SUM(AD80,AD82,AD84,AD87,AD92)</f>
        <v>-13726</v>
      </c>
      <c r="AE61" s="40" t="n">
        <f aca="false">+SUM(AE70,AE71)-SUM(AE80,AE82,AE84,AE87,AE92)</f>
        <v>-14349</v>
      </c>
      <c r="AF61" s="40" t="n">
        <f aca="false">+SUM(AF70,AF71)-SUM(AF80,AF82,AF84,AF87,AF92)</f>
        <v>-20863</v>
      </c>
      <c r="AG61" s="40" t="n">
        <f aca="false">+SUM(AG70,AG71)-SUM(AG80,AG82,AG84,AG87,AG92)</f>
        <v>-21261</v>
      </c>
      <c r="AH61" s="40" t="n">
        <f aca="false">+SUM(AH70,AH71)-SUM(AH80,AH82,AH84,AH87,AH92)</f>
        <v>-25631</v>
      </c>
      <c r="AI61" s="40" t="n">
        <f aca="false">+SUM(AI70,AI71)-SUM(AI80,AI82,AI84,AI87,AI92)</f>
        <v>-21012</v>
      </c>
      <c r="AJ61" s="40" t="n">
        <f aca="false">+SUM(AJ70,AJ71)-SUM(AJ80,AJ82,AJ84,AJ87,AJ92)</f>
        <v>-25347</v>
      </c>
      <c r="AK61" s="40" t="n">
        <f aca="false">+SUM(AK70,AK71)-SUM(AK80,AK82,AK84,AK87,AK92)</f>
        <v>-30547</v>
      </c>
      <c r="AL61" s="40" t="n">
        <f aca="false">+SUM(AL70,AL71)-SUM(AL80,AL82,AL84,AL87,AL92)</f>
        <v>-34655</v>
      </c>
      <c r="AM61" s="40" t="n">
        <f aca="false">+SUM(AM70,AM71)-SUM(AM80,AM82,AM84,AM87,AM92)</f>
        <v>-39906</v>
      </c>
      <c r="AN61" s="40" t="n">
        <f aca="false">+SUM(AN70,AN71)-SUM(AN80,AN82,AN84,AN87,AN92)</f>
        <v>-44330</v>
      </c>
      <c r="AO61" s="40" t="n">
        <f aca="false">+SUM(AO70,AO71)-SUM(AO80,AO82,AO84,AO87,AO92)</f>
        <v>-47714</v>
      </c>
      <c r="AP61" s="40" t="n">
        <f aca="false">+SUM(AP70,AP71)-SUM(AP80,AP82,AP84,AP87,AP92)</f>
        <v>-58174</v>
      </c>
      <c r="AQ61" s="40" t="n">
        <f aca="false">+SUM(AQ70,AQ71)-SUM(AQ80,AQ82,AQ84,AQ87,AQ92)</f>
        <v>-67376</v>
      </c>
      <c r="AR61" s="40" t="n">
        <f aca="false">+SUM(AR70,AR71)-SUM(AR80,AR82,AR84,AR87,AR92)</f>
        <v>-105972</v>
      </c>
      <c r="AS61" s="40" t="n">
        <f aca="false">+SUM(AS70,AS71)-SUM(AS80,AS82,AS84,AS87,AS92)</f>
        <v>-116333.530278219</v>
      </c>
      <c r="AT61" s="40" t="n">
        <f aca="false">+SUM(AT70,AT71)-SUM(AT80,AT82,AT84,AT87,AT92)</f>
        <v>-130834.068233973</v>
      </c>
      <c r="AU61" s="40" t="n">
        <f aca="false">+SUM(AU70,AU71)-SUM(AU80,AU82,AU84,AU87,AU92)</f>
        <v>-146153.761539151</v>
      </c>
      <c r="AV61" s="40" t="n">
        <f aca="false">+SUM(AV70,AV71)-SUM(AV80,AV82,AV84,AV87,AV92)</f>
        <v>-167139.475059516</v>
      </c>
      <c r="AW61" s="40" t="n">
        <f aca="false">+SUM(AW70,AW71)-SUM(AW80,AW82,AW84,AW87,AW92)</f>
        <v>-181118.692145664</v>
      </c>
      <c r="AX61" s="40" t="n">
        <f aca="false">+SUM(AX70,AX71)-SUM(AX80,AX82,AX84,AX87,AX92)</f>
        <v>-196197.075352879</v>
      </c>
      <c r="AY61" s="40" t="n">
        <f aca="false">+SUM(AY70,AY71)-SUM(AY80,AY82,AY84,AY87,AY92)</f>
        <v>-211124.843443101</v>
      </c>
      <c r="AZ61" s="40" t="n">
        <f aca="false">+SUM(AZ70,AZ71)-SUM(AZ80,AZ82,AZ84,AZ87,AZ92)</f>
        <v>-230835.624329138</v>
      </c>
      <c r="BA61" s="40" t="n">
        <f aca="false">+SUM(BA70,BA71)-SUM(BA80,BA82,BA84,BA87,BA92)</f>
        <v>-244092.75294701</v>
      </c>
      <c r="BB61" s="40" t="n">
        <f aca="false">+SUM(BB70,BB71)-SUM(BB80,BB82,BB84,BB87,BB92)</f>
        <v>-261137.664632422</v>
      </c>
      <c r="BC61" s="27"/>
      <c r="BD61" s="28" t="s">
        <v>120</v>
      </c>
      <c r="BE61" s="42" t="n">
        <f aca="false">+BB62*(1+BE58)/(BE59-BE58)</f>
        <v>5610323.18669632</v>
      </c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</row>
    <row r="62" customFormat="false" ht="12.8" hidden="false" customHeight="true" outlineLevel="0" collapsed="false">
      <c r="A62" s="40" t="s">
        <v>121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 t="n">
        <f aca="false">+AC60+AC104-AC120-(AC61-AB61)</f>
        <v>22806.5279826155</v>
      </c>
      <c r="AD62" s="40" t="n">
        <f aca="false">+AD60+AD104-AD120-(AD61-AC61)</f>
        <v>25967.7132977051</v>
      </c>
      <c r="AE62" s="40" t="n">
        <f aca="false">+AE60+AE104-AE120-(AE61-AD61)</f>
        <v>21751.2429395239</v>
      </c>
      <c r="AF62" s="40" t="n">
        <f aca="false">+AF60+AF104-AF120-(AF61-AE61)</f>
        <v>28266.5990654206</v>
      </c>
      <c r="AG62" s="40" t="n">
        <f aca="false">+AG60+AG104-AG120-(AG61-AF61)</f>
        <v>12376.0441994921</v>
      </c>
      <c r="AH62" s="40" t="n">
        <f aca="false">+AH60+AH104-AH120-(AH61-AG61)</f>
        <v>19813.5605792112</v>
      </c>
      <c r="AI62" s="40" t="n">
        <f aca="false">+AI60+AI104-AI120-(AI61-AH61)</f>
        <v>16480.1492073092</v>
      </c>
      <c r="AJ62" s="40" t="n">
        <f aca="false">+AJ60+AJ104-AJ120-(AJ61-AI61)</f>
        <v>18891.6777430498</v>
      </c>
      <c r="AK62" s="40" t="n">
        <f aca="false">+AK60+AK104-AK120-(AK61-AJ61)</f>
        <v>41542.2215711408</v>
      </c>
      <c r="AL62" s="40" t="n">
        <f aca="false">+AL60+AL104-AL120-(AL61-AK61)</f>
        <v>45679.7108944868</v>
      </c>
      <c r="AM62" s="40" t="n">
        <f aca="false">+AM60+AM104-AM120-(AM61-AL61)</f>
        <v>56563.9836572811</v>
      </c>
      <c r="AN62" s="40" t="n">
        <f aca="false">+AN60+AN104-AN120-(AN61-AM61)</f>
        <v>69294.6675665345</v>
      </c>
      <c r="AO62" s="40" t="n">
        <f aca="false">+AO60+AO104-AO120-(AO61-AN61)</f>
        <v>60860.5515669962</v>
      </c>
      <c r="AP62" s="40" t="n">
        <f aca="false">+AP60+AP104-AP120-(AP61-AO61)</f>
        <v>77751.9123641998</v>
      </c>
      <c r="AQ62" s="40" t="n">
        <f aca="false">+AQ60+AQ104-AQ120-(AQ61-AP61)</f>
        <v>84672.9711470795</v>
      </c>
      <c r="AR62" s="40" t="n">
        <f aca="false">+AR60+AR104-AR120-(AR61-AQ61)</f>
        <v>86308.8185724445</v>
      </c>
      <c r="AS62" s="40" t="n">
        <f aca="false">+AS60+AS104-AS120-(AS61-AR61)</f>
        <v>105209.263942219</v>
      </c>
      <c r="AT62" s="40" t="n">
        <f aca="false">+AT60+AT104-AT120-(AT61-AS61)</f>
        <v>135779.452132394</v>
      </c>
      <c r="AU62" s="40" t="n">
        <f aca="false">+AU60+AU104-AU120-(AU61-AT61)</f>
        <v>211655.716124312</v>
      </c>
      <c r="AV62" s="40" t="n">
        <f aca="false">+AV60+AV104-AV120-(AV61-AU61)</f>
        <v>249414.19241512</v>
      </c>
      <c r="AW62" s="40" t="n">
        <f aca="false">+AW60+AW104-AW120-(AW61-AV61)</f>
        <v>274705.456514953</v>
      </c>
      <c r="AX62" s="40" t="n">
        <f aca="false">+AX60+AX104-AX120-(AX61-AW61)</f>
        <v>227449.039113726</v>
      </c>
      <c r="AY62" s="40" t="n">
        <f aca="false">+AY60+AY104-AY120-(AY61-AX61)</f>
        <v>339411.00051667</v>
      </c>
      <c r="AZ62" s="40" t="n">
        <f aca="false">+AZ60+AZ104-AZ120-(AZ61-AY61)</f>
        <v>383109.605888536</v>
      </c>
      <c r="BA62" s="40" t="n">
        <f aca="false">+BA60+BA104-BA120-(BA61-AZ61)</f>
        <v>420206.729450795</v>
      </c>
      <c r="BB62" s="40" t="n">
        <f aca="false">+BB60+BB104-BB120-(BB61-BA61)</f>
        <v>472729.333248922</v>
      </c>
      <c r="BC62" s="27"/>
      <c r="BD62" s="43" t="s">
        <v>106</v>
      </c>
      <c r="BE62" s="44" t="n">
        <f aca="false">+BE60/Main!E6-1</f>
        <v>0.0083694779215604</v>
      </c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</row>
    <row r="63" s="39" customFormat="true" ht="12.8" hidden="false" customHeight="true" outlineLevel="0" collapsed="false">
      <c r="AQ63" s="45"/>
      <c r="BB63" s="45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</row>
    <row r="64" s="39" customFormat="true" ht="12.8" hidden="false" customHeight="true" outlineLevel="0" collapsed="false">
      <c r="AQ64" s="45"/>
      <c r="BB64" s="45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</row>
    <row r="65" customFormat="false" ht="12.8" hidden="false" customHeight="true" outlineLevel="0" collapsed="false">
      <c r="A65" s="5" t="s">
        <v>122</v>
      </c>
      <c r="B65" s="5" t="n">
        <f aca="false">+B35+B104</f>
        <v>0</v>
      </c>
      <c r="C65" s="5" t="n">
        <f aca="false">+C35+C104</f>
        <v>0</v>
      </c>
      <c r="D65" s="5" t="n">
        <f aca="false">+D35+D104</f>
        <v>23963</v>
      </c>
      <c r="E65" s="5" t="n">
        <f aca="false">+E35+E104</f>
        <v>24466</v>
      </c>
      <c r="F65" s="5" t="n">
        <f aca="false">+F35+F104</f>
        <v>24362</v>
      </c>
      <c r="G65" s="5" t="n">
        <f aca="false">+G35+G104</f>
        <v>0</v>
      </c>
      <c r="H65" s="5" t="n">
        <f aca="false">+H35+H104</f>
        <v>26222</v>
      </c>
      <c r="I65" s="5" t="n">
        <f aca="false">+I35+I104</f>
        <v>28601</v>
      </c>
      <c r="J65" s="5" t="n">
        <f aca="false">+J35+J104</f>
        <v>31205</v>
      </c>
      <c r="K65" s="5" t="n">
        <f aca="false">+K35+K104</f>
        <v>32485</v>
      </c>
      <c r="L65" s="5" t="n">
        <f aca="false">+L35+L104</f>
        <v>32754</v>
      </c>
      <c r="M65" s="5" t="n">
        <f aca="false">+M35+M104</f>
        <v>33630</v>
      </c>
      <c r="N65" s="5" t="n">
        <f aca="false">+N35+N104</f>
        <v>37652</v>
      </c>
      <c r="O65" s="5" t="n">
        <f aca="false">+O35+O104</f>
        <v>35032</v>
      </c>
      <c r="P65" s="5" t="n">
        <f aca="false">+P35+P104</f>
        <v>40117</v>
      </c>
      <c r="Q65" s="5" t="n">
        <f aca="false">+Q35+Q104</f>
        <v>43819</v>
      </c>
      <c r="R65" s="5" t="n">
        <f aca="false">+R35+R104</f>
        <v>47362</v>
      </c>
      <c r="S65" s="5" t="n">
        <f aca="false">+S35+S104</f>
        <v>57444</v>
      </c>
      <c r="T65" s="5" t="n">
        <f aca="false">+T35+T104</f>
        <v>49507</v>
      </c>
      <c r="U65" s="5" t="n">
        <f aca="false">+U35+U104</f>
        <v>55069</v>
      </c>
      <c r="AB65" s="5" t="n">
        <f aca="false">+AB35+AB104</f>
        <v>27686</v>
      </c>
      <c r="AC65" s="5" t="n">
        <f aca="false">+AC35+AC104</f>
        <v>30837</v>
      </c>
      <c r="AD65" s="5" t="n">
        <f aca="false">+AD35+AD104</f>
        <v>31427</v>
      </c>
      <c r="AE65" s="5" t="n">
        <f aca="false">+AE35+AE104</f>
        <v>30807</v>
      </c>
      <c r="AF65" s="5" t="n">
        <f aca="false">+AF35+AF104</f>
        <v>33032</v>
      </c>
      <c r="AG65" s="5" t="n">
        <f aca="false">+AG35+AG104</f>
        <v>24464</v>
      </c>
      <c r="AH65" s="5" t="n">
        <f aca="false">+AH35+AH104</f>
        <v>26373</v>
      </c>
      <c r="AI65" s="5" t="n">
        <f aca="false">+AI35+AI104</f>
        <v>31927</v>
      </c>
      <c r="AJ65" s="5" t="n">
        <f aca="false">+AJ35+AJ104</f>
        <v>46735</v>
      </c>
      <c r="AK65" s="5" t="n">
        <f aca="false">+AK35+AK104</f>
        <v>55370</v>
      </c>
      <c r="AL65" s="5" t="n">
        <f aca="false">+AL35+AL104</f>
        <v>65832</v>
      </c>
      <c r="AM65" s="5" t="n">
        <f aca="false">+AM35+AM104</f>
        <v>82788</v>
      </c>
      <c r="AN65" s="5" t="n">
        <f aca="false">+AN35+AN104</f>
        <v>98176</v>
      </c>
      <c r="AO65" s="5" t="n">
        <f aca="false">+AO35+AO104</f>
        <v>103172</v>
      </c>
      <c r="AP65" s="5" t="n">
        <f aca="false">+AP35+AP104</f>
        <v>130074</v>
      </c>
      <c r="AQ65" s="5" t="n">
        <f aca="false">+AQ35+AQ104</f>
        <v>157780</v>
      </c>
      <c r="AR65" s="5" t="n">
        <f aca="false">+AR35+AR104</f>
        <v>204468</v>
      </c>
      <c r="AS65" s="5" t="n">
        <f aca="false">+AS35+AS104</f>
        <v>260427.21558</v>
      </c>
      <c r="AT65" s="5" t="n">
        <f aca="false">+AT35+AT104</f>
        <v>307765.24329744</v>
      </c>
      <c r="AU65" s="5" t="n">
        <f aca="false">+AU35+AU104</f>
        <v>360353.75668986</v>
      </c>
      <c r="AV65" s="5" t="n">
        <f aca="false">+AV35+AV104</f>
        <v>418002.69815963</v>
      </c>
      <c r="AW65" s="5" t="n">
        <f aca="false">+AW35+AW104</f>
        <v>477100.79819896</v>
      </c>
      <c r="AX65" s="5" t="n">
        <f aca="false">+AX35+AX104</f>
        <v>487334.002063545</v>
      </c>
      <c r="AY65" s="5" t="n">
        <f aca="false">+AY35+AY104</f>
        <v>550638.049687093</v>
      </c>
      <c r="AZ65" s="5" t="n">
        <f aca="false">+AZ35+AZ104</f>
        <v>617282.343986544</v>
      </c>
      <c r="BA65" s="5" t="n">
        <f aca="false">+BA35+BA104</f>
        <v>691806.412379351</v>
      </c>
      <c r="BB65" s="5" t="n">
        <f aca="false">+BB35+BB104</f>
        <v>775136.574453271</v>
      </c>
    </row>
    <row r="66" customFormat="false" ht="12.8" hidden="false" customHeight="true" outlineLevel="0" collapsed="false">
      <c r="A66" s="1" t="s">
        <v>123</v>
      </c>
      <c r="AB66" s="5" t="n">
        <f aca="false">+AB68+31283-AB81</f>
        <v>30849</v>
      </c>
      <c r="AC66" s="5" t="n">
        <f aca="false">+AC68+43162-AC81</f>
        <v>40851</v>
      </c>
      <c r="AD66" s="5" t="n">
        <f aca="false">+AD68+56102-AD81</f>
        <v>51096</v>
      </c>
      <c r="AE66" s="5" t="n">
        <f aca="false">+AE68+73218-AE81</f>
        <v>61422</v>
      </c>
      <c r="AF66" s="5" t="n">
        <f aca="false">+AF68+77040-AF81</f>
        <v>63064</v>
      </c>
      <c r="AG66" s="5" t="n">
        <f aca="false">+AG68+90931-AG81</f>
        <v>61234</v>
      </c>
      <c r="AH66" s="5" t="n">
        <f aca="false">+AH68+106730-AH81</f>
        <v>59779</v>
      </c>
      <c r="AI66" s="5" t="n">
        <f aca="false">+AI68+125318-AI81</f>
        <v>46787</v>
      </c>
      <c r="AJ66" s="5" t="n">
        <f aca="false">+AJ68+121822-AJ81</f>
        <v>57528</v>
      </c>
      <c r="AK66" s="5" t="n">
        <f aca="false">+AK68+122463-AK81</f>
        <v>61641</v>
      </c>
      <c r="AL66" s="5" t="n">
        <f aca="false">+AL68+122951-AL81</f>
        <v>73200</v>
      </c>
      <c r="AM66" s="5" t="n">
        <f aca="false">+AM68+116110-AM81</f>
        <v>72188</v>
      </c>
      <c r="AN66" s="5" t="n">
        <f aca="false">+AN68+90826-AN81</f>
        <v>54976</v>
      </c>
      <c r="AO66" s="5" t="n">
        <f aca="false">+AO68+76558-AO81</f>
        <v>64025</v>
      </c>
      <c r="AP66" s="5" t="n">
        <f aca="false">+AP68+57228-AP81</f>
        <v>23913</v>
      </c>
      <c r="AQ66" s="5" t="n">
        <f aca="false">+AQ68+64323-AQ81</f>
        <v>51414</v>
      </c>
      <c r="AR66" s="5" t="n">
        <f aca="false">+AQ66+AR39</f>
        <v>185163</v>
      </c>
      <c r="AS66" s="5" t="n">
        <f aca="false">+AR66+AS39</f>
        <v>331384.511664</v>
      </c>
      <c r="AT66" s="5" t="n">
        <f aca="false">+AS66+AT39</f>
        <v>505537.203773952</v>
      </c>
      <c r="AU66" s="5" t="n">
        <f aca="false">+AT66+AU39</f>
        <v>705816.416782523</v>
      </c>
      <c r="AV66" s="5" t="n">
        <f aca="false">+AU66+AV39</f>
        <v>939750.263728181</v>
      </c>
      <c r="AW66" s="5" t="n">
        <f aca="false">+AV66+AW39</f>
        <v>1207806.55521407</v>
      </c>
      <c r="AX66" s="5" t="n">
        <f aca="false">+AW66+AX39</f>
        <v>1480939.9003338</v>
      </c>
      <c r="AY66" s="5" t="n">
        <f aca="false">+AX66+AY39</f>
        <v>1790906.0285943</v>
      </c>
      <c r="AZ66" s="5" t="n">
        <f aca="false">+AY66+AZ39</f>
        <v>2139220.30714716</v>
      </c>
      <c r="BA66" s="5" t="n">
        <f aca="false">+AZ66+BA39</f>
        <v>2530485.26372884</v>
      </c>
      <c r="BB66" s="5" t="n">
        <f aca="false">+BA66+BB39</f>
        <v>2969851.38523304</v>
      </c>
      <c r="BC66" s="38"/>
      <c r="BD66" s="38"/>
      <c r="BE66" s="38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</row>
    <row r="67" customFormat="false" ht="12.8" hidden="false" customHeight="true" outlineLevel="0" collapsed="false">
      <c r="BC67" s="27"/>
      <c r="BD67" s="27"/>
      <c r="BE67" s="27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</row>
    <row r="68" customFormat="false" ht="12.8" hidden="false" customHeight="true" outlineLevel="0" collapsed="false">
      <c r="A68" s="1" t="s">
        <v>5</v>
      </c>
      <c r="E68" s="5" t="n">
        <v>13931</v>
      </c>
      <c r="H68" s="5" t="n">
        <v>26562</v>
      </c>
      <c r="I68" s="5" t="n">
        <v>34704</v>
      </c>
      <c r="J68" s="5" t="n">
        <v>80452</v>
      </c>
      <c r="M68" s="5" t="n">
        <v>18315</v>
      </c>
      <c r="N68" s="5" t="n">
        <v>20840</v>
      </c>
      <c r="O68" s="5" t="n">
        <v>17482</v>
      </c>
      <c r="P68" s="5" t="n">
        <v>28828</v>
      </c>
      <c r="Q68" s="5" t="n">
        <v>30242</v>
      </c>
      <c r="R68" s="5" t="n">
        <v>28849</v>
      </c>
      <c r="S68" s="5" t="n">
        <v>24296</v>
      </c>
      <c r="T68" s="5" t="n">
        <v>32105</v>
      </c>
      <c r="U68" s="5" t="n">
        <v>20935</v>
      </c>
      <c r="AB68" s="5" t="n">
        <v>5505</v>
      </c>
      <c r="AC68" s="5" t="n">
        <v>9610</v>
      </c>
      <c r="AD68" s="5" t="n">
        <v>6938</v>
      </c>
      <c r="AE68" s="5" t="n">
        <v>3804</v>
      </c>
      <c r="AF68" s="5" t="n">
        <v>8669</v>
      </c>
      <c r="AG68" s="5" t="n">
        <v>5595</v>
      </c>
      <c r="AH68" s="5" t="n">
        <v>6510</v>
      </c>
      <c r="AI68" s="5" t="n">
        <v>7663</v>
      </c>
      <c r="AJ68" s="5" t="n">
        <v>11946</v>
      </c>
      <c r="AK68" s="5" t="n">
        <v>11356</v>
      </c>
      <c r="AL68" s="5" t="n">
        <v>13576</v>
      </c>
      <c r="AM68" s="5" t="n">
        <v>14224</v>
      </c>
      <c r="AN68" s="5" t="n">
        <v>13931</v>
      </c>
      <c r="AO68" s="5" t="n">
        <v>34704</v>
      </c>
      <c r="AP68" s="5" t="n">
        <v>18315</v>
      </c>
      <c r="AQ68" s="5" t="n">
        <v>30242</v>
      </c>
      <c r="AR68" s="5" t="n">
        <v>20935</v>
      </c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</row>
    <row r="69" customFormat="false" ht="12.8" hidden="false" customHeight="true" outlineLevel="0" collapsed="false">
      <c r="A69" s="1" t="s">
        <v>124</v>
      </c>
      <c r="E69" s="5" t="n">
        <f aca="false">+90826+6891</f>
        <v>97717</v>
      </c>
      <c r="H69" s="5" t="n">
        <f aca="false">+77865+9415</f>
        <v>87280</v>
      </c>
      <c r="I69" s="5" t="n">
        <f aca="false">+76558+9879</f>
        <v>86437</v>
      </c>
      <c r="J69" s="5" t="n">
        <f aca="false">+63499+11423</f>
        <v>74922</v>
      </c>
      <c r="M69" s="5" t="n">
        <f aca="false">+14600+57228</f>
        <v>71828</v>
      </c>
      <c r="N69" s="5" t="n">
        <f aca="false">+57588+15778</f>
        <v>73366</v>
      </c>
      <c r="O69" s="5" t="n">
        <f aca="false">+54073+15581</f>
        <v>69654</v>
      </c>
      <c r="P69" s="5" t="n">
        <f aca="false">+50790+16035</f>
        <v>66825</v>
      </c>
      <c r="Q69" s="5" t="n">
        <f aca="false">+15405+64323</f>
        <v>79728</v>
      </c>
      <c r="R69" s="5" t="n">
        <f aca="false">+73163+11465</f>
        <v>84628</v>
      </c>
      <c r="S69" s="5" t="n">
        <f aca="false">+65166+21202</f>
        <v>86368</v>
      </c>
      <c r="T69" s="5" t="n">
        <f aca="false">+46167+33683</f>
        <v>79850</v>
      </c>
      <c r="U69" s="5" t="n">
        <f aca="false">+36348+55908</f>
        <v>92256</v>
      </c>
      <c r="AB69" s="5" t="n">
        <f aca="false">+31283+7754</f>
        <v>39037</v>
      </c>
      <c r="AC69" s="5" t="n">
        <f aca="false">+43162+10865</f>
        <v>54027</v>
      </c>
      <c r="AD69" s="5" t="n">
        <f aca="false">+56102+9776</f>
        <v>65878</v>
      </c>
      <c r="AE69" s="5" t="n">
        <f aca="false">+73218+10844</f>
        <v>84062</v>
      </c>
      <c r="AF69" s="5" t="n">
        <f aca="false">+77040+14597</f>
        <v>91637</v>
      </c>
      <c r="AG69" s="5" t="n">
        <f aca="false">+90931+12053</f>
        <v>102984</v>
      </c>
      <c r="AH69" s="5" t="n">
        <f aca="false">+106730+10431</f>
        <v>117161</v>
      </c>
      <c r="AI69" s="5" t="n">
        <f aca="false">+125318+6023</f>
        <v>131341</v>
      </c>
      <c r="AJ69" s="5" t="n">
        <f aca="false">+121822+1862</f>
        <v>123684</v>
      </c>
      <c r="AK69" s="5" t="n">
        <f aca="false">+122463+2649</f>
        <v>125112</v>
      </c>
      <c r="AL69" s="5" t="n">
        <f aca="false">+122951+2965</f>
        <v>125916</v>
      </c>
      <c r="AM69" s="5" t="n">
        <f aca="false">+116110+5984</f>
        <v>122094</v>
      </c>
      <c r="AN69" s="5" t="n">
        <f aca="false">+90826+6891</f>
        <v>97717</v>
      </c>
      <c r="AO69" s="5" t="n">
        <f aca="false">+76558+9879</f>
        <v>86437</v>
      </c>
      <c r="AP69" s="5" t="n">
        <f aca="false">+14600+57228</f>
        <v>71828</v>
      </c>
      <c r="AQ69" s="5" t="n">
        <f aca="false">+15405+64323</f>
        <v>79728</v>
      </c>
      <c r="AR69" s="5" t="n">
        <f aca="false">+36348+55908</f>
        <v>92256</v>
      </c>
      <c r="BC69" s="39"/>
      <c r="BD69" s="39"/>
      <c r="BE69" s="39"/>
    </row>
    <row r="70" customFormat="false" ht="12.8" hidden="false" customHeight="true" outlineLevel="0" collapsed="false">
      <c r="A70" s="1" t="s">
        <v>125</v>
      </c>
      <c r="E70" s="5" t="n">
        <v>44261</v>
      </c>
      <c r="H70" s="5" t="n">
        <v>37420</v>
      </c>
      <c r="I70" s="5" t="n">
        <v>48688</v>
      </c>
      <c r="J70" s="5" t="n">
        <v>36953</v>
      </c>
      <c r="M70" s="5" t="n">
        <v>56924</v>
      </c>
      <c r="N70" s="5" t="n">
        <v>44148</v>
      </c>
      <c r="O70" s="5" t="n">
        <v>48188</v>
      </c>
      <c r="P70" s="5" t="n">
        <v>51700</v>
      </c>
      <c r="Q70" s="5" t="n">
        <v>69905</v>
      </c>
      <c r="R70" s="5" t="n">
        <v>52894</v>
      </c>
      <c r="S70" s="5" t="n">
        <v>56535</v>
      </c>
      <c r="T70" s="5" t="n">
        <v>60041</v>
      </c>
      <c r="U70" s="5" t="n">
        <v>80876</v>
      </c>
      <c r="AB70" s="5" t="n">
        <v>13014</v>
      </c>
      <c r="AC70" s="5" t="n">
        <v>14987</v>
      </c>
      <c r="AD70" s="5" t="n">
        <v>15780</v>
      </c>
      <c r="AE70" s="5" t="n">
        <v>17486</v>
      </c>
      <c r="AF70" s="5" t="n">
        <v>19544</v>
      </c>
      <c r="AG70" s="5" t="n">
        <v>17908</v>
      </c>
      <c r="AH70" s="5" t="n">
        <v>18277</v>
      </c>
      <c r="AI70" s="5" t="n">
        <v>22431</v>
      </c>
      <c r="AJ70" s="5" t="n">
        <v>26481</v>
      </c>
      <c r="AK70" s="5" t="n">
        <v>29524</v>
      </c>
      <c r="AL70" s="5" t="n">
        <v>32011</v>
      </c>
      <c r="AM70" s="5" t="n">
        <v>38043</v>
      </c>
      <c r="AN70" s="5" t="n">
        <v>44261</v>
      </c>
      <c r="AO70" s="5" t="n">
        <v>48688</v>
      </c>
      <c r="AP70" s="5" t="n">
        <v>56924</v>
      </c>
      <c r="AQ70" s="5" t="n">
        <v>69905</v>
      </c>
      <c r="AR70" s="5" t="n">
        <v>80876</v>
      </c>
      <c r="AS70" s="5" t="n">
        <f aca="false">+(AS157/365)*AS13</f>
        <v>86159.9507671233</v>
      </c>
      <c r="AT70" s="5" t="n">
        <f aca="false">+(AT157/365)*AT13</f>
        <v>98711.6472986301</v>
      </c>
      <c r="AU70" s="5" t="n">
        <f aca="false">+(AU157/365)*AU13</f>
        <v>113518.394393425</v>
      </c>
      <c r="AV70" s="5" t="n">
        <f aca="false">+(AV157/365)*AV13</f>
        <v>127793.332488398</v>
      </c>
      <c r="AW70" s="5" t="n">
        <f aca="false">+(AW157/365)*AW13</f>
        <v>144406.46571189</v>
      </c>
      <c r="AX70" s="5" t="n">
        <f aca="false">+(AX157/365)*AX13</f>
        <v>159687.96005811</v>
      </c>
      <c r="AY70" s="5" t="n">
        <f aca="false">+(AY157/365)*AY13</f>
        <v>177253.635664502</v>
      </c>
      <c r="AZ70" s="5" t="n">
        <f aca="false">+(AZ157/365)*AZ13</f>
        <v>194229.080003141</v>
      </c>
      <c r="BA70" s="5" t="n">
        <f aca="false">+(BA157/365)*BA13</f>
        <v>215594.278803486</v>
      </c>
      <c r="BB70" s="5" t="n">
        <f aca="false">+(BB157/365)*BB13</f>
        <v>236201.731946261</v>
      </c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</row>
    <row r="71" customFormat="false" ht="12.8" hidden="false" customHeight="true" outlineLevel="0" collapsed="false">
      <c r="A71" s="1" t="s">
        <v>126</v>
      </c>
      <c r="E71" s="5" t="n">
        <v>3742</v>
      </c>
      <c r="H71" s="5" t="n">
        <v>2877</v>
      </c>
      <c r="I71" s="5" t="n">
        <v>2500</v>
      </c>
      <c r="J71" s="5" t="n">
        <v>3000</v>
      </c>
      <c r="M71" s="5" t="n">
        <v>1246</v>
      </c>
      <c r="N71" s="5" t="n">
        <v>1626</v>
      </c>
      <c r="O71" s="5" t="n">
        <v>909</v>
      </c>
      <c r="P71" s="5" t="n">
        <v>848</v>
      </c>
      <c r="Q71" s="5" t="n">
        <v>938</v>
      </c>
      <c r="R71" s="5" t="n">
        <v>1130</v>
      </c>
      <c r="S71" s="5" t="n">
        <v>1059</v>
      </c>
      <c r="T71" s="5" t="n">
        <v>1219</v>
      </c>
      <c r="U71" s="5" t="n">
        <v>1397</v>
      </c>
      <c r="AB71" s="5" t="n">
        <v>740</v>
      </c>
      <c r="AC71" s="5" t="n">
        <v>1372</v>
      </c>
      <c r="AD71" s="5" t="n">
        <v>1137</v>
      </c>
      <c r="AE71" s="5" t="n">
        <v>1938</v>
      </c>
      <c r="AF71" s="5" t="n">
        <v>2660</v>
      </c>
      <c r="AG71" s="5" t="n">
        <v>2902</v>
      </c>
      <c r="AH71" s="5" t="n">
        <v>2251</v>
      </c>
      <c r="AI71" s="5" t="n">
        <v>2181</v>
      </c>
      <c r="AJ71" s="5" t="n">
        <v>2662</v>
      </c>
      <c r="AK71" s="5" t="n">
        <v>2063</v>
      </c>
      <c r="AL71" s="5" t="n">
        <v>1895</v>
      </c>
      <c r="AM71" s="5" t="n">
        <v>2636</v>
      </c>
      <c r="AN71" s="5" t="n">
        <v>3742</v>
      </c>
      <c r="AO71" s="5" t="n">
        <v>2500</v>
      </c>
      <c r="AP71" s="5" t="n">
        <v>1246</v>
      </c>
      <c r="AQ71" s="5" t="n">
        <v>938</v>
      </c>
      <c r="AR71" s="5" t="n">
        <v>1397</v>
      </c>
      <c r="AS71" s="5" t="n">
        <f aca="false">+(AS158/365)*AS19</f>
        <v>1675.3323760274</v>
      </c>
      <c r="AT71" s="5" t="n">
        <f aca="false">+(AT158/365)*AT19</f>
        <v>1881.69077663014</v>
      </c>
      <c r="AU71" s="5" t="n">
        <f aca="false">+(AU158/365)*AU19</f>
        <v>2092.99539662877</v>
      </c>
      <c r="AV71" s="5" t="n">
        <f aca="false">+(AV158/365)*AV19</f>
        <v>2345.57382415414</v>
      </c>
      <c r="AW71" s="5" t="n">
        <f aca="false">+(AW158/365)*AW19</f>
        <v>2604.80017265117</v>
      </c>
      <c r="AX71" s="5" t="n">
        <f aca="false">+(AX158/365)*AX19</f>
        <v>2866.19415488915</v>
      </c>
      <c r="AY71" s="5" t="n">
        <f aca="false">+(AY158/365)*AY19</f>
        <v>3124.66344921397</v>
      </c>
      <c r="AZ71" s="5" t="n">
        <f aca="false">+(AZ158/365)*AZ19</f>
        <v>3405.3150390161</v>
      </c>
      <c r="BA71" s="5" t="n">
        <f aca="false">+(BA158/365)*BA19</f>
        <v>3709.90155083921</v>
      </c>
      <c r="BB71" s="5" t="n">
        <f aca="false">+(BB158/365)*BB19</f>
        <v>4040.29278329131</v>
      </c>
    </row>
    <row r="72" customFormat="false" ht="12.8" hidden="false" customHeight="true" outlineLevel="0" collapsed="false">
      <c r="A72" s="1" t="s">
        <v>127</v>
      </c>
      <c r="E72" s="5" t="n">
        <v>74398</v>
      </c>
      <c r="H72" s="5" t="n">
        <v>88132</v>
      </c>
      <c r="I72" s="5" t="n">
        <v>95641</v>
      </c>
      <c r="J72" s="5" t="n">
        <v>102502</v>
      </c>
      <c r="M72" s="5" t="n">
        <v>135591</v>
      </c>
      <c r="N72" s="5" t="n">
        <v>152863</v>
      </c>
      <c r="O72" s="5" t="n">
        <v>166902</v>
      </c>
      <c r="P72" s="5" t="n">
        <v>183939</v>
      </c>
      <c r="Q72" s="5" t="n">
        <v>204966</v>
      </c>
      <c r="R72" s="5" t="n">
        <v>230861</v>
      </c>
      <c r="S72" s="5" t="n">
        <v>261126</v>
      </c>
      <c r="T72" s="5" t="n">
        <v>283228</v>
      </c>
      <c r="U72" s="5" t="n">
        <v>313076</v>
      </c>
      <c r="AB72" s="5" t="n">
        <v>7630</v>
      </c>
      <c r="AC72" s="5" t="n">
        <v>8162</v>
      </c>
      <c r="AD72" s="5" t="n">
        <v>8269</v>
      </c>
      <c r="AE72" s="5" t="n">
        <v>9991</v>
      </c>
      <c r="AF72" s="5" t="n">
        <v>13011</v>
      </c>
      <c r="AG72" s="5" t="n">
        <v>14731</v>
      </c>
      <c r="AH72" s="5" t="n">
        <v>18356</v>
      </c>
      <c r="AI72" s="5" t="n">
        <v>23734</v>
      </c>
      <c r="AJ72" s="5" t="n">
        <v>29460</v>
      </c>
      <c r="AK72" s="5" t="n">
        <v>36477</v>
      </c>
      <c r="AL72" s="5" t="n">
        <v>44151</v>
      </c>
      <c r="AM72" s="5" t="n">
        <v>59715</v>
      </c>
      <c r="AN72" s="5" t="n">
        <v>74398</v>
      </c>
      <c r="AO72" s="5" t="n">
        <v>95641</v>
      </c>
      <c r="AP72" s="5" t="n">
        <v>135591</v>
      </c>
      <c r="AQ72" s="5" t="n">
        <v>204966</v>
      </c>
      <c r="AR72" s="5" t="n">
        <v>313076</v>
      </c>
    </row>
    <row r="73" customFormat="false" ht="12.8" hidden="false" customHeight="true" outlineLevel="0" collapsed="false">
      <c r="A73" s="1" t="s">
        <v>128</v>
      </c>
      <c r="E73" s="5" t="n">
        <v>13148</v>
      </c>
      <c r="H73" s="5" t="n">
        <v>13879</v>
      </c>
      <c r="I73" s="5" t="n">
        <v>14346</v>
      </c>
      <c r="J73" s="5" t="n">
        <v>15435</v>
      </c>
      <c r="M73" s="5" t="n">
        <v>18961</v>
      </c>
      <c r="N73" s="5" t="n">
        <v>20528</v>
      </c>
      <c r="O73" s="5" t="n">
        <v>22816</v>
      </c>
      <c r="P73" s="5" t="n">
        <v>24475</v>
      </c>
      <c r="Q73" s="5" t="n">
        <v>24823</v>
      </c>
      <c r="R73" s="5" t="n">
        <v>24791</v>
      </c>
      <c r="S73" s="5" t="n">
        <v>25103</v>
      </c>
      <c r="T73" s="5" t="n">
        <v>24403</v>
      </c>
      <c r="U73" s="5" t="n">
        <v>24177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6555</v>
      </c>
      <c r="AJ73" s="5" t="n">
        <v>6686</v>
      </c>
      <c r="AK73" s="5" t="n">
        <v>7379</v>
      </c>
      <c r="AL73" s="5" t="n">
        <v>8753</v>
      </c>
      <c r="AM73" s="5" t="n">
        <v>11088</v>
      </c>
      <c r="AN73" s="5" t="n">
        <v>13148</v>
      </c>
      <c r="AO73" s="5" t="n">
        <v>14346</v>
      </c>
      <c r="AP73" s="5" t="n">
        <v>18961</v>
      </c>
      <c r="AQ73" s="5" t="n">
        <v>24823</v>
      </c>
      <c r="AR73" s="5" t="n">
        <v>24177</v>
      </c>
    </row>
    <row r="74" customFormat="false" ht="12.8" hidden="false" customHeight="true" outlineLevel="0" collapsed="false">
      <c r="A74" s="1" t="s">
        <v>129</v>
      </c>
      <c r="E74" s="5" t="n">
        <v>67524</v>
      </c>
      <c r="H74" s="5" t="n">
        <v>67940</v>
      </c>
      <c r="I74" s="5" t="n">
        <v>67886</v>
      </c>
      <c r="J74" s="5" t="n">
        <v>67790</v>
      </c>
      <c r="M74" s="5" t="n">
        <v>119220</v>
      </c>
      <c r="N74" s="5" t="n">
        <v>119374</v>
      </c>
      <c r="O74" s="5" t="n">
        <v>119191</v>
      </c>
      <c r="P74" s="5" t="n">
        <v>119329</v>
      </c>
      <c r="Q74" s="5" t="n">
        <v>119509</v>
      </c>
      <c r="R74" s="5" t="n">
        <v>119497</v>
      </c>
      <c r="S74" s="5" t="n">
        <v>119622</v>
      </c>
      <c r="T74" s="5" t="n">
        <v>119661</v>
      </c>
      <c r="U74" s="5" t="n">
        <v>119651</v>
      </c>
      <c r="AB74" s="5" t="n">
        <v>12394</v>
      </c>
      <c r="AC74" s="5" t="n">
        <v>12581</v>
      </c>
      <c r="AD74" s="5" t="n">
        <v>13452</v>
      </c>
      <c r="AE74" s="5" t="n">
        <v>14655</v>
      </c>
      <c r="AF74" s="5" t="n">
        <v>20127</v>
      </c>
      <c r="AG74" s="5" t="n">
        <v>16939</v>
      </c>
      <c r="AH74" s="5" t="n">
        <v>17872</v>
      </c>
      <c r="AI74" s="5" t="n">
        <v>35122</v>
      </c>
      <c r="AJ74" s="5" t="n">
        <v>35683</v>
      </c>
      <c r="AK74" s="5" t="n">
        <v>42026</v>
      </c>
      <c r="AL74" s="5" t="n">
        <v>43351</v>
      </c>
      <c r="AM74" s="5" t="n">
        <v>49711</v>
      </c>
      <c r="AN74" s="5" t="n">
        <v>67524</v>
      </c>
      <c r="AO74" s="5" t="n">
        <v>67886</v>
      </c>
      <c r="AP74" s="5" t="n">
        <v>119220</v>
      </c>
      <c r="AQ74" s="5" t="n">
        <v>119509</v>
      </c>
      <c r="AR74" s="5" t="n">
        <v>119651</v>
      </c>
    </row>
    <row r="75" customFormat="false" ht="12.8" hidden="false" customHeight="true" outlineLevel="0" collapsed="false">
      <c r="A75" s="1" t="s">
        <v>130</v>
      </c>
      <c r="E75" s="5" t="n">
        <v>11298</v>
      </c>
      <c r="H75" s="5" t="n">
        <v>9879</v>
      </c>
      <c r="I75" s="5" t="n">
        <v>9366</v>
      </c>
      <c r="J75" s="5" t="n">
        <v>8895</v>
      </c>
      <c r="M75" s="5" t="n">
        <v>27597</v>
      </c>
      <c r="N75" s="5" t="n">
        <v>26751</v>
      </c>
      <c r="O75" s="5" t="n">
        <v>25385</v>
      </c>
      <c r="P75" s="5" t="n">
        <v>23968</v>
      </c>
      <c r="Q75" s="5" t="n">
        <v>22604</v>
      </c>
      <c r="R75" s="5" t="n">
        <v>21236</v>
      </c>
      <c r="S75" s="5" t="n">
        <v>20289</v>
      </c>
      <c r="T75" s="5" t="n">
        <v>19325</v>
      </c>
      <c r="U75" s="5" t="n">
        <v>18609</v>
      </c>
      <c r="AB75" s="5" t="n">
        <v>1158</v>
      </c>
      <c r="AC75" s="5" t="n">
        <v>744</v>
      </c>
      <c r="AD75" s="5" t="n">
        <v>3170</v>
      </c>
      <c r="AE75" s="5" t="n">
        <v>3083</v>
      </c>
      <c r="AF75" s="5" t="n">
        <v>6981</v>
      </c>
      <c r="AG75" s="5" t="n">
        <v>4835</v>
      </c>
      <c r="AH75" s="5" t="n">
        <v>3733</v>
      </c>
      <c r="AI75" s="5" t="n">
        <v>10106</v>
      </c>
      <c r="AJ75" s="5" t="n">
        <v>8053</v>
      </c>
      <c r="AK75" s="5" t="n">
        <v>7750</v>
      </c>
      <c r="AL75" s="5" t="n">
        <v>7038</v>
      </c>
      <c r="AM75" s="5" t="n">
        <v>7800</v>
      </c>
      <c r="AN75" s="5" t="n">
        <v>11298</v>
      </c>
      <c r="AO75" s="5" t="n">
        <v>9366</v>
      </c>
      <c r="AP75" s="5" t="n">
        <v>27597</v>
      </c>
      <c r="AQ75" s="5" t="n">
        <v>22604</v>
      </c>
      <c r="AR75" s="5" t="n">
        <v>18609</v>
      </c>
    </row>
    <row r="76" customFormat="false" ht="12.8" hidden="false" customHeight="true" outlineLevel="0" collapsed="false">
      <c r="A76" s="1" t="s">
        <v>131</v>
      </c>
      <c r="E76" s="5" t="n">
        <v>16924</v>
      </c>
      <c r="H76" s="5" t="n">
        <v>19165</v>
      </c>
      <c r="I76" s="5" t="n">
        <v>21807</v>
      </c>
      <c r="J76" s="5" t="n">
        <v>23682</v>
      </c>
      <c r="M76" s="5" t="n">
        <v>26021</v>
      </c>
      <c r="N76" s="5" t="n">
        <v>25724</v>
      </c>
      <c r="O76" s="5" t="n">
        <v>26428</v>
      </c>
      <c r="P76" s="5" t="n">
        <v>24478</v>
      </c>
      <c r="Q76" s="5" t="n">
        <v>25723</v>
      </c>
      <c r="R76" s="5" t="n">
        <v>33030</v>
      </c>
      <c r="S76" s="5" t="n">
        <v>33134</v>
      </c>
      <c r="T76" s="5" t="n">
        <v>35797</v>
      </c>
      <c r="U76" s="5" t="n">
        <v>48594</v>
      </c>
      <c r="AB76" s="5" t="n">
        <v>2950</v>
      </c>
      <c r="AC76" s="5" t="n">
        <v>3320</v>
      </c>
      <c r="AD76" s="5" t="n">
        <v>3092</v>
      </c>
      <c r="AE76" s="5" t="n">
        <v>3388</v>
      </c>
      <c r="AF76" s="5" t="n">
        <v>4392</v>
      </c>
      <c r="AG76" s="5" t="n">
        <v>5461</v>
      </c>
      <c r="AH76" s="5" t="n">
        <v>5892</v>
      </c>
      <c r="AI76" s="5" t="n">
        <v>5103</v>
      </c>
      <c r="AJ76" s="5" t="n">
        <v>6751</v>
      </c>
      <c r="AK76" s="5" t="n">
        <v>10146</v>
      </c>
      <c r="AL76" s="5" t="n">
        <v>11482</v>
      </c>
      <c r="AM76" s="5" t="n">
        <v>13393</v>
      </c>
      <c r="AN76" s="5" t="n">
        <v>16924</v>
      </c>
      <c r="AO76" s="5" t="n">
        <v>21807</v>
      </c>
      <c r="AP76" s="5" t="n">
        <v>26021</v>
      </c>
      <c r="AQ76" s="5" t="n">
        <v>25723</v>
      </c>
      <c r="AR76" s="5" t="n">
        <v>48594</v>
      </c>
    </row>
    <row r="77" customFormat="false" ht="12.8" hidden="false" customHeight="true" outlineLevel="0" collapsed="false">
      <c r="A77" s="1" t="s">
        <v>132</v>
      </c>
      <c r="E77" s="5" t="n">
        <f aca="false">+21897</f>
        <v>21897</v>
      </c>
      <c r="H77" s="5" t="n">
        <f aca="false">+26954</f>
        <v>26954</v>
      </c>
      <c r="I77" s="5" t="n">
        <f aca="false">+30601</f>
        <v>30601</v>
      </c>
      <c r="J77" s="5" t="n">
        <f aca="false">+32154</f>
        <v>32154</v>
      </c>
      <c r="M77" s="5" t="n">
        <f aca="false">+36460</f>
        <v>36460</v>
      </c>
      <c r="N77" s="5" t="n">
        <f aca="false">+37793</f>
        <v>37793</v>
      </c>
      <c r="O77" s="5" t="n">
        <f aca="false">+36943</f>
        <v>36943</v>
      </c>
      <c r="P77" s="5" t="n">
        <f aca="false">+38234</f>
        <v>38234</v>
      </c>
      <c r="Q77" s="5" t="n">
        <f aca="false">+40565</f>
        <v>40565</v>
      </c>
      <c r="R77" s="5" t="n">
        <f aca="false">+39435</f>
        <v>39435</v>
      </c>
      <c r="S77" s="5" t="n">
        <f aca="false">+37770</f>
        <v>37770</v>
      </c>
      <c r="T77" s="5" t="n">
        <f aca="false">+38599</f>
        <v>38599</v>
      </c>
      <c r="U77" s="5" t="n">
        <v>38805</v>
      </c>
      <c r="AB77" s="5" t="n">
        <f aca="false">+1501+2184</f>
        <v>3685</v>
      </c>
      <c r="AC77" s="5" t="n">
        <f aca="false">+1434+2467</f>
        <v>3901</v>
      </c>
      <c r="AD77" s="5" t="n">
        <f aca="false">+2035+1520</f>
        <v>3555</v>
      </c>
      <c r="AE77" s="5" t="n">
        <f aca="false">+2392+1632</f>
        <v>4024</v>
      </c>
      <c r="AF77" s="5" t="n">
        <f aca="false">+3422+1941</f>
        <v>5363</v>
      </c>
      <c r="AG77" s="5" t="n">
        <v>3117</v>
      </c>
      <c r="AH77" s="5" t="n">
        <v>3416</v>
      </c>
      <c r="AI77" s="5" t="n">
        <v>6076</v>
      </c>
      <c r="AJ77" s="5" t="n">
        <f aca="false">+7442</f>
        <v>7442</v>
      </c>
      <c r="AK77" s="5" t="n">
        <f aca="false">+14723</f>
        <v>14723</v>
      </c>
      <c r="AL77" s="5" t="n">
        <f aca="false">+13138</f>
        <v>13138</v>
      </c>
      <c r="AM77" s="5" t="n">
        <f aca="false">+15075</f>
        <v>15075</v>
      </c>
      <c r="AN77" s="5" t="n">
        <f aca="false">+21897</f>
        <v>21897</v>
      </c>
      <c r="AO77" s="5" t="n">
        <f aca="false">+30601</f>
        <v>30601</v>
      </c>
      <c r="AP77" s="5" t="n">
        <f aca="false">+36460</f>
        <v>36460</v>
      </c>
      <c r="AQ77" s="5" t="n">
        <f aca="false">+40565</f>
        <v>40565</v>
      </c>
      <c r="AR77" s="5" t="n">
        <v>38805</v>
      </c>
    </row>
    <row r="78" customFormat="false" ht="12.8" hidden="false" customHeight="true" outlineLevel="0" collapsed="false">
      <c r="A78" s="1" t="s">
        <v>133</v>
      </c>
      <c r="B78" s="5" t="n">
        <f aca="false">+SUM(B68:B77)</f>
        <v>0</v>
      </c>
      <c r="C78" s="5" t="n">
        <f aca="false">+SUM(C68:C77)</f>
        <v>0</v>
      </c>
      <c r="D78" s="5" t="n">
        <f aca="false">+SUM(D68:D77)</f>
        <v>0</v>
      </c>
      <c r="E78" s="5" t="n">
        <f aca="false">+SUM(E68:E77)</f>
        <v>364840</v>
      </c>
      <c r="F78" s="5" t="n">
        <f aca="false">+SUM(F68:F77)</f>
        <v>0</v>
      </c>
      <c r="G78" s="5" t="n">
        <f aca="false">+SUM(G68:G77)</f>
        <v>0</v>
      </c>
      <c r="H78" s="5" t="n">
        <f aca="false">+SUM(H68:H77)</f>
        <v>380088</v>
      </c>
      <c r="I78" s="5" t="n">
        <f aca="false">+SUM(I68:I77)</f>
        <v>411976</v>
      </c>
      <c r="J78" s="5" t="n">
        <f aca="false">+SUM(J68:J77)</f>
        <v>445785</v>
      </c>
      <c r="K78" s="5" t="n">
        <f aca="false">+SUM(K68:K77)</f>
        <v>0</v>
      </c>
      <c r="L78" s="5" t="n">
        <f aca="false">+SUM(L68:L77)</f>
        <v>0</v>
      </c>
      <c r="M78" s="5" t="n">
        <f aca="false">+SUM(M68:M77)</f>
        <v>512163</v>
      </c>
      <c r="N78" s="5" t="n">
        <f aca="false">+SUM(N68:N77)</f>
        <v>523013</v>
      </c>
      <c r="O78" s="5" t="n">
        <f aca="false">+SUM(O68:O77)</f>
        <v>533898</v>
      </c>
      <c r="P78" s="5" t="n">
        <f aca="false">+SUM(P68:P77)</f>
        <v>562624</v>
      </c>
      <c r="Q78" s="5" t="n">
        <f aca="false">+SUM(Q68:Q77)</f>
        <v>619003</v>
      </c>
      <c r="R78" s="5" t="n">
        <f aca="false">+SUM(R68:R77)</f>
        <v>636351</v>
      </c>
      <c r="S78" s="5" t="n">
        <f aca="false">+SUM(S68:S77)</f>
        <v>665302</v>
      </c>
      <c r="T78" s="5" t="n">
        <f aca="false">+SUM(T68:T77)</f>
        <v>694228</v>
      </c>
      <c r="U78" s="5" t="n">
        <f aca="false">+SUM(U68:U77)</f>
        <v>758376</v>
      </c>
      <c r="AB78" s="5" t="n">
        <f aca="false">+SUM(AB68:AB77)</f>
        <v>86113</v>
      </c>
      <c r="AC78" s="5" t="n">
        <f aca="false">+SUM(AC68:AC77)</f>
        <v>108704</v>
      </c>
      <c r="AD78" s="5" t="n">
        <f aca="false">+SUM(AD68:AD77)</f>
        <v>121271</v>
      </c>
      <c r="AE78" s="5" t="n">
        <f aca="false">+SUM(AE68:AE77)</f>
        <v>142431</v>
      </c>
      <c r="AF78" s="5" t="n">
        <f aca="false">+SUM(AF68:AF77)</f>
        <v>172384</v>
      </c>
      <c r="AG78" s="5" t="n">
        <f aca="false">+SUM(AG68:AG77)</f>
        <v>174472</v>
      </c>
      <c r="AH78" s="5" t="n">
        <f aca="false">+SUM(AH68:AH77)</f>
        <v>193468</v>
      </c>
      <c r="AI78" s="5" t="n">
        <f aca="false">+SUM(AI68:AI77)</f>
        <v>250312</v>
      </c>
      <c r="AJ78" s="5" t="n">
        <f aca="false">+SUM(AJ68:AJ77)</f>
        <v>258848</v>
      </c>
      <c r="AK78" s="5" t="n">
        <f aca="false">+SUM(AK68:AK77)</f>
        <v>286556</v>
      </c>
      <c r="AL78" s="5" t="n">
        <f aca="false">+SUM(AL68:AL77)</f>
        <v>301311</v>
      </c>
      <c r="AM78" s="5" t="n">
        <f aca="false">+SUM(AM68:AM77)</f>
        <v>333779</v>
      </c>
      <c r="AN78" s="5" t="n">
        <f aca="false">+SUM(AN68:AN77)</f>
        <v>364840</v>
      </c>
      <c r="AO78" s="5" t="n">
        <f aca="false">+SUM(AO68:AO77)</f>
        <v>411976</v>
      </c>
      <c r="AP78" s="5" t="n">
        <f aca="false">+SUM(AP68:AP77)</f>
        <v>512163</v>
      </c>
      <c r="AQ78" s="5" t="n">
        <f aca="false">+SUM(AQ68:AQ77)</f>
        <v>619003</v>
      </c>
      <c r="AR78" s="5" t="n">
        <f aca="false">+SUM(AR68:AR77)</f>
        <v>758376</v>
      </c>
    </row>
    <row r="80" customFormat="false" ht="12.8" hidden="false" customHeight="true" outlineLevel="0" collapsed="false">
      <c r="A80" s="1" t="s">
        <v>134</v>
      </c>
      <c r="E80" s="5" t="n">
        <v>19000</v>
      </c>
      <c r="H80" s="5" t="n">
        <v>15305</v>
      </c>
      <c r="I80" s="5" t="n">
        <v>18095</v>
      </c>
      <c r="J80" s="5" t="n">
        <v>19307</v>
      </c>
      <c r="M80" s="5" t="n">
        <v>21996</v>
      </c>
      <c r="N80" s="5" t="n">
        <v>22768</v>
      </c>
      <c r="O80" s="5" t="n">
        <v>22608</v>
      </c>
      <c r="P80" s="5" t="n">
        <v>26250</v>
      </c>
      <c r="Q80" s="5" t="n">
        <v>27724</v>
      </c>
      <c r="R80" s="5" t="n">
        <v>32580</v>
      </c>
      <c r="S80" s="5" t="n">
        <v>37328</v>
      </c>
      <c r="T80" s="5" t="n">
        <v>37513</v>
      </c>
      <c r="U80" s="5" t="n">
        <v>42416</v>
      </c>
      <c r="AB80" s="5" t="n">
        <v>4025</v>
      </c>
      <c r="AC80" s="5" t="n">
        <v>4197</v>
      </c>
      <c r="AD80" s="5" t="n">
        <v>4175</v>
      </c>
      <c r="AE80" s="5" t="n">
        <v>4828</v>
      </c>
      <c r="AF80" s="5" t="n">
        <v>7432</v>
      </c>
      <c r="AG80" s="5" t="n">
        <v>6591</v>
      </c>
      <c r="AH80" s="5" t="n">
        <v>6898</v>
      </c>
      <c r="AI80" s="5" t="n">
        <v>7390</v>
      </c>
      <c r="AJ80" s="5" t="n">
        <v>8617</v>
      </c>
      <c r="AK80" s="5" t="n">
        <v>9382</v>
      </c>
      <c r="AL80" s="5" t="n">
        <v>12530</v>
      </c>
      <c r="AM80" s="5" t="n">
        <v>15163</v>
      </c>
      <c r="AN80" s="5" t="n">
        <v>19000</v>
      </c>
      <c r="AO80" s="5" t="n">
        <v>18095</v>
      </c>
      <c r="AP80" s="5" t="n">
        <v>21996</v>
      </c>
      <c r="AQ80" s="5" t="n">
        <v>27724</v>
      </c>
      <c r="AR80" s="5" t="n">
        <v>42416</v>
      </c>
      <c r="AS80" s="5" t="n">
        <f aca="false">+(AS159/365)*AS19</f>
        <v>34846.9134213699</v>
      </c>
      <c r="AT80" s="5" t="n">
        <f aca="false">+(AT159/365)*AT19</f>
        <v>39515.5063092329</v>
      </c>
      <c r="AU80" s="5" t="n">
        <f aca="false">+(AU159/365)*AU19</f>
        <v>43952.9033292041</v>
      </c>
      <c r="AV80" s="5" t="n">
        <f aca="false">+(AV159/365)*AV19</f>
        <v>49726.1650720677</v>
      </c>
      <c r="AW80" s="5" t="n">
        <f aca="false">+(AW159/365)*AW19</f>
        <v>55221.7636602048</v>
      </c>
      <c r="AX80" s="5" t="n">
        <f aca="false">+(AX159/365)*AX19</f>
        <v>61336.5549146278</v>
      </c>
      <c r="AY80" s="5" t="n">
        <f aca="false">+(AY159/365)*AY19</f>
        <v>66867.797813179</v>
      </c>
      <c r="AZ80" s="5" t="n">
        <f aca="false">+(AZ159/365)*AZ19</f>
        <v>73554.8048427478</v>
      </c>
      <c r="BA80" s="5" t="n">
        <f aca="false">+(BA159/365)*BA19</f>
        <v>80875.8538082948</v>
      </c>
      <c r="BB80" s="5" t="n">
        <f aca="false">+(BB159/365)*BB19</f>
        <v>88886.4412324087</v>
      </c>
      <c r="BD80" s="45"/>
      <c r="BE80" s="45"/>
    </row>
    <row r="81" customFormat="false" ht="12.8" hidden="false" customHeight="true" outlineLevel="0" collapsed="false">
      <c r="A81" s="1" t="s">
        <v>6</v>
      </c>
      <c r="E81" s="5" t="n">
        <f aca="false">+2749+47032</f>
        <v>49781</v>
      </c>
      <c r="H81" s="5" t="n">
        <f aca="false">+6245+41965</f>
        <v>48210</v>
      </c>
      <c r="I81" s="5" t="n">
        <f aca="false">+5247+41990</f>
        <v>47237</v>
      </c>
      <c r="J81" s="5" t="n">
        <f aca="false">+25808+3748+41946</f>
        <v>71502</v>
      </c>
      <c r="M81" s="5" t="n">
        <f aca="false">+6693+2249+42688</f>
        <v>51630</v>
      </c>
      <c r="N81" s="5" t="n">
        <f aca="false">+0+2249+42868</f>
        <v>45117</v>
      </c>
      <c r="O81" s="5" t="n">
        <f aca="false">+0+5248+39722</f>
        <v>44970</v>
      </c>
      <c r="P81" s="5" t="n">
        <f aca="false">+0+39882+2999</f>
        <v>42881</v>
      </c>
      <c r="Q81" s="5" t="n">
        <f aca="false">+0+40152+2999</f>
        <v>43151</v>
      </c>
      <c r="R81" s="5" t="n">
        <f aca="false">+7832+35376</f>
        <v>43208</v>
      </c>
      <c r="S81" s="5" t="n">
        <f aca="false">+10103+35425</f>
        <v>45528</v>
      </c>
      <c r="T81" s="5" t="n">
        <f aca="false">+8839+31423</f>
        <v>40262</v>
      </c>
      <c r="U81" s="5" t="n">
        <f aca="false">+31067+9227</f>
        <v>40294</v>
      </c>
      <c r="AB81" s="5" t="n">
        <f aca="false">+1000+4939</f>
        <v>5939</v>
      </c>
      <c r="AC81" s="5" t="n">
        <f aca="false">+0+11921</f>
        <v>11921</v>
      </c>
      <c r="AD81" s="5" t="n">
        <f aca="false">+1231+10713</f>
        <v>11944</v>
      </c>
      <c r="AE81" s="5" t="n">
        <f aca="false">+2999+12601</f>
        <v>15600</v>
      </c>
      <c r="AF81" s="5" t="n">
        <f aca="false">+2000+20645</f>
        <v>22645</v>
      </c>
      <c r="AG81" s="5" t="n">
        <f aca="false">+4985+2499+27808</f>
        <v>35292</v>
      </c>
      <c r="AH81" s="5" t="n">
        <f aca="false">+12904+0+40557</f>
        <v>53461</v>
      </c>
      <c r="AI81" s="5" t="n">
        <f aca="false">+9072+1049+76073</f>
        <v>86194</v>
      </c>
      <c r="AJ81" s="5" t="n">
        <f aca="false">+3998+72242</f>
        <v>76240</v>
      </c>
      <c r="AK81" s="5" t="n">
        <f aca="false">+5516+66662</f>
        <v>72178</v>
      </c>
      <c r="AL81" s="5" t="n">
        <f aca="false">+3749+59578</f>
        <v>63327</v>
      </c>
      <c r="AM81" s="5" t="n">
        <f aca="false">+8072+50074</f>
        <v>58146</v>
      </c>
      <c r="AN81" s="5" t="n">
        <f aca="false">+2749+47032</f>
        <v>49781</v>
      </c>
      <c r="AO81" s="5" t="n">
        <f aca="false">+5247+41990</f>
        <v>47237</v>
      </c>
      <c r="AP81" s="5" t="n">
        <f aca="false">+6693+2249+42688</f>
        <v>51630</v>
      </c>
      <c r="AQ81" s="5" t="n">
        <f aca="false">+0+40152+2999</f>
        <v>43151</v>
      </c>
      <c r="AR81" s="5" t="n">
        <f aca="false">+31067+9227</f>
        <v>40294</v>
      </c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</row>
    <row r="82" s="45" customFormat="true" ht="12.8" hidden="false" customHeight="true" outlineLevel="0" collapsed="false">
      <c r="A82" s="1" t="s">
        <v>135</v>
      </c>
      <c r="B82" s="5"/>
      <c r="C82" s="5"/>
      <c r="D82" s="5"/>
      <c r="E82" s="5" t="n">
        <v>10661</v>
      </c>
      <c r="F82" s="5"/>
      <c r="G82" s="5"/>
      <c r="H82" s="5" t="n">
        <v>10411</v>
      </c>
      <c r="I82" s="5" t="n">
        <v>11009</v>
      </c>
      <c r="J82" s="5" t="n">
        <v>6990</v>
      </c>
      <c r="K82" s="5"/>
      <c r="L82" s="5"/>
      <c r="M82" s="5" t="n">
        <v>12564</v>
      </c>
      <c r="N82" s="5" t="n">
        <v>8326</v>
      </c>
      <c r="O82" s="5" t="n">
        <v>9176</v>
      </c>
      <c r="P82" s="5" t="n">
        <v>10579</v>
      </c>
      <c r="Q82" s="5" t="n">
        <v>13709</v>
      </c>
      <c r="R82" s="5" t="n">
        <f aca="false">+9201</f>
        <v>9201</v>
      </c>
      <c r="S82" s="5" t="n">
        <v>10103</v>
      </c>
      <c r="T82" s="5" t="n">
        <v>11270</v>
      </c>
      <c r="U82" s="5" t="n">
        <v>14945</v>
      </c>
      <c r="V82" s="5"/>
      <c r="W82" s="5"/>
      <c r="X82" s="5"/>
      <c r="Y82" s="5"/>
      <c r="Z82" s="5"/>
      <c r="AA82" s="5"/>
      <c r="AB82" s="5" t="n">
        <v>3283</v>
      </c>
      <c r="AC82" s="5" t="n">
        <v>3575</v>
      </c>
      <c r="AD82" s="5" t="n">
        <v>3875</v>
      </c>
      <c r="AE82" s="5" t="n">
        <v>4117</v>
      </c>
      <c r="AF82" s="5" t="n">
        <v>4797</v>
      </c>
      <c r="AG82" s="5" t="n">
        <v>5096</v>
      </c>
      <c r="AH82" s="5" t="n">
        <v>5264</v>
      </c>
      <c r="AI82" s="5" t="n">
        <v>5819</v>
      </c>
      <c r="AJ82" s="5" t="n">
        <v>6103</v>
      </c>
      <c r="AK82" s="5" t="n">
        <v>6830</v>
      </c>
      <c r="AL82" s="5" t="n">
        <v>7874</v>
      </c>
      <c r="AM82" s="5" t="n">
        <v>10057</v>
      </c>
      <c r="AN82" s="5" t="n">
        <v>10661</v>
      </c>
      <c r="AO82" s="5" t="n">
        <v>11009</v>
      </c>
      <c r="AP82" s="5" t="n">
        <v>12564</v>
      </c>
      <c r="AQ82" s="5" t="n">
        <v>13709</v>
      </c>
      <c r="AR82" s="5" t="n">
        <v>14945</v>
      </c>
      <c r="AS82" s="46" t="n">
        <f aca="false">+AR82*1.1</f>
        <v>16439.5</v>
      </c>
      <c r="AT82" s="46" t="n">
        <f aca="false">+AS82*1.1</f>
        <v>18083.45</v>
      </c>
      <c r="AU82" s="46" t="n">
        <f aca="false">+AT82*1.1</f>
        <v>19891.795</v>
      </c>
      <c r="AV82" s="46" t="n">
        <f aca="false">+AU82*1.1</f>
        <v>21880.9745</v>
      </c>
      <c r="AW82" s="46" t="n">
        <f aca="false">+AV82*1.1</f>
        <v>24069.07195</v>
      </c>
      <c r="AX82" s="46" t="n">
        <f aca="false">+AW82*1.05</f>
        <v>25272.5255475</v>
      </c>
      <c r="AY82" s="46" t="n">
        <f aca="false">+AX82*1.05</f>
        <v>26536.151824875</v>
      </c>
      <c r="AZ82" s="46" t="n">
        <f aca="false">+AY82*1.05</f>
        <v>27862.9594161188</v>
      </c>
      <c r="BA82" s="46" t="n">
        <f aca="false">+AZ82*1.05</f>
        <v>29256.1073869247</v>
      </c>
      <c r="BB82" s="46" t="n">
        <f aca="false">+BA82*1.05</f>
        <v>30718.9127562709</v>
      </c>
      <c r="BC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</row>
    <row r="83" s="18" customFormat="true" ht="10.5" hidden="false" customHeight="true" outlineLevel="0" collapsed="false">
      <c r="AB83" s="18" t="n">
        <f aca="false">+AB82/AB$13</f>
        <v>0.0525414506113565</v>
      </c>
      <c r="AC83" s="18" t="n">
        <f aca="false">+AC82/AC$13</f>
        <v>0.0511130491972034</v>
      </c>
      <c r="AD83" s="18" t="n">
        <f aca="false">+AD82/AD$13</f>
        <v>0.0525616157779797</v>
      </c>
      <c r="AE83" s="18" t="n">
        <f aca="false">+AE82/AE$13</f>
        <v>0.0528844301147092</v>
      </c>
      <c r="AF83" s="18" t="n">
        <f aca="false">+AF82/AF$13</f>
        <v>0.0552439740651596</v>
      </c>
      <c r="AG83" s="18" t="n">
        <f aca="false">+AG82/AG$13</f>
        <v>0.0544560803590511</v>
      </c>
      <c r="AH83" s="18" t="n">
        <f aca="false">+AH82/AH$13</f>
        <v>0.0616971401781528</v>
      </c>
      <c r="AI83" s="18" t="n">
        <f aca="false">+AI82/AI$13</f>
        <v>0.0646914952751529</v>
      </c>
      <c r="AJ83" s="18" t="n">
        <f aca="false">+AJ82/AJ$13</f>
        <v>0.0553008336353751</v>
      </c>
      <c r="AK83" s="18" t="n">
        <f aca="false">+AK82/AK$13</f>
        <v>0.0542739763038071</v>
      </c>
      <c r="AL83" s="18" t="n">
        <f aca="false">+AL82/AL$13</f>
        <v>0.055057161836171</v>
      </c>
      <c r="AM83" s="18" t="n">
        <f aca="false">+AM82/AM$13</f>
        <v>0.0598317547951073</v>
      </c>
      <c r="AN83" s="18" t="n">
        <f aca="false">+AN82/AN$13</f>
        <v>0.053770111464165</v>
      </c>
      <c r="AO83" s="18" t="n">
        <f aca="false">+AO82/AO$13</f>
        <v>0.0519500743222519</v>
      </c>
      <c r="AP83" s="18" t="n">
        <f aca="false">+AP82/AP$13</f>
        <v>0.0512561092027643</v>
      </c>
      <c r="AQ83" s="18" t="n">
        <f aca="false">+AQ82/AQ$13</f>
        <v>0.0486611009356675</v>
      </c>
      <c r="AR83" s="18" t="n">
        <f aca="false">+AR82/AR$13</f>
        <v>0.0450369004246035</v>
      </c>
      <c r="AS83" s="18" t="n">
        <f aca="false">+AS82/AS$13</f>
        <v>0.0423423850145845</v>
      </c>
      <c r="AT83" s="18" t="n">
        <f aca="false">+AT82/AT$13</f>
        <v>0.0401522616517612</v>
      </c>
      <c r="AU83" s="18" t="n">
        <f aca="false">+AU82/AU$13</f>
        <v>0.0384065111451628</v>
      </c>
      <c r="AV83" s="18" t="n">
        <f aca="false">+AV82/AV$13</f>
        <v>0.0370589142628764</v>
      </c>
      <c r="AW83" s="18" t="n">
        <f aca="false">+AW82/AW$13</f>
        <v>0.0360750492824461</v>
      </c>
      <c r="AX83" s="18" t="n">
        <f aca="false">+AX82/AX$13</f>
        <v>0.0338203587022932</v>
      </c>
      <c r="AY83" s="18" t="n">
        <f aca="false">+AY82/AY$13</f>
        <v>0.0319922312048719</v>
      </c>
      <c r="AZ83" s="18" t="n">
        <f aca="false">+AZ82/AZ$13</f>
        <v>0.030262921410014</v>
      </c>
      <c r="BA83" s="18" t="n">
        <f aca="false">+BA82/BA$13</f>
        <v>0.0286270878202835</v>
      </c>
      <c r="BB83" s="18" t="n">
        <f aca="false">+BB82/BB$13</f>
        <v>0.0270796776678358</v>
      </c>
    </row>
    <row r="84" s="45" customFormat="true" ht="12.8" hidden="false" customHeight="true" outlineLevel="0" collapsed="false">
      <c r="A84" s="1" t="s">
        <v>136</v>
      </c>
      <c r="B84" s="5"/>
      <c r="C84" s="5"/>
      <c r="D84" s="5"/>
      <c r="E84" s="5" t="n">
        <f aca="false">+4067+26069</f>
        <v>30136</v>
      </c>
      <c r="F84" s="5"/>
      <c r="G84" s="5"/>
      <c r="H84" s="5" t="n">
        <f aca="false">+4163+25000</f>
        <v>29163</v>
      </c>
      <c r="I84" s="5" t="n">
        <f aca="false">+4152+25560</f>
        <v>29712</v>
      </c>
      <c r="J84" s="5" t="n">
        <f aca="false">+8035+22983</f>
        <v>31018</v>
      </c>
      <c r="K84" s="5"/>
      <c r="L84" s="5"/>
      <c r="M84" s="5" t="n">
        <f aca="false">+5017+27931</f>
        <v>32948</v>
      </c>
      <c r="N84" s="5" t="n">
        <f aca="false">+9717+24452</f>
        <v>34169</v>
      </c>
      <c r="O84" s="5" t="n">
        <f aca="false">+6056+24389</f>
        <v>30445</v>
      </c>
      <c r="P84" s="5" t="n">
        <f aca="false">+6805+25061</f>
        <v>31866</v>
      </c>
      <c r="Q84" s="5" t="n">
        <f aca="false">+7211+25986</f>
        <v>33197</v>
      </c>
      <c r="R84" s="5" t="n">
        <f aca="false">+3655+26569</f>
        <v>30224</v>
      </c>
      <c r="S84" s="5" t="n">
        <f aca="false">+2050+27256</f>
        <v>29306</v>
      </c>
      <c r="T84" s="5" t="n">
        <f aca="false">+3563+27941</f>
        <v>31504</v>
      </c>
      <c r="U84" s="5" t="n">
        <f aca="false">+2534+28647</f>
        <v>31181</v>
      </c>
      <c r="V84" s="5"/>
      <c r="W84" s="5"/>
      <c r="X84" s="5"/>
      <c r="Y84" s="5"/>
      <c r="Z84" s="5"/>
      <c r="AA84" s="5"/>
      <c r="AB84" s="5" t="n">
        <v>1074</v>
      </c>
      <c r="AC84" s="5" t="n">
        <v>580</v>
      </c>
      <c r="AD84" s="5" t="n">
        <v>789</v>
      </c>
      <c r="AE84" s="5" t="n">
        <v>592</v>
      </c>
      <c r="AF84" s="5" t="n">
        <v>782</v>
      </c>
      <c r="AG84" s="5" t="n">
        <v>606</v>
      </c>
      <c r="AH84" s="5" t="n">
        <v>580</v>
      </c>
      <c r="AI84" s="5" t="n">
        <v>718</v>
      </c>
      <c r="AJ84" s="5" t="n">
        <f aca="false">+2121</f>
        <v>2121</v>
      </c>
      <c r="AK84" s="5" t="n">
        <f aca="false">+5665</f>
        <v>5665</v>
      </c>
      <c r="AL84" s="5" t="n">
        <f aca="false">+2130</f>
        <v>2130</v>
      </c>
      <c r="AM84" s="5" t="n">
        <f aca="false">+2174</f>
        <v>2174</v>
      </c>
      <c r="AN84" s="5" t="n">
        <f aca="false">+4067</f>
        <v>4067</v>
      </c>
      <c r="AO84" s="5" t="n">
        <f aca="false">+4152</f>
        <v>4152</v>
      </c>
      <c r="AP84" s="5" t="n">
        <f aca="false">+5017</f>
        <v>5017</v>
      </c>
      <c r="AQ84" s="5" t="n">
        <f aca="false">+7211</f>
        <v>7211</v>
      </c>
      <c r="AR84" s="5" t="n">
        <f aca="false">+2534+28647</f>
        <v>31181</v>
      </c>
      <c r="AS84" s="46" t="n">
        <f aca="false">+AR84*1.3</f>
        <v>40535.3</v>
      </c>
      <c r="AT84" s="46" t="n">
        <f aca="false">+AS84*1.2</f>
        <v>48642.36</v>
      </c>
      <c r="AU84" s="46" t="n">
        <f aca="false">+AT84*1.2</f>
        <v>58370.832</v>
      </c>
      <c r="AV84" s="46" t="n">
        <f aca="false">+AU84*1.2</f>
        <v>70044.9984</v>
      </c>
      <c r="AW84" s="46" t="n">
        <f aca="false">+AV84*1.15</f>
        <v>80551.74816</v>
      </c>
      <c r="AX84" s="46" t="n">
        <f aca="false">+AW84*1.15</f>
        <v>92634.510384</v>
      </c>
      <c r="AY84" s="46" t="n">
        <f aca="false">+AX84*1.15</f>
        <v>106529.6869416</v>
      </c>
      <c r="AZ84" s="46" t="n">
        <f aca="false">+AY84*1.15</f>
        <v>122509.13998284</v>
      </c>
      <c r="BA84" s="46" t="n">
        <f aca="false">+AZ84*1.1</f>
        <v>134760.053981124</v>
      </c>
      <c r="BB84" s="46" t="n">
        <f aca="false">+BA84*1.1</f>
        <v>148236.059379236</v>
      </c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</row>
    <row r="85" s="18" customFormat="true" ht="10.5" hidden="false" customHeight="true" outlineLevel="0" collapsed="false">
      <c r="AB85" s="18" t="n">
        <f aca="false">+AB84/AB$13</f>
        <v>0.017188400230459</v>
      </c>
      <c r="AC85" s="18" t="n">
        <f aca="false">+AC84/AC$13</f>
        <v>0.00829246672290294</v>
      </c>
      <c r="AD85" s="18" t="n">
        <f aca="false">+AD84/AD$13</f>
        <v>0.0107022231867938</v>
      </c>
      <c r="AE85" s="18" t="n">
        <f aca="false">+AE84/AE$13</f>
        <v>0.00760446505414328</v>
      </c>
      <c r="AF85" s="18" t="n">
        <f aca="false">+AF84/AF$13</f>
        <v>0.00900579272857094</v>
      </c>
      <c r="AG85" s="18" t="n">
        <f aca="false">+AG84/AG$13</f>
        <v>0.00647574268005984</v>
      </c>
      <c r="AH85" s="18" t="n">
        <f aca="false">+AH84/AH$13</f>
        <v>0.00679793717768401</v>
      </c>
      <c r="AI85" s="18" t="n">
        <f aca="false">+AI84/AI$13</f>
        <v>0.00798221234018899</v>
      </c>
      <c r="AJ85" s="18" t="n">
        <f aca="false">+AJ84/AJ$13</f>
        <v>0.019218919898514</v>
      </c>
      <c r="AK85" s="18" t="n">
        <f aca="false">+AK84/AK$13</f>
        <v>0.0450164093354418</v>
      </c>
      <c r="AL85" s="18" t="n">
        <f aca="false">+AL84/AL$13</f>
        <v>0.0148935426353879</v>
      </c>
      <c r="AM85" s="18" t="n">
        <f aca="false">+AM84/AM$13</f>
        <v>0.0129337013945076</v>
      </c>
      <c r="AN85" s="18" t="n">
        <f aca="false">+AN84/AN$13</f>
        <v>0.0205124325414838</v>
      </c>
      <c r="AO85" s="18" t="n">
        <f aca="false">+AO84/AO$13</f>
        <v>0.0195927612486138</v>
      </c>
      <c r="AP85" s="18" t="n">
        <f aca="false">+AP84/AP$13</f>
        <v>0.0204673591109733</v>
      </c>
      <c r="AQ85" s="18" t="n">
        <f aca="false">+AQ84/AQ$13</f>
        <v>0.0255959733640016</v>
      </c>
      <c r="AR85" s="18" t="n">
        <f aca="false">+AR84/AR$13</f>
        <v>0.093964241695521</v>
      </c>
      <c r="AS85" s="18" t="n">
        <f aca="false">+AS84/AS$13</f>
        <v>0.104404712995023</v>
      </c>
      <c r="AT85" s="18" t="n">
        <f aca="false">+AT84/AT$13</f>
        <v>0.108004875512093</v>
      </c>
      <c r="AU85" s="18" t="n">
        <f aca="false">+AU84/AU$13</f>
        <v>0.112700739664793</v>
      </c>
      <c r="AV85" s="18" t="n">
        <f aca="false">+AV84/AV$13</f>
        <v>0.118632357541887</v>
      </c>
      <c r="AW85" s="18" t="n">
        <f aca="false">+AW84/AW$13</f>
        <v>0.120732045285991</v>
      </c>
      <c r="AX85" s="18" t="n">
        <f aca="false">+AX84/AX$13</f>
        <v>0.123965939356152</v>
      </c>
      <c r="AY85" s="18" t="n">
        <f aca="false">+AY84/AY$13</f>
        <v>0.128433180414031</v>
      </c>
      <c r="AZ85" s="18" t="n">
        <f aca="false">+AZ84/AZ$13</f>
        <v>0.133061403131654</v>
      </c>
      <c r="BA85" s="18" t="n">
        <f aca="false">+BA84/BA$13</f>
        <v>0.131862651752089</v>
      </c>
      <c r="BB85" s="18" t="n">
        <f aca="false">+BB84/BB$13</f>
        <v>0.130674699934503</v>
      </c>
      <c r="BC85" s="5"/>
      <c r="BD85" s="45"/>
      <c r="BE85" s="4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</row>
    <row r="86" customFormat="false" ht="12.8" hidden="false" customHeight="true" outlineLevel="0" collapsed="false">
      <c r="A86" s="1" t="s">
        <v>137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13485</v>
      </c>
      <c r="AJ86" s="5" t="n">
        <v>30265</v>
      </c>
      <c r="AK86" s="5" t="n">
        <v>29612</v>
      </c>
      <c r="AL86" s="5" t="n">
        <v>29432</v>
      </c>
      <c r="AM86" s="5" t="n">
        <v>27190</v>
      </c>
      <c r="AN86" s="5" t="n">
        <v>26069</v>
      </c>
      <c r="AO86" s="5" t="n">
        <v>25560</v>
      </c>
      <c r="AP86" s="5" t="n">
        <v>27931</v>
      </c>
      <c r="AQ86" s="5" t="n">
        <v>25986</v>
      </c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</row>
    <row r="87" s="45" customFormat="true" ht="12.8" hidden="false" customHeight="true" outlineLevel="0" collapsed="false">
      <c r="A87" s="1" t="s">
        <v>138</v>
      </c>
      <c r="B87" s="5"/>
      <c r="C87" s="5"/>
      <c r="D87" s="5"/>
      <c r="E87" s="5" t="n">
        <f aca="false">+2870+45538</f>
        <v>48408</v>
      </c>
      <c r="F87" s="5"/>
      <c r="G87" s="5"/>
      <c r="H87" s="5" t="n">
        <f aca="false">+2698+36903</f>
        <v>39601</v>
      </c>
      <c r="I87" s="5" t="n">
        <f aca="false">+50901+2912</f>
        <v>53813</v>
      </c>
      <c r="J87" s="5" t="n">
        <f aca="false">+46429+2759</f>
        <v>49188</v>
      </c>
      <c r="K87" s="5"/>
      <c r="L87" s="5"/>
      <c r="M87" s="5" t="n">
        <f aca="false">+57582+2602</f>
        <v>60184</v>
      </c>
      <c r="N87" s="5" t="n">
        <f aca="false">+53026+2663</f>
        <v>55689</v>
      </c>
      <c r="O87" s="5" t="n">
        <f aca="false">+45508+2537</f>
        <v>48045</v>
      </c>
      <c r="P87" s="5" t="n">
        <f aca="false">+44636+2840</f>
        <v>47476</v>
      </c>
      <c r="Q87" s="5" t="n">
        <f aca="false">+2710+64555</f>
        <v>67265</v>
      </c>
      <c r="R87" s="5" t="n">
        <f aca="false">+58987+2546</f>
        <v>61533</v>
      </c>
      <c r="S87" s="5" t="n">
        <f aca="false">+51376+2668</f>
        <v>54044</v>
      </c>
      <c r="T87" s="5" t="n">
        <f aca="false">+50924+2753</f>
        <v>53677</v>
      </c>
      <c r="U87" s="5" t="n">
        <f aca="false">+72965</f>
        <v>72965</v>
      </c>
      <c r="V87" s="5"/>
      <c r="W87" s="5"/>
      <c r="X87" s="5"/>
      <c r="Y87" s="5"/>
      <c r="Z87" s="5"/>
      <c r="AA87" s="5"/>
      <c r="AB87" s="5" t="n">
        <f aca="false">+13652</f>
        <v>13652</v>
      </c>
      <c r="AC87" s="5" t="n">
        <f aca="false">+15722</f>
        <v>15722</v>
      </c>
      <c r="AD87" s="5" t="n">
        <f aca="false">+18653</f>
        <v>18653</v>
      </c>
      <c r="AE87" s="5" t="n">
        <f aca="false">+20639</f>
        <v>20639</v>
      </c>
      <c r="AF87" s="5" t="n">
        <f aca="false">+23150</f>
        <v>23150</v>
      </c>
      <c r="AG87" s="5" t="n">
        <f aca="false">+23223</f>
        <v>23223</v>
      </c>
      <c r="AH87" s="5" t="n">
        <f aca="false">+27468</f>
        <v>27468</v>
      </c>
      <c r="AI87" s="5" t="n">
        <v>24013</v>
      </c>
      <c r="AJ87" s="5" t="n">
        <f aca="false">+28905</f>
        <v>28905</v>
      </c>
      <c r="AK87" s="5" t="n">
        <f aca="false">+32676</f>
        <v>32676</v>
      </c>
      <c r="AL87" s="5" t="n">
        <f aca="false">+36000</f>
        <v>36000</v>
      </c>
      <c r="AM87" s="5" t="n">
        <f aca="false">+41525</f>
        <v>41525</v>
      </c>
      <c r="AN87" s="5" t="n">
        <f aca="false">+45538</f>
        <v>45538</v>
      </c>
      <c r="AO87" s="5" t="n">
        <f aca="false">+50901</f>
        <v>50901</v>
      </c>
      <c r="AP87" s="5" t="n">
        <f aca="false">+57582</f>
        <v>57582</v>
      </c>
      <c r="AQ87" s="5" t="n">
        <f aca="false">+64555</f>
        <v>64555</v>
      </c>
      <c r="AR87" s="5" t="n">
        <f aca="false">+72965</f>
        <v>72965</v>
      </c>
      <c r="AS87" s="46" t="n">
        <f aca="false">+AR87*1.1</f>
        <v>80261.5</v>
      </c>
      <c r="AT87" s="46" t="n">
        <f aca="false">+AS87*1.1</f>
        <v>88287.65</v>
      </c>
      <c r="AU87" s="46" t="n">
        <f aca="false">+AT87*1.1</f>
        <v>97116.415</v>
      </c>
      <c r="AV87" s="46" t="n">
        <f aca="false">+AU87*1.1</f>
        <v>106828.0565</v>
      </c>
      <c r="AW87" s="46" t="n">
        <f aca="false">+AV87*1.05</f>
        <v>112169.459325</v>
      </c>
      <c r="AX87" s="46" t="n">
        <f aca="false">+AW87*1.05</f>
        <v>117777.93229125</v>
      </c>
      <c r="AY87" s="46" t="n">
        <f aca="false">+AX87*1.05</f>
        <v>123666.828905813</v>
      </c>
      <c r="AZ87" s="46" t="n">
        <f aca="false">+AY87*1.05</f>
        <v>129850.170351103</v>
      </c>
      <c r="BA87" s="46" t="n">
        <f aca="false">+AZ87*1.05</f>
        <v>136342.678868658</v>
      </c>
      <c r="BB87" s="46" t="n">
        <f aca="false">+BA87*1.05</f>
        <v>143159.812812091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</row>
    <row r="88" s="18" customFormat="true" ht="10.5" hidden="false" customHeight="true" outlineLevel="0" collapsed="false">
      <c r="AB88" s="18" t="n">
        <f aca="false">+AB87/AB$13</f>
        <v>0.218487932910825</v>
      </c>
      <c r="AC88" s="18" t="n">
        <f aca="false">+AC87/AC$13</f>
        <v>0.224783037616345</v>
      </c>
      <c r="AD88" s="18" t="n">
        <f aca="false">+AD87/AD$13</f>
        <v>0.253014662995266</v>
      </c>
      <c r="AE88" s="18" t="n">
        <f aca="false">+AE87/AE$13</f>
        <v>0.265115801102134</v>
      </c>
      <c r="AF88" s="18" t="n">
        <f aca="false">+AF87/AF$13</f>
        <v>0.266603710570866</v>
      </c>
      <c r="AG88" s="18" t="n">
        <f aca="false">+AG87/AG$13</f>
        <v>0.248162000427442</v>
      </c>
      <c r="AH88" s="18" t="n">
        <f aca="false">+AH87/AH$13</f>
        <v>0.321940928270042</v>
      </c>
      <c r="AI88" s="18" t="n">
        <f aca="false">+AI87/AI$13</f>
        <v>0.266959421901056</v>
      </c>
      <c r="AJ88" s="18" t="n">
        <f aca="false">+AJ87/AJ$13</f>
        <v>0.261915549111997</v>
      </c>
      <c r="AK88" s="18" t="n">
        <f aca="false">+AK87/AK$13</f>
        <v>0.259656874041464</v>
      </c>
      <c r="AL88" s="18" t="n">
        <f aca="false">+AL87/AL$13</f>
        <v>0.251721847358669</v>
      </c>
      <c r="AM88" s="18" t="n">
        <f aca="false">+AM87/AM$13</f>
        <v>0.247043215458569</v>
      </c>
      <c r="AN88" s="18" t="n">
        <f aca="false">+AN87/AN$13</f>
        <v>0.229676703485147</v>
      </c>
      <c r="AO88" s="18" t="n">
        <f aca="false">+AO87/AO$13</f>
        <v>0.24019536134771</v>
      </c>
      <c r="AP88" s="18" t="n">
        <f aca="false">+AP87/AP$13</f>
        <v>0.234911595042469</v>
      </c>
      <c r="AQ88" s="18" t="n">
        <f aca="false">+AQ87/AQ$13</f>
        <v>0.229142707046613</v>
      </c>
      <c r="AR88" s="18" t="n">
        <f aca="false">+AR87/AR$13</f>
        <v>0.219880725291482</v>
      </c>
      <c r="AS88" s="18" t="n">
        <f aca="false">+AS87/AS$13</f>
        <v>0.206725468222761</v>
      </c>
      <c r="AT88" s="18" t="n">
        <f aca="false">+AT87/AT$13</f>
        <v>0.196032771590549</v>
      </c>
      <c r="AU88" s="18" t="n">
        <f aca="false">+AU87/AU$13</f>
        <v>0.187509607608351</v>
      </c>
      <c r="AV88" s="18" t="n">
        <f aca="false">+AV87/AV$13</f>
        <v>0.180930323130865</v>
      </c>
      <c r="AW88" s="18" t="n">
        <f aca="false">+AW87/AW$13</f>
        <v>0.168121096714521</v>
      </c>
      <c r="AX88" s="18" t="n">
        <f aca="false">+AX87/AX$13</f>
        <v>0.157613528169863</v>
      </c>
      <c r="AY88" s="18" t="n">
        <f aca="false">+AY87/AY$13</f>
        <v>0.14909387799852</v>
      </c>
      <c r="AZ88" s="18" t="n">
        <f aca="false">+AZ87/AZ$13</f>
        <v>0.141034749458058</v>
      </c>
      <c r="BA88" s="18" t="n">
        <f aca="false">+BA87/BA$13</f>
        <v>0.133411249487352</v>
      </c>
      <c r="BB88" s="18" t="n">
        <f aca="false">+BB87/BB$13</f>
        <v>0.126199830596145</v>
      </c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</row>
    <row r="89" customFormat="false" ht="12.8" hidden="false" customHeight="true" outlineLevel="0" collapsed="false">
      <c r="A89" s="1" t="s">
        <v>139</v>
      </c>
      <c r="U89" s="5" t="n">
        <v>2747</v>
      </c>
      <c r="AB89" s="5" t="n">
        <v>1178</v>
      </c>
      <c r="AC89" s="5" t="n">
        <v>1398</v>
      </c>
      <c r="AD89" s="5" t="n">
        <v>1406</v>
      </c>
      <c r="AE89" s="5" t="n">
        <v>1760</v>
      </c>
      <c r="AF89" s="5" t="n">
        <v>2008</v>
      </c>
      <c r="AG89" s="5" t="n">
        <v>2095</v>
      </c>
      <c r="AH89" s="5" t="n">
        <v>6441</v>
      </c>
      <c r="AI89" s="5" t="n">
        <v>2643</v>
      </c>
      <c r="AJ89" s="5" t="n">
        <v>3815</v>
      </c>
      <c r="AK89" s="5" t="n">
        <v>4530</v>
      </c>
      <c r="AL89" s="5" t="n">
        <v>3180</v>
      </c>
      <c r="AM89" s="5" t="n">
        <v>2616</v>
      </c>
      <c r="AN89" s="5" t="n">
        <v>2870</v>
      </c>
      <c r="AO89" s="5" t="n">
        <v>2912</v>
      </c>
      <c r="AP89" s="5" t="n">
        <v>2602</v>
      </c>
      <c r="AQ89" s="5" t="n">
        <v>2710</v>
      </c>
      <c r="AR89" s="5" t="n">
        <v>2747</v>
      </c>
    </row>
    <row r="90" customFormat="false" ht="12.8" hidden="false" customHeight="true" outlineLevel="0" collapsed="false">
      <c r="A90" s="1" t="s">
        <v>140</v>
      </c>
      <c r="E90" s="5" t="n">
        <v>230</v>
      </c>
      <c r="H90" s="5" t="n">
        <v>302</v>
      </c>
      <c r="I90" s="5" t="n">
        <v>433</v>
      </c>
      <c r="J90" s="5" t="n">
        <v>470</v>
      </c>
      <c r="M90" s="5" t="n">
        <v>2618</v>
      </c>
      <c r="N90" s="5" t="n">
        <v>2581</v>
      </c>
      <c r="O90" s="5" t="n">
        <v>2513</v>
      </c>
      <c r="P90" s="5" t="n">
        <v>2522</v>
      </c>
      <c r="Q90" s="5" t="n">
        <v>2835</v>
      </c>
      <c r="R90" s="5" t="n">
        <v>2852</v>
      </c>
      <c r="S90" s="5" t="n">
        <v>2876</v>
      </c>
      <c r="T90" s="5" t="n">
        <v>2899</v>
      </c>
      <c r="U90" s="5" t="n">
        <v>3054</v>
      </c>
      <c r="AB90" s="5" t="n">
        <v>229</v>
      </c>
      <c r="AC90" s="5" t="n">
        <v>1456</v>
      </c>
      <c r="AD90" s="5" t="n">
        <v>1893</v>
      </c>
      <c r="AE90" s="5" t="n">
        <v>1709</v>
      </c>
      <c r="AF90" s="5" t="n">
        <v>2728</v>
      </c>
      <c r="AG90" s="5" t="n">
        <f aca="false">+1295</f>
        <v>1295</v>
      </c>
      <c r="AH90" s="5" t="n">
        <v>1476</v>
      </c>
      <c r="AI90" s="5" t="n">
        <v>5734</v>
      </c>
      <c r="AJ90" s="5" t="n">
        <v>541</v>
      </c>
      <c r="AK90" s="5" t="n">
        <v>233</v>
      </c>
      <c r="AL90" s="5" t="n">
        <v>204</v>
      </c>
      <c r="AM90" s="5" t="n">
        <v>198</v>
      </c>
      <c r="AN90" s="5" t="n">
        <v>230</v>
      </c>
      <c r="AO90" s="5" t="n">
        <v>433</v>
      </c>
      <c r="AP90" s="5" t="n">
        <v>2618</v>
      </c>
      <c r="AQ90" s="5" t="n">
        <v>2835</v>
      </c>
      <c r="AR90" s="5" t="n">
        <v>3054</v>
      </c>
      <c r="BD90" s="45"/>
      <c r="BE90" s="45"/>
    </row>
    <row r="91" customFormat="false" ht="12.8" hidden="false" customHeight="true" outlineLevel="0" collapsed="false">
      <c r="A91" s="1" t="s">
        <v>141</v>
      </c>
      <c r="E91" s="5" t="n">
        <v>11489</v>
      </c>
      <c r="H91" s="5" t="n">
        <v>12312</v>
      </c>
      <c r="I91" s="5" t="n">
        <v>12728</v>
      </c>
      <c r="J91" s="5" t="n">
        <v>13487</v>
      </c>
      <c r="M91" s="5" t="n">
        <v>15497</v>
      </c>
      <c r="N91" s="5" t="n">
        <v>16361</v>
      </c>
      <c r="O91" s="5" t="n">
        <v>17254</v>
      </c>
      <c r="P91" s="5" t="n">
        <v>17686</v>
      </c>
      <c r="Q91" s="5" t="n">
        <v>17437</v>
      </c>
      <c r="R91" s="5" t="n">
        <v>17348</v>
      </c>
      <c r="S91" s="5" t="n">
        <v>17345</v>
      </c>
      <c r="T91" s="5" t="n">
        <v>16703</v>
      </c>
      <c r="U91" s="5" t="n">
        <v>16532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5372</v>
      </c>
      <c r="AJ91" s="5" t="n">
        <v>5568</v>
      </c>
      <c r="AK91" s="5" t="n">
        <v>6188</v>
      </c>
      <c r="AL91" s="5" t="n">
        <v>7671</v>
      </c>
      <c r="AM91" s="5" t="n">
        <v>9629</v>
      </c>
      <c r="AN91" s="5" t="n">
        <v>11489</v>
      </c>
      <c r="AO91" s="5" t="n">
        <v>12728</v>
      </c>
      <c r="AP91" s="5" t="n">
        <v>15497</v>
      </c>
      <c r="AQ91" s="5" t="n">
        <v>17437</v>
      </c>
      <c r="AR91" s="5" t="n">
        <v>16532</v>
      </c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</row>
    <row r="92" s="45" customFormat="true" ht="12.8" hidden="false" customHeight="true" outlineLevel="0" collapsed="false">
      <c r="A92" s="1" t="s">
        <v>142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 t="n">
        <v>26738</v>
      </c>
      <c r="V92" s="5"/>
      <c r="W92" s="5"/>
      <c r="X92" s="5"/>
      <c r="Y92" s="5"/>
      <c r="Z92" s="5"/>
      <c r="AA92" s="5"/>
      <c r="AB92" s="5" t="n">
        <v>2931</v>
      </c>
      <c r="AC92" s="5" t="n">
        <v>3492</v>
      </c>
      <c r="AD92" s="5" t="n">
        <v>3151</v>
      </c>
      <c r="AE92" s="5" t="n">
        <v>3597</v>
      </c>
      <c r="AF92" s="5" t="n">
        <v>6906</v>
      </c>
      <c r="AG92" s="5" t="n">
        <v>6555</v>
      </c>
      <c r="AH92" s="5" t="n">
        <v>5949</v>
      </c>
      <c r="AI92" s="5" t="n">
        <v>7684</v>
      </c>
      <c r="AJ92" s="5" t="n">
        <f aca="false">+8744</f>
        <v>8744</v>
      </c>
      <c r="AK92" s="5" t="n">
        <v>7581</v>
      </c>
      <c r="AL92" s="5" t="n">
        <v>10027</v>
      </c>
      <c r="AM92" s="5" t="n">
        <v>11666</v>
      </c>
      <c r="AN92" s="5" t="n">
        <v>13067</v>
      </c>
      <c r="AO92" s="5" t="n">
        <v>14745</v>
      </c>
      <c r="AP92" s="5" t="n">
        <v>19185</v>
      </c>
      <c r="AQ92" s="5" t="n">
        <v>25020</v>
      </c>
      <c r="AR92" s="5" t="n">
        <v>26738</v>
      </c>
      <c r="AS92" s="46" t="n">
        <f aca="false">+AR92*1.2</f>
        <v>32085.6</v>
      </c>
      <c r="AT92" s="46" t="n">
        <f aca="false">+AS92*1.15</f>
        <v>36898.44</v>
      </c>
      <c r="AU92" s="46" t="n">
        <f aca="false">+AT92*1.15</f>
        <v>42433.206</v>
      </c>
      <c r="AV92" s="46" t="n">
        <f aca="false">+AU92*1.15</f>
        <v>48798.1869</v>
      </c>
      <c r="AW92" s="46" t="n">
        <f aca="false">+AV92*1.15</f>
        <v>56117.914935</v>
      </c>
      <c r="AX92" s="46" t="n">
        <f aca="false">+AW92*1.1</f>
        <v>61729.7064285</v>
      </c>
      <c r="AY92" s="46" t="n">
        <f aca="false">+AX92*1.1</f>
        <v>67902.67707135</v>
      </c>
      <c r="AZ92" s="46" t="n">
        <f aca="false">+AY92*1.1</f>
        <v>74692.944778485</v>
      </c>
      <c r="BA92" s="46" t="n">
        <f aca="false">+AZ92*1.1</f>
        <v>82162.2392563335</v>
      </c>
      <c r="BB92" s="46" t="n">
        <f aca="false">+BA92*1.1</f>
        <v>90378.4631819669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</row>
    <row r="93" s="18" customFormat="true" ht="10.5" hidden="false" customHeight="true" outlineLevel="0" collapsed="false">
      <c r="AB93" s="18" t="n">
        <f aca="false">+AB92/AB$13</f>
        <v>0.0469080084501632</v>
      </c>
      <c r="AC93" s="18" t="n">
        <f aca="false">+AC92/AC$13</f>
        <v>0.0499263686144432</v>
      </c>
      <c r="AD93" s="18" t="n">
        <f aca="false">+AD92/AD$13</f>
        <v>0.0427410713074617</v>
      </c>
      <c r="AE93" s="18" t="n">
        <f aca="false">+AE92/AE$13</f>
        <v>0.0462048324320158</v>
      </c>
      <c r="AF93" s="18" t="n">
        <f aca="false">+AF92/AF$13</f>
        <v>0.07953197517073</v>
      </c>
      <c r="AG93" s="18" t="n">
        <f aca="false">+AG92/AG$13</f>
        <v>0.0700470185937166</v>
      </c>
      <c r="AH93" s="18" t="n">
        <f aca="false">+AH92/AH$13</f>
        <v>0.0697257383966245</v>
      </c>
      <c r="AI93" s="18" t="n">
        <f aca="false">+AI92/AI$13</f>
        <v>0.0854252362423569</v>
      </c>
      <c r="AJ93" s="18" t="n">
        <f aca="false">+AJ92/AJ$13</f>
        <v>0.0792316056542226</v>
      </c>
      <c r="AK93" s="18" t="n">
        <f aca="false">+AK92/AK$13</f>
        <v>0.0602417297744014</v>
      </c>
      <c r="AL93" s="18" t="n">
        <f aca="false">+AL92/AL$13</f>
        <v>0.070111526762927</v>
      </c>
      <c r="AM93" s="18" t="n">
        <f aca="false">+AM92/AM$13</f>
        <v>0.069404121650564</v>
      </c>
      <c r="AN93" s="18" t="n">
        <f aca="false">+AN92/AN$13</f>
        <v>0.0659050789327685</v>
      </c>
      <c r="AO93" s="18" t="n">
        <f aca="false">+AO92/AO$13</f>
        <v>0.0695797843474978</v>
      </c>
      <c r="AP93" s="18" t="n">
        <f aca="false">+AP92/AP$13</f>
        <v>0.0782671486035525</v>
      </c>
      <c r="AQ93" s="18" t="n">
        <f aca="false">+AQ92/AQ$13</f>
        <v>0.0888103249989351</v>
      </c>
      <c r="AR93" s="18" t="n">
        <f aca="false">+AR92/AR$13</f>
        <v>0.0805752187054566</v>
      </c>
      <c r="AS93" s="18" t="n">
        <f aca="false">+AS92/AS$13</f>
        <v>0.0826412499543144</v>
      </c>
      <c r="AT93" s="18" t="n">
        <f aca="false">+AT92/AT$13</f>
        <v>0.0819288253857428</v>
      </c>
      <c r="AU93" s="18" t="n">
        <f aca="false">+AU92/AU$13</f>
        <v>0.0819288253857427</v>
      </c>
      <c r="AV93" s="18" t="n">
        <f aca="false">+AV92/AV$13</f>
        <v>0.0826474992926352</v>
      </c>
      <c r="AW93" s="18" t="n">
        <f aca="false">+AW92/AW$13</f>
        <v>0.084110286890735</v>
      </c>
      <c r="AX93" s="18" t="n">
        <f aca="false">+AX92/AX$13</f>
        <v>0.0826083174819719</v>
      </c>
      <c r="AY93" s="18" t="n">
        <f aca="false">+AY92/AY$13</f>
        <v>0.0818640984055576</v>
      </c>
      <c r="AZ93" s="18" t="n">
        <f aca="false">+AZ92/AZ$13</f>
        <v>0.0811265840055076</v>
      </c>
      <c r="BA93" s="18" t="n">
        <f aca="false">+BA92/BA$13</f>
        <v>0.0803957138793318</v>
      </c>
      <c r="BB93" s="18" t="n">
        <f aca="false">+BB92/BB$13</f>
        <v>0.0796714281687076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</row>
    <row r="94" customFormat="false" ht="12.8" hidden="false" customHeight="true" outlineLevel="0" collapsed="false">
      <c r="A94" s="1" t="s">
        <v>143</v>
      </c>
      <c r="E94" s="5" t="n">
        <f aca="false">+13067+15526</f>
        <v>28593</v>
      </c>
      <c r="H94" s="5" t="n">
        <f aca="false">+17437+12664</f>
        <v>30101</v>
      </c>
      <c r="I94" s="5" t="n">
        <f aca="false">+17981+14745</f>
        <v>32726</v>
      </c>
      <c r="J94" s="5" t="n">
        <f aca="false">+18634+14475</f>
        <v>33109</v>
      </c>
      <c r="M94" s="5" t="n">
        <f aca="false">+27064+19185</f>
        <v>46249</v>
      </c>
      <c r="N94" s="5" t="n">
        <f aca="false">+31165+19114</f>
        <v>50279</v>
      </c>
      <c r="O94" s="5" t="n">
        <f aca="false">+35906+20286</f>
        <v>56192</v>
      </c>
      <c r="P94" s="5" t="n">
        <f aca="false">+38536+22937</f>
        <v>61473</v>
      </c>
      <c r="Q94" s="5" t="n">
        <f aca="false">+25020+45186</f>
        <v>70206</v>
      </c>
      <c r="R94" s="5" t="n">
        <f aca="false">+53588+22741</f>
        <v>76329</v>
      </c>
      <c r="S94" s="5" t="n">
        <f aca="false">+58852+24311</f>
        <v>83163</v>
      </c>
      <c r="T94" s="5" t="n">
        <f aca="false">+24552+61481</f>
        <v>86033</v>
      </c>
      <c r="U94" s="5" t="n">
        <v>65117</v>
      </c>
      <c r="AB94" s="5" t="n">
        <f aca="false">+7445+182</f>
        <v>7627</v>
      </c>
      <c r="AC94" s="5" t="n">
        <f aca="false">+1208+8072</f>
        <v>9280</v>
      </c>
      <c r="AD94" s="5" t="n">
        <f aca="false">+8208+814</f>
        <v>9022</v>
      </c>
      <c r="AE94" s="5" t="n">
        <f aca="false">+10000+645</f>
        <v>10645</v>
      </c>
      <c r="AF94" s="5" t="n">
        <f aca="false">+11594+558</f>
        <v>12152</v>
      </c>
      <c r="AG94" s="5" t="n">
        <f aca="false">+13544+92</f>
        <v>13636</v>
      </c>
      <c r="AH94" s="5" t="n">
        <f aca="false">+13640+294</f>
        <v>13934</v>
      </c>
      <c r="AI94" s="5" t="n">
        <v>3549</v>
      </c>
      <c r="AJ94" s="5" t="n">
        <v>5211</v>
      </c>
      <c r="AK94" s="5" t="n">
        <f aca="false">+9351</f>
        <v>9351</v>
      </c>
      <c r="AL94" s="5" t="n">
        <f aca="false">+10632</f>
        <v>10632</v>
      </c>
      <c r="AM94" s="5" t="n">
        <f aca="false">+13427</f>
        <v>13427</v>
      </c>
      <c r="AN94" s="5" t="n">
        <f aca="false">+15526</f>
        <v>15526</v>
      </c>
      <c r="AO94" s="5" t="n">
        <f aca="false">+17981</f>
        <v>17981</v>
      </c>
      <c r="AP94" s="5" t="n">
        <f aca="false">+27064</f>
        <v>27064</v>
      </c>
      <c r="AQ94" s="5" t="n">
        <f aca="false">+45186</f>
        <v>45186</v>
      </c>
      <c r="AR94" s="5" t="n">
        <v>65117</v>
      </c>
    </row>
    <row r="95" customFormat="false" ht="12.8" hidden="false" customHeight="true" outlineLevel="0" collapsed="false">
      <c r="A95" s="1" t="s">
        <v>144</v>
      </c>
      <c r="B95" s="5" t="n">
        <f aca="false">+SUM(B80:B94)-B93-B88-B85-B83</f>
        <v>0</v>
      </c>
      <c r="C95" s="5" t="n">
        <f aca="false">+SUM(C80:C94)-C93-C88-C85-C83</f>
        <v>0</v>
      </c>
      <c r="D95" s="5" t="n">
        <f aca="false">+SUM(D80:D94)-D93-D88-D85-D83</f>
        <v>0</v>
      </c>
      <c r="E95" s="5" t="n">
        <f aca="false">+SUM(E80:E94)-E93-E88-E85-E83</f>
        <v>198298</v>
      </c>
      <c r="F95" s="5" t="n">
        <f aca="false">+SUM(F80:F94)-F93-F88-F85-F83</f>
        <v>0</v>
      </c>
      <c r="G95" s="5" t="n">
        <f aca="false">+SUM(G80:G94)-G93-G88-G85-G83</f>
        <v>0</v>
      </c>
      <c r="H95" s="5" t="n">
        <f aca="false">+SUM(H80:H94)-H93-H88-H85-H83</f>
        <v>185405</v>
      </c>
      <c r="I95" s="5" t="n">
        <f aca="false">+SUM(I80:I94)-I93-I88-I85-I83</f>
        <v>205753</v>
      </c>
      <c r="J95" s="5" t="n">
        <f aca="false">+SUM(J80:J94)-J93-J88-J85-J83</f>
        <v>225071</v>
      </c>
      <c r="K95" s="5" t="n">
        <f aca="false">+SUM(K80:K94)-K93-K88-K85-K83</f>
        <v>0</v>
      </c>
      <c r="L95" s="5" t="n">
        <f aca="false">+SUM(L80:L94)-L93-L88-L85-L83</f>
        <v>0</v>
      </c>
      <c r="M95" s="5" t="n">
        <f aca="false">+SUM(M80:M94)-M93-M88-M85-M83</f>
        <v>243686</v>
      </c>
      <c r="N95" s="5" t="n">
        <f aca="false">+SUM(N80:N94)-N93-N88-N85-N83</f>
        <v>235290</v>
      </c>
      <c r="O95" s="5" t="n">
        <f aca="false">+SUM(O80:O94)-O93-O88-O85-O83</f>
        <v>231203</v>
      </c>
      <c r="P95" s="5" t="n">
        <f aca="false">+SUM(P80:P94)-P93-P88-P85-P83</f>
        <v>240733</v>
      </c>
      <c r="Q95" s="5" t="n">
        <f aca="false">+SUM(Q80:Q94)-Q93-Q88-Q85-Q83</f>
        <v>275524</v>
      </c>
      <c r="R95" s="5" t="n">
        <f aca="false">+SUM(R80:R94)-R93-R88-R85-R83</f>
        <v>273275</v>
      </c>
      <c r="S95" s="5" t="n">
        <f aca="false">+SUM(S80:S94)-S93-S88-S85-S83</f>
        <v>279693</v>
      </c>
      <c r="T95" s="5" t="n">
        <f aca="false">+SUM(T80:T94)-T93-T88-T85-T83</f>
        <v>279861</v>
      </c>
      <c r="U95" s="5" t="n">
        <f aca="false">+SUM(U80:U94)-U93-U88-U85-U83</f>
        <v>315989</v>
      </c>
      <c r="AB95" s="5" t="n">
        <f aca="false">+SUM(AB80:AB94)-AB93-AB88-AB85-AB83</f>
        <v>39938</v>
      </c>
      <c r="AC95" s="5" t="n">
        <f aca="false">+SUM(AC80:AC94)-AC93-AC88-AC85-AC83</f>
        <v>51621</v>
      </c>
      <c r="AD95" s="5" t="n">
        <f aca="false">+SUM(AD80:AD94)-AD93-AD88-AD85-AD83</f>
        <v>54908</v>
      </c>
      <c r="AE95" s="5" t="n">
        <f aca="false">+SUM(AE80:AE94)-AE93-AE88-AE85-AE83</f>
        <v>63487</v>
      </c>
      <c r="AF95" s="5" t="n">
        <f aca="false">+SUM(AF80:AF94)-AF93-AF88-AF85-AF83</f>
        <v>82600</v>
      </c>
      <c r="AG95" s="5" t="n">
        <f aca="false">+SUM(AG80:AG94)-AG93-AG88-AG85-AG83</f>
        <v>94389</v>
      </c>
      <c r="AH95" s="5" t="n">
        <f aca="false">+SUM(AH80:AH94)-AH93-AH88-AH85-AH83</f>
        <v>121471</v>
      </c>
      <c r="AI95" s="5" t="n">
        <f aca="false">+SUM(AI80:AI94)-AI93-AI88-AI85-AI83</f>
        <v>162601</v>
      </c>
      <c r="AJ95" s="5" t="n">
        <f aca="false">+SUM(AJ80:AJ94)-AJ93-AJ88-AJ85-AJ83</f>
        <v>176130</v>
      </c>
      <c r="AK95" s="5" t="n">
        <f aca="false">+SUM(AK80:AK94)-AK93-AK88-AK85-AK83</f>
        <v>184226</v>
      </c>
      <c r="AL95" s="5" t="n">
        <f aca="false">+SUM(AL80:AL94)-AL93-AL88-AL85-AL83</f>
        <v>183007</v>
      </c>
      <c r="AM95" s="5" t="n">
        <f aca="false">+SUM(AM80:AM94)-AM93-AM88-AM85-AM83</f>
        <v>191791</v>
      </c>
      <c r="AN95" s="5" t="n">
        <f aca="false">+SUM(AN80:AN94)-AN93-AN88-AN85-AN83</f>
        <v>198298</v>
      </c>
      <c r="AO95" s="5" t="n">
        <f aca="false">+SUM(AO80:AO94)-AO93-AO88-AO85-AO83</f>
        <v>205753</v>
      </c>
      <c r="AP95" s="5" t="n">
        <f aca="false">+SUM(AP80:AP94)-AP93-AP88-AP85-AP83</f>
        <v>243686</v>
      </c>
      <c r="AQ95" s="5" t="n">
        <f aca="false">+SUM(AQ80:AQ94)-AQ93-AQ88-AQ85-AQ83</f>
        <v>275524</v>
      </c>
      <c r="AR95" s="5" t="n">
        <f aca="false">+SUM(AR80:AR94)-AR93-AR88-AR85-AR83</f>
        <v>315989</v>
      </c>
    </row>
    <row r="96" customFormat="false" ht="12.8" hidden="false" customHeight="true" outlineLevel="0" collapsed="false">
      <c r="A96" s="1" t="s">
        <v>145</v>
      </c>
      <c r="E96" s="5" t="n">
        <v>86939</v>
      </c>
      <c r="H96" s="5" t="n">
        <v>92093</v>
      </c>
      <c r="I96" s="5" t="n">
        <v>93718</v>
      </c>
      <c r="J96" s="5" t="n">
        <v>95508</v>
      </c>
      <c r="M96" s="5" t="n">
        <v>100923</v>
      </c>
      <c r="N96" s="5" t="n">
        <v>102976</v>
      </c>
      <c r="O96" s="5" t="n">
        <v>104829</v>
      </c>
      <c r="P96" s="5" t="n">
        <v>106965</v>
      </c>
      <c r="Q96" s="5" t="n">
        <v>109095</v>
      </c>
      <c r="R96" s="5" t="n">
        <v>110964</v>
      </c>
      <c r="S96" s="5" t="n">
        <v>112788</v>
      </c>
      <c r="T96" s="5" t="n">
        <v>115060</v>
      </c>
      <c r="U96" s="5" t="n">
        <v>117406</v>
      </c>
      <c r="AB96" s="5" t="n">
        <v>62856</v>
      </c>
      <c r="AC96" s="5" t="n">
        <v>63415</v>
      </c>
      <c r="AD96" s="5" t="n">
        <v>65797</v>
      </c>
      <c r="AE96" s="5" t="n">
        <v>67306</v>
      </c>
      <c r="AF96" s="5" t="n">
        <v>68366</v>
      </c>
      <c r="AG96" s="5" t="n">
        <v>68465</v>
      </c>
      <c r="AH96" s="5" t="n">
        <v>68178</v>
      </c>
      <c r="AI96" s="5" t="n">
        <v>69315</v>
      </c>
      <c r="AJ96" s="5" t="n">
        <v>71223</v>
      </c>
      <c r="AK96" s="5" t="n">
        <v>78520</v>
      </c>
      <c r="AL96" s="5" t="n">
        <v>80552</v>
      </c>
      <c r="AM96" s="5" t="n">
        <v>83111</v>
      </c>
      <c r="AN96" s="5" t="n">
        <v>86939</v>
      </c>
      <c r="AO96" s="5" t="n">
        <v>93718</v>
      </c>
      <c r="AP96" s="5" t="n">
        <v>100923</v>
      </c>
      <c r="AQ96" s="5" t="n">
        <v>109095</v>
      </c>
      <c r="AR96" s="5" t="n">
        <v>117406</v>
      </c>
    </row>
    <row r="97" customFormat="false" ht="12.8" hidden="false" customHeight="true" outlineLevel="0" collapsed="false">
      <c r="A97" s="1" t="s">
        <v>146</v>
      </c>
      <c r="E97" s="5" t="n">
        <v>84281</v>
      </c>
      <c r="H97" s="5" t="n">
        <v>108234</v>
      </c>
      <c r="I97" s="5" t="n">
        <v>118848</v>
      </c>
      <c r="J97" s="5" t="n">
        <v>132143</v>
      </c>
      <c r="M97" s="5" t="n">
        <v>173144</v>
      </c>
      <c r="N97" s="5" t="n">
        <v>188929</v>
      </c>
      <c r="O97" s="5" t="n">
        <v>203482</v>
      </c>
      <c r="P97" s="5" t="n">
        <v>219759</v>
      </c>
      <c r="Q97" s="5" t="n">
        <v>237731</v>
      </c>
      <c r="R97" s="5" t="n">
        <v>254873</v>
      </c>
      <c r="S97" s="5" t="n">
        <v>280789</v>
      </c>
      <c r="T97" s="5" t="n">
        <v>302526</v>
      </c>
      <c r="U97" s="5" t="n">
        <v>328265</v>
      </c>
      <c r="AB97" s="5" t="n">
        <v>-16681</v>
      </c>
      <c r="AC97" s="5" t="n">
        <v>-6332</v>
      </c>
      <c r="AD97" s="5" t="n">
        <v>566</v>
      </c>
      <c r="AE97" s="5" t="n">
        <v>9895</v>
      </c>
      <c r="AF97" s="5" t="n">
        <v>17710</v>
      </c>
      <c r="AG97" s="5" t="n">
        <v>9096</v>
      </c>
      <c r="AH97" s="5" t="n">
        <v>2282</v>
      </c>
      <c r="AI97" s="5" t="n">
        <v>17769</v>
      </c>
      <c r="AJ97" s="5" t="n">
        <v>13682</v>
      </c>
      <c r="AK97" s="5" t="n">
        <v>24150</v>
      </c>
      <c r="AL97" s="5" t="n">
        <v>34566</v>
      </c>
      <c r="AM97" s="5" t="n">
        <v>57055</v>
      </c>
      <c r="AN97" s="5" t="n">
        <v>84281</v>
      </c>
      <c r="AO97" s="5" t="n">
        <v>118848</v>
      </c>
      <c r="AP97" s="5" t="n">
        <v>173144</v>
      </c>
      <c r="AQ97" s="5" t="n">
        <v>237731</v>
      </c>
      <c r="AR97" s="5" t="n">
        <v>328265</v>
      </c>
    </row>
    <row r="98" customFormat="false" ht="12.8" hidden="false" customHeight="true" outlineLevel="0" collapsed="false">
      <c r="A98" s="1" t="s">
        <v>147</v>
      </c>
      <c r="E98" s="5" t="n">
        <v>-4678</v>
      </c>
      <c r="H98" s="5" t="n">
        <v>-5644</v>
      </c>
      <c r="I98" s="5" t="n">
        <v>-6343</v>
      </c>
      <c r="J98" s="5" t="n">
        <v>-6937</v>
      </c>
      <c r="M98" s="5" t="n">
        <v>-5590</v>
      </c>
      <c r="N98" s="5" t="n">
        <v>-4182</v>
      </c>
      <c r="O98" s="5" t="n">
        <v>-5616</v>
      </c>
      <c r="P98" s="5" t="n">
        <v>-4833</v>
      </c>
      <c r="Q98" s="5" t="n">
        <v>-3347</v>
      </c>
      <c r="R98" s="5" t="n">
        <v>-2761</v>
      </c>
      <c r="S98" s="5" t="n">
        <v>-2702</v>
      </c>
      <c r="T98" s="5" t="n">
        <v>-3228</v>
      </c>
      <c r="U98" s="5" t="n">
        <v>-3284</v>
      </c>
      <c r="AB98" s="5" t="n">
        <v>0</v>
      </c>
      <c r="AC98" s="5" t="n">
        <v>0</v>
      </c>
      <c r="AD98" s="5" t="n">
        <v>0</v>
      </c>
      <c r="AE98" s="5" t="n">
        <v>1743</v>
      </c>
      <c r="AF98" s="5" t="n">
        <v>3708</v>
      </c>
      <c r="AG98" s="5" t="n">
        <v>2522</v>
      </c>
      <c r="AH98" s="5" t="n">
        <v>1537</v>
      </c>
      <c r="AI98" s="5" t="n">
        <v>627</v>
      </c>
      <c r="AJ98" s="5" t="n">
        <v>-2187</v>
      </c>
      <c r="AK98" s="5" t="n">
        <v>-340</v>
      </c>
      <c r="AL98" s="5" t="n">
        <v>3186</v>
      </c>
      <c r="AM98" s="5" t="n">
        <v>1822</v>
      </c>
      <c r="AN98" s="5" t="n">
        <v>-4678</v>
      </c>
      <c r="AO98" s="5" t="n">
        <v>-6343</v>
      </c>
      <c r="AP98" s="5" t="n">
        <v>-5590</v>
      </c>
      <c r="AQ98" s="5" t="n">
        <v>-3347</v>
      </c>
      <c r="AR98" s="5" t="n">
        <v>-3284</v>
      </c>
    </row>
    <row r="99" customFormat="false" ht="12.8" hidden="false" customHeight="true" outlineLevel="0" collapsed="false">
      <c r="A99" s="1" t="s">
        <v>148</v>
      </c>
      <c r="B99" s="5" t="n">
        <f aca="false">+SUM(B96:B98)</f>
        <v>0</v>
      </c>
      <c r="C99" s="5" t="n">
        <f aca="false">+SUM(C96:C98)</f>
        <v>0</v>
      </c>
      <c r="D99" s="5" t="n">
        <f aca="false">+SUM(D96:D98)</f>
        <v>0</v>
      </c>
      <c r="E99" s="5" t="n">
        <f aca="false">+SUM(E96:E98)</f>
        <v>166542</v>
      </c>
      <c r="F99" s="5" t="n">
        <f aca="false">+SUM(F96:F98)</f>
        <v>0</v>
      </c>
      <c r="G99" s="5" t="n">
        <f aca="false">+SUM(G96:G98)</f>
        <v>0</v>
      </c>
      <c r="H99" s="5" t="n">
        <f aca="false">+SUM(H96:H98)</f>
        <v>194683</v>
      </c>
      <c r="I99" s="5" t="n">
        <f aca="false">+SUM(I96:I98)</f>
        <v>206223</v>
      </c>
      <c r="J99" s="5" t="n">
        <f aca="false">+SUM(J96:J98)</f>
        <v>220714</v>
      </c>
      <c r="K99" s="5" t="n">
        <f aca="false">+SUM(K96:K98)</f>
        <v>0</v>
      </c>
      <c r="L99" s="5" t="n">
        <f aca="false">+SUM(L96:L98)</f>
        <v>0</v>
      </c>
      <c r="M99" s="5" t="n">
        <f aca="false">+SUM(M96:M98)</f>
        <v>268477</v>
      </c>
      <c r="N99" s="5" t="n">
        <f aca="false">+SUM(N96:N98)</f>
        <v>287723</v>
      </c>
      <c r="O99" s="5" t="n">
        <f aca="false">+SUM(O96:O98)</f>
        <v>302695</v>
      </c>
      <c r="P99" s="5" t="n">
        <f aca="false">+SUM(P96:P98)</f>
        <v>321891</v>
      </c>
      <c r="Q99" s="5" t="n">
        <f aca="false">+SUM(Q96:Q98)</f>
        <v>343479</v>
      </c>
      <c r="R99" s="5" t="n">
        <f aca="false">+SUM(R96:R98)</f>
        <v>363076</v>
      </c>
      <c r="S99" s="5" t="n">
        <f aca="false">+SUM(S96:S98)</f>
        <v>390875</v>
      </c>
      <c r="T99" s="5" t="n">
        <f aca="false">+SUM(T96:T98)</f>
        <v>414358</v>
      </c>
      <c r="U99" s="5" t="n">
        <f aca="false">+SUM(U96:U98)</f>
        <v>442387</v>
      </c>
      <c r="AB99" s="5" t="n">
        <f aca="false">+SUM(AB96:AB98)</f>
        <v>46175</v>
      </c>
      <c r="AC99" s="5" t="n">
        <f aca="false">+SUM(AC96:AC98)</f>
        <v>57083</v>
      </c>
      <c r="AD99" s="5" t="n">
        <f aca="false">+SUM(AD96:AD98)</f>
        <v>66363</v>
      </c>
      <c r="AE99" s="5" t="n">
        <f aca="false">+SUM(AE96:AE98)</f>
        <v>78944</v>
      </c>
      <c r="AF99" s="5" t="n">
        <f aca="false">+SUM(AF96:AF98)</f>
        <v>89784</v>
      </c>
      <c r="AG99" s="5" t="n">
        <f aca="false">+SUM(AG96:AG98)</f>
        <v>80083</v>
      </c>
      <c r="AH99" s="5" t="n">
        <f aca="false">+SUM(AH96:AH98)</f>
        <v>71997</v>
      </c>
      <c r="AI99" s="5" t="n">
        <f aca="false">+SUM(AI96:AI98)</f>
        <v>87711</v>
      </c>
      <c r="AJ99" s="5" t="n">
        <f aca="false">+SUM(AJ96:AJ98)</f>
        <v>82718</v>
      </c>
      <c r="AK99" s="5" t="n">
        <f aca="false">+SUM(AK96:AK98)</f>
        <v>102330</v>
      </c>
      <c r="AL99" s="5" t="n">
        <f aca="false">+SUM(AL96:AL98)</f>
        <v>118304</v>
      </c>
      <c r="AM99" s="5" t="n">
        <f aca="false">+SUM(AM96:AM98)</f>
        <v>141988</v>
      </c>
      <c r="AN99" s="5" t="n">
        <f aca="false">+SUM(AN96:AN98)</f>
        <v>166542</v>
      </c>
      <c r="AO99" s="5" t="n">
        <f aca="false">+SUM(AO96:AO98)</f>
        <v>206223</v>
      </c>
      <c r="AP99" s="5" t="n">
        <f aca="false">+SUM(AP96:AP98)</f>
        <v>268477</v>
      </c>
      <c r="AQ99" s="5" t="n">
        <f aca="false">+SUM(AQ96:AQ98)</f>
        <v>343479</v>
      </c>
      <c r="AR99" s="5" t="n">
        <f aca="false">+SUM(AR96:AR98)</f>
        <v>442387</v>
      </c>
    </row>
    <row r="100" customFormat="false" ht="12.8" hidden="false" customHeight="true" outlineLevel="0" collapsed="false">
      <c r="A100" s="1" t="s">
        <v>149</v>
      </c>
      <c r="B100" s="5" t="n">
        <f aca="false">+B99+B95</f>
        <v>0</v>
      </c>
      <c r="C100" s="5" t="n">
        <f aca="false">+C99+C95</f>
        <v>0</v>
      </c>
      <c r="D100" s="5" t="n">
        <f aca="false">+D99+D95</f>
        <v>0</v>
      </c>
      <c r="E100" s="5" t="n">
        <f aca="false">+E99+E95</f>
        <v>364840</v>
      </c>
      <c r="F100" s="5" t="n">
        <f aca="false">+F99+F95</f>
        <v>0</v>
      </c>
      <c r="G100" s="5" t="n">
        <f aca="false">+G99+G95</f>
        <v>0</v>
      </c>
      <c r="H100" s="5" t="n">
        <f aca="false">+H99+H95</f>
        <v>380088</v>
      </c>
      <c r="I100" s="5" t="n">
        <f aca="false">+I99+I95</f>
        <v>411976</v>
      </c>
      <c r="J100" s="5" t="n">
        <f aca="false">+J99+J95</f>
        <v>445785</v>
      </c>
      <c r="K100" s="5" t="n">
        <f aca="false">+K99+K95</f>
        <v>0</v>
      </c>
      <c r="L100" s="5" t="n">
        <f aca="false">+L99+L95</f>
        <v>0</v>
      </c>
      <c r="M100" s="5" t="n">
        <f aca="false">+M99+M95</f>
        <v>512163</v>
      </c>
      <c r="N100" s="5" t="n">
        <f aca="false">+N99+N95</f>
        <v>523013</v>
      </c>
      <c r="O100" s="5" t="n">
        <f aca="false">+O99+O95</f>
        <v>533898</v>
      </c>
      <c r="P100" s="5" t="n">
        <f aca="false">+P99+P95</f>
        <v>562624</v>
      </c>
      <c r="Q100" s="5" t="n">
        <f aca="false">+Q99+Q95</f>
        <v>619003</v>
      </c>
      <c r="R100" s="5" t="n">
        <f aca="false">+R99+R95</f>
        <v>636351</v>
      </c>
      <c r="S100" s="5" t="n">
        <f aca="false">+S99+S95</f>
        <v>670568</v>
      </c>
      <c r="T100" s="5" t="n">
        <f aca="false">+T99+T95</f>
        <v>694219</v>
      </c>
      <c r="U100" s="5" t="n">
        <f aca="false">+U99+U95</f>
        <v>758376</v>
      </c>
      <c r="AB100" s="5" t="n">
        <f aca="false">+AB99+AB95</f>
        <v>86113</v>
      </c>
      <c r="AC100" s="5" t="n">
        <f aca="false">+AC99+AC95</f>
        <v>108704</v>
      </c>
      <c r="AD100" s="5" t="n">
        <f aca="false">+AD99+AD95</f>
        <v>121271</v>
      </c>
      <c r="AE100" s="5" t="n">
        <f aca="false">+AE99+AE95</f>
        <v>142431</v>
      </c>
      <c r="AF100" s="5" t="n">
        <f aca="false">+AF99+AF95</f>
        <v>172384</v>
      </c>
      <c r="AG100" s="5" t="n">
        <f aca="false">+AG99+AG95</f>
        <v>174472</v>
      </c>
      <c r="AH100" s="5" t="n">
        <f aca="false">+AH99+AH95</f>
        <v>193468</v>
      </c>
      <c r="AI100" s="5" t="n">
        <f aca="false">+AI99+AI95</f>
        <v>250312</v>
      </c>
      <c r="AJ100" s="5" t="n">
        <f aca="false">+AJ99+AJ95</f>
        <v>258848</v>
      </c>
      <c r="AK100" s="5" t="n">
        <f aca="false">+AK99+AK95</f>
        <v>286556</v>
      </c>
      <c r="AL100" s="5" t="n">
        <f aca="false">+AL99+AL95</f>
        <v>301311</v>
      </c>
      <c r="AM100" s="5" t="n">
        <f aca="false">+AM99+AM95</f>
        <v>333779</v>
      </c>
      <c r="AN100" s="5" t="n">
        <f aca="false">+AN99+AN95</f>
        <v>364840</v>
      </c>
      <c r="AO100" s="5" t="n">
        <f aca="false">+AO99+AO95</f>
        <v>411976</v>
      </c>
      <c r="AP100" s="5" t="n">
        <f aca="false">+AP99+AP95</f>
        <v>512163</v>
      </c>
      <c r="AQ100" s="5" t="n">
        <f aca="false">+AQ99+AQ95</f>
        <v>619003</v>
      </c>
      <c r="AR100" s="5" t="n">
        <f aca="false">+AR99+AR95</f>
        <v>758376</v>
      </c>
    </row>
    <row r="102" customFormat="false" ht="12.8" hidden="false" customHeight="true" outlineLevel="0" collapsed="false">
      <c r="A102" s="1" t="s">
        <v>150</v>
      </c>
      <c r="B102" s="5" t="n">
        <f aca="false">+B39</f>
        <v>0</v>
      </c>
      <c r="C102" s="5" t="n">
        <f aca="false">+C39</f>
        <v>0</v>
      </c>
      <c r="D102" s="5" t="n">
        <f aca="false">+D39</f>
        <v>16728</v>
      </c>
      <c r="E102" s="5" t="n">
        <f aca="false">+E39</f>
        <v>16740</v>
      </c>
      <c r="F102" s="5" t="n">
        <f aca="false">+F39</f>
        <v>17556</v>
      </c>
      <c r="G102" s="5" t="n">
        <f aca="false">+G39</f>
        <v>0</v>
      </c>
      <c r="H102" s="5" t="n">
        <f aca="false">+H39</f>
        <v>18299</v>
      </c>
      <c r="I102" s="5" t="n">
        <f aca="false">+I39</f>
        <v>20081</v>
      </c>
      <c r="J102" s="5" t="n">
        <f aca="false">+J39</f>
        <v>22291</v>
      </c>
      <c r="K102" s="5" t="n">
        <f aca="false">+K39</f>
        <v>21870</v>
      </c>
      <c r="L102" s="5" t="n">
        <f aca="false">+L39</f>
        <v>21939</v>
      </c>
      <c r="M102" s="5" t="n">
        <f aca="false">+M39</f>
        <v>22036</v>
      </c>
      <c r="N102" s="5" t="n">
        <f aca="false">+N39</f>
        <v>24667</v>
      </c>
      <c r="O102" s="5" t="n">
        <f aca="false">+O39</f>
        <v>24108</v>
      </c>
      <c r="P102" s="5" t="n">
        <f aca="false">+P39</f>
        <v>25824</v>
      </c>
      <c r="Q102" s="5" t="n">
        <f aca="false">+Q39</f>
        <v>27233</v>
      </c>
      <c r="R102" s="5" t="n">
        <f aca="false">+R39</f>
        <v>27747</v>
      </c>
      <c r="S102" s="5" t="n">
        <f aca="false">+S39</f>
        <v>38458</v>
      </c>
      <c r="T102" s="5" t="n">
        <f aca="false">+T39</f>
        <v>31778</v>
      </c>
      <c r="U102" s="5" t="n">
        <f aca="false">+U39</f>
        <v>35766</v>
      </c>
      <c r="AB102" s="5" t="n">
        <f aca="false">+AB39</f>
        <v>18760</v>
      </c>
      <c r="AC102" s="5" t="n">
        <f aca="false">+AC39</f>
        <v>23150</v>
      </c>
      <c r="AD102" s="5" t="n">
        <f aca="false">+AD39</f>
        <v>16978</v>
      </c>
      <c r="AE102" s="5" t="n">
        <f aca="false">+AE39</f>
        <v>21863</v>
      </c>
      <c r="AF102" s="5" t="n">
        <f aca="false">+AF39</f>
        <v>22074</v>
      </c>
      <c r="AG102" s="5" t="n">
        <f aca="false">+AG39</f>
        <v>12193</v>
      </c>
      <c r="AH102" s="5" t="n">
        <f aca="false">+AH39</f>
        <v>16798</v>
      </c>
      <c r="AI102" s="5" t="n">
        <f aca="false">+AI39</f>
        <v>21204</v>
      </c>
      <c r="AJ102" s="5" t="n">
        <f aca="false">+AJ39</f>
        <v>16571</v>
      </c>
      <c r="AK102" s="5" t="n">
        <f aca="false">+AK39</f>
        <v>39240</v>
      </c>
      <c r="AL102" s="5" t="n">
        <f aca="false">+AL39</f>
        <v>44281</v>
      </c>
      <c r="AM102" s="5" t="n">
        <f aca="false">+AM39</f>
        <v>61271</v>
      </c>
      <c r="AN102" s="5" t="n">
        <f aca="false">+AN39</f>
        <v>72738</v>
      </c>
      <c r="AO102" s="5" t="n">
        <f aca="false">+AO39</f>
        <v>72361</v>
      </c>
      <c r="AP102" s="5" t="n">
        <f aca="false">+AP39</f>
        <v>88136</v>
      </c>
      <c r="AQ102" s="5" t="n">
        <f aca="false">+AQ39</f>
        <v>101832</v>
      </c>
      <c r="AR102" s="5" t="n">
        <f aca="false">+AR39</f>
        <v>133749</v>
      </c>
      <c r="AS102" s="5" t="n">
        <f aca="false">+AS39</f>
        <v>146221.511664</v>
      </c>
      <c r="AT102" s="5" t="n">
        <f aca="false">+AT39</f>
        <v>174152.692109952</v>
      </c>
      <c r="AU102" s="5" t="n">
        <f aca="false">+AU39</f>
        <v>200279.21300857</v>
      </c>
      <c r="AV102" s="5" t="n">
        <f aca="false">+AV39</f>
        <v>233933.846945659</v>
      </c>
      <c r="AW102" s="5" t="n">
        <f aca="false">+AW39</f>
        <v>268056.291485885</v>
      </c>
      <c r="AX102" s="5" t="n">
        <f aca="false">+AX39</f>
        <v>273133.345119737</v>
      </c>
      <c r="AY102" s="5" t="n">
        <f aca="false">+AY39</f>
        <v>309966.128260498</v>
      </c>
      <c r="AZ102" s="5" t="n">
        <f aca="false">+AZ39</f>
        <v>348314.278552862</v>
      </c>
      <c r="BA102" s="5" t="n">
        <f aca="false">+BA39</f>
        <v>391264.956581678</v>
      </c>
      <c r="BB102" s="5" t="n">
        <f aca="false">+BB39</f>
        <v>439366.121504197</v>
      </c>
      <c r="BD102" s="45"/>
      <c r="BE102" s="45"/>
    </row>
    <row r="103" customFormat="false" ht="12.8" hidden="false" customHeight="true" outlineLevel="0" collapsed="false">
      <c r="A103" s="1" t="s">
        <v>94</v>
      </c>
      <c r="D103" s="5" t="n">
        <v>16728</v>
      </c>
      <c r="E103" s="5" t="n">
        <v>16740</v>
      </c>
      <c r="F103" s="5" t="n">
        <v>17556</v>
      </c>
      <c r="H103" s="5" t="n">
        <v>18299</v>
      </c>
      <c r="I103" s="5" t="n">
        <v>20081</v>
      </c>
      <c r="J103" s="5" t="n">
        <v>22291</v>
      </c>
      <c r="K103" s="5" t="n">
        <v>21870</v>
      </c>
      <c r="L103" s="5" t="n">
        <v>21939</v>
      </c>
      <c r="M103" s="5" t="n">
        <v>22036</v>
      </c>
      <c r="N103" s="5" t="n">
        <v>24667</v>
      </c>
      <c r="O103" s="5" t="n">
        <v>24108</v>
      </c>
      <c r="P103" s="5" t="n">
        <v>25824</v>
      </c>
      <c r="Q103" s="5" t="n">
        <v>27233</v>
      </c>
      <c r="R103" s="5" t="n">
        <v>27747</v>
      </c>
      <c r="S103" s="5" t="n">
        <v>38458</v>
      </c>
      <c r="T103" s="5" t="n">
        <v>31778</v>
      </c>
      <c r="U103" s="5" t="n">
        <v>35766</v>
      </c>
      <c r="AB103" s="5" t="n">
        <v>18760</v>
      </c>
      <c r="AC103" s="5" t="n">
        <v>23150</v>
      </c>
      <c r="AD103" s="5" t="n">
        <v>16978</v>
      </c>
      <c r="AE103" s="5" t="n">
        <v>21863</v>
      </c>
      <c r="AF103" s="5" t="n">
        <v>22074</v>
      </c>
      <c r="AG103" s="5" t="n">
        <v>12193</v>
      </c>
      <c r="AH103" s="5" t="n">
        <v>16798</v>
      </c>
      <c r="AI103" s="5" t="n">
        <v>21204</v>
      </c>
      <c r="AJ103" s="5" t="n">
        <v>16571</v>
      </c>
      <c r="AK103" s="5" t="n">
        <v>39240</v>
      </c>
      <c r="AL103" s="5" t="n">
        <v>44281</v>
      </c>
      <c r="AM103" s="5" t="n">
        <v>61271</v>
      </c>
      <c r="AN103" s="5" t="n">
        <v>72738</v>
      </c>
      <c r="AO103" s="5" t="n">
        <v>72361</v>
      </c>
      <c r="AP103" s="5" t="n">
        <v>88136</v>
      </c>
      <c r="AQ103" s="5" t="n">
        <v>101832</v>
      </c>
      <c r="AR103" s="5" t="n">
        <v>133749</v>
      </c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</row>
    <row r="104" s="45" customFormat="true" ht="12.8" hidden="false" customHeight="true" outlineLevel="0" collapsed="false">
      <c r="A104" s="1" t="s">
        <v>151</v>
      </c>
      <c r="B104" s="5"/>
      <c r="C104" s="5"/>
      <c r="D104" s="5" t="n">
        <v>3773</v>
      </c>
      <c r="E104" s="5" t="n">
        <v>3979</v>
      </c>
      <c r="F104" s="5" t="n">
        <v>2790</v>
      </c>
      <c r="G104" s="5"/>
      <c r="H104" s="5" t="n">
        <v>3549</v>
      </c>
      <c r="I104" s="5" t="n">
        <v>3874</v>
      </c>
      <c r="J104" s="5" t="n">
        <v>3921</v>
      </c>
      <c r="K104" s="5" t="n">
        <v>5959</v>
      </c>
      <c r="L104" s="5" t="n">
        <v>6027</v>
      </c>
      <c r="M104" s="5" t="n">
        <v>6380</v>
      </c>
      <c r="N104" s="5" t="n">
        <v>7383</v>
      </c>
      <c r="O104" s="5" t="n">
        <v>5667</v>
      </c>
      <c r="P104" s="5" t="n">
        <v>8740</v>
      </c>
      <c r="Q104" s="5" t="n">
        <v>11203</v>
      </c>
      <c r="R104" s="5" t="n">
        <v>13061</v>
      </c>
      <c r="S104" s="5" t="n">
        <v>9198</v>
      </c>
      <c r="T104" s="5" t="n">
        <v>10167</v>
      </c>
      <c r="U104" s="5" t="n">
        <v>11022</v>
      </c>
      <c r="V104" s="5"/>
      <c r="W104" s="5"/>
      <c r="X104" s="5"/>
      <c r="Y104" s="5"/>
      <c r="Z104" s="5"/>
      <c r="AA104" s="5"/>
      <c r="AB104" s="5" t="n">
        <v>2673</v>
      </c>
      <c r="AC104" s="5" t="n">
        <v>2766</v>
      </c>
      <c r="AD104" s="5" t="n">
        <f aca="false">+2967+6193</f>
        <v>9160</v>
      </c>
      <c r="AE104" s="5" t="n">
        <v>3755</v>
      </c>
      <c r="AF104" s="5" t="n">
        <v>5212</v>
      </c>
      <c r="AG104" s="5" t="n">
        <v>5957</v>
      </c>
      <c r="AH104" s="5" t="n">
        <v>6622</v>
      </c>
      <c r="AI104" s="5" t="n">
        <v>8778</v>
      </c>
      <c r="AJ104" s="5" t="n">
        <v>10261</v>
      </c>
      <c r="AK104" s="5" t="n">
        <v>11682</v>
      </c>
      <c r="AL104" s="5" t="n">
        <v>12796</v>
      </c>
      <c r="AM104" s="5" t="n">
        <v>11686</v>
      </c>
      <c r="AN104" s="5" t="n">
        <v>14460</v>
      </c>
      <c r="AO104" s="5" t="n">
        <v>13861</v>
      </c>
      <c r="AP104" s="5" t="n">
        <v>22287</v>
      </c>
      <c r="AQ104" s="5" t="n">
        <v>34153</v>
      </c>
      <c r="AR104" s="5" t="n">
        <v>38534</v>
      </c>
      <c r="AS104" s="46" t="n">
        <f aca="false">+AS13*0.2</f>
        <v>77650.326</v>
      </c>
      <c r="AT104" s="46" t="n">
        <f aca="false">+AT13*0.2</f>
        <v>90074.37816</v>
      </c>
      <c r="AU104" s="46" t="n">
        <f aca="false">+AU13*0.2</f>
        <v>103585.534884</v>
      </c>
      <c r="AV104" s="46" t="n">
        <f aca="false">+AV13*0.2</f>
        <v>118087.50976776</v>
      </c>
      <c r="AW104" s="46" t="n">
        <f aca="false">+AW13*0.2</f>
        <v>133438.886037569</v>
      </c>
      <c r="AX104" s="46" t="n">
        <f aca="false">+AX13*0.13</f>
        <v>97143.5090353501</v>
      </c>
      <c r="AY104" s="46" t="n">
        <f aca="false">+AY13*0.13</f>
        <v>107829.295029239</v>
      </c>
      <c r="AZ104" s="46" t="n">
        <f aca="false">+AZ13*0.13</f>
        <v>119690.517482455</v>
      </c>
      <c r="BA104" s="46" t="n">
        <f aca="false">+BA13*0.13</f>
        <v>132856.474405525</v>
      </c>
      <c r="BB104" s="46" t="n">
        <f aca="false">+BB13*0.13</f>
        <v>147470.686590132</v>
      </c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</row>
    <row r="105" s="18" customFormat="true" ht="10.5" hidden="false" customHeight="true" outlineLevel="0" collapsed="false">
      <c r="F105" s="18" t="e">
        <f aca="false">+F104/B104-1</f>
        <v>#DIV/0!</v>
      </c>
      <c r="G105" s="18" t="e">
        <f aca="false">+G104/C104-1</f>
        <v>#DIV/0!</v>
      </c>
      <c r="H105" s="18" t="n">
        <f aca="false">+H104/D104-1</f>
        <v>-0.0593692022263451</v>
      </c>
      <c r="I105" s="18" t="n">
        <f aca="false">+I104/E104-1</f>
        <v>-0.0263885398341291</v>
      </c>
      <c r="J105" s="18" t="n">
        <f aca="false">+J104/F104-1</f>
        <v>0.405376344086021</v>
      </c>
      <c r="K105" s="18" t="e">
        <f aca="false">+K104/G104-1</f>
        <v>#DIV/0!</v>
      </c>
      <c r="L105" s="18" t="n">
        <f aca="false">+L104/H104-1</f>
        <v>0.698224852071006</v>
      </c>
      <c r="M105" s="18" t="n">
        <f aca="false">+M104/I104-1</f>
        <v>0.646876613319566</v>
      </c>
      <c r="N105" s="18" t="n">
        <f aca="false">+N104/J104-1</f>
        <v>0.882938026013772</v>
      </c>
      <c r="O105" s="18" t="n">
        <f aca="false">+O104/K104-1</f>
        <v>-0.0490015103205236</v>
      </c>
      <c r="P105" s="18" t="n">
        <f aca="false">+P104/L104-1</f>
        <v>0.450141032022565</v>
      </c>
      <c r="Q105" s="18" t="n">
        <f aca="false">+Q104/M104-1</f>
        <v>0.755956112852665</v>
      </c>
      <c r="R105" s="18" t="n">
        <f aca="false">+R104/N104-1</f>
        <v>0.769064066097792</v>
      </c>
      <c r="S105" s="18" t="n">
        <f aca="false">+S104/O104-1</f>
        <v>0.623080995235575</v>
      </c>
      <c r="T105" s="18" t="n">
        <f aca="false">+T104/P104-1</f>
        <v>0.163272311212815</v>
      </c>
      <c r="U105" s="18" t="n">
        <f aca="false">+U104/Q104-1</f>
        <v>-0.0161563866821387</v>
      </c>
      <c r="AB105" s="18" t="n">
        <f aca="false">+AB104/AB$13</f>
        <v>0.0427789514115614</v>
      </c>
      <c r="AC105" s="18" t="n">
        <f aca="false">+AC104/AC$13</f>
        <v>0.0395464878543957</v>
      </c>
      <c r="AD105" s="18" t="n">
        <f aca="false">+AD104/AD$13</f>
        <v>0.124248877555173</v>
      </c>
      <c r="AE105" s="18" t="n">
        <f aca="false">+AE104/AE$13</f>
        <v>0.0482344024971419</v>
      </c>
      <c r="AF105" s="18" t="n">
        <f aca="false">+AF104/AF$13</f>
        <v>0.0600232630451556</v>
      </c>
      <c r="AG105" s="18" t="n">
        <f aca="false">+AG104/AG$13</f>
        <v>0.0636567642658688</v>
      </c>
      <c r="AH105" s="18" t="n">
        <f aca="false">+AH104/AH$13</f>
        <v>0.0776136896390061</v>
      </c>
      <c r="AI105" s="18" t="n">
        <f aca="false">+AI104/AI$13</f>
        <v>0.0975875486381323</v>
      </c>
      <c r="AJ105" s="18" t="n">
        <f aca="false">+AJ104/AJ$13</f>
        <v>0.0929775280898876</v>
      </c>
      <c r="AK105" s="18" t="n">
        <f aca="false">+AK104/AK$13</f>
        <v>0.0928299547849304</v>
      </c>
      <c r="AL105" s="18" t="n">
        <f aca="false">+AL104/AL$13</f>
        <v>0.0894731321889312</v>
      </c>
      <c r="AM105" s="18" t="n">
        <f aca="false">+AM104/AM$13</f>
        <v>0.0695231069439817</v>
      </c>
      <c r="AN105" s="18" t="n">
        <f aca="false">+AN104/AN$13</f>
        <v>0.0729308518686639</v>
      </c>
      <c r="AO105" s="18" t="n">
        <f aca="false">+AO104/AO$13</f>
        <v>0.0654083004978411</v>
      </c>
      <c r="AP105" s="18" t="n">
        <f aca="false">+AP104/AP$13</f>
        <v>0.0909220714582942</v>
      </c>
      <c r="AQ105" s="18" t="n">
        <f aca="false">+AQ104/AQ$13</f>
        <v>0.121228578324885</v>
      </c>
      <c r="AR105" s="18" t="n">
        <f aca="false">+AR104/AR$13</f>
        <v>0.116122577515</v>
      </c>
      <c r="AS105" s="18" t="n">
        <f aca="false">+AS104/AS$13</f>
        <v>0.2</v>
      </c>
      <c r="AT105" s="18" t="n">
        <f aca="false">+AT104/AT$13</f>
        <v>0.2</v>
      </c>
      <c r="AU105" s="18" t="n">
        <f aca="false">+AU104/AU$13</f>
        <v>0.2</v>
      </c>
      <c r="AV105" s="18" t="n">
        <f aca="false">+AV104/AV$13</f>
        <v>0.2</v>
      </c>
      <c r="AW105" s="18" t="n">
        <f aca="false">+AW104/AW$13</f>
        <v>0.2</v>
      </c>
      <c r="AX105" s="18" t="n">
        <f aca="false">+AX104/AX$13</f>
        <v>0.13</v>
      </c>
      <c r="AY105" s="18" t="n">
        <f aca="false">+AY104/AY$13</f>
        <v>0.13</v>
      </c>
      <c r="AZ105" s="18" t="n">
        <f aca="false">+AZ104/AZ$13</f>
        <v>0.13</v>
      </c>
      <c r="BA105" s="18" t="n">
        <f aca="false">+BA104/BA$13</f>
        <v>0.13</v>
      </c>
      <c r="BB105" s="18" t="n">
        <f aca="false">+BB104/BB$13</f>
        <v>0.13</v>
      </c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</row>
    <row r="106" customFormat="false" ht="12.8" hidden="false" customHeight="true" outlineLevel="0" collapsed="false">
      <c r="A106" s="1" t="s">
        <v>152</v>
      </c>
      <c r="D106" s="5" t="n">
        <v>1906</v>
      </c>
      <c r="E106" s="5" t="n">
        <v>1997</v>
      </c>
      <c r="F106" s="5" t="n">
        <v>2192</v>
      </c>
      <c r="H106" s="5" t="n">
        <v>2465</v>
      </c>
      <c r="I106" s="5" t="n">
        <v>2416</v>
      </c>
      <c r="J106" s="5" t="n">
        <v>2507</v>
      </c>
      <c r="K106" s="5" t="n">
        <v>2828</v>
      </c>
      <c r="L106" s="5" t="n">
        <v>2703</v>
      </c>
      <c r="M106" s="5" t="n">
        <v>2696</v>
      </c>
      <c r="N106" s="5" t="n">
        <v>2832</v>
      </c>
      <c r="O106" s="5" t="n">
        <v>3089</v>
      </c>
      <c r="P106" s="5" t="n">
        <v>2980</v>
      </c>
      <c r="Q106" s="5" t="n">
        <v>3073</v>
      </c>
      <c r="R106" s="5" t="n">
        <v>2983</v>
      </c>
      <c r="S106" s="5" t="n">
        <v>3219</v>
      </c>
      <c r="T106" s="5" t="n">
        <v>3081</v>
      </c>
      <c r="U106" s="5" t="n">
        <v>3122</v>
      </c>
      <c r="AB106" s="5" t="n">
        <v>1891</v>
      </c>
      <c r="AC106" s="5" t="n">
        <v>2166</v>
      </c>
      <c r="AD106" s="5" t="n">
        <f aca="false">+2244-93</f>
        <v>2151</v>
      </c>
      <c r="AE106" s="5" t="n">
        <f aca="false">+2406-209</f>
        <v>2197</v>
      </c>
      <c r="AF106" s="5" t="n">
        <f aca="false">+2446-271</f>
        <v>2175</v>
      </c>
      <c r="AG106" s="5" t="n">
        <v>2574</v>
      </c>
      <c r="AH106" s="5" t="n">
        <v>2668</v>
      </c>
      <c r="AI106" s="5" t="n">
        <v>3266</v>
      </c>
      <c r="AJ106" s="5" t="n">
        <v>3940</v>
      </c>
      <c r="AK106" s="5" t="n">
        <v>4652</v>
      </c>
      <c r="AL106" s="5" t="n">
        <v>5289</v>
      </c>
      <c r="AM106" s="5" t="n">
        <v>6118</v>
      </c>
      <c r="AN106" s="5" t="n">
        <v>7502</v>
      </c>
      <c r="AO106" s="5" t="n">
        <v>9611</v>
      </c>
      <c r="AP106" s="5" t="n">
        <v>10734</v>
      </c>
      <c r="AQ106" s="5" t="n">
        <v>11974</v>
      </c>
      <c r="AR106" s="5" t="n">
        <v>12405</v>
      </c>
    </row>
    <row r="107" customFormat="false" ht="12.8" hidden="false" customHeight="true" outlineLevel="0" collapsed="false">
      <c r="A107" s="1" t="s">
        <v>153</v>
      </c>
      <c r="D107" s="5" t="n">
        <v>105</v>
      </c>
      <c r="E107" s="5" t="n">
        <v>157</v>
      </c>
      <c r="F107" s="5" t="n">
        <v>-22</v>
      </c>
      <c r="H107" s="5" t="n">
        <v>-40</v>
      </c>
      <c r="I107" s="5" t="n">
        <v>44</v>
      </c>
      <c r="J107" s="5" t="n">
        <v>14</v>
      </c>
      <c r="K107" s="5" t="n">
        <v>198</v>
      </c>
      <c r="L107" s="5" t="n">
        <v>49</v>
      </c>
      <c r="M107" s="5" t="n">
        <v>44</v>
      </c>
      <c r="N107" s="5" t="n">
        <v>-125</v>
      </c>
      <c r="O107" s="5" t="n">
        <v>2136</v>
      </c>
      <c r="P107" s="5" t="n">
        <v>-298</v>
      </c>
      <c r="Q107" s="5" t="n">
        <v>56</v>
      </c>
      <c r="R107" s="5" t="n">
        <v>-1007</v>
      </c>
      <c r="S107" s="5" t="n">
        <v>-9931</v>
      </c>
      <c r="T107" s="5" t="n">
        <v>-1280</v>
      </c>
      <c r="U107" s="5" t="n">
        <v>-3743</v>
      </c>
      <c r="AB107" s="5" t="n">
        <v>-208</v>
      </c>
      <c r="AC107" s="5" t="n">
        <v>-362</v>
      </c>
      <c r="AD107" s="5" t="n">
        <v>-200</v>
      </c>
      <c r="AE107" s="5" t="n">
        <v>80</v>
      </c>
      <c r="AF107" s="5" t="n">
        <f aca="false">-109</f>
        <v>-109</v>
      </c>
      <c r="AG107" s="5" t="n">
        <v>-443</v>
      </c>
      <c r="AH107" s="5" t="n">
        <v>-223</v>
      </c>
      <c r="AI107" s="5" t="n">
        <v>-2073</v>
      </c>
      <c r="AJ107" s="5" t="n">
        <v>-2212</v>
      </c>
      <c r="AK107" s="5" t="n">
        <v>-792</v>
      </c>
      <c r="AL107" s="5" t="n">
        <v>-219</v>
      </c>
      <c r="AM107" s="5" t="n">
        <v>-1249</v>
      </c>
      <c r="AN107" s="5" t="n">
        <v>-409</v>
      </c>
      <c r="AO107" s="5" t="n">
        <v>196</v>
      </c>
      <c r="AP107" s="5" t="n">
        <v>305</v>
      </c>
      <c r="AQ107" s="5" t="n">
        <v>609</v>
      </c>
      <c r="AR107" s="5" t="n">
        <v>-11047</v>
      </c>
    </row>
    <row r="108" customFormat="false" ht="12.8" hidden="false" customHeight="true" outlineLevel="0" collapsed="false">
      <c r="A108" s="1" t="s">
        <v>154</v>
      </c>
      <c r="D108" s="5" t="n">
        <v>-198</v>
      </c>
      <c r="E108" s="5" t="n">
        <v>283</v>
      </c>
      <c r="F108" s="5" t="n">
        <v>-1191</v>
      </c>
      <c r="H108" s="5" t="n">
        <v>-1675</v>
      </c>
      <c r="I108" s="5" t="n">
        <v>-1888</v>
      </c>
      <c r="J108" s="5" t="n">
        <v>-568</v>
      </c>
      <c r="K108" s="5" t="n">
        <v>-1702</v>
      </c>
      <c r="L108" s="5" t="n">
        <v>-1323</v>
      </c>
      <c r="M108" s="5" t="n">
        <v>-1145</v>
      </c>
      <c r="N108" s="5" t="n">
        <v>-1433</v>
      </c>
      <c r="O108" s="5" t="n">
        <v>-1158</v>
      </c>
      <c r="P108" s="5" t="n">
        <v>-2244</v>
      </c>
      <c r="Q108" s="5" t="n">
        <v>-221</v>
      </c>
      <c r="R108" s="5" t="n">
        <v>2491</v>
      </c>
      <c r="S108" s="5" t="n">
        <v>4446</v>
      </c>
      <c r="T108" s="5" t="n">
        <v>2602</v>
      </c>
      <c r="U108" s="5" t="n">
        <v>4650</v>
      </c>
      <c r="AB108" s="5" t="n">
        <v>-220</v>
      </c>
      <c r="AC108" s="5" t="n">
        <v>2</v>
      </c>
      <c r="AD108" s="5" t="n">
        <v>954</v>
      </c>
      <c r="AE108" s="5" t="n">
        <v>-19</v>
      </c>
      <c r="AF108" s="5" t="n">
        <v>-331</v>
      </c>
      <c r="AG108" s="5" t="n">
        <v>224</v>
      </c>
      <c r="AH108" s="5" t="n">
        <v>332</v>
      </c>
      <c r="AI108" s="5" t="n">
        <v>-3296</v>
      </c>
      <c r="AJ108" s="5" t="n">
        <v>-5143</v>
      </c>
      <c r="AK108" s="5" t="n">
        <v>-6463</v>
      </c>
      <c r="AL108" s="5" t="n">
        <v>11</v>
      </c>
      <c r="AM108" s="5" t="n">
        <v>-150</v>
      </c>
      <c r="AN108" s="5" t="n">
        <v>-5702</v>
      </c>
      <c r="AO108" s="5" t="n">
        <v>-6059</v>
      </c>
      <c r="AP108" s="5" t="n">
        <v>-4738</v>
      </c>
      <c r="AQ108" s="5" t="n">
        <v>-7056</v>
      </c>
      <c r="AR108" s="5" t="n">
        <v>14189</v>
      </c>
    </row>
    <row r="109" customFormat="false" ht="12.8" hidden="false" customHeight="true" outlineLevel="0" collapsed="false">
      <c r="A109" s="1" t="s">
        <v>125</v>
      </c>
      <c r="D109" s="5" t="n">
        <v>857</v>
      </c>
      <c r="E109" s="5" t="n">
        <v>-12634</v>
      </c>
      <c r="F109" s="5" t="n">
        <v>11729</v>
      </c>
      <c r="H109" s="5" t="n">
        <v>-1408</v>
      </c>
      <c r="I109" s="5" t="n">
        <v>-11244</v>
      </c>
      <c r="J109" s="5" t="n">
        <v>11034</v>
      </c>
      <c r="K109" s="5" t="n">
        <v>-2951</v>
      </c>
      <c r="L109" s="5" t="n">
        <v>-2028</v>
      </c>
      <c r="M109" s="5" t="n">
        <v>-13246</v>
      </c>
      <c r="N109" s="5" t="n">
        <v>14037</v>
      </c>
      <c r="O109" s="5" t="n">
        <v>-5978</v>
      </c>
      <c r="P109" s="5" t="n">
        <v>-2461</v>
      </c>
      <c r="Q109" s="5" t="n">
        <v>-16179</v>
      </c>
      <c r="R109" s="5" t="n">
        <v>16490</v>
      </c>
      <c r="S109" s="5" t="n">
        <v>-3436</v>
      </c>
      <c r="T109" s="5" t="n">
        <v>-4707</v>
      </c>
      <c r="U109" s="5" t="n">
        <v>-21084</v>
      </c>
      <c r="AB109" s="5" t="n">
        <v>-2238</v>
      </c>
      <c r="AC109" s="5" t="n">
        <v>-1451</v>
      </c>
      <c r="AD109" s="5" t="n">
        <v>-1156</v>
      </c>
      <c r="AE109" s="5" t="n">
        <v>-1807</v>
      </c>
      <c r="AF109" s="5" t="n">
        <v>-1120</v>
      </c>
      <c r="AG109" s="5" t="n">
        <v>1456</v>
      </c>
      <c r="AH109" s="5" t="n">
        <v>-530</v>
      </c>
      <c r="AI109" s="5" t="n">
        <v>-925</v>
      </c>
      <c r="AJ109" s="5" t="n">
        <v>-3862</v>
      </c>
      <c r="AK109" s="5" t="n">
        <v>-2812</v>
      </c>
      <c r="AL109" s="5" t="n">
        <v>-2577</v>
      </c>
      <c r="AM109" s="5" t="n">
        <v>-6481</v>
      </c>
      <c r="AN109" s="5" t="n">
        <v>-6834</v>
      </c>
      <c r="AO109" s="5" t="n">
        <v>-4087</v>
      </c>
      <c r="AP109" s="5" t="n">
        <v>-7191</v>
      </c>
      <c r="AQ109" s="5" t="n">
        <v>-10581</v>
      </c>
      <c r="AR109" s="5" t="n">
        <v>-12737</v>
      </c>
    </row>
    <row r="110" customFormat="false" ht="12.8" hidden="false" customHeight="true" outlineLevel="0" collapsed="false">
      <c r="A110" s="1" t="s">
        <v>126</v>
      </c>
      <c r="D110" s="5" t="n">
        <v>-279</v>
      </c>
      <c r="E110" s="5" t="n">
        <v>-461</v>
      </c>
      <c r="F110" s="5" t="n">
        <v>-543</v>
      </c>
      <c r="H110" s="5" t="n">
        <v>106</v>
      </c>
      <c r="I110" s="5" t="n">
        <v>374</v>
      </c>
      <c r="J110" s="5" t="n">
        <v>-505</v>
      </c>
      <c r="K110" s="5" t="n">
        <v>1474</v>
      </c>
      <c r="L110" s="5" t="n">
        <v>260</v>
      </c>
      <c r="M110" s="5" t="n">
        <v>55</v>
      </c>
      <c r="N110" s="5" t="n">
        <v>-373</v>
      </c>
      <c r="O110" s="5" t="n">
        <v>711</v>
      </c>
      <c r="P110" s="5" t="n">
        <v>52</v>
      </c>
      <c r="Q110" s="5" t="n">
        <v>-81</v>
      </c>
      <c r="R110" s="5" t="n">
        <v>-192</v>
      </c>
      <c r="S110" s="5" t="n">
        <v>70</v>
      </c>
      <c r="T110" s="5" t="n">
        <v>-161</v>
      </c>
      <c r="U110" s="5" t="n">
        <v>-178</v>
      </c>
      <c r="AB110" s="5" t="n">
        <v>-44</v>
      </c>
      <c r="AC110" s="5" t="n">
        <v>-561</v>
      </c>
      <c r="AD110" s="5" t="n">
        <v>184</v>
      </c>
      <c r="AE110" s="5" t="n">
        <v>-802</v>
      </c>
      <c r="AF110" s="5" t="n">
        <v>-161</v>
      </c>
      <c r="AG110" s="5" t="n">
        <v>-272</v>
      </c>
      <c r="AH110" s="5" t="n">
        <v>600</v>
      </c>
      <c r="AI110" s="5" t="n">
        <v>50</v>
      </c>
      <c r="AJ110" s="5" t="n">
        <v>-465</v>
      </c>
      <c r="AK110" s="5" t="n">
        <v>597</v>
      </c>
      <c r="AL110" s="5" t="n">
        <v>168</v>
      </c>
      <c r="AM110" s="5" t="n">
        <v>-737</v>
      </c>
      <c r="AN110" s="5" t="n">
        <v>-1123</v>
      </c>
      <c r="AO110" s="5" t="n">
        <v>1242</v>
      </c>
      <c r="AP110" s="5" t="n">
        <v>1284</v>
      </c>
      <c r="AQ110" s="5" t="n">
        <v>309</v>
      </c>
      <c r="AR110" s="5" t="n">
        <v>-461</v>
      </c>
    </row>
    <row r="111" customFormat="false" ht="12.8" hidden="false" customHeight="true" outlineLevel="0" collapsed="false">
      <c r="A111" s="1" t="s">
        <v>155</v>
      </c>
      <c r="D111" s="5" t="n">
        <v>91</v>
      </c>
      <c r="E111" s="5" t="n">
        <v>-2570</v>
      </c>
      <c r="F111" s="5" t="n">
        <v>-332</v>
      </c>
      <c r="H111" s="5" t="n">
        <v>1152</v>
      </c>
      <c r="I111" s="5" t="n">
        <v>-2419</v>
      </c>
      <c r="J111" s="5" t="n">
        <v>-796</v>
      </c>
      <c r="K111" s="5" t="n">
        <v>725</v>
      </c>
      <c r="L111" s="5" t="n">
        <v>951</v>
      </c>
      <c r="M111" s="5" t="n">
        <v>-2528</v>
      </c>
      <c r="N111" s="5" t="n">
        <v>-82</v>
      </c>
      <c r="O111" s="5" t="n">
        <v>-353</v>
      </c>
      <c r="P111" s="5" t="n">
        <v>1076</v>
      </c>
      <c r="Q111" s="5" t="n">
        <v>-3686</v>
      </c>
      <c r="R111" s="5" t="n">
        <v>-1162</v>
      </c>
      <c r="S111" s="5" t="n">
        <v>619</v>
      </c>
      <c r="T111" s="5" t="n">
        <v>758</v>
      </c>
      <c r="U111" s="5" t="n">
        <v>-2842</v>
      </c>
      <c r="AB111" s="5" t="n">
        <v>464</v>
      </c>
      <c r="AC111" s="5" t="n">
        <v>-1259</v>
      </c>
      <c r="AD111" s="5" t="n">
        <v>493</v>
      </c>
      <c r="AE111" s="5" t="n">
        <v>-129</v>
      </c>
      <c r="AF111" s="5" t="n">
        <v>-29</v>
      </c>
      <c r="AG111" s="5" t="n">
        <v>62</v>
      </c>
      <c r="AH111" s="5" t="n">
        <v>-1167</v>
      </c>
      <c r="AI111" s="5" t="n">
        <v>1066</v>
      </c>
      <c r="AJ111" s="5" t="n">
        <v>-952</v>
      </c>
      <c r="AK111" s="5" t="n">
        <v>-1718</v>
      </c>
      <c r="AL111" s="5" t="n">
        <v>-2330</v>
      </c>
      <c r="AM111" s="5" t="n">
        <v>-932</v>
      </c>
      <c r="AN111" s="5" t="n">
        <v>-709</v>
      </c>
      <c r="AO111" s="5" t="n">
        <v>-1991</v>
      </c>
      <c r="AP111" s="5" t="n">
        <v>-1648</v>
      </c>
      <c r="AQ111" s="5" t="n">
        <v>-3044</v>
      </c>
      <c r="AR111" s="5" t="n">
        <v>-2627</v>
      </c>
    </row>
    <row r="112" customFormat="false" ht="12.8" hidden="false" customHeight="true" outlineLevel="0" collapsed="false">
      <c r="A112" s="1" t="s">
        <v>156</v>
      </c>
      <c r="D112" s="5" t="n">
        <v>-724</v>
      </c>
      <c r="E112" s="5" t="n">
        <v>-575</v>
      </c>
      <c r="F112" s="5" t="n">
        <v>-666</v>
      </c>
      <c r="H112" s="5" t="n">
        <v>-554</v>
      </c>
      <c r="I112" s="5" t="n">
        <v>-1548</v>
      </c>
      <c r="J112" s="5" t="n">
        <v>-2013</v>
      </c>
      <c r="K112" s="5" t="n">
        <v>-1427</v>
      </c>
      <c r="L112" s="5" t="n">
        <v>-2137</v>
      </c>
      <c r="M112" s="5" t="n">
        <v>-1240</v>
      </c>
      <c r="N112" s="5" t="n">
        <v>-1761</v>
      </c>
      <c r="O112" s="5" t="n">
        <v>-1089</v>
      </c>
      <c r="P112" s="5" t="n">
        <v>-518</v>
      </c>
      <c r="Q112" s="5" t="n">
        <v>418</v>
      </c>
      <c r="R112" s="5" t="n">
        <v>-394</v>
      </c>
      <c r="S112" s="5" t="n">
        <v>-1288</v>
      </c>
      <c r="T112" s="5" t="n">
        <v>-932</v>
      </c>
      <c r="U112" s="5" t="n">
        <v>-1350</v>
      </c>
      <c r="AB112" s="5" t="n">
        <v>-223</v>
      </c>
      <c r="AC112" s="5" t="n">
        <v>62</v>
      </c>
      <c r="AD112" s="5" t="n">
        <v>-248</v>
      </c>
      <c r="AE112" s="5" t="n">
        <v>-478</v>
      </c>
      <c r="AF112" s="5" t="n">
        <v>-628</v>
      </c>
      <c r="AG112" s="5" t="n">
        <v>346</v>
      </c>
      <c r="AH112" s="5" t="n">
        <v>-41</v>
      </c>
      <c r="AI112" s="5" t="n">
        <v>-539</v>
      </c>
      <c r="AJ112" s="5" t="n">
        <v>-185</v>
      </c>
      <c r="AK112" s="5" t="n">
        <v>-1834</v>
      </c>
      <c r="AL112" s="5" t="n">
        <v>-1037</v>
      </c>
      <c r="AM112" s="5" t="n">
        <v>-3459</v>
      </c>
      <c r="AN112" s="5" t="n">
        <v>-2805</v>
      </c>
      <c r="AO112" s="5" t="n">
        <v>-2833</v>
      </c>
      <c r="AP112" s="5" t="n">
        <v>-6817</v>
      </c>
      <c r="AQ112" s="5" t="n">
        <v>-2950</v>
      </c>
      <c r="AR112" s="5" t="n">
        <v>-3964</v>
      </c>
    </row>
    <row r="113" customFormat="false" ht="12.8" hidden="false" customHeight="true" outlineLevel="0" collapsed="false">
      <c r="A113" s="1" t="s">
        <v>134</v>
      </c>
      <c r="D113" s="5" t="n">
        <v>520</v>
      </c>
      <c r="E113" s="5" t="n">
        <v>2659</v>
      </c>
      <c r="F113" s="5" t="n">
        <v>-1567</v>
      </c>
      <c r="H113" s="5" t="n">
        <v>-407</v>
      </c>
      <c r="I113" s="5" t="n">
        <v>1311</v>
      </c>
      <c r="J113" s="5" t="n">
        <v>1214</v>
      </c>
      <c r="K113" s="5" t="n">
        <v>-2521</v>
      </c>
      <c r="L113" s="5" t="n">
        <v>648</v>
      </c>
      <c r="M113" s="5" t="n">
        <v>4204</v>
      </c>
      <c r="N113" s="5" t="n">
        <v>-916</v>
      </c>
      <c r="O113" s="5" t="n">
        <v>958</v>
      </c>
      <c r="P113" s="5" t="n">
        <v>1179</v>
      </c>
      <c r="Q113" s="5" t="n">
        <v>-652</v>
      </c>
      <c r="R113" s="5" t="n">
        <v>-614</v>
      </c>
      <c r="S113" s="5" t="n">
        <v>1197</v>
      </c>
      <c r="T113" s="5" t="n">
        <v>2320</v>
      </c>
      <c r="U113" s="5" t="n">
        <v>2365</v>
      </c>
      <c r="AB113" s="5" t="n">
        <v>844</v>
      </c>
      <c r="AC113" s="5" t="n">
        <v>58</v>
      </c>
      <c r="AD113" s="5" t="n">
        <v>-31</v>
      </c>
      <c r="AE113" s="5" t="n">
        <v>537</v>
      </c>
      <c r="AF113" s="5" t="n">
        <v>473</v>
      </c>
      <c r="AG113" s="5" t="n">
        <v>-1054</v>
      </c>
      <c r="AH113" s="5" t="n">
        <v>88</v>
      </c>
      <c r="AI113" s="5" t="n">
        <v>81</v>
      </c>
      <c r="AJ113" s="5" t="n">
        <v>1148</v>
      </c>
      <c r="AK113" s="5" t="n">
        <v>232</v>
      </c>
      <c r="AL113" s="5" t="n">
        <v>3018</v>
      </c>
      <c r="AM113" s="5" t="n">
        <v>2798</v>
      </c>
      <c r="AN113" s="5" t="n">
        <v>2943</v>
      </c>
      <c r="AO113" s="5" t="n">
        <v>-2721</v>
      </c>
      <c r="AP113" s="5" t="n">
        <v>3545</v>
      </c>
      <c r="AQ113" s="5" t="n">
        <v>569</v>
      </c>
      <c r="AR113" s="5" t="n">
        <v>5268</v>
      </c>
    </row>
    <row r="114" customFormat="false" ht="12.8" hidden="false" customHeight="true" outlineLevel="0" collapsed="false">
      <c r="A114" s="1" t="s">
        <v>157</v>
      </c>
      <c r="D114" s="5" t="n">
        <v>-209</v>
      </c>
      <c r="E114" s="5" t="n">
        <v>12546</v>
      </c>
      <c r="F114" s="5" t="n">
        <v>-3322</v>
      </c>
      <c r="H114" s="5" t="n">
        <v>-181</v>
      </c>
      <c r="I114" s="5" t="n">
        <v>14224</v>
      </c>
      <c r="J114" s="5" t="n">
        <v>-4126</v>
      </c>
      <c r="K114" s="5" t="n">
        <v>-5538</v>
      </c>
      <c r="L114" s="5" t="n">
        <v>-645</v>
      </c>
      <c r="M114" s="5" t="n">
        <v>15657</v>
      </c>
      <c r="N114" s="5" t="n">
        <v>-5553</v>
      </c>
      <c r="O114" s="5" t="n">
        <v>-6338</v>
      </c>
      <c r="P114" s="5" t="n">
        <v>-1032</v>
      </c>
      <c r="Q114" s="5" t="n">
        <v>18361</v>
      </c>
      <c r="R114" s="5" t="n">
        <v>-5418</v>
      </c>
      <c r="S114" s="5" t="n">
        <v>-7483</v>
      </c>
      <c r="T114" s="5" t="n">
        <v>-166</v>
      </c>
      <c r="U114" s="5" t="n">
        <v>22428</v>
      </c>
      <c r="AB114" s="5" t="n">
        <f aca="false">+29374-28813</f>
        <v>561</v>
      </c>
      <c r="AC114" s="5" t="n">
        <f aca="false">+31227-28935</f>
        <v>2292</v>
      </c>
      <c r="AD114" s="5" t="n">
        <f aca="false">+36104-33347</f>
        <v>2757</v>
      </c>
      <c r="AE114" s="5" t="n">
        <f aca="false">+44253-41921</f>
        <v>2332</v>
      </c>
      <c r="AF114" s="5" t="n">
        <f aca="false">-41739+44325</f>
        <v>2586</v>
      </c>
      <c r="AG114" s="5" t="n">
        <f aca="false">+45072-44920</f>
        <v>152</v>
      </c>
      <c r="AH114" s="5" t="n">
        <f aca="false">+57072-48498</f>
        <v>8574</v>
      </c>
      <c r="AI114" s="5" t="n">
        <f aca="false">-57735+67711</f>
        <v>9976</v>
      </c>
      <c r="AJ114" s="5" t="n">
        <v>5922</v>
      </c>
      <c r="AK114" s="5" t="n">
        <v>4462</v>
      </c>
      <c r="AL114" s="5" t="n">
        <v>2212</v>
      </c>
      <c r="AM114" s="5" t="n">
        <v>4633</v>
      </c>
      <c r="AN114" s="5" t="n">
        <v>5109</v>
      </c>
      <c r="AO114" s="5" t="n">
        <v>5535</v>
      </c>
      <c r="AP114" s="5" t="n">
        <v>5348</v>
      </c>
      <c r="AQ114" s="5" t="n">
        <v>5438</v>
      </c>
      <c r="AR114" s="5" t="n">
        <v>9361</v>
      </c>
    </row>
    <row r="115" customFormat="false" ht="12.8" hidden="false" customHeight="true" outlineLevel="0" collapsed="false">
      <c r="A115" s="1" t="s">
        <v>158</v>
      </c>
      <c r="D115" s="5" t="n">
        <v>1091</v>
      </c>
      <c r="E115" s="5" t="n">
        <v>-991</v>
      </c>
      <c r="F115" s="5" t="n">
        <v>410</v>
      </c>
      <c r="H115" s="5" t="n">
        <v>1414</v>
      </c>
      <c r="I115" s="5" t="n">
        <v>681</v>
      </c>
      <c r="J115" s="5" t="n">
        <v>1425</v>
      </c>
      <c r="K115" s="5" t="n">
        <v>-1554</v>
      </c>
      <c r="L115" s="5" t="n">
        <v>2622</v>
      </c>
      <c r="M115" s="5" t="n">
        <v>-806</v>
      </c>
      <c r="N115" s="5" t="n">
        <v>1016</v>
      </c>
      <c r="O115" s="5" t="n">
        <v>-3395</v>
      </c>
      <c r="P115" s="5" t="n">
        <v>1298</v>
      </c>
      <c r="Q115" s="5" t="n">
        <v>1043</v>
      </c>
      <c r="R115" s="5" t="n">
        <v>-2944</v>
      </c>
      <c r="S115" s="5" t="n">
        <v>-920</v>
      </c>
      <c r="T115" s="5" t="n">
        <v>2296</v>
      </c>
      <c r="U115" s="5" t="n">
        <v>-307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18183</v>
      </c>
      <c r="AK115" s="5" t="n">
        <v>2929</v>
      </c>
      <c r="AL115" s="5" t="n">
        <v>-3631</v>
      </c>
      <c r="AM115" s="5" t="n">
        <v>-2309</v>
      </c>
      <c r="AN115" s="5" t="n">
        <v>696</v>
      </c>
      <c r="AO115" s="5" t="n">
        <v>-358</v>
      </c>
      <c r="AP115" s="5" t="n">
        <v>1687</v>
      </c>
      <c r="AQ115" s="5" t="n">
        <v>-38</v>
      </c>
      <c r="AR115" s="5" t="n">
        <v>-1875</v>
      </c>
    </row>
    <row r="116" customFormat="false" ht="12.8" hidden="false" customHeight="true" outlineLevel="0" collapsed="false">
      <c r="A116" s="1" t="s">
        <v>159</v>
      </c>
      <c r="D116" s="5" t="n">
        <v>1287</v>
      </c>
      <c r="E116" s="5" t="n">
        <v>3455</v>
      </c>
      <c r="F116" s="5" t="n">
        <v>-4024</v>
      </c>
      <c r="H116" s="5" t="n">
        <v>1715</v>
      </c>
      <c r="I116" s="5" t="n">
        <v>2762</v>
      </c>
      <c r="J116" s="5" t="n">
        <v>-4106</v>
      </c>
      <c r="K116" s="5" t="n">
        <v>1518</v>
      </c>
      <c r="L116" s="5" t="n">
        <v>2803</v>
      </c>
      <c r="M116" s="5" t="n">
        <v>4652</v>
      </c>
      <c r="N116" s="5" t="n">
        <v>-5479</v>
      </c>
      <c r="O116" s="5" t="n">
        <v>3217</v>
      </c>
      <c r="P116" s="5" t="n">
        <v>2839</v>
      </c>
      <c r="Q116" s="5" t="n">
        <v>5346</v>
      </c>
      <c r="R116" s="5" t="n">
        <v>-5507</v>
      </c>
      <c r="S116" s="5" t="n">
        <v>2802</v>
      </c>
      <c r="T116" s="5" t="n">
        <v>2539</v>
      </c>
      <c r="U116" s="5" t="n">
        <v>7013</v>
      </c>
      <c r="AB116" s="5" t="n">
        <v>451</v>
      </c>
      <c r="AC116" s="5" t="n">
        <v>-1146</v>
      </c>
      <c r="AD116" s="5" t="n">
        <v>410</v>
      </c>
      <c r="AE116" s="5" t="n">
        <v>146</v>
      </c>
      <c r="AF116" s="5" t="n">
        <v>1075</v>
      </c>
      <c r="AG116" s="5" t="n">
        <v>-624</v>
      </c>
      <c r="AH116" s="5" t="n">
        <v>-260</v>
      </c>
      <c r="AI116" s="5" t="n">
        <v>386</v>
      </c>
      <c r="AJ116" s="5" t="n">
        <v>798</v>
      </c>
      <c r="AK116" s="5" t="n">
        <v>1419</v>
      </c>
      <c r="AL116" s="5" t="n">
        <v>1346</v>
      </c>
      <c r="AM116" s="5" t="n">
        <v>4149</v>
      </c>
      <c r="AN116" s="5" t="n">
        <v>2344</v>
      </c>
      <c r="AO116" s="5" t="n">
        <v>2272</v>
      </c>
      <c r="AP116" s="5" t="n">
        <v>4867</v>
      </c>
      <c r="AQ116" s="5" t="n">
        <v>5922</v>
      </c>
      <c r="AR116" s="5" t="n">
        <v>6847</v>
      </c>
    </row>
    <row r="117" customFormat="false" ht="12.8" hidden="false" customHeight="true" outlineLevel="0" collapsed="false">
      <c r="A117" s="1" t="s">
        <v>160</v>
      </c>
      <c r="D117" s="5" t="n">
        <v>438</v>
      </c>
      <c r="E117" s="5" t="n">
        <v>44</v>
      </c>
      <c r="F117" s="5" t="n">
        <v>188</v>
      </c>
      <c r="H117" s="5" t="n">
        <v>6</v>
      </c>
      <c r="I117" s="5" t="n">
        <v>102</v>
      </c>
      <c r="J117" s="5" t="n">
        <v>291</v>
      </c>
      <c r="K117" s="5" t="n">
        <v>-26</v>
      </c>
      <c r="L117" s="5" t="n">
        <v>48</v>
      </c>
      <c r="M117" s="5" t="n">
        <v>436</v>
      </c>
      <c r="N117" s="5" t="n">
        <v>-33</v>
      </c>
      <c r="O117" s="5" t="n">
        <v>716</v>
      </c>
      <c r="P117" s="5" t="n">
        <v>-391</v>
      </c>
      <c r="Q117" s="5" t="n">
        <v>-1267</v>
      </c>
      <c r="R117" s="5" t="n">
        <v>-477</v>
      </c>
      <c r="S117" s="5" t="n">
        <v>-1193</v>
      </c>
      <c r="T117" s="5" t="n">
        <v>-1616</v>
      </c>
      <c r="U117" s="5" t="n">
        <v>-1421</v>
      </c>
      <c r="AB117" s="5" t="n">
        <v>1407</v>
      </c>
      <c r="AC117" s="5" t="n">
        <v>1294</v>
      </c>
      <c r="AD117" s="5" t="n">
        <v>174</v>
      </c>
      <c r="AE117" s="5" t="n">
        <v>1158</v>
      </c>
      <c r="AF117" s="5" t="n">
        <v>1014</v>
      </c>
      <c r="AG117" s="5" t="n">
        <f aca="false">+1599+7498</f>
        <v>9097</v>
      </c>
      <c r="AH117" s="5" t="n">
        <f aca="false">-766+630</f>
        <v>-136</v>
      </c>
      <c r="AI117" s="5" t="n">
        <v>1533</v>
      </c>
      <c r="AJ117" s="5" t="n">
        <v>-20</v>
      </c>
      <c r="AK117" s="5" t="n">
        <v>591</v>
      </c>
      <c r="AL117" s="5" t="n">
        <v>1348</v>
      </c>
      <c r="AM117" s="5" t="n">
        <v>1402</v>
      </c>
      <c r="AN117" s="5" t="n">
        <v>825</v>
      </c>
      <c r="AO117" s="5" t="n">
        <v>553</v>
      </c>
      <c r="AP117" s="5" t="n">
        <v>749</v>
      </c>
      <c r="AQ117" s="5" t="n">
        <v>-975</v>
      </c>
      <c r="AR117" s="5" t="n">
        <v>-4707</v>
      </c>
    </row>
    <row r="118" customFormat="false" ht="12.8" hidden="false" customHeight="true" outlineLevel="0" collapsed="false">
      <c r="A118" s="1" t="s">
        <v>161</v>
      </c>
      <c r="B118" s="5" t="n">
        <f aca="false">+SUM(B103:B117)-B105</f>
        <v>0</v>
      </c>
      <c r="C118" s="5" t="n">
        <f aca="false">+SUM(C103:C117)-C105</f>
        <v>0</v>
      </c>
      <c r="D118" s="5" t="n">
        <f aca="false">+SUM(D103:D117)-D105</f>
        <v>25386</v>
      </c>
      <c r="E118" s="5" t="n">
        <f aca="false">+SUM(E103:E117)-E105</f>
        <v>24629</v>
      </c>
      <c r="F118" s="5" t="e">
        <f aca="false">+SUM(F103:F117)-F105</f>
        <v>#DIV/0!</v>
      </c>
      <c r="G118" s="5" t="e">
        <f aca="false">+SUM(G103:G117)-G105</f>
        <v>#DIV/0!</v>
      </c>
      <c r="H118" s="5" t="n">
        <f aca="false">+SUM(H103:H117)-H105</f>
        <v>24441</v>
      </c>
      <c r="I118" s="5" t="n">
        <f aca="false">+SUM(I103:I117)-I105</f>
        <v>28770</v>
      </c>
      <c r="J118" s="5" t="n">
        <f aca="false">+SUM(J103:J117)-J105</f>
        <v>30583</v>
      </c>
      <c r="K118" s="5" t="e">
        <f aca="false">+SUM(K103:K117)-K105</f>
        <v>#DIV/0!</v>
      </c>
      <c r="L118" s="5" t="n">
        <f aca="false">+SUM(L103:L117)-L105</f>
        <v>31917</v>
      </c>
      <c r="M118" s="5" t="n">
        <f aca="false">+SUM(M103:M117)-M105</f>
        <v>37195</v>
      </c>
      <c r="N118" s="5" t="n">
        <f aca="false">+SUM(N103:N117)-N105</f>
        <v>34180</v>
      </c>
      <c r="O118" s="5" t="n">
        <f aca="false">+SUM(O103:O117)-O105</f>
        <v>22291</v>
      </c>
      <c r="P118" s="5" t="n">
        <f aca="false">+SUM(P103:P117)-P105</f>
        <v>37044</v>
      </c>
      <c r="Q118" s="5" t="n">
        <f aca="false">+SUM(Q103:Q117)-Q105</f>
        <v>44647</v>
      </c>
      <c r="R118" s="5" t="n">
        <f aca="false">+SUM(R103:R117)-R105</f>
        <v>45057</v>
      </c>
      <c r="S118" s="5" t="n">
        <f aca="false">+SUM(S103:S117)-S105</f>
        <v>35758</v>
      </c>
      <c r="T118" s="5" t="n">
        <f aca="false">+SUM(T103:T117)-T105</f>
        <v>46679</v>
      </c>
      <c r="U118" s="5" t="n">
        <f aca="false">+SUM(U103:U117)-U105</f>
        <v>55441</v>
      </c>
      <c r="AB118" s="5" t="n">
        <f aca="false">+SUM(AB103:AB117)-AB105</f>
        <v>24118</v>
      </c>
      <c r="AC118" s="5" t="n">
        <f aca="false">+SUM(AC103:AC117)-AC105</f>
        <v>27011</v>
      </c>
      <c r="AD118" s="5" t="n">
        <f aca="false">+SUM(AD103:AD117)-AD105</f>
        <v>31626</v>
      </c>
      <c r="AE118" s="5" t="n">
        <f aca="false">+SUM(AE103:AE117)-AE105</f>
        <v>28833</v>
      </c>
      <c r="AF118" s="5" t="n">
        <f aca="false">+SUM(AF103:AF117)-AF105</f>
        <v>32231</v>
      </c>
      <c r="AG118" s="5" t="n">
        <f aca="false">+SUM(AG103:AG117)-AG105</f>
        <v>29668</v>
      </c>
      <c r="AH118" s="5" t="n">
        <f aca="false">+SUM(AH103:AH117)-AH105</f>
        <v>33325</v>
      </c>
      <c r="AI118" s="5" t="n">
        <f aca="false">+SUM(AI103:AI117)-AI105</f>
        <v>39507</v>
      </c>
      <c r="AJ118" s="5" t="n">
        <f aca="false">+SUM(AJ103:AJ117)-AJ105</f>
        <v>43984</v>
      </c>
      <c r="AK118" s="5" t="n">
        <f aca="false">+SUM(AK103:AK117)-AK105</f>
        <v>52185</v>
      </c>
      <c r="AL118" s="5" t="n">
        <f aca="false">+SUM(AL103:AL117)-AL105</f>
        <v>60675</v>
      </c>
      <c r="AM118" s="5" t="n">
        <f aca="false">+SUM(AM103:AM117)-AM105</f>
        <v>76740</v>
      </c>
      <c r="AN118" s="5" t="n">
        <f aca="false">+SUM(AN103:AN117)-AN105</f>
        <v>89035</v>
      </c>
      <c r="AO118" s="5" t="n">
        <f aca="false">+SUM(AO103:AO117)-AO105</f>
        <v>87582</v>
      </c>
      <c r="AP118" s="5" t="n">
        <f aca="false">+SUM(AP103:AP117)-AP105</f>
        <v>118548</v>
      </c>
      <c r="AQ118" s="5" t="n">
        <f aca="false">+SUM(AQ103:AQ117)-AQ105</f>
        <v>136162</v>
      </c>
      <c r="AR118" s="5" t="n">
        <f aca="false">+SUM(AR103:AR117)-AR105</f>
        <v>182935</v>
      </c>
      <c r="BD118" s="45"/>
      <c r="BE118" s="45"/>
    </row>
    <row r="119" customFormat="false" ht="12.8" hidden="false" customHeight="true" outlineLevel="0" collapsed="false"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</row>
    <row r="120" s="45" customFormat="true" ht="12.8" hidden="false" customHeight="true" outlineLevel="0" collapsed="false">
      <c r="A120" s="1" t="s">
        <v>162</v>
      </c>
      <c r="B120" s="5"/>
      <c r="C120" s="5"/>
      <c r="D120" s="5" t="n">
        <v>5340</v>
      </c>
      <c r="E120" s="5" t="n">
        <v>6871</v>
      </c>
      <c r="F120" s="5" t="n">
        <v>6283</v>
      </c>
      <c r="G120" s="5"/>
      <c r="H120" s="5" t="n">
        <v>6607</v>
      </c>
      <c r="I120" s="5" t="n">
        <v>8943</v>
      </c>
      <c r="J120" s="5" t="n">
        <v>9917</v>
      </c>
      <c r="K120" s="5" t="n">
        <v>9735</v>
      </c>
      <c r="L120" s="5" t="n">
        <v>10952</v>
      </c>
      <c r="M120" s="5" t="n">
        <v>13873</v>
      </c>
      <c r="N120" s="5" t="n">
        <v>14923</v>
      </c>
      <c r="O120" s="5" t="n">
        <v>15804</v>
      </c>
      <c r="P120" s="5" t="n">
        <v>16745</v>
      </c>
      <c r="Q120" s="5" t="n">
        <v>17079</v>
      </c>
      <c r="R120" s="5" t="n">
        <v>19394</v>
      </c>
      <c r="S120" s="5" t="n">
        <v>29876</v>
      </c>
      <c r="T120" s="5" t="n">
        <v>30876</v>
      </c>
      <c r="U120" s="5" t="n">
        <v>35802</v>
      </c>
      <c r="V120" s="5"/>
      <c r="W120" s="5"/>
      <c r="X120" s="5"/>
      <c r="Y120" s="5"/>
      <c r="Z120" s="5"/>
      <c r="AA120" s="5"/>
      <c r="AB120" s="5" t="n">
        <v>1977</v>
      </c>
      <c r="AC120" s="5" t="n">
        <v>2355</v>
      </c>
      <c r="AD120" s="5" t="n">
        <v>2305</v>
      </c>
      <c r="AE120" s="5" t="n">
        <v>4257</v>
      </c>
      <c r="AF120" s="5" t="n">
        <v>5485</v>
      </c>
      <c r="AG120" s="5" t="n">
        <v>5944</v>
      </c>
      <c r="AH120" s="5" t="n">
        <v>8343</v>
      </c>
      <c r="AI120" s="5" t="n">
        <v>8129</v>
      </c>
      <c r="AJ120" s="5" t="n">
        <v>11632</v>
      </c>
      <c r="AK120" s="5" t="n">
        <v>13925</v>
      </c>
      <c r="AL120" s="5" t="n">
        <v>15441</v>
      </c>
      <c r="AM120" s="5" t="n">
        <v>20622</v>
      </c>
      <c r="AN120" s="5" t="n">
        <v>22038</v>
      </c>
      <c r="AO120" s="5" t="n">
        <v>28107</v>
      </c>
      <c r="AP120" s="5" t="n">
        <v>44477</v>
      </c>
      <c r="AQ120" s="5" t="n">
        <v>64551</v>
      </c>
      <c r="AR120" s="5" t="n">
        <v>115948</v>
      </c>
      <c r="AS120" s="46" t="n">
        <f aca="false">+AR120*1.1</f>
        <v>127542.8</v>
      </c>
      <c r="AT120" s="46" t="n">
        <f aca="false">+AS120*1.1</f>
        <v>140297.08</v>
      </c>
      <c r="AU120" s="46" t="n">
        <f aca="false">+AU13*0.2</f>
        <v>103585.534884</v>
      </c>
      <c r="AV120" s="46" t="n">
        <f aca="false">+AV13*0.2</f>
        <v>118087.50976776</v>
      </c>
      <c r="AW120" s="46" t="n">
        <f aca="false">+AW13*0.2</f>
        <v>133438.886037569</v>
      </c>
      <c r="AX120" s="46" t="n">
        <f aca="false">+AX13*0.2</f>
        <v>149451.552362077</v>
      </c>
      <c r="AY120" s="46" t="n">
        <f aca="false">+AY13*0.1</f>
        <v>82945.6115609528</v>
      </c>
      <c r="AZ120" s="46" t="n">
        <f aca="false">+AZ13*0.1</f>
        <v>92069.6288326576</v>
      </c>
      <c r="BA120" s="46" t="n">
        <f aca="false">+BA13*0.1</f>
        <v>102197.28800425</v>
      </c>
      <c r="BB120" s="46" t="n">
        <f aca="false">+BB13*0.1</f>
        <v>113438.989684717</v>
      </c>
      <c r="BC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</row>
    <row r="121" s="47" customFormat="true" ht="10.5" hidden="false" customHeight="true" outlineLevel="0" collapsed="false">
      <c r="A121" s="18"/>
      <c r="B121" s="18"/>
      <c r="C121" s="18"/>
      <c r="D121" s="18"/>
      <c r="E121" s="18"/>
      <c r="F121" s="18" t="e">
        <f aca="false">+F120/B120-1</f>
        <v>#DIV/0!</v>
      </c>
      <c r="G121" s="18" t="e">
        <f aca="false">+G120/C120-1</f>
        <v>#DIV/0!</v>
      </c>
      <c r="H121" s="18" t="n">
        <f aca="false">+H120/D120-1</f>
        <v>0.237265917602996</v>
      </c>
      <c r="I121" s="18" t="n">
        <f aca="false">+I120/E120-1</f>
        <v>0.30155726968418</v>
      </c>
      <c r="J121" s="18" t="n">
        <f aca="false">+J120/F120-1</f>
        <v>0.578386121279644</v>
      </c>
      <c r="K121" s="18" t="e">
        <f aca="false">+K120/G120-1</f>
        <v>#DIV/0!</v>
      </c>
      <c r="L121" s="18" t="n">
        <f aca="false">+L120/H120-1</f>
        <v>0.657635840774936</v>
      </c>
      <c r="M121" s="18" t="n">
        <f aca="false">+M120/I120-1</f>
        <v>0.551269149055127</v>
      </c>
      <c r="N121" s="18" t="n">
        <f aca="false">+N120/J120-1</f>
        <v>0.50478975496622</v>
      </c>
      <c r="O121" s="18" t="n">
        <f aca="false">+O120/K120-1</f>
        <v>0.623420647149461</v>
      </c>
      <c r="P121" s="18" t="n">
        <f aca="false">+P120/L120-1</f>
        <v>0.528944485025566</v>
      </c>
      <c r="Q121" s="18" t="n">
        <f aca="false">+Q120/M120-1</f>
        <v>0.231096374252144</v>
      </c>
      <c r="R121" s="18" t="n">
        <f aca="false">+R120/N120-1</f>
        <v>0.299604637137305</v>
      </c>
      <c r="S121" s="18" t="n">
        <f aca="false">+S120/O120-1</f>
        <v>0.890407491774234</v>
      </c>
      <c r="T121" s="18" t="n">
        <f aca="false">+T120/P120-1</f>
        <v>0.843893699611825</v>
      </c>
      <c r="U121" s="18" t="n">
        <f aca="false">+U120/Q120-1</f>
        <v>1.09625856314773</v>
      </c>
      <c r="V121" s="18"/>
      <c r="W121" s="18"/>
      <c r="X121" s="18"/>
      <c r="Y121" s="18"/>
      <c r="Z121" s="18"/>
      <c r="AA121" s="18"/>
      <c r="AB121" s="18" t="n">
        <f aca="false">+AB120/AB$13</f>
        <v>0.0316400998655656</v>
      </c>
      <c r="AC121" s="18" t="n">
        <f aca="false">+AC120/AC$13</f>
        <v>0.0336702743662697</v>
      </c>
      <c r="AD121" s="18" t="n">
        <f aca="false">+AD120/AD$13</f>
        <v>0.0312656837079338</v>
      </c>
      <c r="AE121" s="18" t="n">
        <f aca="false">+AE120/AE$13</f>
        <v>0.0546827833369729</v>
      </c>
      <c r="AF121" s="18" t="n">
        <f aca="false">+AF120/AF$13</f>
        <v>0.0631672290488639</v>
      </c>
      <c r="AG121" s="18" t="n">
        <f aca="false">+AG120/AG$13</f>
        <v>0.0635178456935243</v>
      </c>
      <c r="AH121" s="18" t="n">
        <f aca="false">+AH120/AH$13</f>
        <v>0.0977848101265823</v>
      </c>
      <c r="AI121" s="18" t="n">
        <f aca="false">+AI120/AI$13</f>
        <v>0.0903724291272929</v>
      </c>
      <c r="AJ121" s="18" t="n">
        <f aca="false">+AJ120/AJ$13</f>
        <v>0.105400507430228</v>
      </c>
      <c r="AK121" s="18" t="n">
        <f aca="false">+AK120/AK$13</f>
        <v>0.110653751102564</v>
      </c>
      <c r="AL121" s="18" t="n">
        <f aca="false">+AL120/AL$13</f>
        <v>0.107967695696256</v>
      </c>
      <c r="AM121" s="18" t="n">
        <f aca="false">+AM120/AM$13</f>
        <v>0.122685736043025</v>
      </c>
      <c r="AN121" s="18" t="n">
        <f aca="false">+AN120/AN$13</f>
        <v>0.111151460130126</v>
      </c>
      <c r="AO121" s="18" t="n">
        <f aca="false">+AO120/AO$13</f>
        <v>0.132633367151924</v>
      </c>
      <c r="AP121" s="18" t="n">
        <f aca="false">+AP120/AP$13</f>
        <v>0.181448421602304</v>
      </c>
      <c r="AQ121" s="18" t="n">
        <f aca="false">+AQ120/AQ$13</f>
        <v>0.229128508753248</v>
      </c>
      <c r="AR121" s="18" t="n">
        <f aca="false">+AR120/AR$13</f>
        <v>0.349410406853926</v>
      </c>
      <c r="AS121" s="18" t="n">
        <f aca="false">+AS120/AS$13</f>
        <v>0.328505510717366</v>
      </c>
      <c r="AT121" s="18" t="n">
        <f aca="false">+AT120/AT$13</f>
        <v>0.311513846369916</v>
      </c>
      <c r="AU121" s="18" t="n">
        <f aca="false">+AU120/AU$13</f>
        <v>0.2</v>
      </c>
      <c r="AV121" s="18" t="n">
        <f aca="false">+AV120/AV$13</f>
        <v>0.2</v>
      </c>
      <c r="AW121" s="18" t="n">
        <f aca="false">+AW120/AW$13</f>
        <v>0.2</v>
      </c>
      <c r="AX121" s="18" t="n">
        <f aca="false">+AX120/AX$13</f>
        <v>0.2</v>
      </c>
      <c r="AY121" s="18" t="n">
        <f aca="false">+AY120/AY$13</f>
        <v>0.1</v>
      </c>
      <c r="AZ121" s="18" t="n">
        <f aca="false">+AZ120/AZ$13</f>
        <v>0.1</v>
      </c>
      <c r="BA121" s="18" t="n">
        <f aca="false">+BA120/BA$13</f>
        <v>0.1</v>
      </c>
      <c r="BB121" s="18" t="n">
        <f aca="false">+BB120/BB$13</f>
        <v>0.1</v>
      </c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</row>
    <row r="122" s="45" customFormat="true" ht="12.8" hidden="false" customHeight="true" outlineLevel="0" collapsed="false">
      <c r="A122" s="19" t="s">
        <v>163</v>
      </c>
      <c r="B122" s="20" t="n">
        <f aca="false">+B118-B120</f>
        <v>0</v>
      </c>
      <c r="C122" s="20" t="n">
        <f aca="false">+C118-C120</f>
        <v>0</v>
      </c>
      <c r="D122" s="20" t="n">
        <f aca="false">+D118-D120</f>
        <v>20046</v>
      </c>
      <c r="E122" s="20" t="n">
        <f aca="false">+E118-E120</f>
        <v>17758</v>
      </c>
      <c r="F122" s="20" t="e">
        <f aca="false">+F118-F120</f>
        <v>#DIV/0!</v>
      </c>
      <c r="G122" s="20" t="e">
        <f aca="false">+G118-G120</f>
        <v>#DIV/0!</v>
      </c>
      <c r="H122" s="20" t="n">
        <f aca="false">+H118-H120</f>
        <v>17834</v>
      </c>
      <c r="I122" s="20" t="n">
        <f aca="false">+I118-I120</f>
        <v>19827</v>
      </c>
      <c r="J122" s="20" t="n">
        <f aca="false">+J118-J120</f>
        <v>20666</v>
      </c>
      <c r="K122" s="20" t="e">
        <f aca="false">+K118-K120</f>
        <v>#DIV/0!</v>
      </c>
      <c r="L122" s="20" t="n">
        <f aca="false">+L118-L120</f>
        <v>20965</v>
      </c>
      <c r="M122" s="20" t="n">
        <f aca="false">+M118-M120</f>
        <v>23322</v>
      </c>
      <c r="N122" s="20" t="n">
        <f aca="false">+N118-N120</f>
        <v>19257</v>
      </c>
      <c r="O122" s="20" t="n">
        <f aca="false">+O118-O120</f>
        <v>6487</v>
      </c>
      <c r="P122" s="20" t="n">
        <f aca="false">+P118-P120</f>
        <v>20299</v>
      </c>
      <c r="Q122" s="20" t="n">
        <f aca="false">+Q118-Q120</f>
        <v>27568</v>
      </c>
      <c r="R122" s="20" t="n">
        <f aca="false">+R118-R120</f>
        <v>25663</v>
      </c>
      <c r="S122" s="20" t="n">
        <f aca="false">+S118-S120</f>
        <v>5882</v>
      </c>
      <c r="T122" s="20" t="n">
        <f aca="false">+T118-T120</f>
        <v>15803</v>
      </c>
      <c r="U122" s="20" t="n">
        <f aca="false">+U118-U120</f>
        <v>19639</v>
      </c>
      <c r="V122" s="20"/>
      <c r="W122" s="20"/>
      <c r="X122" s="20"/>
      <c r="Y122" s="20"/>
      <c r="Z122" s="20"/>
      <c r="AA122" s="20"/>
      <c r="AB122" s="20" t="n">
        <f aca="false">+AB118-AB120</f>
        <v>22141</v>
      </c>
      <c r="AC122" s="20" t="n">
        <f aca="false">+AC118-AC120</f>
        <v>24656</v>
      </c>
      <c r="AD122" s="20" t="n">
        <f aca="false">+AD118-AD120</f>
        <v>29321</v>
      </c>
      <c r="AE122" s="20" t="n">
        <f aca="false">+AE118-AE120</f>
        <v>24576</v>
      </c>
      <c r="AF122" s="20" t="n">
        <f aca="false">+AF118-AF120</f>
        <v>26746</v>
      </c>
      <c r="AG122" s="20" t="n">
        <f aca="false">+AG118-AG120</f>
        <v>23724</v>
      </c>
      <c r="AH122" s="20" t="n">
        <f aca="false">+AH118-AH120</f>
        <v>24982</v>
      </c>
      <c r="AI122" s="20" t="n">
        <f aca="false">+AI118-AI120</f>
        <v>31378</v>
      </c>
      <c r="AJ122" s="20" t="n">
        <f aca="false">+AJ118-AJ120</f>
        <v>32352</v>
      </c>
      <c r="AK122" s="20" t="n">
        <f aca="false">+AK118-AK120</f>
        <v>38260</v>
      </c>
      <c r="AL122" s="20" t="n">
        <f aca="false">+AL118-AL120</f>
        <v>45234</v>
      </c>
      <c r="AM122" s="20" t="n">
        <f aca="false">+AM118-AM120</f>
        <v>56118</v>
      </c>
      <c r="AN122" s="20" t="n">
        <f aca="false">+AN118-AN120</f>
        <v>66997</v>
      </c>
      <c r="AO122" s="20" t="n">
        <f aca="false">+AO118-AO120</f>
        <v>59475</v>
      </c>
      <c r="AP122" s="20" t="n">
        <f aca="false">+AP118-AP120</f>
        <v>74071</v>
      </c>
      <c r="AQ122" s="20" t="n">
        <f aca="false">+AQ118-AQ120</f>
        <v>71611</v>
      </c>
      <c r="AR122" s="20" t="n">
        <f aca="false">+AR118-AR120</f>
        <v>66987</v>
      </c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</row>
    <row r="123" s="18" customFormat="true" ht="10.5" hidden="false" customHeight="true" outlineLevel="0" collapsed="false">
      <c r="F123" s="18" t="e">
        <f aca="false">+F122/B122-1</f>
        <v>#DIV/0!</v>
      </c>
      <c r="G123" s="18" t="e">
        <f aca="false">+G122/C122-1</f>
        <v>#DIV/0!</v>
      </c>
      <c r="H123" s="18" t="n">
        <f aca="false">+H122/D122-1</f>
        <v>-0.110346203731418</v>
      </c>
      <c r="I123" s="18" t="n">
        <f aca="false">+I122/E122-1</f>
        <v>0.116510868341029</v>
      </c>
      <c r="J123" s="18" t="e">
        <f aca="false">+J122/F122-1</f>
        <v>#DIV/0!</v>
      </c>
      <c r="K123" s="18" t="e">
        <f aca="false">+K122/G122-1</f>
        <v>#DIV/0!</v>
      </c>
      <c r="L123" s="18" t="n">
        <f aca="false">+L122/H122-1</f>
        <v>0.175563530335314</v>
      </c>
      <c r="M123" s="18" t="n">
        <f aca="false">+M122/I122-1</f>
        <v>0.176274776819489</v>
      </c>
      <c r="N123" s="18" t="n">
        <f aca="false">+N122/J122-1</f>
        <v>-0.0681796186973773</v>
      </c>
      <c r="O123" s="18" t="e">
        <f aca="false">+O122/K122-1</f>
        <v>#DIV/0!</v>
      </c>
      <c r="P123" s="18" t="n">
        <f aca="false">+P122/L122-1</f>
        <v>-0.0317672310994515</v>
      </c>
      <c r="Q123" s="18" t="n">
        <f aca="false">+Q122/M122-1</f>
        <v>0.182059857645142</v>
      </c>
      <c r="R123" s="18" t="n">
        <f aca="false">+R122/N122-1</f>
        <v>0.332658254141351</v>
      </c>
      <c r="S123" s="18" t="n">
        <f aca="false">+S122/O122-1</f>
        <v>-0.0932634499768769</v>
      </c>
      <c r="T123" s="18" t="n">
        <f aca="false">+T122/P122-1</f>
        <v>-0.221488743287847</v>
      </c>
      <c r="U123" s="18" t="n">
        <f aca="false">+U122/Q122-1</f>
        <v>-0.287616076610563</v>
      </c>
      <c r="AC123" s="18" t="n">
        <f aca="false">+AC122/AB122-1</f>
        <v>0.113590172078949</v>
      </c>
      <c r="AD123" s="18" t="n">
        <f aca="false">+AD122/AC122-1</f>
        <v>0.189203439325114</v>
      </c>
      <c r="AE123" s="18" t="n">
        <f aca="false">+AE122/AD122-1</f>
        <v>-0.161829405545514</v>
      </c>
      <c r="AF123" s="18" t="n">
        <f aca="false">+AF122/AE122-1</f>
        <v>0.0882975260416667</v>
      </c>
      <c r="AG123" s="18" t="n">
        <f aca="false">+AG122/AF122-1</f>
        <v>-0.112988858147013</v>
      </c>
      <c r="AH123" s="18" t="n">
        <f aca="false">+AH122/AG122-1</f>
        <v>0.0530264710841342</v>
      </c>
      <c r="AI123" s="18" t="n">
        <f aca="false">+AI122/AH122-1</f>
        <v>0.256024337523017</v>
      </c>
      <c r="AJ123" s="18" t="n">
        <f aca="false">+AJ122/AI122-1</f>
        <v>0.0310408566511569</v>
      </c>
      <c r="AK123" s="18" t="n">
        <f aca="false">+AK122/AJ122-1</f>
        <v>0.182616221562809</v>
      </c>
      <c r="AL123" s="18" t="n">
        <f aca="false">+AL122/AK122-1</f>
        <v>0.182279142707789</v>
      </c>
      <c r="AM123" s="18" t="n">
        <f aca="false">+AM122/AL122-1</f>
        <v>0.240615466242207</v>
      </c>
      <c r="AN123" s="18" t="n">
        <f aca="false">+AN122/AM122-1</f>
        <v>0.19385936776079</v>
      </c>
      <c r="AO123" s="18" t="n">
        <f aca="false">+AO122/AN122-1</f>
        <v>-0.112273683896294</v>
      </c>
      <c r="AP123" s="18" t="n">
        <f aca="false">+AP122/AO122-1</f>
        <v>0.2454140395124</v>
      </c>
      <c r="AQ123" s="18" t="n">
        <f aca="false">+AQ122/AP122-1</f>
        <v>-0.0332113782721983</v>
      </c>
      <c r="AR123" s="18" t="n">
        <f aca="false">+AR122/AQ122-1</f>
        <v>-0.0645710854477664</v>
      </c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</row>
    <row r="125" customFormat="false" ht="12.8" hidden="false" customHeight="true" outlineLevel="0" collapsed="false">
      <c r="A125" s="1" t="s">
        <v>164</v>
      </c>
      <c r="AB125" s="5" t="n">
        <v>89000</v>
      </c>
      <c r="AC125" s="5" t="n">
        <v>90000</v>
      </c>
      <c r="AD125" s="5" t="n">
        <v>94000</v>
      </c>
      <c r="AE125" s="5" t="n">
        <v>99000</v>
      </c>
      <c r="AF125" s="5" t="n">
        <v>128000</v>
      </c>
      <c r="AG125" s="5" t="n">
        <v>118000</v>
      </c>
      <c r="AH125" s="5" t="n">
        <v>114000</v>
      </c>
      <c r="AI125" s="5" t="n">
        <v>124000</v>
      </c>
      <c r="AJ125" s="5" t="n">
        <v>131000</v>
      </c>
      <c r="AK125" s="5" t="n">
        <v>144000</v>
      </c>
      <c r="AL125" s="5" t="n">
        <v>163000</v>
      </c>
      <c r="AM125" s="5" t="n">
        <v>181000</v>
      </c>
      <c r="AN125" s="5" t="n">
        <v>221000</v>
      </c>
      <c r="AO125" s="5" t="n">
        <v>221000</v>
      </c>
      <c r="AP125" s="5" t="n">
        <v>228000</v>
      </c>
      <c r="AQ125" s="5" t="n">
        <v>228000</v>
      </c>
      <c r="AR125" s="5" t="n">
        <v>223000</v>
      </c>
    </row>
    <row r="126" customFormat="false" ht="12.8" hidden="false" customHeight="true" outlineLevel="0" collapsed="false">
      <c r="A126" s="1" t="s">
        <v>165</v>
      </c>
      <c r="AB126" s="5" t="n">
        <f aca="false">+(AB13*1000000)/AB125</f>
        <v>702067.415730337</v>
      </c>
      <c r="AC126" s="5" t="n">
        <f aca="false">+(AC13*1000000)/AC125</f>
        <v>777144.444444445</v>
      </c>
      <c r="AD126" s="5" t="n">
        <f aca="false">+(AD13*1000000)/AD125</f>
        <v>784287.234042553</v>
      </c>
      <c r="AE126" s="5" t="n">
        <f aca="false">+(AE13*1000000)/AE125</f>
        <v>786353.535353535</v>
      </c>
      <c r="AF126" s="5" t="n">
        <f aca="false">+(AF13*1000000)/AF125</f>
        <v>678382.8125</v>
      </c>
      <c r="AG126" s="5" t="n">
        <f aca="false">+(AG13*1000000)/AG125</f>
        <v>793050.847457627</v>
      </c>
      <c r="AH126" s="5" t="n">
        <f aca="false">+(AH13*1000000)/AH125</f>
        <v>748421.052631579</v>
      </c>
      <c r="AI126" s="5" t="n">
        <f aca="false">+(AI13*1000000)/AI125</f>
        <v>725403.225806452</v>
      </c>
      <c r="AJ126" s="5" t="n">
        <f aca="false">+(AJ13*1000000)/AJ125</f>
        <v>842442.748091603</v>
      </c>
      <c r="AK126" s="5" t="n">
        <f aca="false">+(AK13*1000000)/AK125</f>
        <v>873909.722222222</v>
      </c>
      <c r="AL126" s="5" t="n">
        <f aca="false">+(AL13*1000000)/AL125</f>
        <v>877392.63803681</v>
      </c>
      <c r="AM126" s="5" t="n">
        <f aca="false">+(AM13*1000000)/AM125</f>
        <v>928662.983425414</v>
      </c>
      <c r="AN126" s="5" t="n">
        <f aca="false">+(AN13*1000000)/AN125</f>
        <v>897149.321266968</v>
      </c>
      <c r="AO126" s="5" t="n">
        <f aca="false">+(AO13*1000000)/AO125</f>
        <v>958891.402714932</v>
      </c>
      <c r="AP126" s="5" t="n">
        <f aca="false">+(AP13*1000000)/AP125</f>
        <v>1075096.49122807</v>
      </c>
      <c r="AQ126" s="5" t="n">
        <f aca="false">+(AQ13*1000000)/AQ125</f>
        <v>1235631.57894737</v>
      </c>
      <c r="AR126" s="5" t="n">
        <f aca="false">+(AR13*1000000)/AR125</f>
        <v>1488067.26457399</v>
      </c>
    </row>
    <row r="127" customFormat="false" ht="12.8" hidden="false" customHeight="true" outlineLevel="0" collapsed="false">
      <c r="BC127" s="20"/>
      <c r="BD127" s="20"/>
      <c r="BE127" s="20"/>
    </row>
    <row r="128" s="27" customFormat="true" ht="12.8" hidden="false" customHeight="true" outlineLevel="0" collapsed="false">
      <c r="A128" s="1" t="s">
        <v>166</v>
      </c>
      <c r="B128" s="5" t="n">
        <f aca="false">+B102-B118</f>
        <v>0</v>
      </c>
      <c r="C128" s="5" t="n">
        <f aca="false">+C102-C118</f>
        <v>0</v>
      </c>
      <c r="D128" s="5" t="n">
        <f aca="false">+D102-D118</f>
        <v>-8658</v>
      </c>
      <c r="E128" s="5" t="n">
        <f aca="false">+E102-E118</f>
        <v>-7889</v>
      </c>
      <c r="F128" s="5" t="e">
        <f aca="false">+F102-F118</f>
        <v>#DIV/0!</v>
      </c>
      <c r="G128" s="5" t="e">
        <f aca="false">+G102-G118</f>
        <v>#DIV/0!</v>
      </c>
      <c r="H128" s="5" t="n">
        <f aca="false">+H102-H118</f>
        <v>-6142</v>
      </c>
      <c r="I128" s="5" t="n">
        <f aca="false">+I102-I118</f>
        <v>-8689</v>
      </c>
      <c r="J128" s="5" t="n">
        <f aca="false">+J102-J118</f>
        <v>-8292</v>
      </c>
      <c r="K128" s="5" t="e">
        <f aca="false">+K102-K118</f>
        <v>#DIV/0!</v>
      </c>
      <c r="L128" s="5" t="n">
        <f aca="false">+L102-L118</f>
        <v>-9978</v>
      </c>
      <c r="M128" s="5" t="n">
        <f aca="false">+M102-M118</f>
        <v>-15159</v>
      </c>
      <c r="N128" s="5" t="n">
        <f aca="false">+N102-N118</f>
        <v>-9513</v>
      </c>
      <c r="O128" s="5" t="n">
        <f aca="false">+O102-O118</f>
        <v>1817</v>
      </c>
      <c r="P128" s="5" t="n">
        <f aca="false">+P102-P118</f>
        <v>-11220</v>
      </c>
      <c r="Q128" s="5" t="n">
        <f aca="false">+Q102-Q118</f>
        <v>-17414</v>
      </c>
      <c r="R128" s="5" t="n">
        <f aca="false">+R102-R118</f>
        <v>-17310</v>
      </c>
      <c r="S128" s="5" t="n">
        <f aca="false">+S102-S118</f>
        <v>2700</v>
      </c>
      <c r="T128" s="5" t="n">
        <f aca="false">+T102-T118</f>
        <v>-14901</v>
      </c>
      <c r="U128" s="5" t="n">
        <f aca="false">+U102-U118</f>
        <v>-19675</v>
      </c>
      <c r="V128" s="5"/>
      <c r="W128" s="5"/>
      <c r="X128" s="5"/>
      <c r="Y128" s="5"/>
      <c r="Z128" s="5"/>
      <c r="AA128" s="5"/>
      <c r="AB128" s="5" t="n">
        <f aca="false">+AB102-AB118</f>
        <v>-5358</v>
      </c>
      <c r="AC128" s="5" t="n">
        <f aca="false">+AC102-AC118</f>
        <v>-3861</v>
      </c>
      <c r="AD128" s="5" t="n">
        <f aca="false">+AD102-AD118</f>
        <v>-14648</v>
      </c>
      <c r="AE128" s="5" t="n">
        <f aca="false">+AE102-AE118</f>
        <v>-6970</v>
      </c>
      <c r="AF128" s="5" t="n">
        <f aca="false">+AF102-AF118</f>
        <v>-10157</v>
      </c>
      <c r="AG128" s="5" t="n">
        <f aca="false">+AG102-AG118</f>
        <v>-17475</v>
      </c>
      <c r="AH128" s="5" t="n">
        <f aca="false">+AH102-AH118</f>
        <v>-16527</v>
      </c>
      <c r="AI128" s="5" t="n">
        <f aca="false">+AI102-AI118</f>
        <v>-18303</v>
      </c>
      <c r="AJ128" s="5" t="n">
        <f aca="false">+AJ102-AJ118</f>
        <v>-27413</v>
      </c>
      <c r="AK128" s="5" t="n">
        <f aca="false">+AK102-AK118</f>
        <v>-12945</v>
      </c>
      <c r="AL128" s="5" t="n">
        <f aca="false">+AL102-AL118</f>
        <v>-16394</v>
      </c>
      <c r="AM128" s="5" t="n">
        <f aca="false">+AM102-AM118</f>
        <v>-15469</v>
      </c>
      <c r="AN128" s="5" t="n">
        <f aca="false">+AN102-AN118</f>
        <v>-16297</v>
      </c>
      <c r="AO128" s="5" t="n">
        <f aca="false">+AO102-AO118</f>
        <v>-15221</v>
      </c>
      <c r="AP128" s="5" t="n">
        <f aca="false">+AP102-AP118</f>
        <v>-30412</v>
      </c>
      <c r="AQ128" s="5" t="n">
        <f aca="false">+AQ102-AQ118</f>
        <v>-34330</v>
      </c>
      <c r="AR128" s="5" t="n">
        <f aca="false">+AR102-AR118</f>
        <v>-49186</v>
      </c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</row>
    <row r="129" customFormat="false" ht="12.8" hidden="false" customHeight="true" outlineLevel="0" collapsed="false">
      <c r="A129" s="27" t="s">
        <v>167</v>
      </c>
      <c r="B129" s="27"/>
      <c r="C129" s="27" t="e">
        <f aca="false">+C128/((C78+B78)/2)</f>
        <v>#DIV/0!</v>
      </c>
      <c r="D129" s="27" t="e">
        <f aca="false">+D128/((D78+C78)/2)</f>
        <v>#DIV/0!</v>
      </c>
      <c r="E129" s="27" t="n">
        <f aca="false">+E128/((E78+D78)/2)</f>
        <v>-0.0432463545663853</v>
      </c>
      <c r="F129" s="27" t="e">
        <f aca="false">+F128/((F78+E78)/2)</f>
        <v>#DIV/0!</v>
      </c>
      <c r="G129" s="27" t="e">
        <f aca="false">+G128/((G78+F78)/2)</f>
        <v>#DIV/0!</v>
      </c>
      <c r="H129" s="27" t="n">
        <f aca="false">+H128/((H78+G78)/2)</f>
        <v>-0.0323188314285113</v>
      </c>
      <c r="I129" s="27" t="n">
        <f aca="false">+I128/((I78+H78)/2)</f>
        <v>-0.021940146250808</v>
      </c>
      <c r="J129" s="27" t="n">
        <f aca="false">+J128/((J78+I78)/2)</f>
        <v>-0.019334056922616</v>
      </c>
      <c r="K129" s="27" t="e">
        <f aca="false">+K128/((K78+J78)/2)</f>
        <v>#DIV/0!</v>
      </c>
      <c r="L129" s="27" t="e">
        <f aca="false">+L128/((L78+K78)/2)</f>
        <v>#DIV/0!</v>
      </c>
      <c r="M129" s="27" t="n">
        <f aca="false">+M128/((M78+L78)/2)</f>
        <v>-0.0591959981490268</v>
      </c>
      <c r="N129" s="27" t="n">
        <f aca="false">+N128/((N78+M78)/2)</f>
        <v>-0.0183794832955942</v>
      </c>
      <c r="O129" s="27" t="n">
        <f aca="false">+O128/((O78+N78)/2)</f>
        <v>0.00343832167514578</v>
      </c>
      <c r="P129" s="27" t="n">
        <f aca="false">+P128/((P78+O78)/2)</f>
        <v>-0.0204647056784998</v>
      </c>
      <c r="Q129" s="27" t="n">
        <f aca="false">+Q128/((Q78+P78)/2)</f>
        <v>-0.0294746142395189</v>
      </c>
      <c r="R129" s="27" t="n">
        <f aca="false">+R128/((R78+Q78)/2)</f>
        <v>-0.0275778784311039</v>
      </c>
      <c r="S129" s="27" t="n">
        <f aca="false">+S128/((S78+R78)/2)</f>
        <v>0.00414857108614969</v>
      </c>
      <c r="T129" s="27" t="n">
        <f aca="false">+T128/((T78+S78)/2)</f>
        <v>-0.0219208108684619</v>
      </c>
      <c r="U129" s="27" t="n">
        <f aca="false">+U128/((U78+T78)/2)</f>
        <v>-0.0270892824197097</v>
      </c>
      <c r="V129" s="27"/>
      <c r="W129" s="27"/>
      <c r="X129" s="27"/>
      <c r="Y129" s="27"/>
      <c r="Z129" s="27"/>
      <c r="AA129" s="27"/>
      <c r="AB129" s="27"/>
      <c r="AC129" s="27" t="n">
        <f aca="false">+AC128/((AC78+AB78)/2)</f>
        <v>-0.0396371979858021</v>
      </c>
      <c r="AD129" s="27" t="n">
        <f aca="false">+AD128/((AD78+AC78)/2)</f>
        <v>-0.12738775953908</v>
      </c>
      <c r="AE129" s="27" t="n">
        <f aca="false">+AE128/((AE78+AD78)/2)</f>
        <v>-0.0528627010792485</v>
      </c>
      <c r="AF129" s="27" t="n">
        <f aca="false">+AF128/((AF78+AE78)/2)</f>
        <v>-0.0645267855724791</v>
      </c>
      <c r="AG129" s="27" t="n">
        <f aca="false">+AG128/((AG78+AF78)/2)</f>
        <v>-0.10076227598773</v>
      </c>
      <c r="AH129" s="27" t="n">
        <f aca="false">+AH128/((AH78+AG78)/2)</f>
        <v>-0.0898352992335707</v>
      </c>
      <c r="AI129" s="27" t="n">
        <f aca="false">+AI128/((AI78+AH78)/2)</f>
        <v>-0.0824868177925999</v>
      </c>
      <c r="AJ129" s="27" t="n">
        <f aca="false">+AJ128/((AJ78+AI78)/2)</f>
        <v>-0.107679314950114</v>
      </c>
      <c r="AK129" s="27" t="n">
        <f aca="false">+AK128/((AK78+AJ78)/2)</f>
        <v>-0.0474693988309583</v>
      </c>
      <c r="AL129" s="27" t="n">
        <f aca="false">+AL128/((AL78+AK78)/2)</f>
        <v>-0.0557745204272395</v>
      </c>
      <c r="AM129" s="27" t="n">
        <f aca="false">+AM128/((AM78+AL78)/2)</f>
        <v>-0.0487143554456849</v>
      </c>
      <c r="AN129" s="27" t="n">
        <f aca="false">+AN128/((AN78+AM78)/2)</f>
        <v>-0.0466549005967487</v>
      </c>
      <c r="AO129" s="27" t="n">
        <f aca="false">+AO128/((AO78+AN78)/2)</f>
        <v>-0.0391881732611069</v>
      </c>
      <c r="AP129" s="27" t="n">
        <f aca="false">+AP128/((AP78+AO78)/2)</f>
        <v>-0.0658169387938395</v>
      </c>
      <c r="AQ129" s="27" t="n">
        <f aca="false">+AQ128/((AQ78+AP78)/2)</f>
        <v>-0.0606984297618564</v>
      </c>
      <c r="AR129" s="27" t="n">
        <f aca="false">+AR128/((AR78+AQ78)/2)</f>
        <v>-0.0714197036545497</v>
      </c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</row>
    <row r="131" s="47" customFormat="true" ht="12.8" hidden="false" customHeight="true" outlineLevel="0" collapsed="false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</row>
    <row r="132" s="47" customFormat="true" ht="12.8" hidden="false" customHeight="true" outlineLevel="0" collapsed="false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</row>
    <row r="133" customFormat="false" ht="12.8" hidden="false" customHeight="true" outlineLevel="0" collapsed="false"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</row>
    <row r="134" s="45" customFormat="true" ht="12.8" hidden="false" customHeight="true" outlineLevel="0" collapsed="false">
      <c r="A134" s="1" t="s">
        <v>168</v>
      </c>
      <c r="B134" s="5" t="n">
        <v>18388</v>
      </c>
      <c r="C134" s="5" t="n">
        <v>19594</v>
      </c>
      <c r="D134" s="5" t="n">
        <v>20025</v>
      </c>
      <c r="E134" s="5"/>
      <c r="F134" s="5" t="n">
        <v>18388</v>
      </c>
      <c r="G134" s="5" t="n">
        <v>19594</v>
      </c>
      <c r="H134" s="5" t="n">
        <v>20025</v>
      </c>
      <c r="I134" s="5"/>
      <c r="J134" s="5" t="n">
        <v>22308</v>
      </c>
      <c r="K134" s="5" t="n">
        <v>23953</v>
      </c>
      <c r="L134" s="5" t="n">
        <v>24832</v>
      </c>
      <c r="M134" s="5"/>
      <c r="N134" s="5" t="n">
        <v>22155</v>
      </c>
      <c r="O134" s="5" t="n">
        <v>23641</v>
      </c>
      <c r="P134" s="5" t="n">
        <v>24761</v>
      </c>
      <c r="Q134" s="5" t="n">
        <f aca="false">+AQ134-P134-O134-N134</f>
        <v>27878</v>
      </c>
      <c r="R134" s="5" t="n">
        <v>28872</v>
      </c>
      <c r="S134" s="5" t="n">
        <v>30865</v>
      </c>
      <c r="T134" s="5" t="n">
        <v>32592</v>
      </c>
      <c r="U134" s="5" t="n">
        <f aca="false">+AR134-T134-S134-R134</f>
        <v>37096</v>
      </c>
      <c r="V134" s="5"/>
      <c r="W134" s="5"/>
      <c r="X134" s="5"/>
      <c r="Y134" s="5"/>
      <c r="Z134" s="5"/>
      <c r="AA134" s="5"/>
      <c r="AB134" s="5"/>
      <c r="AC134" s="5"/>
      <c r="AD134" s="5" t="n">
        <v>14232</v>
      </c>
      <c r="AE134" s="5" t="n">
        <v>15408</v>
      </c>
      <c r="AF134" s="5" t="n">
        <v>17055</v>
      </c>
      <c r="AG134" s="5"/>
      <c r="AH134" s="5"/>
      <c r="AI134" s="5"/>
      <c r="AJ134" s="5"/>
      <c r="AK134" s="5"/>
      <c r="AL134" s="5"/>
      <c r="AM134" s="5"/>
      <c r="AN134" s="5"/>
      <c r="AO134" s="5" t="n">
        <v>65007</v>
      </c>
      <c r="AP134" s="5" t="n">
        <v>79828</v>
      </c>
      <c r="AQ134" s="5" t="n">
        <v>98435</v>
      </c>
      <c r="AR134" s="5" t="n">
        <v>129425</v>
      </c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</row>
    <row r="135" s="18" customFormat="true" ht="10.5" hidden="false" customHeight="true" outlineLevel="0" collapsed="false">
      <c r="F135" s="18" t="n">
        <f aca="false">+F134/B134-1</f>
        <v>0</v>
      </c>
      <c r="G135" s="18" t="n">
        <f aca="false">+G134/C134-1</f>
        <v>0</v>
      </c>
      <c r="H135" s="18" t="n">
        <f aca="false">+H134/D134-1</f>
        <v>0</v>
      </c>
      <c r="I135" s="18" t="e">
        <f aca="false">+I134/E134-1</f>
        <v>#DIV/0!</v>
      </c>
      <c r="J135" s="18" t="n">
        <f aca="false">+J134/F134-1</f>
        <v>0.213182510332826</v>
      </c>
      <c r="K135" s="18" t="n">
        <f aca="false">+K134/G134-1</f>
        <v>0.222466061039094</v>
      </c>
      <c r="L135" s="18" t="n">
        <f aca="false">+L134/H134-1</f>
        <v>0.240049937578027</v>
      </c>
      <c r="M135" s="18" t="e">
        <f aca="false">+M134/I134-1</f>
        <v>#DIV/0!</v>
      </c>
      <c r="N135" s="18" t="n">
        <f aca="false">+N134/J134-1</f>
        <v>-0.00685852608929527</v>
      </c>
      <c r="O135" s="18" t="n">
        <f aca="false">+O134/K134-1</f>
        <v>-0.0130255082870622</v>
      </c>
      <c r="P135" s="18" t="n">
        <f aca="false">+P134/L134-1</f>
        <v>-0.00285921391752575</v>
      </c>
      <c r="Q135" s="18" t="e">
        <f aca="false">+Q134/M134-1</f>
        <v>#DIV/0!</v>
      </c>
      <c r="R135" s="18" t="n">
        <f aca="false">+R134/N134-1</f>
        <v>0.303182125930941</v>
      </c>
      <c r="S135" s="18" t="n">
        <f aca="false">+S134/O134-1</f>
        <v>0.305570830337126</v>
      </c>
      <c r="T135" s="18" t="n">
        <f aca="false">+T134/P134-1</f>
        <v>0.316263478857881</v>
      </c>
      <c r="U135" s="18" t="n">
        <f aca="false">+U134/Q134-1</f>
        <v>0.330654996771648</v>
      </c>
      <c r="AE135" s="18" t="n">
        <f aca="false">+AE134/AE$154</f>
        <v>0.19792161749027</v>
      </c>
      <c r="AF135" s="18" t="n">
        <f aca="false">+AF134/AF$154</f>
        <v>0.196411502539357</v>
      </c>
      <c r="AO135" s="18" t="n">
        <f aca="false">+AO134/AO$154</f>
        <v>0.30675978576316</v>
      </c>
      <c r="AP135" s="18" t="n">
        <f aca="false">+AP134/AP$154</f>
        <v>0.325666402852457</v>
      </c>
      <c r="AQ135" s="18" t="n">
        <f aca="false">+AQ134/AQ$154</f>
        <v>0.349402251849328</v>
      </c>
      <c r="AR135" s="18" t="n">
        <f aca="false">+AR134/AR$154</f>
        <v>0.390023475239499</v>
      </c>
    </row>
    <row r="136" s="45" customFormat="true" ht="12.8" hidden="false" customHeight="true" outlineLevel="0" collapsed="false">
      <c r="A136" s="1" t="s">
        <v>169</v>
      </c>
      <c r="B136" s="5" t="n">
        <v>11548</v>
      </c>
      <c r="C136" s="5" t="n">
        <v>11837</v>
      </c>
      <c r="D136" s="5" t="n">
        <v>12438</v>
      </c>
      <c r="E136" s="5"/>
      <c r="F136" s="5" t="n">
        <v>11577</v>
      </c>
      <c r="G136" s="5" t="n">
        <v>11867</v>
      </c>
      <c r="H136" s="5" t="n">
        <v>12468</v>
      </c>
      <c r="I136" s="5"/>
      <c r="J136" s="5" t="n">
        <v>13140</v>
      </c>
      <c r="K136" s="5" t="n">
        <v>13477</v>
      </c>
      <c r="L136" s="5" t="n">
        <v>13911</v>
      </c>
      <c r="M136" s="5"/>
      <c r="N136" s="5" t="n">
        <v>20449</v>
      </c>
      <c r="O136" s="5" t="n">
        <v>21117</v>
      </c>
      <c r="P136" s="5" t="n">
        <v>21883</v>
      </c>
      <c r="Q136" s="5" t="n">
        <f aca="false">+AQ136-P136-O136-N136</f>
        <v>24318</v>
      </c>
      <c r="R136" s="5" t="n">
        <v>23966</v>
      </c>
      <c r="S136" s="5" t="n">
        <v>24524</v>
      </c>
      <c r="T136" s="5" t="n">
        <v>25593</v>
      </c>
      <c r="U136" s="5" t="n">
        <f aca="false">+AR136-T136-S136-R136</f>
        <v>27914</v>
      </c>
      <c r="V136" s="5"/>
      <c r="W136" s="5"/>
      <c r="X136" s="5"/>
      <c r="Y136" s="5"/>
      <c r="Z136" s="5"/>
      <c r="AA136" s="5"/>
      <c r="AB136" s="5"/>
      <c r="AC136" s="5"/>
      <c r="AD136" s="5" t="n">
        <v>22299</v>
      </c>
      <c r="AE136" s="5" t="n">
        <v>22995</v>
      </c>
      <c r="AF136" s="5" t="n">
        <v>24323</v>
      </c>
      <c r="AG136" s="5"/>
      <c r="AH136" s="5"/>
      <c r="AI136" s="5"/>
      <c r="AJ136" s="5"/>
      <c r="AK136" s="5"/>
      <c r="AL136" s="5"/>
      <c r="AM136" s="5"/>
      <c r="AN136" s="5"/>
      <c r="AO136" s="5" t="n">
        <v>66949</v>
      </c>
      <c r="AP136" s="5" t="n">
        <v>76969</v>
      </c>
      <c r="AQ136" s="5" t="n">
        <v>87767</v>
      </c>
      <c r="AR136" s="5" t="n">
        <v>101997</v>
      </c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</row>
    <row r="137" s="18" customFormat="true" ht="10.5" hidden="false" customHeight="true" outlineLevel="0" collapsed="false">
      <c r="F137" s="18" t="n">
        <f aca="false">+F136/B136-1</f>
        <v>0.00251125736058189</v>
      </c>
      <c r="G137" s="18" t="n">
        <f aca="false">+G136/C136-1</f>
        <v>0.00253442595252174</v>
      </c>
      <c r="H137" s="18" t="n">
        <f aca="false">+H136/D136-1</f>
        <v>0.00241196333815719</v>
      </c>
      <c r="I137" s="18" t="e">
        <f aca="false">+I136/E136-1</f>
        <v>#DIV/0!</v>
      </c>
      <c r="J137" s="18" t="n">
        <f aca="false">+J136/F136-1</f>
        <v>0.135009069707178</v>
      </c>
      <c r="K137" s="18" t="n">
        <f aca="false">+K136/G136-1</f>
        <v>0.135670346338586</v>
      </c>
      <c r="L137" s="18" t="n">
        <f aca="false">+L136/H136-1</f>
        <v>0.115736284889317</v>
      </c>
      <c r="M137" s="18" t="e">
        <f aca="false">+M136/I136-1</f>
        <v>#DIV/0!</v>
      </c>
      <c r="N137" s="18" t="n">
        <f aca="false">+N136/J136-1</f>
        <v>0.556240487062405</v>
      </c>
      <c r="O137" s="18" t="n">
        <f aca="false">+O136/K136-1</f>
        <v>0.566891741485494</v>
      </c>
      <c r="P137" s="18" t="n">
        <f aca="false">+P136/L136-1</f>
        <v>0.573071669901517</v>
      </c>
      <c r="Q137" s="18" t="e">
        <f aca="false">+Q136/M136-1</f>
        <v>#DIV/0!</v>
      </c>
      <c r="R137" s="18" t="n">
        <f aca="false">+R136/N136-1</f>
        <v>0.171988850310529</v>
      </c>
      <c r="S137" s="18" t="n">
        <f aca="false">+S136/O136-1</f>
        <v>0.161339205379552</v>
      </c>
      <c r="T137" s="18" t="n">
        <f aca="false">+T136/P136-1</f>
        <v>0.169537997532331</v>
      </c>
      <c r="U137" s="18" t="n">
        <f aca="false">+U136/Q136-1</f>
        <v>0.147874002796283</v>
      </c>
      <c r="AE137" s="18" t="n">
        <f aca="false">+AE136/AE$154</f>
        <v>0.295379516756798</v>
      </c>
      <c r="AF137" s="18" t="n">
        <f aca="false">+AF136/AF$154</f>
        <v>0.280112399663722</v>
      </c>
      <c r="AO137" s="18" t="n">
        <f aca="false">+AO136/AO$154</f>
        <v>0.315923837387632</v>
      </c>
      <c r="AP137" s="18" t="n">
        <f aca="false">+AP136/AP$154</f>
        <v>0.314002823084015</v>
      </c>
      <c r="AQ137" s="18" t="n">
        <f aca="false">+AQ136/AQ$154</f>
        <v>0.311535403444506</v>
      </c>
      <c r="AR137" s="18" t="n">
        <f aca="false">+AR136/AR$154</f>
        <v>0.307368934935315</v>
      </c>
    </row>
    <row r="138" s="45" customFormat="true" ht="12.8" hidden="false" customHeight="true" outlineLevel="0" collapsed="false">
      <c r="A138" s="1" t="s">
        <v>170</v>
      </c>
      <c r="B138" s="5" t="n">
        <v>3610</v>
      </c>
      <c r="C138" s="5" t="n">
        <v>4758</v>
      </c>
      <c r="D138" s="5" t="n">
        <v>3607</v>
      </c>
      <c r="E138" s="5"/>
      <c r="F138" s="5" t="n">
        <v>5313</v>
      </c>
      <c r="G138" s="5" t="n">
        <v>4758</v>
      </c>
      <c r="H138" s="5" t="n">
        <v>5328</v>
      </c>
      <c r="I138" s="5"/>
      <c r="J138" s="5" t="n">
        <v>5567</v>
      </c>
      <c r="K138" s="5" t="n">
        <v>7111</v>
      </c>
      <c r="L138" s="5" t="n">
        <v>5929</v>
      </c>
      <c r="M138" s="5"/>
      <c r="N138" s="5" t="n">
        <v>5621</v>
      </c>
      <c r="O138" s="5" t="n">
        <v>6581</v>
      </c>
      <c r="P138" s="5" t="n">
        <v>5721</v>
      </c>
      <c r="Q138" s="5" t="n">
        <f aca="false">+AQ138-P138-O138-N138</f>
        <v>5532</v>
      </c>
      <c r="R138" s="5" t="n">
        <v>5508</v>
      </c>
      <c r="S138" s="5" t="n">
        <v>5958</v>
      </c>
      <c r="T138" s="5" t="n">
        <v>5341</v>
      </c>
      <c r="U138" s="5" t="n">
        <f aca="false">+AR138-T138-S138-R138</f>
        <v>4983</v>
      </c>
      <c r="V138" s="5"/>
      <c r="W138" s="5"/>
      <c r="X138" s="5"/>
      <c r="Y138" s="5"/>
      <c r="Z138" s="5"/>
      <c r="AA138" s="5"/>
      <c r="AB138" s="5"/>
      <c r="AC138" s="5"/>
      <c r="AD138" s="5" t="n">
        <v>8045</v>
      </c>
      <c r="AE138" s="5" t="n">
        <v>7100</v>
      </c>
      <c r="AF138" s="5" t="n">
        <v>8643</v>
      </c>
      <c r="AG138" s="5"/>
      <c r="AH138" s="5"/>
      <c r="AI138" s="5"/>
      <c r="AJ138" s="5"/>
      <c r="AK138" s="5"/>
      <c r="AL138" s="5"/>
      <c r="AM138" s="5"/>
      <c r="AN138" s="5"/>
      <c r="AO138" s="5" t="n">
        <v>15466</v>
      </c>
      <c r="AP138" s="5" t="n">
        <v>21503</v>
      </c>
      <c r="AQ138" s="5" t="n">
        <v>23455</v>
      </c>
      <c r="AR138" s="5" t="n">
        <v>21790</v>
      </c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</row>
    <row r="139" s="18" customFormat="true" ht="10.5" hidden="false" customHeight="true" outlineLevel="0" collapsed="false">
      <c r="F139" s="18" t="n">
        <f aca="false">+F138/B138-1</f>
        <v>0.471745152354571</v>
      </c>
      <c r="G139" s="18" t="n">
        <f aca="false">+G138/C138-1</f>
        <v>0</v>
      </c>
      <c r="H139" s="18" t="n">
        <f aca="false">+H138/D138-1</f>
        <v>0.477127807041863</v>
      </c>
      <c r="I139" s="18" t="e">
        <f aca="false">+I138/E138-1</f>
        <v>#DIV/0!</v>
      </c>
      <c r="J139" s="18" t="n">
        <f aca="false">+J138/F138-1</f>
        <v>0.0478072651985695</v>
      </c>
      <c r="K139" s="18" t="n">
        <f aca="false">+K138/G138-1</f>
        <v>0.494535519125683</v>
      </c>
      <c r="L139" s="18" t="n">
        <f aca="false">+L138/H138-1</f>
        <v>0.1128003003003</v>
      </c>
      <c r="M139" s="18" t="e">
        <f aca="false">+M138/I138-1</f>
        <v>#DIV/0!</v>
      </c>
      <c r="N139" s="18" t="n">
        <f aca="false">+N138/J138-1</f>
        <v>0.00970001796299624</v>
      </c>
      <c r="O139" s="18" t="n">
        <f aca="false">+O138/K138-1</f>
        <v>-0.0745324145689776</v>
      </c>
      <c r="P139" s="18" t="n">
        <f aca="false">+P138/L138-1</f>
        <v>-0.0350818013155676</v>
      </c>
      <c r="Q139" s="18" t="e">
        <f aca="false">+Q138/M138-1</f>
        <v>#DIV/0!</v>
      </c>
      <c r="R139" s="18" t="n">
        <f aca="false">+R138/N138-1</f>
        <v>-0.0201031844867461</v>
      </c>
      <c r="S139" s="18" t="n">
        <f aca="false">+S138/O138-1</f>
        <v>-0.0946664640632123</v>
      </c>
      <c r="T139" s="18" t="n">
        <f aca="false">+T138/P138-1</f>
        <v>-0.0664219542038105</v>
      </c>
      <c r="U139" s="18" t="n">
        <f aca="false">+U138/Q138-1</f>
        <v>-0.0992407809110629</v>
      </c>
      <c r="AE139" s="18" t="n">
        <f aca="false">+AE138/AE$154</f>
        <v>0.0912021991290832</v>
      </c>
      <c r="AF139" s="18" t="n">
        <f aca="false">+AF138/AF$154</f>
        <v>0.0995358907327859</v>
      </c>
      <c r="AO139" s="18" t="n">
        <f aca="false">+AO138/AO$154</f>
        <v>0.0729820918764599</v>
      </c>
      <c r="AP139" s="18" t="n">
        <f aca="false">+AP138/AP$154</f>
        <v>0.0877236641345942</v>
      </c>
      <c r="AQ139" s="18" t="n">
        <f aca="false">+AQ138/AQ$154</f>
        <v>0.0832552427198251</v>
      </c>
      <c r="AR139" s="18" t="n">
        <f aca="false">+AR138/AR$154</f>
        <v>0.0656643733858889</v>
      </c>
    </row>
    <row r="140" s="45" customFormat="true" ht="12.8" hidden="false" customHeight="true" outlineLevel="0" collapsed="false">
      <c r="A140" s="1" t="s">
        <v>28</v>
      </c>
      <c r="B140" s="5" t="n">
        <v>3663</v>
      </c>
      <c r="C140" s="5" t="n">
        <v>3876</v>
      </c>
      <c r="D140" s="5" t="n">
        <v>3697</v>
      </c>
      <c r="E140" s="5"/>
      <c r="F140" s="5" t="n">
        <v>3610</v>
      </c>
      <c r="G140" s="5" t="n">
        <v>4808</v>
      </c>
      <c r="H140" s="5" t="n">
        <v>3607</v>
      </c>
      <c r="I140" s="5"/>
      <c r="J140" s="5" t="n">
        <v>3919</v>
      </c>
      <c r="K140" s="5" t="n">
        <v>5262</v>
      </c>
      <c r="L140" s="5" t="n">
        <v>5451</v>
      </c>
      <c r="M140" s="5"/>
      <c r="N140" s="5" t="n">
        <v>4292</v>
      </c>
      <c r="O140" s="5" t="n">
        <v>4587</v>
      </c>
      <c r="P140" s="5" t="n">
        <v>4311</v>
      </c>
      <c r="Q140" s="5" t="n">
        <f aca="false">+AQ140-P140-O140-N140</f>
        <v>4622</v>
      </c>
      <c r="R140" s="5" t="n">
        <v>4714</v>
      </c>
      <c r="S140" s="5" t="n">
        <v>5082</v>
      </c>
      <c r="T140" s="5" t="n">
        <v>4832</v>
      </c>
      <c r="U140" s="5" t="n">
        <f aca="false">+AR140-T140-S140-R140</f>
        <v>5189</v>
      </c>
      <c r="V140" s="5"/>
      <c r="W140" s="5"/>
      <c r="X140" s="5"/>
      <c r="Y140" s="5"/>
      <c r="Z140" s="5"/>
      <c r="AA140" s="5"/>
      <c r="AB140" s="5"/>
      <c r="AC140" s="5"/>
      <c r="AD140" s="5" t="n">
        <v>0</v>
      </c>
      <c r="AE140" s="5" t="n">
        <v>0</v>
      </c>
      <c r="AF140" s="5" t="n">
        <v>0</v>
      </c>
      <c r="AG140" s="5"/>
      <c r="AH140" s="5"/>
      <c r="AI140" s="5"/>
      <c r="AJ140" s="5"/>
      <c r="AK140" s="5"/>
      <c r="AL140" s="5"/>
      <c r="AM140" s="5"/>
      <c r="AN140" s="5"/>
      <c r="AO140" s="5" t="n">
        <v>14989</v>
      </c>
      <c r="AP140" s="5" t="n">
        <v>16372</v>
      </c>
      <c r="AQ140" s="5" t="n">
        <v>17812</v>
      </c>
      <c r="AR140" s="5" t="n">
        <v>19817</v>
      </c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</row>
    <row r="141" s="18" customFormat="true" ht="10.5" hidden="false" customHeight="true" outlineLevel="0" collapsed="false">
      <c r="F141" s="18" t="n">
        <f aca="false">+F140/B140-1</f>
        <v>-0.0144690144690145</v>
      </c>
      <c r="G141" s="18" t="n">
        <f aca="false">+G140/C140-1</f>
        <v>0.240454076367389</v>
      </c>
      <c r="H141" s="18" t="n">
        <f aca="false">+H140/D140-1</f>
        <v>-0.024344062753584</v>
      </c>
      <c r="I141" s="18" t="e">
        <f aca="false">+I140/E140-1</f>
        <v>#DIV/0!</v>
      </c>
      <c r="J141" s="18" t="n">
        <f aca="false">+J140/F140-1</f>
        <v>0.0855955678670359</v>
      </c>
      <c r="K141" s="18" t="n">
        <f aca="false">+K140/G140-1</f>
        <v>0.0944259567387686</v>
      </c>
      <c r="L141" s="18" t="n">
        <f aca="false">+L140/H140-1</f>
        <v>0.511228167452176</v>
      </c>
      <c r="M141" s="18" t="e">
        <f aca="false">+M140/I140-1</f>
        <v>#DIV/0!</v>
      </c>
      <c r="N141" s="18" t="n">
        <f aca="false">+N140/J140-1</f>
        <v>0.0951773411584589</v>
      </c>
      <c r="O141" s="18" t="n">
        <f aca="false">+O140/K140-1</f>
        <v>-0.128278221208666</v>
      </c>
      <c r="P141" s="18" t="n">
        <f aca="false">+P140/L140-1</f>
        <v>-0.209135938359934</v>
      </c>
      <c r="Q141" s="18" t="e">
        <f aca="false">+Q140/M140-1</f>
        <v>#DIV/0!</v>
      </c>
      <c r="R141" s="18" t="n">
        <f aca="false">+R140/N140-1</f>
        <v>0.0983224603914259</v>
      </c>
      <c r="S141" s="18" t="n">
        <f aca="false">+S140/O140-1</f>
        <v>0.107913669064748</v>
      </c>
      <c r="T141" s="18" t="n">
        <f aca="false">+T140/P140-1</f>
        <v>0.120853630248202</v>
      </c>
      <c r="U141" s="18" t="n">
        <f aca="false">+U140/Q140-1</f>
        <v>0.122674167027261</v>
      </c>
      <c r="AE141" s="18" t="n">
        <f aca="false">+AE140/AE$154</f>
        <v>0</v>
      </c>
      <c r="AF141" s="18" t="n">
        <f aca="false">+AF140/AF$154</f>
        <v>0</v>
      </c>
      <c r="AO141" s="18" t="n">
        <f aca="false">+AO140/AO$154</f>
        <v>0.0707311893919732</v>
      </c>
      <c r="AP141" s="18" t="n">
        <f aca="false">+AP140/AP$154</f>
        <v>0.0667912304893074</v>
      </c>
      <c r="AQ141" s="18" t="n">
        <f aca="false">+AQ140/AQ$154</f>
        <v>0.0632250003549573</v>
      </c>
      <c r="AR141" s="18" t="n">
        <f aca="false">+AR140/AR$154</f>
        <v>0.0597187190173548</v>
      </c>
    </row>
    <row r="142" s="45" customFormat="true" ht="14.25" hidden="false" customHeight="true" outlineLevel="0" collapsed="false">
      <c r="A142" s="1" t="s">
        <v>171</v>
      </c>
      <c r="B142" s="5" t="n">
        <v>5313</v>
      </c>
      <c r="C142" s="5" t="n">
        <v>4808</v>
      </c>
      <c r="D142" s="5" t="n">
        <v>5328</v>
      </c>
      <c r="E142" s="5"/>
      <c r="F142" s="5" t="n">
        <v>3628</v>
      </c>
      <c r="G142" s="5" t="n">
        <v>3833</v>
      </c>
      <c r="H142" s="5" t="n">
        <v>3659</v>
      </c>
      <c r="I142" s="5"/>
      <c r="J142" s="5" t="n">
        <v>3913</v>
      </c>
      <c r="K142" s="5" t="n">
        <v>4195</v>
      </c>
      <c r="L142" s="5" t="n">
        <v>4013</v>
      </c>
      <c r="M142" s="5"/>
      <c r="N142" s="5" t="n">
        <v>4329</v>
      </c>
      <c r="O142" s="5" t="n">
        <v>4512</v>
      </c>
      <c r="P142" s="5" t="n">
        <v>4144</v>
      </c>
      <c r="Q142" s="5" t="n">
        <f aca="false">+AQ142-P142-O142-N142</f>
        <v>4329</v>
      </c>
      <c r="R142" s="5" t="n">
        <v>4551</v>
      </c>
      <c r="S142" s="5" t="n">
        <v>4479</v>
      </c>
      <c r="T142" s="5" t="n">
        <v>4041</v>
      </c>
      <c r="U142" s="5" t="n">
        <f aca="false">+AR142-T142-S142-R142</f>
        <v>4013</v>
      </c>
      <c r="V142" s="5"/>
      <c r="W142" s="5"/>
      <c r="X142" s="5"/>
      <c r="Y142" s="5"/>
      <c r="Z142" s="5"/>
      <c r="AA142" s="5"/>
      <c r="AB142" s="5"/>
      <c r="AC142" s="5"/>
      <c r="AD142" s="5" t="n">
        <v>17320</v>
      </c>
      <c r="AE142" s="5" t="n">
        <v>17529</v>
      </c>
      <c r="AF142" s="5" t="n">
        <v>16856</v>
      </c>
      <c r="AG142" s="5"/>
      <c r="AH142" s="5"/>
      <c r="AI142" s="5"/>
      <c r="AJ142" s="5"/>
      <c r="AK142" s="5"/>
      <c r="AL142" s="5"/>
      <c r="AM142" s="5"/>
      <c r="AN142" s="5"/>
      <c r="AO142" s="5" t="n">
        <v>17147</v>
      </c>
      <c r="AP142" s="5" t="n">
        <v>17026</v>
      </c>
      <c r="AQ142" s="5" t="n">
        <v>17314</v>
      </c>
      <c r="AR142" s="5" t="n">
        <v>17084</v>
      </c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</row>
    <row r="143" s="18" customFormat="true" ht="10.5" hidden="false" customHeight="true" outlineLevel="0" collapsed="false">
      <c r="F143" s="18" t="n">
        <f aca="false">+F142/B142-1</f>
        <v>-0.317146621494448</v>
      </c>
      <c r="G143" s="18" t="n">
        <f aca="false">+G142/C142-1</f>
        <v>-0.202787021630616</v>
      </c>
      <c r="H143" s="18" t="n">
        <f aca="false">+H142/D142-1</f>
        <v>-0.313250750750751</v>
      </c>
      <c r="I143" s="18" t="e">
        <f aca="false">+I142/E142-1</f>
        <v>#DIV/0!</v>
      </c>
      <c r="J143" s="18" t="n">
        <f aca="false">+J142/F142-1</f>
        <v>0.0785556780595369</v>
      </c>
      <c r="K143" s="18" t="n">
        <f aca="false">+K142/G142-1</f>
        <v>0.0944429950430472</v>
      </c>
      <c r="L143" s="18" t="n">
        <f aca="false">+L142/H142-1</f>
        <v>0.0967477452855972</v>
      </c>
      <c r="M143" s="18" t="e">
        <f aca="false">+M142/I142-1</f>
        <v>#DIV/0!</v>
      </c>
      <c r="N143" s="18" t="n">
        <f aca="false">+N142/J142-1</f>
        <v>0.106312292358804</v>
      </c>
      <c r="O143" s="18" t="n">
        <f aca="false">+O142/K142-1</f>
        <v>0.0755661501787843</v>
      </c>
      <c r="P143" s="18" t="n">
        <f aca="false">+P142/L142-1</f>
        <v>0.032643907301271</v>
      </c>
      <c r="Q143" s="18" t="e">
        <f aca="false">+Q142/M142-1</f>
        <v>#DIV/0!</v>
      </c>
      <c r="R143" s="18" t="n">
        <f aca="false">+R142/N142-1</f>
        <v>0.0512820512820513</v>
      </c>
      <c r="S143" s="18" t="n">
        <f aca="false">+S142/O142-1</f>
        <v>-0.00731382978723405</v>
      </c>
      <c r="T143" s="18" t="n">
        <f aca="false">+T142/P142-1</f>
        <v>-0.0248552123552124</v>
      </c>
      <c r="U143" s="18" t="n">
        <f aca="false">+U142/Q142-1</f>
        <v>-0.072996072996073</v>
      </c>
      <c r="AE143" s="18" t="n">
        <f aca="false">+AE142/AE$154</f>
        <v>0.225166668807563</v>
      </c>
      <c r="AF143" s="18" t="n">
        <f aca="false">+AF142/AF$154</f>
        <v>0.194119747100757</v>
      </c>
      <c r="AO143" s="18" t="n">
        <f aca="false">+AO142/AO$154</f>
        <v>0.080914517613194</v>
      </c>
      <c r="AP143" s="18" t="n">
        <f aca="false">+AP142/AP$154</f>
        <v>0.0694592896598429</v>
      </c>
      <c r="AQ143" s="18" t="n">
        <f aca="false">+AQ142/AQ$154</f>
        <v>0.0614573128309977</v>
      </c>
      <c r="AR143" s="18" t="n">
        <f aca="false">+AR142/AR$154</f>
        <v>0.0514827973806575</v>
      </c>
    </row>
    <row r="144" s="45" customFormat="true" ht="12.8" hidden="false" customHeight="true" outlineLevel="0" collapsed="false">
      <c r="A144" s="1" t="s">
        <v>172</v>
      </c>
      <c r="B144" s="5" t="n">
        <v>2928</v>
      </c>
      <c r="C144" s="5" t="n">
        <v>3223</v>
      </c>
      <c r="D144" s="5" t="n">
        <v>3045</v>
      </c>
      <c r="E144" s="5"/>
      <c r="F144" s="5" t="n">
        <v>2913</v>
      </c>
      <c r="G144" s="5" t="n">
        <v>3209</v>
      </c>
      <c r="H144" s="5" t="n">
        <v>3036</v>
      </c>
      <c r="I144" s="5"/>
      <c r="J144" s="5" t="n">
        <v>3053</v>
      </c>
      <c r="K144" s="5" t="n">
        <v>3220</v>
      </c>
      <c r="L144" s="5" t="n">
        <v>3134</v>
      </c>
      <c r="M144" s="5"/>
      <c r="N144" s="5" t="n">
        <v>3225</v>
      </c>
      <c r="O144" s="5" t="n">
        <v>3558</v>
      </c>
      <c r="P144" s="5" t="n">
        <v>3504</v>
      </c>
      <c r="Q144" s="5" t="n">
        <f aca="false">+AQ144-P144-O144-N144</f>
        <v>3591</v>
      </c>
      <c r="R144" s="5" t="n">
        <v>3697</v>
      </c>
      <c r="S144" s="5" t="n">
        <v>3812</v>
      </c>
      <c r="T144" s="5" t="n">
        <v>3808</v>
      </c>
      <c r="U144" s="5" t="n">
        <f aca="false">+AR144-T144-S144-R144</f>
        <v>3859</v>
      </c>
      <c r="V144" s="5"/>
      <c r="W144" s="5"/>
      <c r="X144" s="5"/>
      <c r="Y144" s="5"/>
      <c r="Z144" s="5"/>
      <c r="AA144" s="5"/>
      <c r="AB144" s="5"/>
      <c r="AC144" s="5"/>
      <c r="AD144" s="5" t="n">
        <v>3181</v>
      </c>
      <c r="AE144" s="5" t="n">
        <v>3387</v>
      </c>
      <c r="AF144" s="5" t="n">
        <v>4016</v>
      </c>
      <c r="AG144" s="5"/>
      <c r="AH144" s="5"/>
      <c r="AI144" s="5"/>
      <c r="AJ144" s="5"/>
      <c r="AK144" s="5"/>
      <c r="AL144" s="5"/>
      <c r="AM144" s="5"/>
      <c r="AN144" s="5"/>
      <c r="AO144" s="5" t="n">
        <v>12125</v>
      </c>
      <c r="AP144" s="5" t="n">
        <v>12306</v>
      </c>
      <c r="AQ144" s="5" t="n">
        <v>13878</v>
      </c>
      <c r="AR144" s="5" t="n">
        <v>15176</v>
      </c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</row>
    <row r="145" s="18" customFormat="true" ht="10.5" hidden="false" customHeight="true" outlineLevel="0" collapsed="false">
      <c r="F145" s="18" t="n">
        <f aca="false">+F144/B144-1</f>
        <v>-0.00512295081967218</v>
      </c>
      <c r="G145" s="18" t="n">
        <f aca="false">+G144/C144-1</f>
        <v>-0.00434377908780637</v>
      </c>
      <c r="H145" s="18" t="n">
        <f aca="false">+H144/D144-1</f>
        <v>-0.00295566502463052</v>
      </c>
      <c r="I145" s="18" t="e">
        <f aca="false">+I144/E144-1</f>
        <v>#DIV/0!</v>
      </c>
      <c r="J145" s="18" t="n">
        <f aca="false">+J144/F144-1</f>
        <v>0.0480604188122211</v>
      </c>
      <c r="K145" s="18" t="n">
        <f aca="false">+K144/G144-1</f>
        <v>0.0034278591461514</v>
      </c>
      <c r="L145" s="18" t="n">
        <f aca="false">+L144/H144-1</f>
        <v>0.0322793148880105</v>
      </c>
      <c r="M145" s="18" t="e">
        <f aca="false">+M144/I144-1</f>
        <v>#DIV/0!</v>
      </c>
      <c r="N145" s="18" t="n">
        <f aca="false">+N144/J144-1</f>
        <v>0.056338028169014</v>
      </c>
      <c r="O145" s="18" t="n">
        <f aca="false">+O144/K144-1</f>
        <v>0.104968944099379</v>
      </c>
      <c r="P145" s="18" t="n">
        <f aca="false">+P144/L144-1</f>
        <v>0.118059987236758</v>
      </c>
      <c r="Q145" s="18" t="e">
        <f aca="false">+Q144/M144-1</f>
        <v>#DIV/0!</v>
      </c>
      <c r="R145" s="18" t="n">
        <f aca="false">+R144/N144-1</f>
        <v>0.146356589147287</v>
      </c>
      <c r="S145" s="18" t="n">
        <f aca="false">+S144/O144-1</f>
        <v>0.0713884204609332</v>
      </c>
      <c r="T145" s="18" t="n">
        <f aca="false">+T144/P144-1</f>
        <v>0.08675799086758</v>
      </c>
      <c r="U145" s="18" t="n">
        <f aca="false">+U144/Q144-1</f>
        <v>0.0746310219994431</v>
      </c>
      <c r="AE145" s="18" t="n">
        <f aca="false">+AE144/AE$154</f>
        <v>0.0435073025986204</v>
      </c>
      <c r="AF145" s="18" t="n">
        <f aca="false">+AF144/AF$154</f>
        <v>0.0462496976955766</v>
      </c>
      <c r="AO145" s="18" t="n">
        <f aca="false">+AO144/AO$154</f>
        <v>0.0572163367387868</v>
      </c>
      <c r="AP145" s="18" t="n">
        <f aca="false">+AP144/AP$154</f>
        <v>0.0502035720987916</v>
      </c>
      <c r="AQ145" s="18" t="n">
        <f aca="false">+AQ144/AQ$154</f>
        <v>0.0492609788303446</v>
      </c>
      <c r="AR145" s="18" t="n">
        <f aca="false">+AR144/AR$154</f>
        <v>0.0457330211337426</v>
      </c>
    </row>
    <row r="146" s="45" customFormat="true" ht="12.8" hidden="false" customHeight="true" outlineLevel="0" collapsed="false">
      <c r="A146" s="1" t="s">
        <v>173</v>
      </c>
      <c r="B146" s="5"/>
      <c r="C146" s="5"/>
      <c r="D146" s="5"/>
      <c r="E146" s="5"/>
      <c r="F146" s="5" t="n">
        <v>1929</v>
      </c>
      <c r="G146" s="5" t="n">
        <v>1907</v>
      </c>
      <c r="H146" s="5" t="n">
        <v>2047</v>
      </c>
      <c r="I146" s="5"/>
      <c r="J146" s="5" t="n">
        <v>1944</v>
      </c>
      <c r="K146" s="5" t="n">
        <v>1917</v>
      </c>
      <c r="L146" s="5" t="n">
        <v>1861</v>
      </c>
      <c r="M146" s="5"/>
      <c r="N146" s="5" t="n">
        <v>1727</v>
      </c>
      <c r="O146" s="5" t="n">
        <v>1821</v>
      </c>
      <c r="P146" s="5" t="n">
        <v>1946</v>
      </c>
      <c r="Q146" s="5" t="n">
        <f aca="false">+AQ146-P146-O146-N146</f>
        <v>2333</v>
      </c>
      <c r="R146" s="5" t="n">
        <v>2204</v>
      </c>
      <c r="S146" s="5" t="n">
        <v>2305</v>
      </c>
      <c r="T146" s="5" t="n">
        <v>2297</v>
      </c>
      <c r="U146" s="5" t="n">
        <f aca="false">+AR146-T146-S146-R146</f>
        <v>2369</v>
      </c>
      <c r="V146" s="5"/>
      <c r="W146" s="5"/>
      <c r="X146" s="5"/>
      <c r="Y146" s="5"/>
      <c r="Z146" s="5"/>
      <c r="AA146" s="5"/>
      <c r="AB146" s="5"/>
      <c r="AC146" s="5"/>
      <c r="AD146" s="5" t="n">
        <v>0</v>
      </c>
      <c r="AE146" s="5" t="n">
        <v>0</v>
      </c>
      <c r="AF146" s="5" t="n">
        <v>0</v>
      </c>
      <c r="AG146" s="5"/>
      <c r="AH146" s="5"/>
      <c r="AI146" s="5"/>
      <c r="AJ146" s="5"/>
      <c r="AK146" s="5"/>
      <c r="AL146" s="5"/>
      <c r="AM146" s="5"/>
      <c r="AN146" s="5"/>
      <c r="AO146" s="5" t="n">
        <v>5796</v>
      </c>
      <c r="AP146" s="5" t="n">
        <v>6831</v>
      </c>
      <c r="AQ146" s="5" t="n">
        <v>7827</v>
      </c>
      <c r="AR146" s="5" t="n">
        <v>9175</v>
      </c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</row>
    <row r="147" s="18" customFormat="true" ht="10.5" hidden="false" customHeight="true" outlineLevel="0" collapsed="false">
      <c r="F147" s="18" t="e">
        <f aca="false">+F146/B146-1</f>
        <v>#DIV/0!</v>
      </c>
      <c r="G147" s="18" t="e">
        <f aca="false">+G146/C146-1</f>
        <v>#DIV/0!</v>
      </c>
      <c r="H147" s="18" t="e">
        <f aca="false">+H146/D146-1</f>
        <v>#DIV/0!</v>
      </c>
      <c r="I147" s="18" t="e">
        <f aca="false">+I146/E146-1</f>
        <v>#DIV/0!</v>
      </c>
      <c r="J147" s="18" t="n">
        <f aca="false">+J146/F146-1</f>
        <v>0.00777604976671853</v>
      </c>
      <c r="K147" s="18" t="n">
        <f aca="false">+K146/G146-1</f>
        <v>0.00524383848977461</v>
      </c>
      <c r="L147" s="18" t="n">
        <f aca="false">+L146/H146-1</f>
        <v>-0.0908646800195408</v>
      </c>
      <c r="M147" s="18" t="e">
        <f aca="false">+M146/I146-1</f>
        <v>#DIV/0!</v>
      </c>
      <c r="N147" s="18" t="n">
        <f aca="false">+N146/J146-1</f>
        <v>-0.111625514403292</v>
      </c>
      <c r="O147" s="18" t="n">
        <f aca="false">+O146/K146-1</f>
        <v>-0.0500782472613458</v>
      </c>
      <c r="P147" s="18" t="n">
        <f aca="false">+P146/L146-1</f>
        <v>0.045674368619022</v>
      </c>
      <c r="Q147" s="18" t="e">
        <f aca="false">+Q146/M146-1</f>
        <v>#DIV/0!</v>
      </c>
      <c r="R147" s="18" t="n">
        <f aca="false">+R146/N146-1</f>
        <v>0.276201505500869</v>
      </c>
      <c r="S147" s="18" t="n">
        <f aca="false">+S146/O146-1</f>
        <v>0.265788028555739</v>
      </c>
      <c r="T147" s="18" t="n">
        <f aca="false">+T146/P146-1</f>
        <v>0.180369989722508</v>
      </c>
      <c r="U147" s="18" t="n">
        <f aca="false">+U146/Q146-1</f>
        <v>0.015430775825118</v>
      </c>
      <c r="AO147" s="18" t="n">
        <f aca="false">+AO146/AO$154</f>
        <v>0.0273505886794234</v>
      </c>
      <c r="AP147" s="18" t="n">
        <f aca="false">+AP146/AP$154</f>
        <v>0.0278677556482078</v>
      </c>
      <c r="AQ147" s="18" t="n">
        <f aca="false">+AQ146/AQ$154</f>
        <v>0.0277825105422328</v>
      </c>
      <c r="AR147" s="18" t="n">
        <f aca="false">+AR146/AR$154</f>
        <v>0.0276489502439436</v>
      </c>
    </row>
    <row r="148" s="45" customFormat="true" ht="12.8" hidden="false" customHeight="true" outlineLevel="0" collapsed="false">
      <c r="A148" s="1" t="s">
        <v>174</v>
      </c>
      <c r="B148" s="5" t="n">
        <v>1448</v>
      </c>
      <c r="C148" s="5" t="n">
        <v>1430</v>
      </c>
      <c r="D148" s="5" t="n">
        <v>1282</v>
      </c>
      <c r="E148" s="5"/>
      <c r="F148" s="5" t="n">
        <v>1260</v>
      </c>
      <c r="G148" s="5" t="n">
        <v>1302</v>
      </c>
      <c r="H148" s="5" t="n">
        <v>1389</v>
      </c>
      <c r="I148" s="5"/>
      <c r="J148" s="5" t="n">
        <v>1540</v>
      </c>
      <c r="K148" s="5" t="n">
        <v>1576</v>
      </c>
      <c r="L148" s="5" t="n">
        <v>1646</v>
      </c>
      <c r="M148" s="5"/>
      <c r="N148" s="5" t="n">
        <v>1849</v>
      </c>
      <c r="O148" s="5" t="n">
        <v>1913</v>
      </c>
      <c r="P148" s="5" t="n">
        <v>1929</v>
      </c>
      <c r="Q148" s="5" t="n">
        <f aca="false">+AQ148-P148-O148-N148</f>
        <v>2069</v>
      </c>
      <c r="R148" s="5" t="n">
        <v>2136</v>
      </c>
      <c r="S148" s="5" t="n">
        <v>2204</v>
      </c>
      <c r="T148" s="5" t="n">
        <v>2292</v>
      </c>
      <c r="U148" s="5" t="n">
        <f aca="false">+AR148-T148-S148-R148</f>
        <v>2374</v>
      </c>
      <c r="V148" s="5"/>
      <c r="W148" s="5"/>
      <c r="X148" s="5"/>
      <c r="Y148" s="5"/>
      <c r="Z148" s="5"/>
      <c r="AA148" s="5"/>
      <c r="AB148" s="5"/>
      <c r="AC148" s="5"/>
      <c r="AD148" s="5" t="n">
        <v>0</v>
      </c>
      <c r="AE148" s="5" t="n">
        <v>0</v>
      </c>
      <c r="AF148" s="5" t="n">
        <v>0</v>
      </c>
      <c r="AG148" s="5"/>
      <c r="AH148" s="5"/>
      <c r="AI148" s="5"/>
      <c r="AJ148" s="5"/>
      <c r="AK148" s="5"/>
      <c r="AL148" s="5"/>
      <c r="AM148" s="5"/>
      <c r="AN148" s="5"/>
      <c r="AO148" s="5" t="n">
        <v>7900</v>
      </c>
      <c r="AP148" s="5" t="n">
        <v>7594</v>
      </c>
      <c r="AQ148" s="5" t="n">
        <v>7760</v>
      </c>
      <c r="AR148" s="5" t="n">
        <v>9006</v>
      </c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</row>
    <row r="149" s="18" customFormat="true" ht="10.5" hidden="false" customHeight="true" outlineLevel="0" collapsed="false">
      <c r="F149" s="18" t="n">
        <f aca="false">+F148/B148-1</f>
        <v>-0.129834254143646</v>
      </c>
      <c r="G149" s="18" t="n">
        <f aca="false">+G148/C148-1</f>
        <v>-0.0895104895104896</v>
      </c>
      <c r="H149" s="18" t="n">
        <f aca="false">+H148/D148-1</f>
        <v>0.0834633385335413</v>
      </c>
      <c r="I149" s="18" t="e">
        <f aca="false">+I148/E148-1</f>
        <v>#DIV/0!</v>
      </c>
      <c r="J149" s="18" t="n">
        <f aca="false">+J148/F148-1</f>
        <v>0.222222222222222</v>
      </c>
      <c r="K149" s="18" t="n">
        <f aca="false">+K148/G148-1</f>
        <v>0.210445468509985</v>
      </c>
      <c r="L149" s="18" t="n">
        <f aca="false">+L148/H148-1</f>
        <v>0.185025197984161</v>
      </c>
      <c r="M149" s="18" t="e">
        <f aca="false">+M148/I148-1</f>
        <v>#DIV/0!</v>
      </c>
      <c r="N149" s="18" t="n">
        <f aca="false">+N148/J148-1</f>
        <v>0.200649350649351</v>
      </c>
      <c r="O149" s="18" t="n">
        <f aca="false">+O148/K148-1</f>
        <v>0.213832487309645</v>
      </c>
      <c r="P149" s="18" t="n">
        <f aca="false">+P148/L148-1</f>
        <v>0.171931956257594</v>
      </c>
      <c r="Q149" s="18" t="e">
        <f aca="false">+Q148/M148-1</f>
        <v>#DIV/0!</v>
      </c>
      <c r="R149" s="18" t="n">
        <f aca="false">+R148/N148-1</f>
        <v>0.155219037317469</v>
      </c>
      <c r="S149" s="18" t="n">
        <f aca="false">+S148/O148-1</f>
        <v>0.152117093570308</v>
      </c>
      <c r="T149" s="18" t="n">
        <f aca="false">+T148/P148-1</f>
        <v>0.188180404354588</v>
      </c>
      <c r="U149" s="18" t="n">
        <f aca="false">+U148/Q148-1</f>
        <v>0.147414209763171</v>
      </c>
      <c r="AO149" s="18" t="n">
        <f aca="false">+AO148/AO$154</f>
        <v>0.037279097751457</v>
      </c>
      <c r="AP149" s="18" t="n">
        <f aca="false">+AP148/AP$154</f>
        <v>0.0309804913471659</v>
      </c>
      <c r="AQ149" s="18" t="n">
        <f aca="false">+AQ148/AQ$154</f>
        <v>0.0275446891283668</v>
      </c>
      <c r="AR149" s="18" t="n">
        <f aca="false">+AR148/AR$154</f>
        <v>0.0271396671277336</v>
      </c>
    </row>
    <row r="150" s="45" customFormat="true" ht="12.8" hidden="false" customHeight="true" outlineLevel="0" collapsed="false">
      <c r="A150" s="1" t="s">
        <v>175</v>
      </c>
      <c r="B150" s="5" t="n">
        <v>1876</v>
      </c>
      <c r="C150" s="5" t="n">
        <v>1862</v>
      </c>
      <c r="D150" s="5" t="n">
        <v>2007</v>
      </c>
      <c r="E150" s="5"/>
      <c r="F150" s="5" t="n">
        <v>1448</v>
      </c>
      <c r="G150" s="5" t="n">
        <v>1430</v>
      </c>
      <c r="H150" s="5" t="n">
        <v>1282</v>
      </c>
      <c r="I150" s="5"/>
      <c r="J150" s="5" t="n">
        <v>1125</v>
      </c>
      <c r="K150" s="5" t="n">
        <v>1298</v>
      </c>
      <c r="L150" s="5" t="n">
        <v>1067</v>
      </c>
      <c r="M150" s="5"/>
      <c r="N150" s="5" t="n">
        <v>1928</v>
      </c>
      <c r="O150" s="5" t="n">
        <v>1892</v>
      </c>
      <c r="P150" s="5" t="n">
        <v>1821</v>
      </c>
      <c r="Q150" s="5" t="n">
        <f aca="false">+AQ150-P150-O150-N150</f>
        <v>1763</v>
      </c>
      <c r="R150" s="5" t="n">
        <v>2022</v>
      </c>
      <c r="S150" s="5" t="n">
        <v>2038</v>
      </c>
      <c r="T150" s="5" t="n">
        <v>2087</v>
      </c>
      <c r="U150" s="5" t="n">
        <f aca="false">+AR150-T150-S150-R150</f>
        <v>2113</v>
      </c>
      <c r="V150" s="5"/>
      <c r="W150" s="5"/>
      <c r="X150" s="5"/>
      <c r="Y150" s="5"/>
      <c r="Z150" s="5"/>
      <c r="AA150" s="5"/>
      <c r="AB150" s="5"/>
      <c r="AC150" s="5"/>
      <c r="AD150" s="5" t="n">
        <v>3976</v>
      </c>
      <c r="AE150" s="5" t="n">
        <v>4372</v>
      </c>
      <c r="AF150" s="5" t="n">
        <v>4767</v>
      </c>
      <c r="AG150" s="5"/>
      <c r="AH150" s="5"/>
      <c r="AI150" s="5"/>
      <c r="AJ150" s="5"/>
      <c r="AK150" s="5"/>
      <c r="AL150" s="5"/>
      <c r="AM150" s="5"/>
      <c r="AN150" s="5"/>
      <c r="AO150" s="5" t="n">
        <v>6417</v>
      </c>
      <c r="AP150" s="5" t="n">
        <v>6648</v>
      </c>
      <c r="AQ150" s="5" t="n">
        <v>7404</v>
      </c>
      <c r="AR150" s="5" t="n">
        <v>8260</v>
      </c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</row>
    <row r="151" s="18" customFormat="true" ht="10.5" hidden="false" customHeight="true" outlineLevel="0" collapsed="false">
      <c r="F151" s="18" t="n">
        <f aca="false">+F150/B150-1</f>
        <v>-0.228144989339019</v>
      </c>
      <c r="G151" s="18" t="n">
        <f aca="false">+G150/C150-1</f>
        <v>-0.232008592910849</v>
      </c>
      <c r="H151" s="18" t="n">
        <f aca="false">+H150/D150-1</f>
        <v>-0.36123567513702</v>
      </c>
      <c r="I151" s="18" t="e">
        <f aca="false">+I150/E150-1</f>
        <v>#DIV/0!</v>
      </c>
      <c r="J151" s="18" t="n">
        <f aca="false">+J150/F150-1</f>
        <v>-0.223066298342541</v>
      </c>
      <c r="K151" s="18" t="n">
        <f aca="false">+K150/G150-1</f>
        <v>-0.0923076923076923</v>
      </c>
      <c r="L151" s="18" t="n">
        <f aca="false">+L150/H150-1</f>
        <v>-0.167706708268331</v>
      </c>
      <c r="M151" s="18" t="e">
        <f aca="false">+M150/I150-1</f>
        <v>#DIV/0!</v>
      </c>
      <c r="N151" s="18" t="n">
        <f aca="false">+N150/J150-1</f>
        <v>0.713777777777778</v>
      </c>
      <c r="O151" s="18" t="n">
        <f aca="false">+O150/K150-1</f>
        <v>0.457627118644068</v>
      </c>
      <c r="P151" s="18" t="n">
        <f aca="false">+P150/L150-1</f>
        <v>0.706654170571696</v>
      </c>
      <c r="Q151" s="18" t="e">
        <f aca="false">+Q150/M150-1</f>
        <v>#DIV/0!</v>
      </c>
      <c r="R151" s="18" t="n">
        <f aca="false">+R150/N150-1</f>
        <v>0.0487551867219918</v>
      </c>
      <c r="S151" s="18" t="n">
        <f aca="false">+S150/O150-1</f>
        <v>0.0771670190274842</v>
      </c>
      <c r="T151" s="18" t="n">
        <f aca="false">+T150/P150-1</f>
        <v>0.14607358594179</v>
      </c>
      <c r="U151" s="18" t="n">
        <f aca="false">+U150/Q150-1</f>
        <v>0.198525241066364</v>
      </c>
      <c r="AE151" s="18" t="n">
        <f aca="false">+AE150/AE$154</f>
        <v>0.0561600020552608</v>
      </c>
      <c r="AF151" s="18" t="n">
        <f aca="false">+AF150/AF$154</f>
        <v>0.0548984832955213</v>
      </c>
      <c r="AO151" s="18" t="n">
        <f aca="false">+AO150/AO$154</f>
        <v>0.0302810088950759</v>
      </c>
      <c r="AP151" s="18" t="n">
        <f aca="false">+AP150/AP$154</f>
        <v>0.0271211886325993</v>
      </c>
      <c r="AQ151" s="18" t="n">
        <f aca="false">+AQ150/AQ$154</f>
        <v>0.0262810410188695</v>
      </c>
      <c r="AR151" s="18" t="n">
        <f aca="false">+AR150/AR$154</f>
        <v>0.0248915889934577</v>
      </c>
    </row>
    <row r="152" s="45" customFormat="true" ht="12.8" hidden="false" customHeight="true" outlineLevel="0" collapsed="false">
      <c r="A152" s="1" t="s">
        <v>176</v>
      </c>
      <c r="B152" s="5" t="n">
        <v>1348</v>
      </c>
      <c r="C152" s="5" t="n">
        <v>1359</v>
      </c>
      <c r="D152" s="5" t="n">
        <v>1428</v>
      </c>
      <c r="E152" s="5"/>
      <c r="F152" s="5" t="n">
        <v>56</v>
      </c>
      <c r="G152" s="5" t="n">
        <v>39</v>
      </c>
      <c r="H152" s="5" t="n">
        <v>16</v>
      </c>
      <c r="I152" s="5"/>
      <c r="J152" s="5" t="n">
        <v>8</v>
      </c>
      <c r="K152" s="5" t="n">
        <v>11</v>
      </c>
      <c r="L152" s="5" t="n">
        <v>14</v>
      </c>
      <c r="M152" s="5"/>
      <c r="N152" s="5" t="n">
        <v>10</v>
      </c>
      <c r="O152" s="5" t="n">
        <v>10</v>
      </c>
      <c r="P152" s="5" t="n">
        <v>46</v>
      </c>
      <c r="Q152" s="5" t="n">
        <f aca="false">+AQ152-P152-O152-N152</f>
        <v>6</v>
      </c>
      <c r="R152" s="5" t="n">
        <v>3</v>
      </c>
      <c r="S152" s="5" t="n">
        <v>6</v>
      </c>
      <c r="T152" s="5" t="n">
        <v>3</v>
      </c>
      <c r="U152" s="5" t="n">
        <f aca="false">+AR152-T152-S152-R152</f>
        <v>97</v>
      </c>
      <c r="V152" s="5"/>
      <c r="W152" s="5"/>
      <c r="X152" s="5"/>
      <c r="Y152" s="5"/>
      <c r="Z152" s="5"/>
      <c r="AA152" s="5"/>
      <c r="AB152" s="5"/>
      <c r="AC152" s="5"/>
      <c r="AD152" s="5" t="n">
        <f aca="false">+4508+0+162</f>
        <v>4670</v>
      </c>
      <c r="AE152" s="5" t="n">
        <f aca="false">+5590+853+615</f>
        <v>7058</v>
      </c>
      <c r="AF152" s="5" t="n">
        <f aca="false">+6217+1883+3073</f>
        <v>11173</v>
      </c>
      <c r="AG152" s="5"/>
      <c r="AH152" s="5"/>
      <c r="AI152" s="5"/>
      <c r="AJ152" s="5"/>
      <c r="AK152" s="5"/>
      <c r="AL152" s="5"/>
      <c r="AM152" s="5"/>
      <c r="AN152" s="5"/>
      <c r="AO152" s="5" t="n">
        <v>119</v>
      </c>
      <c r="AP152" s="5" t="n">
        <v>45</v>
      </c>
      <c r="AQ152" s="5" t="n">
        <v>72</v>
      </c>
      <c r="AR152" s="5" t="n">
        <v>109</v>
      </c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</row>
    <row r="153" s="47" customFormat="true" ht="10.5" hidden="false" customHeight="true" outlineLevel="0" collapsed="false">
      <c r="A153" s="18"/>
      <c r="B153" s="18"/>
      <c r="C153" s="18"/>
      <c r="D153" s="18"/>
      <c r="E153" s="18"/>
      <c r="F153" s="18" t="n">
        <f aca="false">+F152/B152-1</f>
        <v>-0.958456973293769</v>
      </c>
      <c r="G153" s="18" t="n">
        <f aca="false">+G152/C152-1</f>
        <v>-0.971302428256071</v>
      </c>
      <c r="H153" s="18" t="n">
        <f aca="false">+H152/D152-1</f>
        <v>-0.988795518207283</v>
      </c>
      <c r="I153" s="18" t="e">
        <f aca="false">+I152/E152-1</f>
        <v>#DIV/0!</v>
      </c>
      <c r="J153" s="18" t="n">
        <f aca="false">+J152/F152-1</f>
        <v>-0.857142857142857</v>
      </c>
      <c r="K153" s="18" t="n">
        <f aca="false">+K152/G152-1</f>
        <v>-0.717948717948718</v>
      </c>
      <c r="L153" s="18" t="n">
        <f aca="false">+L152/H152-1</f>
        <v>-0.125</v>
      </c>
      <c r="M153" s="18" t="e">
        <f aca="false">+M152/I152-1</f>
        <v>#DIV/0!</v>
      </c>
      <c r="N153" s="18" t="n">
        <f aca="false">+N152/J152-1</f>
        <v>0.25</v>
      </c>
      <c r="O153" s="18" t="n">
        <f aca="false">+O152/K152-1</f>
        <v>-0.0909090909090909</v>
      </c>
      <c r="P153" s="18" t="n">
        <f aca="false">+P152/L152-1</f>
        <v>2.28571428571429</v>
      </c>
      <c r="Q153" s="18" t="e">
        <f aca="false">+Q152/M152-1</f>
        <v>#DIV/0!</v>
      </c>
      <c r="R153" s="18" t="n">
        <f aca="false">+R152/N152-1</f>
        <v>-0.7</v>
      </c>
      <c r="S153" s="18" t="n">
        <f aca="false">+S152/O152-1</f>
        <v>-0.4</v>
      </c>
      <c r="T153" s="18" t="n">
        <f aca="false">+T152/P152-1</f>
        <v>-0.934782608695652</v>
      </c>
      <c r="U153" s="18" t="n">
        <f aca="false">+U152/Q152-1</f>
        <v>15.1666666666667</v>
      </c>
      <c r="V153" s="18"/>
      <c r="W153" s="18"/>
      <c r="X153" s="18"/>
      <c r="Y153" s="18"/>
      <c r="Z153" s="18"/>
      <c r="AA153" s="18"/>
      <c r="AB153" s="18"/>
      <c r="AC153" s="18"/>
      <c r="AD153" s="18"/>
      <c r="AE153" s="18" t="n">
        <f aca="false">+AE152/AE$154</f>
        <v>0.0906626931624042</v>
      </c>
      <c r="AF153" s="18" t="n">
        <f aca="false">+AF152/AF$154</f>
        <v>0.12867227897228</v>
      </c>
      <c r="AG153" s="18"/>
      <c r="AH153" s="18"/>
      <c r="AI153" s="18"/>
      <c r="AJ153" s="18"/>
      <c r="AK153" s="18"/>
      <c r="AL153" s="18"/>
      <c r="AM153" s="18"/>
      <c r="AN153" s="18"/>
      <c r="AO153" s="18" t="n">
        <f aca="false">+AO152/AO$154</f>
        <v>0.000561545902838402</v>
      </c>
      <c r="AP153" s="18" t="n">
        <f aca="false">+AP152/AP$154</f>
        <v>0.000183582053018497</v>
      </c>
      <c r="AQ153" s="18" t="n">
        <f aca="false">+AQ152/AQ$154</f>
        <v>0.000255569280572475</v>
      </c>
      <c r="AR153" s="18" t="n">
        <f aca="false">+AR152/AR$154</f>
        <v>0.000328472542407613</v>
      </c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45"/>
      <c r="BD153" s="27"/>
      <c r="BE153" s="27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</row>
    <row r="154" customFormat="false" ht="12.8" hidden="false" customHeight="true" outlineLevel="0" collapsed="false">
      <c r="A154" s="19" t="s">
        <v>82</v>
      </c>
      <c r="B154" s="20" t="n">
        <f aca="false">+B152+B150+B148+B146+B144+B142+B140+B138+B136+B134</f>
        <v>50122</v>
      </c>
      <c r="C154" s="20" t="n">
        <f aca="false">+C152+C150+C148+C146+C144+C142+C140+C138+C136+C134</f>
        <v>52747</v>
      </c>
      <c r="D154" s="20" t="n">
        <f aca="false">+D152+D150+D148+D146+D144+D142+D140+D138+D136+D134</f>
        <v>52857</v>
      </c>
      <c r="E154" s="20" t="n">
        <f aca="false">+E152+E150+E148+E146+E144+E142+E140+E138+E136+E134</f>
        <v>0</v>
      </c>
      <c r="F154" s="20" t="n">
        <f aca="false">+F152+F150+F148+F146+F144+F142+F140+F138+F136+F134</f>
        <v>50122</v>
      </c>
      <c r="G154" s="20" t="n">
        <f aca="false">+G152+G150+G148+G146+G144+G142+G140+G138+G136+G134</f>
        <v>52747</v>
      </c>
      <c r="H154" s="20" t="n">
        <f aca="false">+H152+H150+H148+H146+H144+H142+H140+H138+H136+H134</f>
        <v>52857</v>
      </c>
      <c r="I154" s="20" t="n">
        <f aca="false">+I152+I150+I148+I146+I144+I142+I140+I138+I136+I134</f>
        <v>0</v>
      </c>
      <c r="J154" s="20" t="n">
        <f aca="false">+J152+J150+J148+J146+J144+J142+J140+J138+J136+J134</f>
        <v>56517</v>
      </c>
      <c r="K154" s="20" t="n">
        <f aca="false">+K152+K150+K148+K146+K144+K142+K140+K138+K136+K134</f>
        <v>62020</v>
      </c>
      <c r="L154" s="20" t="n">
        <f aca="false">+L152+L150+L148+L146+L144+L142+L140+L138+L136+L134</f>
        <v>61858</v>
      </c>
      <c r="M154" s="20" t="n">
        <f aca="false">+M152+M150+M148+M146+M144+M142+M140+M138+M136+M134</f>
        <v>0</v>
      </c>
      <c r="N154" s="20" t="n">
        <f aca="false">+N152+N150+N148+N146+N144+N142+N140+N138+N136+N134</f>
        <v>65585</v>
      </c>
      <c r="O154" s="20" t="n">
        <f aca="false">+O152+O150+O148+O146+O144+O142+O140+O138+O136+O134</f>
        <v>69632</v>
      </c>
      <c r="P154" s="20" t="n">
        <f aca="false">+P152+P150+P148+P146+P144+P142+P140+P138+P136+P134</f>
        <v>70066</v>
      </c>
      <c r="Q154" s="20" t="n">
        <f aca="false">+Q152+Q150+Q148+Q146+Q144+Q142+Q140+Q138+Q136+Q134</f>
        <v>76441</v>
      </c>
      <c r="R154" s="20" t="n">
        <f aca="false">+R152+R150+R148+R146+R144+R142+R140+R138+R136+R134</f>
        <v>77673</v>
      </c>
      <c r="S154" s="20" t="n">
        <f aca="false">+S152+S150+S148+S146+S144+S142+S140+S138+S136+S134</f>
        <v>81273</v>
      </c>
      <c r="T154" s="20" t="n">
        <f aca="false">+T152+T150+T148+T146+T144+T142+T140+T138+T136+T134</f>
        <v>82886</v>
      </c>
      <c r="U154" s="20" t="n">
        <f aca="false">+U152+U150+U148+U146+U144+U142+U140+U138+U136+U134</f>
        <v>90007</v>
      </c>
      <c r="V154" s="20"/>
      <c r="W154" s="20"/>
      <c r="X154" s="20"/>
      <c r="Y154" s="20"/>
      <c r="Z154" s="20"/>
      <c r="AA154" s="20"/>
      <c r="AB154" s="20" t="n">
        <f aca="false">+AB152+AB150+AB148+AB146+AB144+AB142+AB140+AB138+AB136+AB134</f>
        <v>0</v>
      </c>
      <c r="AC154" s="20" t="n">
        <f aca="false">+AC152+AC150+AC148+AC146+AC144+AC142+AC140+AC138+AC136+AC134</f>
        <v>0</v>
      </c>
      <c r="AD154" s="20" t="n">
        <f aca="false">+AD152+AD150+AD148+AD146+AD144+AD142+AD140+AD138+AD136+AD134</f>
        <v>73723</v>
      </c>
      <c r="AE154" s="20" t="n">
        <f aca="false">+AE152+AE150+AE148+AE146+AE144+AE142+AE140+AE138+AE136+AE134</f>
        <v>77849</v>
      </c>
      <c r="AF154" s="20" t="n">
        <f aca="false">+AF152+AF150+AF148+AF146+AF144+AF142+AF140+AF138+AF136+AF134</f>
        <v>86833</v>
      </c>
      <c r="AG154" s="20" t="n">
        <f aca="false">+AG152+AG150+AG148+AG146+AG144+AG142+AG140+AG138+AG136+AG134</f>
        <v>0</v>
      </c>
      <c r="AH154" s="20" t="n">
        <f aca="false">+AH152+AH150+AH148+AH146+AH144+AH142+AH140+AH138+AH136+AH134</f>
        <v>0</v>
      </c>
      <c r="AI154" s="20" t="n">
        <f aca="false">+AI152+AI150+AI148+AI146+AI144+AI142+AI140+AI138+AI136+AI134</f>
        <v>0</v>
      </c>
      <c r="AJ154" s="20" t="n">
        <f aca="false">+AJ152+AJ150+AJ148+AJ146+AJ144+AJ142+AJ140+AJ138+AJ136+AJ134</f>
        <v>0</v>
      </c>
      <c r="AK154" s="20" t="n">
        <f aca="false">+AK152+AK150+AK148+AK146+AK144+AK142+AK140+AK138+AK136+AK134</f>
        <v>0</v>
      </c>
      <c r="AL154" s="20" t="n">
        <f aca="false">+AL152+AL150+AL148+AL146+AL144+AL142+AL140+AL138+AL136+AL134</f>
        <v>0</v>
      </c>
      <c r="AM154" s="20" t="n">
        <f aca="false">+AM152+AM150+AM148+AM146+AM144+AM142+AM140+AM138+AM136+AM134</f>
        <v>0</v>
      </c>
      <c r="AN154" s="20" t="n">
        <f aca="false">+AN152+AN150+AN148+AN146+AN144+AN142+AN140+AN138+AN136+AN134</f>
        <v>0</v>
      </c>
      <c r="AO154" s="20" t="n">
        <f aca="false">+AO152+AO150+AO148+AO146+AO144+AO142+AO140+AO138+AO136+AO134</f>
        <v>211915</v>
      </c>
      <c r="AP154" s="20" t="n">
        <f aca="false">+AP152+AP150+AP148+AP146+AP144+AP142+AP140+AP138+AP136+AP134</f>
        <v>245122</v>
      </c>
      <c r="AQ154" s="20" t="n">
        <f aca="false">+AQ152+AQ150+AQ148+AQ146+AQ144+AQ142+AQ140+AQ138+AQ136+AQ134</f>
        <v>281724</v>
      </c>
      <c r="AR154" s="20" t="n">
        <f aca="false">+AR152+AR150+AR148+AR146+AR144+AR142+AR140+AR138+AR136+AR134</f>
        <v>331839</v>
      </c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</row>
    <row r="157" customFormat="false" ht="12.8" hidden="false" customHeight="true" outlineLevel="0" collapsed="false">
      <c r="A157" s="5" t="s">
        <v>177</v>
      </c>
      <c r="C157" s="5" t="e">
        <f aca="false">+AVERAGE(B70:C70)/C13*90</f>
        <v>#DIV/0!</v>
      </c>
      <c r="D157" s="5" t="e">
        <f aca="false">+AVERAGE(C70:D70)/D13*90</f>
        <v>#DIV/0!</v>
      </c>
      <c r="E157" s="5" t="n">
        <f aca="false">+AVERAGE(D70:E70)/E13*90</f>
        <v>76.8049744529066</v>
      </c>
      <c r="F157" s="5" t="n">
        <f aca="false">+AVERAGE(E70:F70)/F13*90</f>
        <v>79.4758788555924</v>
      </c>
      <c r="G157" s="5" t="e">
        <f aca="false">+AVERAGE(F70:G70)/G13*90</f>
        <v>#DIV/0!</v>
      </c>
      <c r="H157" s="5" t="n">
        <f aca="false">+AVERAGE(G70:H70)/H13*90</f>
        <v>63.7153073386685</v>
      </c>
      <c r="I157" s="5" t="n">
        <f aca="false">+AVERAGE(H70:I70)/I13*90</f>
        <v>68.961184573493</v>
      </c>
      <c r="J157" s="5" t="n">
        <f aca="false">+AVERAGE(I70:J70)/J13*90</f>
        <v>68.1891289346568</v>
      </c>
      <c r="K157" s="5" t="n">
        <f aca="false">+AVERAGE(J70:K70)/K13*90</f>
        <v>53.6241534988713</v>
      </c>
      <c r="L157" s="5" t="e">
        <f aca="false">+AVERAGE(K70:L70)/L13*90</f>
        <v>#DIV/0!</v>
      </c>
      <c r="M157" s="5" t="n">
        <f aca="false">+AVERAGE(L70:M70)/M13*90</f>
        <v>79.1502773185842</v>
      </c>
      <c r="N157" s="5" t="n">
        <f aca="false">+AVERAGE(M70:N70)/N13*90</f>
        <v>69.3487840207365</v>
      </c>
      <c r="O157" s="5" t="n">
        <f aca="false">+AVERAGE(N70:O70)/O13*90</f>
        <v>59.6725643382353</v>
      </c>
      <c r="P157" s="5" t="n">
        <f aca="false">+AVERAGE(O70:P70)/P13*90</f>
        <v>64.1532269574401</v>
      </c>
      <c r="Q157" s="5" t="n">
        <f aca="false">+AVERAGE(P70:Q70)/Q13*90</f>
        <v>71.5875642652503</v>
      </c>
      <c r="R157" s="5" t="n">
        <f aca="false">+AVERAGE(Q70:R70)/R13*90</f>
        <v>71.1438337646286</v>
      </c>
      <c r="S157" s="5" t="n">
        <f aca="false">+AVERAGE(R70:S70)/S13*90</f>
        <v>60.5896792292643</v>
      </c>
      <c r="T157" s="5" t="n">
        <f aca="false">+AVERAGE(S70:T70)/T13*90</f>
        <v>63.2907849335232</v>
      </c>
      <c r="U157" s="5" t="n">
        <f aca="false">+AVERAGE(T70:U70)/U13*90</f>
        <v>70.4530203206417</v>
      </c>
      <c r="AC157" s="5" t="n">
        <f aca="false">+AVERAGE(AB70:AC70)/AC13*365</f>
        <v>73.062100567605</v>
      </c>
      <c r="AD157" s="5" t="n">
        <f aca="false">+AVERAGE(AC70:AD70)/AD13*365</f>
        <v>76.1631716018068</v>
      </c>
      <c r="AE157" s="5" t="n">
        <f aca="false">+AVERAGE(AD70:AE70)/AE13*365</f>
        <v>77.9848809875528</v>
      </c>
      <c r="AF157" s="5" t="n">
        <f aca="false">+AVERAGE(AE70:AF70)/AF13*365</f>
        <v>77.8272661315399</v>
      </c>
      <c r="AG157" s="5" t="n">
        <f aca="false">+AVERAGE(AF70:AG70)/AG13*365</f>
        <v>73.0390040606967</v>
      </c>
      <c r="AH157" s="5" t="n">
        <f aca="false">+AVERAGE(AG70:AH70)/AH13*365</f>
        <v>77.3999355368026</v>
      </c>
      <c r="AI157" s="5" t="n">
        <f aca="false">+AVERAGE(AH70:AI70)/AI13*365</f>
        <v>82.592662590328</v>
      </c>
      <c r="AJ157" s="5" t="n">
        <f aca="false">+AVERAGE(AI70:AJ70)/AJ13*365</f>
        <v>80.8847408481334</v>
      </c>
      <c r="AK157" s="5" t="n">
        <f aca="false">+AVERAGE(AJ70:AK70)/AK13*365</f>
        <v>81.2195553189291</v>
      </c>
      <c r="AL157" s="5" t="n">
        <f aca="false">+AVERAGE(AK70:AL70)/AL13*365</f>
        <v>78.5241932664406</v>
      </c>
      <c r="AM157" s="5" t="n">
        <f aca="false">+AVERAGE(AL70:AM70)/AM13*365</f>
        <v>76.0604861739089</v>
      </c>
      <c r="AN157" s="5" t="n">
        <f aca="false">+AVERAGE(AM70:AN70)/AN13*365</f>
        <v>75.7577041408181</v>
      </c>
      <c r="AO157" s="5" t="n">
        <f aca="false">+AVERAGE(AN70:AO70)/AO13*365</f>
        <v>80.0471533397825</v>
      </c>
      <c r="AP157" s="5" t="n">
        <f aca="false">+AVERAGE(AO70:AP70)/AP13*365</f>
        <v>78.6310082326352</v>
      </c>
      <c r="AQ157" s="5" t="n">
        <f aca="false">+AVERAGE(AP70:AQ70)/AQ13*365</f>
        <v>82.1594628075705</v>
      </c>
      <c r="AR157" s="5" t="n">
        <f aca="false">+AVERAGE(AQ70:AR70)/AR13*365</f>
        <v>82.9243473491663</v>
      </c>
      <c r="AS157" s="46" t="n">
        <v>81</v>
      </c>
      <c r="AT157" s="46" t="n">
        <f aca="false">+AS157-1</f>
        <v>80</v>
      </c>
      <c r="AU157" s="46" t="n">
        <v>80</v>
      </c>
      <c r="AV157" s="46" t="n">
        <f aca="false">+AU157-1</f>
        <v>79</v>
      </c>
      <c r="AW157" s="46" t="n">
        <v>79</v>
      </c>
      <c r="AX157" s="46" t="n">
        <f aca="false">+AW157-1</f>
        <v>78</v>
      </c>
      <c r="AY157" s="46" t="n">
        <v>78</v>
      </c>
      <c r="AZ157" s="46" t="n">
        <f aca="false">+AY157-1</f>
        <v>77</v>
      </c>
      <c r="BA157" s="46" t="n">
        <v>77</v>
      </c>
      <c r="BB157" s="46" t="n">
        <f aca="false">+BA157-1</f>
        <v>76</v>
      </c>
    </row>
    <row r="158" customFormat="false" ht="12.8" hidden="false" customHeight="true" outlineLevel="0" collapsed="false">
      <c r="A158" s="5" t="s">
        <v>178</v>
      </c>
      <c r="C158" s="5" t="e">
        <f aca="false">+AVERAGE(B71:C71)/C19*90</f>
        <v>#DIV/0!</v>
      </c>
      <c r="D158" s="5" t="e">
        <f aca="false">+AVERAGE(C71:D71)/D19*90</f>
        <v>#DIV/0!</v>
      </c>
      <c r="E158" s="5" t="n">
        <f aca="false">+AVERAGE(D71:E71)/E19*90</f>
        <v>20.4991174143283</v>
      </c>
      <c r="F158" s="5" t="n">
        <f aca="false">+AVERAGE(E71:F71)/F19*90</f>
        <v>21.7952368625421</v>
      </c>
      <c r="G158" s="5" t="e">
        <f aca="false">+AVERAGE(F71:G71)/G19*90</f>
        <v>#DIV/0!</v>
      </c>
      <c r="H158" s="5" t="n">
        <f aca="false">+AVERAGE(G71:H71)/H19*90</f>
        <v>16.0546875</v>
      </c>
      <c r="I158" s="5" t="n">
        <f aca="false">+AVERAGE(H71:I71)/I19*90</f>
        <v>14.4069663590354</v>
      </c>
      <c r="J158" s="5" t="n">
        <f aca="false">+AVERAGE(I71:J71)/J19*90</f>
        <v>15.1821862348178</v>
      </c>
      <c r="K158" s="5" t="n">
        <f aca="false">+AVERAGE(J71:K71)/K19*90</f>
        <v>13.759364011619</v>
      </c>
      <c r="L158" s="5" t="e">
        <f aca="false">+AVERAGE(K71:L71)/L19*90</f>
        <v>#DIV/0!</v>
      </c>
      <c r="M158" s="5" t="n">
        <f aca="false">+AVERAGE(L71:M71)/M19*90</f>
        <v>5.69701280227596</v>
      </c>
      <c r="N158" s="5" t="n">
        <f aca="false">+AVERAGE(M71:N71)/N19*90</f>
        <v>6.43017065525648</v>
      </c>
      <c r="O158" s="5" t="n">
        <f aca="false">+AVERAGE(N71:O71)/O19*90</f>
        <v>5.23303821276205</v>
      </c>
      <c r="P158" s="5" t="n">
        <f aca="false">+AVERAGE(O71:P71)/P19*90</f>
        <v>3.60714448651855</v>
      </c>
      <c r="Q158" s="5" t="n">
        <f aca="false">+AVERAGE(P71:Q71)/Q19*90</f>
        <v>3.34679770134088</v>
      </c>
      <c r="R158" s="5" t="n">
        <f aca="false">+AVERAGE(Q71:R71)/R19*90</f>
        <v>3.8705652372832</v>
      </c>
      <c r="S158" s="5" t="n">
        <f aca="false">+AVERAGE(R71:S71)/S19*90</f>
        <v>3.79186234506121</v>
      </c>
      <c r="T158" s="5" t="n">
        <f aca="false">+AVERAGE(S71:T71)/T19*90</f>
        <v>3.82100790219174</v>
      </c>
      <c r="U158" s="5" t="n">
        <f aca="false">+AVERAGE(T71:U71)/U19*90</f>
        <v>3.98712955122777</v>
      </c>
      <c r="AC158" s="5" t="n">
        <f aca="false">+AVERAGE(AB71:AC71)/AC19*365</f>
        <v>24.7441741028439</v>
      </c>
      <c r="AD158" s="5" t="n">
        <f aca="false">+AVERAGE(AC71:AD71)/AD19*365</f>
        <v>26.1205077010839</v>
      </c>
      <c r="AE158" s="5" t="n">
        <f aca="false">+AVERAGE(AD71:AE71)/AE19*365</f>
        <v>27.7143315719295</v>
      </c>
      <c r="AF158" s="5" t="n">
        <f aca="false">+AVERAGE(AE71:AF71)/AF19*365</f>
        <v>30.9895487111308</v>
      </c>
      <c r="AG158" s="5" t="n">
        <f aca="false">+AVERAGE(AF71:AG71)/AG19*365</f>
        <v>30.7241661117501</v>
      </c>
      <c r="AH158" s="5" t="n">
        <f aca="false">+AVERAGE(AG71:AH71)/AH19*365</f>
        <v>28.6889109212935</v>
      </c>
      <c r="AI158" s="5" t="n">
        <f aca="false">+AVERAGE(AH71:AI71)/AI19*365</f>
        <v>23.6081842328011</v>
      </c>
      <c r="AJ158" s="5" t="n">
        <f aca="false">+AVERAGE(AI71:AJ71)/AJ19*365</f>
        <v>23.0450681824108</v>
      </c>
      <c r="AK158" s="5" t="n">
        <f aca="false">+AVERAGE(AJ71:AK71)/AK19*365</f>
        <v>20.0958401305057</v>
      </c>
      <c r="AL158" s="5" t="n">
        <f aca="false">+AVERAGE(AK71:AL71)/AL19*365</f>
        <v>15.6763531403273</v>
      </c>
      <c r="AM158" s="5" t="n">
        <f aca="false">+AVERAGE(AL71:AM71)/AM19*365</f>
        <v>15.8314347526421</v>
      </c>
      <c r="AN158" s="5" t="n">
        <f aca="false">+AVERAGE(AM71:AN71)/AN19*365</f>
        <v>18.5791699920192</v>
      </c>
      <c r="AO158" s="5" t="n">
        <f aca="false">+AVERAGE(AN71:AO71)/AO19*365</f>
        <v>17.2959780149705</v>
      </c>
      <c r="AP158" s="5" t="n">
        <f aca="false">+AVERAGE(AO71:AP71)/AP19*365</f>
        <v>9.22423563699166</v>
      </c>
      <c r="AQ158" s="5" t="n">
        <f aca="false">+AVERAGE(AP71:AQ71)/AQ19*365</f>
        <v>4.53803326843597</v>
      </c>
      <c r="AR158" s="5" t="n">
        <f aca="false">+AVERAGE(AQ71:AR71)/AR19*365</f>
        <v>4.0060306089834</v>
      </c>
      <c r="AS158" s="46" t="n">
        <v>5</v>
      </c>
      <c r="AT158" s="46" t="n">
        <v>5</v>
      </c>
      <c r="AU158" s="46" t="n">
        <v>5</v>
      </c>
      <c r="AV158" s="46" t="n">
        <v>5</v>
      </c>
      <c r="AW158" s="46" t="n">
        <v>5</v>
      </c>
      <c r="AX158" s="46" t="n">
        <v>5</v>
      </c>
      <c r="AY158" s="46" t="n">
        <v>5</v>
      </c>
      <c r="AZ158" s="46" t="n">
        <v>5</v>
      </c>
      <c r="BA158" s="46" t="n">
        <v>5</v>
      </c>
      <c r="BB158" s="46" t="n">
        <v>5</v>
      </c>
      <c r="BD158" s="27"/>
      <c r="BE158" s="27"/>
    </row>
    <row r="159" customFormat="false" ht="12.8" hidden="false" customHeight="true" outlineLevel="0" collapsed="false">
      <c r="A159" s="5" t="s">
        <v>179</v>
      </c>
      <c r="C159" s="5" t="e">
        <f aca="false">+AVERAGE(B80:C80)/C19*90</f>
        <v>#DIV/0!</v>
      </c>
      <c r="D159" s="5" t="e">
        <f aca="false">+AVERAGE(C80:D80)/D19*90</f>
        <v>#DIV/0!</v>
      </c>
      <c r="E159" s="5" t="n">
        <f aca="false">+AVERAGE(D80:E80)/E19*90</f>
        <v>104.084241280662</v>
      </c>
      <c r="F159" s="5" t="n">
        <f aca="false">+AVERAGE(E80:F80)/F19*90</f>
        <v>110.665286047114</v>
      </c>
      <c r="G159" s="5" t="e">
        <f aca="false">+AVERAGE(F80:G80)/G19*90</f>
        <v>#DIV/0!</v>
      </c>
      <c r="H159" s="5" t="n">
        <f aca="false">+AVERAGE(G80:H80)/H19*90</f>
        <v>85.4073660714286</v>
      </c>
      <c r="I159" s="5" t="n">
        <f aca="false">+AVERAGE(H80:I80)/I19*90</f>
        <v>89.4909199166419</v>
      </c>
      <c r="J159" s="5" t="n">
        <f aca="false">+AVERAGE(I80:J80)/J19*90</f>
        <v>103.244387191756</v>
      </c>
      <c r="K159" s="5" t="n">
        <f aca="false">+AVERAGE(J80:K80)/K19*90</f>
        <v>88.5506803241095</v>
      </c>
      <c r="L159" s="5" t="e">
        <f aca="false">+AVERAGE(K80:L80)/L19*90</f>
        <v>#DIV/0!</v>
      </c>
      <c r="M159" s="5" t="n">
        <f aca="false">+AVERAGE(L80:M80)/M19*90</f>
        <v>100.57102214997</v>
      </c>
      <c r="N159" s="5" t="n">
        <f aca="false">+AVERAGE(M80:N80)/N19*90</f>
        <v>100.222896661525</v>
      </c>
      <c r="O159" s="5" t="n">
        <f aca="false">+AVERAGE(N80:O80)/O19*90</f>
        <v>93.6703518510023</v>
      </c>
      <c r="P159" s="5" t="n">
        <f aca="false">+AVERAGE(O80:P80)/P19*90</f>
        <v>100.306127104339</v>
      </c>
      <c r="Q159" s="5" t="n">
        <f aca="false">+AVERAGE(P80:Q80)/Q19*90</f>
        <v>101.14225035396</v>
      </c>
      <c r="R159" s="5" t="n">
        <f aca="false">+AVERAGE(Q80:R80)/R19*90</f>
        <v>112.867778563407</v>
      </c>
      <c r="S159" s="5" t="n">
        <f aca="false">+AVERAGE(R80:S80)/S19*90</f>
        <v>121.097082146432</v>
      </c>
      <c r="T159" s="5" t="n">
        <f aca="false">+AVERAGE(S80:T80)/T19*90</f>
        <v>125.534702549575</v>
      </c>
      <c r="U159" s="5" t="n">
        <f aca="false">+AVERAGE(T80:U80)/U19*90</f>
        <v>121.822353937341</v>
      </c>
      <c r="AC159" s="5" t="n">
        <f aca="false">+AVERAGE(AB80:AC80)/AC19*365</f>
        <v>96.328882326507</v>
      </c>
      <c r="AD159" s="5" t="n">
        <f aca="false">+AVERAGE(AC80:AD80)/AD19*365</f>
        <v>87.1585852823731</v>
      </c>
      <c r="AE159" s="5" t="n">
        <f aca="false">+AVERAGE(AD80:AE80)/AE19*365</f>
        <v>81.1421551681565</v>
      </c>
      <c r="AF159" s="5" t="n">
        <f aca="false">+AVERAGE(AE80:AF80)/AF19*365</f>
        <v>82.6298101780043</v>
      </c>
      <c r="AG159" s="5" t="n">
        <f aca="false">+AVERAGE(AF80:AG80)/AG19*365</f>
        <v>77.4622404503905</v>
      </c>
      <c r="AH159" s="5" t="n">
        <f aca="false">+AVERAGE(AG80:AH80)/AH19*365</f>
        <v>75.0989170225747</v>
      </c>
      <c r="AI159" s="5" t="n">
        <f aca="false">+AVERAGE(AH80:AI80)/AI19*365</f>
        <v>76.1086950176586</v>
      </c>
      <c r="AJ159" s="5" t="n">
        <f aca="false">+AVERAGE(AI80:AJ80)/AJ19*365</f>
        <v>76.1681615518995</v>
      </c>
      <c r="AK159" s="5" t="n">
        <f aca="false">+AVERAGE(AJ80:AK80)/AK19*365</f>
        <v>76.5513283616873</v>
      </c>
      <c r="AL159" s="5" t="n">
        <f aca="false">+AVERAGE(AK80:AL80)/AL19*365</f>
        <v>86.7863188506446</v>
      </c>
      <c r="AM159" s="5" t="n">
        <f aca="false">+AVERAGE(AL80:AM80)/AM19*365</f>
        <v>96.7600800275693</v>
      </c>
      <c r="AN159" s="5" t="n">
        <f aca="false">+AVERAGE(AM80:AN80)/AN19*365</f>
        <v>99.517118914605</v>
      </c>
      <c r="AO159" s="5" t="n">
        <f aca="false">+AVERAGE(AN80:AO80)/AO19*365</f>
        <v>102.786655633664</v>
      </c>
      <c r="AP159" s="5" t="n">
        <f aca="false">+AVERAGE(AO80:AP80)/AP19*365</f>
        <v>98.7209906360472</v>
      </c>
      <c r="AQ159" s="5" t="n">
        <f aca="false">+AVERAGE(AP80:AQ80)/AQ19*365</f>
        <v>103.31090389498</v>
      </c>
      <c r="AR159" s="5" t="n">
        <f aca="false">+AVERAGE(AQ80:AR80)/AR19*365</f>
        <v>120.33532630154</v>
      </c>
      <c r="AS159" s="46" t="n">
        <v>104</v>
      </c>
      <c r="AT159" s="46" t="n">
        <f aca="false">+AS159+1</f>
        <v>105</v>
      </c>
      <c r="AU159" s="46" t="n">
        <v>105</v>
      </c>
      <c r="AV159" s="46" t="n">
        <f aca="false">+AU159+1</f>
        <v>106</v>
      </c>
      <c r="AW159" s="46" t="n">
        <v>106</v>
      </c>
      <c r="AX159" s="46" t="n">
        <f aca="false">+AW159+1</f>
        <v>107</v>
      </c>
      <c r="AY159" s="46" t="n">
        <v>107</v>
      </c>
      <c r="AZ159" s="46" t="n">
        <f aca="false">+AY159+1</f>
        <v>108</v>
      </c>
      <c r="BA159" s="46" t="n">
        <f aca="false">+AZ159+1</f>
        <v>109</v>
      </c>
      <c r="BB159" s="46" t="n">
        <f aca="false">+BA159+1</f>
        <v>110</v>
      </c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</row>
    <row r="160" customFormat="false" ht="12.8" hidden="false" customHeight="true" outlineLevel="0" collapsed="false">
      <c r="A160" s="5" t="s">
        <v>180</v>
      </c>
      <c r="C160" s="5" t="e">
        <f aca="false">+C157+C158-C159</f>
        <v>#DIV/0!</v>
      </c>
      <c r="D160" s="5" t="e">
        <f aca="false">+D157+D158-D159</f>
        <v>#DIV/0!</v>
      </c>
      <c r="E160" s="5" t="n">
        <f aca="false">+E157+E158-E159</f>
        <v>-6.78014941342734</v>
      </c>
      <c r="F160" s="5" t="n">
        <f aca="false">+F157+F158-F159</f>
        <v>-9.39417032897921</v>
      </c>
      <c r="G160" s="5" t="e">
        <f aca="false">+G157+G158-G159</f>
        <v>#DIV/0!</v>
      </c>
      <c r="H160" s="5" t="n">
        <f aca="false">+H157+H158-H159</f>
        <v>-5.63737123276009</v>
      </c>
      <c r="I160" s="5" t="n">
        <f aca="false">+I157+I158-I159</f>
        <v>-6.12276898411341</v>
      </c>
      <c r="J160" s="5" t="n">
        <f aca="false">+J157+J158-J159</f>
        <v>-19.873072022281</v>
      </c>
      <c r="K160" s="5" t="n">
        <f aca="false">+K157+K158-K159</f>
        <v>-21.1671628136191</v>
      </c>
      <c r="L160" s="5" t="e">
        <f aca="false">+L157+L158-L159</f>
        <v>#DIV/0!</v>
      </c>
      <c r="M160" s="5" t="n">
        <f aca="false">+M157+M158-M159</f>
        <v>-15.7237320291093</v>
      </c>
      <c r="N160" s="5" t="n">
        <f aca="false">+N157+N158-N159</f>
        <v>-24.4439419855325</v>
      </c>
      <c r="O160" s="5" t="n">
        <f aca="false">+O157+O158-O159</f>
        <v>-28.764749300005</v>
      </c>
      <c r="P160" s="5" t="n">
        <f aca="false">+P157+P158-P159</f>
        <v>-32.54575566038</v>
      </c>
      <c r="Q160" s="5" t="n">
        <f aca="false">+Q157+Q158-Q159</f>
        <v>-26.207888387369</v>
      </c>
      <c r="R160" s="5" t="n">
        <f aca="false">+R157+R158-R159</f>
        <v>-37.8533795614954</v>
      </c>
      <c r="S160" s="5" t="n">
        <f aca="false">+S157+S158-S159</f>
        <v>-56.7155405721061</v>
      </c>
      <c r="T160" s="5" t="n">
        <f aca="false">+T157+T158-T159</f>
        <v>-58.4229097138601</v>
      </c>
      <c r="U160" s="5" t="n">
        <f aca="false">+U157+U158-U159</f>
        <v>-47.3822040654717</v>
      </c>
      <c r="AC160" s="5" t="n">
        <f aca="false">+AC157+AC158-AC159</f>
        <v>1.47739234394194</v>
      </c>
      <c r="AD160" s="5" t="n">
        <f aca="false">+AD157+AD158-AD159</f>
        <v>15.1250940205176</v>
      </c>
      <c r="AE160" s="5" t="n">
        <f aca="false">+AE157+AE158-AE159</f>
        <v>24.5570573913259</v>
      </c>
      <c r="AF160" s="5" t="n">
        <f aca="false">+AF157+AF158-AF159</f>
        <v>26.1870046646664</v>
      </c>
      <c r="AG160" s="5" t="n">
        <f aca="false">+AG157+AG158-AG159</f>
        <v>26.3009297220564</v>
      </c>
      <c r="AH160" s="5" t="n">
        <f aca="false">+AH157+AH158-AH159</f>
        <v>30.9899294355213</v>
      </c>
      <c r="AI160" s="5" t="n">
        <f aca="false">+AI157+AI158-AI159</f>
        <v>30.0921518054706</v>
      </c>
      <c r="AJ160" s="5" t="n">
        <f aca="false">+AJ157+AJ158-AJ159</f>
        <v>27.7616474786447</v>
      </c>
      <c r="AK160" s="5" t="n">
        <f aca="false">+AK157+AK158-AK159</f>
        <v>24.7640670877476</v>
      </c>
      <c r="AL160" s="5" t="n">
        <f aca="false">+AL157+AL158-AL159</f>
        <v>7.41422755612328</v>
      </c>
      <c r="AM160" s="5" t="n">
        <f aca="false">+AM157+AM158-AM159</f>
        <v>-4.86815910101835</v>
      </c>
      <c r="AN160" s="5" t="n">
        <f aca="false">+AN157+AN158-AN159</f>
        <v>-5.18024478176771</v>
      </c>
      <c r="AO160" s="5" t="n">
        <f aca="false">+AO157+AO158-AO159</f>
        <v>-5.4435242789109</v>
      </c>
      <c r="AP160" s="5" t="n">
        <f aca="false">+AP157+AP158-AP159</f>
        <v>-10.8657467664203</v>
      </c>
      <c r="AQ160" s="5" t="n">
        <f aca="false">+AQ157+AQ158-AQ159</f>
        <v>-16.6134078189736</v>
      </c>
      <c r="AR160" s="5" t="n">
        <f aca="false">+AR157+AR158-AR159</f>
        <v>-33.4049483433901</v>
      </c>
      <c r="AS160" s="46" t="n">
        <f aca="false">+AS157+AS158-AS159</f>
        <v>-18</v>
      </c>
      <c r="AT160" s="46" t="n">
        <f aca="false">+AT157+AT158-AT159</f>
        <v>-20</v>
      </c>
      <c r="AU160" s="46" t="n">
        <f aca="false">+AU157+AU158-AU159</f>
        <v>-20</v>
      </c>
      <c r="AV160" s="46" t="n">
        <f aca="false">+AV157+AV158-AV159</f>
        <v>-22</v>
      </c>
      <c r="AW160" s="46" t="n">
        <f aca="false">+AW157+AW158-AW159</f>
        <v>-22</v>
      </c>
      <c r="AX160" s="46" t="n">
        <f aca="false">+AX157+AX158-AX159</f>
        <v>-24</v>
      </c>
      <c r="AY160" s="46" t="n">
        <f aca="false">+AY157+AY158-AY159</f>
        <v>-24</v>
      </c>
      <c r="AZ160" s="46" t="n">
        <f aca="false">+AZ157+AZ158-AZ159</f>
        <v>-26</v>
      </c>
      <c r="BA160" s="46" t="n">
        <f aca="false">+BA157+BA158-BA159</f>
        <v>-27</v>
      </c>
      <c r="BB160" s="46" t="n">
        <f aca="false">+BB157+BB158-BB159</f>
        <v>-29</v>
      </c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</row>
    <row r="161" customFormat="false" ht="12.8" hidden="false" customHeight="true" outlineLevel="0" collapsed="false"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</row>
    <row r="162" customFormat="false" ht="12.8" hidden="false" customHeight="true" outlineLevel="0" collapsed="false"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</row>
    <row r="163" customFormat="false" ht="12.8" hidden="false" customHeight="true" outlineLevel="0" collapsed="false"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</row>
    <row r="164" customFormat="false" ht="12.8" hidden="false" customHeight="true" outlineLevel="0" collapsed="false">
      <c r="A164" s="1" t="s">
        <v>181</v>
      </c>
      <c r="I164" s="5" t="n">
        <v>512</v>
      </c>
      <c r="M164" s="5" t="n">
        <v>534</v>
      </c>
      <c r="N164" s="5" t="n">
        <v>706</v>
      </c>
      <c r="O164" s="5" t="n">
        <v>256</v>
      </c>
      <c r="P164" s="5" t="n">
        <v>546</v>
      </c>
      <c r="Q164" s="5" t="n">
        <v>548</v>
      </c>
      <c r="R164" s="5" t="n">
        <v>689</v>
      </c>
      <c r="S164" s="5" t="n">
        <v>259</v>
      </c>
      <c r="T164" s="5" t="n">
        <v>541</v>
      </c>
      <c r="U164" s="5" t="n">
        <v>520</v>
      </c>
      <c r="AB164" s="5" t="n">
        <v>2311</v>
      </c>
      <c r="AC164" s="5" t="n">
        <v>2422</v>
      </c>
      <c r="AD164" s="5" t="n">
        <v>1913</v>
      </c>
      <c r="AE164" s="5" t="n">
        <v>931</v>
      </c>
      <c r="AF164" s="5" t="n">
        <v>607</v>
      </c>
      <c r="AG164" s="5" t="n">
        <v>634</v>
      </c>
      <c r="AH164" s="5" t="n">
        <v>668</v>
      </c>
      <c r="AI164" s="5" t="n">
        <v>772</v>
      </c>
      <c r="AJ164" s="5" t="n">
        <v>1002</v>
      </c>
      <c r="AK164" s="5" t="n">
        <v>1142</v>
      </c>
      <c r="AL164" s="5" t="n">
        <v>1343</v>
      </c>
      <c r="AM164" s="5" t="n">
        <v>1693</v>
      </c>
      <c r="AN164" s="5" t="n">
        <v>1841</v>
      </c>
      <c r="AO164" s="5" t="n">
        <v>1866</v>
      </c>
      <c r="AP164" s="5" t="n">
        <v>2002</v>
      </c>
      <c r="AQ164" s="5" t="n">
        <v>2056</v>
      </c>
      <c r="AR164" s="5" t="n">
        <v>2009</v>
      </c>
    </row>
    <row r="165" s="48" customFormat="true" ht="10.5" hidden="false" customHeight="true" outlineLevel="0" collapsed="false">
      <c r="M165" s="48" t="n">
        <f aca="false">+M164/M$13</f>
        <v>0.00825003476138242</v>
      </c>
      <c r="N165" s="48" t="n">
        <f aca="false">+N164/N$13</f>
        <v>0.0107646565525654</v>
      </c>
      <c r="O165" s="48" t="n">
        <f aca="false">+O164/O$13</f>
        <v>0.00367647058823529</v>
      </c>
      <c r="P165" s="48" t="n">
        <f aca="false">+P164/P$13</f>
        <v>0.00779265264179488</v>
      </c>
      <c r="Q165" s="48" t="n">
        <f aca="false">+Q164/Q$13</f>
        <v>0.00716892766970605</v>
      </c>
      <c r="R165" s="48" t="n">
        <f aca="false">+R164/R$13</f>
        <v>0.00887052128796364</v>
      </c>
      <c r="S165" s="48" t="n">
        <f aca="false">+S164/S$13</f>
        <v>0.00318679020092774</v>
      </c>
      <c r="T165" s="48" t="n">
        <f aca="false">+T164/T$13</f>
        <v>0.00652703713534252</v>
      </c>
      <c r="U165" s="48" t="n">
        <f aca="false">+U164/U$13</f>
        <v>0.005777328430011</v>
      </c>
      <c r="AB165" s="48" t="n">
        <f aca="false">+AB164/AB$13</f>
        <v>0.0369854682798797</v>
      </c>
      <c r="AC165" s="48" t="n">
        <f aca="false">+AC164/AC$13</f>
        <v>0.0346281972463292</v>
      </c>
      <c r="AD165" s="48" t="n">
        <f aca="false">+AD164/AD$13</f>
        <v>0.0259484828343936</v>
      </c>
      <c r="AE165" s="48" t="n">
        <f aca="false">+AE164/AE$13</f>
        <v>0.011959048928053</v>
      </c>
      <c r="AF165" s="48" t="n">
        <f aca="false">+AF164/AF$13</f>
        <v>0.00699042990568102</v>
      </c>
      <c r="AG165" s="48" t="n">
        <f aca="false">+AG164/AG$13</f>
        <v>0.00677495191280188</v>
      </c>
      <c r="AH165" s="48" t="n">
        <f aca="false">+AH164/AH$13</f>
        <v>0.00782934833567745</v>
      </c>
      <c r="AI165" s="48" t="n">
        <f aca="false">+AI164/AI$13</f>
        <v>0.00858254585881045</v>
      </c>
      <c r="AJ165" s="48" t="n">
        <f aca="false">+AJ164/AJ$13</f>
        <v>0.00907937658571946</v>
      </c>
      <c r="AK165" s="48" t="n">
        <f aca="false">+AK164/AK$13</f>
        <v>0.00907479955182251</v>
      </c>
      <c r="AL165" s="48" t="n">
        <f aca="false">+AL164/AL$13</f>
        <v>0.00939062336118589</v>
      </c>
      <c r="AM165" s="48" t="n">
        <f aca="false">+AM164/AM$13</f>
        <v>0.0100721050878111</v>
      </c>
      <c r="AN165" s="48" t="n">
        <f aca="false">+AN164/AN$13</f>
        <v>0.00928531800070611</v>
      </c>
      <c r="AO165" s="48" t="n">
        <f aca="false">+AO164/AO$13</f>
        <v>0.00880541726635679</v>
      </c>
      <c r="AP165" s="48" t="n">
        <f aca="false">+AP164/AP$13</f>
        <v>0.00816736155873402</v>
      </c>
      <c r="AQ165" s="48" t="n">
        <f aca="false">+AQ164/AQ$13</f>
        <v>0.00729792278968068</v>
      </c>
      <c r="AR165" s="48" t="n">
        <f aca="false">+AR164/AR$13</f>
        <v>0.00605414071281555</v>
      </c>
    </row>
    <row r="166" s="48" customFormat="true" ht="10.5" hidden="false" customHeight="true" outlineLevel="0" collapsed="false">
      <c r="Q166" s="48" t="n">
        <f aca="false">+Q164/M164-1</f>
        <v>0.0262172284644195</v>
      </c>
      <c r="R166" s="48" t="n">
        <f aca="false">+R164/N164-1</f>
        <v>-0.0240793201133145</v>
      </c>
      <c r="S166" s="48" t="n">
        <f aca="false">+S164/O164-1</f>
        <v>0.01171875</v>
      </c>
      <c r="T166" s="48" t="n">
        <f aca="false">+T164/P164-1</f>
        <v>-0.00915750915750913</v>
      </c>
      <c r="U166" s="48" t="n">
        <f aca="false">+U164/Q164-1</f>
        <v>-0.051094890510949</v>
      </c>
      <c r="AC166" s="48" t="n">
        <f aca="false">+AC164/AB164-1</f>
        <v>0.0480311553440069</v>
      </c>
      <c r="AD166" s="48" t="n">
        <f aca="false">+AD164/AC164-1</f>
        <v>-0.210156895127993</v>
      </c>
      <c r="AE166" s="48" t="n">
        <f aca="false">+AE164/AD164-1</f>
        <v>-0.513329848405646</v>
      </c>
      <c r="AF166" s="48" t="n">
        <f aca="false">+AF164/AE164-1</f>
        <v>-0.348012889366273</v>
      </c>
      <c r="AG166" s="48" t="n">
        <f aca="false">+AG164/AF164-1</f>
        <v>0.044481054365733</v>
      </c>
      <c r="AH166" s="48" t="n">
        <f aca="false">+AH164/AG164-1</f>
        <v>0.053627760252366</v>
      </c>
      <c r="AI166" s="48" t="n">
        <f aca="false">+AI164/AH164-1</f>
        <v>0.155688622754491</v>
      </c>
      <c r="AJ166" s="48" t="n">
        <f aca="false">+AJ164/AI164-1</f>
        <v>0.297927461139896</v>
      </c>
      <c r="AK166" s="48" t="n">
        <f aca="false">+AK164/AJ164-1</f>
        <v>0.139720558882235</v>
      </c>
      <c r="AL166" s="48" t="n">
        <f aca="false">+AL164/AK164-1</f>
        <v>0.17600700525394</v>
      </c>
      <c r="AM166" s="48" t="n">
        <f aca="false">+AM164/AL164-1</f>
        <v>0.260610573343261</v>
      </c>
      <c r="AN166" s="48" t="n">
        <f aca="false">+AN164/AM164-1</f>
        <v>0.0874187832250444</v>
      </c>
      <c r="AO166" s="48" t="n">
        <f aca="false">+AO164/AN164-1</f>
        <v>0.0135795763172188</v>
      </c>
      <c r="AP166" s="48" t="n">
        <f aca="false">+AP164/AO164-1</f>
        <v>0.0728831725616292</v>
      </c>
      <c r="AQ166" s="48" t="n">
        <f aca="false">+AQ164/AP164-1</f>
        <v>0.0269730269730271</v>
      </c>
      <c r="AR166" s="48" t="n">
        <f aca="false">+AR164/AQ164-1</f>
        <v>-0.0228599221789884</v>
      </c>
    </row>
    <row r="167" customFormat="false" ht="12.8" hidden="false" customHeight="true" outlineLevel="0" collapsed="false">
      <c r="A167" s="1" t="s">
        <v>182</v>
      </c>
      <c r="I167" s="5" t="n">
        <v>5704</v>
      </c>
      <c r="M167" s="5" t="n">
        <v>4210</v>
      </c>
      <c r="N167" s="5" t="n">
        <v>4107</v>
      </c>
      <c r="O167" s="5" t="n">
        <v>4986</v>
      </c>
      <c r="P167" s="5" t="n">
        <v>4781</v>
      </c>
      <c r="Q167" s="5" t="n">
        <v>4546</v>
      </c>
      <c r="R167" s="5" t="n">
        <v>5650</v>
      </c>
      <c r="S167" s="5" t="n">
        <v>7415</v>
      </c>
      <c r="T167" s="5" t="n">
        <v>4627</v>
      </c>
      <c r="U167" s="5" t="n">
        <v>4579</v>
      </c>
      <c r="AB167" s="5" t="n">
        <v>11269</v>
      </c>
      <c r="AC167" s="5" t="n">
        <v>11555</v>
      </c>
      <c r="AD167" s="5" t="n">
        <v>5029</v>
      </c>
      <c r="AE167" s="5" t="n">
        <v>5360</v>
      </c>
      <c r="AF167" s="5" t="n">
        <v>7316</v>
      </c>
      <c r="AG167" s="5" t="n">
        <v>14443</v>
      </c>
      <c r="AH167" s="5" t="n">
        <v>15969</v>
      </c>
      <c r="AI167" s="5" t="n">
        <v>11788</v>
      </c>
      <c r="AJ167" s="5" t="n">
        <v>10721</v>
      </c>
      <c r="AK167" s="5" t="n">
        <v>19543</v>
      </c>
      <c r="AL167" s="5" t="n">
        <v>22968</v>
      </c>
      <c r="AM167" s="5" t="n">
        <v>27385</v>
      </c>
      <c r="AN167" s="5" t="n">
        <v>32696</v>
      </c>
      <c r="AO167" s="5" t="n">
        <v>22245</v>
      </c>
      <c r="AP167" s="5" t="n">
        <v>17254</v>
      </c>
      <c r="AQ167" s="5" t="n">
        <v>18420</v>
      </c>
      <c r="AR167" s="5" t="n">
        <v>22271</v>
      </c>
    </row>
    <row r="168" s="48" customFormat="true" ht="10.5" hidden="false" customHeight="true" outlineLevel="0" collapsed="false">
      <c r="M168" s="48" t="n">
        <f aca="false">+M167/M$13</f>
        <v>0.0650424088865543</v>
      </c>
      <c r="N168" s="48" t="n">
        <f aca="false">+N167/N$13</f>
        <v>0.0626210261492719</v>
      </c>
      <c r="O168" s="48" t="n">
        <f aca="false">+O167/O$13</f>
        <v>0.0716050091911765</v>
      </c>
      <c r="P168" s="48" t="n">
        <f aca="false">+P167/P$13</f>
        <v>0.0682356635172552</v>
      </c>
      <c r="Q168" s="48" t="n">
        <f aca="false">+Q167/Q$13</f>
        <v>0.0594707028950432</v>
      </c>
      <c r="R168" s="48" t="n">
        <f aca="false">+R167/R$13</f>
        <v>0.0727408494586278</v>
      </c>
      <c r="S168" s="48" t="n">
        <f aca="false">+S167/S$13</f>
        <v>0.0912357117369852</v>
      </c>
      <c r="T168" s="48" t="n">
        <f aca="false">+T167/T$13</f>
        <v>0.0558236614144729</v>
      </c>
      <c r="U168" s="48" t="n">
        <f aca="false">+U167/U$13</f>
        <v>0.0508738209250392</v>
      </c>
      <c r="AB168" s="48" t="n">
        <f aca="false">+AB167/AB$13</f>
        <v>0.180350169643429</v>
      </c>
      <c r="AC168" s="48" t="n">
        <f aca="false">+AC167/AC$13</f>
        <v>0.165205953419213</v>
      </c>
      <c r="AD168" s="48" t="n">
        <f aca="false">+AD167/AD$13</f>
        <v>0.0682148040638607</v>
      </c>
      <c r="AE168" s="48" t="n">
        <f aca="false">+AE167/AE$13</f>
        <v>0.0688512376523783</v>
      </c>
      <c r="AF168" s="48" t="n">
        <f aca="false">+AF167/AF$13</f>
        <v>0.0842536823557864</v>
      </c>
      <c r="AG168" s="48" t="n">
        <f aca="false">+AG167/AG$13</f>
        <v>0.15433853387476</v>
      </c>
      <c r="AH168" s="48" t="n">
        <f aca="false">+AH167/AH$13</f>
        <v>0.187165963431786</v>
      </c>
      <c r="AI168" s="48" t="n">
        <f aca="false">+AI167/AI$13</f>
        <v>0.131050583657588</v>
      </c>
      <c r="AJ168" s="48" t="n">
        <f aca="false">+AJ167/AJ$13</f>
        <v>0.0971457049655672</v>
      </c>
      <c r="AK168" s="48" t="n">
        <f aca="false">+AK167/AK$13</f>
        <v>0.155296679195506</v>
      </c>
      <c r="AL168" s="48" t="n">
        <f aca="false">+AL167/AL$13</f>
        <v>0.160598538614831</v>
      </c>
      <c r="AM168" s="48" t="n">
        <f aca="false">+AM167/AM$13</f>
        <v>0.162920613012232</v>
      </c>
      <c r="AN168" s="48" t="n">
        <f aca="false">+AN167/AN$13</f>
        <v>0.16490644071216</v>
      </c>
      <c r="AO168" s="48" t="n">
        <f aca="false">+AO167/AO$13</f>
        <v>0.104971332845716</v>
      </c>
      <c r="AP168" s="48" t="n">
        <f aca="false">+AP167/AP$13</f>
        <v>0.0703894387284699</v>
      </c>
      <c r="AQ168" s="48" t="n">
        <f aca="false">+AQ167/AQ$13</f>
        <v>0.0653831409464582</v>
      </c>
      <c r="AR168" s="48" t="n">
        <f aca="false">+AR167/AR$13</f>
        <v>0.0671138714858712</v>
      </c>
    </row>
    <row r="169" s="48" customFormat="true" ht="10.5" hidden="false" customHeight="true" outlineLevel="0" collapsed="false">
      <c r="Q169" s="48" t="n">
        <f aca="false">+Q167/M167-1</f>
        <v>0.0798099762470308</v>
      </c>
      <c r="R169" s="48" t="n">
        <f aca="false">+R167/N167-1</f>
        <v>0.375700024348673</v>
      </c>
      <c r="S169" s="48" t="n">
        <f aca="false">+S167/O167-1</f>
        <v>0.487164059366225</v>
      </c>
      <c r="T169" s="48" t="n">
        <f aca="false">+T167/P167-1</f>
        <v>-0.0322108345534407</v>
      </c>
      <c r="U169" s="48" t="n">
        <f aca="false">+U167/Q167-1</f>
        <v>0.0072591289045314</v>
      </c>
      <c r="AC169" s="48" t="n">
        <f aca="false">+AC167/AB167-1</f>
        <v>0.0253793593042861</v>
      </c>
      <c r="AD169" s="48" t="n">
        <f aca="false">+AD167/AC167-1</f>
        <v>-0.564777152747728</v>
      </c>
      <c r="AE169" s="48" t="n">
        <f aca="false">+AE167/AD167-1</f>
        <v>0.0658182541260688</v>
      </c>
      <c r="AF169" s="48" t="n">
        <f aca="false">+AF167/AE167-1</f>
        <v>0.364925373134328</v>
      </c>
      <c r="AG169" s="48" t="n">
        <f aca="false">+AG167/AF167-1</f>
        <v>0.974166211044287</v>
      </c>
      <c r="AH169" s="48" t="n">
        <f aca="false">+AH167/AG167-1</f>
        <v>0.105656719518106</v>
      </c>
      <c r="AI169" s="48" t="n">
        <f aca="false">+AI167/AH167-1</f>
        <v>-0.261819775815643</v>
      </c>
      <c r="AJ169" s="48" t="n">
        <f aca="false">+AJ167/AI167-1</f>
        <v>-0.0905157787580591</v>
      </c>
      <c r="AK169" s="48" t="n">
        <f aca="false">+AK167/AJ167-1</f>
        <v>0.822871000839474</v>
      </c>
      <c r="AL169" s="48" t="n">
        <f aca="false">+AL167/AK167-1</f>
        <v>0.175254566852582</v>
      </c>
      <c r="AM169" s="48" t="n">
        <f aca="false">+AM167/AL167-1</f>
        <v>0.192311041448972</v>
      </c>
      <c r="AN169" s="48" t="n">
        <f aca="false">+AN167/AM167-1</f>
        <v>0.193938287383604</v>
      </c>
      <c r="AO169" s="48" t="n">
        <f aca="false">+AO167/AN167-1</f>
        <v>-0.319641546366528</v>
      </c>
      <c r="AP169" s="48" t="n">
        <f aca="false">+AP167/AO167-1</f>
        <v>-0.224365025848505</v>
      </c>
      <c r="AQ169" s="48" t="n">
        <f aca="false">+AQ167/AP167-1</f>
        <v>0.0675785325141995</v>
      </c>
      <c r="AR169" s="48" t="n">
        <f aca="false">+AR167/AQ167-1</f>
        <v>0.209066232356135</v>
      </c>
    </row>
    <row r="170" customFormat="false" ht="12.8" hidden="false" customHeight="true" outlineLevel="0" collapsed="false">
      <c r="A170" s="1" t="s">
        <v>183</v>
      </c>
      <c r="I170" s="5" t="n">
        <v>5054</v>
      </c>
      <c r="M170" s="5" t="n">
        <v>5574</v>
      </c>
      <c r="N170" s="5" t="n">
        <v>5574</v>
      </c>
      <c r="O170" s="5" t="n">
        <v>6170</v>
      </c>
      <c r="P170" s="5" t="n">
        <v>6169</v>
      </c>
      <c r="Q170" s="5" t="n">
        <v>6169</v>
      </c>
      <c r="R170" s="5" t="n">
        <v>6169</v>
      </c>
      <c r="S170" s="5" t="n">
        <v>6762</v>
      </c>
      <c r="T170" s="5" t="n">
        <v>6756</v>
      </c>
      <c r="U170" s="5" t="n">
        <v>6758</v>
      </c>
      <c r="AB170" s="5" t="n">
        <v>4578</v>
      </c>
      <c r="AC170" s="5" t="n">
        <v>5180</v>
      </c>
      <c r="AD170" s="5" t="n">
        <v>6385</v>
      </c>
      <c r="AE170" s="5" t="n">
        <v>7455</v>
      </c>
      <c r="AF170" s="5" t="n">
        <v>8879</v>
      </c>
      <c r="AG170" s="5" t="n">
        <v>9882</v>
      </c>
      <c r="AH170" s="5" t="n">
        <v>11006</v>
      </c>
      <c r="AI170" s="5" t="n">
        <v>11845</v>
      </c>
      <c r="AJ170" s="5" t="n">
        <v>12699</v>
      </c>
      <c r="AK170" s="5" t="n">
        <v>13811</v>
      </c>
      <c r="AL170" s="5" t="n">
        <v>15137</v>
      </c>
      <c r="AM170" s="5" t="n">
        <v>16521</v>
      </c>
      <c r="AN170" s="5" t="n">
        <v>18135</v>
      </c>
      <c r="AO170" s="5" t="n">
        <v>19800</v>
      </c>
      <c r="AP170" s="5" t="n">
        <v>21771</v>
      </c>
      <c r="AQ170" s="5" t="n">
        <v>24082</v>
      </c>
      <c r="AR170" s="5" t="n">
        <v>26445</v>
      </c>
    </row>
    <row r="171" s="48" customFormat="true" ht="10.5" hidden="false" customHeight="true" outlineLevel="0" collapsed="false">
      <c r="M171" s="48" t="n">
        <f aca="false">+M170/M$13</f>
        <v>0.086115531385666</v>
      </c>
      <c r="N171" s="48" t="n">
        <f aca="false">+N170/N$13</f>
        <v>0.0849889456430586</v>
      </c>
      <c r="O171" s="48" t="n">
        <f aca="false">+O170/O$13</f>
        <v>0.0886086856617647</v>
      </c>
      <c r="P171" s="48" t="n">
        <f aca="false">+P170/P$13</f>
        <v>0.0880455570462136</v>
      </c>
      <c r="Q171" s="48" t="n">
        <f aca="false">+Q170/Q$13</f>
        <v>0.080702764223388</v>
      </c>
      <c r="R171" s="48" t="n">
        <f aca="false">+R170/R$13</f>
        <v>0.0794227080195177</v>
      </c>
      <c r="S171" s="48" t="n">
        <f aca="false">+S170/S$13</f>
        <v>0.0832010630836809</v>
      </c>
      <c r="T171" s="48" t="n">
        <f aca="false">+T170/T$13</f>
        <v>0.0815095432280482</v>
      </c>
      <c r="U171" s="48" t="n">
        <f aca="false">+U170/U$13</f>
        <v>0.0750830490961814</v>
      </c>
      <c r="AB171" s="48" t="n">
        <f aca="false">+AB170/AB$13</f>
        <v>0.0732667562896101</v>
      </c>
      <c r="AC171" s="48" t="n">
        <f aca="false">+AC170/AC$13</f>
        <v>0.0740603062493745</v>
      </c>
      <c r="AD171" s="48" t="n">
        <f aca="false">+AD170/AD$13</f>
        <v>0.0866079785141679</v>
      </c>
      <c r="AE171" s="48" t="n">
        <f aca="false">+AE170/AE$13</f>
        <v>0.0957623090855374</v>
      </c>
      <c r="AF171" s="48" t="n">
        <f aca="false">+AF170/AF$13</f>
        <v>0.10225375145394</v>
      </c>
      <c r="AG171" s="48" t="n">
        <f aca="false">+AG170/AG$13</f>
        <v>0.105599487069887</v>
      </c>
      <c r="AH171" s="48" t="n">
        <f aca="false">+AH170/AH$13</f>
        <v>0.128996718237225</v>
      </c>
      <c r="AI171" s="48" t="n">
        <f aca="false">+AI170/AI$13</f>
        <v>0.131684269038355</v>
      </c>
      <c r="AJ171" s="48" t="n">
        <f aca="false">+AJ170/AJ$13</f>
        <v>0.11506886553099</v>
      </c>
      <c r="AK171" s="48" t="n">
        <f aca="false">+AK170/AK$13</f>
        <v>0.109747860429265</v>
      </c>
      <c r="AL171" s="48" t="n">
        <f aca="false">+AL170/AL$13</f>
        <v>0.105842044540782</v>
      </c>
      <c r="AM171" s="48" t="n">
        <f aca="false">+AM170/AM$13</f>
        <v>0.0982878016277188</v>
      </c>
      <c r="AN171" s="48" t="n">
        <f aca="false">+AN170/AN$13</f>
        <v>0.0914661824784385</v>
      </c>
      <c r="AO171" s="48" t="n">
        <f aca="false">+AO170/AO$13</f>
        <v>0.0934336880352972</v>
      </c>
      <c r="AP171" s="48" t="n">
        <f aca="false">+AP170/AP$13</f>
        <v>0.0888169972503488</v>
      </c>
      <c r="AQ171" s="48" t="n">
        <f aca="false">+AQ170/AQ$13</f>
        <v>0.0854808252048104</v>
      </c>
      <c r="AR171" s="48" t="n">
        <f aca="false">+AR170/AR$13</f>
        <v>0.0796922604033884</v>
      </c>
    </row>
    <row r="172" s="48" customFormat="true" ht="10.5" hidden="false" customHeight="true" outlineLevel="0" collapsed="false">
      <c r="Q172" s="48" t="n">
        <f aca="false">+Q170/M170-1</f>
        <v>0.106745604592752</v>
      </c>
      <c r="R172" s="48" t="n">
        <f aca="false">+R170/N170-1</f>
        <v>0.106745604592752</v>
      </c>
      <c r="S172" s="48" t="n">
        <f aca="false">+S170/O170-1</f>
        <v>0.0959481361426255</v>
      </c>
      <c r="T172" s="48" t="n">
        <f aca="false">+T170/P170-1</f>
        <v>0.0951531852812448</v>
      </c>
      <c r="U172" s="48" t="n">
        <f aca="false">+U170/Q170-1</f>
        <v>0.0954773869346735</v>
      </c>
      <c r="AC172" s="48" t="n">
        <f aca="false">+AC170/AB170-1</f>
        <v>0.131498470948012</v>
      </c>
      <c r="AD172" s="48" t="n">
        <f aca="false">+AD170/AC170-1</f>
        <v>0.232625482625483</v>
      </c>
      <c r="AE172" s="48" t="n">
        <f aca="false">+AE170/AD170-1</f>
        <v>0.167580266249021</v>
      </c>
      <c r="AF172" s="48" t="n">
        <f aca="false">+AF170/AE170-1</f>
        <v>0.191012743125419</v>
      </c>
      <c r="AG172" s="48" t="n">
        <f aca="false">+AG170/AF170-1</f>
        <v>0.112963171528325</v>
      </c>
      <c r="AH172" s="48" t="n">
        <f aca="false">+AH170/AG170-1</f>
        <v>0.113742157458004</v>
      </c>
      <c r="AI172" s="48" t="n">
        <f aca="false">+AI170/AH170-1</f>
        <v>0.0762311466472834</v>
      </c>
      <c r="AJ172" s="48" t="n">
        <f aca="false">+AJ170/AI170-1</f>
        <v>0.0720979316167159</v>
      </c>
      <c r="AK172" s="48" t="n">
        <f aca="false">+AK170/AJ170-1</f>
        <v>0.0875659500748089</v>
      </c>
      <c r="AL172" s="48" t="n">
        <f aca="false">+AL170/AK170-1</f>
        <v>0.096010426471653</v>
      </c>
      <c r="AM172" s="48" t="n">
        <f aca="false">+AM170/AL170-1</f>
        <v>0.0914315914646231</v>
      </c>
      <c r="AN172" s="48" t="n">
        <f aca="false">+AN170/AM170-1</f>
        <v>0.0976938441982931</v>
      </c>
      <c r="AO172" s="48" t="n">
        <f aca="false">+AO170/AN170-1</f>
        <v>0.0918114143920596</v>
      </c>
      <c r="AP172" s="48" t="n">
        <f aca="false">+AP170/AO170-1</f>
        <v>0.0995454545454546</v>
      </c>
      <c r="AQ172" s="48" t="n">
        <f aca="false">+AQ170/AP170-1</f>
        <v>0.106150383537734</v>
      </c>
      <c r="AR172" s="48" t="n">
        <f aca="false">+AR170/AQ170-1</f>
        <v>0.0981230794784487</v>
      </c>
    </row>
    <row r="174" customFormat="false" ht="12.8" hidden="false" customHeight="true" outlineLevel="0" collapsed="false">
      <c r="A174" s="1" t="s">
        <v>184</v>
      </c>
      <c r="B174" s="5" t="n">
        <f aca="false">+B170+B167-B164</f>
        <v>0</v>
      </c>
      <c r="C174" s="5" t="n">
        <f aca="false">+C170+C167-C164</f>
        <v>0</v>
      </c>
      <c r="D174" s="5" t="n">
        <f aca="false">+D170+D167-D164</f>
        <v>0</v>
      </c>
      <c r="E174" s="5" t="n">
        <f aca="false">+E170+E167-E164</f>
        <v>0</v>
      </c>
      <c r="F174" s="5" t="n">
        <f aca="false">+F170+F167-F164</f>
        <v>0</v>
      </c>
      <c r="G174" s="5" t="n">
        <f aca="false">+G170+G167-G164</f>
        <v>0</v>
      </c>
      <c r="H174" s="5" t="n">
        <f aca="false">+H170+H167-H164</f>
        <v>0</v>
      </c>
      <c r="I174" s="5" t="n">
        <f aca="false">+I170+I167-I164</f>
        <v>10246</v>
      </c>
      <c r="J174" s="5" t="n">
        <f aca="false">+J170+J167-J164</f>
        <v>0</v>
      </c>
      <c r="K174" s="5" t="n">
        <f aca="false">+K170+K167-K164</f>
        <v>0</v>
      </c>
      <c r="L174" s="5" t="n">
        <f aca="false">+L170+L167-L164</f>
        <v>0</v>
      </c>
      <c r="M174" s="5" t="n">
        <f aca="false">+M170+M167-M164</f>
        <v>9250</v>
      </c>
      <c r="N174" s="5" t="n">
        <f aca="false">+N170+N167-N164</f>
        <v>8975</v>
      </c>
      <c r="O174" s="5" t="n">
        <f aca="false">+O170+O167-O164</f>
        <v>10900</v>
      </c>
      <c r="P174" s="5" t="n">
        <f aca="false">+P170+P167-P164</f>
        <v>10404</v>
      </c>
      <c r="Q174" s="5" t="n">
        <f aca="false">+Q170+Q167-Q164</f>
        <v>10167</v>
      </c>
      <c r="R174" s="5" t="n">
        <f aca="false">+R170+R167-R164</f>
        <v>11130</v>
      </c>
      <c r="S174" s="5" t="n">
        <f aca="false">+S170+S167-S164</f>
        <v>13918</v>
      </c>
      <c r="T174" s="5" t="n">
        <f aca="false">+T170+T167-T164</f>
        <v>10842</v>
      </c>
      <c r="U174" s="5" t="n">
        <f aca="false">+U170+U167-U164</f>
        <v>10817</v>
      </c>
      <c r="AB174" s="5" t="n">
        <f aca="false">+AB170+AB167-AB164</f>
        <v>13536</v>
      </c>
      <c r="AC174" s="5" t="n">
        <f aca="false">+AC170+AC167-AC164</f>
        <v>14313</v>
      </c>
      <c r="AD174" s="5" t="n">
        <f aca="false">+AD170+AD167-AD164</f>
        <v>9501</v>
      </c>
      <c r="AE174" s="5" t="n">
        <f aca="false">+AE170+AE167-AE164</f>
        <v>11884</v>
      </c>
      <c r="AF174" s="5" t="n">
        <f aca="false">+AF170+AF167-AF164</f>
        <v>15588</v>
      </c>
      <c r="AG174" s="5" t="n">
        <f aca="false">+AG170+AG167-AG164</f>
        <v>23691</v>
      </c>
      <c r="AH174" s="5" t="n">
        <f aca="false">+AH170+AH167-AH164</f>
        <v>26307</v>
      </c>
      <c r="AI174" s="5" t="n">
        <f aca="false">+AI170+AI167-AI164</f>
        <v>22861</v>
      </c>
      <c r="AJ174" s="5" t="n">
        <f aca="false">+AJ170+AJ167-AJ164</f>
        <v>22418</v>
      </c>
      <c r="AK174" s="5" t="n">
        <f aca="false">+AK170+AK167-AK164</f>
        <v>32212</v>
      </c>
      <c r="AL174" s="5" t="n">
        <f aca="false">+AL170+AL167-AL164</f>
        <v>36762</v>
      </c>
      <c r="AM174" s="5" t="n">
        <f aca="false">+AM170+AM167-AM164</f>
        <v>42213</v>
      </c>
      <c r="AN174" s="5" t="n">
        <f aca="false">+AN170+AN167-AN164</f>
        <v>48990</v>
      </c>
      <c r="AO174" s="5" t="n">
        <f aca="false">+AO170+AO167-AO164</f>
        <v>40179</v>
      </c>
      <c r="AP174" s="5" t="n">
        <f aca="false">+AP170+AP167-AP164</f>
        <v>37023</v>
      </c>
      <c r="AQ174" s="5" t="n">
        <f aca="false">+AQ170+AQ167-AQ164</f>
        <v>40446</v>
      </c>
      <c r="AR174" s="5" t="n">
        <f aca="false">+AR170+AR167-AR164</f>
        <v>46707</v>
      </c>
    </row>
    <row r="175" s="48" customFormat="true" ht="12.8" hidden="false" customHeight="true" outlineLevel="0" collapsed="false">
      <c r="Q175" s="48" t="n">
        <f aca="false">+Q174/M174-1</f>
        <v>0.0991351351351351</v>
      </c>
      <c r="R175" s="48" t="n">
        <f aca="false">+R174/N174-1</f>
        <v>0.240111420612813</v>
      </c>
      <c r="S175" s="48" t="n">
        <f aca="false">+S174/O174-1</f>
        <v>0.276880733944954</v>
      </c>
      <c r="T175" s="48" t="n">
        <f aca="false">+T174/P174-1</f>
        <v>0.0420991926182237</v>
      </c>
      <c r="U175" s="48" t="n">
        <f aca="false">+U174/Q174-1</f>
        <v>0.0639323300875381</v>
      </c>
      <c r="AC175" s="48" t="n">
        <f aca="false">+AC174/AB174-1</f>
        <v>0.0574024822695036</v>
      </c>
      <c r="AD175" s="48" t="n">
        <f aca="false">+AD174/AC174-1</f>
        <v>-0.336197862083421</v>
      </c>
      <c r="AE175" s="48" t="n">
        <f aca="false">+AE174/AD174-1</f>
        <v>0.250815703610146</v>
      </c>
      <c r="AF175" s="48" t="n">
        <f aca="false">+AF174/AE174-1</f>
        <v>0.31167956916863</v>
      </c>
      <c r="AG175" s="48" t="n">
        <f aca="false">+AG174/AF174-1</f>
        <v>0.519822940723634</v>
      </c>
      <c r="AH175" s="48" t="n">
        <f aca="false">+AH174/AG174-1</f>
        <v>0.110421679118653</v>
      </c>
      <c r="AI175" s="48" t="n">
        <f aca="false">+AI174/AH174-1</f>
        <v>-0.130991751244916</v>
      </c>
      <c r="AJ175" s="48" t="n">
        <f aca="false">+AJ174/AI174-1</f>
        <v>-0.0193779799658808</v>
      </c>
      <c r="AK175" s="48" t="n">
        <f aca="false">+AK174/AJ174-1</f>
        <v>0.436881077705415</v>
      </c>
      <c r="AL175" s="48" t="n">
        <f aca="false">+AL174/AK174-1</f>
        <v>0.141251707438222</v>
      </c>
      <c r="AM175" s="48" t="n">
        <f aca="false">+AM174/AL174-1</f>
        <v>0.148278113269137</v>
      </c>
      <c r="AN175" s="48" t="n">
        <f aca="false">+AN174/AM174-1</f>
        <v>0.160542960699311</v>
      </c>
      <c r="AO175" s="48" t="n">
        <f aca="false">+AO174/AN174-1</f>
        <v>-0.179853031230864</v>
      </c>
      <c r="AP175" s="48" t="n">
        <f aca="false">+AP174/AO174-1</f>
        <v>-0.0785484954827148</v>
      </c>
      <c r="AQ175" s="48" t="n">
        <f aca="false">+AQ174/AP174-1</f>
        <v>0.0924560408394781</v>
      </c>
      <c r="AR175" s="48" t="n">
        <f aca="false">+AR174/AQ174-1</f>
        <v>0.154798991247589</v>
      </c>
    </row>
  </sheetData>
  <mergeCells count="1">
    <mergeCell ref="BG45:BH45"/>
  </mergeCells>
  <hyperlinks>
    <hyperlink ref="A1" r:id="rId2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21" colorId="64" zoomScale="60" zoomScaleNormal="60" zoomScalePageLayoutView="100" workbookViewId="0">
      <selection pane="topLeft" activeCell="E55" activeCellId="0" sqref="E55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6.38"/>
    <col collapsed="false" customWidth="true" hidden="false" outlineLevel="0" max="3" min="3" style="1" width="15.82"/>
    <col collapsed="false" customWidth="true" hidden="false" outlineLevel="0" max="4" min="4" style="1" width="21.3"/>
    <col collapsed="false" customWidth="true" hidden="false" outlineLevel="0" max="5" min="5" style="1" width="16.64"/>
    <col collapsed="false" customWidth="true" hidden="false" outlineLevel="0" max="6" min="6" style="1" width="15.85"/>
    <col collapsed="false" customWidth="true" hidden="false" outlineLevel="0" max="7" min="7" style="1" width="14.94"/>
    <col collapsed="false" customWidth="false" hidden="false" outlineLevel="0" max="8" min="8" style="1" width="11.53"/>
    <col collapsed="false" customWidth="true" hidden="false" outlineLevel="0" max="9" min="9" style="1" width="13.26"/>
    <col collapsed="false" customWidth="true" hidden="false" outlineLevel="0" max="10" min="10" style="1" width="16.12"/>
    <col collapsed="false" customWidth="false" hidden="false" outlineLevel="0" max="16384" min="11" style="1" width="11.53"/>
  </cols>
  <sheetData>
    <row r="1" customFormat="false" ht="12.7" hidden="false" customHeight="false" outlineLevel="0" collapsed="false">
      <c r="A1" s="14" t="s">
        <v>42</v>
      </c>
    </row>
    <row r="3" customFormat="false" ht="24.25" hidden="false" customHeight="false" outlineLevel="0" collapsed="false">
      <c r="B3" s="49" t="s">
        <v>185</v>
      </c>
      <c r="C3" s="49" t="s">
        <v>186</v>
      </c>
      <c r="D3" s="49" t="s">
        <v>187</v>
      </c>
      <c r="E3" s="50" t="s">
        <v>188</v>
      </c>
      <c r="F3" s="49" t="s">
        <v>189</v>
      </c>
      <c r="G3" s="49" t="s">
        <v>190</v>
      </c>
      <c r="H3" s="49" t="s">
        <v>191</v>
      </c>
      <c r="I3" s="49" t="s">
        <v>192</v>
      </c>
      <c r="J3" s="49" t="s">
        <v>193</v>
      </c>
      <c r="K3" s="49" t="s">
        <v>194</v>
      </c>
    </row>
    <row r="4" customFormat="false" ht="12.8" hidden="false" customHeight="false" outlineLevel="0" collapsed="false">
      <c r="B4" s="51" t="s">
        <v>195</v>
      </c>
      <c r="C4" s="51" t="s">
        <v>196</v>
      </c>
      <c r="D4" s="51" t="s">
        <v>0</v>
      </c>
      <c r="E4" s="52" t="n">
        <v>2400</v>
      </c>
      <c r="F4" s="51" t="s">
        <v>197</v>
      </c>
      <c r="G4" s="51" t="s">
        <v>198</v>
      </c>
      <c r="H4" s="53" t="s">
        <v>199</v>
      </c>
      <c r="I4" s="51" t="s">
        <v>200</v>
      </c>
      <c r="J4" s="51" t="s">
        <v>201</v>
      </c>
      <c r="K4" s="51" t="s">
        <v>196</v>
      </c>
    </row>
    <row r="5" customFormat="false" ht="12.8" hidden="false" customHeight="false" outlineLevel="0" collapsed="false">
      <c r="B5" s="54" t="s">
        <v>202</v>
      </c>
      <c r="C5" s="54" t="s">
        <v>196</v>
      </c>
      <c r="D5" s="54" t="s">
        <v>203</v>
      </c>
      <c r="E5" s="55" t="n">
        <v>3400</v>
      </c>
      <c r="F5" s="54" t="s">
        <v>197</v>
      </c>
      <c r="G5" s="54" t="s">
        <v>204</v>
      </c>
      <c r="H5" s="53" t="s">
        <v>199</v>
      </c>
      <c r="I5" s="54" t="s">
        <v>200</v>
      </c>
      <c r="J5" s="54" t="s">
        <v>201</v>
      </c>
      <c r="K5" s="54" t="s">
        <v>196</v>
      </c>
    </row>
    <row r="6" customFormat="false" ht="12.8" hidden="false" customHeight="false" outlineLevel="0" collapsed="false">
      <c r="B6" s="51" t="s">
        <v>205</v>
      </c>
      <c r="C6" s="51" t="s">
        <v>196</v>
      </c>
      <c r="D6" s="51" t="s">
        <v>0</v>
      </c>
      <c r="E6" s="52" t="n">
        <v>3400</v>
      </c>
      <c r="F6" s="51" t="s">
        <v>197</v>
      </c>
      <c r="G6" s="51" t="s">
        <v>204</v>
      </c>
      <c r="H6" s="53" t="s">
        <v>199</v>
      </c>
      <c r="I6" s="51" t="s">
        <v>200</v>
      </c>
      <c r="J6" s="51" t="s">
        <v>201</v>
      </c>
      <c r="K6" s="51" t="s">
        <v>196</v>
      </c>
    </row>
    <row r="7" customFormat="false" ht="12.8" hidden="false" customHeight="false" outlineLevel="0" collapsed="false">
      <c r="B7" s="54" t="s">
        <v>206</v>
      </c>
      <c r="C7" s="54" t="s">
        <v>196</v>
      </c>
      <c r="D7" s="54" t="s">
        <v>0</v>
      </c>
      <c r="E7" s="55" t="n">
        <v>3400</v>
      </c>
      <c r="F7" s="54" t="s">
        <v>197</v>
      </c>
      <c r="G7" s="54" t="s">
        <v>204</v>
      </c>
      <c r="H7" s="53" t="s">
        <v>199</v>
      </c>
      <c r="I7" s="54" t="s">
        <v>200</v>
      </c>
      <c r="J7" s="54" t="s">
        <v>201</v>
      </c>
      <c r="K7" s="54" t="s">
        <v>196</v>
      </c>
    </row>
    <row r="8" customFormat="false" ht="12.8" hidden="false" customHeight="false" outlineLevel="0" collapsed="false">
      <c r="B8" s="51" t="s">
        <v>207</v>
      </c>
      <c r="C8" s="51" t="s">
        <v>196</v>
      </c>
      <c r="D8" s="51" t="s">
        <v>0</v>
      </c>
      <c r="E8" s="52" t="n">
        <v>3400</v>
      </c>
      <c r="F8" s="51" t="s">
        <v>197</v>
      </c>
      <c r="G8" s="51" t="s">
        <v>204</v>
      </c>
      <c r="H8" s="53" t="s">
        <v>199</v>
      </c>
      <c r="I8" s="51" t="s">
        <v>200</v>
      </c>
      <c r="J8" s="51" t="s">
        <v>201</v>
      </c>
      <c r="K8" s="51" t="s">
        <v>196</v>
      </c>
    </row>
    <row r="9" customFormat="false" ht="12.8" hidden="false" customHeight="false" outlineLevel="0" collapsed="false">
      <c r="B9" s="54" t="s">
        <v>208</v>
      </c>
      <c r="C9" s="54" t="s">
        <v>196</v>
      </c>
      <c r="D9" s="54" t="s">
        <v>0</v>
      </c>
      <c r="E9" s="55" t="n">
        <v>3400</v>
      </c>
      <c r="F9" s="54" t="s">
        <v>197</v>
      </c>
      <c r="G9" s="54" t="s">
        <v>204</v>
      </c>
      <c r="H9" s="53" t="s">
        <v>199</v>
      </c>
      <c r="I9" s="54" t="s">
        <v>200</v>
      </c>
      <c r="J9" s="54" t="s">
        <v>201</v>
      </c>
      <c r="K9" s="54" t="s">
        <v>196</v>
      </c>
    </row>
    <row r="10" customFormat="false" ht="12.8" hidden="false" customHeight="false" outlineLevel="0" collapsed="false">
      <c r="B10" s="51" t="s">
        <v>209</v>
      </c>
      <c r="C10" s="51" t="s">
        <v>196</v>
      </c>
      <c r="D10" s="51" t="s">
        <v>0</v>
      </c>
      <c r="E10" s="52" t="n">
        <v>3300</v>
      </c>
      <c r="F10" s="51" t="s">
        <v>197</v>
      </c>
      <c r="G10" s="51" t="s">
        <v>210</v>
      </c>
      <c r="H10" s="53" t="s">
        <v>199</v>
      </c>
      <c r="I10" s="51" t="s">
        <v>200</v>
      </c>
      <c r="J10" s="51" t="s">
        <v>201</v>
      </c>
      <c r="K10" s="51" t="s">
        <v>196</v>
      </c>
    </row>
    <row r="11" customFormat="false" ht="12.8" hidden="false" customHeight="false" outlineLevel="0" collapsed="false">
      <c r="B11" s="54" t="s">
        <v>211</v>
      </c>
      <c r="C11" s="54" t="s">
        <v>196</v>
      </c>
      <c r="D11" s="54" t="s">
        <v>203</v>
      </c>
      <c r="E11" s="55" t="n">
        <v>3400</v>
      </c>
      <c r="F11" s="54" t="s">
        <v>197</v>
      </c>
      <c r="G11" s="54" t="s">
        <v>212</v>
      </c>
      <c r="H11" s="53" t="s">
        <v>199</v>
      </c>
      <c r="I11" s="54" t="s">
        <v>200</v>
      </c>
      <c r="J11" s="54" t="s">
        <v>201</v>
      </c>
      <c r="K11" s="54" t="s">
        <v>196</v>
      </c>
      <c r="M11" s="2" t="s">
        <v>213</v>
      </c>
    </row>
    <row r="12" customFormat="false" ht="12.8" hidden="false" customHeight="false" outlineLevel="0" collapsed="false">
      <c r="B12" s="51" t="s">
        <v>214</v>
      </c>
      <c r="C12" s="51" t="s">
        <v>196</v>
      </c>
      <c r="D12" s="51" t="s">
        <v>0</v>
      </c>
      <c r="E12" s="52" t="n">
        <v>3400</v>
      </c>
      <c r="F12" s="51" t="s">
        <v>197</v>
      </c>
      <c r="G12" s="51" t="s">
        <v>212</v>
      </c>
      <c r="H12" s="53" t="s">
        <v>199</v>
      </c>
      <c r="I12" s="51" t="s">
        <v>200</v>
      </c>
      <c r="J12" s="51" t="s">
        <v>201</v>
      </c>
      <c r="K12" s="51" t="s">
        <v>196</v>
      </c>
    </row>
    <row r="13" customFormat="false" ht="12.8" hidden="false" customHeight="false" outlineLevel="0" collapsed="false">
      <c r="B13" s="54" t="s">
        <v>215</v>
      </c>
      <c r="C13" s="54" t="s">
        <v>196</v>
      </c>
      <c r="D13" s="54" t="s">
        <v>0</v>
      </c>
      <c r="E13" s="55" t="n">
        <v>3400</v>
      </c>
      <c r="F13" s="54" t="s">
        <v>197</v>
      </c>
      <c r="G13" s="54" t="s">
        <v>212</v>
      </c>
      <c r="H13" s="53" t="s">
        <v>199</v>
      </c>
      <c r="I13" s="54" t="s">
        <v>200</v>
      </c>
      <c r="J13" s="54" t="s">
        <v>201</v>
      </c>
      <c r="K13" s="54" t="s">
        <v>196</v>
      </c>
    </row>
    <row r="14" customFormat="false" ht="12.8" hidden="false" customHeight="false" outlineLevel="0" collapsed="false">
      <c r="B14" s="51" t="s">
        <v>216</v>
      </c>
      <c r="C14" s="51" t="s">
        <v>196</v>
      </c>
      <c r="D14" s="51" t="s">
        <v>0</v>
      </c>
      <c r="E14" s="52" t="n">
        <v>3400</v>
      </c>
      <c r="F14" s="51" t="s">
        <v>197</v>
      </c>
      <c r="G14" s="51" t="s">
        <v>212</v>
      </c>
      <c r="H14" s="53" t="s">
        <v>199</v>
      </c>
      <c r="I14" s="51" t="s">
        <v>200</v>
      </c>
      <c r="J14" s="51" t="s">
        <v>201</v>
      </c>
      <c r="K14" s="51" t="s">
        <v>196</v>
      </c>
    </row>
    <row r="15" customFormat="false" ht="12.8" hidden="false" customHeight="false" outlineLevel="0" collapsed="false">
      <c r="B15" s="54" t="s">
        <v>217</v>
      </c>
      <c r="C15" s="54" t="s">
        <v>196</v>
      </c>
      <c r="D15" s="54" t="s">
        <v>0</v>
      </c>
      <c r="E15" s="55" t="n">
        <v>3400</v>
      </c>
      <c r="F15" s="54" t="s">
        <v>197</v>
      </c>
      <c r="G15" s="54" t="s">
        <v>212</v>
      </c>
      <c r="H15" s="53" t="s">
        <v>199</v>
      </c>
      <c r="I15" s="54" t="s">
        <v>200</v>
      </c>
      <c r="J15" s="54" t="s">
        <v>201</v>
      </c>
      <c r="K15" s="54" t="s">
        <v>196</v>
      </c>
    </row>
    <row r="16" customFormat="false" ht="12.8" hidden="false" customHeight="false" outlineLevel="0" collapsed="false">
      <c r="B16" s="51" t="s">
        <v>218</v>
      </c>
      <c r="C16" s="51" t="s">
        <v>196</v>
      </c>
      <c r="D16" s="51" t="s">
        <v>0</v>
      </c>
      <c r="E16" s="52" t="n">
        <v>3125</v>
      </c>
      <c r="F16" s="51" t="s">
        <v>197</v>
      </c>
      <c r="G16" s="51" t="s">
        <v>219</v>
      </c>
      <c r="H16" s="53" t="s">
        <v>199</v>
      </c>
      <c r="I16" s="51" t="s">
        <v>220</v>
      </c>
      <c r="J16" s="51" t="s">
        <v>201</v>
      </c>
      <c r="K16" s="51" t="s">
        <v>196</v>
      </c>
    </row>
    <row r="17" customFormat="false" ht="12.8" hidden="false" customHeight="false" outlineLevel="0" collapsed="false">
      <c r="B17" s="54" t="s">
        <v>221</v>
      </c>
      <c r="C17" s="54" t="s">
        <v>196</v>
      </c>
      <c r="D17" s="54" t="s">
        <v>203</v>
      </c>
      <c r="E17" s="55" t="n">
        <v>1350</v>
      </c>
      <c r="F17" s="54" t="s">
        <v>197</v>
      </c>
      <c r="G17" s="54" t="s">
        <v>222</v>
      </c>
      <c r="H17" s="53" t="s">
        <v>199</v>
      </c>
      <c r="I17" s="54" t="s">
        <v>200</v>
      </c>
      <c r="J17" s="54" t="s">
        <v>201</v>
      </c>
      <c r="K17" s="54" t="s">
        <v>196</v>
      </c>
    </row>
    <row r="18" customFormat="false" ht="12.8" hidden="false" customHeight="false" outlineLevel="0" collapsed="false">
      <c r="B18" s="51" t="s">
        <v>223</v>
      </c>
      <c r="C18" s="51" t="s">
        <v>196</v>
      </c>
      <c r="D18" s="51" t="s">
        <v>0</v>
      </c>
      <c r="E18" s="52" t="n">
        <v>1350</v>
      </c>
      <c r="F18" s="51" t="s">
        <v>197</v>
      </c>
      <c r="G18" s="51" t="s">
        <v>222</v>
      </c>
      <c r="H18" s="53" t="s">
        <v>199</v>
      </c>
      <c r="I18" s="51" t="s">
        <v>200</v>
      </c>
      <c r="J18" s="51" t="s">
        <v>201</v>
      </c>
      <c r="K18" s="51" t="s">
        <v>196</v>
      </c>
    </row>
    <row r="19" customFormat="false" ht="12.8" hidden="false" customHeight="false" outlineLevel="0" collapsed="false">
      <c r="B19" s="54" t="s">
        <v>224</v>
      </c>
      <c r="C19" s="54" t="s">
        <v>196</v>
      </c>
      <c r="D19" s="54" t="s">
        <v>0</v>
      </c>
      <c r="E19" s="55" t="n">
        <v>1350</v>
      </c>
      <c r="F19" s="54" t="s">
        <v>197</v>
      </c>
      <c r="G19" s="54" t="s">
        <v>222</v>
      </c>
      <c r="H19" s="53" t="s">
        <v>199</v>
      </c>
      <c r="I19" s="54" t="s">
        <v>200</v>
      </c>
      <c r="J19" s="54" t="s">
        <v>201</v>
      </c>
      <c r="K19" s="54" t="s">
        <v>196</v>
      </c>
    </row>
    <row r="20" customFormat="false" ht="12.8" hidden="false" customHeight="false" outlineLevel="0" collapsed="false">
      <c r="B20" s="51" t="s">
        <v>225</v>
      </c>
      <c r="C20" s="51" t="s">
        <v>196</v>
      </c>
      <c r="D20" s="51" t="s">
        <v>0</v>
      </c>
      <c r="E20" s="52" t="n">
        <v>1350</v>
      </c>
      <c r="F20" s="51" t="s">
        <v>197</v>
      </c>
      <c r="G20" s="51" t="s">
        <v>222</v>
      </c>
      <c r="H20" s="53" t="s">
        <v>199</v>
      </c>
      <c r="I20" s="51" t="s">
        <v>200</v>
      </c>
      <c r="J20" s="51" t="s">
        <v>201</v>
      </c>
      <c r="K20" s="51" t="s">
        <v>196</v>
      </c>
    </row>
    <row r="21" customFormat="false" ht="12.8" hidden="false" customHeight="false" outlineLevel="0" collapsed="false">
      <c r="B21" s="54" t="s">
        <v>226</v>
      </c>
      <c r="C21" s="54" t="s">
        <v>196</v>
      </c>
      <c r="D21" s="54" t="s">
        <v>0</v>
      </c>
      <c r="E21" s="55" t="n">
        <v>1350</v>
      </c>
      <c r="F21" s="54" t="s">
        <v>197</v>
      </c>
      <c r="G21" s="54" t="s">
        <v>222</v>
      </c>
      <c r="H21" s="53" t="s">
        <v>199</v>
      </c>
      <c r="I21" s="54" t="s">
        <v>200</v>
      </c>
      <c r="J21" s="54" t="s">
        <v>201</v>
      </c>
      <c r="K21" s="54" t="s">
        <v>196</v>
      </c>
    </row>
    <row r="22" customFormat="false" ht="12.8" hidden="false" customHeight="false" outlineLevel="0" collapsed="false">
      <c r="B22" s="51" t="s">
        <v>227</v>
      </c>
      <c r="C22" s="51" t="s">
        <v>196</v>
      </c>
      <c r="D22" s="51" t="s">
        <v>0</v>
      </c>
      <c r="E22" s="52" t="n">
        <v>2625</v>
      </c>
      <c r="F22" s="51" t="s">
        <v>197</v>
      </c>
      <c r="G22" s="51" t="s">
        <v>228</v>
      </c>
      <c r="H22" s="53" t="s">
        <v>199</v>
      </c>
      <c r="I22" s="51" t="s">
        <v>220</v>
      </c>
      <c r="J22" s="51" t="s">
        <v>201</v>
      </c>
      <c r="K22" s="51" t="s">
        <v>196</v>
      </c>
    </row>
    <row r="23" customFormat="false" ht="12.8" hidden="false" customHeight="false" outlineLevel="0" collapsed="false">
      <c r="B23" s="54" t="s">
        <v>229</v>
      </c>
      <c r="C23" s="54" t="s">
        <v>196</v>
      </c>
      <c r="D23" s="54" t="s">
        <v>0</v>
      </c>
      <c r="E23" s="55" t="n">
        <v>3500</v>
      </c>
      <c r="F23" s="54" t="s">
        <v>197</v>
      </c>
      <c r="G23" s="54" t="s">
        <v>230</v>
      </c>
      <c r="H23" s="53" t="s">
        <v>199</v>
      </c>
      <c r="I23" s="54" t="s">
        <v>200</v>
      </c>
      <c r="J23" s="54" t="s">
        <v>201</v>
      </c>
      <c r="K23" s="54" t="s">
        <v>196</v>
      </c>
    </row>
    <row r="24" customFormat="false" ht="12.8" hidden="false" customHeight="false" outlineLevel="0" collapsed="false">
      <c r="B24" s="51" t="s">
        <v>231</v>
      </c>
      <c r="C24" s="51" t="s">
        <v>196</v>
      </c>
      <c r="D24" s="51" t="s">
        <v>0</v>
      </c>
      <c r="E24" s="52" t="n">
        <v>4200</v>
      </c>
      <c r="F24" s="51" t="s">
        <v>197</v>
      </c>
      <c r="G24" s="51" t="s">
        <v>232</v>
      </c>
      <c r="H24" s="53" t="s">
        <v>199</v>
      </c>
      <c r="I24" s="51" t="s">
        <v>200</v>
      </c>
      <c r="J24" s="51" t="s">
        <v>201</v>
      </c>
      <c r="K24" s="51" t="s">
        <v>196</v>
      </c>
    </row>
    <row r="25" customFormat="false" ht="12.8" hidden="false" customHeight="false" outlineLevel="0" collapsed="false">
      <c r="B25" s="54" t="s">
        <v>233</v>
      </c>
      <c r="C25" s="54" t="s">
        <v>196</v>
      </c>
      <c r="D25" s="54" t="s">
        <v>0</v>
      </c>
      <c r="E25" s="55" t="n">
        <v>3450</v>
      </c>
      <c r="F25" s="54" t="s">
        <v>197</v>
      </c>
      <c r="G25" s="54" t="s">
        <v>234</v>
      </c>
      <c r="H25" s="53" t="s">
        <v>199</v>
      </c>
      <c r="I25" s="54" t="s">
        <v>200</v>
      </c>
      <c r="J25" s="54" t="s">
        <v>201</v>
      </c>
      <c r="K25" s="54" t="s">
        <v>196</v>
      </c>
    </row>
    <row r="26" customFormat="false" ht="12.8" hidden="false" customHeight="false" outlineLevel="0" collapsed="false">
      <c r="B26" s="51" t="s">
        <v>235</v>
      </c>
      <c r="C26" s="51" t="s">
        <v>196</v>
      </c>
      <c r="D26" s="51" t="s">
        <v>0</v>
      </c>
      <c r="E26" s="52" t="n">
        <v>4100</v>
      </c>
      <c r="F26" s="51" t="s">
        <v>197</v>
      </c>
      <c r="G26" s="51" t="s">
        <v>236</v>
      </c>
      <c r="H26" s="53" t="s">
        <v>199</v>
      </c>
      <c r="I26" s="51" t="s">
        <v>200</v>
      </c>
      <c r="J26" s="51" t="s">
        <v>201</v>
      </c>
      <c r="K26" s="51" t="s">
        <v>196</v>
      </c>
    </row>
    <row r="27" customFormat="false" ht="12.8" hidden="false" customHeight="false" outlineLevel="0" collapsed="false">
      <c r="B27" s="54" t="s">
        <v>237</v>
      </c>
      <c r="C27" s="54" t="s">
        <v>196</v>
      </c>
      <c r="D27" s="54" t="s">
        <v>0</v>
      </c>
      <c r="E27" s="55" t="n">
        <v>5200</v>
      </c>
      <c r="F27" s="54" t="s">
        <v>197</v>
      </c>
      <c r="G27" s="54" t="s">
        <v>238</v>
      </c>
      <c r="H27" s="56" t="s">
        <v>239</v>
      </c>
      <c r="I27" s="54" t="s">
        <v>200</v>
      </c>
      <c r="J27" s="54" t="s">
        <v>201</v>
      </c>
      <c r="K27" s="54" t="s">
        <v>196</v>
      </c>
    </row>
    <row r="28" customFormat="false" ht="12.8" hidden="false" customHeight="false" outlineLevel="0" collapsed="false">
      <c r="B28" s="51" t="s">
        <v>240</v>
      </c>
      <c r="C28" s="51" t="s">
        <v>196</v>
      </c>
      <c r="D28" s="51" t="s">
        <v>0</v>
      </c>
      <c r="E28" s="52" t="n">
        <v>4500</v>
      </c>
      <c r="F28" s="51" t="s">
        <v>197</v>
      </c>
      <c r="G28" s="51" t="s">
        <v>241</v>
      </c>
      <c r="H28" s="56" t="s">
        <v>239</v>
      </c>
      <c r="I28" s="51" t="s">
        <v>200</v>
      </c>
      <c r="J28" s="51" t="s">
        <v>201</v>
      </c>
      <c r="K28" s="51" t="s">
        <v>196</v>
      </c>
    </row>
    <row r="29" customFormat="false" ht="12.8" hidden="false" customHeight="false" outlineLevel="0" collapsed="false">
      <c r="B29" s="54" t="s">
        <v>242</v>
      </c>
      <c r="C29" s="54" t="s">
        <v>196</v>
      </c>
      <c r="D29" s="54" t="s">
        <v>0</v>
      </c>
      <c r="E29" s="55" t="n">
        <v>5300</v>
      </c>
      <c r="F29" s="54" t="s">
        <v>197</v>
      </c>
      <c r="G29" s="54" t="s">
        <v>243</v>
      </c>
      <c r="H29" s="56" t="s">
        <v>239</v>
      </c>
      <c r="I29" s="54" t="s">
        <v>200</v>
      </c>
      <c r="J29" s="54" t="s">
        <v>201</v>
      </c>
      <c r="K29" s="54" t="s">
        <v>196</v>
      </c>
    </row>
    <row r="30" customFormat="false" ht="12.8" hidden="false" customHeight="false" outlineLevel="0" collapsed="false">
      <c r="B30" s="51" t="s">
        <v>244</v>
      </c>
      <c r="C30" s="51" t="s">
        <v>196</v>
      </c>
      <c r="D30" s="51" t="s">
        <v>0</v>
      </c>
      <c r="E30" s="52" t="n">
        <v>3500</v>
      </c>
      <c r="F30" s="51" t="s">
        <v>197</v>
      </c>
      <c r="G30" s="51" t="s">
        <v>245</v>
      </c>
      <c r="H30" s="53" t="s">
        <v>199</v>
      </c>
      <c r="I30" s="51" t="s">
        <v>200</v>
      </c>
      <c r="J30" s="51" t="s">
        <v>201</v>
      </c>
      <c r="K30" s="51" t="s">
        <v>196</v>
      </c>
    </row>
    <row r="31" customFormat="false" ht="12.8" hidden="false" customHeight="false" outlineLevel="0" collapsed="false">
      <c r="B31" s="54" t="s">
        <v>246</v>
      </c>
      <c r="C31" s="54" t="s">
        <v>196</v>
      </c>
      <c r="D31" s="54" t="s">
        <v>0</v>
      </c>
      <c r="E31" s="55" t="n">
        <v>3750</v>
      </c>
      <c r="F31" s="54" t="s">
        <v>197</v>
      </c>
      <c r="G31" s="54" t="s">
        <v>247</v>
      </c>
      <c r="H31" s="53" t="s">
        <v>199</v>
      </c>
      <c r="I31" s="54" t="s">
        <v>200</v>
      </c>
      <c r="J31" s="54" t="s">
        <v>201</v>
      </c>
      <c r="K31" s="54" t="s">
        <v>196</v>
      </c>
    </row>
    <row r="32" customFormat="false" ht="12.8" hidden="false" customHeight="false" outlineLevel="0" collapsed="false">
      <c r="B32" s="51" t="s">
        <v>248</v>
      </c>
      <c r="C32" s="51" t="s">
        <v>196</v>
      </c>
      <c r="D32" s="51" t="s">
        <v>0</v>
      </c>
      <c r="E32" s="52" t="n">
        <v>4875</v>
      </c>
      <c r="F32" s="51" t="s">
        <v>197</v>
      </c>
      <c r="G32" s="51" t="s">
        <v>249</v>
      </c>
      <c r="H32" s="53" t="s">
        <v>199</v>
      </c>
      <c r="I32" s="51" t="s">
        <v>200</v>
      </c>
      <c r="J32" s="51" t="s">
        <v>201</v>
      </c>
      <c r="K32" s="51" t="s">
        <v>196</v>
      </c>
    </row>
    <row r="33" customFormat="false" ht="12.8" hidden="false" customHeight="false" outlineLevel="0" collapsed="false">
      <c r="B33" s="54" t="s">
        <v>250</v>
      </c>
      <c r="C33" s="54" t="s">
        <v>196</v>
      </c>
      <c r="D33" s="54" t="s">
        <v>0</v>
      </c>
      <c r="E33" s="55" t="n">
        <v>3750</v>
      </c>
      <c r="F33" s="54" t="s">
        <v>197</v>
      </c>
      <c r="G33" s="54" t="s">
        <v>251</v>
      </c>
      <c r="H33" s="53" t="s">
        <v>199</v>
      </c>
      <c r="I33" s="54" t="s">
        <v>200</v>
      </c>
      <c r="J33" s="54" t="s">
        <v>201</v>
      </c>
      <c r="K33" s="54" t="s">
        <v>196</v>
      </c>
    </row>
    <row r="34" customFormat="false" ht="12.8" hidden="false" customHeight="false" outlineLevel="0" collapsed="false">
      <c r="B34" s="51" t="s">
        <v>252</v>
      </c>
      <c r="C34" s="51" t="s">
        <v>196</v>
      </c>
      <c r="D34" s="51" t="s">
        <v>0</v>
      </c>
      <c r="E34" s="52" t="n">
        <v>4450</v>
      </c>
      <c r="F34" s="51" t="s">
        <v>197</v>
      </c>
      <c r="G34" s="51" t="s">
        <v>253</v>
      </c>
      <c r="H34" s="53" t="s">
        <v>199</v>
      </c>
      <c r="I34" s="51" t="s">
        <v>200</v>
      </c>
      <c r="J34" s="51" t="s">
        <v>201</v>
      </c>
      <c r="K34" s="51" t="s">
        <v>196</v>
      </c>
    </row>
    <row r="35" customFormat="false" ht="12.8" hidden="false" customHeight="false" outlineLevel="0" collapsed="false">
      <c r="B35" s="54" t="s">
        <v>254</v>
      </c>
      <c r="C35" s="54" t="s">
        <v>196</v>
      </c>
      <c r="D35" s="54" t="s">
        <v>0</v>
      </c>
      <c r="E35" s="55" t="n">
        <v>3700</v>
      </c>
      <c r="F35" s="54" t="s">
        <v>197</v>
      </c>
      <c r="G35" s="54" t="s">
        <v>255</v>
      </c>
      <c r="H35" s="53" t="s">
        <v>199</v>
      </c>
      <c r="I35" s="54" t="s">
        <v>200</v>
      </c>
      <c r="J35" s="54" t="s">
        <v>201</v>
      </c>
      <c r="K35" s="54" t="s">
        <v>196</v>
      </c>
    </row>
    <row r="36" customFormat="false" ht="12.8" hidden="false" customHeight="false" outlineLevel="0" collapsed="false">
      <c r="B36" s="51" t="s">
        <v>256</v>
      </c>
      <c r="C36" s="51" t="s">
        <v>196</v>
      </c>
      <c r="D36" s="51" t="s">
        <v>0</v>
      </c>
      <c r="E36" s="52" t="n">
        <v>4250</v>
      </c>
      <c r="F36" s="51" t="s">
        <v>197</v>
      </c>
      <c r="G36" s="51" t="s">
        <v>257</v>
      </c>
      <c r="H36" s="53" t="s">
        <v>199</v>
      </c>
      <c r="I36" s="51" t="s">
        <v>200</v>
      </c>
      <c r="J36" s="51" t="s">
        <v>201</v>
      </c>
      <c r="K36" s="51" t="s">
        <v>196</v>
      </c>
    </row>
    <row r="37" customFormat="false" ht="12.8" hidden="false" customHeight="false" outlineLevel="0" collapsed="false">
      <c r="B37" s="54" t="s">
        <v>258</v>
      </c>
      <c r="C37" s="54" t="s">
        <v>196</v>
      </c>
      <c r="D37" s="54" t="s">
        <v>203</v>
      </c>
      <c r="E37" s="55" t="n">
        <v>4500</v>
      </c>
      <c r="F37" s="54" t="s">
        <v>197</v>
      </c>
      <c r="G37" s="54" t="s">
        <v>259</v>
      </c>
      <c r="H37" s="53" t="s">
        <v>199</v>
      </c>
      <c r="I37" s="54" t="s">
        <v>200</v>
      </c>
      <c r="J37" s="54" t="s">
        <v>201</v>
      </c>
      <c r="K37" s="54" t="s">
        <v>196</v>
      </c>
    </row>
    <row r="38" customFormat="false" ht="12.8" hidden="false" customHeight="false" outlineLevel="0" collapsed="false">
      <c r="B38" s="51" t="s">
        <v>260</v>
      </c>
      <c r="C38" s="51" t="s">
        <v>196</v>
      </c>
      <c r="D38" s="51" t="s">
        <v>0</v>
      </c>
      <c r="E38" s="52" t="n">
        <v>4500</v>
      </c>
      <c r="F38" s="51" t="s">
        <v>197</v>
      </c>
      <c r="G38" s="51" t="s">
        <v>259</v>
      </c>
      <c r="H38" s="53" t="s">
        <v>199</v>
      </c>
      <c r="I38" s="51" t="s">
        <v>200</v>
      </c>
      <c r="J38" s="51" t="s">
        <v>201</v>
      </c>
      <c r="K38" s="51" t="s">
        <v>196</v>
      </c>
    </row>
    <row r="39" customFormat="false" ht="12.8" hidden="false" customHeight="false" outlineLevel="0" collapsed="false">
      <c r="B39" s="54" t="s">
        <v>261</v>
      </c>
      <c r="C39" s="54" t="s">
        <v>196</v>
      </c>
      <c r="D39" s="54" t="s">
        <v>0</v>
      </c>
      <c r="E39" s="55" t="n">
        <v>4500</v>
      </c>
      <c r="F39" s="54" t="s">
        <v>197</v>
      </c>
      <c r="G39" s="54" t="s">
        <v>259</v>
      </c>
      <c r="H39" s="53" t="s">
        <v>199</v>
      </c>
      <c r="I39" s="54" t="s">
        <v>200</v>
      </c>
      <c r="J39" s="54" t="s">
        <v>201</v>
      </c>
      <c r="K39" s="54" t="s">
        <v>196</v>
      </c>
    </row>
    <row r="40" customFormat="false" ht="12.8" hidden="false" customHeight="false" outlineLevel="0" collapsed="false">
      <c r="B40" s="51" t="s">
        <v>262</v>
      </c>
      <c r="C40" s="51" t="s">
        <v>196</v>
      </c>
      <c r="D40" s="51" t="s">
        <v>0</v>
      </c>
      <c r="E40" s="52" t="n">
        <v>4500</v>
      </c>
      <c r="F40" s="51" t="s">
        <v>197</v>
      </c>
      <c r="G40" s="51" t="s">
        <v>259</v>
      </c>
      <c r="H40" s="53" t="s">
        <v>199</v>
      </c>
      <c r="I40" s="51" t="s">
        <v>200</v>
      </c>
      <c r="J40" s="51" t="s">
        <v>201</v>
      </c>
      <c r="K40" s="51" t="s">
        <v>196</v>
      </c>
    </row>
    <row r="41" customFormat="false" ht="12.8" hidden="false" customHeight="false" outlineLevel="0" collapsed="false">
      <c r="B41" s="54" t="s">
        <v>263</v>
      </c>
      <c r="C41" s="54" t="s">
        <v>196</v>
      </c>
      <c r="D41" s="54" t="s">
        <v>0</v>
      </c>
      <c r="E41" s="55" t="n">
        <v>4500</v>
      </c>
      <c r="F41" s="54" t="s">
        <v>197</v>
      </c>
      <c r="G41" s="54" t="s">
        <v>259</v>
      </c>
      <c r="H41" s="53" t="s">
        <v>199</v>
      </c>
      <c r="I41" s="54" t="s">
        <v>200</v>
      </c>
      <c r="J41" s="54" t="s">
        <v>201</v>
      </c>
      <c r="K41" s="54" t="s">
        <v>196</v>
      </c>
    </row>
    <row r="42" customFormat="false" ht="12.8" hidden="false" customHeight="false" outlineLevel="0" collapsed="false">
      <c r="B42" s="51" t="s">
        <v>264</v>
      </c>
      <c r="C42" s="51" t="s">
        <v>196</v>
      </c>
      <c r="D42" s="51" t="s">
        <v>0</v>
      </c>
      <c r="E42" s="52" t="n">
        <v>2525</v>
      </c>
      <c r="F42" s="51" t="s">
        <v>197</v>
      </c>
      <c r="G42" s="51" t="s">
        <v>265</v>
      </c>
      <c r="H42" s="53" t="s">
        <v>199</v>
      </c>
      <c r="I42" s="51" t="s">
        <v>200</v>
      </c>
      <c r="J42" s="51" t="s">
        <v>201</v>
      </c>
      <c r="K42" s="51" t="s">
        <v>196</v>
      </c>
    </row>
    <row r="43" customFormat="false" ht="12.8" hidden="false" customHeight="false" outlineLevel="0" collapsed="false">
      <c r="B43" s="54" t="s">
        <v>266</v>
      </c>
      <c r="C43" s="54" t="s">
        <v>196</v>
      </c>
      <c r="D43" s="54" t="s">
        <v>203</v>
      </c>
      <c r="E43" s="55" t="n">
        <v>2500</v>
      </c>
      <c r="F43" s="54" t="s">
        <v>197</v>
      </c>
      <c r="G43" s="54" t="s">
        <v>267</v>
      </c>
      <c r="H43" s="53" t="s">
        <v>199</v>
      </c>
      <c r="I43" s="54" t="s">
        <v>200</v>
      </c>
      <c r="J43" s="54" t="s">
        <v>201</v>
      </c>
      <c r="K43" s="54" t="s">
        <v>196</v>
      </c>
    </row>
    <row r="44" customFormat="false" ht="12.8" hidden="false" customHeight="false" outlineLevel="0" collapsed="false">
      <c r="B44" s="51" t="s">
        <v>268</v>
      </c>
      <c r="C44" s="51" t="s">
        <v>196</v>
      </c>
      <c r="D44" s="51" t="s">
        <v>0</v>
      </c>
      <c r="E44" s="52" t="n">
        <v>2500</v>
      </c>
      <c r="F44" s="51" t="s">
        <v>197</v>
      </c>
      <c r="G44" s="51" t="s">
        <v>267</v>
      </c>
      <c r="H44" s="53" t="s">
        <v>199</v>
      </c>
      <c r="I44" s="51" t="s">
        <v>200</v>
      </c>
      <c r="J44" s="51" t="s">
        <v>201</v>
      </c>
      <c r="K44" s="51" t="s">
        <v>196</v>
      </c>
    </row>
    <row r="45" customFormat="false" ht="12.8" hidden="false" customHeight="false" outlineLevel="0" collapsed="false">
      <c r="B45" s="54" t="s">
        <v>269</v>
      </c>
      <c r="C45" s="54" t="s">
        <v>196</v>
      </c>
      <c r="D45" s="54" t="s">
        <v>0</v>
      </c>
      <c r="E45" s="55" t="n">
        <v>2500</v>
      </c>
      <c r="F45" s="54" t="s">
        <v>197</v>
      </c>
      <c r="G45" s="54" t="s">
        <v>267</v>
      </c>
      <c r="H45" s="53" t="s">
        <v>199</v>
      </c>
      <c r="I45" s="54" t="s">
        <v>200</v>
      </c>
      <c r="J45" s="54" t="s">
        <v>201</v>
      </c>
      <c r="K45" s="54" t="s">
        <v>196</v>
      </c>
    </row>
    <row r="46" customFormat="false" ht="12.8" hidden="false" customHeight="false" outlineLevel="0" collapsed="false">
      <c r="B46" s="51" t="s">
        <v>270</v>
      </c>
      <c r="C46" s="51" t="s">
        <v>196</v>
      </c>
      <c r="D46" s="51" t="s">
        <v>0</v>
      </c>
      <c r="E46" s="52" t="n">
        <v>2500</v>
      </c>
      <c r="F46" s="51" t="s">
        <v>197</v>
      </c>
      <c r="G46" s="51" t="s">
        <v>267</v>
      </c>
      <c r="H46" s="53" t="s">
        <v>199</v>
      </c>
      <c r="I46" s="51" t="s">
        <v>200</v>
      </c>
      <c r="J46" s="51" t="s">
        <v>201</v>
      </c>
      <c r="K46" s="51" t="s">
        <v>196</v>
      </c>
    </row>
    <row r="47" customFormat="false" ht="12.8" hidden="false" customHeight="false" outlineLevel="0" collapsed="false">
      <c r="B47" s="54" t="s">
        <v>271</v>
      </c>
      <c r="C47" s="54" t="s">
        <v>196</v>
      </c>
      <c r="D47" s="54" t="s">
        <v>0</v>
      </c>
      <c r="E47" s="55" t="n">
        <v>2500</v>
      </c>
      <c r="F47" s="54" t="s">
        <v>197</v>
      </c>
      <c r="G47" s="54" t="s">
        <v>267</v>
      </c>
      <c r="H47" s="53" t="s">
        <v>199</v>
      </c>
      <c r="I47" s="54" t="s">
        <v>200</v>
      </c>
      <c r="J47" s="54" t="s">
        <v>201</v>
      </c>
      <c r="K47" s="54" t="s">
        <v>196</v>
      </c>
    </row>
    <row r="48" customFormat="false" ht="12.8" hidden="false" customHeight="false" outlineLevel="0" collapsed="false">
      <c r="B48" s="51" t="s">
        <v>272</v>
      </c>
      <c r="C48" s="51" t="s">
        <v>196</v>
      </c>
      <c r="D48" s="51" t="s">
        <v>0</v>
      </c>
      <c r="E48" s="52" t="n">
        <v>2921</v>
      </c>
      <c r="F48" s="51" t="s">
        <v>197</v>
      </c>
      <c r="G48" s="51" t="s">
        <v>273</v>
      </c>
      <c r="H48" s="53" t="s">
        <v>199</v>
      </c>
      <c r="I48" s="51" t="s">
        <v>200</v>
      </c>
      <c r="J48" s="51" t="s">
        <v>201</v>
      </c>
      <c r="K48" s="51" t="s">
        <v>196</v>
      </c>
    </row>
    <row r="49" customFormat="false" ht="12.8" hidden="false" customHeight="false" outlineLevel="0" collapsed="false">
      <c r="B49" s="54" t="s">
        <v>274</v>
      </c>
      <c r="C49" s="54" t="s">
        <v>196</v>
      </c>
      <c r="D49" s="54" t="s">
        <v>0</v>
      </c>
      <c r="E49" s="55" t="n">
        <v>4000</v>
      </c>
      <c r="F49" s="54" t="s">
        <v>197</v>
      </c>
      <c r="G49" s="54" t="s">
        <v>275</v>
      </c>
      <c r="H49" s="53" t="s">
        <v>199</v>
      </c>
      <c r="I49" s="54" t="s">
        <v>200</v>
      </c>
      <c r="J49" s="54" t="s">
        <v>201</v>
      </c>
      <c r="K49" s="54" t="s">
        <v>196</v>
      </c>
    </row>
    <row r="50" customFormat="false" ht="12.8" hidden="false" customHeight="false" outlineLevel="0" collapsed="false">
      <c r="B50" s="51" t="s">
        <v>276</v>
      </c>
      <c r="C50" s="51" t="s">
        <v>196</v>
      </c>
      <c r="D50" s="51" t="s">
        <v>0</v>
      </c>
      <c r="E50" s="52" t="n">
        <v>4750</v>
      </c>
      <c r="F50" s="51" t="s">
        <v>197</v>
      </c>
      <c r="G50" s="51" t="s">
        <v>277</v>
      </c>
      <c r="H50" s="53" t="s">
        <v>199</v>
      </c>
      <c r="I50" s="51" t="s">
        <v>200</v>
      </c>
      <c r="J50" s="51" t="s">
        <v>201</v>
      </c>
      <c r="K50" s="51" t="s">
        <v>196</v>
      </c>
    </row>
    <row r="51" customFormat="false" ht="12.8" hidden="false" customHeight="false" outlineLevel="0" collapsed="false">
      <c r="B51" s="54" t="s">
        <v>278</v>
      </c>
      <c r="C51" s="54" t="s">
        <v>196</v>
      </c>
      <c r="D51" s="54" t="s">
        <v>0</v>
      </c>
      <c r="E51" s="55" t="n">
        <v>3950</v>
      </c>
      <c r="F51" s="54" t="s">
        <v>197</v>
      </c>
      <c r="G51" s="54" t="s">
        <v>279</v>
      </c>
      <c r="H51" s="53" t="s">
        <v>199</v>
      </c>
      <c r="I51" s="54" t="s">
        <v>200</v>
      </c>
      <c r="J51" s="54" t="s">
        <v>201</v>
      </c>
      <c r="K51" s="54" t="s">
        <v>196</v>
      </c>
    </row>
    <row r="52" customFormat="false" ht="12.8" hidden="false" customHeight="false" outlineLevel="0" collapsed="false">
      <c r="B52" s="51" t="s">
        <v>280</v>
      </c>
      <c r="C52" s="51" t="s">
        <v>196</v>
      </c>
      <c r="D52" s="51" t="s">
        <v>0</v>
      </c>
      <c r="E52" s="52" t="n">
        <v>4500</v>
      </c>
      <c r="F52" s="51" t="s">
        <v>197</v>
      </c>
      <c r="G52" s="51" t="s">
        <v>281</v>
      </c>
      <c r="H52" s="53" t="s">
        <v>199</v>
      </c>
      <c r="I52" s="51" t="s">
        <v>200</v>
      </c>
      <c r="J52" s="51" t="s">
        <v>201</v>
      </c>
      <c r="K52" s="51" t="s">
        <v>196</v>
      </c>
    </row>
    <row r="53" customFormat="false" ht="12.8" hidden="false" customHeight="false" outlineLevel="0" collapsed="false">
      <c r="B53" s="54" t="s">
        <v>282</v>
      </c>
      <c r="C53" s="54" t="s">
        <v>196</v>
      </c>
      <c r="D53" s="54" t="s">
        <v>0</v>
      </c>
      <c r="E53" s="55" t="n">
        <v>2675</v>
      </c>
      <c r="F53" s="54" t="s">
        <v>197</v>
      </c>
      <c r="G53" s="54" t="s">
        <v>283</v>
      </c>
      <c r="H53" s="53" t="s">
        <v>199</v>
      </c>
      <c r="I53" s="54" t="s">
        <v>200</v>
      </c>
      <c r="J53" s="54" t="s">
        <v>201</v>
      </c>
      <c r="K53" s="54" t="s">
        <v>196</v>
      </c>
    </row>
    <row r="54" customFormat="false" ht="12.8" hidden="false" customHeight="false" outlineLevel="0" collapsed="false">
      <c r="B54" s="51" t="s">
        <v>284</v>
      </c>
      <c r="C54" s="51" t="s">
        <v>196</v>
      </c>
      <c r="D54" s="51" t="s">
        <v>0</v>
      </c>
      <c r="E54" s="52" t="n">
        <v>3041</v>
      </c>
      <c r="F54" s="51" t="s">
        <v>197</v>
      </c>
      <c r="G54" s="51" t="s">
        <v>285</v>
      </c>
      <c r="H54" s="53" t="s">
        <v>199</v>
      </c>
      <c r="I54" s="51" t="s">
        <v>200</v>
      </c>
      <c r="J54" s="51" t="s">
        <v>201</v>
      </c>
      <c r="K54" s="51" t="s">
        <v>196</v>
      </c>
    </row>
    <row r="55" customFormat="false" ht="12.8" hidden="false" customHeight="false" outlineLevel="0" collapsed="false">
      <c r="E55" s="3" t="n">
        <f aca="false">+AVERAGE(E4:E54)</f>
        <v>3413.47058823529</v>
      </c>
    </row>
  </sheetData>
  <hyperlinks>
    <hyperlink ref="A1" r:id="rId1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38" activeCellId="0" sqref="F38"/>
    </sheetView>
  </sheetViews>
  <sheetFormatPr defaultColWidth="11.53515625" defaultRowHeight="12.8" customHeight="false" zeroHeight="false" outlineLevelRow="0" outlineLevelCol="0"/>
  <sheetData>
    <row r="1" customFormat="false" ht="12.7" hidden="false" customHeight="false" outlineLevel="0" collapsed="false">
      <c r="A1" s="14" t="s">
        <v>42</v>
      </c>
    </row>
  </sheetData>
  <hyperlinks>
    <hyperlink ref="A1" r:id="rId1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5313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2026-04-16T20:37:54Z</dcterms:created>
  <dc:creator/>
  <dc:description/>
  <dc:language>en-US</dc:language>
  <cp:lastModifiedBy/>
  <dcterms:modified xsi:type="dcterms:W3CDTF">2026-08-18T16:26:18Z</dcterms:modified>
  <cp:revision>232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