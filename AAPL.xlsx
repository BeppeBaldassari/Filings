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  <sheet name="Bond" sheetId="3" state="visible" r:id="rId5"/>
  </sheets>
  <externalReferences>
    <externalReference r:id="rId6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J75" authorId="0">
      <text>
        <r>
          <rPr>
            <sz val="10"/>
            <rFont val="Arial"/>
            <family val="2"/>
          </rPr>
          <t xml:space="preserve">GOOGL: 18x
MSFT: 16x
META: 13x
INTC: 31x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70</xdr:row>
                <xdr:rowOff>12</xdr:rowOff>
              </xdr:from>
              <xdr:to>
                <xdr:col>37</xdr:col>
                <xdr:colOff>47</xdr:colOff>
                <xdr:row>74</xdr:row>
                <xdr:rowOff>11</xdr:rowOff>
              </xdr:to>
            </anchor>
          </commentPr>
        </mc:Choice>
        <mc:Fallback/>
      </mc:AlternateContent>
    </comment>
    <comment ref="AJ76" authorId="0">
      <text>
        <r>
          <rPr>
            <sz val="10"/>
            <rFont val="Arial"/>
            <family val="2"/>
          </rPr>
          <t xml:space="preserve">Hawlett packard – 3Com: 24x
Cisco – Starent: 21x
ORCL – Sun Microsystem: 10x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23</xdr:colOff>
                <xdr:row>71</xdr:row>
                <xdr:rowOff>12</xdr:rowOff>
              </xdr:from>
              <xdr:to>
                <xdr:col>37</xdr:col>
                <xdr:colOff>47</xdr:colOff>
                <xdr:row>78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<sst xmlns="http://schemas.openxmlformats.org/spreadsheetml/2006/main" count="582" uniqueCount="289">
  <si>
    <t xml:space="preserve">Apple</t>
  </si>
  <si>
    <t xml:space="preserve">Price</t>
  </si>
  <si>
    <t xml:space="preserve">Share</t>
  </si>
  <si>
    <t xml:space="preserve">Q326</t>
  </si>
  <si>
    <t xml:space="preserve">MC</t>
  </si>
  <si>
    <t xml:space="preserve">Cash</t>
  </si>
  <si>
    <t xml:space="preserve">Debt</t>
  </si>
  <si>
    <t xml:space="preserve">EV</t>
  </si>
  <si>
    <t xml:space="preserve">P/FCF</t>
  </si>
  <si>
    <t xml:space="preserve">BETA</t>
  </si>
  <si>
    <t xml:space="preserve">WACC</t>
  </si>
  <si>
    <t xml:space="preserve">mu</t>
  </si>
  <si>
    <t xml:space="preserve">EV/EBITDA</t>
  </si>
  <si>
    <t xml:space="preserve">CAPM</t>
  </si>
  <si>
    <t xml:space="preserve">sigma</t>
  </si>
  <si>
    <t xml:space="preserve">EV/FCF</t>
  </si>
  <si>
    <t xml:space="preserve">Cost of Debt</t>
  </si>
  <si>
    <t xml:space="preserve">Inc. Margin</t>
  </si>
  <si>
    <t xml:space="preserve">Cr. Spread</t>
  </si>
  <si>
    <t xml:space="preserve">P/E</t>
  </si>
  <si>
    <t xml:space="preserve">Rating</t>
  </si>
  <si>
    <t xml:space="preserve">AAA</t>
  </si>
  <si>
    <t xml:space="preserve">Aaa</t>
  </si>
  <si>
    <t xml:space="preserve">Leverage</t>
  </si>
  <si>
    <t xml:space="preserve">S&amp;P</t>
  </si>
  <si>
    <t xml:space="preserve">Moody’s</t>
  </si>
  <si>
    <t xml:space="preserve">Products</t>
  </si>
  <si>
    <t xml:space="preserve">iPhone</t>
  </si>
  <si>
    <t xml:space="preserve">Smartphone and iOS perating system</t>
  </si>
  <si>
    <t xml:space="preserve">Types</t>
  </si>
  <si>
    <t xml:space="preserve">Pro</t>
  </si>
  <si>
    <t xml:space="preserve">Air</t>
  </si>
  <si>
    <t xml:space="preserve">Normal</t>
  </si>
  <si>
    <t xml:space="preserve">e</t>
  </si>
  <si>
    <t xml:space="preserve">Mac</t>
  </si>
  <si>
    <t xml:space="preserve">PC based on MacOS</t>
  </si>
  <si>
    <t xml:space="preserve">Macbook Air</t>
  </si>
  <si>
    <t xml:space="preserve">Macbook Pro</t>
  </si>
  <si>
    <t xml:space="preserve">Macbook Neo</t>
  </si>
  <si>
    <t xml:space="preserve">iMac</t>
  </si>
  <si>
    <t xml:space="preserve">Mac Mini</t>
  </si>
  <si>
    <t xml:space="preserve">Mac Studio</t>
  </si>
  <si>
    <t xml:space="preserve">Mac Pro</t>
  </si>
  <si>
    <t xml:space="preserve">?</t>
  </si>
  <si>
    <t xml:space="preserve">iPad</t>
  </si>
  <si>
    <t xml:space="preserve">tabet based on iPadOS</t>
  </si>
  <si>
    <t xml:space="preserve">iPad Pro</t>
  </si>
  <si>
    <t xml:space="preserve">iPad Aid</t>
  </si>
  <si>
    <t xml:space="preserve">iPad </t>
  </si>
  <si>
    <t xml:space="preserve">iPad mini</t>
  </si>
  <si>
    <t xml:space="preserve">Wearables</t>
  </si>
  <si>
    <t xml:space="preserve">smartwatches, headphones, “Spatial computers”</t>
  </si>
  <si>
    <t xml:space="preserve">Apple Watch</t>
  </si>
  <si>
    <t xml:space="preserve">AirPods and Beats</t>
  </si>
  <si>
    <t xml:space="preserve">Apple Vision Pro (spatial computer based on VisionOS)</t>
  </si>
  <si>
    <t xml:space="preserve">Home</t>
  </si>
  <si>
    <t xml:space="preserve">Apple TV (based on tvOS)</t>
  </si>
  <si>
    <t xml:space="preserve">HomePod</t>
  </si>
  <si>
    <t xml:space="preserve">Services</t>
  </si>
  <si>
    <r>
      <rPr>
        <b val="true"/>
        <sz val="10"/>
        <rFont val="Arial"/>
        <family val="2"/>
        <charset val="1"/>
      </rPr>
      <t xml:space="preserve">Advertising</t>
    </r>
    <r>
      <rPr>
        <sz val="10"/>
        <rFont val="Arial"/>
        <family val="2"/>
        <charset val="1"/>
      </rPr>
      <t xml:space="preserve">, Apple Care, Cloud Services (iCloud), App Store (games, music, video, …)</t>
    </r>
  </si>
  <si>
    <t xml:space="preserve">Apple Arcade, Apple Fitness+, Apple Music, Apple News+, Apple TV</t>
  </si>
  <si>
    <r>
      <rPr>
        <b val="true"/>
        <sz val="10"/>
        <rFont val="Arial"/>
        <family val="2"/>
        <charset val="1"/>
      </rPr>
      <t xml:space="preserve">Payment Services</t>
    </r>
    <r>
      <rPr>
        <sz val="10"/>
        <rFont val="Arial"/>
        <family val="2"/>
        <charset val="1"/>
      </rPr>
      <t xml:space="preserve">, Apple Card and Apple Pay</t>
    </r>
  </si>
  <si>
    <t xml:space="preserve">Main</t>
  </si>
  <si>
    <t xml:space="preserve">in Million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</si>
  <si>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</si>
  <si>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</si>
  <si>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</si>
  <si>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</si>
  <si>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</si>
  <si>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</si>
  <si>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</si>
  <si>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</si>
  <si>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</si>
  <si>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Q226</t>
  </si>
  <si>
    <t xml:space="preserve">Q426</t>
  </si>
  <si>
    <t xml:space="preserve">Y/Y</t>
  </si>
  <si>
    <t xml:space="preserve">Wearable</t>
  </si>
  <si>
    <t xml:space="preserve">Revenue</t>
  </si>
  <si>
    <t xml:space="preserve">Products COGS</t>
  </si>
  <si>
    <t xml:space="preserve">% COGS</t>
  </si>
  <si>
    <t xml:space="preserve">Services COGS</t>
  </si>
  <si>
    <t xml:space="preserve">COGS</t>
  </si>
  <si>
    <t xml:space="preserve">% Rev</t>
  </si>
  <si>
    <t xml:space="preserve">Gross Profit</t>
  </si>
  <si>
    <t xml:space="preserve">R&amp;D</t>
  </si>
  <si>
    <t xml:space="preserve">SG&amp;A</t>
  </si>
  <si>
    <t xml:space="preserve">OP Exp.</t>
  </si>
  <si>
    <t xml:space="preserve">EBIT</t>
  </si>
  <si>
    <t xml:space="preserve">Other Income</t>
  </si>
  <si>
    <t xml:space="preserve">EBT</t>
  </si>
  <si>
    <t xml:space="preserve">Taxes</t>
  </si>
  <si>
    <t xml:space="preserve">Net Income</t>
  </si>
  <si>
    <t xml:space="preserve">EPS</t>
  </si>
  <si>
    <t xml:space="preserve">Shares</t>
  </si>
  <si>
    <t xml:space="preserve">Gross Margin</t>
  </si>
  <si>
    <t xml:space="preserve">OP Margin</t>
  </si>
  <si>
    <t xml:space="preserve">NI Margin</t>
  </si>
  <si>
    <t xml:space="preserve">Tax Rate</t>
  </si>
  <si>
    <t xml:space="preserve">Inc Margin</t>
  </si>
  <si>
    <t xml:space="preserve">GGM</t>
  </si>
  <si>
    <t xml:space="preserve">iPhone % Rev</t>
  </si>
  <si>
    <t xml:space="preserve">Net Payout</t>
  </si>
  <si>
    <t xml:space="preserve">Mac % Rev</t>
  </si>
  <si>
    <t xml:space="preserve">Sustained Growth</t>
  </si>
  <si>
    <t xml:space="preserve">iPad &amp; Rev</t>
  </si>
  <si>
    <t xml:space="preserve">Equity Value</t>
  </si>
  <si>
    <t xml:space="preserve">Wearable % Rev</t>
  </si>
  <si>
    <t xml:space="preserve">Just P/E</t>
  </si>
  <si>
    <t xml:space="preserve">Services % Rev</t>
  </si>
  <si>
    <t xml:space="preserve">ROA</t>
  </si>
  <si>
    <t xml:space="preserve">ROE</t>
  </si>
  <si>
    <t xml:space="preserve">A. Turnover</t>
  </si>
  <si>
    <t xml:space="preserve">Financial Leverage</t>
  </si>
  <si>
    <t xml:space="preserve">Financial Leverage %</t>
  </si>
  <si>
    <t xml:space="preserve">EBITDA</t>
  </si>
  <si>
    <t xml:space="preserve">NOPAT</t>
  </si>
  <si>
    <t xml:space="preserve">Terminal</t>
  </si>
  <si>
    <t xml:space="preserve">NWC</t>
  </si>
  <si>
    <t xml:space="preserve">Discount</t>
  </si>
  <si>
    <t xml:space="preserve">Inv. Capital</t>
  </si>
  <si>
    <t xml:space="preserve">UFCF</t>
  </si>
  <si>
    <t xml:space="preserve">TV</t>
  </si>
  <si>
    <t xml:space="preserve">ROIC</t>
  </si>
  <si>
    <t xml:space="preserve">Diff</t>
  </si>
  <si>
    <t xml:space="preserve">Net Cash</t>
  </si>
  <si>
    <t xml:space="preserve">Mrk. Securities</t>
  </si>
  <si>
    <t xml:space="preserve">A/R</t>
  </si>
  <si>
    <t xml:space="preserve">Vend. Non-trade /R</t>
  </si>
  <si>
    <t xml:space="preserve">Inventories</t>
  </si>
  <si>
    <t xml:space="preserve">Other , curr</t>
  </si>
  <si>
    <t xml:space="preserve">Mark. Sec</t>
  </si>
  <si>
    <t xml:space="preserve">PP&amp;E</t>
  </si>
  <si>
    <t xml:space="preserve">Intangible</t>
  </si>
  <si>
    <t xml:space="preserve">Other, non curr</t>
  </si>
  <si>
    <t xml:space="preserve">A</t>
  </si>
  <si>
    <t xml:space="preserve">A/P</t>
  </si>
  <si>
    <t xml:space="preserve">Other, curr</t>
  </si>
  <si>
    <t xml:space="preserve">D/R</t>
  </si>
  <si>
    <t xml:space="preserve">Comm. Paper</t>
  </si>
  <si>
    <t xml:space="preserve">L</t>
  </si>
  <si>
    <t xml:space="preserve">Stocks</t>
  </si>
  <si>
    <t xml:space="preserve">Retained Earnings</t>
  </si>
  <si>
    <t xml:space="preserve">AOCI</t>
  </si>
  <si>
    <t xml:space="preserve">SE</t>
  </si>
  <si>
    <t xml:space="preserve">L+SE</t>
  </si>
  <si>
    <t xml:space="preserve">Model NI</t>
  </si>
  <si>
    <t xml:space="preserve">D&amp;A</t>
  </si>
  <si>
    <t xml:space="preserve">SBC</t>
  </si>
  <si>
    <t xml:space="preserve">Other</t>
  </si>
  <si>
    <t xml:space="preserve">Other, curr and n.c. A</t>
  </si>
  <si>
    <t xml:space="preserve">Other, curr and n.c. L</t>
  </si>
  <si>
    <t xml:space="preserve">CFFO</t>
  </si>
  <si>
    <t xml:space="preserve">CapEx.</t>
  </si>
  <si>
    <t xml:space="preserve">FCF</t>
  </si>
  <si>
    <t xml:space="preserve">DSO</t>
  </si>
  <si>
    <t xml:space="preserve">DIO</t>
  </si>
  <si>
    <t xml:space="preserve">DPO</t>
  </si>
  <si>
    <t xml:space="preserve">CCC</t>
  </si>
  <si>
    <t xml:space="preserve">Share Issuance</t>
  </si>
  <si>
    <t xml:space="preserve">Share Repurchase</t>
  </si>
  <si>
    <t xml:space="preserve">Dividends</t>
  </si>
  <si>
    <t xml:space="preserve">Total SH Return</t>
  </si>
  <si>
    <t xml:space="preserve">Segment Division</t>
  </si>
  <si>
    <t xml:space="preserve">Americas</t>
  </si>
  <si>
    <t xml:space="preserve">Europe</t>
  </si>
  <si>
    <t xml:space="preserve">China</t>
  </si>
  <si>
    <t xml:space="preserve">Japan</t>
  </si>
  <si>
    <t xml:space="preserve">Rest of World</t>
  </si>
  <si>
    <t xml:space="preserve">ISIN</t>
  </si>
  <si>
    <t xml:space="preserve">Bond Type</t>
  </si>
  <si>
    <t xml:space="preserve">Immediate Issuer</t>
  </si>
  <si>
    <t xml:space="preserve">Coupon (%)</t>
  </si>
  <si>
    <t xml:space="preserve">Maturity Date</t>
  </si>
  <si>
    <t xml:space="preserve">Callable</t>
  </si>
  <si>
    <t xml:space="preserve">Currency</t>
  </si>
  <si>
    <t xml:space="preserve">Seniority Level</t>
  </si>
  <si>
    <t xml:space="preserve">Yield To Worst</t>
  </si>
  <si>
    <t xml:space="preserve">US037833DN70</t>
  </si>
  <si>
    <t xml:space="preserve">-</t>
  </si>
  <si>
    <t xml:space="preserve">Apple Inc.</t>
  </si>
  <si>
    <t xml:space="preserve">Sep 11, 2026</t>
  </si>
  <si>
    <t xml:space="preserve">Yes</t>
  </si>
  <si>
    <t xml:space="preserve">USD</t>
  </si>
  <si>
    <t xml:space="preserve">Senior</t>
  </si>
  <si>
    <t xml:space="preserve">XS1135337498</t>
  </si>
  <si>
    <t xml:space="preserve">Nov 10, 2026</t>
  </si>
  <si>
    <t xml:space="preserve">EUR</t>
  </si>
  <si>
    <t xml:space="preserve">US037833CJ77</t>
  </si>
  <si>
    <t xml:space="preserve">Feb 09, 2027</t>
  </si>
  <si>
    <t xml:space="preserve">US037833CR93</t>
  </si>
  <si>
    <t xml:space="preserve">May 11, 2027</t>
  </si>
  <si>
    <t xml:space="preserve">US037833CX61</t>
  </si>
  <si>
    <t xml:space="preserve">Green</t>
  </si>
  <si>
    <t xml:space="preserve">Jun 20, 2027</t>
  </si>
  <si>
    <t xml:space="preserve">US037833DB33</t>
  </si>
  <si>
    <t xml:space="preserve">Sep 12, 2027</t>
  </si>
  <si>
    <t xml:space="preserve">XS1292389415</t>
  </si>
  <si>
    <t xml:space="preserve">Sep 17, 2027</t>
  </si>
  <si>
    <t xml:space="preserve">US037833DK32</t>
  </si>
  <si>
    <t xml:space="preserve">Nov 13, 2027</t>
  </si>
  <si>
    <t xml:space="preserve">US037833EC07</t>
  </si>
  <si>
    <t xml:space="preserve">Feb 08, 2028</t>
  </si>
  <si>
    <t xml:space="preserve">US037833ET32</t>
  </si>
  <si>
    <t xml:space="preserve">May 10, 2028</t>
  </si>
  <si>
    <t xml:space="preserve">US037833EY27</t>
  </si>
  <si>
    <t xml:space="preserve">May 12, 2028</t>
  </si>
  <si>
    <t xml:space="preserve">US037833EH93</t>
  </si>
  <si>
    <t xml:space="preserve">Aug 05, 2028</t>
  </si>
  <si>
    <t xml:space="preserve">XS1619312686</t>
  </si>
  <si>
    <t xml:space="preserve">May 24, 2029</t>
  </si>
  <si>
    <t xml:space="preserve">XS1269175466</t>
  </si>
  <si>
    <t xml:space="preserve">Jul 31, 2029</t>
  </si>
  <si>
    <t xml:space="preserve">GBP</t>
  </si>
  <si>
    <t xml:space="preserve">US037833EN61</t>
  </si>
  <si>
    <t xml:space="preserve">Aug 08, 2029</t>
  </si>
  <si>
    <t xml:space="preserve">US037833DP29</t>
  </si>
  <si>
    <t xml:space="preserve">Sep 11, 2029</t>
  </si>
  <si>
    <t xml:space="preserve">CH0271171693</t>
  </si>
  <si>
    <t xml:space="preserve">Feb 25, 2030</t>
  </si>
  <si>
    <t xml:space="preserve">--</t>
  </si>
  <si>
    <t xml:space="preserve">CHF</t>
  </si>
  <si>
    <t xml:space="preserve">US037833EU05</t>
  </si>
  <si>
    <t xml:space="preserve">May 10, 2030</t>
  </si>
  <si>
    <t xml:space="preserve">US037833DU14</t>
  </si>
  <si>
    <t xml:space="preserve">May 11, 2030</t>
  </si>
  <si>
    <t xml:space="preserve">US037833EZ91</t>
  </si>
  <si>
    <t xml:space="preserve">May 12, 2030</t>
  </si>
  <si>
    <t xml:space="preserve">US037833DY36</t>
  </si>
  <si>
    <t xml:space="preserve">Aug 20, 2030</t>
  </si>
  <si>
    <t xml:space="preserve">US037833ED89</t>
  </si>
  <si>
    <t xml:space="preserve">Feb 08, 2031</t>
  </si>
  <si>
    <t xml:space="preserve">US037833EJ59</t>
  </si>
  <si>
    <t xml:space="preserve">Aug 05, 2031</t>
  </si>
  <si>
    <t xml:space="preserve">XS2079716937</t>
  </si>
  <si>
    <t xml:space="preserve">Nov 15, 2031</t>
  </si>
  <si>
    <t xml:space="preserve">US037833FA32</t>
  </si>
  <si>
    <t xml:space="preserve">May 12, 2032</t>
  </si>
  <si>
    <t xml:space="preserve">US037833EP10</t>
  </si>
  <si>
    <t xml:space="preserve">Aug 08, 2032</t>
  </si>
  <si>
    <t xml:space="preserve">US037833EV87</t>
  </si>
  <si>
    <t xml:space="preserve">May 10, 2033</t>
  </si>
  <si>
    <t xml:space="preserve">US037833FB15</t>
  </si>
  <si>
    <t xml:space="preserve">May 12, 2035</t>
  </si>
  <si>
    <t xml:space="preserve">US037833BW97</t>
  </si>
  <si>
    <t xml:space="preserve">Feb 23, 2036</t>
  </si>
  <si>
    <t xml:space="preserve">US037833EE62</t>
  </si>
  <si>
    <t xml:space="preserve">Feb 08, 2041</t>
  </si>
  <si>
    <t xml:space="preserve">XS1269176191</t>
  </si>
  <si>
    <t xml:space="preserve">Jul 31, 2042</t>
  </si>
  <si>
    <t xml:space="preserve">US037833AL42</t>
  </si>
  <si>
    <t xml:space="preserve">May 04, 2043</t>
  </si>
  <si>
    <t xml:space="preserve">US037833AT77</t>
  </si>
  <si>
    <t xml:space="preserve">May 06, 2044</t>
  </si>
  <si>
    <t xml:space="preserve">US037833BA77</t>
  </si>
  <si>
    <t xml:space="preserve">Feb 09, 2045</t>
  </si>
  <si>
    <t xml:space="preserve">US037833BH21</t>
  </si>
  <si>
    <t xml:space="preserve">May 13, 2045</t>
  </si>
  <si>
    <t xml:space="preserve">US037833BX70</t>
  </si>
  <si>
    <t xml:space="preserve">Feb 23, 2046</t>
  </si>
  <si>
    <t xml:space="preserve">US037833CD08</t>
  </si>
  <si>
    <t xml:space="preserve">Aug 04, 2046</t>
  </si>
  <si>
    <t xml:space="preserve">US037833CH12</t>
  </si>
  <si>
    <t xml:space="preserve">Feb 09, 2047</t>
  </si>
  <si>
    <t xml:space="preserve">US037833DD98</t>
  </si>
  <si>
    <t xml:space="preserve">Sep 12, 2047</t>
  </si>
  <si>
    <t xml:space="preserve">US037833DG20</t>
  </si>
  <si>
    <t xml:space="preserve">Nov 13, 2047</t>
  </si>
  <si>
    <t xml:space="preserve">US037833DQ02</t>
  </si>
  <si>
    <t xml:space="preserve">Sep 11, 2049</t>
  </si>
  <si>
    <t xml:space="preserve">US037833DW79</t>
  </si>
  <si>
    <t xml:space="preserve">May 11, 2050</t>
  </si>
  <si>
    <t xml:space="preserve">US037833DZ01</t>
  </si>
  <si>
    <t xml:space="preserve">Aug 20, 2050</t>
  </si>
  <si>
    <t xml:space="preserve">US037833EF38</t>
  </si>
  <si>
    <t xml:space="preserve">Feb 08, 2051</t>
  </si>
  <si>
    <t xml:space="preserve">US037833EK23</t>
  </si>
  <si>
    <t xml:space="preserve">Aug 05, 2051</t>
  </si>
  <si>
    <t xml:space="preserve">US037833EQ92</t>
  </si>
  <si>
    <t xml:space="preserve">Aug 08, 2052</t>
  </si>
  <si>
    <t xml:space="preserve">US037833EW60</t>
  </si>
  <si>
    <t xml:space="preserve">May 10, 2053</t>
  </si>
  <si>
    <t xml:space="preserve">US037833EA41</t>
  </si>
  <si>
    <t xml:space="preserve">Aug 20, 2060</t>
  </si>
  <si>
    <t xml:space="preserve">US037833EG11</t>
  </si>
  <si>
    <t xml:space="preserve">Feb 08, 2061</t>
  </si>
  <si>
    <t xml:space="preserve">US037833EL06</t>
  </si>
  <si>
    <t xml:space="preserve">Aug 05, 2061</t>
  </si>
  <si>
    <t xml:space="preserve">US037833ER75</t>
  </si>
  <si>
    <t xml:space="preserve">Aug 08, 2062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</si>
</sst>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#,##0\x"/>
    <numFmt numFmtId="167" formatCode="0.00%"/>
    <numFmt numFmtId="168" formatCode="#,##0.00&quot;bp&quot;"/>
    <numFmt numFmtId="169" formatCode="#,##0.00;\(#,##0.00\);\-"/>
    <numFmt numFmtId="170" formatCode="#,##0.00"/>
    <numFmt numFmtId="171" formatCode="0%"/>
    <numFmt numFmtId="172" formatCode="@"/>
    <numFmt numFmtId="173" formatCode="#,##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8"/>
      <color rgb="FF666666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105480</xdr:colOff>
      <xdr:row>0</xdr:row>
      <xdr:rowOff>140760</xdr:rowOff>
    </xdr:from>
    <xdr:to>
      <xdr:col>12</xdr:col>
      <xdr:colOff>105480</xdr:colOff>
      <xdr:row>159</xdr:row>
      <xdr:rowOff>101520</xdr:rowOff>
    </xdr:to>
    <xdr:sp>
      <xdr:nvSpPr>
        <xdr:cNvPr id="1" name="Line 1"/>
        <xdr:cNvSpPr/>
      </xdr:nvSpPr>
      <xdr:spPr>
        <a:xfrm>
          <a:off x="10361520" y="140760"/>
          <a:ext cx="0" cy="246103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95400</xdr:colOff>
      <xdr:row>0</xdr:row>
      <xdr:rowOff>93960</xdr:rowOff>
    </xdr:from>
    <xdr:to>
      <xdr:col>26</xdr:col>
      <xdr:colOff>95400</xdr:colOff>
      <xdr:row>159</xdr:row>
      <xdr:rowOff>54720</xdr:rowOff>
    </xdr:to>
    <xdr:sp>
      <xdr:nvSpPr>
        <xdr:cNvPr id="2" name="Line 3"/>
        <xdr:cNvSpPr/>
      </xdr:nvSpPr>
      <xdr:spPr>
        <a:xfrm>
          <a:off x="21730320" y="93960"/>
          <a:ext cx="0" cy="246103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  <sheetName val="Zero-rate curve BoE"/>
    </sheetNames>
    <sheetDataSet>
      <sheetData sheetId="0"/>
      <sheetData sheetId="1">
        <row r="3">
          <cell r="I3">
            <v>0.0501106467991697</v>
          </cell>
          <cell r="J3">
            <v>0.0557753088660979</v>
          </cell>
        </row>
      </sheetData>
      <sheetData sheetId="2">
        <row r="6">
          <cell r="J6">
            <v>0.803478260869565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AAPL.xlsx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6"/>
    <col collapsed="false" customWidth="true" hidden="false" outlineLevel="0" max="4" min="4" style="1" width="14.94"/>
  </cols>
  <sheetData>
    <row r="1" customFormat="false" ht="12.8" hidden="false" customHeight="false" outlineLevel="0" collapsed="false">
      <c r="A1" s="2" t="s">
        <v>0</v>
      </c>
      <c r="D1" s="3" t="s">
        <v>1</v>
      </c>
      <c r="E1" s="4" t="n">
        <v>309</v>
      </c>
    </row>
    <row r="2" customFormat="false" ht="12.8" hidden="false" customHeight="false" outlineLevel="0" collapsed="false">
      <c r="D2" s="3" t="s">
        <v>2</v>
      </c>
      <c r="E2" s="4" t="n">
        <v>14598.18</v>
      </c>
      <c r="F2" s="5" t="s">
        <v>3</v>
      </c>
    </row>
    <row r="3" customFormat="false" ht="12.8" hidden="false" customHeight="false" outlineLevel="0" collapsed="false">
      <c r="D3" s="3" t="s">
        <v>4</v>
      </c>
      <c r="E3" s="4" t="n">
        <f aca="false">+E2*E1</f>
        <v>4510837.62</v>
      </c>
    </row>
    <row r="4" customFormat="false" ht="12.8" hidden="false" customHeight="false" outlineLevel="0" collapsed="false">
      <c r="D4" s="3" t="s">
        <v>5</v>
      </c>
      <c r="E4" s="4" t="n">
        <v>62399</v>
      </c>
      <c r="F4" s="5" t="s">
        <v>3</v>
      </c>
    </row>
    <row r="5" customFormat="false" ht="12.8" hidden="false" customHeight="false" outlineLevel="0" collapsed="false">
      <c r="D5" s="3" t="s">
        <v>6</v>
      </c>
      <c r="E5" s="4" t="n">
        <f aca="false">+11007+71340</f>
        <v>82347</v>
      </c>
      <c r="F5" s="5" t="s">
        <v>3</v>
      </c>
    </row>
    <row r="6" customFormat="false" ht="12.8" hidden="false" customHeight="false" outlineLevel="0" collapsed="false">
      <c r="D6" s="3" t="s">
        <v>7</v>
      </c>
      <c r="E6" s="6" t="n">
        <f aca="false">+E3-E4+E5</f>
        <v>4530785.62</v>
      </c>
    </row>
    <row r="9" customFormat="false" ht="16.15" hidden="false" customHeight="false" outlineLevel="0" collapsed="false">
      <c r="A9" s="7" t="s">
        <v>8</v>
      </c>
      <c r="B9" s="8" t="n">
        <f aca="false">+E3/SUM(Model!I126:L126)</f>
        <v>26.6574335608545</v>
      </c>
      <c r="D9" s="7" t="s">
        <v>9</v>
      </c>
      <c r="E9" s="7" t="n">
        <v>1.09</v>
      </c>
      <c r="G9" s="7" t="s">
        <v>10</v>
      </c>
      <c r="H9" s="9" t="n">
        <f aca="false">+(E3/(E3+E5))*E10+(E5/(E3+E5))*F11*(1-Model!Z52)</f>
        <v>0.103007513257454</v>
      </c>
      <c r="J9" s="1" t="s">
        <v>11</v>
      </c>
      <c r="K9" s="10" t="n">
        <v>0.0007926</v>
      </c>
    </row>
    <row r="10" customFormat="false" ht="16.15" hidden="false" customHeight="false" outlineLevel="0" collapsed="false">
      <c r="A10" s="7" t="s">
        <v>12</v>
      </c>
      <c r="B10" s="8" t="n">
        <f aca="false">+E6/SUM(Model!I70:L70)</f>
        <v>26.9755453414226</v>
      </c>
      <c r="D10" s="7" t="s">
        <v>13</v>
      </c>
      <c r="E10" s="9" t="n">
        <f aca="false">+'[1]Zero-rate curve US'!J3+E9*(0.1-'[1]Zero-rate curve US'!J3)</f>
        <v>0.104345672503752</v>
      </c>
      <c r="J10" s="1" t="s">
        <v>14</v>
      </c>
      <c r="K10" s="10"/>
    </row>
    <row r="11" customFormat="false" ht="16.15" hidden="false" customHeight="false" outlineLevel="0" collapsed="false">
      <c r="A11" s="7" t="s">
        <v>15</v>
      </c>
      <c r="B11" s="8" t="n">
        <f aca="false">+E6/SUM(Model!I126:L126)</f>
        <v>26.7753190910971</v>
      </c>
      <c r="D11" s="7" t="s">
        <v>16</v>
      </c>
      <c r="E11" s="9" t="n">
        <f aca="false">+'[1]Zero-rate curve US'!I3+(E12/100)</f>
        <v>0.053294303762962</v>
      </c>
      <c r="F11" s="10" t="n">
        <v>0.0352</v>
      </c>
    </row>
    <row r="12" customFormat="false" ht="16.15" hidden="false" customHeight="false" outlineLevel="0" collapsed="false">
      <c r="A12" s="7" t="s">
        <v>17</v>
      </c>
      <c r="B12" s="7"/>
      <c r="D12" s="7" t="s">
        <v>18</v>
      </c>
      <c r="E12" s="11" t="n">
        <f aca="false">+'[1]Credit Spread US'!J6</f>
        <v>0.794782608695652</v>
      </c>
    </row>
    <row r="13" customFormat="false" ht="16.15" hidden="false" customHeight="false" outlineLevel="0" collapsed="false">
      <c r="A13" s="7" t="s">
        <v>19</v>
      </c>
      <c r="B13" s="8" t="n">
        <f aca="false">+E1/SUM(Model!I42:L42)</f>
        <v>35.4224277976187</v>
      </c>
      <c r="D13" s="7" t="s">
        <v>20</v>
      </c>
      <c r="E13" s="12" t="s">
        <v>21</v>
      </c>
      <c r="F13" s="12" t="s">
        <v>22</v>
      </c>
    </row>
    <row r="14" customFormat="false" ht="16.15" hidden="false" customHeight="false" outlineLevel="0" collapsed="false">
      <c r="A14" s="1" t="s">
        <v>23</v>
      </c>
      <c r="B14" s="10" t="n">
        <f aca="false">+(E5-E4)/SUM(Model!I70:L70)</f>
        <v>0.118767080061205</v>
      </c>
      <c r="E14" s="12" t="s">
        <v>24</v>
      </c>
      <c r="F14" s="12" t="s">
        <v>25</v>
      </c>
    </row>
    <row r="17" customFormat="false" ht="12.8" hidden="false" customHeight="false" outlineLevel="0" collapsed="false">
      <c r="A17" s="1" t="s">
        <v>26</v>
      </c>
    </row>
    <row r="18" customFormat="false" ht="12.8" hidden="false" customHeight="false" outlineLevel="0" collapsed="false">
      <c r="A18" s="1" t="s">
        <v>27</v>
      </c>
      <c r="B18" s="1" t="s">
        <v>28</v>
      </c>
    </row>
    <row r="19" customFormat="false" ht="12.8" hidden="false" customHeight="false" outlineLevel="0" collapsed="false">
      <c r="B19" s="1" t="s">
        <v>29</v>
      </c>
    </row>
    <row r="20" customFormat="false" ht="12.8" hidden="false" customHeight="false" outlineLevel="0" collapsed="false">
      <c r="B20" s="13" t="s">
        <v>30</v>
      </c>
    </row>
    <row r="21" customFormat="false" ht="12.8" hidden="false" customHeight="false" outlineLevel="0" collapsed="false">
      <c r="B21" s="13" t="s">
        <v>31</v>
      </c>
    </row>
    <row r="22" customFormat="false" ht="12.8" hidden="false" customHeight="false" outlineLevel="0" collapsed="false">
      <c r="B22" s="13" t="s">
        <v>32</v>
      </c>
    </row>
    <row r="23" customFormat="false" ht="12.8" hidden="false" customHeight="false" outlineLevel="0" collapsed="false">
      <c r="B23" s="13" t="s">
        <v>33</v>
      </c>
    </row>
    <row r="24" customFormat="false" ht="12.8" hidden="false" customHeight="false" outlineLevel="0" collapsed="false">
      <c r="B24" s="13"/>
    </row>
    <row r="25" customFormat="false" ht="12.8" hidden="false" customHeight="false" outlineLevel="0" collapsed="false">
      <c r="A25" s="1" t="s">
        <v>34</v>
      </c>
      <c r="B25" s="1" t="s">
        <v>35</v>
      </c>
    </row>
    <row r="26" customFormat="false" ht="12.8" hidden="false" customHeight="false" outlineLevel="0" collapsed="false">
      <c r="B26" s="1" t="s">
        <v>36</v>
      </c>
    </row>
    <row r="27" customFormat="false" ht="12.8" hidden="false" customHeight="false" outlineLevel="0" collapsed="false">
      <c r="B27" s="1" t="s">
        <v>37</v>
      </c>
    </row>
    <row r="28" customFormat="false" ht="12.8" hidden="false" customHeight="false" outlineLevel="0" collapsed="false">
      <c r="B28" s="1" t="s">
        <v>38</v>
      </c>
    </row>
    <row r="29" customFormat="false" ht="12.8" hidden="false" customHeight="false" outlineLevel="0" collapsed="false">
      <c r="B29" s="1" t="s">
        <v>39</v>
      </c>
    </row>
    <row r="30" customFormat="false" ht="12.8" hidden="false" customHeight="false" outlineLevel="0" collapsed="false">
      <c r="B30" s="1" t="s">
        <v>40</v>
      </c>
    </row>
    <row r="31" customFormat="false" ht="12.8" hidden="false" customHeight="false" outlineLevel="0" collapsed="false">
      <c r="B31" s="1" t="s">
        <v>41</v>
      </c>
    </row>
    <row r="32" customFormat="false" ht="12.8" hidden="false" customHeight="false" outlineLevel="0" collapsed="false">
      <c r="B32" s="1" t="s">
        <v>42</v>
      </c>
      <c r="C32" s="1" t="s">
        <v>43</v>
      </c>
    </row>
    <row r="34" customFormat="false" ht="12.8" hidden="false" customHeight="false" outlineLevel="0" collapsed="false">
      <c r="A34" s="1" t="s">
        <v>44</v>
      </c>
      <c r="B34" s="1" t="s">
        <v>45</v>
      </c>
    </row>
    <row r="35" customFormat="false" ht="12.8" hidden="false" customHeight="false" outlineLevel="0" collapsed="false">
      <c r="B35" s="1" t="s">
        <v>46</v>
      </c>
    </row>
    <row r="36" customFormat="false" ht="12.8" hidden="false" customHeight="false" outlineLevel="0" collapsed="false">
      <c r="B36" s="1" t="s">
        <v>47</v>
      </c>
    </row>
    <row r="37" customFormat="false" ht="12.8" hidden="false" customHeight="false" outlineLevel="0" collapsed="false">
      <c r="B37" s="1" t="s">
        <v>48</v>
      </c>
    </row>
    <row r="38" customFormat="false" ht="12.8" hidden="false" customHeight="false" outlineLevel="0" collapsed="false">
      <c r="B38" s="1" t="s">
        <v>49</v>
      </c>
    </row>
    <row r="40" customFormat="false" ht="12.8" hidden="false" customHeight="false" outlineLevel="0" collapsed="false">
      <c r="A40" s="1" t="s">
        <v>50</v>
      </c>
      <c r="B40" s="1" t="s">
        <v>51</v>
      </c>
    </row>
    <row r="41" customFormat="false" ht="12.8" hidden="false" customHeight="false" outlineLevel="0" collapsed="false">
      <c r="B41" s="1" t="s">
        <v>52</v>
      </c>
    </row>
    <row r="42" customFormat="false" ht="12.8" hidden="false" customHeight="false" outlineLevel="0" collapsed="false">
      <c r="B42" s="1" t="s">
        <v>53</v>
      </c>
    </row>
    <row r="43" customFormat="false" ht="12.8" hidden="false" customHeight="false" outlineLevel="0" collapsed="false">
      <c r="B43" s="1" t="s">
        <v>54</v>
      </c>
    </row>
    <row r="44" customFormat="false" ht="12.8" hidden="false" customHeight="false" outlineLevel="0" collapsed="false">
      <c r="A44" s="1" t="s">
        <v>55</v>
      </c>
    </row>
    <row r="45" customFormat="false" ht="12.8" hidden="false" customHeight="false" outlineLevel="0" collapsed="false">
      <c r="B45" s="1" t="s">
        <v>56</v>
      </c>
    </row>
    <row r="46" customFormat="false" ht="12.8" hidden="false" customHeight="false" outlineLevel="0" collapsed="false">
      <c r="B46" s="1" t="s">
        <v>57</v>
      </c>
    </row>
    <row r="48" customFormat="false" ht="12.8" hidden="false" customHeight="false" outlineLevel="0" collapsed="false">
      <c r="A48" s="1" t="s">
        <v>58</v>
      </c>
    </row>
    <row r="49" customFormat="false" ht="12.8" hidden="false" customHeight="false" outlineLevel="0" collapsed="false">
      <c r="B49" s="2" t="s">
        <v>59</v>
      </c>
    </row>
    <row r="50" customFormat="false" ht="12.8" hidden="false" customHeight="false" outlineLevel="0" collapsed="false">
      <c r="B50" s="1" t="s">
        <v>60</v>
      </c>
    </row>
    <row r="51" customFormat="false" ht="12.8" hidden="false" customHeight="false" outlineLevel="0" collapsed="false">
      <c r="B51" s="2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63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2" topLeftCell="AF52" activePane="bottomRight" state="frozen"/>
      <selection pane="topLeft" activeCell="A1" activeCellId="0" sqref="A1"/>
      <selection pane="topRight" activeCell="AF1" activeCellId="0" sqref="AF1"/>
      <selection pane="bottomLeft" activeCell="A52" activeCellId="0" sqref="A52"/>
      <selection pane="bottomRight" activeCell="AJ76" activeCellId="0" sqref="AJ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66"/>
    <col collapsed="false" customWidth="false" hidden="false" outlineLevel="0" max="35" min="2" style="4" width="11.53"/>
    <col collapsed="false" customWidth="true" hidden="false" outlineLevel="0" max="36" min="36" style="4" width="13.66"/>
    <col collapsed="false" customWidth="false" hidden="false" outlineLevel="0" max="37" min="37" style="4" width="11.53"/>
    <col collapsed="false" customWidth="true" hidden="false" outlineLevel="0" max="38" min="38" style="4" width="15.25"/>
    <col collapsed="false" customWidth="true" hidden="false" outlineLevel="0" max="39" min="39" style="4" width="12.95"/>
    <col collapsed="false" customWidth="false" hidden="false" outlineLevel="0" max="16384" min="40" style="4" width="11.53"/>
  </cols>
  <sheetData>
    <row r="1" s="1" customFormat="true" ht="12.8" hidden="false" customHeight="false" outlineLevel="0" collapsed="false">
      <c r="A1" s="14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true" ht="12.8" hidden="false" customHeight="false" outlineLevel="0" collapsed="false">
      <c r="A2" s="1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5" t="s">
        <v>69</v>
      </c>
      <c r="H2" s="5" t="s">
        <v>70</v>
      </c>
      <c r="I2" s="5" t="s">
        <v>71</v>
      </c>
      <c r="J2" s="5" t="s">
        <v>72</v>
      </c>
      <c r="K2" s="5" t="s">
        <v>73</v>
      </c>
      <c r="L2" s="5" t="s">
        <v>3</v>
      </c>
      <c r="M2" s="5" t="s">
        <v>74</v>
      </c>
      <c r="Q2" s="1" t="n">
        <v>2016</v>
      </c>
      <c r="R2" s="1" t="n">
        <f aca="false">+Q2+1</f>
        <v>2017</v>
      </c>
      <c r="S2" s="1" t="n">
        <f aca="false">+R2+1</f>
        <v>2018</v>
      </c>
      <c r="T2" s="1" t="n">
        <f aca="false">+S2+1</f>
        <v>2019</v>
      </c>
      <c r="U2" s="1" t="n">
        <f aca="false">+T2+1</f>
        <v>2020</v>
      </c>
      <c r="V2" s="1" t="n">
        <f aca="false">+U2+1</f>
        <v>2021</v>
      </c>
      <c r="W2" s="1" t="n">
        <f aca="false">+V2+1</f>
        <v>2022</v>
      </c>
      <c r="X2" s="1" t="n">
        <f aca="false">+W2+1</f>
        <v>2023</v>
      </c>
      <c r="Y2" s="1" t="n">
        <f aca="false">+X2+1</f>
        <v>2024</v>
      </c>
      <c r="Z2" s="1" t="n">
        <f aca="false">+Y2+1</f>
        <v>2025</v>
      </c>
      <c r="AA2" s="1" t="n">
        <f aca="false">+Z2+1</f>
        <v>2026</v>
      </c>
      <c r="AB2" s="1" t="n">
        <f aca="false">+AA2+1</f>
        <v>2027</v>
      </c>
      <c r="AC2" s="1" t="n">
        <f aca="false">+AB2+1</f>
        <v>2028</v>
      </c>
      <c r="AD2" s="1" t="n">
        <f aca="false">+AC2+1</f>
        <v>2029</v>
      </c>
      <c r="AE2" s="1" t="n">
        <f aca="false">+AD2+1</f>
        <v>2030</v>
      </c>
    </row>
    <row r="4" customFormat="false" ht="12.8" hidden="false" customHeight="false" outlineLevel="0" collapsed="false">
      <c r="A4" s="1" t="s">
        <v>27</v>
      </c>
      <c r="B4" s="4" t="n">
        <v>69702</v>
      </c>
      <c r="C4" s="4" t="n">
        <v>45963</v>
      </c>
      <c r="D4" s="4" t="n">
        <v>39296</v>
      </c>
      <c r="E4" s="4" t="n">
        <v>46222</v>
      </c>
      <c r="F4" s="4" t="n">
        <v>69138</v>
      </c>
      <c r="G4" s="4" t="n">
        <v>46841</v>
      </c>
      <c r="H4" s="4" t="n">
        <v>44582</v>
      </c>
      <c r="I4" s="4" t="n">
        <v>49025</v>
      </c>
      <c r="J4" s="4" t="n">
        <v>85269</v>
      </c>
      <c r="K4" s="4" t="n">
        <v>56994</v>
      </c>
      <c r="L4" s="4" t="n">
        <v>54252</v>
      </c>
      <c r="Q4" s="4" t="n">
        <v>86613</v>
      </c>
      <c r="R4" s="4" t="n">
        <v>96600</v>
      </c>
      <c r="S4" s="4" t="n">
        <v>166699</v>
      </c>
      <c r="T4" s="4" t="n">
        <v>142381</v>
      </c>
      <c r="U4" s="4" t="n">
        <v>137781</v>
      </c>
      <c r="V4" s="4" t="n">
        <v>191973</v>
      </c>
      <c r="W4" s="4" t="n">
        <v>205489</v>
      </c>
      <c r="X4" s="4" t="n">
        <v>200583</v>
      </c>
      <c r="Y4" s="4" t="n">
        <v>201183</v>
      </c>
      <c r="Z4" s="4" t="n">
        <v>209586</v>
      </c>
    </row>
    <row r="5" s="17" customFormat="true" ht="10.5" hidden="false" customHeight="true" outlineLevel="0" collapsed="false">
      <c r="A5" s="16" t="s">
        <v>75</v>
      </c>
      <c r="F5" s="17" t="n">
        <f aca="false">+F4/B4-1</f>
        <v>-0.00809158991133685</v>
      </c>
      <c r="G5" s="17" t="n">
        <f aca="false">+G4/C4-1</f>
        <v>0.0191023214324566</v>
      </c>
      <c r="H5" s="17" t="n">
        <f aca="false">+H4/D4-1</f>
        <v>0.134517508143323</v>
      </c>
      <c r="I5" s="17" t="n">
        <f aca="false">+I4/E4-1</f>
        <v>0.0606421184717234</v>
      </c>
      <c r="J5" s="17" t="n">
        <f aca="false">+J4/F4-1</f>
        <v>0.233315976742168</v>
      </c>
      <c r="K5" s="17" t="n">
        <f aca="false">+K4/G4-1</f>
        <v>0.216754552635512</v>
      </c>
      <c r="L5" s="17" t="n">
        <f aca="false">+L4/H4-1</f>
        <v>0.216903683100803</v>
      </c>
      <c r="R5" s="17" t="n">
        <f aca="false">+R4/Q4-1</f>
        <v>0.115306016417859</v>
      </c>
      <c r="S5" s="17" t="n">
        <f aca="false">+S4/R4-1</f>
        <v>0.725662525879917</v>
      </c>
      <c r="T5" s="17" t="n">
        <f aca="false">+T4/S4-1</f>
        <v>-0.145879699338328</v>
      </c>
      <c r="U5" s="17" t="n">
        <f aca="false">+U4/T4-1</f>
        <v>-0.0323076815024477</v>
      </c>
      <c r="V5" s="17" t="n">
        <f aca="false">+V4/U4-1</f>
        <v>0.393319833649052</v>
      </c>
      <c r="W5" s="17" t="n">
        <f aca="false">+W4/V4-1</f>
        <v>0.0704057341396966</v>
      </c>
      <c r="X5" s="17" t="n">
        <f aca="false">+X4/W4-1</f>
        <v>-0.0238747572862781</v>
      </c>
      <c r="Y5" s="17" t="n">
        <f aca="false">+Y4/X4-1</f>
        <v>0.00299128041758268</v>
      </c>
      <c r="Z5" s="17" t="n">
        <f aca="false">+Z4/Y4-1</f>
        <v>0.0417679426194062</v>
      </c>
    </row>
    <row r="6" customFormat="false" ht="12.8" hidden="false" customHeight="false" outlineLevel="0" collapsed="false">
      <c r="A6" s="1" t="s">
        <v>34</v>
      </c>
      <c r="B6" s="4" t="n">
        <v>7780</v>
      </c>
      <c r="C6" s="4" t="n">
        <v>7451</v>
      </c>
      <c r="D6" s="4" t="n">
        <v>7009</v>
      </c>
      <c r="E6" s="4" t="n">
        <v>7744</v>
      </c>
      <c r="F6" s="4" t="n">
        <v>8987</v>
      </c>
      <c r="G6" s="4" t="n">
        <v>7949</v>
      </c>
      <c r="H6" s="4" t="n">
        <v>8046</v>
      </c>
      <c r="I6" s="4" t="n">
        <v>8726</v>
      </c>
      <c r="J6" s="4" t="n">
        <v>8386</v>
      </c>
      <c r="K6" s="4" t="n">
        <v>8399</v>
      </c>
      <c r="L6" s="4" t="n">
        <v>10352</v>
      </c>
      <c r="Q6" s="4" t="n">
        <v>49952</v>
      </c>
      <c r="R6" s="4" t="n">
        <v>54938</v>
      </c>
      <c r="S6" s="4" t="n">
        <v>18805</v>
      </c>
      <c r="T6" s="4" t="n">
        <v>25740</v>
      </c>
      <c r="U6" s="4" t="n">
        <v>28622</v>
      </c>
      <c r="V6" s="4" t="n">
        <v>35190</v>
      </c>
      <c r="W6" s="4" t="n">
        <v>40177</v>
      </c>
      <c r="X6" s="4" t="n">
        <v>29357</v>
      </c>
      <c r="Y6" s="4" t="n">
        <v>29984</v>
      </c>
      <c r="Z6" s="4" t="n">
        <v>33708</v>
      </c>
    </row>
    <row r="7" s="17" customFormat="true" ht="10.5" hidden="false" customHeight="true" outlineLevel="0" collapsed="false">
      <c r="A7" s="16" t="s">
        <v>75</v>
      </c>
      <c r="F7" s="17" t="n">
        <f aca="false">+F6/B6-1</f>
        <v>0.155141388174807</v>
      </c>
      <c r="G7" s="17" t="n">
        <f aca="false">+G6/C6-1</f>
        <v>0.0668366662192994</v>
      </c>
      <c r="H7" s="17" t="n">
        <f aca="false">+H6/D6-1</f>
        <v>0.147952632329862</v>
      </c>
      <c r="I7" s="17" t="n">
        <f aca="false">+I6/E6-1</f>
        <v>0.126807851239669</v>
      </c>
      <c r="J7" s="17" t="n">
        <f aca="false">+J6/F6-1</f>
        <v>-0.0668743740959163</v>
      </c>
      <c r="K7" s="17" t="n">
        <f aca="false">+K6/G6-1</f>
        <v>0.0566108944521324</v>
      </c>
      <c r="L7" s="17" t="n">
        <f aca="false">+L6/H6-1</f>
        <v>0.286602038279891</v>
      </c>
      <c r="R7" s="17" t="n">
        <f aca="false">+R6/Q6-1</f>
        <v>0.0998158231902626</v>
      </c>
      <c r="S7" s="17" t="n">
        <f aca="false">+S6/R6-1</f>
        <v>-0.657705049328334</v>
      </c>
      <c r="T7" s="17" t="n">
        <f aca="false">+T6/S6-1</f>
        <v>0.368784897633608</v>
      </c>
      <c r="U7" s="17" t="n">
        <f aca="false">+U6/T6-1</f>
        <v>0.111965811965812</v>
      </c>
      <c r="V7" s="17" t="n">
        <f aca="false">+V6/U6-1</f>
        <v>0.229473831318566</v>
      </c>
      <c r="W7" s="17" t="n">
        <f aca="false">+W6/V6-1</f>
        <v>0.141716396703609</v>
      </c>
      <c r="X7" s="17" t="n">
        <f aca="false">+X6/W6-1</f>
        <v>-0.269308310725042</v>
      </c>
      <c r="Y7" s="17" t="n">
        <f aca="false">+Y6/X6-1</f>
        <v>0.021357768164322</v>
      </c>
      <c r="Z7" s="17" t="n">
        <f aca="false">+Z6/Y6-1</f>
        <v>0.124199573105656</v>
      </c>
    </row>
    <row r="8" customFormat="false" ht="12.8" hidden="false" customHeight="false" outlineLevel="0" collapsed="false">
      <c r="A8" s="1" t="s">
        <v>44</v>
      </c>
      <c r="B8" s="4" t="n">
        <v>7023</v>
      </c>
      <c r="C8" s="4" t="n">
        <v>5559</v>
      </c>
      <c r="D8" s="4" t="n">
        <v>7162</v>
      </c>
      <c r="E8" s="4" t="n">
        <v>6950</v>
      </c>
      <c r="F8" s="4" t="n">
        <v>8088</v>
      </c>
      <c r="G8" s="4" t="n">
        <v>6402</v>
      </c>
      <c r="H8" s="4" t="n">
        <v>6581</v>
      </c>
      <c r="I8" s="4" t="n">
        <v>6952</v>
      </c>
      <c r="J8" s="4" t="n">
        <v>8595</v>
      </c>
      <c r="K8" s="4" t="n">
        <v>6914</v>
      </c>
      <c r="L8" s="4" t="n">
        <v>6191</v>
      </c>
      <c r="Q8" s="4" t="n">
        <v>48492</v>
      </c>
      <c r="R8" s="4" t="n">
        <v>44764</v>
      </c>
      <c r="S8" s="4" t="n">
        <v>25484</v>
      </c>
      <c r="T8" s="4" t="n">
        <v>21280</v>
      </c>
      <c r="U8" s="4" t="n">
        <v>23724</v>
      </c>
      <c r="V8" s="4" t="n">
        <v>31862</v>
      </c>
      <c r="W8" s="4" t="n">
        <v>29292</v>
      </c>
      <c r="X8" s="4" t="n">
        <v>28300</v>
      </c>
      <c r="Y8" s="4" t="n">
        <v>26694</v>
      </c>
      <c r="Z8" s="4" t="n">
        <v>28023</v>
      </c>
    </row>
    <row r="9" s="17" customFormat="true" ht="10.5" hidden="false" customHeight="true" outlineLevel="0" collapsed="false">
      <c r="A9" s="16" t="s">
        <v>75</v>
      </c>
      <c r="F9" s="17" t="n">
        <f aca="false">+F8/B8-1</f>
        <v>0.151644596326356</v>
      </c>
      <c r="G9" s="17" t="n">
        <f aca="false">+G8/C8-1</f>
        <v>0.151645979492715</v>
      </c>
      <c r="H9" s="17" t="n">
        <f aca="false">+H8/D8-1</f>
        <v>-0.0811225914549009</v>
      </c>
      <c r="I9" s="17" t="n">
        <f aca="false">+I8/E8-1</f>
        <v>0.000287769784172554</v>
      </c>
      <c r="J9" s="17" t="n">
        <f aca="false">+J8/F8-1</f>
        <v>0.0626854599406528</v>
      </c>
      <c r="K9" s="17" t="n">
        <f aca="false">+K8/G8-1</f>
        <v>0.0799750078100594</v>
      </c>
      <c r="L9" s="17" t="n">
        <f aca="false">+L8/H8-1</f>
        <v>-0.0592615104087525</v>
      </c>
      <c r="R9" s="17" t="n">
        <f aca="false">+R8/Q8-1</f>
        <v>-0.0768786603975914</v>
      </c>
      <c r="S9" s="17" t="n">
        <f aca="false">+S8/R8-1</f>
        <v>-0.430703243677956</v>
      </c>
      <c r="T9" s="17" t="n">
        <f aca="false">+T8/S8-1</f>
        <v>-0.164966253335426</v>
      </c>
      <c r="U9" s="17" t="n">
        <f aca="false">+U8/T8-1</f>
        <v>0.11484962406015</v>
      </c>
      <c r="V9" s="17" t="n">
        <f aca="false">+V8/U8-1</f>
        <v>0.343028157140449</v>
      </c>
      <c r="W9" s="17" t="n">
        <f aca="false">+W8/V8-1</f>
        <v>-0.0806603477496705</v>
      </c>
      <c r="X9" s="17" t="n">
        <f aca="false">+X8/W8-1</f>
        <v>-0.0338659019527516</v>
      </c>
      <c r="Y9" s="17" t="n">
        <f aca="false">+Y8/X8-1</f>
        <v>-0.0567491166077738</v>
      </c>
      <c r="Z9" s="17" t="n">
        <f aca="false">+Z8/Y8-1</f>
        <v>0.049786468869409</v>
      </c>
    </row>
    <row r="10" customFormat="false" ht="12.8" hidden="false" customHeight="false" outlineLevel="0" collapsed="false">
      <c r="A10" s="1" t="s">
        <v>76</v>
      </c>
      <c r="B10" s="4" t="n">
        <v>11953</v>
      </c>
      <c r="C10" s="4" t="n">
        <v>7913</v>
      </c>
      <c r="D10" s="4" t="n">
        <v>8097</v>
      </c>
      <c r="E10" s="4" t="n">
        <v>9042</v>
      </c>
      <c r="F10" s="4" t="n">
        <v>11747</v>
      </c>
      <c r="G10" s="4" t="n">
        <v>7522</v>
      </c>
      <c r="H10" s="4" t="n">
        <v>7404</v>
      </c>
      <c r="I10" s="4" t="n">
        <v>9013</v>
      </c>
      <c r="J10" s="4" t="n">
        <v>11493</v>
      </c>
      <c r="K10" s="4" t="n">
        <v>7901</v>
      </c>
      <c r="L10" s="4" t="n">
        <v>7883</v>
      </c>
      <c r="Q10" s="4" t="n">
        <v>16928</v>
      </c>
      <c r="R10" s="4" t="n">
        <v>17733</v>
      </c>
      <c r="S10" s="4" t="n">
        <v>37190</v>
      </c>
      <c r="T10" s="4" t="n">
        <v>24482</v>
      </c>
      <c r="U10" s="4" t="n">
        <v>30620</v>
      </c>
      <c r="V10" s="4" t="n">
        <v>38367</v>
      </c>
      <c r="W10" s="4" t="n">
        <v>41241</v>
      </c>
      <c r="X10" s="4" t="n">
        <v>39845</v>
      </c>
      <c r="Y10" s="4" t="n">
        <v>37005</v>
      </c>
      <c r="Z10" s="4" t="n">
        <v>35686</v>
      </c>
    </row>
    <row r="11" s="17" customFormat="true" ht="10.5" hidden="false" customHeight="true" outlineLevel="0" collapsed="false">
      <c r="A11" s="16" t="s">
        <v>75</v>
      </c>
      <c r="F11" s="17" t="n">
        <f aca="false">+F10/B10-1</f>
        <v>-0.0172341671546892</v>
      </c>
      <c r="G11" s="17" t="n">
        <f aca="false">+G10/C10-1</f>
        <v>-0.0494123594085681</v>
      </c>
      <c r="H11" s="17" t="n">
        <f aca="false">+H10/D10-1</f>
        <v>-0.0855872545387181</v>
      </c>
      <c r="I11" s="17" t="n">
        <f aca="false">+I10/E10-1</f>
        <v>-0.00320725503207253</v>
      </c>
      <c r="J11" s="17" t="n">
        <f aca="false">+J10/F10-1</f>
        <v>-0.021622541925598</v>
      </c>
      <c r="K11" s="17" t="n">
        <f aca="false">+K10/G10-1</f>
        <v>0.0503855357617655</v>
      </c>
      <c r="L11" s="17" t="n">
        <f aca="false">+L10/H10-1</f>
        <v>0.0646947595894112</v>
      </c>
      <c r="R11" s="17" t="n">
        <f aca="false">+R10/Q10-1</f>
        <v>0.0475543478260869</v>
      </c>
      <c r="S11" s="17" t="n">
        <f aca="false">+S10/R10-1</f>
        <v>1.097219872554</v>
      </c>
      <c r="T11" s="17" t="n">
        <f aca="false">+T10/S10-1</f>
        <v>-0.34170475934391</v>
      </c>
      <c r="U11" s="17" t="n">
        <f aca="false">+U10/T10-1</f>
        <v>0.250714810881464</v>
      </c>
      <c r="V11" s="17" t="n">
        <f aca="false">+V10/U10-1</f>
        <v>0.253004572175049</v>
      </c>
      <c r="W11" s="17" t="n">
        <f aca="false">+W10/V10-1</f>
        <v>0.074908124169208</v>
      </c>
      <c r="X11" s="17" t="n">
        <f aca="false">+X10/W10-1</f>
        <v>-0.0338498096554399</v>
      </c>
      <c r="Y11" s="17" t="n">
        <f aca="false">+Y10/X10-1</f>
        <v>-0.0712761952566194</v>
      </c>
      <c r="Z11" s="17" t="n">
        <f aca="false">+Z10/Y10-1</f>
        <v>-0.0356438319146062</v>
      </c>
    </row>
    <row r="12" customFormat="false" ht="12.8" hidden="false" customHeight="false" outlineLevel="0" collapsed="false">
      <c r="A12" s="1" t="s">
        <v>26</v>
      </c>
      <c r="B12" s="4" t="n">
        <f aca="false">+B10+B8+B6+B4</f>
        <v>96458</v>
      </c>
      <c r="C12" s="4" t="n">
        <f aca="false">+C10+C8+C6+C4</f>
        <v>66886</v>
      </c>
      <c r="D12" s="4" t="n">
        <f aca="false">+D10+D8+D6+D4</f>
        <v>61564</v>
      </c>
      <c r="E12" s="4" t="n">
        <f aca="false">+E10+E8+E6+E4</f>
        <v>69958</v>
      </c>
      <c r="F12" s="4" t="n">
        <f aca="false">+F10+F8+F6+F4</f>
        <v>97960</v>
      </c>
      <c r="G12" s="4" t="n">
        <f aca="false">+G10+G8+G6+G4</f>
        <v>68714</v>
      </c>
      <c r="H12" s="4" t="n">
        <f aca="false">+H10+H8+H6+H4</f>
        <v>66613</v>
      </c>
      <c r="I12" s="4" t="n">
        <f aca="false">+I10+I8+I6+I4</f>
        <v>73716</v>
      </c>
      <c r="J12" s="4" t="n">
        <f aca="false">+J10+J8+J6+J4</f>
        <v>113743</v>
      </c>
      <c r="K12" s="4" t="n">
        <f aca="false">+K10+K8+K6+K4</f>
        <v>80208</v>
      </c>
      <c r="L12" s="4" t="n">
        <f aca="false">+L10+L8+L6+L4</f>
        <v>78678</v>
      </c>
      <c r="Q12" s="4" t="n">
        <f aca="false">+Q10+Q8+Q6+Q4</f>
        <v>201985</v>
      </c>
      <c r="R12" s="4" t="n">
        <f aca="false">+R10+R8+R6+R4</f>
        <v>214035</v>
      </c>
      <c r="S12" s="4" t="n">
        <f aca="false">+S10+S8+S6+S4</f>
        <v>248178</v>
      </c>
      <c r="T12" s="4" t="n">
        <f aca="false">+T10+T8+T6+T4</f>
        <v>213883</v>
      </c>
      <c r="U12" s="4" t="n">
        <f aca="false">+U10+U8+U6+U4</f>
        <v>220747</v>
      </c>
      <c r="V12" s="4" t="n">
        <f aca="false">+V10+V8+V6+V4</f>
        <v>297392</v>
      </c>
      <c r="W12" s="4" t="n">
        <f aca="false">+W10+W8+W6+W4</f>
        <v>316199</v>
      </c>
      <c r="X12" s="4" t="n">
        <f aca="false">+X10+X8+X6+X4</f>
        <v>298085</v>
      </c>
      <c r="Y12" s="4" t="n">
        <f aca="false">+Y10+Y8+Y6+Y4</f>
        <v>294866</v>
      </c>
      <c r="Z12" s="4" t="n">
        <f aca="false">+Z10+Z8+Z6+Z4</f>
        <v>307003</v>
      </c>
    </row>
    <row r="13" s="17" customFormat="true" ht="10.5" hidden="false" customHeight="true" outlineLevel="0" collapsed="false">
      <c r="A13" s="16" t="s">
        <v>75</v>
      </c>
      <c r="F13" s="17" t="n">
        <f aca="false">+F12/B12-1</f>
        <v>0.015571544091729</v>
      </c>
      <c r="G13" s="17" t="n">
        <f aca="false">+G12/C12-1</f>
        <v>0.0273300840235624</v>
      </c>
      <c r="H13" s="17" t="n">
        <f aca="false">+H12/D12-1</f>
        <v>0.0820122149308038</v>
      </c>
      <c r="I13" s="17" t="n">
        <f aca="false">+I12/E12-1</f>
        <v>0.0537179450527459</v>
      </c>
      <c r="J13" s="17" t="n">
        <f aca="false">+J12/F12-1</f>
        <v>0.161116782360147</v>
      </c>
      <c r="K13" s="17" t="n">
        <f aca="false">+K12/G12-1</f>
        <v>0.167273044794365</v>
      </c>
      <c r="L13" s="17" t="n">
        <f aca="false">+L12/H12-1</f>
        <v>0.181120802245808</v>
      </c>
      <c r="R13" s="17" t="n">
        <f aca="false">+R12/Q12-1</f>
        <v>0.0596578953882714</v>
      </c>
      <c r="S13" s="17" t="n">
        <f aca="false">+S12/R12-1</f>
        <v>0.159520639147803</v>
      </c>
      <c r="T13" s="17" t="n">
        <f aca="false">+T12/S12-1</f>
        <v>-0.138187107640484</v>
      </c>
      <c r="U13" s="17" t="n">
        <f aca="false">+U12/T12-1</f>
        <v>0.032092312151971</v>
      </c>
      <c r="V13" s="17" t="n">
        <f aca="false">+V12/U12-1</f>
        <v>0.347207436567654</v>
      </c>
      <c r="W13" s="17" t="n">
        <f aca="false">+W12/V12-1</f>
        <v>0.0632397643514284</v>
      </c>
      <c r="X13" s="17" t="n">
        <f aca="false">+X12/W12-1</f>
        <v>-0.0572867086866182</v>
      </c>
      <c r="Y13" s="17" t="n">
        <f aca="false">+Y12/X12-1</f>
        <v>-0.0107989331901974</v>
      </c>
      <c r="Z13" s="17" t="n">
        <f aca="false">+Z12/Y12-1</f>
        <v>0.041161069774067</v>
      </c>
    </row>
    <row r="14" customFormat="false" ht="12.8" hidden="false" customHeight="false" outlineLevel="0" collapsed="false">
      <c r="A14" s="1" t="s">
        <v>58</v>
      </c>
      <c r="B14" s="4" t="n">
        <v>23117</v>
      </c>
      <c r="C14" s="4" t="n">
        <v>23867</v>
      </c>
      <c r="D14" s="4" t="n">
        <v>24213</v>
      </c>
      <c r="E14" s="4" t="n">
        <v>24972</v>
      </c>
      <c r="F14" s="4" t="n">
        <v>26340</v>
      </c>
      <c r="G14" s="4" t="n">
        <v>26645</v>
      </c>
      <c r="H14" s="4" t="n">
        <v>27423</v>
      </c>
      <c r="I14" s="4" t="n">
        <v>28750</v>
      </c>
      <c r="J14" s="4" t="n">
        <v>30013</v>
      </c>
      <c r="K14" s="4" t="n">
        <v>30976</v>
      </c>
      <c r="L14" s="4" t="n">
        <v>30739</v>
      </c>
      <c r="Q14" s="4" t="n">
        <v>11132</v>
      </c>
      <c r="R14" s="4" t="n">
        <v>12863</v>
      </c>
      <c r="S14" s="4" t="n">
        <v>17417</v>
      </c>
      <c r="T14" s="4" t="n">
        <v>46291</v>
      </c>
      <c r="U14" s="4" t="n">
        <v>53768</v>
      </c>
      <c r="V14" s="4" t="n">
        <v>68425</v>
      </c>
      <c r="W14" s="4" t="n">
        <v>78129</v>
      </c>
      <c r="X14" s="4" t="n">
        <v>85200</v>
      </c>
      <c r="Y14" s="4" t="n">
        <v>96169</v>
      </c>
      <c r="Z14" s="4" t="n">
        <v>109158</v>
      </c>
    </row>
    <row r="15" s="17" customFormat="true" ht="10.5" hidden="false" customHeight="true" outlineLevel="0" collapsed="false">
      <c r="A15" s="16" t="s">
        <v>75</v>
      </c>
      <c r="F15" s="17" t="n">
        <f aca="false">+F14/B14-1</f>
        <v>0.139421205173682</v>
      </c>
      <c r="G15" s="17" t="n">
        <f aca="false">+G14/C14-1</f>
        <v>0.116395022415888</v>
      </c>
      <c r="H15" s="17" t="n">
        <f aca="false">+H14/D14-1</f>
        <v>0.132573410977574</v>
      </c>
      <c r="I15" s="17" t="n">
        <f aca="false">+I14/E14-1</f>
        <v>0.151289444177479</v>
      </c>
      <c r="J15" s="17" t="n">
        <f aca="false">+J14/F14-1</f>
        <v>0.139445709946849</v>
      </c>
      <c r="K15" s="17" t="n">
        <f aca="false">+K14/G14-1</f>
        <v>0.162544567461062</v>
      </c>
      <c r="L15" s="17" t="n">
        <f aca="false">+L14/H14-1</f>
        <v>0.120920395288626</v>
      </c>
      <c r="R15" s="17" t="n">
        <f aca="false">+R14/Q14-1</f>
        <v>0.155497664390945</v>
      </c>
      <c r="S15" s="17" t="n">
        <f aca="false">+S14/R14-1</f>
        <v>0.354038715696183</v>
      </c>
      <c r="T15" s="17" t="n">
        <f aca="false">+T14/S14-1</f>
        <v>1.65780559223747</v>
      </c>
      <c r="U15" s="17" t="n">
        <f aca="false">+U14/T14-1</f>
        <v>0.161521678079972</v>
      </c>
      <c r="V15" s="17" t="n">
        <f aca="false">+V14/U14-1</f>
        <v>0.272597083767297</v>
      </c>
      <c r="W15" s="17" t="n">
        <f aca="false">+W14/V14-1</f>
        <v>0.141819510412861</v>
      </c>
      <c r="X15" s="17" t="n">
        <f aca="false">+X14/W14-1</f>
        <v>0.0905041661866912</v>
      </c>
      <c r="Y15" s="17" t="n">
        <f aca="false">+Y14/X14-1</f>
        <v>0.128744131455399</v>
      </c>
      <c r="Z15" s="17" t="n">
        <f aca="false">+Z14/Y14-1</f>
        <v>0.135064313864135</v>
      </c>
    </row>
    <row r="16" s="18" customFormat="true" ht="12.8" hidden="false" customHeight="false" outlineLevel="0" collapsed="false">
      <c r="A16" s="2" t="s">
        <v>77</v>
      </c>
      <c r="B16" s="18" t="n">
        <f aca="false">+B14+B12</f>
        <v>119575</v>
      </c>
      <c r="C16" s="18" t="n">
        <f aca="false">+C14+C12</f>
        <v>90753</v>
      </c>
      <c r="D16" s="18" t="n">
        <f aca="false">+D14+D12</f>
        <v>85777</v>
      </c>
      <c r="E16" s="18" t="n">
        <f aca="false">+E14+E12</f>
        <v>94930</v>
      </c>
      <c r="F16" s="18" t="n">
        <f aca="false">+F14+F12</f>
        <v>124300</v>
      </c>
      <c r="G16" s="18" t="n">
        <f aca="false">+G14+G12</f>
        <v>95359</v>
      </c>
      <c r="H16" s="18" t="n">
        <f aca="false">+H14+H12</f>
        <v>94036</v>
      </c>
      <c r="I16" s="18" t="n">
        <f aca="false">+I14+I12</f>
        <v>102466</v>
      </c>
      <c r="J16" s="18" t="n">
        <f aca="false">+J14+J12</f>
        <v>143756</v>
      </c>
      <c r="K16" s="18" t="n">
        <f aca="false">+K14+K12</f>
        <v>111184</v>
      </c>
      <c r="L16" s="18" t="n">
        <f aca="false">+L14+L12</f>
        <v>109417</v>
      </c>
      <c r="Q16" s="18" t="n">
        <f aca="false">+Q14+Q12</f>
        <v>213117</v>
      </c>
      <c r="R16" s="18" t="n">
        <f aca="false">+R14+R12</f>
        <v>226898</v>
      </c>
      <c r="S16" s="18" t="n">
        <f aca="false">+S14+S12</f>
        <v>265595</v>
      </c>
      <c r="T16" s="18" t="n">
        <f aca="false">+T14+T12</f>
        <v>260174</v>
      </c>
      <c r="U16" s="18" t="n">
        <f aca="false">+U14+U12</f>
        <v>274515</v>
      </c>
      <c r="V16" s="18" t="n">
        <f aca="false">+V14+V12</f>
        <v>365817</v>
      </c>
      <c r="W16" s="18" t="n">
        <f aca="false">+W14+W12</f>
        <v>394328</v>
      </c>
      <c r="X16" s="18" t="n">
        <f aca="false">+X14+X12</f>
        <v>383285</v>
      </c>
      <c r="Y16" s="18" t="n">
        <f aca="false">+Y14+Y12</f>
        <v>391035</v>
      </c>
      <c r="Z16" s="18" t="n">
        <f aca="false">+Z14+Z12</f>
        <v>416161</v>
      </c>
      <c r="AA16" s="18" t="n">
        <f aca="false">+Z16*1.08</f>
        <v>449453.88</v>
      </c>
      <c r="AB16" s="18" t="n">
        <f aca="false">+AA16*1.06</f>
        <v>476421.1128</v>
      </c>
      <c r="AC16" s="18" t="n">
        <f aca="false">+AB16*1.06</f>
        <v>505006.379568</v>
      </c>
      <c r="AD16" s="18" t="n">
        <f aca="false">+AC16*1.06</f>
        <v>535306.76234208</v>
      </c>
      <c r="AE16" s="18" t="n">
        <f aca="false">+AD16*1.06</f>
        <v>567425.168082605</v>
      </c>
    </row>
    <row r="17" s="17" customFormat="true" ht="10.5" hidden="false" customHeight="true" outlineLevel="0" collapsed="false">
      <c r="A17" s="16" t="s">
        <v>75</v>
      </c>
      <c r="F17" s="17" t="n">
        <f aca="false">+F16/B16-1</f>
        <v>0.0395149487769182</v>
      </c>
      <c r="G17" s="17" t="n">
        <f aca="false">+G16/C16-1</f>
        <v>0.0507531431467829</v>
      </c>
      <c r="H17" s="17" t="n">
        <f aca="false">+H16/D16-1</f>
        <v>0.0962845518029309</v>
      </c>
      <c r="I17" s="17" t="n">
        <f aca="false">+I16/E16-1</f>
        <v>0.0793848098598968</v>
      </c>
      <c r="J17" s="17" t="n">
        <f aca="false">+J16/F16-1</f>
        <v>0.156524537409493</v>
      </c>
      <c r="K17" s="17" t="n">
        <f aca="false">+K16/G16-1</f>
        <v>0.16595182415923</v>
      </c>
      <c r="L17" s="17" t="n">
        <f aca="false">+L16/H16-1</f>
        <v>0.163565017652814</v>
      </c>
      <c r="R17" s="17" t="n">
        <f aca="false">+R16/Q16-1</f>
        <v>0.064664010848501</v>
      </c>
      <c r="S17" s="17" t="n">
        <f aca="false">+S16/R16-1</f>
        <v>0.170547999541644</v>
      </c>
      <c r="T17" s="17" t="n">
        <f aca="false">+T16/S16-1</f>
        <v>-0.0204107758052674</v>
      </c>
      <c r="U17" s="17" t="n">
        <f aca="false">+U16/T16-1</f>
        <v>0.0551208037697848</v>
      </c>
      <c r="V17" s="17" t="n">
        <f aca="false">+V16/U16-1</f>
        <v>0.332593847330747</v>
      </c>
      <c r="W17" s="17" t="n">
        <f aca="false">+W16/V16-1</f>
        <v>0.0779378760418461</v>
      </c>
      <c r="X17" s="17" t="n">
        <f aca="false">+X16/W16-1</f>
        <v>-0.0280046053031994</v>
      </c>
      <c r="Y17" s="17" t="n">
        <f aca="false">+Y16/X16-1</f>
        <v>0.0202199407751411</v>
      </c>
      <c r="Z17" s="17" t="n">
        <f aca="false">+Z16/Y16-1</f>
        <v>0.0642551178283275</v>
      </c>
      <c r="AA17" s="17" t="n">
        <f aca="false">+AA16/Z16-1</f>
        <v>0.0800000000000001</v>
      </c>
      <c r="AB17" s="17" t="n">
        <f aca="false">+AB16/AA16-1</f>
        <v>0.0600000000000001</v>
      </c>
      <c r="AC17" s="17" t="n">
        <f aca="false">+AC16/AB16-1</f>
        <v>0.0600000000000001</v>
      </c>
      <c r="AD17" s="17" t="n">
        <f aca="false">+AD16/AC16-1</f>
        <v>0.0600000000000001</v>
      </c>
      <c r="AE17" s="17" t="n">
        <f aca="false">+AE16/AD16-1</f>
        <v>0.0600000000000001</v>
      </c>
    </row>
    <row r="18" customFormat="false" ht="12.8" hidden="false" customHeight="false" outlineLevel="0" collapsed="false">
      <c r="A18" s="1" t="s">
        <v>78</v>
      </c>
      <c r="B18" s="4" t="n">
        <v>58440</v>
      </c>
      <c r="C18" s="4" t="n">
        <v>42424</v>
      </c>
      <c r="D18" s="4" t="n">
        <v>39803</v>
      </c>
      <c r="E18" s="4" t="n">
        <v>44566</v>
      </c>
      <c r="F18" s="4" t="n">
        <v>59447</v>
      </c>
      <c r="G18" s="4" t="n">
        <v>44030</v>
      </c>
      <c r="H18" s="4" t="n">
        <v>43620</v>
      </c>
      <c r="I18" s="4" t="n">
        <v>47019</v>
      </c>
      <c r="J18" s="4" t="n">
        <v>67478</v>
      </c>
      <c r="K18" s="4" t="n">
        <v>49179</v>
      </c>
      <c r="L18" s="4" t="n">
        <v>47153</v>
      </c>
      <c r="T18" s="4" t="n">
        <v>144996</v>
      </c>
      <c r="U18" s="4" t="n">
        <v>151286</v>
      </c>
      <c r="V18" s="4" t="n">
        <v>192266</v>
      </c>
      <c r="W18" s="4" t="n">
        <v>201471</v>
      </c>
      <c r="X18" s="4" t="n">
        <v>189282</v>
      </c>
      <c r="Y18" s="4" t="n">
        <v>185233</v>
      </c>
      <c r="Z18" s="4" t="n">
        <v>194116</v>
      </c>
    </row>
    <row r="19" s="17" customFormat="true" ht="10.5" hidden="false" customHeight="true" outlineLevel="0" collapsed="false">
      <c r="A19" s="16" t="s">
        <v>79</v>
      </c>
      <c r="B19" s="17" t="n">
        <f aca="false">+B18/B22</f>
        <v>0.902966625463535</v>
      </c>
      <c r="C19" s="17" t="n">
        <f aca="false">+C18/C22</f>
        <v>0.875046408976527</v>
      </c>
      <c r="D19" s="17" t="n">
        <f aca="false">+D18/D22</f>
        <v>0.863424369292176</v>
      </c>
      <c r="E19" s="17" t="n">
        <f aca="false">+E18/E22</f>
        <v>0.872970167087814</v>
      </c>
      <c r="F19" s="17" t="n">
        <f aca="false">+F18/F22</f>
        <v>0.900371071563802</v>
      </c>
      <c r="G19" s="17" t="n">
        <f aca="false">+G18/G22</f>
        <v>0.872019329794819</v>
      </c>
      <c r="H19" s="17" t="n">
        <f aca="false">+H18/H22</f>
        <v>0.866886601216265</v>
      </c>
      <c r="I19" s="17" t="n">
        <f aca="false">+I18/I22</f>
        <v>0.868711316397229</v>
      </c>
      <c r="J19" s="17" t="n">
        <f aca="false">+J18/J22</f>
        <v>0.905441127138544</v>
      </c>
      <c r="K19" s="17" t="n">
        <f aca="false">+K18/K22</f>
        <v>0.871921706292219</v>
      </c>
      <c r="L19" s="17" t="n">
        <f aca="false">+L18/L22</f>
        <v>0.862865299101506</v>
      </c>
      <c r="Q19" s="17" t="n">
        <f aca="false">+Q18/Q22</f>
        <v>0</v>
      </c>
      <c r="R19" s="17" t="n">
        <f aca="false">+R18/R22</f>
        <v>0</v>
      </c>
      <c r="S19" s="17" t="n">
        <f aca="false">+S18/S22</f>
        <v>0</v>
      </c>
      <c r="T19" s="17" t="n">
        <f aca="false">+T18/T22</f>
        <v>0.89624309255665</v>
      </c>
      <c r="U19" s="17" t="n">
        <f aca="false">+U18/U22</f>
        <v>0.89223220236024</v>
      </c>
      <c r="V19" s="17" t="n">
        <f aca="false">+V18/V22</f>
        <v>0.902737802902606</v>
      </c>
      <c r="W19" s="17" t="n">
        <f aca="false">+W18/W22</f>
        <v>0.9012507492865</v>
      </c>
      <c r="X19" s="17" t="n">
        <f aca="false">+X18/X22</f>
        <v>0.883929447036243</v>
      </c>
      <c r="Y19" s="17" t="n">
        <f aca="false">+Y18/Y22</f>
        <v>0.880585875104587</v>
      </c>
      <c r="Z19" s="17" t="n">
        <f aca="false">+Z18/Z22</f>
        <v>0.878511947863867</v>
      </c>
    </row>
    <row r="20" customFormat="false" ht="12.8" hidden="false" customHeight="false" outlineLevel="0" collapsed="false">
      <c r="A20" s="1" t="s">
        <v>80</v>
      </c>
      <c r="B20" s="4" t="n">
        <v>6280</v>
      </c>
      <c r="C20" s="4" t="n">
        <v>6058</v>
      </c>
      <c r="D20" s="4" t="n">
        <v>6296</v>
      </c>
      <c r="E20" s="4" t="n">
        <v>6485</v>
      </c>
      <c r="F20" s="4" t="n">
        <v>6578</v>
      </c>
      <c r="G20" s="4" t="n">
        <v>6462</v>
      </c>
      <c r="H20" s="4" t="n">
        <v>6698</v>
      </c>
      <c r="I20" s="4" t="n">
        <v>7106</v>
      </c>
      <c r="J20" s="4" t="n">
        <v>7047</v>
      </c>
      <c r="K20" s="4" t="n">
        <v>7224</v>
      </c>
      <c r="L20" s="4" t="n">
        <v>7494</v>
      </c>
      <c r="T20" s="4" t="n">
        <v>16786</v>
      </c>
      <c r="U20" s="4" t="n">
        <v>18273</v>
      </c>
      <c r="V20" s="4" t="n">
        <v>20715</v>
      </c>
      <c r="W20" s="4" t="n">
        <v>22075</v>
      </c>
      <c r="X20" s="4" t="n">
        <v>24855</v>
      </c>
      <c r="Y20" s="4" t="n">
        <v>25119</v>
      </c>
      <c r="Z20" s="4" t="n">
        <v>26844</v>
      </c>
    </row>
    <row r="21" s="17" customFormat="true" ht="10.5" hidden="false" customHeight="true" outlineLevel="0" collapsed="false">
      <c r="A21" s="16" t="s">
        <v>79</v>
      </c>
      <c r="B21" s="17" t="n">
        <f aca="false">+B20/B22</f>
        <v>0.0970333745364648</v>
      </c>
      <c r="C21" s="17" t="n">
        <f aca="false">+C20/C22</f>
        <v>0.124953591023473</v>
      </c>
      <c r="D21" s="17" t="n">
        <f aca="false">+D20/D22</f>
        <v>0.136575630707824</v>
      </c>
      <c r="E21" s="17" t="n">
        <f aca="false">+E20/E22</f>
        <v>0.127029832912186</v>
      </c>
      <c r="F21" s="17" t="n">
        <f aca="false">+F20/F22</f>
        <v>0.0996289284361984</v>
      </c>
      <c r="G21" s="17" t="n">
        <f aca="false">+G20/G22</f>
        <v>0.127980670205181</v>
      </c>
      <c r="H21" s="17" t="n">
        <f aca="false">+H20/H22</f>
        <v>0.133113398783735</v>
      </c>
      <c r="I21" s="17" t="n">
        <f aca="false">+I20/I22</f>
        <v>0.131288683602771</v>
      </c>
      <c r="J21" s="17" t="n">
        <f aca="false">+J20/J22</f>
        <v>0.0945588728614559</v>
      </c>
      <c r="K21" s="17" t="n">
        <f aca="false">+K20/K22</f>
        <v>0.128078293707782</v>
      </c>
      <c r="L21" s="17" t="n">
        <f aca="false">+L20/L22</f>
        <v>0.137134700898494</v>
      </c>
      <c r="Q21" s="17" t="n">
        <f aca="false">+Q20/Q24</f>
        <v>0</v>
      </c>
      <c r="R21" s="17" t="n">
        <f aca="false">+R20/R24</f>
        <v>0</v>
      </c>
      <c r="S21" s="17" t="n">
        <f aca="false">+S20/S24</f>
        <v>0</v>
      </c>
      <c r="T21" s="17" t="n">
        <f aca="false">+T20/T24</f>
        <v>0.170603301081389</v>
      </c>
      <c r="U21" s="17" t="n">
        <f aca="false">+U20/U24</f>
        <v>0.174101528259461</v>
      </c>
      <c r="V21" s="17" t="n">
        <f aca="false">+V20/V24</f>
        <v>0.135537438823314</v>
      </c>
      <c r="W21" s="17" t="n">
        <f aca="false">+W20/W24</f>
        <v>0.129258352753803</v>
      </c>
      <c r="X21" s="17" t="n">
        <f aca="false">+X20/X24</f>
        <v>0.146942322699648</v>
      </c>
      <c r="Y21" s="17" t="n">
        <f aca="false">+Y20/Y24</f>
        <v>0.139022486896941</v>
      </c>
      <c r="Z21" s="17" t="n">
        <f aca="false">+Z20/Z24</f>
        <v>0.137519787296172</v>
      </c>
    </row>
    <row r="22" customFormat="false" ht="12.8" hidden="false" customHeight="false" outlineLevel="0" collapsed="false">
      <c r="A22" s="1" t="s">
        <v>81</v>
      </c>
      <c r="B22" s="4" t="n">
        <f aca="false">+B20+B18</f>
        <v>64720</v>
      </c>
      <c r="C22" s="4" t="n">
        <f aca="false">+C20+C18</f>
        <v>48482</v>
      </c>
      <c r="D22" s="4" t="n">
        <f aca="false">+D20+D18</f>
        <v>46099</v>
      </c>
      <c r="E22" s="4" t="n">
        <f aca="false">+E20+E18</f>
        <v>51051</v>
      </c>
      <c r="F22" s="4" t="n">
        <f aca="false">+F20+F18</f>
        <v>66025</v>
      </c>
      <c r="G22" s="4" t="n">
        <f aca="false">+G20+G18</f>
        <v>50492</v>
      </c>
      <c r="H22" s="4" t="n">
        <f aca="false">+H20+H18</f>
        <v>50318</v>
      </c>
      <c r="I22" s="4" t="n">
        <f aca="false">+I20+I18</f>
        <v>54125</v>
      </c>
      <c r="J22" s="4" t="n">
        <f aca="false">+J20+J18</f>
        <v>74525</v>
      </c>
      <c r="K22" s="4" t="n">
        <f aca="false">+K20+K18</f>
        <v>56403</v>
      </c>
      <c r="L22" s="4" t="n">
        <f aca="false">+L20+L18</f>
        <v>54647</v>
      </c>
      <c r="Q22" s="4" t="n">
        <v>131376</v>
      </c>
      <c r="R22" s="4" t="n">
        <v>141048</v>
      </c>
      <c r="S22" s="4" t="n">
        <v>163756</v>
      </c>
      <c r="T22" s="4" t="n">
        <f aca="false">+T20+T18</f>
        <v>161782</v>
      </c>
      <c r="U22" s="4" t="n">
        <f aca="false">+U20+U18</f>
        <v>169559</v>
      </c>
      <c r="V22" s="4" t="n">
        <f aca="false">+V20+V18</f>
        <v>212981</v>
      </c>
      <c r="W22" s="4" t="n">
        <f aca="false">+W20+W18</f>
        <v>223546</v>
      </c>
      <c r="X22" s="4" t="n">
        <f aca="false">+X20+X18</f>
        <v>214137</v>
      </c>
      <c r="Y22" s="4" t="n">
        <f aca="false">+Y20+Y18</f>
        <v>210352</v>
      </c>
      <c r="Z22" s="4" t="n">
        <f aca="false">+Z20+Z18</f>
        <v>220960</v>
      </c>
      <c r="AA22" s="4" t="n">
        <f aca="false">+AA16-AA24</f>
        <v>238210.5564</v>
      </c>
      <c r="AB22" s="4" t="n">
        <f aca="false">+AB16-AB24</f>
        <v>250121.08422</v>
      </c>
      <c r="AC22" s="4" t="n">
        <f aca="false">+AC16-AC24</f>
        <v>262603.31737536</v>
      </c>
      <c r="AD22" s="4" t="n">
        <f aca="false">+AD16-AD24</f>
        <v>275682.982606171</v>
      </c>
      <c r="AE22" s="4" t="n">
        <f aca="false">+AE16-AE24</f>
        <v>289386.835722129</v>
      </c>
    </row>
    <row r="23" s="17" customFormat="true" ht="10.5" hidden="false" customHeight="true" outlineLevel="0" collapsed="false">
      <c r="A23" s="16" t="s">
        <v>82</v>
      </c>
      <c r="B23" s="17" t="n">
        <f aca="false">+B22/B$16</f>
        <v>0.541250261342254</v>
      </c>
      <c r="C23" s="17" t="n">
        <f aca="false">+C22/C$16</f>
        <v>0.534219254459908</v>
      </c>
      <c r="D23" s="17" t="n">
        <f aca="false">+D22/D$16</f>
        <v>0.537428448185411</v>
      </c>
      <c r="E23" s="17" t="n">
        <f aca="false">+E22/E$16</f>
        <v>0.537775202780997</v>
      </c>
      <c r="F23" s="17" t="n">
        <f aca="false">+F22/F$16</f>
        <v>0.531174577634755</v>
      </c>
      <c r="G23" s="17" t="n">
        <f aca="false">+G22/G$16</f>
        <v>0.529493807611238</v>
      </c>
      <c r="H23" s="17" t="n">
        <f aca="false">+H22/H$16</f>
        <v>0.535092943128164</v>
      </c>
      <c r="I23" s="17" t="n">
        <f aca="false">+I22/I$16</f>
        <v>0.528223996252416</v>
      </c>
      <c r="J23" s="17" t="n">
        <f aca="false">+J22/J$16</f>
        <v>0.518413144494838</v>
      </c>
      <c r="K23" s="17" t="n">
        <f aca="false">+K22/K$16</f>
        <v>0.507294214994963</v>
      </c>
      <c r="L23" s="17" t="n">
        <f aca="false">+L22/L$16</f>
        <v>0.499437930120548</v>
      </c>
      <c r="Q23" s="17" t="n">
        <f aca="false">+Q22/Q$16</f>
        <v>0.616450118948747</v>
      </c>
      <c r="R23" s="17" t="n">
        <f aca="false">+R22/R$16</f>
        <v>0.621636153690204</v>
      </c>
      <c r="S23" s="17" t="n">
        <f aca="false">+S22/S$16</f>
        <v>0.616562811799921</v>
      </c>
      <c r="T23" s="17" t="n">
        <f aca="false">+T22/T$16</f>
        <v>0.621822318909653</v>
      </c>
      <c r="U23" s="17" t="n">
        <f aca="false">+U22/U$16</f>
        <v>0.617667522721891</v>
      </c>
      <c r="V23" s="17" t="n">
        <f aca="false">+V22/V$16</f>
        <v>0.582206403748322</v>
      </c>
      <c r="W23" s="17" t="n">
        <f aca="false">+W22/W$16</f>
        <v>0.566903694386399</v>
      </c>
      <c r="X23" s="17" t="n">
        <f aca="false">+X22/X$16</f>
        <v>0.558688704227924</v>
      </c>
      <c r="Y23" s="17" t="n">
        <f aca="false">+Y22/Y$16</f>
        <v>0.537936501847661</v>
      </c>
      <c r="Z23" s="17" t="n">
        <f aca="false">+Z22/Z$16</f>
        <v>0.530948358928396</v>
      </c>
      <c r="AA23" s="17" t="n">
        <f aca="false">+AA22/AA$16</f>
        <v>0.53</v>
      </c>
      <c r="AB23" s="17" t="n">
        <f aca="false">+AB22/AB$16</f>
        <v>0.525</v>
      </c>
      <c r="AC23" s="17" t="n">
        <f aca="false">+AC22/AC$16</f>
        <v>0.52</v>
      </c>
      <c r="AD23" s="17" t="n">
        <f aca="false">+AD22/AD$16</f>
        <v>0.515</v>
      </c>
      <c r="AE23" s="17" t="n">
        <f aca="false">+AE22/AE$16</f>
        <v>0.51</v>
      </c>
    </row>
    <row r="24" customFormat="false" ht="12.8" hidden="false" customHeight="false" outlineLevel="0" collapsed="false">
      <c r="A24" s="1" t="s">
        <v>83</v>
      </c>
      <c r="B24" s="4" t="n">
        <f aca="false">+B16-B22</f>
        <v>54855</v>
      </c>
      <c r="C24" s="4" t="n">
        <f aca="false">+C16-C22</f>
        <v>42271</v>
      </c>
      <c r="D24" s="4" t="n">
        <f aca="false">+D16-D22</f>
        <v>39678</v>
      </c>
      <c r="E24" s="4" t="n">
        <f aca="false">+E16-E22</f>
        <v>43879</v>
      </c>
      <c r="F24" s="4" t="n">
        <f aca="false">+F16-F22</f>
        <v>58275</v>
      </c>
      <c r="G24" s="4" t="n">
        <f aca="false">+G16-G22</f>
        <v>44867</v>
      </c>
      <c r="H24" s="4" t="n">
        <f aca="false">+H16-H22</f>
        <v>43718</v>
      </c>
      <c r="I24" s="4" t="n">
        <f aca="false">+I16-I22</f>
        <v>48341</v>
      </c>
      <c r="J24" s="4" t="n">
        <f aca="false">+J16-J22</f>
        <v>69231</v>
      </c>
      <c r="K24" s="4" t="n">
        <f aca="false">+K16-K22</f>
        <v>54781</v>
      </c>
      <c r="L24" s="4" t="n">
        <f aca="false">+L16-L22</f>
        <v>54770</v>
      </c>
      <c r="Q24" s="4" t="n">
        <f aca="false">+Q16-Q22</f>
        <v>81741</v>
      </c>
      <c r="R24" s="4" t="n">
        <f aca="false">+R16-R22</f>
        <v>85850</v>
      </c>
      <c r="S24" s="4" t="n">
        <f aca="false">+S16-S22</f>
        <v>101839</v>
      </c>
      <c r="T24" s="4" t="n">
        <f aca="false">+T16-T22</f>
        <v>98392</v>
      </c>
      <c r="U24" s="4" t="n">
        <f aca="false">+U16-U22</f>
        <v>104956</v>
      </c>
      <c r="V24" s="4" t="n">
        <f aca="false">+V16-V22</f>
        <v>152836</v>
      </c>
      <c r="W24" s="4" t="n">
        <f aca="false">+W16-W22</f>
        <v>170782</v>
      </c>
      <c r="X24" s="4" t="n">
        <f aca="false">+X16-X22</f>
        <v>169148</v>
      </c>
      <c r="Y24" s="4" t="n">
        <f aca="false">+Y16-Y22</f>
        <v>180683</v>
      </c>
      <c r="Z24" s="4" t="n">
        <f aca="false">+Z16-Z22</f>
        <v>195201</v>
      </c>
      <c r="AA24" s="4" t="n">
        <f aca="false">+AA16*0.47</f>
        <v>211243.3236</v>
      </c>
      <c r="AB24" s="4" t="n">
        <f aca="false">+AB16*0.475</f>
        <v>226300.02858</v>
      </c>
      <c r="AC24" s="4" t="n">
        <f aca="false">+AC16*0.48</f>
        <v>242403.06219264</v>
      </c>
      <c r="AD24" s="4" t="n">
        <f aca="false">+AD16*0.485</f>
        <v>259623.779735909</v>
      </c>
      <c r="AE24" s="4" t="n">
        <f aca="false">+AE16*0.49</f>
        <v>278038.332360476</v>
      </c>
    </row>
    <row r="25" s="17" customFormat="true" ht="10.5" hidden="false" customHeight="true" outlineLevel="0" collapsed="false">
      <c r="A25" s="16" t="s">
        <v>82</v>
      </c>
      <c r="B25" s="17" t="n">
        <f aca="false">+B24/B$16</f>
        <v>0.458749738657746</v>
      </c>
      <c r="C25" s="17" t="n">
        <f aca="false">+C24/C$16</f>
        <v>0.465780745540092</v>
      </c>
      <c r="D25" s="17" t="n">
        <f aca="false">+D24/D$16</f>
        <v>0.462571551814589</v>
      </c>
      <c r="E25" s="17" t="n">
        <f aca="false">+E24/E$16</f>
        <v>0.462224797219004</v>
      </c>
      <c r="F25" s="17" t="n">
        <f aca="false">+F24/F$16</f>
        <v>0.468825422365245</v>
      </c>
      <c r="G25" s="17" t="n">
        <f aca="false">+G24/G$16</f>
        <v>0.470506192388762</v>
      </c>
      <c r="H25" s="17" t="n">
        <f aca="false">+H24/H$16</f>
        <v>0.464907056871836</v>
      </c>
      <c r="I25" s="17" t="n">
        <f aca="false">+I24/I$16</f>
        <v>0.471776003747585</v>
      </c>
      <c r="J25" s="17" t="n">
        <f aca="false">+J24/J$16</f>
        <v>0.481586855505162</v>
      </c>
      <c r="K25" s="17" t="n">
        <f aca="false">+K24/K$16</f>
        <v>0.492705785005037</v>
      </c>
      <c r="L25" s="17" t="n">
        <f aca="false">+L24/L$16</f>
        <v>0.500562069879452</v>
      </c>
      <c r="Q25" s="17" t="n">
        <f aca="false">+Q24/Q$16</f>
        <v>0.383549881051254</v>
      </c>
      <c r="R25" s="17" t="n">
        <f aca="false">+R24/R$16</f>
        <v>0.378363846309796</v>
      </c>
      <c r="S25" s="17" t="n">
        <f aca="false">+S24/S$16</f>
        <v>0.383437188200079</v>
      </c>
      <c r="T25" s="17" t="n">
        <f aca="false">+T24/T$16</f>
        <v>0.378177681090347</v>
      </c>
      <c r="U25" s="17" t="n">
        <f aca="false">+U24/U$16</f>
        <v>0.382332477278109</v>
      </c>
      <c r="V25" s="17" t="n">
        <f aca="false">+V24/V$16</f>
        <v>0.417793596251678</v>
      </c>
      <c r="W25" s="17" t="n">
        <f aca="false">+W24/W$16</f>
        <v>0.433096305613601</v>
      </c>
      <c r="X25" s="17" t="n">
        <f aca="false">+X24/X$16</f>
        <v>0.441311295772076</v>
      </c>
      <c r="Y25" s="17" t="n">
        <f aca="false">+Y24/Y$16</f>
        <v>0.462063498152339</v>
      </c>
      <c r="Z25" s="17" t="n">
        <f aca="false">+Z24/Z$16</f>
        <v>0.469051641071605</v>
      </c>
      <c r="AA25" s="17" t="n">
        <f aca="false">+AA24/AA$16</f>
        <v>0.47</v>
      </c>
      <c r="AB25" s="17" t="n">
        <f aca="false">+AB24/AB$16</f>
        <v>0.475</v>
      </c>
      <c r="AC25" s="17" t="n">
        <f aca="false">+AC24/AC$16</f>
        <v>0.48</v>
      </c>
      <c r="AD25" s="17" t="n">
        <f aca="false">+AD24/AD$16</f>
        <v>0.485</v>
      </c>
      <c r="AE25" s="17" t="n">
        <f aca="false">+AE24/AE$16</f>
        <v>0.49</v>
      </c>
    </row>
    <row r="26" customFormat="false" ht="12.8" hidden="false" customHeight="false" outlineLevel="0" collapsed="false">
      <c r="A26" s="1" t="s">
        <v>84</v>
      </c>
      <c r="B26" s="4" t="n">
        <v>7696</v>
      </c>
      <c r="C26" s="4" t="n">
        <v>7903</v>
      </c>
      <c r="D26" s="4" t="n">
        <v>8006</v>
      </c>
      <c r="E26" s="4" t="n">
        <v>7765</v>
      </c>
      <c r="F26" s="4" t="n">
        <v>8268</v>
      </c>
      <c r="G26" s="4" t="n">
        <v>8550</v>
      </c>
      <c r="H26" s="4" t="n">
        <v>8866</v>
      </c>
      <c r="I26" s="4" t="n">
        <v>8866</v>
      </c>
      <c r="J26" s="4" t="n">
        <v>10887</v>
      </c>
      <c r="K26" s="4" t="n">
        <v>11419</v>
      </c>
      <c r="L26" s="4" t="n">
        <v>11729</v>
      </c>
      <c r="Q26" s="4" t="n">
        <v>10045</v>
      </c>
      <c r="R26" s="4" t="n">
        <v>11581</v>
      </c>
      <c r="S26" s="4" t="n">
        <v>14236</v>
      </c>
      <c r="T26" s="4" t="n">
        <v>16217</v>
      </c>
      <c r="U26" s="4" t="n">
        <v>18752</v>
      </c>
      <c r="V26" s="4" t="n">
        <v>21914</v>
      </c>
      <c r="W26" s="4" t="n">
        <v>26251</v>
      </c>
      <c r="X26" s="4" t="n">
        <v>29915</v>
      </c>
      <c r="Y26" s="4" t="n">
        <v>31370</v>
      </c>
      <c r="Z26" s="4" t="n">
        <v>34550</v>
      </c>
      <c r="AA26" s="4" t="n">
        <f aca="false">+AA16*0.08</f>
        <v>35956.3104</v>
      </c>
      <c r="AB26" s="4" t="n">
        <f aca="false">+AB16*0.08</f>
        <v>38113.689024</v>
      </c>
      <c r="AC26" s="4" t="n">
        <f aca="false">+AC16*0.076</f>
        <v>38380.484847168</v>
      </c>
      <c r="AD26" s="4" t="n">
        <f aca="false">+AD16*0.076</f>
        <v>40683.3139379981</v>
      </c>
      <c r="AE26" s="4" t="n">
        <f aca="false">+AE16*0.076</f>
        <v>43124.312774278</v>
      </c>
    </row>
    <row r="27" s="17" customFormat="true" ht="10.5" hidden="false" customHeight="true" outlineLevel="0" collapsed="false">
      <c r="A27" s="16" t="s">
        <v>82</v>
      </c>
      <c r="B27" s="17" t="n">
        <f aca="false">+B26/B$16</f>
        <v>0.0643612795316747</v>
      </c>
      <c r="C27" s="17" t="n">
        <f aca="false">+C26/C$16</f>
        <v>0.0870825206880213</v>
      </c>
      <c r="D27" s="17" t="n">
        <f aca="false">+D26/D$16</f>
        <v>0.0933350431933968</v>
      </c>
      <c r="E27" s="17" t="n">
        <f aca="false">+E26/E$16</f>
        <v>0.0817971136626988</v>
      </c>
      <c r="F27" s="17" t="n">
        <f aca="false">+F26/F$16</f>
        <v>0.0665164923572003</v>
      </c>
      <c r="G27" s="17" t="n">
        <f aca="false">+G26/G$16</f>
        <v>0.0896611751381621</v>
      </c>
      <c r="H27" s="17" t="n">
        <f aca="false">+H26/H$16</f>
        <v>0.0942830405376664</v>
      </c>
      <c r="I27" s="17" t="n">
        <f aca="false">+I26/I$16</f>
        <v>0.0865262623699569</v>
      </c>
      <c r="J27" s="17" t="n">
        <f aca="false">+J26/J$16</f>
        <v>0.0757324911655861</v>
      </c>
      <c r="K27" s="17" t="n">
        <f aca="false">+K26/K$16</f>
        <v>0.102703626421068</v>
      </c>
      <c r="L27" s="17" t="n">
        <f aca="false">+L26/L$16</f>
        <v>0.107195408391749</v>
      </c>
      <c r="Q27" s="17" t="n">
        <f aca="false">+Q26/Q$16</f>
        <v>0.0471337340521873</v>
      </c>
      <c r="R27" s="17" t="n">
        <f aca="false">+R26/R$16</f>
        <v>0.0510405556681857</v>
      </c>
      <c r="S27" s="17" t="n">
        <f aca="false">+S26/S$16</f>
        <v>0.053600406634161</v>
      </c>
      <c r="T27" s="17" t="n">
        <f aca="false">+T26/T$16</f>
        <v>0.0623313628571648</v>
      </c>
      <c r="U27" s="17" t="n">
        <f aca="false">+U26/U$16</f>
        <v>0.0683095641403931</v>
      </c>
      <c r="V27" s="17" t="n">
        <f aca="false">+V26/V$16</f>
        <v>0.0599042690744279</v>
      </c>
      <c r="W27" s="17" t="n">
        <f aca="false">+W26/W$16</f>
        <v>0.0665714836379867</v>
      </c>
      <c r="X27" s="17" t="n">
        <f aca="false">+X26/X$16</f>
        <v>0.0780489713920451</v>
      </c>
      <c r="Y27" s="17" t="n">
        <f aca="false">+Y26/Y$16</f>
        <v>0.0802229979413607</v>
      </c>
      <c r="Z27" s="17" t="n">
        <f aca="false">+Z26/Z$16</f>
        <v>0.0830207539870387</v>
      </c>
      <c r="AA27" s="17" t="n">
        <f aca="false">+AA26/AA$16</f>
        <v>0.08</v>
      </c>
      <c r="AB27" s="17" t="n">
        <f aca="false">+AB26/AB$16</f>
        <v>0.08</v>
      </c>
      <c r="AC27" s="17" t="n">
        <f aca="false">+AC26/AC$16</f>
        <v>0.076</v>
      </c>
      <c r="AD27" s="17" t="n">
        <f aca="false">+AD26/AD$16</f>
        <v>0.076</v>
      </c>
      <c r="AE27" s="17" t="n">
        <f aca="false">+AE26/AE$16</f>
        <v>0.076</v>
      </c>
    </row>
    <row r="28" customFormat="false" ht="12.8" hidden="false" customHeight="false" outlineLevel="0" collapsed="false">
      <c r="A28" s="1" t="s">
        <v>85</v>
      </c>
      <c r="B28" s="4" t="n">
        <v>6786</v>
      </c>
      <c r="C28" s="4" t="n">
        <v>6468</v>
      </c>
      <c r="D28" s="4" t="n">
        <v>6320</v>
      </c>
      <c r="E28" s="4" t="n">
        <v>6523</v>
      </c>
      <c r="F28" s="4" t="n">
        <v>7175</v>
      </c>
      <c r="G28" s="4" t="n">
        <v>6728</v>
      </c>
      <c r="H28" s="4" t="n">
        <v>6650</v>
      </c>
      <c r="I28" s="4" t="n">
        <v>7048</v>
      </c>
      <c r="J28" s="4" t="n">
        <v>7492</v>
      </c>
      <c r="K28" s="4" t="n">
        <v>7477</v>
      </c>
      <c r="L28" s="4" t="n">
        <v>7346</v>
      </c>
      <c r="Q28" s="4" t="n">
        <v>14194</v>
      </c>
      <c r="R28" s="4" t="n">
        <v>15261</v>
      </c>
      <c r="S28" s="4" t="n">
        <v>16705</v>
      </c>
      <c r="T28" s="4" t="n">
        <v>18245</v>
      </c>
      <c r="U28" s="4" t="n">
        <v>19916</v>
      </c>
      <c r="V28" s="4" t="n">
        <v>21973</v>
      </c>
      <c r="W28" s="4" t="n">
        <v>25094</v>
      </c>
      <c r="X28" s="4" t="n">
        <v>24932</v>
      </c>
      <c r="Y28" s="4" t="n">
        <v>26097</v>
      </c>
      <c r="Z28" s="4" t="n">
        <v>27601</v>
      </c>
      <c r="AA28" s="4" t="n">
        <f aca="false">+AA16*0.065</f>
        <v>29214.5022</v>
      </c>
      <c r="AB28" s="4" t="n">
        <f aca="false">+AB16*0.065</f>
        <v>30967.372332</v>
      </c>
      <c r="AC28" s="4" t="n">
        <f aca="false">+AC16*0.063</f>
        <v>31815.401912784</v>
      </c>
      <c r="AD28" s="4" t="n">
        <f aca="false">+AD16*0.063</f>
        <v>33724.326027551</v>
      </c>
      <c r="AE28" s="4" t="n">
        <f aca="false">+AE16*0.063</f>
        <v>35747.7855892041</v>
      </c>
    </row>
    <row r="29" s="17" customFormat="true" ht="10.5" hidden="false" customHeight="true" outlineLevel="0" collapsed="false">
      <c r="A29" s="16" t="s">
        <v>82</v>
      </c>
      <c r="B29" s="17" t="n">
        <f aca="false">+B28/B$16</f>
        <v>0.0567509931005645</v>
      </c>
      <c r="C29" s="17" t="n">
        <f aca="false">+C28/C$16</f>
        <v>0.0712703712273975</v>
      </c>
      <c r="D29" s="17" t="n">
        <f aca="false">+D28/D$16</f>
        <v>0.0736794245543677</v>
      </c>
      <c r="E29" s="17" t="n">
        <f aca="false">+E28/E$16</f>
        <v>0.0687137891077636</v>
      </c>
      <c r="F29" s="17" t="n">
        <f aca="false">+F28/F$16</f>
        <v>0.0577232502011263</v>
      </c>
      <c r="G29" s="17" t="n">
        <f aca="false">+G28/G$16</f>
        <v>0.0705544311496555</v>
      </c>
      <c r="H29" s="17" t="n">
        <f aca="false">+H28/H$16</f>
        <v>0.070717597515845</v>
      </c>
      <c r="I29" s="17" t="n">
        <f aca="false">+I28/I$16</f>
        <v>0.068783791696758</v>
      </c>
      <c r="J29" s="17" t="n">
        <f aca="false">+J28/J$16</f>
        <v>0.0521160855894711</v>
      </c>
      <c r="K29" s="17" t="n">
        <f aca="false">+K28/K$16</f>
        <v>0.0672488847316161</v>
      </c>
      <c r="L29" s="17" t="n">
        <f aca="false">+L28/L$16</f>
        <v>0.0671376477147061</v>
      </c>
      <c r="Q29" s="17" t="n">
        <f aca="false">+Q28/Q$16</f>
        <v>0.0666019135029115</v>
      </c>
      <c r="R29" s="17" t="n">
        <f aca="false">+R28/R$16</f>
        <v>0.0672592971291065</v>
      </c>
      <c r="S29" s="17" t="n">
        <f aca="false">+S28/S$16</f>
        <v>0.0628965153711478</v>
      </c>
      <c r="T29" s="17" t="n">
        <f aca="false">+T28/T$16</f>
        <v>0.0701261463482131</v>
      </c>
      <c r="U29" s="17" t="n">
        <f aca="false">+U28/U$16</f>
        <v>0.072549769593647</v>
      </c>
      <c r="V29" s="17" t="n">
        <f aca="false">+V28/V$16</f>
        <v>0.0600655519016339</v>
      </c>
      <c r="W29" s="17" t="n">
        <f aca="false">+W28/W$16</f>
        <v>0.0636373780203283</v>
      </c>
      <c r="X29" s="17" t="n">
        <f aca="false">+X28/X$16</f>
        <v>0.0650482017297833</v>
      </c>
      <c r="Y29" s="17" t="n">
        <f aca="false">+Y28/Y$16</f>
        <v>0.0667382715102229</v>
      </c>
      <c r="Z29" s="17" t="n">
        <f aca="false">+Z28/Z$16</f>
        <v>0.066322889458647</v>
      </c>
      <c r="AA29" s="17" t="n">
        <f aca="false">+AA28/AA$16</f>
        <v>0.065</v>
      </c>
      <c r="AB29" s="17" t="n">
        <f aca="false">+AB28/AB$16</f>
        <v>0.065</v>
      </c>
      <c r="AC29" s="17" t="n">
        <f aca="false">+AC28/AC$16</f>
        <v>0.063</v>
      </c>
      <c r="AD29" s="17" t="n">
        <f aca="false">+AD28/AD$16</f>
        <v>0.063</v>
      </c>
      <c r="AE29" s="17" t="n">
        <f aca="false">+AE28/AE$16</f>
        <v>0.063</v>
      </c>
    </row>
    <row r="30" customFormat="false" ht="12.8" hidden="false" customHeight="false" outlineLevel="0" collapsed="false">
      <c r="A30" s="1" t="s">
        <v>86</v>
      </c>
      <c r="B30" s="4" t="n">
        <f aca="false">+B28+B26</f>
        <v>14482</v>
      </c>
      <c r="C30" s="4" t="n">
        <f aca="false">+C28+C26</f>
        <v>14371</v>
      </c>
      <c r="D30" s="4" t="n">
        <f aca="false">+D28+D26</f>
        <v>14326</v>
      </c>
      <c r="E30" s="4" t="n">
        <f aca="false">+E28+E26</f>
        <v>14288</v>
      </c>
      <c r="F30" s="4" t="n">
        <f aca="false">+F28+F26</f>
        <v>15443</v>
      </c>
      <c r="G30" s="4" t="n">
        <f aca="false">+G28+G26</f>
        <v>15278</v>
      </c>
      <c r="H30" s="4" t="n">
        <f aca="false">+H28+H26</f>
        <v>15516</v>
      </c>
      <c r="I30" s="4" t="n">
        <f aca="false">+I28+I26</f>
        <v>15914</v>
      </c>
      <c r="J30" s="4" t="n">
        <f aca="false">+J28+J26</f>
        <v>18379</v>
      </c>
      <c r="K30" s="4" t="n">
        <f aca="false">+K28+K26</f>
        <v>18896</v>
      </c>
      <c r="L30" s="4" t="n">
        <f aca="false">+L28+L26</f>
        <v>19075</v>
      </c>
      <c r="Q30" s="4" t="n">
        <f aca="false">+Q28+Q26</f>
        <v>24239</v>
      </c>
      <c r="R30" s="4" t="n">
        <f aca="false">+R28+R26</f>
        <v>26842</v>
      </c>
      <c r="S30" s="4" t="n">
        <f aca="false">+S28+S26</f>
        <v>30941</v>
      </c>
      <c r="T30" s="4" t="n">
        <f aca="false">+T28+T26</f>
        <v>34462</v>
      </c>
      <c r="U30" s="4" t="n">
        <f aca="false">+U28+U26</f>
        <v>38668</v>
      </c>
      <c r="V30" s="4" t="n">
        <f aca="false">+V28+V26</f>
        <v>43887</v>
      </c>
      <c r="W30" s="4" t="n">
        <f aca="false">+W28+W26</f>
        <v>51345</v>
      </c>
      <c r="X30" s="4" t="n">
        <f aca="false">+X28+X26</f>
        <v>54847</v>
      </c>
      <c r="Y30" s="4" t="n">
        <f aca="false">+Y28+Y26</f>
        <v>57467</v>
      </c>
      <c r="Z30" s="4" t="n">
        <f aca="false">+Z28+Z26</f>
        <v>62151</v>
      </c>
      <c r="AA30" s="4" t="n">
        <f aca="false">+AA16*0.14</f>
        <v>62923.5432</v>
      </c>
      <c r="AB30" s="4" t="n">
        <f aca="false">+AB16*0.14</f>
        <v>66698.955792</v>
      </c>
      <c r="AC30" s="4" t="n">
        <f aca="false">+AC16*0.135</f>
        <v>68175.86124168</v>
      </c>
      <c r="AD30" s="4" t="n">
        <f aca="false">+AD16*0.135</f>
        <v>72266.4129161808</v>
      </c>
      <c r="AE30" s="4" t="n">
        <f aca="false">+AE16*0.135</f>
        <v>76602.3976911517</v>
      </c>
    </row>
    <row r="31" s="17" customFormat="true" ht="10.5" hidden="false" customHeight="true" outlineLevel="0" collapsed="false">
      <c r="A31" s="16" t="s">
        <v>82</v>
      </c>
      <c r="B31" s="17" t="n">
        <f aca="false">+B30/B$16</f>
        <v>0.121112272632239</v>
      </c>
      <c r="C31" s="17" t="n">
        <f aca="false">+C30/C$16</f>
        <v>0.158352891915419</v>
      </c>
      <c r="D31" s="17" t="n">
        <f aca="false">+D30/D$16</f>
        <v>0.167014467747765</v>
      </c>
      <c r="E31" s="17" t="n">
        <f aca="false">+E30/E$16</f>
        <v>0.150510902770462</v>
      </c>
      <c r="F31" s="17" t="n">
        <f aca="false">+F30/F$16</f>
        <v>0.124239742558327</v>
      </c>
      <c r="G31" s="17" t="n">
        <f aca="false">+G30/G$16</f>
        <v>0.160215606287818</v>
      </c>
      <c r="H31" s="17" t="n">
        <f aca="false">+H30/H$16</f>
        <v>0.165000638053511</v>
      </c>
      <c r="I31" s="17" t="n">
        <f aca="false">+I30/I$16</f>
        <v>0.155310054066715</v>
      </c>
      <c r="J31" s="17" t="n">
        <f aca="false">+J30/J$16</f>
        <v>0.127848576755057</v>
      </c>
      <c r="K31" s="17" t="n">
        <f aca="false">+K30/K$16</f>
        <v>0.169952511152684</v>
      </c>
      <c r="L31" s="17" t="n">
        <f aca="false">+L30/L$16</f>
        <v>0.174333056106455</v>
      </c>
      <c r="Q31" s="17" t="n">
        <f aca="false">+Q30/Q$16</f>
        <v>0.113735647555099</v>
      </c>
      <c r="R31" s="17" t="n">
        <f aca="false">+R30/R$16</f>
        <v>0.118299852797292</v>
      </c>
      <c r="S31" s="17" t="n">
        <f aca="false">+S30/S$16</f>
        <v>0.116496922005309</v>
      </c>
      <c r="T31" s="17" t="n">
        <f aca="false">+T30/T$16</f>
        <v>0.132457509205378</v>
      </c>
      <c r="U31" s="17" t="n">
        <f aca="false">+U30/U$16</f>
        <v>0.14085933373404</v>
      </c>
      <c r="V31" s="17" t="n">
        <f aca="false">+V30/V$16</f>
        <v>0.119969820976062</v>
      </c>
      <c r="W31" s="17" t="n">
        <f aca="false">+W30/W$16</f>
        <v>0.130208861658315</v>
      </c>
      <c r="X31" s="17" t="n">
        <f aca="false">+X30/X$16</f>
        <v>0.143097173121828</v>
      </c>
      <c r="Y31" s="17" t="n">
        <f aca="false">+Y30/Y$16</f>
        <v>0.146961269451584</v>
      </c>
      <c r="Z31" s="17" t="n">
        <f aca="false">+Z30/Z$16</f>
        <v>0.149343643445686</v>
      </c>
      <c r="AA31" s="17" t="n">
        <f aca="false">+AA30/AA$16</f>
        <v>0.14</v>
      </c>
      <c r="AB31" s="17" t="n">
        <f aca="false">+AB30/AB$16</f>
        <v>0.14</v>
      </c>
      <c r="AC31" s="17" t="n">
        <f aca="false">+AC30/AC$16</f>
        <v>0.135</v>
      </c>
      <c r="AD31" s="17" t="n">
        <f aca="false">+AD30/AD$16</f>
        <v>0.135</v>
      </c>
      <c r="AE31" s="17" t="n">
        <f aca="false">+AE30/AE$16</f>
        <v>0.135</v>
      </c>
    </row>
    <row r="32" customFormat="false" ht="12.8" hidden="false" customHeight="false" outlineLevel="0" collapsed="false">
      <c r="A32" s="1" t="s">
        <v>87</v>
      </c>
      <c r="B32" s="4" t="n">
        <f aca="false">+B24-B30</f>
        <v>40373</v>
      </c>
      <c r="C32" s="4" t="n">
        <f aca="false">+C24-C30</f>
        <v>27900</v>
      </c>
      <c r="D32" s="4" t="n">
        <f aca="false">+D24-D30</f>
        <v>25352</v>
      </c>
      <c r="E32" s="4" t="n">
        <f aca="false">+E24-E30</f>
        <v>29591</v>
      </c>
      <c r="F32" s="4" t="n">
        <f aca="false">+F24-F30</f>
        <v>42832</v>
      </c>
      <c r="G32" s="4" t="n">
        <f aca="false">+G24-G30</f>
        <v>29589</v>
      </c>
      <c r="H32" s="4" t="n">
        <f aca="false">+H24-H30</f>
        <v>28202</v>
      </c>
      <c r="I32" s="4" t="n">
        <f aca="false">+I24-I30</f>
        <v>32427</v>
      </c>
      <c r="J32" s="4" t="n">
        <f aca="false">+J24-J30</f>
        <v>50852</v>
      </c>
      <c r="K32" s="4" t="n">
        <f aca="false">+K24-K30</f>
        <v>35885</v>
      </c>
      <c r="L32" s="4" t="n">
        <f aca="false">+L24-L30</f>
        <v>35695</v>
      </c>
      <c r="Q32" s="4" t="n">
        <f aca="false">+Q24-Q30</f>
        <v>57502</v>
      </c>
      <c r="R32" s="4" t="n">
        <f aca="false">+R24-R30</f>
        <v>59008</v>
      </c>
      <c r="S32" s="4" t="n">
        <f aca="false">+S24-S30</f>
        <v>70898</v>
      </c>
      <c r="T32" s="4" t="n">
        <f aca="false">+T24-T30</f>
        <v>63930</v>
      </c>
      <c r="U32" s="4" t="n">
        <f aca="false">+U24-U30</f>
        <v>66288</v>
      </c>
      <c r="V32" s="4" t="n">
        <f aca="false">+V24-V30</f>
        <v>108949</v>
      </c>
      <c r="W32" s="4" t="n">
        <f aca="false">+W24-W30</f>
        <v>119437</v>
      </c>
      <c r="X32" s="4" t="n">
        <f aca="false">+X24-X30</f>
        <v>114301</v>
      </c>
      <c r="Y32" s="4" t="n">
        <f aca="false">+Y24-Y30</f>
        <v>123216</v>
      </c>
      <c r="Z32" s="4" t="n">
        <f aca="false">+Z24-Z30</f>
        <v>133050</v>
      </c>
      <c r="AA32" s="4" t="n">
        <f aca="false">+AA24-AA30</f>
        <v>148319.7804</v>
      </c>
      <c r="AB32" s="4" t="n">
        <f aca="false">+AB24-AB30</f>
        <v>159601.072788</v>
      </c>
      <c r="AC32" s="4" t="n">
        <f aca="false">+AC24-AC30</f>
        <v>174227.20095096</v>
      </c>
      <c r="AD32" s="4" t="n">
        <f aca="false">+AD24-AD30</f>
        <v>187357.366819728</v>
      </c>
      <c r="AE32" s="4" t="n">
        <f aca="false">+AE24-AE30</f>
        <v>201435.934669325</v>
      </c>
    </row>
    <row r="33" s="17" customFormat="true" ht="10.5" hidden="false" customHeight="true" outlineLevel="0" collapsed="false">
      <c r="A33" s="16" t="s">
        <v>82</v>
      </c>
      <c r="B33" s="17" t="n">
        <f aca="false">+B32/B$16</f>
        <v>0.337637466025507</v>
      </c>
      <c r="C33" s="17" t="n">
        <f aca="false">+C32/C$16</f>
        <v>0.307427853624674</v>
      </c>
      <c r="D33" s="17" t="n">
        <f aca="false">+D32/D$16</f>
        <v>0.295557084066824</v>
      </c>
      <c r="E33" s="17" t="n">
        <f aca="false">+E32/E$16</f>
        <v>0.311713894448541</v>
      </c>
      <c r="F33" s="17" t="n">
        <f aca="false">+F32/F$16</f>
        <v>0.344585679806919</v>
      </c>
      <c r="G33" s="17" t="n">
        <f aca="false">+G32/G$16</f>
        <v>0.310290586100945</v>
      </c>
      <c r="H33" s="17" t="n">
        <f aca="false">+H32/H$16</f>
        <v>0.299906418818325</v>
      </c>
      <c r="I33" s="17" t="n">
        <f aca="false">+I32/I$16</f>
        <v>0.31646594968087</v>
      </c>
      <c r="J33" s="17" t="n">
        <f aca="false">+J32/J$16</f>
        <v>0.353738278750104</v>
      </c>
      <c r="K33" s="17" t="n">
        <f aca="false">+K32/K$16</f>
        <v>0.322753273852353</v>
      </c>
      <c r="L33" s="17" t="n">
        <f aca="false">+L32/L$16</f>
        <v>0.326229013772997</v>
      </c>
      <c r="Q33" s="17" t="n">
        <f aca="false">+Q32/Q$16</f>
        <v>0.269814233496155</v>
      </c>
      <c r="R33" s="17" t="n">
        <f aca="false">+R32/R$16</f>
        <v>0.260063993512503</v>
      </c>
      <c r="S33" s="17" t="n">
        <f aca="false">+S32/S$16</f>
        <v>0.26694026619477</v>
      </c>
      <c r="T33" s="17" t="n">
        <f aca="false">+T32/T$16</f>
        <v>0.245720171884969</v>
      </c>
      <c r="U33" s="17" t="n">
        <f aca="false">+U32/U$16</f>
        <v>0.241473143544069</v>
      </c>
      <c r="V33" s="17" t="n">
        <f aca="false">+V32/V$16</f>
        <v>0.297823775275616</v>
      </c>
      <c r="W33" s="17" t="n">
        <f aca="false">+W32/W$16</f>
        <v>0.302887443955286</v>
      </c>
      <c r="X33" s="17" t="n">
        <f aca="false">+X32/X$16</f>
        <v>0.298214122650247</v>
      </c>
      <c r="Y33" s="17" t="n">
        <f aca="false">+Y32/Y$16</f>
        <v>0.315102228700756</v>
      </c>
      <c r="Z33" s="17" t="n">
        <f aca="false">+Z32/Z$16</f>
        <v>0.319707997625919</v>
      </c>
      <c r="AA33" s="17" t="n">
        <f aca="false">+AA32/AA$16</f>
        <v>0.33</v>
      </c>
      <c r="AB33" s="17" t="n">
        <f aca="false">+AB32/AB$16</f>
        <v>0.335</v>
      </c>
      <c r="AC33" s="17" t="n">
        <f aca="false">+AC32/AC$16</f>
        <v>0.345</v>
      </c>
      <c r="AD33" s="17" t="n">
        <f aca="false">+AD32/AD$16</f>
        <v>0.35</v>
      </c>
      <c r="AE33" s="17" t="n">
        <f aca="false">+AE32/AE$16</f>
        <v>0.355</v>
      </c>
    </row>
    <row r="34" customFormat="false" ht="12.8" hidden="false" customHeight="false" outlineLevel="0" collapsed="false">
      <c r="A34" s="1" t="s">
        <v>88</v>
      </c>
      <c r="B34" s="4" t="n">
        <v>-50</v>
      </c>
      <c r="C34" s="4" t="n">
        <v>158</v>
      </c>
      <c r="D34" s="4" t="n">
        <v>142</v>
      </c>
      <c r="E34" s="4" t="n">
        <v>19</v>
      </c>
      <c r="F34" s="4" t="n">
        <v>-248</v>
      </c>
      <c r="G34" s="4" t="n">
        <v>-279</v>
      </c>
      <c r="H34" s="4" t="n">
        <v>-171</v>
      </c>
      <c r="I34" s="4" t="n">
        <v>377</v>
      </c>
      <c r="J34" s="4" t="n">
        <v>150</v>
      </c>
      <c r="K34" s="4" t="n">
        <v>-52</v>
      </c>
      <c r="L34" s="4" t="n">
        <v>572</v>
      </c>
      <c r="Q34" s="4" t="n">
        <v>1348</v>
      </c>
      <c r="R34" s="4" t="n">
        <v>2745</v>
      </c>
      <c r="S34" s="4" t="n">
        <v>2005</v>
      </c>
      <c r="T34" s="4" t="n">
        <v>1807</v>
      </c>
      <c r="U34" s="4" t="n">
        <v>803</v>
      </c>
      <c r="V34" s="4" t="n">
        <v>258</v>
      </c>
      <c r="W34" s="4" t="n">
        <v>-334</v>
      </c>
      <c r="X34" s="4" t="n">
        <v>-565</v>
      </c>
      <c r="Y34" s="4" t="n">
        <v>269</v>
      </c>
      <c r="Z34" s="4" t="n">
        <v>-321</v>
      </c>
      <c r="AA34" s="6" t="n">
        <v>200</v>
      </c>
      <c r="AB34" s="6" t="n">
        <v>200</v>
      </c>
      <c r="AC34" s="6" t="n">
        <v>200</v>
      </c>
      <c r="AD34" s="6" t="n">
        <v>200</v>
      </c>
      <c r="AE34" s="6" t="n">
        <v>200</v>
      </c>
    </row>
    <row r="35" s="17" customFormat="true" ht="10.5" hidden="false" customHeight="true" outlineLevel="0" collapsed="false">
      <c r="A35" s="16" t="s">
        <v>82</v>
      </c>
      <c r="B35" s="17" t="n">
        <f aca="false">+B34/B$16</f>
        <v>-0.000418147606104955</v>
      </c>
      <c r="C35" s="17" t="n">
        <f aca="false">+C34/C$16</f>
        <v>0.00174098927859134</v>
      </c>
      <c r="D35" s="17" t="n">
        <f aca="false">+D34/D$16</f>
        <v>0.00165545542511396</v>
      </c>
      <c r="E35" s="17" t="n">
        <f aca="false">+E34/E$16</f>
        <v>0.000200147477088381</v>
      </c>
      <c r="F35" s="17" t="n">
        <f aca="false">+F34/F$16</f>
        <v>-0.0019951729686243</v>
      </c>
      <c r="G35" s="17" t="n">
        <f aca="false">+G34/G$16</f>
        <v>-0.00292578571503476</v>
      </c>
      <c r="H35" s="17" t="n">
        <f aca="false">+H34/H$16</f>
        <v>-0.0018184525075503</v>
      </c>
      <c r="I35" s="17" t="n">
        <f aca="false">+I34/I$16</f>
        <v>0.0036792692210099</v>
      </c>
      <c r="J35" s="17" t="n">
        <f aca="false">+J34/J$16</f>
        <v>0.00104343470881215</v>
      </c>
      <c r="K35" s="17" t="n">
        <f aca="false">+K34/K$16</f>
        <v>-0.000467693193265218</v>
      </c>
      <c r="L35" s="17" t="n">
        <f aca="false">+L34/L$16</f>
        <v>0.00522770684628531</v>
      </c>
      <c r="Q35" s="17" t="n">
        <f aca="false">+Q34/Q$16</f>
        <v>0.00632516411173205</v>
      </c>
      <c r="R35" s="17" t="n">
        <f aca="false">+R34/R$16</f>
        <v>0.0120979470951705</v>
      </c>
      <c r="S35" s="17" t="n">
        <f aca="false">+S34/S$16</f>
        <v>0.00754908789698601</v>
      </c>
      <c r="T35" s="17" t="n">
        <f aca="false">+T34/T$16</f>
        <v>0.00694535195676739</v>
      </c>
      <c r="U35" s="17" t="n">
        <f aca="false">+U34/U$16</f>
        <v>0.00292515891663479</v>
      </c>
      <c r="V35" s="17" t="n">
        <f aca="false">+V34/V$16</f>
        <v>0.000705270668120946</v>
      </c>
      <c r="W35" s="17" t="n">
        <f aca="false">+W34/W$16</f>
        <v>-0.00084701061045627</v>
      </c>
      <c r="X35" s="17" t="n">
        <f aca="false">+X34/X$16</f>
        <v>-0.0014740989081232</v>
      </c>
      <c r="Y35" s="17" t="n">
        <f aca="false">+Y34/Y$16</f>
        <v>0.000687917961307811</v>
      </c>
      <c r="Z35" s="17" t="n">
        <f aca="false">+Z34/Z$16</f>
        <v>-0.000771336093483051</v>
      </c>
      <c r="AA35" s="17" t="n">
        <f aca="false">+AA34/AA$16</f>
        <v>0.000444984477606468</v>
      </c>
      <c r="AB35" s="17" t="n">
        <f aca="false">+AB34/AB$16</f>
        <v>0.000419796676987234</v>
      </c>
      <c r="AC35" s="17" t="n">
        <f aca="false">+AC34/AC$16</f>
        <v>0.000396034600931352</v>
      </c>
      <c r="AD35" s="17" t="n">
        <f aca="false">+AD34/AD$16</f>
        <v>0.000373617548048446</v>
      </c>
      <c r="AE35" s="17" t="n">
        <f aca="false">+AE34/AE$16</f>
        <v>0.000352469384951364</v>
      </c>
    </row>
    <row r="36" customFormat="false" ht="12.8" hidden="false" customHeight="false" outlineLevel="0" collapsed="false">
      <c r="A36" s="1" t="s">
        <v>89</v>
      </c>
      <c r="B36" s="4" t="n">
        <f aca="false">+B32+B34</f>
        <v>40323</v>
      </c>
      <c r="C36" s="4" t="n">
        <f aca="false">+C32+C34</f>
        <v>28058</v>
      </c>
      <c r="D36" s="4" t="n">
        <f aca="false">+D32+D34</f>
        <v>25494</v>
      </c>
      <c r="E36" s="4" t="n">
        <f aca="false">+E32+E34</f>
        <v>29610</v>
      </c>
      <c r="F36" s="4" t="n">
        <f aca="false">+F32+F34</f>
        <v>42584</v>
      </c>
      <c r="G36" s="4" t="n">
        <f aca="false">+G32+G34</f>
        <v>29310</v>
      </c>
      <c r="H36" s="4" t="n">
        <f aca="false">+H32+H34</f>
        <v>28031</v>
      </c>
      <c r="I36" s="4" t="n">
        <f aca="false">+I32+I34</f>
        <v>32804</v>
      </c>
      <c r="J36" s="4" t="n">
        <f aca="false">+J32+J34</f>
        <v>51002</v>
      </c>
      <c r="K36" s="4" t="n">
        <f aca="false">+K32+K34</f>
        <v>35833</v>
      </c>
      <c r="L36" s="4" t="n">
        <f aca="false">+L32+L34</f>
        <v>36267</v>
      </c>
      <c r="Q36" s="4" t="n">
        <f aca="false">+Q32+Q34</f>
        <v>58850</v>
      </c>
      <c r="R36" s="4" t="n">
        <f aca="false">+R32+R34</f>
        <v>61753</v>
      </c>
      <c r="S36" s="4" t="n">
        <f aca="false">+S32+S34</f>
        <v>72903</v>
      </c>
      <c r="T36" s="4" t="n">
        <f aca="false">+T32+T34</f>
        <v>65737</v>
      </c>
      <c r="U36" s="4" t="n">
        <f aca="false">+U32+U34</f>
        <v>67091</v>
      </c>
      <c r="V36" s="4" t="n">
        <f aca="false">+V32+V34</f>
        <v>109207</v>
      </c>
      <c r="W36" s="4" t="n">
        <f aca="false">+W32+W34</f>
        <v>119103</v>
      </c>
      <c r="X36" s="4" t="n">
        <f aca="false">+X32+X34</f>
        <v>113736</v>
      </c>
      <c r="Y36" s="4" t="n">
        <f aca="false">+Y32+Y34</f>
        <v>123485</v>
      </c>
      <c r="Z36" s="4" t="n">
        <f aca="false">+Z32+Z34</f>
        <v>132729</v>
      </c>
      <c r="AA36" s="4" t="n">
        <f aca="false">+AA32+AA34</f>
        <v>148519.7804</v>
      </c>
      <c r="AB36" s="4" t="n">
        <f aca="false">+AB32+AB34</f>
        <v>159801.072788</v>
      </c>
      <c r="AC36" s="4" t="n">
        <f aca="false">+AC32+AC34</f>
        <v>174427.20095096</v>
      </c>
      <c r="AD36" s="4" t="n">
        <f aca="false">+AD32+AD34</f>
        <v>187557.366819728</v>
      </c>
      <c r="AE36" s="4" t="n">
        <f aca="false">+AE32+AE34</f>
        <v>201635.934669325</v>
      </c>
    </row>
    <row r="37" s="17" customFormat="true" ht="10.5" hidden="false" customHeight="true" outlineLevel="0" collapsed="false">
      <c r="A37" s="16" t="s">
        <v>82</v>
      </c>
      <c r="B37" s="17" t="n">
        <f aca="false">+B36/B$16</f>
        <v>0.337219318419402</v>
      </c>
      <c r="C37" s="17" t="n">
        <f aca="false">+C36/C$16</f>
        <v>0.309168842903265</v>
      </c>
      <c r="D37" s="17" t="n">
        <f aca="false">+D36/D$16</f>
        <v>0.297212539491938</v>
      </c>
      <c r="E37" s="17" t="n">
        <f aca="false">+E36/E$16</f>
        <v>0.311914041925629</v>
      </c>
      <c r="F37" s="17" t="n">
        <f aca="false">+F36/F$16</f>
        <v>0.342590506838294</v>
      </c>
      <c r="G37" s="17" t="n">
        <f aca="false">+G36/G$16</f>
        <v>0.30736480038591</v>
      </c>
      <c r="H37" s="17" t="n">
        <f aca="false">+H36/H$16</f>
        <v>0.298087966310775</v>
      </c>
      <c r="I37" s="17" t="n">
        <f aca="false">+I36/I$16</f>
        <v>0.32014521890188</v>
      </c>
      <c r="J37" s="17" t="n">
        <f aca="false">+J36/J$16</f>
        <v>0.354781713458917</v>
      </c>
      <c r="K37" s="17" t="n">
        <f aca="false">+K36/K$16</f>
        <v>0.322285580659088</v>
      </c>
      <c r="L37" s="17" t="n">
        <f aca="false">+L36/L$16</f>
        <v>0.331456720619282</v>
      </c>
      <c r="Q37" s="17" t="n">
        <f aca="false">+Q36/Q$16</f>
        <v>0.276139397607887</v>
      </c>
      <c r="R37" s="17" t="n">
        <f aca="false">+R36/R$16</f>
        <v>0.272161940607674</v>
      </c>
      <c r="S37" s="17" t="n">
        <f aca="false">+S36/S$16</f>
        <v>0.274489354091756</v>
      </c>
      <c r="T37" s="17" t="n">
        <f aca="false">+T36/T$16</f>
        <v>0.252665523841737</v>
      </c>
      <c r="U37" s="17" t="n">
        <f aca="false">+U36/U$16</f>
        <v>0.244398302460703</v>
      </c>
      <c r="V37" s="17" t="n">
        <f aca="false">+V36/V$16</f>
        <v>0.298529045943737</v>
      </c>
      <c r="W37" s="17" t="n">
        <f aca="false">+W36/W$16</f>
        <v>0.30204043334483</v>
      </c>
      <c r="X37" s="17" t="n">
        <f aca="false">+X36/X$16</f>
        <v>0.296740023742124</v>
      </c>
      <c r="Y37" s="17" t="n">
        <f aca="false">+Y36/Y$16</f>
        <v>0.315790146662064</v>
      </c>
      <c r="Z37" s="17" t="n">
        <f aca="false">+Z36/Z$16</f>
        <v>0.318936661532436</v>
      </c>
      <c r="AA37" s="17" t="n">
        <f aca="false">+AA36/AA$16</f>
        <v>0.330444984477606</v>
      </c>
      <c r="AB37" s="17" t="n">
        <f aca="false">+AB36/AB$16</f>
        <v>0.335419796676987</v>
      </c>
      <c r="AC37" s="17" t="n">
        <f aca="false">+AC36/AC$16</f>
        <v>0.345396034600931</v>
      </c>
      <c r="AD37" s="17" t="n">
        <f aca="false">+AD36/AD$16</f>
        <v>0.350373617548048</v>
      </c>
      <c r="AE37" s="17" t="n">
        <f aca="false">+AE36/AE$16</f>
        <v>0.355352469384951</v>
      </c>
    </row>
    <row r="38" customFormat="false" ht="12.8" hidden="false" customHeight="false" outlineLevel="0" collapsed="false">
      <c r="A38" s="1" t="s">
        <v>90</v>
      </c>
      <c r="B38" s="4" t="n">
        <v>6407</v>
      </c>
      <c r="C38" s="4" t="n">
        <v>4422</v>
      </c>
      <c r="D38" s="4" t="n">
        <v>4046</v>
      </c>
      <c r="E38" s="4" t="n">
        <v>14874</v>
      </c>
      <c r="F38" s="4" t="n">
        <v>6254</v>
      </c>
      <c r="G38" s="4" t="n">
        <v>4530</v>
      </c>
      <c r="H38" s="4" t="n">
        <v>4597</v>
      </c>
      <c r="I38" s="4" t="n">
        <v>5338</v>
      </c>
      <c r="J38" s="4" t="n">
        <v>8905</v>
      </c>
      <c r="K38" s="4" t="n">
        <v>6255</v>
      </c>
      <c r="L38" s="4" t="n">
        <v>6478</v>
      </c>
      <c r="Q38" s="4" t="n">
        <v>15685</v>
      </c>
      <c r="R38" s="4" t="n">
        <v>15738</v>
      </c>
      <c r="S38" s="4" t="n">
        <v>13372</v>
      </c>
      <c r="T38" s="4" t="n">
        <v>10481</v>
      </c>
      <c r="U38" s="4" t="n">
        <v>9680</v>
      </c>
      <c r="V38" s="4" t="n">
        <v>14527</v>
      </c>
      <c r="W38" s="4" t="n">
        <v>19300</v>
      </c>
      <c r="X38" s="4" t="n">
        <v>16741</v>
      </c>
      <c r="Y38" s="4" t="n">
        <v>29749</v>
      </c>
      <c r="Z38" s="4" t="n">
        <v>20719</v>
      </c>
      <c r="AA38" s="4" t="n">
        <f aca="false">+AA36*0.15</f>
        <v>22277.96706</v>
      </c>
      <c r="AB38" s="4" t="n">
        <f aca="false">+AB36*0.15</f>
        <v>23970.1609182</v>
      </c>
      <c r="AC38" s="4" t="n">
        <f aca="false">+AC36*0.15</f>
        <v>26164.080142644</v>
      </c>
      <c r="AD38" s="4" t="n">
        <f aca="false">+AD36*0.15</f>
        <v>28133.6050229592</v>
      </c>
      <c r="AE38" s="4" t="n">
        <f aca="false">+AE36*0.15</f>
        <v>30245.3902003987</v>
      </c>
    </row>
    <row r="39" s="17" customFormat="true" ht="10.5" hidden="false" customHeight="true" outlineLevel="0" collapsed="false">
      <c r="A39" s="16" t="s">
        <v>82</v>
      </c>
      <c r="B39" s="17" t="n">
        <f aca="false">+B38/B$16</f>
        <v>0.0535814342462889</v>
      </c>
      <c r="C39" s="17" t="n">
        <f aca="false">+C38/C$16</f>
        <v>0.0487256619615881</v>
      </c>
      <c r="D39" s="17" t="n">
        <f aca="false">+D38/D$16</f>
        <v>0.0471688214789512</v>
      </c>
      <c r="E39" s="17" t="n">
        <f aca="false">+E38/E$16</f>
        <v>0.156683872326978</v>
      </c>
      <c r="F39" s="17" t="n">
        <f aca="false">+F38/F$16</f>
        <v>0.0503137570394208</v>
      </c>
      <c r="G39" s="17" t="n">
        <f aca="false">+G38/G$16</f>
        <v>0.0475046927924999</v>
      </c>
      <c r="H39" s="17" t="n">
        <f aca="false">+H38/H$16</f>
        <v>0.0488855332000511</v>
      </c>
      <c r="I39" s="17" t="n">
        <f aca="false">+I38/I$16</f>
        <v>0.0520953291823629</v>
      </c>
      <c r="J39" s="17" t="n">
        <f aca="false">+J38/J$16</f>
        <v>0.0619452405464815</v>
      </c>
      <c r="K39" s="17" t="n">
        <f aca="false">+K38/K$16</f>
        <v>0.0562580946898834</v>
      </c>
      <c r="L39" s="17" t="n">
        <f aca="false">+L38/L$16</f>
        <v>0.0592046939689445</v>
      </c>
      <c r="Q39" s="17" t="n">
        <f aca="false">+Q38/Q$16</f>
        <v>0.0735980705434104</v>
      </c>
      <c r="R39" s="17" t="n">
        <f aca="false">+R38/R$16</f>
        <v>0.0693615633456443</v>
      </c>
      <c r="S39" s="17" t="n">
        <f aca="false">+S38/S$16</f>
        <v>0.0503473333458838</v>
      </c>
      <c r="T39" s="17" t="n">
        <f aca="false">+T38/T$16</f>
        <v>0.0402845787818921</v>
      </c>
      <c r="U39" s="17" t="n">
        <f aca="false">+U38/U$16</f>
        <v>0.0352621896799811</v>
      </c>
      <c r="V39" s="17" t="n">
        <f aca="false">+V38/V$16</f>
        <v>0.0397111123867945</v>
      </c>
      <c r="W39" s="17" t="n">
        <f aca="false">+W38/W$16</f>
        <v>0.0489440262928324</v>
      </c>
      <c r="X39" s="17" t="n">
        <f aca="false">+X38/X$16</f>
        <v>0.0436776810989212</v>
      </c>
      <c r="Y39" s="17" t="n">
        <f aca="false">+Y38/Y$16</f>
        <v>0.0760775889626248</v>
      </c>
      <c r="Z39" s="17" t="n">
        <f aca="false">+Z38/Z$16</f>
        <v>0.0497860203142534</v>
      </c>
      <c r="AA39" s="17" t="n">
        <f aca="false">+AA38/AA$16</f>
        <v>0.049566747671641</v>
      </c>
      <c r="AB39" s="17" t="n">
        <f aca="false">+AB38/AB$16</f>
        <v>0.0503129695015481</v>
      </c>
      <c r="AC39" s="17" t="n">
        <f aca="false">+AC38/AC$16</f>
        <v>0.0518094051901397</v>
      </c>
      <c r="AD39" s="17" t="n">
        <f aca="false">+AD38/AD$16</f>
        <v>0.0525560426322073</v>
      </c>
      <c r="AE39" s="17" t="n">
        <f aca="false">+AE38/AE$16</f>
        <v>0.0533028704077427</v>
      </c>
    </row>
    <row r="40" s="18" customFormat="true" ht="12.8" hidden="false" customHeight="false" outlineLevel="0" collapsed="false">
      <c r="A40" s="2" t="s">
        <v>91</v>
      </c>
      <c r="B40" s="18" t="n">
        <f aca="false">+B36-B38</f>
        <v>33916</v>
      </c>
      <c r="C40" s="18" t="n">
        <f aca="false">+C36-C38</f>
        <v>23636</v>
      </c>
      <c r="D40" s="18" t="n">
        <f aca="false">+D36-D38</f>
        <v>21448</v>
      </c>
      <c r="E40" s="18" t="n">
        <f aca="false">+E36-E38</f>
        <v>14736</v>
      </c>
      <c r="F40" s="18" t="n">
        <f aca="false">+F36-F38</f>
        <v>36330</v>
      </c>
      <c r="G40" s="18" t="n">
        <f aca="false">+G36-G38</f>
        <v>24780</v>
      </c>
      <c r="H40" s="18" t="n">
        <f aca="false">+H36-H38</f>
        <v>23434</v>
      </c>
      <c r="I40" s="18" t="n">
        <f aca="false">+I36-I38</f>
        <v>27466</v>
      </c>
      <c r="J40" s="18" t="n">
        <f aca="false">+J36-J38</f>
        <v>42097</v>
      </c>
      <c r="K40" s="18" t="n">
        <f aca="false">+K36-K38</f>
        <v>29578</v>
      </c>
      <c r="L40" s="18" t="n">
        <f aca="false">+L36-L38</f>
        <v>29789</v>
      </c>
      <c r="Q40" s="18" t="n">
        <f aca="false">+Q36-Q38</f>
        <v>43165</v>
      </c>
      <c r="R40" s="18" t="n">
        <f aca="false">+R36-R38</f>
        <v>46015</v>
      </c>
      <c r="S40" s="18" t="n">
        <f aca="false">+S36-S38</f>
        <v>59531</v>
      </c>
      <c r="T40" s="18" t="n">
        <f aca="false">+T36-T38</f>
        <v>55256</v>
      </c>
      <c r="U40" s="18" t="n">
        <f aca="false">+U36-U38</f>
        <v>57411</v>
      </c>
      <c r="V40" s="18" t="n">
        <f aca="false">+V36-V38</f>
        <v>94680</v>
      </c>
      <c r="W40" s="18" t="n">
        <f aca="false">+W36-W38</f>
        <v>99803</v>
      </c>
      <c r="X40" s="18" t="n">
        <f aca="false">+X36-X38</f>
        <v>96995</v>
      </c>
      <c r="Y40" s="18" t="n">
        <f aca="false">+Y36-Y38</f>
        <v>93736</v>
      </c>
      <c r="Z40" s="18" t="n">
        <f aca="false">+Z36-Z38</f>
        <v>112010</v>
      </c>
      <c r="AA40" s="18" t="n">
        <f aca="false">+AA36-AA38</f>
        <v>126241.81334</v>
      </c>
      <c r="AB40" s="18" t="n">
        <f aca="false">+AB36-AB38</f>
        <v>135830.9118698</v>
      </c>
      <c r="AC40" s="18" t="n">
        <f aca="false">+AC36-AC38</f>
        <v>148263.120808316</v>
      </c>
      <c r="AD40" s="18" t="n">
        <f aca="false">+AD36-AD38</f>
        <v>159423.761796769</v>
      </c>
      <c r="AE40" s="18" t="n">
        <f aca="false">+AE36-AE38</f>
        <v>171390.544468926</v>
      </c>
    </row>
    <row r="41" s="17" customFormat="true" ht="10.5" hidden="false" customHeight="true" outlineLevel="0" collapsed="false">
      <c r="A41" s="16" t="s">
        <v>82</v>
      </c>
      <c r="B41" s="17" t="n">
        <f aca="false">+B40/B$16</f>
        <v>0.283637884173113</v>
      </c>
      <c r="C41" s="17" t="n">
        <f aca="false">+C40/C$16</f>
        <v>0.260443180941677</v>
      </c>
      <c r="D41" s="17" t="n">
        <f aca="false">+D40/D$16</f>
        <v>0.250043718012987</v>
      </c>
      <c r="E41" s="17" t="n">
        <f aca="false">+E40/E$16</f>
        <v>0.155230169598652</v>
      </c>
      <c r="F41" s="17" t="n">
        <f aca="false">+F40/F$16</f>
        <v>0.292276749798874</v>
      </c>
      <c r="G41" s="17" t="n">
        <f aca="false">+G40/G$16</f>
        <v>0.25986010759341</v>
      </c>
      <c r="H41" s="17" t="n">
        <f aca="false">+H40/H$16</f>
        <v>0.249202433110724</v>
      </c>
      <c r="I41" s="17" t="n">
        <f aca="false">+I40/I$16</f>
        <v>0.268049889719517</v>
      </c>
      <c r="J41" s="17" t="n">
        <f aca="false">+J40/J$16</f>
        <v>0.292836472912435</v>
      </c>
      <c r="K41" s="17" t="n">
        <f aca="false">+K40/K$16</f>
        <v>0.266027485969204</v>
      </c>
      <c r="L41" s="17" t="n">
        <f aca="false">+L40/L$16</f>
        <v>0.272252026650338</v>
      </c>
      <c r="Q41" s="17" t="n">
        <f aca="false">+Q40/Q$16</f>
        <v>0.202541327064476</v>
      </c>
      <c r="R41" s="17" t="n">
        <f aca="false">+R40/R$16</f>
        <v>0.20280037726203</v>
      </c>
      <c r="S41" s="17" t="n">
        <f aca="false">+S40/S$16</f>
        <v>0.224142020745872</v>
      </c>
      <c r="T41" s="17" t="n">
        <f aca="false">+T40/T$16</f>
        <v>0.212380945059845</v>
      </c>
      <c r="U41" s="17" t="n">
        <f aca="false">+U40/U$16</f>
        <v>0.209136112780722</v>
      </c>
      <c r="V41" s="17" t="n">
        <f aca="false">+V40/V$16</f>
        <v>0.258817933556942</v>
      </c>
      <c r="W41" s="17" t="n">
        <f aca="false">+W40/W$16</f>
        <v>0.253096407051997</v>
      </c>
      <c r="X41" s="17" t="n">
        <f aca="false">+X40/X$16</f>
        <v>0.253062342643203</v>
      </c>
      <c r="Y41" s="17" t="n">
        <f aca="false">+Y40/Y$16</f>
        <v>0.239712557699439</v>
      </c>
      <c r="Z41" s="17" t="n">
        <f aca="false">+Z40/Z$16</f>
        <v>0.269150641218182</v>
      </c>
      <c r="AA41" s="17" t="n">
        <f aca="false">+AA40/AA$16</f>
        <v>0.280878236805965</v>
      </c>
      <c r="AB41" s="17" t="n">
        <f aca="false">+AB40/AB$16</f>
        <v>0.285106827175439</v>
      </c>
      <c r="AC41" s="17" t="n">
        <f aca="false">+AC40/AC$16</f>
        <v>0.293586629410792</v>
      </c>
      <c r="AD41" s="17" t="n">
        <f aca="false">+AD40/AD$16</f>
        <v>0.297817574915841</v>
      </c>
      <c r="AE41" s="17" t="n">
        <f aca="false">+AE40/AE$16</f>
        <v>0.302049598977209</v>
      </c>
    </row>
    <row r="42" s="19" customFormat="true" ht="12.8" hidden="false" customHeight="false" outlineLevel="0" collapsed="false">
      <c r="A42" s="19" t="s">
        <v>92</v>
      </c>
      <c r="B42" s="19" t="n">
        <f aca="false">+B40/B44</f>
        <v>2.17736288587507</v>
      </c>
      <c r="C42" s="19" t="n">
        <f aca="false">+C40/C44</f>
        <v>1.52838310762912</v>
      </c>
      <c r="D42" s="19" t="n">
        <f aca="false">+D40/D44</f>
        <v>1.39742998760439</v>
      </c>
      <c r="E42" s="19" t="n">
        <f aca="false">+E40/E44</f>
        <v>0.966748154036518</v>
      </c>
      <c r="F42" s="19" t="n">
        <f aca="false">+F40/F44</f>
        <v>2.39788289315495</v>
      </c>
      <c r="G42" s="19" t="n">
        <f aca="false">+G40/G44</f>
        <v>1.64584093405657</v>
      </c>
      <c r="H42" s="19" t="n">
        <f aca="false">+H40/H44</f>
        <v>1.56768259197324</v>
      </c>
      <c r="I42" s="19" t="n">
        <f aca="false">+I40/I44</f>
        <v>1.84786884531206</v>
      </c>
      <c r="J42" s="19" t="n">
        <f aca="false">+J40/J44</f>
        <v>2.8424029780243</v>
      </c>
      <c r="K42" s="19" t="n">
        <f aca="false">+K40/K44</f>
        <v>2.00857361733325</v>
      </c>
      <c r="L42" s="19" t="n">
        <f aca="false">+L40/L44</f>
        <v>2.02444144879575</v>
      </c>
      <c r="Q42" s="19" t="n">
        <f aca="false">+Q40/Q44</f>
        <v>7.84778086792293</v>
      </c>
      <c r="R42" s="19" t="n">
        <f aca="false">+R40/R44</f>
        <v>8.76193805729658</v>
      </c>
      <c r="S42" s="19" t="n">
        <f aca="false">+S40/S44</f>
        <v>11.9059404504982</v>
      </c>
      <c r="T42" s="19" t="n">
        <f aca="false">+T40/T44</f>
        <v>2.97144746371074</v>
      </c>
      <c r="U42" s="19" t="n">
        <f aca="false">+U40/U44</f>
        <v>3.27534796186309</v>
      </c>
      <c r="V42" s="19" t="n">
        <f aca="false">+V40/V44</f>
        <v>5.61402044089272</v>
      </c>
      <c r="W42" s="19" t="n">
        <f aca="false">+W40/W44</f>
        <v>6.11320020147228</v>
      </c>
      <c r="X42" s="19" t="n">
        <f aca="false">+X40/X44</f>
        <v>6.1340529138032</v>
      </c>
      <c r="Y42" s="19" t="n">
        <f aca="false">+Y40/Y44</f>
        <v>6.08355542979194</v>
      </c>
      <c r="Z42" s="19" t="n">
        <f aca="false">+Z40/Z44</f>
        <v>7.46499579431694</v>
      </c>
      <c r="AA42" s="19" t="n">
        <f aca="false">+AA40/AA44</f>
        <v>8.58519014929465</v>
      </c>
      <c r="AB42" s="19" t="n">
        <f aca="false">+AB40/AB44</f>
        <v>9.42582201846354</v>
      </c>
      <c r="AC42" s="19" t="n">
        <f aca="false">+AC40/AC44</f>
        <v>10.4985103440533</v>
      </c>
      <c r="AD42" s="19" t="n">
        <f aca="false">+AD40/AD44</f>
        <v>11.5191788153823</v>
      </c>
      <c r="AE42" s="19" t="n">
        <f aca="false">+AE40/AE44</f>
        <v>12.6365712411233</v>
      </c>
    </row>
    <row r="43" s="17" customFormat="true" ht="10.5" hidden="false" customHeight="true" outlineLevel="0" collapsed="false">
      <c r="F43" s="17" t="n">
        <f aca="false">+F42/B42-1</f>
        <v>0.101278481740652</v>
      </c>
      <c r="G43" s="17" t="n">
        <f aca="false">+G42/C42-1</f>
        <v>0.0768510367859665</v>
      </c>
      <c r="H43" s="17" t="n">
        <f aca="false">+H42/D42-1</f>
        <v>0.121832654142994</v>
      </c>
      <c r="I43" s="17" t="n">
        <f aca="false">+I42/E42-1</f>
        <v>0.911427332544213</v>
      </c>
      <c r="J43" s="17" t="n">
        <f aca="false">+J42/F42-1</f>
        <v>0.185380231093974</v>
      </c>
      <c r="K43" s="17" t="n">
        <f aca="false">+K42/G42-1</f>
        <v>0.220393523924959</v>
      </c>
      <c r="L43" s="17" t="n">
        <f aca="false">+L42/H42-1</f>
        <v>0.291359270786812</v>
      </c>
      <c r="R43" s="17" t="n">
        <f aca="false">+R42/Q42-1</f>
        <v>0.11648607482278</v>
      </c>
      <c r="S43" s="17" t="n">
        <f aca="false">+S42/R42-1</f>
        <v>0.358824996552378</v>
      </c>
      <c r="T43" s="17" t="n">
        <f aca="false">+T42/S42-1</f>
        <v>-0.750423120620732</v>
      </c>
      <c r="U43" s="17" t="n">
        <f aca="false">+U42/T42-1</f>
        <v>0.102273555855785</v>
      </c>
      <c r="V43" s="17" t="n">
        <f aca="false">+V42/U42-1</f>
        <v>0.714022603479158</v>
      </c>
      <c r="W43" s="17" t="n">
        <f aca="false">+W42/V42-1</f>
        <v>0.0889166268336894</v>
      </c>
      <c r="X43" s="17" t="n">
        <f aca="false">+X42/W42-1</f>
        <v>0.00341109593071942</v>
      </c>
      <c r="Y43" s="17" t="n">
        <f aca="false">+Y42/X42-1</f>
        <v>-0.00823231959698734</v>
      </c>
      <c r="Z43" s="17" t="n">
        <f aca="false">+Z42/Y42-1</f>
        <v>0.227077796934325</v>
      </c>
      <c r="AA43" s="17" t="n">
        <f aca="false">+AA42/Z42-1</f>
        <v>0.150059609655843</v>
      </c>
      <c r="AB43" s="17" t="n">
        <f aca="false">+AB42/AA42-1</f>
        <v>0.0979165114051606</v>
      </c>
      <c r="AC43" s="17" t="n">
        <f aca="false">+AC42/AB42-1</f>
        <v>0.113803159394329</v>
      </c>
      <c r="AD43" s="17" t="n">
        <f aca="false">+AD42/AC42-1</f>
        <v>0.0972203139188343</v>
      </c>
      <c r="AE43" s="17" t="n">
        <f aca="false">+AE42/AD42-1</f>
        <v>0.0970027849770774</v>
      </c>
    </row>
    <row r="44" customFormat="false" ht="12.8" hidden="false" customHeight="false" outlineLevel="0" collapsed="false">
      <c r="A44" s="1" t="s">
        <v>93</v>
      </c>
      <c r="B44" s="4" t="n">
        <v>15576.641</v>
      </c>
      <c r="C44" s="4" t="n">
        <v>15464.709</v>
      </c>
      <c r="D44" s="4" t="n">
        <v>15348.175</v>
      </c>
      <c r="E44" s="4" t="n">
        <v>15242.853</v>
      </c>
      <c r="F44" s="4" t="n">
        <v>15150.865</v>
      </c>
      <c r="G44" s="4" t="n">
        <v>15056.133</v>
      </c>
      <c r="H44" s="4" t="n">
        <v>14948.179</v>
      </c>
      <c r="I44" s="4" t="n">
        <v>14863.609</v>
      </c>
      <c r="J44" s="4" t="n">
        <v>14810.356</v>
      </c>
      <c r="K44" s="4" t="n">
        <v>14725.873</v>
      </c>
      <c r="L44" s="4" t="n">
        <v>14714.676</v>
      </c>
      <c r="Q44" s="4" t="n">
        <v>5500.281</v>
      </c>
      <c r="R44" s="4" t="n">
        <v>5251.692</v>
      </c>
      <c r="S44" s="4" t="n">
        <v>5000.109</v>
      </c>
      <c r="T44" s="4" t="n">
        <v>18595.651</v>
      </c>
      <c r="U44" s="4" t="n">
        <v>17528.214</v>
      </c>
      <c r="V44" s="4" t="n">
        <v>16864.919</v>
      </c>
      <c r="W44" s="4" t="n">
        <v>16325.819</v>
      </c>
      <c r="X44" s="4" t="n">
        <v>15812.547</v>
      </c>
      <c r="Y44" s="4" t="n">
        <v>15408.095</v>
      </c>
      <c r="Z44" s="4" t="n">
        <v>15004.697</v>
      </c>
      <c r="AA44" s="4" t="n">
        <f aca="false">+Z44*0.98</f>
        <v>14704.60306</v>
      </c>
      <c r="AB44" s="4" t="n">
        <f aca="false">+AA44*0.98</f>
        <v>14410.5109988</v>
      </c>
      <c r="AC44" s="4" t="n">
        <f aca="false">+AB44*0.98</f>
        <v>14122.300778824</v>
      </c>
      <c r="AD44" s="4" t="n">
        <f aca="false">+AC44*0.98</f>
        <v>13839.8547632475</v>
      </c>
      <c r="AE44" s="4" t="n">
        <f aca="false">+AD44*0.98</f>
        <v>13563.0576679826</v>
      </c>
    </row>
    <row r="45" s="17" customFormat="true" ht="10.5" hidden="false" customHeight="true" outlineLevel="0" collapsed="false">
      <c r="C45" s="17" t="n">
        <f aca="false">+C44/B44-1</f>
        <v>-0.00718588815136712</v>
      </c>
      <c r="D45" s="17" t="n">
        <f aca="false">+D44/C44-1</f>
        <v>-0.00753547965241386</v>
      </c>
      <c r="E45" s="17" t="n">
        <f aca="false">+E44/D44-1</f>
        <v>-0.00686218394043592</v>
      </c>
      <c r="F45" s="17" t="n">
        <f aca="false">+F44/E44-1</f>
        <v>-0.00603482825688861</v>
      </c>
      <c r="G45" s="17" t="n">
        <f aca="false">+G44/F44-1</f>
        <v>-0.00625258029822062</v>
      </c>
      <c r="H45" s="17" t="n">
        <f aca="false">+H44/G44-1</f>
        <v>-0.00717010137994922</v>
      </c>
      <c r="I45" s="17" t="n">
        <f aca="false">+I44/H44-1</f>
        <v>-0.00565754531036855</v>
      </c>
      <c r="J45" s="17" t="n">
        <f aca="false">+J44/I44-1</f>
        <v>-0.00358277723801803</v>
      </c>
      <c r="K45" s="17" t="n">
        <f aca="false">+K44/J44-1</f>
        <v>-0.00570431932898841</v>
      </c>
      <c r="L45" s="17" t="n">
        <f aca="false">+L44/K44-1</f>
        <v>-0.000760362390739067</v>
      </c>
      <c r="R45" s="17" t="n">
        <f aca="false">+R44/Q44-1</f>
        <v>-0.0451956909110643</v>
      </c>
      <c r="S45" s="17" t="n">
        <f aca="false">+S44/R44-1</f>
        <v>-0.0479051322887937</v>
      </c>
      <c r="T45" s="17" t="n">
        <f aca="false">+T44/S44-1</f>
        <v>2.71904912472908</v>
      </c>
      <c r="U45" s="17" t="n">
        <f aca="false">+U44/T44-1</f>
        <v>-0.0574025077153794</v>
      </c>
      <c r="V45" s="17" t="n">
        <f aca="false">+V44/U44-1</f>
        <v>-0.0378415621808359</v>
      </c>
      <c r="W45" s="17" t="n">
        <f aca="false">+W44/V44-1</f>
        <v>-0.031965762776566</v>
      </c>
      <c r="X45" s="17" t="n">
        <f aca="false">+X44/W44-1</f>
        <v>-0.0314392803203318</v>
      </c>
      <c r="Y45" s="17" t="n">
        <f aca="false">+Y44/X44-1</f>
        <v>-0.0255779160688029</v>
      </c>
      <c r="Z45" s="17" t="n">
        <f aca="false">+Z44/Y44-1</f>
        <v>-0.0261809133445763</v>
      </c>
      <c r="AA45" s="17" t="n">
        <f aca="false">+AA44/Z44-1</f>
        <v>-0.02</v>
      </c>
      <c r="AB45" s="17" t="n">
        <f aca="false">+AB44/AA44-1</f>
        <v>-0.02</v>
      </c>
      <c r="AC45" s="17" t="n">
        <f aca="false">+AC44/AB44-1</f>
        <v>-0.0200000000000001</v>
      </c>
      <c r="AD45" s="17" t="n">
        <f aca="false">+AD44/AC44-1</f>
        <v>-0.02</v>
      </c>
      <c r="AE45" s="17" t="n">
        <f aca="false">+AE44/AD44-1</f>
        <v>-0.02</v>
      </c>
    </row>
    <row r="48" s="20" customFormat="true" ht="12.8" hidden="false" customHeight="false" outlineLevel="0" collapsed="false">
      <c r="A48" s="20" t="s">
        <v>77</v>
      </c>
      <c r="F48" s="20" t="n">
        <f aca="false">+F16/B16-1</f>
        <v>0.0395149487769182</v>
      </c>
      <c r="G48" s="20" t="n">
        <f aca="false">+G16/C16-1</f>
        <v>0.0507531431467829</v>
      </c>
      <c r="H48" s="20" t="n">
        <f aca="false">+H16/D16-1</f>
        <v>0.0962845518029309</v>
      </c>
      <c r="I48" s="20" t="n">
        <f aca="false">+I16/E16-1</f>
        <v>0.0793848098598968</v>
      </c>
      <c r="J48" s="20" t="n">
        <f aca="false">+J16/F16-1</f>
        <v>0.156524537409493</v>
      </c>
      <c r="K48" s="20" t="n">
        <f aca="false">+K16/G16-1</f>
        <v>0.16595182415923</v>
      </c>
      <c r="L48" s="20" t="n">
        <f aca="false">+L16/H16-1</f>
        <v>0.163565017652814</v>
      </c>
      <c r="R48" s="20" t="n">
        <f aca="false">+R16/Q16-1</f>
        <v>0.064664010848501</v>
      </c>
      <c r="S48" s="20" t="n">
        <f aca="false">+S16/R16-1</f>
        <v>0.170547999541644</v>
      </c>
      <c r="T48" s="20" t="n">
        <f aca="false">+T16/S16-1</f>
        <v>-0.0204107758052674</v>
      </c>
      <c r="U48" s="20" t="n">
        <f aca="false">+U16/T16-1</f>
        <v>0.0551208037697848</v>
      </c>
      <c r="V48" s="20" t="n">
        <f aca="false">+V16/U16-1</f>
        <v>0.332593847330747</v>
      </c>
      <c r="W48" s="20" t="n">
        <f aca="false">+W16/V16-1</f>
        <v>0.0779378760418461</v>
      </c>
      <c r="X48" s="20" t="n">
        <f aca="false">+X16/W16-1</f>
        <v>-0.0280046053031994</v>
      </c>
      <c r="Y48" s="20" t="n">
        <f aca="false">+Y16/X16-1</f>
        <v>0.0202199407751411</v>
      </c>
      <c r="Z48" s="20" t="n">
        <f aca="false">+Z16/Y16-1</f>
        <v>0.0642551178283275</v>
      </c>
      <c r="AA48" s="20" t="n">
        <f aca="false">+AA16/Z16-1</f>
        <v>0.0800000000000001</v>
      </c>
      <c r="AB48" s="20" t="n">
        <f aca="false">+AB16/AA16-1</f>
        <v>0.0600000000000001</v>
      </c>
      <c r="AC48" s="20" t="n">
        <f aca="false">+AC16/AB16-1</f>
        <v>0.0600000000000001</v>
      </c>
      <c r="AD48" s="20" t="n">
        <f aca="false">+AD16/AC16-1</f>
        <v>0.0600000000000001</v>
      </c>
      <c r="AE48" s="20" t="n">
        <f aca="false">+AE16/AD16-1</f>
        <v>0.0600000000000001</v>
      </c>
    </row>
    <row r="49" s="20" customFormat="true" ht="12.8" hidden="false" customHeight="false" outlineLevel="0" collapsed="false">
      <c r="A49" s="20" t="s">
        <v>94</v>
      </c>
      <c r="B49" s="20" t="n">
        <f aca="false">+B24/B16</f>
        <v>0.458749738657746</v>
      </c>
      <c r="C49" s="20" t="n">
        <f aca="false">+C24/C16</f>
        <v>0.465780745540092</v>
      </c>
      <c r="D49" s="20" t="n">
        <f aca="false">+D24/D16</f>
        <v>0.462571551814589</v>
      </c>
      <c r="E49" s="20" t="n">
        <f aca="false">+E24/E16</f>
        <v>0.462224797219004</v>
      </c>
      <c r="F49" s="20" t="n">
        <f aca="false">+F24/F16</f>
        <v>0.468825422365245</v>
      </c>
      <c r="G49" s="20" t="n">
        <f aca="false">+G24/G16</f>
        <v>0.470506192388762</v>
      </c>
      <c r="H49" s="20" t="n">
        <f aca="false">+H24/H16</f>
        <v>0.464907056871836</v>
      </c>
      <c r="I49" s="20" t="n">
        <f aca="false">+I24/I16</f>
        <v>0.471776003747585</v>
      </c>
      <c r="J49" s="20" t="n">
        <f aca="false">+J24/J16</f>
        <v>0.481586855505162</v>
      </c>
      <c r="K49" s="20" t="n">
        <f aca="false">+K24/K16</f>
        <v>0.492705785005037</v>
      </c>
      <c r="L49" s="20" t="n">
        <f aca="false">+L24/L16</f>
        <v>0.500562069879452</v>
      </c>
      <c r="Q49" s="20" t="n">
        <f aca="false">+Q24/Q16</f>
        <v>0.383549881051254</v>
      </c>
      <c r="R49" s="20" t="n">
        <f aca="false">+R24/R16</f>
        <v>0.378363846309796</v>
      </c>
      <c r="S49" s="20" t="n">
        <f aca="false">+S24/S16</f>
        <v>0.383437188200079</v>
      </c>
      <c r="T49" s="20" t="n">
        <f aca="false">+T24/T16</f>
        <v>0.378177681090347</v>
      </c>
      <c r="U49" s="20" t="n">
        <f aca="false">+U24/U16</f>
        <v>0.382332477278109</v>
      </c>
      <c r="V49" s="20" t="n">
        <f aca="false">+V24/V16</f>
        <v>0.417793596251678</v>
      </c>
      <c r="W49" s="20" t="n">
        <f aca="false">+W24/W16</f>
        <v>0.433096305613601</v>
      </c>
      <c r="X49" s="20" t="n">
        <f aca="false">+X24/X16</f>
        <v>0.441311295772076</v>
      </c>
      <c r="Y49" s="20" t="n">
        <f aca="false">+Y24/Y16</f>
        <v>0.462063498152339</v>
      </c>
      <c r="Z49" s="20" t="n">
        <f aca="false">+Z24/Z16</f>
        <v>0.469051641071605</v>
      </c>
      <c r="AA49" s="20" t="n">
        <f aca="false">+AA24/AA16</f>
        <v>0.47</v>
      </c>
      <c r="AB49" s="20" t="n">
        <f aca="false">+AB24/AB16</f>
        <v>0.475</v>
      </c>
      <c r="AC49" s="20" t="n">
        <f aca="false">+AC24/AC16</f>
        <v>0.48</v>
      </c>
      <c r="AD49" s="20" t="n">
        <f aca="false">+AD24/AD16</f>
        <v>0.485</v>
      </c>
      <c r="AE49" s="20" t="n">
        <f aca="false">+AE24/AE16</f>
        <v>0.49</v>
      </c>
    </row>
    <row r="50" s="20" customFormat="true" ht="12.8" hidden="false" customHeight="false" outlineLevel="0" collapsed="false">
      <c r="A50" s="20" t="s">
        <v>95</v>
      </c>
      <c r="B50" s="20" t="n">
        <f aca="false">+B32/B16</f>
        <v>0.337637466025507</v>
      </c>
      <c r="C50" s="20" t="n">
        <f aca="false">+C32/C16</f>
        <v>0.307427853624674</v>
      </c>
      <c r="D50" s="20" t="n">
        <f aca="false">+D32/D16</f>
        <v>0.295557084066824</v>
      </c>
      <c r="E50" s="20" t="n">
        <f aca="false">+E32/E16</f>
        <v>0.311713894448541</v>
      </c>
      <c r="F50" s="20" t="n">
        <f aca="false">+F32/F16</f>
        <v>0.344585679806919</v>
      </c>
      <c r="G50" s="20" t="n">
        <f aca="false">+G32/G16</f>
        <v>0.310290586100945</v>
      </c>
      <c r="H50" s="20" t="n">
        <f aca="false">+H32/H16</f>
        <v>0.299906418818325</v>
      </c>
      <c r="I50" s="20" t="n">
        <f aca="false">+I32/I16</f>
        <v>0.31646594968087</v>
      </c>
      <c r="J50" s="20" t="n">
        <f aca="false">+J32/J16</f>
        <v>0.353738278750104</v>
      </c>
      <c r="K50" s="20" t="n">
        <f aca="false">+K32/K16</f>
        <v>0.322753273852353</v>
      </c>
      <c r="L50" s="20" t="n">
        <f aca="false">+L32/L16</f>
        <v>0.326229013772997</v>
      </c>
      <c r="Q50" s="20" t="n">
        <f aca="false">+Q32/Q16</f>
        <v>0.269814233496155</v>
      </c>
      <c r="R50" s="20" t="n">
        <f aca="false">+R32/R16</f>
        <v>0.260063993512503</v>
      </c>
      <c r="S50" s="20" t="n">
        <f aca="false">+S32/S16</f>
        <v>0.26694026619477</v>
      </c>
      <c r="T50" s="20" t="n">
        <f aca="false">+T32/T16</f>
        <v>0.245720171884969</v>
      </c>
      <c r="U50" s="20" t="n">
        <f aca="false">+U32/U16</f>
        <v>0.241473143544069</v>
      </c>
      <c r="V50" s="20" t="n">
        <f aca="false">+V32/V16</f>
        <v>0.297823775275616</v>
      </c>
      <c r="W50" s="20" t="n">
        <f aca="false">+W32/W16</f>
        <v>0.302887443955286</v>
      </c>
      <c r="X50" s="20" t="n">
        <f aca="false">+X32/X16</f>
        <v>0.298214122650247</v>
      </c>
      <c r="Y50" s="20" t="n">
        <f aca="false">+Y32/Y16</f>
        <v>0.315102228700756</v>
      </c>
      <c r="Z50" s="20" t="n">
        <f aca="false">+Z32/Z16</f>
        <v>0.319707997625919</v>
      </c>
      <c r="AA50" s="20" t="n">
        <f aca="false">+AA32/AA16</f>
        <v>0.33</v>
      </c>
      <c r="AB50" s="20" t="n">
        <f aca="false">+AB32/AB16</f>
        <v>0.335</v>
      </c>
      <c r="AC50" s="20" t="n">
        <f aca="false">+AC32/AC16</f>
        <v>0.345</v>
      </c>
      <c r="AD50" s="20" t="n">
        <f aca="false">+AD32/AD16</f>
        <v>0.35</v>
      </c>
      <c r="AE50" s="20" t="n">
        <f aca="false">+AE32/AE16</f>
        <v>0.355</v>
      </c>
    </row>
    <row r="51" s="20" customFormat="true" ht="12.8" hidden="false" customHeight="false" outlineLevel="0" collapsed="false">
      <c r="A51" s="20" t="s">
        <v>96</v>
      </c>
      <c r="B51" s="20" t="n">
        <f aca="false">+B40/B16</f>
        <v>0.283637884173113</v>
      </c>
      <c r="C51" s="20" t="n">
        <f aca="false">+C40/C16</f>
        <v>0.260443180941677</v>
      </c>
      <c r="D51" s="20" t="n">
        <f aca="false">+D40/D16</f>
        <v>0.250043718012987</v>
      </c>
      <c r="E51" s="20" t="n">
        <f aca="false">+E40/E16</f>
        <v>0.155230169598652</v>
      </c>
      <c r="F51" s="20" t="n">
        <f aca="false">+F40/F16</f>
        <v>0.292276749798874</v>
      </c>
      <c r="G51" s="20" t="n">
        <f aca="false">+G40/G16</f>
        <v>0.25986010759341</v>
      </c>
      <c r="H51" s="20" t="n">
        <f aca="false">+H40/H16</f>
        <v>0.249202433110724</v>
      </c>
      <c r="I51" s="20" t="n">
        <f aca="false">+I40/I16</f>
        <v>0.268049889719517</v>
      </c>
      <c r="J51" s="20" t="n">
        <f aca="false">+J40/J16</f>
        <v>0.292836472912435</v>
      </c>
      <c r="K51" s="20" t="n">
        <f aca="false">+K40/K16</f>
        <v>0.266027485969204</v>
      </c>
      <c r="L51" s="20" t="n">
        <f aca="false">+L40/L16</f>
        <v>0.272252026650338</v>
      </c>
      <c r="Q51" s="20" t="n">
        <f aca="false">+Q40/Q16</f>
        <v>0.202541327064476</v>
      </c>
      <c r="R51" s="20" t="n">
        <f aca="false">+R40/R16</f>
        <v>0.20280037726203</v>
      </c>
      <c r="S51" s="20" t="n">
        <f aca="false">+S40/S16</f>
        <v>0.224142020745872</v>
      </c>
      <c r="T51" s="20" t="n">
        <f aca="false">+T40/T16</f>
        <v>0.212380945059845</v>
      </c>
      <c r="U51" s="20" t="n">
        <f aca="false">+U40/U16</f>
        <v>0.209136112780722</v>
      </c>
      <c r="V51" s="20" t="n">
        <f aca="false">+V40/V16</f>
        <v>0.258817933556942</v>
      </c>
      <c r="W51" s="20" t="n">
        <f aca="false">+W40/W16</f>
        <v>0.253096407051997</v>
      </c>
      <c r="X51" s="20" t="n">
        <f aca="false">+X40/X16</f>
        <v>0.253062342643203</v>
      </c>
      <c r="Y51" s="20" t="n">
        <f aca="false">+Y40/Y16</f>
        <v>0.239712557699439</v>
      </c>
      <c r="Z51" s="20" t="n">
        <f aca="false">+Z40/Z16</f>
        <v>0.269150641218182</v>
      </c>
      <c r="AA51" s="20" t="n">
        <f aca="false">+AA40/AA16</f>
        <v>0.280878236805965</v>
      </c>
      <c r="AB51" s="20" t="n">
        <f aca="false">+AB40/AB16</f>
        <v>0.285106827175439</v>
      </c>
      <c r="AC51" s="20" t="n">
        <f aca="false">+AC40/AC16</f>
        <v>0.293586629410792</v>
      </c>
      <c r="AD51" s="20" t="n">
        <f aca="false">+AD40/AD16</f>
        <v>0.297817574915841</v>
      </c>
      <c r="AE51" s="20" t="n">
        <f aca="false">+AE40/AE16</f>
        <v>0.302049598977209</v>
      </c>
    </row>
    <row r="52" s="20" customFormat="true" ht="12.8" hidden="false" customHeight="false" outlineLevel="0" collapsed="false">
      <c r="A52" s="20" t="s">
        <v>97</v>
      </c>
      <c r="B52" s="20" t="n">
        <f aca="false">+B38/B36</f>
        <v>0.158891947523746</v>
      </c>
      <c r="C52" s="20" t="n">
        <f aca="false">+C38/C36</f>
        <v>0.157602109915176</v>
      </c>
      <c r="D52" s="20" t="n">
        <f aca="false">+D38/D36</f>
        <v>0.158704008786381</v>
      </c>
      <c r="E52" s="20" t="n">
        <f aca="false">+E38/E36</f>
        <v>0.502330293819656</v>
      </c>
      <c r="F52" s="20" t="n">
        <f aca="false">+F38/F36</f>
        <v>0.146862671425888</v>
      </c>
      <c r="G52" s="20" t="n">
        <f aca="false">+G38/G36</f>
        <v>0.154554759467758</v>
      </c>
      <c r="H52" s="20" t="n">
        <f aca="false">+H38/H36</f>
        <v>0.163997003317755</v>
      </c>
      <c r="I52" s="20" t="n">
        <f aca="false">+I38/I36</f>
        <v>0.162724058041702</v>
      </c>
      <c r="J52" s="20" t="n">
        <f aca="false">+J38/J36</f>
        <v>0.174600996039371</v>
      </c>
      <c r="K52" s="20" t="n">
        <f aca="false">+K38/K36</f>
        <v>0.174559763346636</v>
      </c>
      <c r="L52" s="20" t="n">
        <f aca="false">+L38/L36</f>
        <v>0.178619681804395</v>
      </c>
      <c r="Q52" s="20" t="n">
        <f aca="false">+Q38/Q36</f>
        <v>0.266525063721325</v>
      </c>
      <c r="R52" s="20" t="n">
        <f aca="false">+R38/R36</f>
        <v>0.254854015189545</v>
      </c>
      <c r="S52" s="20" t="n">
        <f aca="false">+S38/S36</f>
        <v>0.183421807058694</v>
      </c>
      <c r="T52" s="20" t="n">
        <f aca="false">+T38/T36</f>
        <v>0.159438368042351</v>
      </c>
      <c r="U52" s="20" t="n">
        <f aca="false">+U38/U36</f>
        <v>0.144281647314841</v>
      </c>
      <c r="V52" s="20" t="n">
        <f aca="false">+V38/V36</f>
        <v>0.133022608440851</v>
      </c>
      <c r="W52" s="20" t="n">
        <f aca="false">+W38/W36</f>
        <v>0.162044616844244</v>
      </c>
      <c r="X52" s="20" t="n">
        <f aca="false">+X38/X36</f>
        <v>0.147191742280369</v>
      </c>
      <c r="Y52" s="20" t="n">
        <f aca="false">+Y38/Y36</f>
        <v>0.2409118516419</v>
      </c>
      <c r="Z52" s="20" t="n">
        <f aca="false">+Z38/Z36</f>
        <v>0.15610002335586</v>
      </c>
      <c r="AA52" s="20" t="n">
        <f aca="false">+AA38/AA36</f>
        <v>0.15</v>
      </c>
      <c r="AB52" s="20" t="n">
        <f aca="false">+AB38/AB36</f>
        <v>0.15</v>
      </c>
      <c r="AC52" s="20" t="n">
        <f aca="false">+AC38/AC36</f>
        <v>0.15</v>
      </c>
      <c r="AD52" s="20" t="n">
        <f aca="false">+AD38/AD36</f>
        <v>0.15</v>
      </c>
      <c r="AE52" s="20" t="n">
        <f aca="false">+AE38/AE36</f>
        <v>0.15</v>
      </c>
    </row>
    <row r="54" s="20" customFormat="true" ht="12.8" hidden="false" customHeight="false" outlineLevel="0" collapsed="false">
      <c r="A54" s="20" t="s">
        <v>98</v>
      </c>
      <c r="I54" s="20" t="n">
        <f aca="false">+(SUM(F32:I32)-SUM(B32:E32))/(SUM(F16:I16)-SUM(B16:E16))</f>
        <v>0.39138740746637</v>
      </c>
      <c r="J54" s="20" t="n">
        <f aca="false">+(SUM(G32:J32)-SUM(C32:F32))/(SUM(G16:J16)-SUM(C16:F16))</f>
        <v>0.386255864716361</v>
      </c>
      <c r="K54" s="20" t="n">
        <f aca="false">+(SUM(H32:K32)-SUM(D32:G32))/(SUM(H16:K16)-SUM(D16:G16))</f>
        <v>0.391612499021067</v>
      </c>
      <c r="L54" s="20" t="n">
        <f aca="false">+(SUM(I32:L32)-SUM(E32:H32))/(SUM(I16:L16)-SUM(E16:H16))</f>
        <v>0.423468160417884</v>
      </c>
      <c r="R54" s="20" t="n">
        <f aca="false">+(R32-Q32)/(R16-Q16)</f>
        <v>0.109280893984471</v>
      </c>
      <c r="S54" s="20" t="n">
        <f aca="false">+(S32-R32)/(S16-R16)</f>
        <v>0.307258960642944</v>
      </c>
      <c r="T54" s="20" t="n">
        <f aca="false">+(T32-S32)/(T16-S16)</f>
        <v>1.28537170263789</v>
      </c>
      <c r="U54" s="20" t="n">
        <f aca="false">+(U32-T32)/(U16-T16)</f>
        <v>0.164423680357018</v>
      </c>
      <c r="V54" s="20" t="n">
        <f aca="false">+(V32-U32)/(V16-U16)</f>
        <v>0.467251538849094</v>
      </c>
      <c r="W54" s="20" t="n">
        <f aca="false">+(W32-V32)/(W16-V16)</f>
        <v>0.36785801971169</v>
      </c>
      <c r="X54" s="20" t="n">
        <f aca="false">+(X32-W32)/(X16-W16)</f>
        <v>0.465091007878294</v>
      </c>
      <c r="Y54" s="20" t="n">
        <f aca="false">+(Y32-X32)/(Y16-X16)</f>
        <v>1.15032258064516</v>
      </c>
      <c r="Z54" s="20" t="n">
        <f aca="false">+(Z32-Y32)/(Z16-Y16)</f>
        <v>0.39138740746637</v>
      </c>
      <c r="AA54" s="20" t="n">
        <f aca="false">+(AA32-Z32)/(AA16-Z16)</f>
        <v>0.458650029676014</v>
      </c>
      <c r="AB54" s="20" t="n">
        <f aca="false">+(AB32-AA32)/(AB16-AA16)</f>
        <v>0.418333333333333</v>
      </c>
      <c r="AC54" s="20" t="n">
        <f aca="false">+(AC32-AB32)/(AC16-AB16)</f>
        <v>0.511666666666666</v>
      </c>
      <c r="AD54" s="20" t="n">
        <f aca="false">+(AD32-AC32)/(AD16-AC16)</f>
        <v>0.433333333333334</v>
      </c>
      <c r="AE54" s="20" t="n">
        <f aca="false">+(AE32-AD32)/(AE16-AD16)</f>
        <v>0.438333333333333</v>
      </c>
    </row>
    <row r="55" s="20" customFormat="true" ht="12.8" hidden="false" customHeight="false" outlineLevel="0" collapsed="false">
      <c r="AK55" s="1"/>
      <c r="AL55" s="21" t="s">
        <v>99</v>
      </c>
      <c r="AM55" s="21"/>
    </row>
    <row r="56" s="22" customFormat="true" ht="12.8" hidden="false" customHeight="false" outlineLevel="0" collapsed="false">
      <c r="A56" s="22" t="s">
        <v>100</v>
      </c>
      <c r="B56" s="22" t="n">
        <f aca="false">+B4/B$16</f>
        <v>0.582914488814552</v>
      </c>
      <c r="C56" s="22" t="n">
        <f aca="false">+C4/C$16</f>
        <v>0.506462596277809</v>
      </c>
      <c r="D56" s="22" t="n">
        <f aca="false">+D4/D$16</f>
        <v>0.458118143558297</v>
      </c>
      <c r="E56" s="22" t="n">
        <f aca="false">+E4/E$16</f>
        <v>0.486906141367323</v>
      </c>
      <c r="F56" s="22" t="n">
        <f aca="false">+F4/F$16</f>
        <v>0.556218825422365</v>
      </c>
      <c r="G56" s="22" t="n">
        <f aca="false">+G4/G$16</f>
        <v>0.49120691282417</v>
      </c>
      <c r="H56" s="22" t="n">
        <f aca="false">+H4/H$16</f>
        <v>0.474095027436301</v>
      </c>
      <c r="I56" s="22" t="n">
        <f aca="false">+I4/I$16</f>
        <v>0.478451388753343</v>
      </c>
      <c r="J56" s="22" t="n">
        <f aca="false">+J4/J$16</f>
        <v>0.593150894571357</v>
      </c>
      <c r="K56" s="22" t="n">
        <f aca="false">+K4/K$16</f>
        <v>0.51260972801842</v>
      </c>
      <c r="L56" s="22" t="n">
        <f aca="false">+L4/L$16</f>
        <v>0.495827887805368</v>
      </c>
      <c r="Q56" s="22" t="n">
        <f aca="false">+Q4/Q$16</f>
        <v>0.406410563211757</v>
      </c>
      <c r="R56" s="22" t="n">
        <f aca="false">+R4/R$16</f>
        <v>0.42574196334917</v>
      </c>
      <c r="S56" s="22" t="n">
        <f aca="false">+S4/S$16</f>
        <v>0.627643592688115</v>
      </c>
      <c r="T56" s="22" t="n">
        <f aca="false">+T4/T$16</f>
        <v>0.547252992228278</v>
      </c>
      <c r="U56" s="22" t="n">
        <f aca="false">+U4/U$16</f>
        <v>0.501906999617507</v>
      </c>
      <c r="V56" s="22" t="n">
        <f aca="false">+V4/V$16</f>
        <v>0.52477878283404</v>
      </c>
      <c r="W56" s="22" t="n">
        <f aca="false">+W4/W$16</f>
        <v>0.521111866263618</v>
      </c>
      <c r="X56" s="22" t="n">
        <f aca="false">+X4/X$16</f>
        <v>0.523325984580665</v>
      </c>
      <c r="Y56" s="22" t="n">
        <f aca="false">+Y4/Y$16</f>
        <v>0.514488472898845</v>
      </c>
      <c r="Z56" s="22" t="n">
        <f aca="false">+Z4/Z$16</f>
        <v>0.503617590307597</v>
      </c>
      <c r="AK56" s="1"/>
      <c r="AL56" s="22" t="s">
        <v>101</v>
      </c>
      <c r="AM56" s="22" t="n">
        <f aca="false">+SUM(I147:L147)/SUM(I40:L40)</f>
        <v>0.759063057473047</v>
      </c>
    </row>
    <row r="57" s="22" customFormat="true" ht="12.8" hidden="false" customHeight="false" outlineLevel="0" collapsed="false">
      <c r="A57" s="22" t="s">
        <v>102</v>
      </c>
      <c r="B57" s="22" t="n">
        <f aca="false">+B6/B$16</f>
        <v>0.065063767509931</v>
      </c>
      <c r="C57" s="22" t="n">
        <f aca="false">+C6/C$16</f>
        <v>0.0821019690809119</v>
      </c>
      <c r="D57" s="22" t="n">
        <f aca="false">+D6/D$16</f>
        <v>0.0817118808072094</v>
      </c>
      <c r="E57" s="22" t="n">
        <f aca="false">+E6/E$16</f>
        <v>0.0815758980301275</v>
      </c>
      <c r="F57" s="22" t="n">
        <f aca="false">+F6/F$16</f>
        <v>0.0723008849557522</v>
      </c>
      <c r="G57" s="22" t="n">
        <f aca="false">+G6/G$16</f>
        <v>0.0833586761606141</v>
      </c>
      <c r="H57" s="22" t="n">
        <f aca="false">+H6/H$16</f>
        <v>0.0855629758815773</v>
      </c>
      <c r="I57" s="22" t="n">
        <f aca="false">+I6/I$16</f>
        <v>0.0851599554974333</v>
      </c>
      <c r="J57" s="22" t="n">
        <f aca="false">+J6/J$16</f>
        <v>0.0583349564539915</v>
      </c>
      <c r="K57" s="22" t="n">
        <f aca="false">+K6/K$16</f>
        <v>0.0755414448122032</v>
      </c>
      <c r="L57" s="22" t="n">
        <f aca="false">+L6/L$16</f>
        <v>0.0946105267006041</v>
      </c>
      <c r="Q57" s="22" t="n">
        <f aca="false">+Q6/Q$16</f>
        <v>0.234387683760563</v>
      </c>
      <c r="R57" s="22" t="n">
        <f aca="false">+R6/R$16</f>
        <v>0.242126418038061</v>
      </c>
      <c r="S57" s="22" t="n">
        <f aca="false">+S6/S$16</f>
        <v>0.0708032907245995</v>
      </c>
      <c r="T57" s="22" t="n">
        <f aca="false">+T6/T$16</f>
        <v>0.0989337904633053</v>
      </c>
      <c r="U57" s="22" t="n">
        <f aca="false">+U6/U$16</f>
        <v>0.104263883576489</v>
      </c>
      <c r="V57" s="22" t="n">
        <f aca="false">+V6/V$16</f>
        <v>0.0961956388030081</v>
      </c>
      <c r="W57" s="22" t="n">
        <f aca="false">+W6/W$16</f>
        <v>0.101887261366172</v>
      </c>
      <c r="X57" s="22" t="n">
        <f aca="false">+X6/X$16</f>
        <v>0.0765931356562349</v>
      </c>
      <c r="Y57" s="22" t="n">
        <f aca="false">+Y6/Y$16</f>
        <v>0.0766785581853287</v>
      </c>
      <c r="Z57" s="22" t="n">
        <f aca="false">+Z6/Z$16</f>
        <v>0.0809974985642576</v>
      </c>
      <c r="AK57" s="1"/>
      <c r="AL57" s="22" t="s">
        <v>103</v>
      </c>
      <c r="AM57" s="22" t="n">
        <f aca="false">+(1-AM56)*L64</f>
        <v>0.268295389711198</v>
      </c>
    </row>
    <row r="58" s="22" customFormat="true" ht="12.8" hidden="false" customHeight="false" outlineLevel="0" collapsed="false">
      <c r="A58" s="22" t="s">
        <v>104</v>
      </c>
      <c r="B58" s="22" t="n">
        <f aca="false">+B8/B$16</f>
        <v>0.058733012753502</v>
      </c>
      <c r="C58" s="22" t="n">
        <f aca="false">+C8/C$16</f>
        <v>0.0612541734157549</v>
      </c>
      <c r="D58" s="22" t="n">
        <f aca="false">+D8/D$16</f>
        <v>0.0834955757370857</v>
      </c>
      <c r="E58" s="22" t="n">
        <f aca="false">+E8/E$16</f>
        <v>0.0732118403033815</v>
      </c>
      <c r="F58" s="22" t="n">
        <f aca="false">+F8/F$16</f>
        <v>0.0650683829444891</v>
      </c>
      <c r="G58" s="22" t="n">
        <f aca="false">+G8/G$16</f>
        <v>0.0671357711385396</v>
      </c>
      <c r="H58" s="22" t="n">
        <f aca="false">+H8/H$16</f>
        <v>0.0699838359777107</v>
      </c>
      <c r="I58" s="22" t="n">
        <f aca="false">+I8/I$16</f>
        <v>0.0678468955555989</v>
      </c>
      <c r="J58" s="22" t="n">
        <f aca="false">+J8/J$16</f>
        <v>0.0597888088149364</v>
      </c>
      <c r="K58" s="22" t="n">
        <f aca="false">+K8/K$16</f>
        <v>0.062185206504533</v>
      </c>
      <c r="L58" s="22" t="n">
        <f aca="false">+L8/L$16</f>
        <v>0.0565817011981685</v>
      </c>
      <c r="Q58" s="22" t="n">
        <f aca="false">+Q8/Q$16</f>
        <v>0.227536986725601</v>
      </c>
      <c r="R58" s="22" t="n">
        <f aca="false">+R8/R$16</f>
        <v>0.197286886618657</v>
      </c>
      <c r="S58" s="22" t="n">
        <f aca="false">+S8/S$16</f>
        <v>0.0959506014796965</v>
      </c>
      <c r="T58" s="22" t="n">
        <f aca="false">+T8/T$16</f>
        <v>0.081791416513564</v>
      </c>
      <c r="U58" s="22" t="n">
        <f aca="false">+U8/U$16</f>
        <v>0.0864215070214742</v>
      </c>
      <c r="V58" s="22" t="n">
        <f aca="false">+V8/V$16</f>
        <v>0.087098193905696</v>
      </c>
      <c r="W58" s="22" t="n">
        <f aca="false">+W8/W$16</f>
        <v>0.0742833377289972</v>
      </c>
      <c r="X58" s="22" t="n">
        <f aca="false">+X8/X$16</f>
        <v>0.0738353966369673</v>
      </c>
      <c r="Y58" s="22" t="n">
        <f aca="false">+Y8/Y$16</f>
        <v>0.0682649890674748</v>
      </c>
      <c r="Z58" s="22" t="n">
        <f aca="false">+Z8/Z$16</f>
        <v>0.0673369200862166</v>
      </c>
      <c r="AK58" s="1"/>
      <c r="AL58" s="22" t="s">
        <v>105</v>
      </c>
      <c r="AM58" s="23" t="n">
        <f aca="false">+(SUM(I147:L147)*(1+0.07))/(Main!H9-0.07)</f>
        <v>3172508.60987996</v>
      </c>
    </row>
    <row r="59" s="22" customFormat="true" ht="12.8" hidden="false" customHeight="false" outlineLevel="0" collapsed="false">
      <c r="A59" s="22" t="s">
        <v>106</v>
      </c>
      <c r="B59" s="22" t="n">
        <f aca="false">+B10/B$16</f>
        <v>0.0999623667154506</v>
      </c>
      <c r="C59" s="22" t="n">
        <f aca="false">+C10/C$16</f>
        <v>0.0871927098828689</v>
      </c>
      <c r="D59" s="22" t="n">
        <f aca="false">+D10/D$16</f>
        <v>0.0943959336418854</v>
      </c>
      <c r="E59" s="22" t="n">
        <f aca="false">+E10/E$16</f>
        <v>0.0952491309385863</v>
      </c>
      <c r="F59" s="22" t="n">
        <f aca="false">+F10/F$16</f>
        <v>0.0945052292839903</v>
      </c>
      <c r="G59" s="22" t="n">
        <f aca="false">+G10/G$16</f>
        <v>0.0788808607472813</v>
      </c>
      <c r="H59" s="22" t="n">
        <f aca="false">+H10/H$16</f>
        <v>0.0787358033093709</v>
      </c>
      <c r="I59" s="22" t="n">
        <f aca="false">+I10/I$16</f>
        <v>0.0879608845861066</v>
      </c>
      <c r="J59" s="22" t="n">
        <f aca="false">+J10/J$16</f>
        <v>0.0799479673891872</v>
      </c>
      <c r="K59" s="22" t="n">
        <f aca="false">+K10/K$16</f>
        <v>0.0710623830767017</v>
      </c>
      <c r="L59" s="22" t="n">
        <f aca="false">+L10/L$16</f>
        <v>0.0720454773938236</v>
      </c>
      <c r="Q59" s="22" t="n">
        <f aca="false">+Q10/Q$16</f>
        <v>0.0794305475396144</v>
      </c>
      <c r="R59" s="22" t="n">
        <f aca="false">+R10/R$16</f>
        <v>0.078154060414812</v>
      </c>
      <c r="S59" s="22" t="n">
        <f aca="false">+S10/S$16</f>
        <v>0.140025226378509</v>
      </c>
      <c r="T59" s="22" t="n">
        <f aca="false">+T10/T$16</f>
        <v>0.0940985648066294</v>
      </c>
      <c r="U59" s="22" t="n">
        <f aca="false">+U10/U$16</f>
        <v>0.111542174380271</v>
      </c>
      <c r="V59" s="22" t="n">
        <f aca="false">+V10/V$16</f>
        <v>0.104880309006962</v>
      </c>
      <c r="W59" s="22" t="n">
        <f aca="false">+W10/W$16</f>
        <v>0.104585522712057</v>
      </c>
      <c r="X59" s="22" t="n">
        <f aca="false">+X10/X$16</f>
        <v>0.103956585830387</v>
      </c>
      <c r="Y59" s="22" t="n">
        <f aca="false">+Y10/Y$16</f>
        <v>0.0946334727070467</v>
      </c>
      <c r="Z59" s="22" t="n">
        <f aca="false">+Z10/Z$16</f>
        <v>0.0857504667664678</v>
      </c>
      <c r="AK59" s="1"/>
      <c r="AL59" s="22" t="s">
        <v>107</v>
      </c>
      <c r="AM59" s="23" t="n">
        <f aca="false">+(AM56*(1+0.07))/(Main!H9-0.07)</f>
        <v>24.6064423321179</v>
      </c>
    </row>
    <row r="60" s="22" customFormat="true" ht="12.8" hidden="false" customHeight="false" outlineLevel="0" collapsed="false">
      <c r="A60" s="22" t="s">
        <v>108</v>
      </c>
      <c r="B60" s="22" t="n">
        <f aca="false">+B14/B$16</f>
        <v>0.193326364206565</v>
      </c>
      <c r="C60" s="22" t="n">
        <f aca="false">+C14/C$16</f>
        <v>0.262988551342655</v>
      </c>
      <c r="D60" s="22" t="n">
        <f aca="false">+D14/D$16</f>
        <v>0.282278466255523</v>
      </c>
      <c r="E60" s="22" t="n">
        <f aca="false">+E14/E$16</f>
        <v>0.263056989360582</v>
      </c>
      <c r="F60" s="22" t="n">
        <f aca="false">+F14/F$16</f>
        <v>0.211906677393403</v>
      </c>
      <c r="G60" s="22" t="n">
        <f aca="false">+G14/G$16</f>
        <v>0.279417779129395</v>
      </c>
      <c r="H60" s="22" t="n">
        <f aca="false">+H14/H$16</f>
        <v>0.29162235739504</v>
      </c>
      <c r="I60" s="22" t="n">
        <f aca="false">+I14/I$16</f>
        <v>0.280580875607519</v>
      </c>
      <c r="J60" s="22" t="n">
        <f aca="false">+J14/J$16</f>
        <v>0.208777372770528</v>
      </c>
      <c r="K60" s="22" t="n">
        <f aca="false">+K14/K$16</f>
        <v>0.278601237588142</v>
      </c>
      <c r="L60" s="22" t="n">
        <f aca="false">+L14/L$16</f>
        <v>0.280934406902035</v>
      </c>
      <c r="Q60" s="22" t="n">
        <f aca="false">+Q14/Q$16</f>
        <v>0.0522342187624638</v>
      </c>
      <c r="R60" s="22" t="n">
        <f aca="false">+R14/R$16</f>
        <v>0.0566906715792999</v>
      </c>
      <c r="S60" s="22" t="n">
        <f aca="false">+S14/S$16</f>
        <v>0.06557728872908</v>
      </c>
      <c r="T60" s="22" t="n">
        <f aca="false">+T14/T$16</f>
        <v>0.177923235988223</v>
      </c>
      <c r="U60" s="22" t="n">
        <f aca="false">+U14/U$16</f>
        <v>0.195865435404258</v>
      </c>
      <c r="V60" s="22" t="n">
        <f aca="false">+V14/V$16</f>
        <v>0.187047075450293</v>
      </c>
      <c r="W60" s="22" t="n">
        <f aca="false">+W14/W$16</f>
        <v>0.198132011929155</v>
      </c>
      <c r="X60" s="22" t="n">
        <f aca="false">+X14/X$16</f>
        <v>0.222288897295746</v>
      </c>
      <c r="Y60" s="22" t="n">
        <f aca="false">+Y14/Y$16</f>
        <v>0.245934507141305</v>
      </c>
      <c r="Z60" s="22" t="n">
        <f aca="false">+Z14/Z$16</f>
        <v>0.262297524275461</v>
      </c>
      <c r="AK60" s="1"/>
    </row>
    <row r="61" s="20" customFormat="true" ht="12.8" hidden="false" customHeight="false" outlineLevel="0" collapsed="false">
      <c r="AK61" s="1"/>
    </row>
    <row r="62" s="20" customFormat="true" ht="12.8" hidden="false" customHeight="false" outlineLevel="0" collapsed="false">
      <c r="AK62" s="1"/>
    </row>
    <row r="63" s="20" customFormat="true" ht="12.8" hidden="false" customHeight="false" outlineLevel="0" collapsed="false">
      <c r="A63" s="20" t="s">
        <v>109</v>
      </c>
      <c r="C63" s="20" t="e">
        <f aca="false">+(C40*4)/AVERAGE(B92:C92)</f>
        <v>#DIV/0!</v>
      </c>
      <c r="D63" s="20" t="e">
        <f aca="false">+(D40*4)/AVERAGE(C92:D92)</f>
        <v>#DIV/0!</v>
      </c>
      <c r="E63" s="20" t="n">
        <f aca="false">+(E40*4)/AVERAGE(D92:E92)</f>
        <v>0.322998520466875</v>
      </c>
      <c r="F63" s="20" t="n">
        <f aca="false">+(F40*4)/AVERAGE(E92:F92)</f>
        <v>0.409875714469047</v>
      </c>
      <c r="G63" s="20" t="n">
        <f aca="false">+(G40*4)/AVERAGE(F92:G92)</f>
        <v>0.293538423267481</v>
      </c>
      <c r="H63" s="20" t="n">
        <f aca="false">+(H40*4)/AVERAGE(G92:H92)</f>
        <v>0.282879250612619</v>
      </c>
      <c r="I63" s="20" t="n">
        <f aca="false">+(I40*4)/AVERAGE(H92:I92)</f>
        <v>0.318107062611475</v>
      </c>
      <c r="J63" s="20" t="n">
        <f aca="false">+(J40*4)/AVERAGE(I92:J92)</f>
        <v>0.456003617958724</v>
      </c>
      <c r="K63" s="20" t="n">
        <f aca="false">+(K40*4)/AVERAGE(J92:K92)</f>
        <v>0.315339315199386</v>
      </c>
      <c r="L63" s="20" t="n">
        <f aca="false">+(L40*4)/AVERAGE(K92:L92)</f>
        <v>0.315917852237959</v>
      </c>
      <c r="R63" s="20" t="n">
        <f aca="false">+R40/AVERAGE(Q92:R92)</f>
        <v>0.132036355549817</v>
      </c>
      <c r="S63" s="20" t="n">
        <f aca="false">+S40/AVERAGE(R92:S92)</f>
        <v>0.160667922552507</v>
      </c>
      <c r="T63" s="20" t="n">
        <f aca="false">+T40/AVERAGE(S92:T92)</f>
        <v>0.156923553158649</v>
      </c>
      <c r="U63" s="20" t="n">
        <f aca="false">+U40/AVERAGE(T92:U92)</f>
        <v>0.173341344557098</v>
      </c>
      <c r="V63" s="20" t="n">
        <f aca="false">+V40/AVERAGE(U92:V92)</f>
        <v>0.280579057327861</v>
      </c>
      <c r="W63" s="20" t="n">
        <f aca="false">+W40/AVERAGE(V92:W92)</f>
        <v>0.283629150402767</v>
      </c>
      <c r="X63" s="20" t="n">
        <f aca="false">+X40/AVERAGE(W92:X92)</f>
        <v>0.27503126160791</v>
      </c>
      <c r="Y63" s="20" t="n">
        <f aca="false">+Y40/AVERAGE(X92:Y92)</f>
        <v>0.261262077336764</v>
      </c>
      <c r="Z63" s="20" t="n">
        <f aca="false">+Z40/AVERAGE(Y92:Z92)</f>
        <v>0.3093254683308</v>
      </c>
      <c r="AK63" s="1"/>
    </row>
    <row r="64" s="20" customFormat="true" ht="12.8" hidden="false" customHeight="false" outlineLevel="0" collapsed="false">
      <c r="A64" s="20" t="s">
        <v>110</v>
      </c>
      <c r="C64" s="20" t="e">
        <f aca="false">+(C40*4)/AVERAGE(B106:C106)</f>
        <v>#DIV/0!</v>
      </c>
      <c r="D64" s="20" t="e">
        <f aca="false">+(D40*4)/AVERAGE(C106:D106)</f>
        <v>#DIV/0!</v>
      </c>
      <c r="E64" s="20" t="n">
        <f aca="false">+(E40*4)/AVERAGE(D106:E106)</f>
        <v>2.07002633889377</v>
      </c>
      <c r="F64" s="20" t="n">
        <f aca="false">+(F40*4)/AVERAGE(E106:F106)</f>
        <v>2.34940343389272</v>
      </c>
      <c r="G64" s="20" t="n">
        <f aca="false">+(G40*4)/AVERAGE(F106:G106)</f>
        <v>1.48434341165371</v>
      </c>
      <c r="H64" s="20" t="n">
        <f aca="false">+(H40*4)/AVERAGE(G106:H106)</f>
        <v>1.41353882345845</v>
      </c>
      <c r="I64" s="20" t="n">
        <f aca="false">+(I40*4)/AVERAGE(H106:I106)</f>
        <v>1.57440009171485</v>
      </c>
      <c r="J64" s="20" t="n">
        <f aca="false">+(J40*4)/AVERAGE(I106:J106)</f>
        <v>2.07985276952626</v>
      </c>
      <c r="K64" s="20" t="n">
        <f aca="false">+(K40*4)/AVERAGE(J106:K106)</f>
        <v>1.21544475321166</v>
      </c>
      <c r="L64" s="20" t="n">
        <f aca="false">+(L40*4)/AVERAGE(K106:L106)</f>
        <v>1.11355023807188</v>
      </c>
      <c r="R64" s="20" t="n">
        <f aca="false">+R40/AVERAGE(Q106:R106)</f>
        <v>0.350863146978986</v>
      </c>
      <c r="S64" s="20" t="n">
        <f aca="false">+S40/AVERAGE(R106:S106)</f>
        <v>0.493635828420276</v>
      </c>
      <c r="T64" s="20" t="n">
        <f aca="false">+T40/AVERAGE(S106:T106)</f>
        <v>0.559172211399803</v>
      </c>
      <c r="U64" s="20" t="n">
        <f aca="false">+U40/AVERAGE(T106:U106)</f>
        <v>0.736855615522342</v>
      </c>
      <c r="V64" s="20" t="n">
        <f aca="false">+V40/AVERAGE(U106:V106)</f>
        <v>1.47443334449384</v>
      </c>
      <c r="W64" s="20" t="n">
        <f aca="false">+W40/AVERAGE(V106:W106)</f>
        <v>1.75459292206536</v>
      </c>
      <c r="X64" s="20" t="n">
        <f aca="false">+X40/AVERAGE(W106:X106)</f>
        <v>1.71949511602758</v>
      </c>
      <c r="Y64" s="20" t="n">
        <f aca="false">+Y40/AVERAGE(X106:Y106)</f>
        <v>1.57412507556929</v>
      </c>
      <c r="Z64" s="20" t="n">
        <f aca="false">+Z40/AVERAGE(Y106:Z106)</f>
        <v>1.71422449744802</v>
      </c>
      <c r="AK64" s="1"/>
    </row>
    <row r="65" s="20" customFormat="true" ht="12.8" hidden="false" customHeight="false" outlineLevel="0" collapsed="false">
      <c r="A65" s="20" t="s">
        <v>111</v>
      </c>
      <c r="C65" s="20" t="e">
        <f aca="false">+(C16*4)/AVERAGE(B92:C92)</f>
        <v>#DIV/0!</v>
      </c>
      <c r="D65" s="20" t="e">
        <f aca="false">+(D16*4)/AVERAGE(C92:D92)</f>
        <v>#DIV/0!</v>
      </c>
      <c r="E65" s="20" t="n">
        <f aca="false">+(E16*4)/AVERAGE(D92:E92)</f>
        <v>2.08077154912598</v>
      </c>
      <c r="F65" s="20" t="n">
        <f aca="false">+(F16*4)/AVERAGE(E92:F92)</f>
        <v>1.40235483921009</v>
      </c>
      <c r="G65" s="20" t="n">
        <f aca="false">+(G16*4)/AVERAGE(F92:G92)</f>
        <v>1.12960171526891</v>
      </c>
      <c r="H65" s="20" t="n">
        <f aca="false">+(H16*4)/AVERAGE(G92:H92)</f>
        <v>1.13513839765334</v>
      </c>
      <c r="I65" s="20" t="n">
        <f aca="false">+(I16*4)/AVERAGE(H92:I92)</f>
        <v>1.18674573208867</v>
      </c>
      <c r="J65" s="20" t="n">
        <f aca="false">+(J16*4)/AVERAGE(I92:J92)</f>
        <v>1.55719543205631</v>
      </c>
      <c r="K65" s="20" t="n">
        <f aca="false">+(K16*4)/AVERAGE(J92:K92)</f>
        <v>1.18536366289568</v>
      </c>
      <c r="L65" s="20" t="n">
        <f aca="false">+(L16*4)/AVERAGE(K92:L92)</f>
        <v>1.16038751345533</v>
      </c>
      <c r="R65" s="20" t="n">
        <f aca="false">+R16/AVERAGE(Q92:R92)</f>
        <v>0.651065630806092</v>
      </c>
      <c r="S65" s="20" t="n">
        <f aca="false">+S16/AVERAGE(R92:S92)</f>
        <v>0.716813036742758</v>
      </c>
      <c r="T65" s="20" t="n">
        <f aca="false">+T16/AVERAGE(S92:T92)</f>
        <v>0.73887774213657</v>
      </c>
      <c r="U65" s="20" t="n">
        <f aca="false">+U16/AVERAGE(T92:U92)</f>
        <v>0.828844632580721</v>
      </c>
      <c r="V65" s="20" t="n">
        <f aca="false">+V16/AVERAGE(U92:V92)</f>
        <v>1.08407888692972</v>
      </c>
      <c r="W65" s="20" t="n">
        <f aca="false">+W16/AVERAGE(V92:W92)</f>
        <v>1.12063681071734</v>
      </c>
      <c r="X65" s="20" t="n">
        <f aca="false">+X16/AVERAGE(W92:X92)</f>
        <v>1.08681228006998</v>
      </c>
      <c r="Y65" s="20" t="n">
        <f aca="false">+Y16/AVERAGE(X92:Y92)</f>
        <v>1.08989733305647</v>
      </c>
      <c r="Z65" s="20" t="n">
        <f aca="false">+Z16/AVERAGE(Y92:Z92)</f>
        <v>1.14926521048133</v>
      </c>
      <c r="AK65" s="1"/>
    </row>
    <row r="66" s="24" customFormat="true" ht="12.8" hidden="false" customHeight="false" outlineLevel="0" collapsed="false">
      <c r="A66" s="24" t="s">
        <v>112</v>
      </c>
      <c r="C66" s="24" t="e">
        <f aca="false">+AVERAGE(B92:C92)/AVERAGE(B106:C106)</f>
        <v>#DIV/0!</v>
      </c>
      <c r="D66" s="24" t="e">
        <f aca="false">+AVERAGE(C92:D92)/AVERAGE(C106:D106)</f>
        <v>#DIV/0!</v>
      </c>
      <c r="E66" s="24" t="n">
        <f aca="false">+AVERAGE(D92:E92)/AVERAGE(D106:E106)</f>
        <v>6.40877963125549</v>
      </c>
      <c r="F66" s="24" t="n">
        <f aca="false">+AVERAGE(E92:F92)/AVERAGE(E106:F106)</f>
        <v>5.7319898470592</v>
      </c>
      <c r="G66" s="24" t="n">
        <f aca="false">+AVERAGE(F92:G92)/AVERAGE(F106:G106)</f>
        <v>5.05672611827426</v>
      </c>
      <c r="H66" s="24" t="n">
        <f aca="false">+AVERAGE(G92:H92)/AVERAGE(G106:H106)</f>
        <v>4.99696892012124</v>
      </c>
      <c r="I66" s="24" t="n">
        <f aca="false">+AVERAGE(H92:I92)/AVERAGE(H106:I106)</f>
        <v>4.94927738727313</v>
      </c>
      <c r="J66" s="24" t="n">
        <f aca="false">+AVERAGE(I92:J92)/AVERAGE(I106:J106)</f>
        <v>4.56104444705199</v>
      </c>
      <c r="K66" s="24" t="n">
        <f aca="false">+AVERAGE(J92:K92)/AVERAGE(J106:K106)</f>
        <v>3.85440284362624</v>
      </c>
      <c r="L66" s="24" t="n">
        <f aca="false">+AVERAGE(K92:L92)/AVERAGE(K106:L106)</f>
        <v>3.5248094724103</v>
      </c>
      <c r="R66" s="24" t="n">
        <f aca="false">+AVERAGE(Q92:R92)/AVERAGE(Q106:R106)</f>
        <v>2.65732226187208</v>
      </c>
      <c r="S66" s="24" t="n">
        <f aca="false">+AVERAGE(R92:S92)/AVERAGE(R106:S106)</f>
        <v>3.07239815252452</v>
      </c>
      <c r="T66" s="24" t="n">
        <f aca="false">+AVERAGE(S92:T92)/AVERAGE(S106:T106)</f>
        <v>3.56334151339591</v>
      </c>
      <c r="U66" s="24" t="n">
        <f aca="false">+AVERAGE(T92:U92)/AVERAGE(T106:U106)</f>
        <v>4.25089361920592</v>
      </c>
      <c r="V66" s="24" t="n">
        <f aca="false">+AVERAGE(U92:V92)/AVERAGE(U106:V106)</f>
        <v>5.25496577875714</v>
      </c>
      <c r="W66" s="24" t="n">
        <f aca="false">+AVERAGE(V92:W92)/AVERAGE(V106:W106)</f>
        <v>6.18622211283205</v>
      </c>
      <c r="X66" s="24" t="n">
        <f aca="false">+AVERAGE(W92:X92)/AVERAGE(W106:X106)</f>
        <v>6.25199879451861</v>
      </c>
      <c r="Y66" s="24" t="n">
        <f aca="false">+AVERAGE(X92:Y92)/AVERAGE(X106:Y106)</f>
        <v>6.02508060724122</v>
      </c>
      <c r="Z66" s="24" t="n">
        <f aca="false">+AVERAGE(Y92:Z92)/AVERAGE(Y106:Z106)</f>
        <v>5.54181492619545</v>
      </c>
      <c r="AK66" s="1"/>
    </row>
    <row r="67" s="20" customFormat="true" ht="12.8" hidden="false" customHeight="false" outlineLevel="0" collapsed="false">
      <c r="A67" s="20" t="s">
        <v>113</v>
      </c>
      <c r="C67" s="20" t="e">
        <f aca="false">+C64-C63</f>
        <v>#DIV/0!</v>
      </c>
      <c r="D67" s="20" t="e">
        <f aca="false">+D64-D63</f>
        <v>#DIV/0!</v>
      </c>
      <c r="E67" s="20" t="n">
        <f aca="false">+E64-E63</f>
        <v>1.74702781842689</v>
      </c>
      <c r="F67" s="20" t="n">
        <f aca="false">+F64-F63</f>
        <v>1.93952771942367</v>
      </c>
      <c r="G67" s="20" t="n">
        <f aca="false">+G64-G63</f>
        <v>1.19080498838623</v>
      </c>
      <c r="H67" s="20" t="n">
        <f aca="false">+H64-H63</f>
        <v>1.13065957284583</v>
      </c>
      <c r="I67" s="20" t="n">
        <f aca="false">+I64-I63</f>
        <v>1.25629302910338</v>
      </c>
      <c r="J67" s="20" t="n">
        <f aca="false">+J64-J63</f>
        <v>1.62384915156753</v>
      </c>
      <c r="K67" s="20" t="n">
        <f aca="false">+K64-K63</f>
        <v>0.900105438012278</v>
      </c>
      <c r="L67" s="20" t="n">
        <f aca="false">+L64-L63</f>
        <v>0.797632385833916</v>
      </c>
      <c r="R67" s="20" t="n">
        <f aca="false">+R64-R63</f>
        <v>0.218826791429169</v>
      </c>
      <c r="S67" s="20" t="n">
        <f aca="false">+S64-S63</f>
        <v>0.332967905867769</v>
      </c>
      <c r="T67" s="20" t="n">
        <f aca="false">+T64-T63</f>
        <v>0.402248658241154</v>
      </c>
      <c r="U67" s="20" t="n">
        <f aca="false">+U64-U63</f>
        <v>0.563514270965244</v>
      </c>
      <c r="V67" s="20" t="n">
        <f aca="false">+V64-V63</f>
        <v>1.19385428716598</v>
      </c>
      <c r="W67" s="20" t="n">
        <f aca="false">+W64-W63</f>
        <v>1.4709637716626</v>
      </c>
      <c r="X67" s="20" t="n">
        <f aca="false">+X64-X63</f>
        <v>1.44446385441967</v>
      </c>
      <c r="Y67" s="20" t="n">
        <f aca="false">+Y64-Y63</f>
        <v>1.31286299823253</v>
      </c>
      <c r="Z67" s="20" t="n">
        <f aca="false">+Z64-Z63</f>
        <v>1.40489902911722</v>
      </c>
      <c r="AK67" s="1"/>
    </row>
    <row r="68" s="20" customFormat="true" ht="12.8" hidden="false" customHeight="false" outlineLevel="0" collapsed="false">
      <c r="AK68" s="1"/>
    </row>
    <row r="69" s="20" customFormat="true" ht="12.8" hidden="false" customHeight="false" outlineLevel="0" collapsed="false">
      <c r="AK69" s="1"/>
    </row>
    <row r="70" s="25" customFormat="true" ht="12.8" hidden="false" customHeight="false" outlineLevel="0" collapsed="false">
      <c r="A70" s="25" t="s">
        <v>114</v>
      </c>
      <c r="B70" s="25" t="n">
        <f aca="false">+B32+B112</f>
        <v>40373</v>
      </c>
      <c r="C70" s="25" t="n">
        <f aca="false">+C32+C112</f>
        <v>33584</v>
      </c>
      <c r="D70" s="25" t="n">
        <f aca="false">+D32+D112</f>
        <v>28202</v>
      </c>
      <c r="E70" s="25" t="n">
        <f aca="false">+E32+E112</f>
        <v>32502</v>
      </c>
      <c r="F70" s="25" t="n">
        <f aca="false">+F32+F112</f>
        <v>45912</v>
      </c>
      <c r="G70" s="25" t="n">
        <f aca="false">+G32+G112</f>
        <v>32250</v>
      </c>
      <c r="H70" s="25" t="n">
        <f aca="false">+H32+H112</f>
        <v>31032</v>
      </c>
      <c r="I70" s="25" t="n">
        <f aca="false">+I32+I112</f>
        <v>35554</v>
      </c>
      <c r="J70" s="25" t="n">
        <f aca="false">+J32+J112</f>
        <v>54066</v>
      </c>
      <c r="K70" s="25" t="n">
        <f aca="false">+K32+K112</f>
        <v>39324</v>
      </c>
      <c r="L70" s="25" t="n">
        <f aca="false">+L32+L112</f>
        <v>39015</v>
      </c>
      <c r="Q70" s="25" t="n">
        <f aca="false">+Q32+Q112</f>
        <v>68007</v>
      </c>
      <c r="R70" s="25" t="n">
        <f aca="false">+R32+R112</f>
        <v>69165</v>
      </c>
      <c r="S70" s="25" t="n">
        <f aca="false">+S32+S112</f>
        <v>81801</v>
      </c>
      <c r="T70" s="25" t="n">
        <f aca="false">+T32+T112</f>
        <v>76477</v>
      </c>
      <c r="U70" s="25" t="n">
        <f aca="false">+U32+U112</f>
        <v>77344</v>
      </c>
      <c r="V70" s="25" t="n">
        <f aca="false">+V32+V112</f>
        <v>120233</v>
      </c>
      <c r="W70" s="25" t="n">
        <f aca="false">+W32+W112</f>
        <v>130541</v>
      </c>
      <c r="X70" s="25" t="n">
        <f aca="false">+X32+X112</f>
        <v>125820</v>
      </c>
      <c r="Y70" s="25" t="n">
        <f aca="false">+Y32+Y112</f>
        <v>134661</v>
      </c>
      <c r="Z70" s="25" t="n">
        <f aca="false">+Z32+Z112</f>
        <v>144748</v>
      </c>
      <c r="AA70" s="25" t="n">
        <f aca="false">+AA32+AA112</f>
        <v>161803.3968</v>
      </c>
      <c r="AB70" s="25" t="n">
        <f aca="false">+AB32+AB112</f>
        <v>173893.706172</v>
      </c>
      <c r="AC70" s="25" t="n">
        <f aca="false">+AC32+AC112</f>
        <v>189377.392338</v>
      </c>
      <c r="AD70" s="25" t="n">
        <f aca="false">+AD32+AD112</f>
        <v>203416.56968999</v>
      </c>
      <c r="AE70" s="25" t="n">
        <f aca="false">+AE32+AE112</f>
        <v>218458.689711803</v>
      </c>
      <c r="AK70" s="1"/>
    </row>
    <row r="71" customFormat="false" ht="12.8" hidden="false" customHeight="false" outlineLevel="0" collapsed="false">
      <c r="AK71" s="1"/>
      <c r="AL71" s="4" t="s">
        <v>7</v>
      </c>
      <c r="AM71" s="4" t="n">
        <f aca="false">+AI74</f>
        <v>2082861.4700727</v>
      </c>
    </row>
    <row r="72" customFormat="false" ht="12.8" hidden="false" customHeight="false" outlineLevel="0" collapsed="false">
      <c r="A72" s="1" t="s">
        <v>115</v>
      </c>
      <c r="B72" s="4" t="n">
        <f aca="false">+B32*(1-B52)</f>
        <v>33958.0554026238</v>
      </c>
      <c r="C72" s="4" t="n">
        <f aca="false">+C32*(1-C52)</f>
        <v>23502.9011333666</v>
      </c>
      <c r="D72" s="4" t="n">
        <f aca="false">+D32*(1-D52)</f>
        <v>21328.5359692477</v>
      </c>
      <c r="E72" s="4" t="n">
        <f aca="false">+E32*(1-E52)</f>
        <v>14726.5442755826</v>
      </c>
      <c r="F72" s="4" t="n">
        <f aca="false">+F32*(1-F52)</f>
        <v>36541.5780574864</v>
      </c>
      <c r="G72" s="4" t="n">
        <f aca="false">+G32*(1-G52)</f>
        <v>25015.8792221085</v>
      </c>
      <c r="H72" s="4" t="n">
        <f aca="false">+H32*(1-H52)</f>
        <v>23576.9565124327</v>
      </c>
      <c r="I72" s="4" t="n">
        <f aca="false">+I32*(1-I52)</f>
        <v>27150.3469698817</v>
      </c>
      <c r="J72" s="4" t="n">
        <f aca="false">+J32*(1-J52)</f>
        <v>41973.1901494059</v>
      </c>
      <c r="K72" s="4" t="n">
        <f aca="false">+K32*(1-K52)</f>
        <v>29620.922892306</v>
      </c>
      <c r="L72" s="4" t="n">
        <f aca="false">+L32*(1-L52)</f>
        <v>29319.1704579921</v>
      </c>
      <c r="Q72" s="4" t="n">
        <f aca="false">+Q32*(1-Q52)</f>
        <v>42176.2757858963</v>
      </c>
      <c r="R72" s="4" t="n">
        <f aca="false">+R32*(1-R52)</f>
        <v>43969.5742716953</v>
      </c>
      <c r="S72" s="4" t="n">
        <f aca="false">+S32*(1-S52)</f>
        <v>57893.7607231527</v>
      </c>
      <c r="T72" s="4" t="n">
        <f aca="false">+T32*(1-T52)</f>
        <v>53737.1051310525</v>
      </c>
      <c r="U72" s="4" t="n">
        <f aca="false">+U32*(1-U52)</f>
        <v>56723.8581627938</v>
      </c>
      <c r="V72" s="4" t="n">
        <f aca="false">+V32*(1-V52)</f>
        <v>94456.3198329777</v>
      </c>
      <c r="W72" s="4" t="n">
        <f aca="false">+W32*(1-W52)</f>
        <v>100082.877097974</v>
      </c>
      <c r="X72" s="4" t="n">
        <f aca="false">+X32*(1-X52)</f>
        <v>97476.8366656116</v>
      </c>
      <c r="Y72" s="4" t="n">
        <f aca="false">+Y32*(1-Y52)</f>
        <v>93531.8052880917</v>
      </c>
      <c r="Z72" s="4" t="n">
        <f aca="false">+Z32*(1-Z52)</f>
        <v>112280.891892503</v>
      </c>
      <c r="AA72" s="4" t="n">
        <f aca="false">+AA32*(1-AA52)</f>
        <v>126071.81334</v>
      </c>
      <c r="AB72" s="4" t="n">
        <f aca="false">+AB32*(1-AB52)</f>
        <v>135660.9118698</v>
      </c>
      <c r="AC72" s="4" t="n">
        <f aca="false">+AC32*(1-AC52)</f>
        <v>148093.120808316</v>
      </c>
      <c r="AD72" s="4" t="n">
        <f aca="false">+AD32*(1-AD52)</f>
        <v>159253.761796769</v>
      </c>
      <c r="AE72" s="4" t="n">
        <f aca="false">+AE32*(1-AE52)</f>
        <v>171220.544468926</v>
      </c>
      <c r="AH72" s="26" t="s">
        <v>116</v>
      </c>
      <c r="AI72" s="27" t="n">
        <v>0.03</v>
      </c>
      <c r="AK72" s="1"/>
      <c r="AL72" s="4" t="s">
        <v>6</v>
      </c>
      <c r="AM72" s="4" t="n">
        <f aca="false">+Main!E5</f>
        <v>82347</v>
      </c>
    </row>
    <row r="73" customFormat="false" ht="12.8" hidden="false" customHeight="false" outlineLevel="0" collapsed="false">
      <c r="A73" s="1" t="s">
        <v>117</v>
      </c>
      <c r="B73" s="4" t="n">
        <f aca="false">+B82+B83+B85+B86-B95-B96</f>
        <v>0</v>
      </c>
      <c r="C73" s="4" t="n">
        <f aca="false">+C82+C83+C85+C86-C95-C96</f>
        <v>0</v>
      </c>
      <c r="D73" s="4" t="n">
        <f aca="false">+D82+D83+D85+D86-D95-D96</f>
        <v>0</v>
      </c>
      <c r="E73" s="4" t="n">
        <f aca="false">+E82+E83+E85+E86-E95-E96</f>
        <v>-59448</v>
      </c>
      <c r="F73" s="4" t="n">
        <f aca="false">+F82+F83+F85+F86-F95-F96</f>
        <v>-43568</v>
      </c>
      <c r="G73" s="4" t="n">
        <f aca="false">+G82+G83+G85+G86-G95-G96</f>
        <v>-45796</v>
      </c>
      <c r="H73" s="4" t="n">
        <f aca="false">+H82+H83+H85+H86-H95-H96</f>
        <v>-45754</v>
      </c>
      <c r="I73" s="4" t="n">
        <f aca="false">+I82+I83+I85+I86-I95-I96</f>
        <v>-42987</v>
      </c>
      <c r="J73" s="4" t="n">
        <f aca="false">+J82+J83+J85+J86-J95-J96</f>
        <v>-47933</v>
      </c>
      <c r="K73" s="4" t="n">
        <f aca="false">+K82+K83+K85+K86-K95-K96</f>
        <v>-39396</v>
      </c>
      <c r="L73" s="4" t="n">
        <f aca="false">+L82+L83+L85+L86-L95-L96</f>
        <v>-39365</v>
      </c>
      <c r="Q73" s="4" t="n">
        <f aca="false">+Q82+Q83+Q85+Q86-Q95-Q96</f>
        <v>-19607</v>
      </c>
      <c r="R73" s="4" t="n">
        <f aca="false">+R82+R83+R85+R86-R95-R96</f>
        <v>-20329</v>
      </c>
      <c r="S73" s="4" t="n">
        <f aca="false">+S82+S83+S85+S86-S95-S96</f>
        <v>-23537</v>
      </c>
      <c r="T73" s="4" t="n">
        <f aca="false">+T82+T83+T85+T86-T95-T96</f>
        <v>-21694</v>
      </c>
      <c r="U73" s="4" t="n">
        <f aca="false">+U82+U83+U85+U86-U95-U96</f>
        <v>-32210</v>
      </c>
      <c r="V73" s="4" t="n">
        <f aca="false">+V82+V83+V85+V86-V95-V96</f>
        <v>-30059</v>
      </c>
      <c r="W73" s="4" t="n">
        <f aca="false">+W82+W83+W85+W86-W95-W96</f>
        <v>-37859</v>
      </c>
      <c r="X73" s="4" t="n">
        <f aca="false">+X82+X83+X85+X86-X95-X96</f>
        <v>-39429</v>
      </c>
      <c r="Y73" s="4" t="n">
        <f aca="false">+Y82+Y83+Y85+Y86-Y95-Y96</f>
        <v>-59448</v>
      </c>
      <c r="Z73" s="4" t="n">
        <f aca="false">+Z82+Z83+Z85+Z86-Z95-Z96</f>
        <v>-42987</v>
      </c>
      <c r="AA73" s="4" t="n">
        <f aca="false">+AA82+AA83+AA85+AA86-AA95-AA96</f>
        <v>-47707.942143179</v>
      </c>
      <c r="AB73" s="4" t="n">
        <f aca="false">+AB82+AB83+AB85+AB86-AB95-AB96</f>
        <v>-51393.2786217216</v>
      </c>
      <c r="AC73" s="4" t="n">
        <f aca="false">+AC82+AC83+AC85+AC86-AC95-AC96</f>
        <v>-55331.8121469474</v>
      </c>
      <c r="AD73" s="4" t="n">
        <f aca="false">+AD82+AD83+AD85+AD86-AD95-AD96</f>
        <v>-59539.6214687943</v>
      </c>
      <c r="AE73" s="4" t="n">
        <f aca="false">+AE82+AE83+AE85+AE86-AE95-AE96</f>
        <v>-64033.7410167639</v>
      </c>
      <c r="AH73" s="28" t="s">
        <v>118</v>
      </c>
      <c r="AI73" s="29" t="n">
        <f aca="false">+Main!H9</f>
        <v>0.103007513257454</v>
      </c>
      <c r="AK73" s="1"/>
      <c r="AL73" s="30" t="s">
        <v>5</v>
      </c>
      <c r="AM73" s="30" t="n">
        <f aca="false">+Main!E4</f>
        <v>62399</v>
      </c>
    </row>
    <row r="74" customFormat="false" ht="12.8" hidden="false" customHeight="false" outlineLevel="0" collapsed="false">
      <c r="A74" s="1" t="s">
        <v>119</v>
      </c>
      <c r="AH74" s="28" t="s">
        <v>7</v>
      </c>
      <c r="AI74" s="31" t="n">
        <f aca="false">+NPV(AI73,AA75:AD75,AE75+AI75)</f>
        <v>2082861.4700727</v>
      </c>
      <c r="AJ74" s="32"/>
      <c r="AK74" s="1"/>
      <c r="AL74" s="4" t="s">
        <v>105</v>
      </c>
      <c r="AM74" s="4" t="n">
        <f aca="false">+AM71-AM72+AM73</f>
        <v>2062913.4700727</v>
      </c>
    </row>
    <row r="75" customFormat="false" ht="12.8" hidden="false" customHeight="false" outlineLevel="0" collapsed="false">
      <c r="A75" s="1" t="s">
        <v>120</v>
      </c>
      <c r="R75" s="4" t="n">
        <f aca="false">+R72+R112-R124-(R73-Q73)</f>
        <v>42397.5742716953</v>
      </c>
      <c r="S75" s="4" t="n">
        <f aca="false">+S72+S112-S124-(S73-R73)</f>
        <v>58691.7607231527</v>
      </c>
      <c r="T75" s="4" t="n">
        <f aca="false">+T72+T112-T124-(T73-S73)</f>
        <v>53946.1051310525</v>
      </c>
      <c r="U75" s="4" t="n">
        <f aca="false">+U72+U112-U124-(U73-T73)</f>
        <v>70986.8581627938</v>
      </c>
      <c r="V75" s="4" t="n">
        <f aca="false">+V72+V112-V124-(V73-U73)</f>
        <v>92504.3198329777</v>
      </c>
      <c r="W75" s="4" t="n">
        <f aca="false">+W72+W112-W124-(W73-V73)</f>
        <v>108278.877097974</v>
      </c>
      <c r="X75" s="4" t="n">
        <f aca="false">+X72+X112-X124-(X73-W73)</f>
        <v>99606.8366656116</v>
      </c>
      <c r="Y75" s="4" t="n">
        <f aca="false">+Y72+Y112-Y124-(Y73-X73)</f>
        <v>115548.805288092</v>
      </c>
      <c r="Z75" s="4" t="n">
        <f aca="false">+Z72+Z112-Z124-(Z73-Y73)</f>
        <v>94802.8918925028</v>
      </c>
      <c r="AA75" s="4" t="n">
        <f aca="false">+AA72+AA112-AA124-(AA73-Z73)</f>
        <v>130792.755483179</v>
      </c>
      <c r="AB75" s="4" t="n">
        <f aca="false">+AB72+AB112-AB124-(AB73-AA73)</f>
        <v>139346.248348343</v>
      </c>
      <c r="AC75" s="4" t="n">
        <f aca="false">+AC72+AC112-AC124-(AC73-AB73)</f>
        <v>152031.654333542</v>
      </c>
      <c r="AD75" s="4" t="n">
        <f aca="false">+AD72+AD112-AD124-(AD73-AC73)</f>
        <v>163461.571118616</v>
      </c>
      <c r="AE75" s="4" t="n">
        <f aca="false">+AE72+AE112-AE124-(AE73-AD73)</f>
        <v>175714.664016896</v>
      </c>
      <c r="AH75" s="28" t="s">
        <v>121</v>
      </c>
      <c r="AI75" s="31" t="n">
        <f aca="false">+AE75*(1+AI72)/(AI73-AI72)</f>
        <v>2479006.55510854</v>
      </c>
      <c r="AJ75" s="4" t="n">
        <f aca="false">+AE70*16</f>
        <v>3495339.03538885</v>
      </c>
      <c r="AK75" s="1"/>
      <c r="AL75" s="30" t="s">
        <v>93</v>
      </c>
      <c r="AM75" s="30" t="n">
        <f aca="false">+Main!E2</f>
        <v>14598.18</v>
      </c>
    </row>
    <row r="76" customFormat="false" ht="12.8" hidden="false" customHeight="false" outlineLevel="0" collapsed="false">
      <c r="A76" s="1" t="s">
        <v>122</v>
      </c>
      <c r="AH76" s="33" t="s">
        <v>123</v>
      </c>
      <c r="AI76" s="34" t="n">
        <f aca="false">+AI74/Main!E6-1</f>
        <v>-0.540286907224557</v>
      </c>
      <c r="AJ76" s="4" t="n">
        <f aca="false">+AE70*14</f>
        <v>3058421.65596524</v>
      </c>
      <c r="AK76" s="1"/>
      <c r="AL76" s="4" t="s">
        <v>1</v>
      </c>
      <c r="AM76" s="4" t="n">
        <f aca="false">+AM74/AM75</f>
        <v>141.313058893143</v>
      </c>
    </row>
    <row r="78" customFormat="false" ht="12.8" hidden="false" customHeight="false" outlineLevel="0" collapsed="false">
      <c r="A78" s="1" t="s">
        <v>124</v>
      </c>
      <c r="B78" s="4" t="n">
        <f aca="false">+B80+B81-B100</f>
        <v>0</v>
      </c>
      <c r="C78" s="4" t="n">
        <f aca="false">+C80+C81-C100</f>
        <v>0</v>
      </c>
      <c r="D78" s="4" t="n">
        <f aca="false">+D80+D81-D100</f>
        <v>0</v>
      </c>
      <c r="E78" s="4" t="n">
        <f aca="false">+E80+E81-E100</f>
        <v>-31491</v>
      </c>
      <c r="F78" s="4" t="n">
        <f aca="false">+F80+F81-F100</f>
        <v>-41029</v>
      </c>
      <c r="G78" s="4" t="n">
        <f aca="false">+G80+G81-G100</f>
        <v>-43706</v>
      </c>
      <c r="H78" s="4" t="n">
        <f aca="false">+H80+H81-H100</f>
        <v>-36403</v>
      </c>
      <c r="I78" s="4" t="n">
        <f aca="false">+I80+I81-I100</f>
        <v>-35981</v>
      </c>
      <c r="J78" s="4" t="n">
        <f aca="false">+J80+J81-J100</f>
        <v>-21605</v>
      </c>
      <c r="K78" s="4" t="n">
        <f aca="false">+K80+K81-K100</f>
        <v>-14207</v>
      </c>
      <c r="L78" s="4" t="n">
        <f aca="false">+L80+L81-L100</f>
        <v>-19948</v>
      </c>
      <c r="Q78" s="4" t="n">
        <f aca="false">+Q80+Q81-Q100</f>
        <v>-11772</v>
      </c>
      <c r="R78" s="4" t="n">
        <f aca="false">+R80+R81-R100</f>
        <v>-69522</v>
      </c>
      <c r="S78" s="4" t="n">
        <f aca="false">+S80+S81-S100</f>
        <v>-36218</v>
      </c>
      <c r="T78" s="4" t="n">
        <f aca="false">+T80+T81-T100</f>
        <v>-1510</v>
      </c>
      <c r="U78" s="4" t="n">
        <f aca="false">+U80+U81-U100</f>
        <v>-16497</v>
      </c>
      <c r="V78" s="4" t="n">
        <f aca="false">+V80+V81-V100</f>
        <v>-56080</v>
      </c>
      <c r="W78" s="4" t="n">
        <f aca="false">+W80+W81-W100</f>
        <v>-61783</v>
      </c>
      <c r="X78" s="4" t="n">
        <f aca="false">+X80+X81-X100</f>
        <v>-43548</v>
      </c>
      <c r="Y78" s="4" t="n">
        <f aca="false">+Y80+Y81-Y100</f>
        <v>-31491</v>
      </c>
      <c r="Z78" s="4" t="n">
        <f aca="false">+Z80+Z81-Z100</f>
        <v>-35981</v>
      </c>
    </row>
    <row r="80" customFormat="false" ht="12.8" hidden="false" customHeight="false" outlineLevel="0" collapsed="false">
      <c r="A80" s="1" t="s">
        <v>5</v>
      </c>
      <c r="E80" s="4" t="n">
        <v>29943</v>
      </c>
      <c r="F80" s="4" t="n">
        <v>30299</v>
      </c>
      <c r="G80" s="4" t="n">
        <v>28162</v>
      </c>
      <c r="H80" s="4" t="n">
        <v>36269</v>
      </c>
      <c r="I80" s="4" t="n">
        <v>35934</v>
      </c>
      <c r="J80" s="4" t="n">
        <v>45317</v>
      </c>
      <c r="K80" s="4" t="n">
        <v>45572</v>
      </c>
      <c r="L80" s="4" t="n">
        <v>39544</v>
      </c>
      <c r="Q80" s="4" t="n">
        <v>20484</v>
      </c>
      <c r="R80" s="4" t="n">
        <v>20289</v>
      </c>
      <c r="S80" s="4" t="n">
        <v>25913</v>
      </c>
      <c r="T80" s="4" t="n">
        <v>48844</v>
      </c>
      <c r="U80" s="4" t="n">
        <v>38016</v>
      </c>
      <c r="V80" s="4" t="n">
        <v>34940</v>
      </c>
      <c r="W80" s="4" t="n">
        <v>23646</v>
      </c>
      <c r="X80" s="4" t="n">
        <v>29965</v>
      </c>
      <c r="Y80" s="4" t="n">
        <v>29943</v>
      </c>
      <c r="Z80" s="4" t="n">
        <v>35934</v>
      </c>
    </row>
    <row r="81" customFormat="false" ht="12.8" hidden="false" customHeight="false" outlineLevel="0" collapsed="false">
      <c r="A81" s="1" t="s">
        <v>125</v>
      </c>
      <c r="E81" s="4" t="n">
        <v>35228</v>
      </c>
      <c r="F81" s="4" t="n">
        <v>23476</v>
      </c>
      <c r="G81" s="4" t="n">
        <v>20336</v>
      </c>
      <c r="H81" s="4" t="n">
        <v>19103</v>
      </c>
      <c r="I81" s="4" t="n">
        <v>18763</v>
      </c>
      <c r="J81" s="4" t="n">
        <v>21590</v>
      </c>
      <c r="K81" s="4" t="n">
        <v>22935</v>
      </c>
      <c r="L81" s="4" t="n">
        <v>22855</v>
      </c>
      <c r="Q81" s="4" t="n">
        <v>46671</v>
      </c>
      <c r="R81" s="4" t="n">
        <v>53892</v>
      </c>
      <c r="S81" s="4" t="n">
        <v>40388</v>
      </c>
      <c r="T81" s="4" t="n">
        <v>51713</v>
      </c>
      <c r="U81" s="4" t="n">
        <v>52927</v>
      </c>
      <c r="V81" s="4" t="n">
        <v>27699</v>
      </c>
      <c r="W81" s="4" t="n">
        <v>24658</v>
      </c>
      <c r="X81" s="4" t="n">
        <v>31590</v>
      </c>
      <c r="Y81" s="4" t="n">
        <v>35228</v>
      </c>
      <c r="Z81" s="4" t="n">
        <v>18763</v>
      </c>
    </row>
    <row r="82" customFormat="false" ht="12.8" hidden="false" customHeight="false" outlineLevel="0" collapsed="false">
      <c r="A82" s="1" t="s">
        <v>126</v>
      </c>
      <c r="E82" s="4" t="n">
        <v>33410</v>
      </c>
      <c r="F82" s="4" t="n">
        <v>29667</v>
      </c>
      <c r="G82" s="4" t="n">
        <v>26136</v>
      </c>
      <c r="H82" s="4" t="n">
        <v>27557</v>
      </c>
      <c r="I82" s="4" t="n">
        <v>39777</v>
      </c>
      <c r="J82" s="4" t="n">
        <v>39921</v>
      </c>
      <c r="K82" s="4" t="n">
        <v>30339</v>
      </c>
      <c r="L82" s="4" t="n">
        <v>31398</v>
      </c>
      <c r="Q82" s="4" t="n">
        <v>15754</v>
      </c>
      <c r="R82" s="4" t="n">
        <v>17874</v>
      </c>
      <c r="S82" s="4" t="n">
        <v>23186</v>
      </c>
      <c r="T82" s="4" t="n">
        <v>22926</v>
      </c>
      <c r="U82" s="4" t="n">
        <v>16120</v>
      </c>
      <c r="V82" s="4" t="n">
        <v>26278</v>
      </c>
      <c r="W82" s="4" t="n">
        <v>28184</v>
      </c>
      <c r="X82" s="4" t="n">
        <v>29508</v>
      </c>
      <c r="Y82" s="4" t="n">
        <v>33410</v>
      </c>
      <c r="Z82" s="4" t="n">
        <v>39777</v>
      </c>
      <c r="AA82" s="4" t="n">
        <f aca="false">+(AA129/365)*AA16</f>
        <v>38905.2897534247</v>
      </c>
      <c r="AB82" s="4" t="n">
        <f aca="false">+(AB129/365)*AB16</f>
        <v>40586.9754772603</v>
      </c>
      <c r="AC82" s="4" t="n">
        <f aca="false">+(AC129/365)*AC16</f>
        <v>42330.4044448438</v>
      </c>
      <c r="AD82" s="4" t="n">
        <f aca="false">+(AD129/365)*AD16</f>
        <v>44136.9317768193</v>
      </c>
      <c r="AE82" s="4" t="n">
        <f aca="false">+(AE129/365)*AE16</f>
        <v>46007.8529326304</v>
      </c>
    </row>
    <row r="83" customFormat="false" ht="12.8" hidden="false" customHeight="false" outlineLevel="0" collapsed="false">
      <c r="A83" s="1" t="s">
        <v>127</v>
      </c>
      <c r="E83" s="4" t="n">
        <v>32833</v>
      </c>
      <c r="F83" s="4" t="n">
        <v>29667</v>
      </c>
      <c r="G83" s="4" t="n">
        <v>23662</v>
      </c>
      <c r="H83" s="4" t="n">
        <v>19278</v>
      </c>
      <c r="I83" s="4" t="n">
        <v>33180</v>
      </c>
      <c r="J83" s="4" t="n">
        <v>30399</v>
      </c>
      <c r="K83" s="4" t="n">
        <v>23172</v>
      </c>
      <c r="L83" s="4" t="n">
        <v>27509</v>
      </c>
      <c r="Q83" s="4" t="n">
        <v>13545</v>
      </c>
      <c r="R83" s="4" t="n">
        <v>17799</v>
      </c>
      <c r="S83" s="4" t="n">
        <v>25809</v>
      </c>
      <c r="T83" s="4" t="n">
        <v>22878</v>
      </c>
      <c r="U83" s="4" t="n">
        <v>21325</v>
      </c>
      <c r="V83" s="4" t="n">
        <v>25228</v>
      </c>
      <c r="W83" s="4" t="n">
        <v>32748</v>
      </c>
      <c r="X83" s="4" t="n">
        <v>31477</v>
      </c>
      <c r="Y83" s="4" t="n">
        <v>32833</v>
      </c>
      <c r="Z83" s="4" t="n">
        <v>33180</v>
      </c>
      <c r="AA83" s="6" t="n">
        <f aca="false">+AA$16*0.08</f>
        <v>35956.3104</v>
      </c>
      <c r="AB83" s="6" t="n">
        <f aca="false">+AB$16*0.08</f>
        <v>38113.689024</v>
      </c>
      <c r="AC83" s="6" t="n">
        <f aca="false">+AC$16*0.08</f>
        <v>40400.51036544</v>
      </c>
      <c r="AD83" s="6" t="n">
        <f aca="false">+AD$16*0.08</f>
        <v>42824.5409873664</v>
      </c>
      <c r="AE83" s="6" t="n">
        <f aca="false">+AE$16*0.08</f>
        <v>45394.0134466084</v>
      </c>
    </row>
    <row r="84" s="17" customFormat="true" ht="10.5" hidden="false" customHeight="true" outlineLevel="0" collapsed="false">
      <c r="B84" s="17" t="n">
        <f aca="false">+B83/B$16</f>
        <v>0</v>
      </c>
      <c r="C84" s="17" t="n">
        <f aca="false">+C83/C$16</f>
        <v>0</v>
      </c>
      <c r="D84" s="17" t="n">
        <f aca="false">+D83/D$16</f>
        <v>0</v>
      </c>
      <c r="E84" s="17" t="n">
        <f aca="false">+E83/E$16</f>
        <v>0.345865374486464</v>
      </c>
      <c r="F84" s="17" t="n">
        <f aca="false">+F83/F$16</f>
        <v>0.238672566371681</v>
      </c>
      <c r="G84" s="17" t="n">
        <f aca="false">+G83/G$16</f>
        <v>0.24813599135897</v>
      </c>
      <c r="H84" s="17" t="n">
        <f aca="false">+H83/H$16</f>
        <v>0.205006593219618</v>
      </c>
      <c r="I84" s="17" t="n">
        <f aca="false">+I83/I$16</f>
        <v>0.323814728788086</v>
      </c>
      <c r="J84" s="17" t="n">
        <f aca="false">+J83/J$16</f>
        <v>0.211462478087871</v>
      </c>
      <c r="K84" s="17" t="n">
        <f aca="false">+K83/K$16</f>
        <v>0.208411282198878</v>
      </c>
      <c r="L84" s="17" t="n">
        <f aca="false">+L83/L$16</f>
        <v>0.251414314046263</v>
      </c>
      <c r="Q84" s="17" t="n">
        <f aca="false">+Q83/Q$16</f>
        <v>0.0635566379031236</v>
      </c>
      <c r="R84" s="17" t="n">
        <f aca="false">+R83/R$16</f>
        <v>0.0784449400171002</v>
      </c>
      <c r="S84" s="17" t="n">
        <f aca="false">+S83/S$16</f>
        <v>0.0971742690939212</v>
      </c>
      <c r="T84" s="17" t="n">
        <f aca="false">+T83/T$16</f>
        <v>0.0879334599152875</v>
      </c>
      <c r="U84" s="17" t="n">
        <f aca="false">+U83/U$16</f>
        <v>0.0776824581534707</v>
      </c>
      <c r="V84" s="17" t="n">
        <f aca="false">+V83/V$16</f>
        <v>0.0689634434703691</v>
      </c>
      <c r="W84" s="17" t="n">
        <f aca="false">+W83/W$16</f>
        <v>0.0830476151832992</v>
      </c>
      <c r="X84" s="17" t="n">
        <f aca="false">+X83/X$16</f>
        <v>0.0821242678424671</v>
      </c>
      <c r="Y84" s="17" t="n">
        <f aca="false">+Y83/Y$16</f>
        <v>0.0839643510171724</v>
      </c>
      <c r="Z84" s="17" t="n">
        <f aca="false">+Z83/Z$16</f>
        <v>0.079728758821706</v>
      </c>
      <c r="AA84" s="17" t="n">
        <f aca="false">+AA83/AA$16</f>
        <v>0.08</v>
      </c>
      <c r="AB84" s="17" t="n">
        <f aca="false">+AB83/AB$16</f>
        <v>0.08</v>
      </c>
      <c r="AC84" s="17" t="n">
        <f aca="false">+AC83/AC$16</f>
        <v>0.08</v>
      </c>
      <c r="AD84" s="17" t="n">
        <f aca="false">+AD83/AD$16</f>
        <v>0.08</v>
      </c>
      <c r="AE84" s="17" t="n">
        <f aca="false">+AE83/AE$16</f>
        <v>0.08</v>
      </c>
    </row>
    <row r="85" customFormat="false" ht="12.8" hidden="false" customHeight="false" outlineLevel="0" collapsed="false">
      <c r="A85" s="1" t="s">
        <v>128</v>
      </c>
      <c r="E85" s="4" t="n">
        <v>7286</v>
      </c>
      <c r="F85" s="4" t="n">
        <v>6911</v>
      </c>
      <c r="G85" s="4" t="n">
        <v>6269</v>
      </c>
      <c r="H85" s="4" t="n">
        <v>5925</v>
      </c>
      <c r="I85" s="4" t="n">
        <v>5718</v>
      </c>
      <c r="J85" s="4" t="n">
        <v>5875</v>
      </c>
      <c r="K85" s="4" t="n">
        <v>6747</v>
      </c>
      <c r="L85" s="4" t="n">
        <v>11092</v>
      </c>
      <c r="Q85" s="4" t="n">
        <v>2132</v>
      </c>
      <c r="R85" s="4" t="n">
        <v>4855</v>
      </c>
      <c r="S85" s="4" t="n">
        <v>3956</v>
      </c>
      <c r="T85" s="4" t="n">
        <v>4106</v>
      </c>
      <c r="U85" s="4" t="n">
        <v>4061</v>
      </c>
      <c r="V85" s="4" t="n">
        <v>6580</v>
      </c>
      <c r="W85" s="4" t="n">
        <v>4946</v>
      </c>
      <c r="X85" s="4" t="n">
        <v>6331</v>
      </c>
      <c r="Y85" s="4" t="n">
        <v>7286</v>
      </c>
      <c r="Z85" s="4" t="n">
        <v>5718</v>
      </c>
      <c r="AA85" s="4" t="n">
        <f aca="false">+AA130/365*AA22</f>
        <v>6846.45938060612</v>
      </c>
      <c r="AB85" s="4" t="n">
        <f aca="false">+AB130/365*AB22</f>
        <v>7017.46653852684</v>
      </c>
      <c r="AC85" s="4" t="n">
        <f aca="false">+AC130/365*AC22</f>
        <v>7187.80624943312</v>
      </c>
      <c r="AD85" s="4" t="n">
        <f aca="false">+AD130/365*AD22</f>
        <v>7356.99033078304</v>
      </c>
      <c r="AE85" s="4" t="n">
        <f aca="false">+AE130/365*AE22</f>
        <v>7524.48687315097</v>
      </c>
    </row>
    <row r="86" customFormat="false" ht="12.8" hidden="false" customHeight="false" outlineLevel="0" collapsed="false">
      <c r="A86" s="1" t="s">
        <v>129</v>
      </c>
      <c r="E86" s="4" t="n">
        <v>14287</v>
      </c>
      <c r="F86" s="4" t="n">
        <v>13248</v>
      </c>
      <c r="G86" s="4" t="n">
        <v>14109</v>
      </c>
      <c r="H86" s="4" t="n">
        <v>14359</v>
      </c>
      <c r="I86" s="4" t="n">
        <v>14585</v>
      </c>
      <c r="J86" s="4" t="n">
        <v>15002</v>
      </c>
      <c r="K86" s="4" t="n">
        <v>15349</v>
      </c>
      <c r="L86" s="4" t="n">
        <v>17420</v>
      </c>
      <c r="Q86" s="4" t="n">
        <v>8283</v>
      </c>
      <c r="R86" s="4" t="n">
        <v>13936</v>
      </c>
      <c r="S86" s="4" t="n">
        <v>12087</v>
      </c>
      <c r="T86" s="4" t="n">
        <v>12352</v>
      </c>
      <c r="U86" s="4" t="n">
        <v>11264</v>
      </c>
      <c r="V86" s="4" t="n">
        <v>14111</v>
      </c>
      <c r="W86" s="4" t="n">
        <v>21223</v>
      </c>
      <c r="X86" s="4" t="n">
        <v>14695</v>
      </c>
      <c r="Y86" s="4" t="n">
        <v>14287</v>
      </c>
      <c r="Z86" s="4" t="n">
        <v>14585</v>
      </c>
      <c r="AA86" s="4" t="n">
        <f aca="false">+AA$16*0.03</f>
        <v>13483.6164</v>
      </c>
      <c r="AB86" s="4" t="n">
        <f aca="false">+AB$16*0.03</f>
        <v>14292.633384</v>
      </c>
      <c r="AC86" s="4" t="n">
        <f aca="false">+AC$16*0.03</f>
        <v>15150.19138704</v>
      </c>
      <c r="AD86" s="4" t="n">
        <f aca="false">+AD$16*0.03</f>
        <v>16059.2028702624</v>
      </c>
      <c r="AE86" s="4" t="n">
        <f aca="false">+AE$16*0.03</f>
        <v>17022.7550424781</v>
      </c>
    </row>
    <row r="87" s="17" customFormat="true" ht="10.5" hidden="false" customHeight="true" outlineLevel="0" collapsed="false">
      <c r="B87" s="17" t="n">
        <f aca="false">+B86/B$16</f>
        <v>0</v>
      </c>
      <c r="C87" s="17" t="n">
        <f aca="false">+C86/C$16</f>
        <v>0</v>
      </c>
      <c r="D87" s="17" t="n">
        <f aca="false">+D86/D$16</f>
        <v>0</v>
      </c>
      <c r="E87" s="17" t="n">
        <f aca="false">+E86/E$16</f>
        <v>0.150500368692721</v>
      </c>
      <c r="F87" s="17" t="n">
        <f aca="false">+F86/F$16</f>
        <v>0.106580852775543</v>
      </c>
      <c r="G87" s="17" t="n">
        <f aca="false">+G86/G$16</f>
        <v>0.147956669008693</v>
      </c>
      <c r="H87" s="17" t="n">
        <f aca="false">+H86/H$16</f>
        <v>0.152696839508273</v>
      </c>
      <c r="I87" s="17" t="n">
        <f aca="false">+I86/I$16</f>
        <v>0.142339898112545</v>
      </c>
      <c r="J87" s="17" t="n">
        <f aca="false">+J86/J$16</f>
        <v>0.104357383344</v>
      </c>
      <c r="K87" s="17" t="n">
        <f aca="false">+K86/K$16</f>
        <v>0.138050438912074</v>
      </c>
      <c r="L87" s="17" t="n">
        <f aca="false">+L86/L$16</f>
        <v>0.159207435773235</v>
      </c>
      <c r="Q87" s="17" t="n">
        <f aca="false">+Q86/Q$16</f>
        <v>0.0388659750278016</v>
      </c>
      <c r="R87" s="17" t="n">
        <f aca="false">+R86/R$16</f>
        <v>0.0614196687498347</v>
      </c>
      <c r="S87" s="17" t="n">
        <f aca="false">+S86/S$16</f>
        <v>0.0455091398557955</v>
      </c>
      <c r="T87" s="17" t="n">
        <f aca="false">+T86/T$16</f>
        <v>0.0474759199612567</v>
      </c>
      <c r="U87" s="17" t="n">
        <f aca="false">+U86/U$16</f>
        <v>0.0410323661730689</v>
      </c>
      <c r="V87" s="17" t="n">
        <f aca="false">+V86/V$16</f>
        <v>0.0385739317746305</v>
      </c>
      <c r="W87" s="17" t="n">
        <f aca="false">+W86/W$16</f>
        <v>0.0538206772027348</v>
      </c>
      <c r="X87" s="17" t="n">
        <f aca="false">+X86/X$16</f>
        <v>0.0383396167342839</v>
      </c>
      <c r="Y87" s="17" t="n">
        <f aca="false">+Y86/Y$16</f>
        <v>0.0365363714245528</v>
      </c>
      <c r="Z87" s="17" t="n">
        <f aca="false">+Z86/Z$16</f>
        <v>0.0350465324718078</v>
      </c>
      <c r="AA87" s="17" t="n">
        <f aca="false">+AA86/AA$16</f>
        <v>0.03</v>
      </c>
      <c r="AB87" s="17" t="n">
        <f aca="false">+AB86/AB$16</f>
        <v>0.03</v>
      </c>
      <c r="AC87" s="17" t="n">
        <f aca="false">+AC86/AC$16</f>
        <v>0.03</v>
      </c>
      <c r="AD87" s="17" t="n">
        <f aca="false">+AD86/AD$16</f>
        <v>0.03</v>
      </c>
      <c r="AE87" s="17" t="n">
        <f aca="false">+AE86/AE$16</f>
        <v>0.03</v>
      </c>
    </row>
    <row r="88" customFormat="false" ht="12.8" hidden="false" customHeight="false" outlineLevel="0" collapsed="false">
      <c r="A88" s="1" t="s">
        <v>130</v>
      </c>
      <c r="E88" s="4" t="n">
        <v>91479</v>
      </c>
      <c r="F88" s="4" t="n">
        <v>87593</v>
      </c>
      <c r="G88" s="4" t="n">
        <v>84424</v>
      </c>
      <c r="H88" s="4" t="n">
        <v>77614</v>
      </c>
      <c r="I88" s="4" t="n">
        <v>77723</v>
      </c>
      <c r="J88" s="4" t="n">
        <v>77888</v>
      </c>
      <c r="K88" s="4" t="n">
        <v>78088</v>
      </c>
      <c r="L88" s="4" t="n">
        <v>84118</v>
      </c>
      <c r="Q88" s="4" t="n">
        <v>170430</v>
      </c>
      <c r="R88" s="4" t="n">
        <v>194714</v>
      </c>
      <c r="S88" s="4" t="n">
        <v>170799</v>
      </c>
      <c r="T88" s="4" t="n">
        <v>105341</v>
      </c>
      <c r="U88" s="4" t="n">
        <v>100887</v>
      </c>
      <c r="V88" s="4" t="n">
        <v>127877</v>
      </c>
      <c r="W88" s="4" t="n">
        <v>120805</v>
      </c>
      <c r="X88" s="4" t="n">
        <v>100544</v>
      </c>
      <c r="Y88" s="4" t="n">
        <v>91479</v>
      </c>
      <c r="Z88" s="4" t="n">
        <v>77723</v>
      </c>
    </row>
    <row r="89" customFormat="false" ht="12.8" hidden="false" customHeight="false" outlineLevel="0" collapsed="false">
      <c r="A89" s="1" t="s">
        <v>131</v>
      </c>
      <c r="E89" s="4" t="n">
        <v>45680</v>
      </c>
      <c r="F89" s="4" t="n">
        <v>46069</v>
      </c>
      <c r="G89" s="4" t="n">
        <v>46876</v>
      </c>
      <c r="H89" s="4" t="n">
        <v>48508</v>
      </c>
      <c r="I89" s="4" t="n">
        <v>49834</v>
      </c>
      <c r="J89" s="4" t="n">
        <v>50159</v>
      </c>
      <c r="K89" s="4" t="n">
        <v>50116</v>
      </c>
      <c r="L89" s="4" t="n">
        <v>51431</v>
      </c>
      <c r="Q89" s="4" t="n">
        <v>27010</v>
      </c>
      <c r="R89" s="4" t="n">
        <v>33783</v>
      </c>
      <c r="S89" s="4" t="n">
        <v>41304</v>
      </c>
      <c r="T89" s="4" t="n">
        <v>37378</v>
      </c>
      <c r="U89" s="4" t="n">
        <v>36766</v>
      </c>
      <c r="V89" s="4" t="n">
        <v>39440</v>
      </c>
      <c r="W89" s="4" t="n">
        <v>42117</v>
      </c>
      <c r="X89" s="4" t="n">
        <v>43715</v>
      </c>
      <c r="Y89" s="4" t="n">
        <v>45680</v>
      </c>
      <c r="Z89" s="4" t="n">
        <v>49834</v>
      </c>
    </row>
    <row r="90" customFormat="false" ht="12.8" hidden="false" customHeight="false" outlineLevel="0" collapsed="false">
      <c r="A90" s="1" t="s">
        <v>132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11093</v>
      </c>
      <c r="J90" s="4" t="n">
        <v>0</v>
      </c>
      <c r="K90" s="4" t="n">
        <v>21334</v>
      </c>
      <c r="L90" s="4" t="n">
        <v>20342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11093</v>
      </c>
    </row>
    <row r="91" customFormat="false" ht="12.8" hidden="false" customHeight="false" outlineLevel="0" collapsed="false">
      <c r="A91" s="1" t="s">
        <v>133</v>
      </c>
      <c r="E91" s="4" t="n">
        <v>74834</v>
      </c>
      <c r="F91" s="4" t="n">
        <v>77183</v>
      </c>
      <c r="G91" s="4" t="n">
        <v>81259</v>
      </c>
      <c r="H91" s="4" t="n">
        <v>82882</v>
      </c>
      <c r="I91" s="4" t="n">
        <v>72634</v>
      </c>
      <c r="J91" s="4" t="n">
        <v>93146</v>
      </c>
      <c r="K91" s="4" t="n">
        <v>77430</v>
      </c>
      <c r="L91" s="4" t="n">
        <v>77557</v>
      </c>
      <c r="Q91" s="4" t="n">
        <f aca="false">+8757+3206+5414</f>
        <v>17377</v>
      </c>
      <c r="R91" s="4" t="n">
        <v>18177</v>
      </c>
      <c r="S91" s="4" t="n">
        <v>22283</v>
      </c>
      <c r="T91" s="4" t="n">
        <v>32978</v>
      </c>
      <c r="U91" s="4" t="n">
        <v>42522</v>
      </c>
      <c r="V91" s="4" t="n">
        <v>48849</v>
      </c>
      <c r="W91" s="4" t="n">
        <v>54428</v>
      </c>
      <c r="X91" s="4" t="n">
        <v>64758</v>
      </c>
      <c r="Y91" s="4" t="n">
        <v>74834</v>
      </c>
      <c r="Z91" s="4" t="n">
        <v>72634</v>
      </c>
    </row>
    <row r="92" customFormat="false" ht="12.8" hidden="false" customHeight="false" outlineLevel="0" collapsed="false">
      <c r="A92" s="1" t="s">
        <v>134</v>
      </c>
      <c r="B92" s="4" t="n">
        <f aca="false">+SUM(B80:B91)-B87-B84</f>
        <v>0</v>
      </c>
      <c r="C92" s="4" t="n">
        <f aca="false">+SUM(C80:C91)-C87-C84</f>
        <v>0</v>
      </c>
      <c r="D92" s="4" t="n">
        <f aca="false">+SUM(D80:D91)-D87-D84</f>
        <v>0</v>
      </c>
      <c r="E92" s="4" t="n">
        <f aca="false">+SUM(E80:E91)-E87-E84</f>
        <v>364980</v>
      </c>
      <c r="F92" s="4" t="n">
        <f aca="false">+SUM(F80:F91)-F87-F84</f>
        <v>344113</v>
      </c>
      <c r="G92" s="4" t="n">
        <f aca="false">+SUM(G80:G91)-G87-G84</f>
        <v>331233</v>
      </c>
      <c r="H92" s="4" t="n">
        <f aca="false">+SUM(H80:H91)-H87-H84</f>
        <v>331495</v>
      </c>
      <c r="I92" s="4" t="n">
        <f aca="false">+SUM(I80:I91)-I87-I84</f>
        <v>359241</v>
      </c>
      <c r="J92" s="4" t="n">
        <f aca="false">+SUM(J80:J91)-J87-J84</f>
        <v>379297</v>
      </c>
      <c r="K92" s="4" t="n">
        <f aca="false">+SUM(K80:K91)-K87-K84</f>
        <v>371082</v>
      </c>
      <c r="L92" s="4" t="n">
        <f aca="false">+SUM(L80:L91)-L87-L84</f>
        <v>383266</v>
      </c>
      <c r="Q92" s="4" t="n">
        <f aca="false">+SUM(Q80:Q91)-Q87-Q84</f>
        <v>321686</v>
      </c>
      <c r="R92" s="4" t="n">
        <f aca="false">+SUM(R80:R91)-R87-R84</f>
        <v>375319</v>
      </c>
      <c r="S92" s="4" t="n">
        <f aca="false">+SUM(S80:S91)-S87-S84</f>
        <v>365725</v>
      </c>
      <c r="T92" s="4" t="n">
        <f aca="false">+SUM(T80:T91)-T87-T84</f>
        <v>338516</v>
      </c>
      <c r="U92" s="4" t="n">
        <f aca="false">+SUM(U80:U91)-U87-U84</f>
        <v>323888</v>
      </c>
      <c r="V92" s="4" t="n">
        <f aca="false">+SUM(V80:V91)-V87-V84</f>
        <v>351002</v>
      </c>
      <c r="W92" s="4" t="n">
        <f aca="false">+SUM(W80:W91)-W87-W84</f>
        <v>352755</v>
      </c>
      <c r="X92" s="4" t="n">
        <f aca="false">+SUM(X80:X91)-X87-X84</f>
        <v>352583</v>
      </c>
      <c r="Y92" s="4" t="n">
        <f aca="false">+SUM(Y80:Y91)-Y87-Y84</f>
        <v>364980</v>
      </c>
      <c r="Z92" s="4" t="n">
        <f aca="false">+SUM(Z80:Z91)-Z87-Z84</f>
        <v>359241</v>
      </c>
    </row>
    <row r="95" customFormat="false" ht="12.8" hidden="false" customHeight="false" outlineLevel="0" collapsed="false">
      <c r="A95" s="1" t="s">
        <v>135</v>
      </c>
      <c r="E95" s="4" t="n">
        <v>68960</v>
      </c>
      <c r="F95" s="4" t="n">
        <v>61910</v>
      </c>
      <c r="G95" s="4" t="n">
        <v>54126</v>
      </c>
      <c r="H95" s="4" t="n">
        <v>50374</v>
      </c>
      <c r="I95" s="4" t="n">
        <v>69860</v>
      </c>
      <c r="J95" s="4" t="n">
        <v>70587</v>
      </c>
      <c r="K95" s="4" t="n">
        <v>57349</v>
      </c>
      <c r="L95" s="4" t="n">
        <v>64525</v>
      </c>
      <c r="Q95" s="4" t="n">
        <v>37294</v>
      </c>
      <c r="R95" s="4" t="n">
        <v>44242</v>
      </c>
      <c r="S95" s="4" t="n">
        <v>55888</v>
      </c>
      <c r="T95" s="4" t="n">
        <v>46236</v>
      </c>
      <c r="U95" s="4" t="n">
        <v>42296</v>
      </c>
      <c r="V95" s="4" t="n">
        <v>54763</v>
      </c>
      <c r="W95" s="4" t="n">
        <v>64115</v>
      </c>
      <c r="X95" s="4" t="n">
        <v>62611</v>
      </c>
      <c r="Y95" s="4" t="n">
        <v>68960</v>
      </c>
      <c r="Z95" s="4" t="n">
        <v>69860</v>
      </c>
      <c r="AA95" s="4" t="n">
        <f aca="false">+AA131/365*AA22</f>
        <v>75481.5360772098</v>
      </c>
      <c r="AB95" s="4" t="n">
        <f aca="false">+AB131/365*AB22</f>
        <v>79940.8761255087</v>
      </c>
      <c r="AC95" s="4" t="n">
        <f aca="false">+AC131/365*AC22</f>
        <v>84649.7676585044</v>
      </c>
      <c r="AD95" s="4" t="n">
        <f aca="false">+AD131/365*AD22</f>
        <v>89621.2730827135</v>
      </c>
      <c r="AE95" s="4" t="n">
        <f aca="false">+AE131/365*AE22</f>
        <v>94869.074099241</v>
      </c>
    </row>
    <row r="96" customFormat="false" ht="12.8" hidden="false" customHeight="false" outlineLevel="0" collapsed="false">
      <c r="A96" s="1" t="s">
        <v>136</v>
      </c>
      <c r="E96" s="4" t="n">
        <v>78304</v>
      </c>
      <c r="F96" s="4" t="n">
        <v>61151</v>
      </c>
      <c r="G96" s="4" t="n">
        <v>61846</v>
      </c>
      <c r="H96" s="4" t="n">
        <v>62499</v>
      </c>
      <c r="I96" s="4" t="n">
        <v>66387</v>
      </c>
      <c r="J96" s="4" t="n">
        <v>68543</v>
      </c>
      <c r="K96" s="4" t="n">
        <v>57654</v>
      </c>
      <c r="L96" s="4" t="n">
        <v>62259</v>
      </c>
      <c r="Q96" s="4" t="n">
        <v>22027</v>
      </c>
      <c r="R96" s="4" t="n">
        <v>30551</v>
      </c>
      <c r="S96" s="4" t="n">
        <v>32687</v>
      </c>
      <c r="T96" s="4" t="n">
        <v>37720</v>
      </c>
      <c r="U96" s="4" t="n">
        <v>42684</v>
      </c>
      <c r="V96" s="4" t="n">
        <v>47493</v>
      </c>
      <c r="W96" s="4" t="n">
        <v>60845</v>
      </c>
      <c r="X96" s="4" t="n">
        <v>58829</v>
      </c>
      <c r="Y96" s="4" t="n">
        <v>78304</v>
      </c>
      <c r="Z96" s="4" t="n">
        <v>66387</v>
      </c>
      <c r="AA96" s="6" t="n">
        <f aca="false">+AA$16*0.15</f>
        <v>67418.082</v>
      </c>
      <c r="AB96" s="6" t="n">
        <f aca="false">+AB$16*0.15</f>
        <v>71463.16692</v>
      </c>
      <c r="AC96" s="6" t="n">
        <f aca="false">+AC$16*0.15</f>
        <v>75750.9569352</v>
      </c>
      <c r="AD96" s="6" t="n">
        <f aca="false">+AD$16*0.15</f>
        <v>80296.014351312</v>
      </c>
      <c r="AE96" s="6" t="n">
        <f aca="false">+AE$16*0.15</f>
        <v>85113.7752123907</v>
      </c>
    </row>
    <row r="97" s="17" customFormat="true" ht="10.5" hidden="false" customHeight="true" outlineLevel="0" collapsed="false">
      <c r="B97" s="17" t="n">
        <f aca="false">+B96/B$16</f>
        <v>0</v>
      </c>
      <c r="C97" s="17" t="n">
        <f aca="false">+C96/C$16</f>
        <v>0</v>
      </c>
      <c r="D97" s="17" t="n">
        <f aca="false">+D96/D$16</f>
        <v>0</v>
      </c>
      <c r="E97" s="17" t="n">
        <f aca="false">+E96/E$16</f>
        <v>0.824860423469925</v>
      </c>
      <c r="F97" s="17" t="n">
        <f aca="false">+F96/F$16</f>
        <v>0.491962992759453</v>
      </c>
      <c r="G97" s="17" t="n">
        <f aca="false">+G96/G$16</f>
        <v>0.648559653519857</v>
      </c>
      <c r="H97" s="17" t="n">
        <f aca="false">+H96/H$16</f>
        <v>0.664628440171849</v>
      </c>
      <c r="I97" s="17" t="n">
        <f aca="false">+I96/I$16</f>
        <v>0.647892959615873</v>
      </c>
      <c r="J97" s="17" t="n">
        <f aca="false">+J96/J$16</f>
        <v>0.47680096830741</v>
      </c>
      <c r="K97" s="17" t="n">
        <f aca="false">+K96/K$16</f>
        <v>0.51854583393294</v>
      </c>
      <c r="L97" s="17" t="n">
        <f aca="false">+L96/L$16</f>
        <v>0.569006644305729</v>
      </c>
      <c r="Q97" s="17" t="n">
        <f aca="false">+Q96/Q$16</f>
        <v>0.103356372321307</v>
      </c>
      <c r="R97" s="17" t="n">
        <f aca="false">+R96/R$16</f>
        <v>0.134646404992552</v>
      </c>
      <c r="S97" s="17" t="n">
        <f aca="false">+S96/S$16</f>
        <v>0.123070840942036</v>
      </c>
      <c r="T97" s="17" t="n">
        <f aca="false">+T96/T$16</f>
        <v>0.144979898068216</v>
      </c>
      <c r="U97" s="17" t="n">
        <f aca="false">+U96/U$16</f>
        <v>0.155488771105404</v>
      </c>
      <c r="V97" s="17" t="n">
        <f aca="false">+V96/V$16</f>
        <v>0.12982720868631</v>
      </c>
      <c r="W97" s="17" t="n">
        <f aca="false">+W96/W$16</f>
        <v>0.154300480817999</v>
      </c>
      <c r="X97" s="17" t="n">
        <f aca="false">+X96/X$16</f>
        <v>0.153486309143327</v>
      </c>
      <c r="Y97" s="17" t="n">
        <f aca="false">+Y96/Y$16</f>
        <v>0.200248059636605</v>
      </c>
      <c r="Z97" s="17" t="n">
        <f aca="false">+Z96/Z$16</f>
        <v>0.159522396380247</v>
      </c>
      <c r="AA97" s="17" t="n">
        <f aca="false">+AA96/AA$16</f>
        <v>0.15</v>
      </c>
      <c r="AB97" s="17" t="n">
        <f aca="false">+AB96/AB$16</f>
        <v>0.15</v>
      </c>
      <c r="AC97" s="17" t="n">
        <f aca="false">+AC96/AC$16</f>
        <v>0.15</v>
      </c>
      <c r="AD97" s="17" t="n">
        <f aca="false">+AD96/AD$16</f>
        <v>0.15</v>
      </c>
      <c r="AE97" s="17" t="n">
        <f aca="false">+AE96/AE$16</f>
        <v>0.15</v>
      </c>
    </row>
    <row r="98" customFormat="false" ht="12.8" hidden="false" customHeight="false" outlineLevel="0" collapsed="false">
      <c r="A98" s="1" t="s">
        <v>137</v>
      </c>
      <c r="E98" s="4" t="n">
        <v>8249</v>
      </c>
      <c r="F98" s="4" t="n">
        <v>8461</v>
      </c>
      <c r="G98" s="4" t="n">
        <v>8976</v>
      </c>
      <c r="H98" s="4" t="n">
        <v>8979</v>
      </c>
      <c r="I98" s="4" t="n">
        <v>9055</v>
      </c>
      <c r="J98" s="4" t="n">
        <v>9413</v>
      </c>
      <c r="K98" s="4" t="n">
        <v>9331</v>
      </c>
      <c r="L98" s="4" t="n">
        <v>9538</v>
      </c>
      <c r="Q98" s="4" t="n">
        <f aca="false">+8080+2930</f>
        <v>11010</v>
      </c>
      <c r="R98" s="4" t="n">
        <f aca="false">+7548+2836</f>
        <v>10384</v>
      </c>
      <c r="S98" s="4" t="n">
        <f aca="false">+7543+2797</f>
        <v>10340</v>
      </c>
      <c r="T98" s="4" t="n">
        <v>5522</v>
      </c>
      <c r="U98" s="4" t="n">
        <v>6643</v>
      </c>
      <c r="V98" s="4" t="n">
        <v>7612</v>
      </c>
      <c r="W98" s="4" t="n">
        <v>7912</v>
      </c>
      <c r="X98" s="4" t="n">
        <v>8061</v>
      </c>
      <c r="Y98" s="4" t="n">
        <v>8249</v>
      </c>
      <c r="Z98" s="4" t="n">
        <v>9055</v>
      </c>
    </row>
    <row r="99" customFormat="false" ht="12.8" hidden="false" customHeight="false" outlineLevel="0" collapsed="false">
      <c r="A99" s="1" t="s">
        <v>138</v>
      </c>
      <c r="E99" s="4" t="n">
        <v>9967</v>
      </c>
      <c r="F99" s="4" t="n">
        <v>1995</v>
      </c>
      <c r="G99" s="4" t="n">
        <v>5982</v>
      </c>
      <c r="H99" s="4" t="n">
        <v>9923</v>
      </c>
      <c r="I99" s="4" t="n">
        <v>7979</v>
      </c>
      <c r="J99" s="4" t="n">
        <v>1997</v>
      </c>
      <c r="K99" s="4" t="n">
        <v>1997</v>
      </c>
      <c r="L99" s="4" t="n">
        <v>1997</v>
      </c>
      <c r="Q99" s="4" t="n">
        <v>8105</v>
      </c>
      <c r="R99" s="4" t="n">
        <v>11977</v>
      </c>
      <c r="S99" s="4" t="n">
        <v>11964</v>
      </c>
      <c r="T99" s="4" t="n">
        <v>5980</v>
      </c>
      <c r="U99" s="4" t="n">
        <v>4996</v>
      </c>
      <c r="V99" s="4" t="n">
        <v>6000</v>
      </c>
      <c r="W99" s="4" t="n">
        <v>9982</v>
      </c>
      <c r="X99" s="4" t="n">
        <v>5985</v>
      </c>
      <c r="Y99" s="4" t="n">
        <v>9967</v>
      </c>
      <c r="Z99" s="4" t="n">
        <v>7979</v>
      </c>
    </row>
    <row r="100" customFormat="false" ht="12.8" hidden="false" customHeight="false" outlineLevel="0" collapsed="false">
      <c r="A100" s="1" t="s">
        <v>6</v>
      </c>
      <c r="E100" s="4" t="n">
        <f aca="false">+10912+85750</f>
        <v>96662</v>
      </c>
      <c r="F100" s="4" t="n">
        <f aca="false">+10848+83956</f>
        <v>94804</v>
      </c>
      <c r="G100" s="4" t="n">
        <f aca="false">+13638+78566</f>
        <v>92204</v>
      </c>
      <c r="H100" s="4" t="n">
        <f aca="false">+9345+82430</f>
        <v>91775</v>
      </c>
      <c r="I100" s="4" t="n">
        <f aca="false">+12350+78328</f>
        <v>90678</v>
      </c>
      <c r="J100" s="4" t="n">
        <f aca="false">+11827+76685</f>
        <v>88512</v>
      </c>
      <c r="K100" s="4" t="n">
        <f aca="false">+8310+74404</f>
        <v>82714</v>
      </c>
      <c r="L100" s="4" t="n">
        <f aca="false">+11007+71340</f>
        <v>82347</v>
      </c>
      <c r="Q100" s="4" t="n">
        <f aca="false">+3500+75427</f>
        <v>78927</v>
      </c>
      <c r="R100" s="4" t="n">
        <f aca="false">+46496+97207</f>
        <v>143703</v>
      </c>
      <c r="S100" s="4" t="n">
        <f aca="false">+8784+93735</f>
        <v>102519</v>
      </c>
      <c r="T100" s="4" t="n">
        <f aca="false">+10260+91807</f>
        <v>102067</v>
      </c>
      <c r="U100" s="4" t="n">
        <f aca="false">+8773+98667</f>
        <v>107440</v>
      </c>
      <c r="V100" s="4" t="n">
        <f aca="false">+9613+109106</f>
        <v>118719</v>
      </c>
      <c r="W100" s="4" t="n">
        <f aca="false">+11128+98959</f>
        <v>110087</v>
      </c>
      <c r="X100" s="4" t="n">
        <f aca="false">+9822+95281</f>
        <v>105103</v>
      </c>
      <c r="Y100" s="4" t="n">
        <f aca="false">+10912+85750</f>
        <v>96662</v>
      </c>
      <c r="Z100" s="4" t="n">
        <f aca="false">+12350+78328</f>
        <v>90678</v>
      </c>
    </row>
    <row r="101" customFormat="false" ht="12.8" hidden="false" customHeight="false" outlineLevel="0" collapsed="false">
      <c r="A101" s="1" t="s">
        <v>133</v>
      </c>
      <c r="E101" s="4" t="n">
        <v>45888</v>
      </c>
      <c r="F101" s="4" t="n">
        <v>49006</v>
      </c>
      <c r="G101" s="4" t="n">
        <v>41300</v>
      </c>
      <c r="H101" s="4" t="n">
        <v>42115</v>
      </c>
      <c r="I101" s="4" t="n">
        <v>41549</v>
      </c>
      <c r="J101" s="4" t="n">
        <v>52055</v>
      </c>
      <c r="K101" s="4" t="n">
        <v>55546</v>
      </c>
      <c r="L101" s="4" t="n">
        <v>55080</v>
      </c>
      <c r="Q101" s="4" t="n">
        <v>36074</v>
      </c>
      <c r="R101" s="4" t="n">
        <v>40415</v>
      </c>
      <c r="S101" s="4" t="n">
        <v>45180</v>
      </c>
      <c r="T101" s="4" t="n">
        <v>50503</v>
      </c>
      <c r="U101" s="4" t="n">
        <v>54490</v>
      </c>
      <c r="V101" s="4" t="n">
        <v>53325</v>
      </c>
      <c r="W101" s="4" t="n">
        <v>49142</v>
      </c>
      <c r="X101" s="4" t="n">
        <v>49848</v>
      </c>
      <c r="Y101" s="4" t="n">
        <v>45888</v>
      </c>
      <c r="Z101" s="4" t="n">
        <v>41549</v>
      </c>
    </row>
    <row r="102" customFormat="false" ht="12.8" hidden="false" customHeight="false" outlineLevel="0" collapsed="false">
      <c r="A102" s="1" t="s">
        <v>139</v>
      </c>
      <c r="B102" s="4" t="n">
        <f aca="false">+SUM(B95:B101)-B97</f>
        <v>0</v>
      </c>
      <c r="C102" s="4" t="n">
        <f aca="false">+SUM(C95:C101)-C97</f>
        <v>0</v>
      </c>
      <c r="D102" s="4" t="n">
        <f aca="false">+SUM(D95:D101)-D97</f>
        <v>0</v>
      </c>
      <c r="E102" s="4" t="n">
        <f aca="false">+SUM(E95:E101)-E97</f>
        <v>308030</v>
      </c>
      <c r="F102" s="4" t="n">
        <f aca="false">+SUM(F95:F101)-F97</f>
        <v>277327</v>
      </c>
      <c r="G102" s="4" t="n">
        <f aca="false">+SUM(G95:G101)-G97</f>
        <v>264434</v>
      </c>
      <c r="H102" s="4" t="n">
        <f aca="false">+SUM(H95:H101)-H97</f>
        <v>265665</v>
      </c>
      <c r="I102" s="4" t="n">
        <f aca="false">+SUM(I95:I101)-I97</f>
        <v>285508</v>
      </c>
      <c r="J102" s="4" t="n">
        <f aca="false">+SUM(J95:J101)-J97</f>
        <v>291107</v>
      </c>
      <c r="K102" s="4" t="n">
        <f aca="false">+SUM(K95:K101)-K97</f>
        <v>264591</v>
      </c>
      <c r="L102" s="4" t="n">
        <f aca="false">+SUM(L95:L101)-L97</f>
        <v>275746</v>
      </c>
      <c r="Q102" s="4" t="n">
        <f aca="false">+SUM(Q95:Q101)-Q97</f>
        <v>193437</v>
      </c>
      <c r="R102" s="4" t="n">
        <f aca="false">+SUM(R95:R101)-R97</f>
        <v>281272</v>
      </c>
      <c r="S102" s="4" t="n">
        <f aca="false">+SUM(S95:S101)-S97</f>
        <v>258578</v>
      </c>
      <c r="T102" s="4" t="n">
        <f aca="false">+SUM(T95:T101)-T97</f>
        <v>248028</v>
      </c>
      <c r="U102" s="4" t="n">
        <f aca="false">+SUM(U95:U101)-U97</f>
        <v>258549</v>
      </c>
      <c r="V102" s="4" t="n">
        <f aca="false">+SUM(V95:V101)-V97</f>
        <v>287912</v>
      </c>
      <c r="W102" s="4" t="n">
        <f aca="false">+SUM(W95:W101)-W97</f>
        <v>302083</v>
      </c>
      <c r="X102" s="4" t="n">
        <f aca="false">+SUM(X95:X101)-X97</f>
        <v>290437</v>
      </c>
      <c r="Y102" s="4" t="n">
        <f aca="false">+SUM(Y95:Y101)-Y97</f>
        <v>308030</v>
      </c>
      <c r="Z102" s="4" t="n">
        <f aca="false">+SUM(Z95:Z101)-Z97</f>
        <v>285508</v>
      </c>
    </row>
    <row r="103" customFormat="false" ht="12.8" hidden="false" customHeight="false" outlineLevel="0" collapsed="false">
      <c r="A103" s="1" t="s">
        <v>140</v>
      </c>
      <c r="E103" s="4" t="n">
        <v>83276</v>
      </c>
      <c r="F103" s="4" t="n">
        <v>84768</v>
      </c>
      <c r="G103" s="4" t="n">
        <v>88711</v>
      </c>
      <c r="H103" s="4" t="n">
        <v>89806</v>
      </c>
      <c r="I103" s="4" t="n">
        <v>93568</v>
      </c>
      <c r="J103" s="4" t="n">
        <v>95221</v>
      </c>
      <c r="K103" s="4" t="n">
        <v>99507</v>
      </c>
      <c r="L103" s="4" t="n">
        <v>100702</v>
      </c>
      <c r="Q103" s="4" t="n">
        <v>31251</v>
      </c>
      <c r="R103" s="4" t="n">
        <v>35867</v>
      </c>
      <c r="S103" s="4" t="n">
        <v>40201</v>
      </c>
      <c r="T103" s="4" t="n">
        <v>45174</v>
      </c>
      <c r="U103" s="4" t="n">
        <v>50779</v>
      </c>
      <c r="V103" s="4" t="n">
        <v>57365</v>
      </c>
      <c r="W103" s="4" t="n">
        <v>64849</v>
      </c>
      <c r="X103" s="4" t="n">
        <v>73812</v>
      </c>
      <c r="Y103" s="4" t="n">
        <v>83276</v>
      </c>
      <c r="Z103" s="4" t="n">
        <v>93568</v>
      </c>
    </row>
    <row r="104" customFormat="false" ht="12.8" hidden="false" customHeight="false" outlineLevel="0" collapsed="false">
      <c r="A104" s="1" t="s">
        <v>141</v>
      </c>
      <c r="E104" s="4" t="n">
        <v>-19154</v>
      </c>
      <c r="F104" s="4" t="n">
        <v>-11221</v>
      </c>
      <c r="G104" s="4" t="n">
        <v>-15552</v>
      </c>
      <c r="H104" s="4" t="n">
        <v>-17607</v>
      </c>
      <c r="I104" s="4" t="n">
        <v>-14264</v>
      </c>
      <c r="J104" s="4" t="n">
        <v>-2177</v>
      </c>
      <c r="K104" s="4" t="n">
        <v>12359</v>
      </c>
      <c r="L104" s="4" t="n">
        <v>11326</v>
      </c>
      <c r="Q104" s="4" t="n">
        <v>96364</v>
      </c>
      <c r="R104" s="4" t="n">
        <v>98330</v>
      </c>
      <c r="S104" s="4" t="n">
        <v>70400</v>
      </c>
      <c r="T104" s="4" t="n">
        <v>45898</v>
      </c>
      <c r="U104" s="4" t="n">
        <v>14966</v>
      </c>
      <c r="V104" s="4" t="n">
        <v>5562</v>
      </c>
      <c r="W104" s="4" t="n">
        <v>-3068</v>
      </c>
      <c r="X104" s="4" t="n">
        <v>-214</v>
      </c>
      <c r="Y104" s="4" t="n">
        <v>-19154</v>
      </c>
      <c r="Z104" s="4" t="n">
        <v>-14264</v>
      </c>
    </row>
    <row r="105" customFormat="false" ht="12.8" hidden="false" customHeight="false" outlineLevel="0" collapsed="false">
      <c r="A105" s="1" t="s">
        <v>142</v>
      </c>
      <c r="E105" s="4" t="n">
        <v>-7172</v>
      </c>
      <c r="F105" s="4" t="n">
        <v>-6789</v>
      </c>
      <c r="G105" s="4" t="n">
        <v>-6363</v>
      </c>
      <c r="H105" s="4" t="n">
        <v>-6369</v>
      </c>
      <c r="I105" s="4" t="n">
        <v>-5571</v>
      </c>
      <c r="J105" s="4" t="n">
        <v>-4854</v>
      </c>
      <c r="K105" s="4" t="n">
        <v>-5375</v>
      </c>
      <c r="L105" s="4" t="n">
        <v>-4508</v>
      </c>
      <c r="Q105" s="4" t="n">
        <v>634</v>
      </c>
      <c r="R105" s="4" t="n">
        <v>-150</v>
      </c>
      <c r="S105" s="4" t="n">
        <v>-3454</v>
      </c>
      <c r="T105" s="4" t="n">
        <v>-584</v>
      </c>
      <c r="U105" s="4" t="n">
        <v>-406</v>
      </c>
      <c r="V105" s="4" t="n">
        <v>163</v>
      </c>
      <c r="W105" s="4" t="n">
        <v>-11109</v>
      </c>
      <c r="X105" s="4" t="n">
        <v>-11452</v>
      </c>
      <c r="Y105" s="4" t="n">
        <v>-7172</v>
      </c>
      <c r="Z105" s="4" t="n">
        <v>-5571</v>
      </c>
    </row>
    <row r="106" customFormat="false" ht="12.8" hidden="false" customHeight="false" outlineLevel="0" collapsed="false">
      <c r="A106" s="1" t="s">
        <v>143</v>
      </c>
      <c r="B106" s="4" t="n">
        <f aca="false">+SUM(B103:B105)</f>
        <v>0</v>
      </c>
      <c r="C106" s="4" t="n">
        <f aca="false">+SUM(C103:C105)</f>
        <v>0</v>
      </c>
      <c r="D106" s="4" t="n">
        <f aca="false">+SUM(D103:D105)</f>
        <v>0</v>
      </c>
      <c r="E106" s="4" t="n">
        <f aca="false">+SUM(E103:E105)</f>
        <v>56950</v>
      </c>
      <c r="F106" s="4" t="n">
        <f aca="false">+SUM(F103:F105)</f>
        <v>66758</v>
      </c>
      <c r="G106" s="4" t="n">
        <f aca="false">+SUM(G103:G105)</f>
        <v>66796</v>
      </c>
      <c r="H106" s="4" t="n">
        <f aca="false">+SUM(H103:H105)</f>
        <v>65830</v>
      </c>
      <c r="I106" s="4" t="n">
        <f aca="false">+SUM(I103:I105)</f>
        <v>73733</v>
      </c>
      <c r="J106" s="4" t="n">
        <f aca="false">+SUM(J103:J105)</f>
        <v>88190</v>
      </c>
      <c r="K106" s="4" t="n">
        <f aca="false">+SUM(K103:K105)</f>
        <v>106491</v>
      </c>
      <c r="L106" s="4" t="n">
        <f aca="false">+SUM(L103:L105)</f>
        <v>107520</v>
      </c>
      <c r="Q106" s="4" t="n">
        <f aca="false">+SUM(Q103:Q105)</f>
        <v>128249</v>
      </c>
      <c r="R106" s="4" t="n">
        <f aca="false">+SUM(R103:R105)</f>
        <v>134047</v>
      </c>
      <c r="S106" s="4" t="n">
        <f aca="false">+SUM(S103:S105)</f>
        <v>107147</v>
      </c>
      <c r="T106" s="4" t="n">
        <f aca="false">+SUM(T103:T105)</f>
        <v>90488</v>
      </c>
      <c r="U106" s="4" t="n">
        <f aca="false">+SUM(U103:U105)</f>
        <v>65339</v>
      </c>
      <c r="V106" s="4" t="n">
        <f aca="false">+SUM(V103:V105)</f>
        <v>63090</v>
      </c>
      <c r="W106" s="4" t="n">
        <f aca="false">+SUM(W103:W105)</f>
        <v>50672</v>
      </c>
      <c r="X106" s="4" t="n">
        <f aca="false">+SUM(X103:X105)</f>
        <v>62146</v>
      </c>
      <c r="Y106" s="4" t="n">
        <f aca="false">+SUM(Y103:Y105)</f>
        <v>56950</v>
      </c>
      <c r="Z106" s="4" t="n">
        <f aca="false">+SUM(Z103:Z105)</f>
        <v>73733</v>
      </c>
    </row>
    <row r="107" customFormat="false" ht="12.8" hidden="false" customHeight="false" outlineLevel="0" collapsed="false">
      <c r="A107" s="1" t="s">
        <v>144</v>
      </c>
      <c r="B107" s="4" t="n">
        <f aca="false">+B106+B102</f>
        <v>0</v>
      </c>
      <c r="C107" s="4" t="n">
        <f aca="false">+C106+C102</f>
        <v>0</v>
      </c>
      <c r="D107" s="4" t="n">
        <f aca="false">+D106+D102</f>
        <v>0</v>
      </c>
      <c r="E107" s="4" t="n">
        <f aca="false">+E106+E102</f>
        <v>364980</v>
      </c>
      <c r="F107" s="4" t="n">
        <f aca="false">+F106+F102</f>
        <v>344085</v>
      </c>
      <c r="G107" s="4" t="n">
        <f aca="false">+G106+G102</f>
        <v>331230</v>
      </c>
      <c r="H107" s="4" t="n">
        <f aca="false">+H106+H102</f>
        <v>331495</v>
      </c>
      <c r="I107" s="4" t="n">
        <f aca="false">+I106+I102</f>
        <v>359241</v>
      </c>
      <c r="J107" s="4" t="n">
        <f aca="false">+J106+J102</f>
        <v>379297</v>
      </c>
      <c r="K107" s="4" t="n">
        <f aca="false">+K106+K102</f>
        <v>371082</v>
      </c>
      <c r="L107" s="4" t="n">
        <f aca="false">+L106+L102</f>
        <v>383266</v>
      </c>
      <c r="Q107" s="4" t="n">
        <f aca="false">+Q106+Q102</f>
        <v>321686</v>
      </c>
      <c r="R107" s="4" t="n">
        <f aca="false">+R106+R102</f>
        <v>415319</v>
      </c>
      <c r="S107" s="4" t="n">
        <f aca="false">+S106+S102</f>
        <v>365725</v>
      </c>
      <c r="T107" s="4" t="n">
        <f aca="false">+T106+T102</f>
        <v>338516</v>
      </c>
      <c r="U107" s="4" t="n">
        <f aca="false">+U106+U102</f>
        <v>323888</v>
      </c>
      <c r="V107" s="4" t="n">
        <f aca="false">+V106+V102</f>
        <v>351002</v>
      </c>
      <c r="W107" s="4" t="n">
        <f aca="false">+W106+W102</f>
        <v>352755</v>
      </c>
      <c r="X107" s="4" t="n">
        <f aca="false">+X106+X102</f>
        <v>352583</v>
      </c>
      <c r="Y107" s="4" t="n">
        <f aca="false">+Y106+Y102</f>
        <v>364980</v>
      </c>
      <c r="Z107" s="4" t="n">
        <f aca="false">+Z106+Z102</f>
        <v>359241</v>
      </c>
    </row>
    <row r="110" customFormat="false" ht="12.8" hidden="false" customHeight="false" outlineLevel="0" collapsed="false">
      <c r="A110" s="1" t="s">
        <v>145</v>
      </c>
      <c r="B110" s="4" t="n">
        <f aca="false">+B40</f>
        <v>33916</v>
      </c>
      <c r="C110" s="4" t="n">
        <f aca="false">+C40</f>
        <v>23636</v>
      </c>
      <c r="D110" s="4" t="n">
        <f aca="false">+D40</f>
        <v>21448</v>
      </c>
      <c r="E110" s="4" t="n">
        <f aca="false">+E40</f>
        <v>14736</v>
      </c>
      <c r="F110" s="4" t="n">
        <f aca="false">+F40</f>
        <v>36330</v>
      </c>
      <c r="G110" s="4" t="n">
        <f aca="false">+G40</f>
        <v>24780</v>
      </c>
      <c r="H110" s="4" t="n">
        <f aca="false">+H40</f>
        <v>23434</v>
      </c>
      <c r="I110" s="4" t="n">
        <f aca="false">+I40</f>
        <v>27466</v>
      </c>
      <c r="J110" s="4" t="n">
        <f aca="false">+J40</f>
        <v>42097</v>
      </c>
      <c r="K110" s="4" t="n">
        <f aca="false">+K40</f>
        <v>29578</v>
      </c>
      <c r="L110" s="4" t="n">
        <f aca="false">+L40</f>
        <v>29789</v>
      </c>
      <c r="Q110" s="4" t="n">
        <f aca="false">+Q40</f>
        <v>43165</v>
      </c>
      <c r="R110" s="4" t="n">
        <f aca="false">+R40</f>
        <v>46015</v>
      </c>
      <c r="S110" s="4" t="n">
        <f aca="false">+S40</f>
        <v>59531</v>
      </c>
      <c r="T110" s="4" t="n">
        <f aca="false">+T40</f>
        <v>55256</v>
      </c>
      <c r="U110" s="4" t="n">
        <f aca="false">+U40</f>
        <v>57411</v>
      </c>
      <c r="V110" s="4" t="n">
        <f aca="false">+V40</f>
        <v>94680</v>
      </c>
      <c r="W110" s="4" t="n">
        <f aca="false">+W40</f>
        <v>99803</v>
      </c>
      <c r="X110" s="4" t="n">
        <f aca="false">+X40</f>
        <v>96995</v>
      </c>
      <c r="Y110" s="4" t="n">
        <f aca="false">+Y40</f>
        <v>93736</v>
      </c>
      <c r="Z110" s="4" t="n">
        <f aca="false">+Z40</f>
        <v>112010</v>
      </c>
    </row>
    <row r="111" customFormat="false" ht="12.8" hidden="false" customHeight="false" outlineLevel="0" collapsed="false">
      <c r="A111" s="1" t="s">
        <v>91</v>
      </c>
      <c r="C111" s="4" t="n">
        <f aca="false">+57552-B111</f>
        <v>57552</v>
      </c>
      <c r="D111" s="4" t="n">
        <f aca="false">+79000-C111-B111</f>
        <v>21448</v>
      </c>
      <c r="E111" s="4" t="n">
        <f aca="false">+93736-D111-C111-B111</f>
        <v>14736</v>
      </c>
      <c r="F111" s="4" t="n">
        <v>36330</v>
      </c>
      <c r="G111" s="4" t="n">
        <f aca="false">+61110-F111</f>
        <v>24780</v>
      </c>
      <c r="H111" s="4" t="n">
        <f aca="false">+84544-G111-F111</f>
        <v>23434</v>
      </c>
      <c r="I111" s="4" t="n">
        <f aca="false">+112010-H111-G111-F111</f>
        <v>27466</v>
      </c>
      <c r="J111" s="4" t="n">
        <v>42097</v>
      </c>
      <c r="K111" s="4" t="n">
        <f aca="false">+71675-J111</f>
        <v>29578</v>
      </c>
      <c r="L111" s="4" t="n">
        <f aca="false">+101464-K111-J111</f>
        <v>29789</v>
      </c>
      <c r="Q111" s="4" t="n">
        <v>45687</v>
      </c>
      <c r="R111" s="4" t="n">
        <v>48351</v>
      </c>
      <c r="S111" s="4" t="n">
        <v>58531</v>
      </c>
      <c r="T111" s="4" t="n">
        <v>55256</v>
      </c>
      <c r="U111" s="4" t="n">
        <v>57411</v>
      </c>
      <c r="V111" s="4" t="n">
        <v>94680</v>
      </c>
      <c r="W111" s="4" t="n">
        <v>99803</v>
      </c>
      <c r="X111" s="4" t="n">
        <v>96995</v>
      </c>
      <c r="Y111" s="4" t="n">
        <v>93736</v>
      </c>
      <c r="Z111" s="4" t="n">
        <v>112010</v>
      </c>
    </row>
    <row r="112" customFormat="false" ht="12.8" hidden="false" customHeight="false" outlineLevel="0" collapsed="false">
      <c r="A112" s="1" t="s">
        <v>146</v>
      </c>
      <c r="C112" s="4" t="n">
        <f aca="false">+5684-B112</f>
        <v>5684</v>
      </c>
      <c r="D112" s="4" t="n">
        <f aca="false">+8534-C112-B112</f>
        <v>2850</v>
      </c>
      <c r="E112" s="4" t="n">
        <f aca="false">+11445-D112-C112-B112</f>
        <v>2911</v>
      </c>
      <c r="F112" s="4" t="n">
        <v>3080</v>
      </c>
      <c r="G112" s="4" t="n">
        <f aca="false">+5741-F112</f>
        <v>2661</v>
      </c>
      <c r="H112" s="4" t="n">
        <f aca="false">+8571-G112-F112</f>
        <v>2830</v>
      </c>
      <c r="I112" s="4" t="n">
        <f aca="false">+11698-H112-G112-F112</f>
        <v>3127</v>
      </c>
      <c r="J112" s="4" t="n">
        <v>3214</v>
      </c>
      <c r="K112" s="4" t="n">
        <f aca="false">+6653-J112</f>
        <v>3439</v>
      </c>
      <c r="L112" s="4" t="n">
        <f aca="false">+9973-K112-J112</f>
        <v>3320</v>
      </c>
      <c r="Q112" s="4" t="n">
        <v>10505</v>
      </c>
      <c r="R112" s="4" t="n">
        <v>10157</v>
      </c>
      <c r="S112" s="4" t="n">
        <v>10903</v>
      </c>
      <c r="T112" s="4" t="n">
        <v>12547</v>
      </c>
      <c r="U112" s="4" t="n">
        <v>11056</v>
      </c>
      <c r="V112" s="4" t="n">
        <v>11284</v>
      </c>
      <c r="W112" s="4" t="n">
        <v>11104</v>
      </c>
      <c r="X112" s="4" t="n">
        <v>11519</v>
      </c>
      <c r="Y112" s="4" t="n">
        <v>11445</v>
      </c>
      <c r="Z112" s="4" t="n">
        <v>11698</v>
      </c>
      <c r="AA112" s="6" t="n">
        <f aca="false">+AA$16*0.03</f>
        <v>13483.6164</v>
      </c>
      <c r="AB112" s="6" t="n">
        <f aca="false">+AB$16*0.03</f>
        <v>14292.633384</v>
      </c>
      <c r="AC112" s="6" t="n">
        <f aca="false">+AC$16*0.03</f>
        <v>15150.19138704</v>
      </c>
      <c r="AD112" s="6" t="n">
        <f aca="false">+AD$16*0.03</f>
        <v>16059.2028702624</v>
      </c>
      <c r="AE112" s="6" t="n">
        <f aca="false">+AE$16*0.03</f>
        <v>17022.7550424781</v>
      </c>
    </row>
    <row r="113" s="17" customFormat="true" ht="10.5" hidden="false" customHeight="true" outlineLevel="0" collapsed="false">
      <c r="B113" s="17" t="n">
        <f aca="false">+B112/B$16</f>
        <v>0</v>
      </c>
      <c r="C113" s="17" t="n">
        <f aca="false">+C112/C$16</f>
        <v>0.0626315383513493</v>
      </c>
      <c r="D113" s="17" t="n">
        <f aca="false">+D112/D$16</f>
        <v>0.0332256898702449</v>
      </c>
      <c r="E113" s="17" t="n">
        <f aca="false">+E112/E$16</f>
        <v>0.0306647003054883</v>
      </c>
      <c r="F113" s="17" t="n">
        <f aca="false">+F112/F$16</f>
        <v>0.0247787610619469</v>
      </c>
      <c r="G113" s="17" t="n">
        <f aca="false">+G112/G$16</f>
        <v>0.0279050745079122</v>
      </c>
      <c r="H113" s="17" t="n">
        <f aca="false">+H112/H$16</f>
        <v>0.0300948572886979</v>
      </c>
      <c r="I113" s="17" t="n">
        <f aca="false">+I112/I$16</f>
        <v>0.0305174399312943</v>
      </c>
      <c r="J113" s="17" t="n">
        <f aca="false">+J112/J$16</f>
        <v>0.0223573276941484</v>
      </c>
      <c r="K113" s="17" t="n">
        <f aca="false">+K112/K$16</f>
        <v>0.0309307094545978</v>
      </c>
      <c r="L113" s="17" t="n">
        <f aca="false">+L112/L$16</f>
        <v>0.0303426341427749</v>
      </c>
      <c r="Q113" s="17" t="n">
        <f aca="false">+Q112/Q$16</f>
        <v>0.0492921728440246</v>
      </c>
      <c r="R113" s="17" t="n">
        <f aca="false">+R112/R$16</f>
        <v>0.0447646078854816</v>
      </c>
      <c r="S113" s="17" t="n">
        <f aca="false">+S112/S$16</f>
        <v>0.041051224608897</v>
      </c>
      <c r="T113" s="17" t="n">
        <f aca="false">+T112/T$16</f>
        <v>0.0482254183738575</v>
      </c>
      <c r="U113" s="17" t="n">
        <f aca="false">+U112/U$16</f>
        <v>0.0402746662295321</v>
      </c>
      <c r="V113" s="17" t="n">
        <f aca="false">+V112/V$16</f>
        <v>0.0308460241049487</v>
      </c>
      <c r="W113" s="17" t="n">
        <f aca="false">+W112/W$16</f>
        <v>0.0281592988578037</v>
      </c>
      <c r="X113" s="17" t="n">
        <f aca="false">+X112/X$16</f>
        <v>0.0300533545534002</v>
      </c>
      <c r="Y113" s="17" t="n">
        <f aca="false">+Y112/Y$16</f>
        <v>0.0292684798035981</v>
      </c>
      <c r="Z113" s="17" t="n">
        <f aca="false">+Z112/Z$16</f>
        <v>0.0281093134628185</v>
      </c>
      <c r="AA113" s="17" t="n">
        <f aca="false">+AA112/AA$16</f>
        <v>0.03</v>
      </c>
      <c r="AB113" s="17" t="n">
        <f aca="false">+AB112/AB$16</f>
        <v>0.03</v>
      </c>
      <c r="AC113" s="17" t="n">
        <f aca="false">+AC112/AC$16</f>
        <v>0.03</v>
      </c>
      <c r="AD113" s="17" t="n">
        <f aca="false">+AD112/AD$16</f>
        <v>0.03</v>
      </c>
      <c r="AE113" s="17" t="n">
        <f aca="false">+AE112/AE$16</f>
        <v>0.03</v>
      </c>
    </row>
    <row r="114" customFormat="false" ht="12.8" hidden="false" customHeight="false" outlineLevel="0" collapsed="false">
      <c r="A114" s="1" t="s">
        <v>147</v>
      </c>
      <c r="C114" s="4" t="n">
        <f aca="false">+5961-B114</f>
        <v>5961</v>
      </c>
      <c r="D114" s="4" t="n">
        <f aca="false">+8830-C114-B114</f>
        <v>2869</v>
      </c>
      <c r="E114" s="4" t="n">
        <f aca="false">+11688-D114-C114-B114</f>
        <v>2858</v>
      </c>
      <c r="F114" s="4" t="n">
        <v>3286</v>
      </c>
      <c r="G114" s="4" t="n">
        <f aca="false">+6512-F114</f>
        <v>3226</v>
      </c>
      <c r="H114" s="4" t="n">
        <f aca="false">+9680-G114-F114</f>
        <v>3168</v>
      </c>
      <c r="I114" s="4" t="n">
        <f aca="false">+12863-H114-G114-F114</f>
        <v>3183</v>
      </c>
      <c r="J114" s="4" t="n">
        <v>3594</v>
      </c>
      <c r="K114" s="4" t="n">
        <f aca="false">+7122-J114</f>
        <v>3528</v>
      </c>
      <c r="L114" s="4" t="n">
        <f aca="false">+10523-K114-J114</f>
        <v>3401</v>
      </c>
      <c r="Q114" s="4" t="n">
        <v>4210</v>
      </c>
      <c r="R114" s="4" t="n">
        <v>4840</v>
      </c>
      <c r="S114" s="4" t="n">
        <v>5340</v>
      </c>
      <c r="T114" s="4" t="n">
        <v>6068</v>
      </c>
      <c r="U114" s="4" t="n">
        <v>6829</v>
      </c>
      <c r="V114" s="4" t="n">
        <v>7906</v>
      </c>
      <c r="W114" s="4" t="n">
        <v>9038</v>
      </c>
      <c r="X114" s="4" t="n">
        <v>10833</v>
      </c>
      <c r="Y114" s="4" t="n">
        <v>11688</v>
      </c>
      <c r="Z114" s="4" t="n">
        <v>12863</v>
      </c>
    </row>
    <row r="115" customFormat="false" ht="12.8" hidden="false" customHeight="false" outlineLevel="0" collapsed="false">
      <c r="A115" s="1" t="s">
        <v>148</v>
      </c>
      <c r="C115" s="4" t="n">
        <f aca="false">-1971-B115</f>
        <v>-1971</v>
      </c>
      <c r="D115" s="4" t="n">
        <f aca="false">-1964-C115-B115</f>
        <v>7</v>
      </c>
      <c r="E115" s="4" t="n">
        <f aca="false">-2266-D115-C115-B115</f>
        <v>-302</v>
      </c>
      <c r="F115" s="4" t="n">
        <v>-2009</v>
      </c>
      <c r="G115" s="4" t="n">
        <f aca="false">-2217-F115</f>
        <v>-208</v>
      </c>
      <c r="H115" s="4" t="n">
        <f aca="false">-1748-G115-F115</f>
        <v>469</v>
      </c>
      <c r="I115" s="4" t="n">
        <f aca="false">-89-H115-G115-F115</f>
        <v>1659</v>
      </c>
      <c r="J115" s="4" t="n">
        <v>-528</v>
      </c>
      <c r="K115" s="4" t="n">
        <f aca="false">-1717-J115</f>
        <v>-1189</v>
      </c>
      <c r="L115" s="4" t="n">
        <f aca="false">-2037-K115-J115</f>
        <v>-320</v>
      </c>
      <c r="Q115" s="4" t="n">
        <f aca="false">+486+4938</f>
        <v>5424</v>
      </c>
      <c r="R115" s="4" t="n">
        <f aca="false">-166+5966</f>
        <v>5800</v>
      </c>
      <c r="S115" s="4" t="n">
        <f aca="false">-444-32590</f>
        <v>-33034</v>
      </c>
      <c r="T115" s="4" t="n">
        <f aca="false">-340-652</f>
        <v>-992</v>
      </c>
      <c r="U115" s="4" t="n">
        <f aca="false">-215-97</f>
        <v>-312</v>
      </c>
      <c r="V115" s="4" t="n">
        <f aca="false">-147-4774</f>
        <v>-4921</v>
      </c>
      <c r="W115" s="4" t="n">
        <f aca="false">+895+111</f>
        <v>1006</v>
      </c>
      <c r="X115" s="4" t="n">
        <v>-2227</v>
      </c>
      <c r="Y115" s="4" t="n">
        <v>-2266</v>
      </c>
      <c r="Z115" s="4" t="n">
        <v>-89</v>
      </c>
    </row>
    <row r="116" customFormat="false" ht="12.8" hidden="false" customHeight="false" outlineLevel="0" collapsed="false">
      <c r="A116" s="1" t="s">
        <v>126</v>
      </c>
      <c r="C116" s="4" t="n">
        <f aca="false">+7727-B116</f>
        <v>7727</v>
      </c>
      <c r="D116" s="4" t="n">
        <f aca="false">+6697-C116-B116</f>
        <v>-1030</v>
      </c>
      <c r="E116" s="4" t="n">
        <f aca="false">-3788-D116-C116-B116</f>
        <v>-10485</v>
      </c>
      <c r="F116" s="4" t="n">
        <v>3597</v>
      </c>
      <c r="G116" s="4" t="n">
        <f aca="false">+7266-F116</f>
        <v>3669</v>
      </c>
      <c r="H116" s="4" t="n">
        <f aca="false">+5685-G116-F116</f>
        <v>-1581</v>
      </c>
      <c r="I116" s="4" t="n">
        <f aca="false">-6682-H116-G116-F116</f>
        <v>-12367</v>
      </c>
      <c r="J116" s="4" t="n">
        <v>-153</v>
      </c>
      <c r="K116" s="4" t="n">
        <f aca="false">+9295-J116</f>
        <v>9448</v>
      </c>
      <c r="L116" s="4" t="n">
        <f aca="false">+8316-K116-J116</f>
        <v>-979</v>
      </c>
      <c r="Q116" s="4" t="n">
        <v>527</v>
      </c>
      <c r="R116" s="4" t="n">
        <v>-2093</v>
      </c>
      <c r="S116" s="4" t="n">
        <v>-5322</v>
      </c>
      <c r="T116" s="4" t="n">
        <v>245</v>
      </c>
      <c r="U116" s="4" t="n">
        <v>6917</v>
      </c>
      <c r="V116" s="4" t="n">
        <v>-10125</v>
      </c>
      <c r="W116" s="4" t="n">
        <v>-1823</v>
      </c>
      <c r="X116" s="4" t="n">
        <v>-1688</v>
      </c>
      <c r="Y116" s="4" t="n">
        <v>-3788</v>
      </c>
      <c r="Z116" s="4" t="n">
        <v>-6682</v>
      </c>
    </row>
    <row r="117" customFormat="false" ht="12.8" hidden="false" customHeight="false" outlineLevel="0" collapsed="false">
      <c r="A117" s="1" t="s">
        <v>127</v>
      </c>
      <c r="C117" s="4" t="n">
        <f aca="false">+12164-B117</f>
        <v>12164</v>
      </c>
      <c r="D117" s="4" t="n">
        <f aca="false">+11100-C117-B117</f>
        <v>-1064</v>
      </c>
      <c r="E117" s="4" t="n">
        <f aca="false">-1356-D117-C117-B117</f>
        <v>-12456</v>
      </c>
      <c r="F117" s="4" t="n">
        <v>3166</v>
      </c>
      <c r="G117" s="4" t="n">
        <f aca="false">+9171-F117</f>
        <v>6005</v>
      </c>
      <c r="H117" s="4" t="n">
        <f aca="false">+13555-G117-F117</f>
        <v>4384</v>
      </c>
      <c r="I117" s="4" t="n">
        <f aca="false">-347-H117-G117-F117</f>
        <v>-13902</v>
      </c>
      <c r="J117" s="4" t="n">
        <v>2781</v>
      </c>
      <c r="K117" s="4" t="n">
        <f aca="false">+10008-J117</f>
        <v>7227</v>
      </c>
      <c r="L117" s="4" t="n">
        <f aca="false">+5671-K117-J117</f>
        <v>-4337</v>
      </c>
      <c r="Q117" s="4" t="n">
        <v>217</v>
      </c>
      <c r="R117" s="4" t="n">
        <v>-2723</v>
      </c>
      <c r="S117" s="4" t="n">
        <v>828</v>
      </c>
      <c r="T117" s="4" t="n">
        <v>-289</v>
      </c>
      <c r="U117" s="4" t="n">
        <v>-127</v>
      </c>
      <c r="V117" s="4" t="n">
        <v>-3903</v>
      </c>
      <c r="W117" s="4" t="n">
        <v>-7520</v>
      </c>
      <c r="X117" s="4" t="n">
        <v>1271</v>
      </c>
      <c r="Y117" s="4" t="n">
        <v>-1356</v>
      </c>
      <c r="Z117" s="4" t="n">
        <v>-347</v>
      </c>
    </row>
    <row r="118" customFormat="false" ht="12.8" hidden="false" customHeight="false" outlineLevel="0" collapsed="false">
      <c r="A118" s="1" t="s">
        <v>128</v>
      </c>
      <c r="C118" s="4" t="n">
        <f aca="false">+53-B118</f>
        <v>53</v>
      </c>
      <c r="D118" s="4" t="n">
        <f aca="false">+41-C118-B118</f>
        <v>-12</v>
      </c>
      <c r="E118" s="4" t="n">
        <f aca="false">-1046-D118-C118-B118</f>
        <v>-1087</v>
      </c>
      <c r="F118" s="4" t="n">
        <v>215</v>
      </c>
      <c r="G118" s="4" t="n">
        <f aca="false">+858-F118</f>
        <v>643</v>
      </c>
      <c r="H118" s="4" t="n">
        <f aca="false">+1223-G118-F118</f>
        <v>365</v>
      </c>
      <c r="I118" s="4" t="n">
        <f aca="false">+1400-H118-G118-F118</f>
        <v>177</v>
      </c>
      <c r="J118" s="4" t="n">
        <v>-211</v>
      </c>
      <c r="K118" s="4" t="n">
        <f aca="false">-1084-J118</f>
        <v>-873</v>
      </c>
      <c r="L118" s="4" t="n">
        <f aca="false">-5461-K118-J118</f>
        <v>-4377</v>
      </c>
      <c r="Q118" s="4" t="n">
        <v>-51</v>
      </c>
      <c r="R118" s="4" t="n">
        <v>-4254</v>
      </c>
      <c r="S118" s="4" t="n">
        <v>-8010</v>
      </c>
      <c r="T118" s="4" t="n">
        <v>2931</v>
      </c>
      <c r="U118" s="4" t="n">
        <v>1553</v>
      </c>
      <c r="V118" s="4" t="n">
        <v>-2642</v>
      </c>
      <c r="W118" s="4" t="n">
        <v>1484</v>
      </c>
      <c r="X118" s="4" t="n">
        <v>-1618</v>
      </c>
      <c r="Y118" s="4" t="n">
        <v>-1046</v>
      </c>
      <c r="Z118" s="4" t="n">
        <v>1400</v>
      </c>
    </row>
    <row r="119" customFormat="false" ht="12.8" hidden="false" customHeight="false" outlineLevel="0" collapsed="false">
      <c r="A119" s="1" t="s">
        <v>149</v>
      </c>
      <c r="C119" s="4" t="n">
        <f aca="false">-4438-B119</f>
        <v>-4438</v>
      </c>
      <c r="D119" s="4" t="n">
        <f aca="false">-5626-C119-B119</f>
        <v>-1188</v>
      </c>
      <c r="E119" s="4" t="n">
        <f aca="false">-11731-D119-C119-B119</f>
        <v>-6105</v>
      </c>
      <c r="F119" s="4" t="n">
        <v>939</v>
      </c>
      <c r="G119" s="4" t="n">
        <f aca="false">-4371-F119</f>
        <v>-5310</v>
      </c>
      <c r="H119" s="4" t="n">
        <f aca="false">-6116-G119-F119</f>
        <v>-1745</v>
      </c>
      <c r="I119" s="4" t="n">
        <f aca="false">-9197-H119-G119-F119</f>
        <v>-3081</v>
      </c>
      <c r="J119" s="4" t="n">
        <v>-10250</v>
      </c>
      <c r="K119" s="4" t="n">
        <f aca="false">-14329-J119</f>
        <v>-4079</v>
      </c>
      <c r="L119" s="4" t="n">
        <f aca="false">+16266-K119-J119</f>
        <v>30595</v>
      </c>
      <c r="Q119" s="4" t="n">
        <v>1055</v>
      </c>
      <c r="R119" s="4" t="n">
        <v>-5318</v>
      </c>
      <c r="S119" s="4" t="n">
        <v>-423</v>
      </c>
      <c r="T119" s="4" t="n">
        <v>873</v>
      </c>
      <c r="U119" s="4" t="n">
        <v>-9588</v>
      </c>
      <c r="V119" s="4" t="n">
        <v>-8042</v>
      </c>
      <c r="W119" s="4" t="n">
        <v>-6499</v>
      </c>
      <c r="X119" s="4" t="n">
        <v>-5684</v>
      </c>
      <c r="Y119" s="4" t="n">
        <v>-11731</v>
      </c>
      <c r="Z119" s="4" t="n">
        <v>-9197</v>
      </c>
    </row>
    <row r="120" customFormat="false" ht="12.8" hidden="false" customHeight="false" outlineLevel="0" collapsed="false">
      <c r="A120" s="1" t="s">
        <v>135</v>
      </c>
      <c r="C120" s="4" t="n">
        <f aca="false">-16710-B120</f>
        <v>-16710</v>
      </c>
      <c r="D120" s="4" t="n">
        <f aca="false">-15171-C120-B120</f>
        <v>1539</v>
      </c>
      <c r="E120" s="4" t="n">
        <f aca="false">+6020-D120-C120-B120</f>
        <v>21191</v>
      </c>
      <c r="F120" s="4" t="n">
        <v>-6671</v>
      </c>
      <c r="G120" s="4" t="n">
        <f aca="false">-14604-F120</f>
        <v>-7933</v>
      </c>
      <c r="H120" s="4" t="n">
        <f aca="false">-18479-G120-F120</f>
        <v>-3875</v>
      </c>
      <c r="I120" s="4" t="n">
        <f aca="false">+902-H120-G120-F120</f>
        <v>19381</v>
      </c>
      <c r="J120" s="4" t="n">
        <v>848</v>
      </c>
      <c r="K120" s="4" t="n">
        <f aca="false">-12297-J120</f>
        <v>-13145</v>
      </c>
      <c r="L120" s="4" t="n">
        <f aca="false">-5203-K120-J120</f>
        <v>7094</v>
      </c>
      <c r="Q120" s="4" t="n">
        <v>1837</v>
      </c>
      <c r="R120" s="4" t="n">
        <v>8966</v>
      </c>
      <c r="S120" s="4" t="n">
        <v>9175</v>
      </c>
      <c r="T120" s="4" t="n">
        <v>-1923</v>
      </c>
      <c r="U120" s="4" t="n">
        <v>-4062</v>
      </c>
      <c r="V120" s="4" t="n">
        <v>12326</v>
      </c>
      <c r="W120" s="4" t="n">
        <v>9448</v>
      </c>
      <c r="X120" s="4" t="n">
        <v>-1889</v>
      </c>
      <c r="Y120" s="4" t="n">
        <v>6020</v>
      </c>
      <c r="Z120" s="4" t="n">
        <v>902</v>
      </c>
    </row>
    <row r="121" customFormat="false" ht="12.8" hidden="false" customHeight="false" outlineLevel="0" collapsed="false">
      <c r="A121" s="1" t="s">
        <v>150</v>
      </c>
      <c r="C121" s="4" t="n">
        <f aca="false">-3437-B121</f>
        <v>-3437</v>
      </c>
      <c r="D121" s="4" t="n">
        <f aca="false">+2-C121-B121</f>
        <v>3439</v>
      </c>
      <c r="E121" s="4" t="n">
        <f aca="false">+15552-D121-C121-B121</f>
        <v>15550</v>
      </c>
      <c r="F121" s="4" t="n">
        <v>-11998</v>
      </c>
      <c r="G121" s="4" t="n">
        <f aca="false">-15579-F121</f>
        <v>-3581</v>
      </c>
      <c r="H121" s="4" t="n">
        <f aca="false">-15161-G121-F121</f>
        <v>418</v>
      </c>
      <c r="I121" s="4" t="n">
        <f aca="false">-11076-H121-G121-F121</f>
        <v>4085</v>
      </c>
      <c r="J121" s="4" t="n">
        <v>12533</v>
      </c>
      <c r="K121" s="4" t="n">
        <f aca="false">+7301-J121</f>
        <v>-5232</v>
      </c>
      <c r="L121" s="4" t="n">
        <f aca="false">+10016-K121-J121</f>
        <v>2715</v>
      </c>
      <c r="Q121" s="4" t="n">
        <f aca="false">-1554-2033</f>
        <v>-3587</v>
      </c>
      <c r="R121" s="4" t="n">
        <f aca="false">+1125-626</f>
        <v>499</v>
      </c>
      <c r="S121" s="4" t="n">
        <f aca="false">+38490-44</f>
        <v>38446</v>
      </c>
      <c r="T121" s="4" t="n">
        <f aca="false">-625-4700</f>
        <v>-5325</v>
      </c>
      <c r="U121" s="4" t="n">
        <f aca="false">+2081+8916</f>
        <v>10997</v>
      </c>
      <c r="V121" s="4" t="n">
        <f aca="false">+1676+5799</f>
        <v>7475</v>
      </c>
      <c r="W121" s="4" t="n">
        <f aca="false">+478+5632</f>
        <v>6110</v>
      </c>
      <c r="X121" s="4" t="n">
        <v>3031</v>
      </c>
      <c r="Y121" s="4" t="n">
        <v>15552</v>
      </c>
      <c r="Z121" s="4" t="n">
        <v>-11076</v>
      </c>
    </row>
    <row r="122" customFormat="false" ht="12.8" hidden="false" customHeight="false" outlineLevel="0" collapsed="false">
      <c r="A122" s="1" t="s">
        <v>151</v>
      </c>
      <c r="B122" s="4" t="n">
        <f aca="false">+SUM(B111:B121)-B113</f>
        <v>0</v>
      </c>
      <c r="C122" s="4" t="n">
        <f aca="false">+SUM(C111:C121)-C113</f>
        <v>62585</v>
      </c>
      <c r="D122" s="4" t="n">
        <f aca="false">+SUM(D111:D121)-D113</f>
        <v>28858</v>
      </c>
      <c r="E122" s="4" t="n">
        <f aca="false">+SUM(E111:E121)-E113</f>
        <v>26811</v>
      </c>
      <c r="F122" s="4" t="n">
        <f aca="false">+SUM(F111:F121)-F113</f>
        <v>29935</v>
      </c>
      <c r="G122" s="4" t="n">
        <f aca="false">+SUM(G111:G121)-G113</f>
        <v>23952</v>
      </c>
      <c r="H122" s="4" t="n">
        <f aca="false">+SUM(H111:H121)-H113</f>
        <v>27867</v>
      </c>
      <c r="I122" s="4" t="n">
        <f aca="false">+SUM(I111:I121)-I113</f>
        <v>29728</v>
      </c>
      <c r="J122" s="4" t="n">
        <f aca="false">+SUM(J111:J121)-J113</f>
        <v>53925</v>
      </c>
      <c r="K122" s="4" t="n">
        <f aca="false">+SUM(K111:K121)-K113</f>
        <v>28702</v>
      </c>
      <c r="L122" s="4" t="n">
        <f aca="false">+SUM(L111:L121)-L113</f>
        <v>66901</v>
      </c>
      <c r="Q122" s="4" t="n">
        <f aca="false">+SUM(Q111:Q121)-Q113</f>
        <v>65824</v>
      </c>
      <c r="R122" s="4" t="n">
        <f aca="false">+SUM(R111:R121)-R113</f>
        <v>64225</v>
      </c>
      <c r="S122" s="4" t="n">
        <f aca="false">+SUM(S111:S121)-S113</f>
        <v>76434</v>
      </c>
      <c r="T122" s="4" t="n">
        <f aca="false">+SUM(T111:T121)-T113</f>
        <v>69391</v>
      </c>
      <c r="U122" s="4" t="n">
        <f aca="false">+SUM(U111:U121)-U113</f>
        <v>80674</v>
      </c>
      <c r="V122" s="4" t="n">
        <f aca="false">+SUM(V111:V121)-V113</f>
        <v>104038</v>
      </c>
      <c r="W122" s="4" t="n">
        <f aca="false">+SUM(W111:W121)-W113</f>
        <v>122151</v>
      </c>
      <c r="X122" s="4" t="n">
        <f aca="false">+SUM(X111:X121)-X113</f>
        <v>110543</v>
      </c>
      <c r="Y122" s="4" t="n">
        <f aca="false">+SUM(Y111:Y121)-Y113</f>
        <v>118254</v>
      </c>
      <c r="Z122" s="4" t="n">
        <f aca="false">+SUM(Z111:Z121)-Z113</f>
        <v>111482</v>
      </c>
    </row>
    <row r="124" customFormat="false" ht="12.8" hidden="false" customHeight="false" outlineLevel="0" collapsed="false">
      <c r="A124" s="1" t="s">
        <v>152</v>
      </c>
      <c r="C124" s="4" t="n">
        <f aca="false">+4388-B124</f>
        <v>4388</v>
      </c>
      <c r="D124" s="4" t="n">
        <f aca="false">+6539-C124-B124</f>
        <v>2151</v>
      </c>
      <c r="E124" s="4" t="n">
        <f aca="false">+9447-D124-C124-B124</f>
        <v>2908</v>
      </c>
      <c r="F124" s="4" t="n">
        <v>2940</v>
      </c>
      <c r="G124" s="4" t="n">
        <f aca="false">+6011-F124</f>
        <v>3071</v>
      </c>
      <c r="H124" s="4" t="n">
        <f aca="false">+9473-G124-F124</f>
        <v>3462</v>
      </c>
      <c r="I124" s="4" t="n">
        <f aca="false">+12715-H124-G124-F124</f>
        <v>3242</v>
      </c>
      <c r="J124" s="4" t="n">
        <v>2373</v>
      </c>
      <c r="K124" s="4" t="n">
        <f aca="false">+4344-J124</f>
        <v>1971</v>
      </c>
      <c r="L124" s="4" t="n">
        <f aca="false">+6799-K124-J124</f>
        <v>2455</v>
      </c>
      <c r="Q124" s="4" t="n">
        <v>12734</v>
      </c>
      <c r="R124" s="4" t="n">
        <v>12451</v>
      </c>
      <c r="S124" s="4" t="n">
        <v>13313</v>
      </c>
      <c r="T124" s="4" t="n">
        <v>10495</v>
      </c>
      <c r="U124" s="4" t="n">
        <v>7309</v>
      </c>
      <c r="V124" s="4" t="n">
        <v>11085</v>
      </c>
      <c r="W124" s="4" t="n">
        <v>10708</v>
      </c>
      <c r="X124" s="4" t="n">
        <v>10959</v>
      </c>
      <c r="Y124" s="4" t="n">
        <v>9447</v>
      </c>
      <c r="Z124" s="4" t="n">
        <v>12715</v>
      </c>
      <c r="AA124" s="6" t="n">
        <f aca="false">+AA$16*0.03</f>
        <v>13483.6164</v>
      </c>
      <c r="AB124" s="6" t="n">
        <f aca="false">+AB$16*0.03</f>
        <v>14292.633384</v>
      </c>
      <c r="AC124" s="6" t="n">
        <f aca="false">+AC$16*0.03</f>
        <v>15150.19138704</v>
      </c>
      <c r="AD124" s="6" t="n">
        <f aca="false">+AD$16*0.03</f>
        <v>16059.2028702624</v>
      </c>
      <c r="AE124" s="6" t="n">
        <f aca="false">+AE$16*0.03</f>
        <v>17022.7550424781</v>
      </c>
    </row>
    <row r="125" s="17" customFormat="true" ht="10.5" hidden="false" customHeight="true" outlineLevel="0" collapsed="false">
      <c r="B125" s="17" t="n">
        <f aca="false">+B124/B$16</f>
        <v>0</v>
      </c>
      <c r="C125" s="17" t="n">
        <f aca="false">+C124/C$16</f>
        <v>0.0483510186991064</v>
      </c>
      <c r="D125" s="17" t="n">
        <f aca="false">+D124/D$16</f>
        <v>0.0250766522494375</v>
      </c>
      <c r="E125" s="17" t="n">
        <f aca="false">+E124/E$16</f>
        <v>0.0306330980722638</v>
      </c>
      <c r="F125" s="17" t="n">
        <f aca="false">+F124/F$16</f>
        <v>0.0236524537409493</v>
      </c>
      <c r="G125" s="17" t="n">
        <f aca="false">+G124/G$16</f>
        <v>0.0322046162396837</v>
      </c>
      <c r="H125" s="17" t="n">
        <f aca="false">+H124/H$16</f>
        <v>0.0368156876090008</v>
      </c>
      <c r="I125" s="17" t="n">
        <f aca="false">+I124/I$16</f>
        <v>0.0316397634337244</v>
      </c>
      <c r="J125" s="17" t="n">
        <f aca="false">+J124/J$16</f>
        <v>0.0165071370934083</v>
      </c>
      <c r="K125" s="17" t="n">
        <f aca="false">+K124/K$16</f>
        <v>0.0177273708447259</v>
      </c>
      <c r="L125" s="17" t="n">
        <f aca="false">+L124/L$16</f>
        <v>0.0224370984399134</v>
      </c>
      <c r="Q125" s="17" t="n">
        <f aca="false">+Q124/Q$16</f>
        <v>0.0597512164679495</v>
      </c>
      <c r="R125" s="17" t="n">
        <f aca="false">+R124/R$16</f>
        <v>0.054874877698349</v>
      </c>
      <c r="S125" s="17" t="n">
        <f aca="false">+S124/S$16</f>
        <v>0.050125190609763</v>
      </c>
      <c r="T125" s="17" t="n">
        <f aca="false">+T124/T$16</f>
        <v>0.0403383889243353</v>
      </c>
      <c r="U125" s="17" t="n">
        <f aca="false">+U124/U$16</f>
        <v>0.0266251388812997</v>
      </c>
      <c r="V125" s="17" t="n">
        <f aca="false">+V124/V$16</f>
        <v>0.0303020362640337</v>
      </c>
      <c r="W125" s="17" t="n">
        <f aca="false">+W124/W$16</f>
        <v>0.0271550587328316</v>
      </c>
      <c r="X125" s="17" t="n">
        <f aca="false">+X124/X$16</f>
        <v>0.0285923007683578</v>
      </c>
      <c r="Y125" s="17" t="n">
        <f aca="false">+Y124/Y$16</f>
        <v>0.0241589627526948</v>
      </c>
      <c r="Z125" s="17" t="n">
        <f aca="false">+Z124/Z$16</f>
        <v>0.0305530792169377</v>
      </c>
      <c r="AA125" s="17" t="n">
        <f aca="false">+AA124/AA$16</f>
        <v>0.03</v>
      </c>
      <c r="AB125" s="17" t="n">
        <f aca="false">+AB124/AB$16</f>
        <v>0.03</v>
      </c>
      <c r="AC125" s="17" t="n">
        <f aca="false">+AC124/AC$16</f>
        <v>0.03</v>
      </c>
      <c r="AD125" s="17" t="n">
        <f aca="false">+AD124/AD$16</f>
        <v>0.03</v>
      </c>
      <c r="AE125" s="17" t="n">
        <f aca="false">+AE124/AE$16</f>
        <v>0.03</v>
      </c>
    </row>
    <row r="126" s="18" customFormat="true" ht="12.8" hidden="false" customHeight="false" outlineLevel="0" collapsed="false">
      <c r="A126" s="2" t="s">
        <v>153</v>
      </c>
      <c r="B126" s="18" t="n">
        <f aca="false">+B122-B124</f>
        <v>0</v>
      </c>
      <c r="C126" s="18" t="n">
        <f aca="false">+C122-C124</f>
        <v>58197</v>
      </c>
      <c r="D126" s="18" t="n">
        <f aca="false">+D122-D124</f>
        <v>26707</v>
      </c>
      <c r="E126" s="18" t="n">
        <f aca="false">+E122-E124</f>
        <v>23903</v>
      </c>
      <c r="F126" s="18" t="n">
        <f aca="false">+F122-F124</f>
        <v>26995</v>
      </c>
      <c r="G126" s="18" t="n">
        <f aca="false">+G122-G124</f>
        <v>20881</v>
      </c>
      <c r="H126" s="18" t="n">
        <f aca="false">+H122-H124</f>
        <v>24405</v>
      </c>
      <c r="I126" s="18" t="n">
        <f aca="false">+I122-I124</f>
        <v>26486</v>
      </c>
      <c r="J126" s="18" t="n">
        <f aca="false">+J122-J124</f>
        <v>51552</v>
      </c>
      <c r="K126" s="18" t="n">
        <f aca="false">+K122-K124</f>
        <v>26731</v>
      </c>
      <c r="L126" s="18" t="n">
        <f aca="false">+L122-L124</f>
        <v>64446</v>
      </c>
      <c r="Q126" s="18" t="n">
        <f aca="false">+Q122-Q124</f>
        <v>53090</v>
      </c>
      <c r="R126" s="18" t="n">
        <f aca="false">+R122-R124</f>
        <v>51774</v>
      </c>
      <c r="S126" s="18" t="n">
        <f aca="false">+S122-S124</f>
        <v>63121</v>
      </c>
      <c r="T126" s="18" t="n">
        <f aca="false">+T122-T124</f>
        <v>58896</v>
      </c>
      <c r="U126" s="18" t="n">
        <f aca="false">+U122-U124</f>
        <v>73365</v>
      </c>
      <c r="V126" s="18" t="n">
        <f aca="false">+V122-V124</f>
        <v>92953</v>
      </c>
      <c r="W126" s="18" t="n">
        <f aca="false">+W122-W124</f>
        <v>111443</v>
      </c>
      <c r="X126" s="18" t="n">
        <f aca="false">+X122-X124</f>
        <v>99584</v>
      </c>
      <c r="Y126" s="18" t="n">
        <f aca="false">+Y122-Y124</f>
        <v>108807</v>
      </c>
      <c r="Z126" s="18" t="n">
        <f aca="false">+Z122-Z124</f>
        <v>98767</v>
      </c>
    </row>
    <row r="127" s="17" customFormat="true" ht="10.5" hidden="false" customHeight="true" outlineLevel="0" collapsed="false"/>
    <row r="129" customFormat="false" ht="12.8" hidden="false" customHeight="false" outlineLevel="0" collapsed="false">
      <c r="A129" s="1" t="s">
        <v>154</v>
      </c>
      <c r="C129" s="4" t="e">
        <f aca="false">+AVERAGE(B82:C82)/C16*90</f>
        <v>#DIV/0!</v>
      </c>
      <c r="D129" s="4" t="e">
        <f aca="false">+AVERAGE(C82:D82)/D16*90</f>
        <v>#DIV/0!</v>
      </c>
      <c r="E129" s="4" t="n">
        <f aca="false">+AVERAGE(D82:E82)/E16*90</f>
        <v>31.6749183608975</v>
      </c>
      <c r="F129" s="4" t="n">
        <f aca="false">+AVERAGE(E82:F82)/F16*90</f>
        <v>22.8355993563958</v>
      </c>
      <c r="G129" s="4" t="n">
        <f aca="false">+AVERAGE(F82:G82)/G16*90</f>
        <v>26.3334871380782</v>
      </c>
      <c r="H129" s="4" t="n">
        <f aca="false">+AVERAGE(G82:H82)/H16*90</f>
        <v>25.6942553915522</v>
      </c>
      <c r="I129" s="4" t="n">
        <f aca="false">+AVERAGE(H82:I82)/I16*90</f>
        <v>29.5710772353756</v>
      </c>
      <c r="J129" s="4" t="n">
        <f aca="false">+AVERAGE(I82:J82)/J16*90</f>
        <v>24.9478978268733</v>
      </c>
      <c r="K129" s="4" t="n">
        <f aca="false">+AVERAGE(J82:K82)/K16*90</f>
        <v>28.4366455605123</v>
      </c>
      <c r="L129" s="4" t="n">
        <f aca="false">+AVERAGE(K82:L82)/L16*90</f>
        <v>25.3906157178501</v>
      </c>
      <c r="Q129" s="4" t="n">
        <f aca="false">+AVERAGE(P82:Q82)/Q16*365</f>
        <v>26.9814702721979</v>
      </c>
      <c r="R129" s="4" t="n">
        <f aca="false">+AVERAGE(Q82:R82)/R16*365</f>
        <v>27.0478805454433</v>
      </c>
      <c r="S129" s="4" t="n">
        <f aca="false">+AVERAGE(R82:S82)/S16*365</f>
        <v>28.2138217963441</v>
      </c>
      <c r="T129" s="4" t="n">
        <f aca="false">+AVERAGE(S82:T82)/T16*365</f>
        <v>32.3454303658321</v>
      </c>
      <c r="U129" s="4" t="n">
        <f aca="false">+AVERAGE(T82:U82)/U16*365</f>
        <v>25.958126149755</v>
      </c>
      <c r="V129" s="4" t="n">
        <f aca="false">+AVERAGE(U82:V82)/V16*365</f>
        <v>21.1516550625039</v>
      </c>
      <c r="W129" s="4" t="n">
        <f aca="false">+AVERAGE(V82:W82)/W16*365</f>
        <v>25.205704388225</v>
      </c>
      <c r="X129" s="4" t="n">
        <f aca="false">+AVERAGE(W82:X82)/X16*365</f>
        <v>27.469872288245</v>
      </c>
      <c r="Y129" s="4" t="n">
        <f aca="false">+AVERAGE(X82:Y82)/Y16*365</f>
        <v>29.3644686537011</v>
      </c>
      <c r="Z129" s="4" t="n">
        <f aca="false">+AVERAGE(Y82:Z82)/Z16*365</f>
        <v>32.0948563176271</v>
      </c>
      <c r="AA129" s="6" t="n">
        <f aca="false">+Z129-0.5</f>
        <v>31.5948563176271</v>
      </c>
      <c r="AB129" s="6" t="n">
        <f aca="false">+AA129-0.5</f>
        <v>31.0948563176271</v>
      </c>
      <c r="AC129" s="6" t="n">
        <f aca="false">+AB129-0.5</f>
        <v>30.5948563176271</v>
      </c>
      <c r="AD129" s="6" t="n">
        <f aca="false">+AC129-0.5</f>
        <v>30.0948563176271</v>
      </c>
      <c r="AE129" s="6" t="n">
        <f aca="false">+AD129-0.5</f>
        <v>29.5948563176271</v>
      </c>
    </row>
    <row r="130" customFormat="false" ht="12.8" hidden="false" customHeight="false" outlineLevel="0" collapsed="false">
      <c r="A130" s="1" t="s">
        <v>155</v>
      </c>
      <c r="C130" s="4" t="e">
        <f aca="false">+AVERAGE(B85:C85)/C22*90</f>
        <v>#DIV/0!</v>
      </c>
      <c r="D130" s="4" t="e">
        <f aca="false">+AVERAGE(C85:D85)/D22*90</f>
        <v>#DIV/0!</v>
      </c>
      <c r="E130" s="4" t="n">
        <f aca="false">+AVERAGE(D85:E85)/E22*90</f>
        <v>12.844802256567</v>
      </c>
      <c r="F130" s="4" t="n">
        <f aca="false">+AVERAGE(E85:F85)/F22*90</f>
        <v>9.67610753502461</v>
      </c>
      <c r="G130" s="4" t="n">
        <f aca="false">+AVERAGE(F85:G85)/G22*90</f>
        <v>11.7464152737067</v>
      </c>
      <c r="H130" s="4" t="n">
        <f aca="false">+AVERAGE(G85:H85)/H22*90</f>
        <v>10.9052426567034</v>
      </c>
      <c r="I130" s="4" t="n">
        <f aca="false">+AVERAGE(H85:I85)/I22*90</f>
        <v>9.68009237875289</v>
      </c>
      <c r="J130" s="4" t="n">
        <f aca="false">+AVERAGE(I85:J85)/J22*90</f>
        <v>7.00013418316001</v>
      </c>
      <c r="K130" s="4" t="n">
        <f aca="false">+AVERAGE(J85:K85)/K22*90</f>
        <v>10.0702090314345</v>
      </c>
      <c r="L130" s="4" t="n">
        <f aca="false">+AVERAGE(K85:L85)/L22*90</f>
        <v>14.6898274379197</v>
      </c>
      <c r="Q130" s="4" t="n">
        <f aca="false">+AVERAGE(P85:Q85)/Q22*365</f>
        <v>5.9233041042504</v>
      </c>
      <c r="R130" s="4" t="n">
        <f aca="false">+AVERAGE(Q85:R85)/R22*365</f>
        <v>9.04037987068232</v>
      </c>
      <c r="S130" s="4" t="n">
        <f aca="false">+AVERAGE(R85:S85)/S22*365</f>
        <v>9.81953333007646</v>
      </c>
      <c r="T130" s="4" t="n">
        <f aca="false">+AVERAGE(S85:T85)/T22*365</f>
        <v>9.09442954098726</v>
      </c>
      <c r="U130" s="4" t="n">
        <f aca="false">+AVERAGE(T85:U85)/U22*365</f>
        <v>8.79031782447408</v>
      </c>
      <c r="V130" s="4" t="n">
        <f aca="false">+AVERAGE(U85:V85)/V22*365</f>
        <v>9.11810208422348</v>
      </c>
      <c r="W130" s="4" t="n">
        <f aca="false">+AVERAGE(V85:W85)/W22*365</f>
        <v>9.40967407155574</v>
      </c>
      <c r="X130" s="4" t="n">
        <f aca="false">+AVERAGE(W85:X85)/X22*365</f>
        <v>9.61091497499264</v>
      </c>
      <c r="Y130" s="4" t="n">
        <f aca="false">+AVERAGE(X85:Y85)/Y22*365</f>
        <v>11.8140188826348</v>
      </c>
      <c r="Z130" s="4" t="n">
        <f aca="false">+AVERAGE(Y85:Z85)/Z22*365</f>
        <v>10.7405412744388</v>
      </c>
      <c r="AA130" s="6" t="n">
        <f aca="false">+Z130-0.25</f>
        <v>10.4905412744388</v>
      </c>
      <c r="AB130" s="6" t="n">
        <f aca="false">+AA130-0.25</f>
        <v>10.2405412744388</v>
      </c>
      <c r="AC130" s="6" t="n">
        <f aca="false">+AB130-0.25</f>
        <v>9.99054127443881</v>
      </c>
      <c r="AD130" s="6" t="n">
        <f aca="false">+AC130-0.25</f>
        <v>9.74054127443881</v>
      </c>
      <c r="AE130" s="6" t="n">
        <f aca="false">+AD130-0.25</f>
        <v>9.49054127443881</v>
      </c>
    </row>
    <row r="131" customFormat="false" ht="12.8" hidden="false" customHeight="false" outlineLevel="0" collapsed="false">
      <c r="A131" s="1" t="s">
        <v>156</v>
      </c>
      <c r="C131" s="4" t="e">
        <f aca="false">+AVERAGE(B95:C95)/C22*90</f>
        <v>#DIV/0!</v>
      </c>
      <c r="D131" s="4" t="e">
        <f aca="false">+AVERAGE(C95:D95)/D22*90</f>
        <v>#DIV/0!</v>
      </c>
      <c r="E131" s="4" t="n">
        <f aca="false">+AVERAGE(D95:E95)/E22*90</f>
        <v>121.572545101957</v>
      </c>
      <c r="F131" s="4" t="n">
        <f aca="false">+AVERAGE(E95:F95)/F22*90</f>
        <v>89.195759182128</v>
      </c>
      <c r="G131" s="4" t="n">
        <f aca="false">+AVERAGE(F95:G95)/G22*90</f>
        <v>103.414798383902</v>
      </c>
      <c r="H131" s="4" t="n">
        <f aca="false">+AVERAGE(G95:H95)/H22*90</f>
        <v>93.4556222425375</v>
      </c>
      <c r="I131" s="4" t="n">
        <f aca="false">+AVERAGE(H95:I95)/I22*90</f>
        <v>99.9636027713626</v>
      </c>
      <c r="J131" s="4" t="n">
        <f aca="false">+AVERAGE(I95:J95)/J22*90</f>
        <v>84.8053002348205</v>
      </c>
      <c r="K131" s="4" t="n">
        <f aca="false">+AVERAGE(J95:K95)/K22*90</f>
        <v>102.071166427318</v>
      </c>
      <c r="L131" s="4" t="n">
        <f aca="false">+AVERAGE(K95:L95)/L22*90</f>
        <v>100.359214595495</v>
      </c>
      <c r="Q131" s="4" t="n">
        <f aca="false">+AVERAGE(P95:Q95)/Q22*365</f>
        <v>103.613369260748</v>
      </c>
      <c r="R131" s="4" t="n">
        <f aca="false">+AVERAGE(Q95:R95)/R22*365</f>
        <v>105.498270092451</v>
      </c>
      <c r="S131" s="4" t="n">
        <f aca="false">+AVERAGE(R95:S95)/S22*365</f>
        <v>111.591178338504</v>
      </c>
      <c r="T131" s="4" t="n">
        <f aca="false">+AVERAGE(S95:T95)/T22*365</f>
        <v>115.202123845669</v>
      </c>
      <c r="U131" s="4" t="n">
        <f aca="false">+AVERAGE(T95:U95)/U22*365</f>
        <v>95.2888964903072</v>
      </c>
      <c r="V131" s="4" t="n">
        <f aca="false">+AVERAGE(U95:V95)/V22*365</f>
        <v>83.16829905015</v>
      </c>
      <c r="W131" s="4" t="n">
        <f aca="false">+AVERAGE(V95:W95)/W22*365</f>
        <v>97.0504280998095</v>
      </c>
      <c r="X131" s="4" t="n">
        <f aca="false">+AVERAGE(W95:X95)/X22*365</f>
        <v>108.0032642654</v>
      </c>
      <c r="Y131" s="4" t="n">
        <f aca="false">+AVERAGE(X95:Y95)/Y22*365</f>
        <v>114.150126930098</v>
      </c>
      <c r="Z131" s="4" t="n">
        <f aca="false">+AVERAGE(Y95:Z95)/Z22*365</f>
        <v>114.657177769732</v>
      </c>
      <c r="AA131" s="6" t="n">
        <f aca="false">+Z131+1</f>
        <v>115.657177769732</v>
      </c>
      <c r="AB131" s="6" t="n">
        <f aca="false">+AA131+1</f>
        <v>116.657177769732</v>
      </c>
      <c r="AC131" s="6" t="n">
        <f aca="false">+AB131+1</f>
        <v>117.657177769732</v>
      </c>
      <c r="AD131" s="6" t="n">
        <f aca="false">+AC131+1</f>
        <v>118.657177769732</v>
      </c>
      <c r="AE131" s="6" t="n">
        <f aca="false">+AD131+1</f>
        <v>119.657177769732</v>
      </c>
    </row>
    <row r="132" customFormat="false" ht="12.8" hidden="false" customHeight="false" outlineLevel="0" collapsed="false">
      <c r="A132" s="1" t="s">
        <v>157</v>
      </c>
      <c r="C132" s="4" t="e">
        <f aca="false">+C129+C130-C131</f>
        <v>#DIV/0!</v>
      </c>
      <c r="D132" s="4" t="e">
        <f aca="false">+D129+D130-D131</f>
        <v>#DIV/0!</v>
      </c>
      <c r="E132" s="4" t="n">
        <f aca="false">+E129+E130-E131</f>
        <v>-77.0528244844924</v>
      </c>
      <c r="F132" s="4" t="n">
        <f aca="false">+F129+F130-F131</f>
        <v>-56.6840522907076</v>
      </c>
      <c r="G132" s="4" t="n">
        <f aca="false">+G129+G130-G131</f>
        <v>-65.3348959721175</v>
      </c>
      <c r="H132" s="4" t="n">
        <f aca="false">+H129+H130-H131</f>
        <v>-56.8561241942819</v>
      </c>
      <c r="I132" s="4" t="n">
        <f aca="false">+I129+I130-I131</f>
        <v>-60.7124331572341</v>
      </c>
      <c r="J132" s="4" t="n">
        <f aca="false">+J129+J130-J131</f>
        <v>-52.8572682247872</v>
      </c>
      <c r="K132" s="4" t="n">
        <f aca="false">+K129+K130-K131</f>
        <v>-63.5643118353709</v>
      </c>
      <c r="L132" s="4" t="n">
        <f aca="false">+L129+L130-L131</f>
        <v>-60.2787714397249</v>
      </c>
      <c r="Q132" s="4" t="n">
        <f aca="false">+Q129+Q130-Q131</f>
        <v>-70.7085948842995</v>
      </c>
      <c r="R132" s="4" t="n">
        <f aca="false">+R129+R130-R131</f>
        <v>-69.4100096763251</v>
      </c>
      <c r="S132" s="4" t="n">
        <f aca="false">+S129+S130-S131</f>
        <v>-73.5578232120831</v>
      </c>
      <c r="T132" s="4" t="n">
        <f aca="false">+T129+T130-T131</f>
        <v>-73.7622639388495</v>
      </c>
      <c r="U132" s="4" t="n">
        <f aca="false">+U129+U130-U131</f>
        <v>-60.5404525160781</v>
      </c>
      <c r="V132" s="4" t="n">
        <f aca="false">+V129+V130-V131</f>
        <v>-52.8985419034226</v>
      </c>
      <c r="W132" s="4" t="n">
        <f aca="false">+W129+W130-W131</f>
        <v>-62.4350496400287</v>
      </c>
      <c r="X132" s="4" t="n">
        <f aca="false">+X129+X130-X131</f>
        <v>-70.9224770021625</v>
      </c>
      <c r="Y132" s="4" t="n">
        <f aca="false">+Y129+Y130-Y131</f>
        <v>-72.9716393937622</v>
      </c>
      <c r="Z132" s="4" t="n">
        <f aca="false">+Z129+Z130-Z131</f>
        <v>-71.8217801776662</v>
      </c>
      <c r="AA132" s="4" t="n">
        <f aca="false">+AA129+AA130-AA131</f>
        <v>-73.5717801776662</v>
      </c>
      <c r="AB132" s="4" t="n">
        <f aca="false">+AB129+AB130-AB131</f>
        <v>-75.3217801776662</v>
      </c>
      <c r="AC132" s="4" t="n">
        <f aca="false">+AC129+AC130-AC131</f>
        <v>-77.0717801776662</v>
      </c>
      <c r="AD132" s="4" t="n">
        <f aca="false">+AD129+AD130-AD131</f>
        <v>-78.8217801776662</v>
      </c>
      <c r="AE132" s="4" t="n">
        <f aca="false">+AE129+AE130-AE131</f>
        <v>-80.5717801776662</v>
      </c>
    </row>
    <row r="133" s="17" customFormat="true" ht="10.5" hidden="false" customHeight="true" outlineLevel="0" collapsed="false">
      <c r="G133" s="17" t="e">
        <f aca="false">+G129/C129-1</f>
        <v>#DIV/0!</v>
      </c>
      <c r="H133" s="17" t="e">
        <f aca="false">+H129/D129-1</f>
        <v>#DIV/0!</v>
      </c>
      <c r="I133" s="17" t="n">
        <f aca="false">+I129/E129-1</f>
        <v>-0.0664197805200675</v>
      </c>
      <c r="J133" s="17" t="n">
        <f aca="false">+J129/F129-1</f>
        <v>0.0925002421662247</v>
      </c>
      <c r="K133" s="17" t="n">
        <f aca="false">+K129/G129-1</f>
        <v>0.0798663090613976</v>
      </c>
      <c r="L133" s="17" t="n">
        <f aca="false">+L129/H129-1</f>
        <v>-0.0118174147907764</v>
      </c>
      <c r="R133" s="17" t="n">
        <f aca="false">+R129/Q129-1</f>
        <v>0.00246132892594275</v>
      </c>
      <c r="S133" s="17" t="n">
        <f aca="false">+S129/R129-1</f>
        <v>0.0431065661112273</v>
      </c>
      <c r="T133" s="17" t="n">
        <f aca="false">+T129/S129-1</f>
        <v>0.14643916727451</v>
      </c>
      <c r="U133" s="17" t="n">
        <f aca="false">+U129/T129-1</f>
        <v>-0.197471610172925</v>
      </c>
      <c r="V133" s="17" t="n">
        <f aca="false">+V129/U129-1</f>
        <v>-0.185162482820296</v>
      </c>
      <c r="W133" s="17" t="n">
        <f aca="false">+W129/V129-1</f>
        <v>0.191665820652863</v>
      </c>
      <c r="X133" s="17" t="n">
        <f aca="false">+X129/W129-1</f>
        <v>0.0898275987509289</v>
      </c>
      <c r="Y133" s="17" t="n">
        <f aca="false">+Y129/X129-1</f>
        <v>0.0689699735614269</v>
      </c>
      <c r="Z133" s="17" t="n">
        <f aca="false">+Z129/Y129-1</f>
        <v>0.0929827028755674</v>
      </c>
    </row>
    <row r="134" s="17" customFormat="true" ht="10.5" hidden="false" customHeight="true" outlineLevel="0" collapsed="false">
      <c r="G134" s="17" t="e">
        <f aca="false">+G130/C130-1</f>
        <v>#DIV/0!</v>
      </c>
      <c r="H134" s="17" t="e">
        <f aca="false">+H130/D130-1</f>
        <v>#DIV/0!</v>
      </c>
      <c r="I134" s="17" t="n">
        <f aca="false">+I130/E130-1</f>
        <v>-0.246380583725694</v>
      </c>
      <c r="J134" s="17" t="n">
        <f aca="false">+J130/F130-1</f>
        <v>-0.276554734657338</v>
      </c>
      <c r="K134" s="17" t="n">
        <f aca="false">+K130/G130-1</f>
        <v>-0.142699385575467</v>
      </c>
      <c r="L134" s="17" t="n">
        <f aca="false">+L130/H130-1</f>
        <v>0.347042693166485</v>
      </c>
      <c r="R134" s="17" t="n">
        <f aca="false">+R130/Q130-1</f>
        <v>0.526239360932896</v>
      </c>
      <c r="S134" s="17" t="n">
        <f aca="false">+S130/R130-1</f>
        <v>0.0861859203417885</v>
      </c>
      <c r="T134" s="17" t="n">
        <f aca="false">+T130/S130-1</f>
        <v>-0.0738429989201487</v>
      </c>
      <c r="U134" s="17" t="n">
        <f aca="false">+U130/T130-1</f>
        <v>-0.0334393394486803</v>
      </c>
      <c r="V134" s="17" t="n">
        <f aca="false">+V130/U130-1</f>
        <v>0.0372892387163497</v>
      </c>
      <c r="W134" s="17" t="n">
        <f aca="false">+W130/V130-1</f>
        <v>0.0319772672688934</v>
      </c>
      <c r="X134" s="17" t="n">
        <f aca="false">+X130/W130-1</f>
        <v>0.0213865965926734</v>
      </c>
      <c r="Y134" s="17" t="n">
        <f aca="false">+Y130/X130-1</f>
        <v>0.229229361967575</v>
      </c>
      <c r="Z134" s="17" t="n">
        <f aca="false">+Z130/Y130-1</f>
        <v>-0.0908647276477518</v>
      </c>
    </row>
    <row r="135" s="17" customFormat="true" ht="10.5" hidden="false" customHeight="true" outlineLevel="0" collapsed="false">
      <c r="G135" s="17" t="e">
        <f aca="false">+G131/C131-1</f>
        <v>#DIV/0!</v>
      </c>
      <c r="H135" s="17" t="e">
        <f aca="false">+H131/D131-1</f>
        <v>#DIV/0!</v>
      </c>
      <c r="I135" s="17" t="n">
        <f aca="false">+I131/E131-1</f>
        <v>-0.177745249245806</v>
      </c>
      <c r="J135" s="17" t="n">
        <f aca="false">+J131/F131-1</f>
        <v>-0.0492227319725214</v>
      </c>
      <c r="K135" s="17" t="n">
        <f aca="false">+K131/G131-1</f>
        <v>-0.0129926468704875</v>
      </c>
      <c r="L135" s="17" t="n">
        <f aca="false">+L131/H131-1</f>
        <v>0.0738702732623289</v>
      </c>
      <c r="R135" s="17" t="n">
        <f aca="false">+R131/Q131-1</f>
        <v>0.018191675892322</v>
      </c>
      <c r="S135" s="17" t="n">
        <f aca="false">+S131/R131-1</f>
        <v>0.0577536317961753</v>
      </c>
      <c r="T135" s="17" t="n">
        <f aca="false">+T131/S131-1</f>
        <v>0.0323587004002386</v>
      </c>
      <c r="U135" s="17" t="n">
        <f aca="false">+U131/T131-1</f>
        <v>-0.172854689571856</v>
      </c>
      <c r="V135" s="17" t="n">
        <f aca="false">+V131/U131-1</f>
        <v>-0.127198423809957</v>
      </c>
      <c r="W135" s="17" t="n">
        <f aca="false">+W131/V131-1</f>
        <v>0.166916111165008</v>
      </c>
      <c r="X135" s="17" t="n">
        <f aca="false">+X131/W131-1</f>
        <v>0.112857164878516</v>
      </c>
      <c r="Y135" s="17" t="n">
        <f aca="false">+Y131/X131-1</f>
        <v>0.0569136748459107</v>
      </c>
      <c r="Z135" s="17" t="n">
        <f aca="false">+Z131/Y131-1</f>
        <v>0.00444196474651704</v>
      </c>
    </row>
    <row r="138" customFormat="false" ht="12.8" hidden="false" customHeight="false" outlineLevel="0" collapsed="false">
      <c r="A138" s="1" t="s">
        <v>158</v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Q138" s="4" t="n">
        <v>495</v>
      </c>
      <c r="R138" s="4" t="n">
        <v>555</v>
      </c>
      <c r="S138" s="4" t="n">
        <v>669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f aca="false">+SUM(B138:E138)</f>
        <v>0</v>
      </c>
      <c r="Z138" s="4" t="n">
        <f aca="false">+SUM(F138:I138)</f>
        <v>0</v>
      </c>
    </row>
    <row r="139" s="17" customFormat="true" ht="10.5" hidden="false" customHeight="true" outlineLevel="0" collapsed="false">
      <c r="L139" s="17" t="n">
        <f aca="false">+L138/L$16</f>
        <v>0</v>
      </c>
      <c r="Q139" s="17" t="n">
        <f aca="false">+Q138/Q$16</f>
        <v>0.00232266783034671</v>
      </c>
      <c r="R139" s="17" t="n">
        <f aca="false">+R138/R$16</f>
        <v>0.00244603301924213</v>
      </c>
      <c r="S139" s="17" t="n">
        <f aca="false">+S138/S$16</f>
        <v>0.00251887271974247</v>
      </c>
      <c r="T139" s="17" t="n">
        <f aca="false">+T138/T$16</f>
        <v>0</v>
      </c>
      <c r="U139" s="17" t="n">
        <f aca="false">+U138/U$16</f>
        <v>0</v>
      </c>
      <c r="V139" s="17" t="n">
        <f aca="false">+V138/V$16</f>
        <v>0</v>
      </c>
      <c r="W139" s="17" t="n">
        <f aca="false">+W138/W$16</f>
        <v>0</v>
      </c>
      <c r="X139" s="17" t="n">
        <f aca="false">+X138/X$16</f>
        <v>0</v>
      </c>
      <c r="Y139" s="17" t="n">
        <f aca="false">+Y138/Y$16</f>
        <v>0</v>
      </c>
      <c r="Z139" s="17" t="n">
        <f aca="false">+Z138/Z$16</f>
        <v>0</v>
      </c>
    </row>
    <row r="140" s="17" customFormat="true" ht="10.5" hidden="false" customHeight="true" outlineLevel="0" collapsed="false">
      <c r="F140" s="17" t="e">
        <f aca="false">+F138/B138-1</f>
        <v>#DIV/0!</v>
      </c>
      <c r="G140" s="17" t="e">
        <f aca="false">+G138/C138-1</f>
        <v>#DIV/0!</v>
      </c>
      <c r="H140" s="17" t="e">
        <f aca="false">+H138/D138-1</f>
        <v>#DIV/0!</v>
      </c>
      <c r="I140" s="17" t="e">
        <f aca="false">+I138/E138-1</f>
        <v>#DIV/0!</v>
      </c>
      <c r="J140" s="17" t="e">
        <f aca="false">+J138/F138-1</f>
        <v>#DIV/0!</v>
      </c>
      <c r="K140" s="17" t="e">
        <f aca="false">+K138/G138-1</f>
        <v>#DIV/0!</v>
      </c>
      <c r="L140" s="17" t="e">
        <f aca="false">+L138/H138-1</f>
        <v>#DIV/0!</v>
      </c>
      <c r="R140" s="17" t="n">
        <f aca="false">+R138/Q138-1</f>
        <v>0.121212121212121</v>
      </c>
      <c r="S140" s="17" t="n">
        <f aca="false">+S138/R138-1</f>
        <v>0.205405405405405</v>
      </c>
      <c r="T140" s="17" t="n">
        <f aca="false">+T138/S138-1</f>
        <v>-1</v>
      </c>
      <c r="U140" s="17" t="e">
        <f aca="false">+U138/T138-1</f>
        <v>#DIV/0!</v>
      </c>
      <c r="V140" s="17" t="e">
        <f aca="false">+V138/U138-1</f>
        <v>#DIV/0!</v>
      </c>
      <c r="W140" s="17" t="e">
        <f aca="false">+W138/V138-1</f>
        <v>#DIV/0!</v>
      </c>
      <c r="X140" s="17" t="e">
        <f aca="false">+X138/W138-1</f>
        <v>#DIV/0!</v>
      </c>
      <c r="Y140" s="17" t="e">
        <f aca="false">+Y138/X138-1</f>
        <v>#DIV/0!</v>
      </c>
      <c r="Z140" s="17" t="e">
        <f aca="false">+Z138/Y138-1</f>
        <v>#DIV/0!</v>
      </c>
    </row>
    <row r="141" customFormat="false" ht="12.8" hidden="false" customHeight="false" outlineLevel="0" collapsed="false">
      <c r="A141" s="1" t="s">
        <v>159</v>
      </c>
      <c r="B141" s="4" t="n">
        <v>20139</v>
      </c>
      <c r="C141" s="4" t="n">
        <f aca="false">+43344-B141</f>
        <v>23205</v>
      </c>
      <c r="D141" s="4" t="n">
        <f aca="false">+69866-C141-B141</f>
        <v>26522</v>
      </c>
      <c r="E141" s="4" t="n">
        <f aca="false">+94949-D141-C141-B141</f>
        <v>25083</v>
      </c>
      <c r="F141" s="4" t="n">
        <v>23606</v>
      </c>
      <c r="G141" s="4" t="n">
        <f aca="false">+49504-F141</f>
        <v>25898</v>
      </c>
      <c r="H141" s="4" t="n">
        <f aca="false">+70579-G141-F141</f>
        <v>21075</v>
      </c>
      <c r="I141" s="4" t="n">
        <f aca="false">+90711-H141-G141-F141</f>
        <v>20132</v>
      </c>
      <c r="J141" s="4" t="n">
        <v>24701</v>
      </c>
      <c r="K141" s="4" t="n">
        <f aca="false">+36989-J141</f>
        <v>12288</v>
      </c>
      <c r="L141" s="4" t="n">
        <f aca="false">+62094-K141-J141</f>
        <v>25105</v>
      </c>
      <c r="Q141" s="4" t="n">
        <v>29722</v>
      </c>
      <c r="R141" s="4" t="n">
        <v>32900</v>
      </c>
      <c r="S141" s="4" t="n">
        <v>72738</v>
      </c>
      <c r="T141" s="4" t="n">
        <v>66897</v>
      </c>
      <c r="U141" s="4" t="n">
        <v>72358</v>
      </c>
      <c r="V141" s="4" t="n">
        <v>85971</v>
      </c>
      <c r="W141" s="4" t="n">
        <v>89402</v>
      </c>
      <c r="X141" s="4" t="n">
        <v>77550</v>
      </c>
      <c r="Y141" s="4" t="n">
        <f aca="false">+SUM(B141:E141)</f>
        <v>94949</v>
      </c>
      <c r="Z141" s="4" t="n">
        <f aca="false">+SUM(F141:I141)</f>
        <v>90711</v>
      </c>
    </row>
    <row r="142" s="17" customFormat="true" ht="10.5" hidden="false" customHeight="true" outlineLevel="0" collapsed="false">
      <c r="B142" s="17" t="n">
        <f aca="false">+B141/B$16</f>
        <v>0.168421492786954</v>
      </c>
      <c r="C142" s="17" t="n">
        <f aca="false">+C141/C$16</f>
        <v>0.255694026643747</v>
      </c>
      <c r="D142" s="17" t="n">
        <f aca="false">+D141/D$16</f>
        <v>0.30919710411882</v>
      </c>
      <c r="E142" s="17" t="n">
        <f aca="false">+E141/E$16</f>
        <v>0.264226271989887</v>
      </c>
      <c r="F142" s="17" t="n">
        <f aca="false">+F141/F$16</f>
        <v>0.189911504424779</v>
      </c>
      <c r="G142" s="17" t="n">
        <f aca="false">+G141/G$16</f>
        <v>0.271584223827851</v>
      </c>
      <c r="H142" s="17" t="n">
        <f aca="false">+H141/H$16</f>
        <v>0.224116295886682</v>
      </c>
      <c r="I142" s="17" t="n">
        <f aca="false">+I141/I$16</f>
        <v>0.196474928268889</v>
      </c>
      <c r="J142" s="17" t="n">
        <f aca="false">+J141/J$16</f>
        <v>0.171825871615793</v>
      </c>
      <c r="K142" s="17" t="n">
        <f aca="false">+K141/K$16</f>
        <v>0.110519499208519</v>
      </c>
      <c r="L142" s="17" t="n">
        <f aca="false">+L141/L$16</f>
        <v>0.229443322335652</v>
      </c>
      <c r="Q142" s="17" t="n">
        <f aca="false">+Q141/Q$16</f>
        <v>0.139463299502151</v>
      </c>
      <c r="R142" s="17" t="n">
        <f aca="false">+R141/R$16</f>
        <v>0.144999074473993</v>
      </c>
      <c r="S142" s="17" t="n">
        <f aca="false">+S141/S$16</f>
        <v>0.273868107456842</v>
      </c>
      <c r="T142" s="17" t="n">
        <f aca="false">+T141/T$16</f>
        <v>0.257124078501311</v>
      </c>
      <c r="U142" s="17" t="n">
        <f aca="false">+U141/U$16</f>
        <v>0.263584867857858</v>
      </c>
      <c r="V142" s="17" t="n">
        <f aca="false">+V141/V$16</f>
        <v>0.235010948096999</v>
      </c>
      <c r="W142" s="17" t="n">
        <f aca="false">+W141/W$16</f>
        <v>0.22671988801201</v>
      </c>
      <c r="X142" s="17" t="n">
        <f aca="false">+X141/X$16</f>
        <v>0.20232985898222</v>
      </c>
      <c r="Y142" s="17" t="n">
        <f aca="false">+Y141/Y$16</f>
        <v>0.242814581814927</v>
      </c>
      <c r="Z142" s="17" t="n">
        <f aca="false">+Z141/Z$16</f>
        <v>0.217970929520066</v>
      </c>
    </row>
    <row r="143" s="17" customFormat="true" ht="10.5" hidden="false" customHeight="true" outlineLevel="0" collapsed="false">
      <c r="F143" s="17" t="n">
        <f aca="false">+F141/B141-1</f>
        <v>0.172153532946025</v>
      </c>
      <c r="G143" s="17" t="n">
        <f aca="false">+G141/C141-1</f>
        <v>0.116052574876104</v>
      </c>
      <c r="H143" s="17" t="n">
        <f aca="false">+H141/D141-1</f>
        <v>-0.205376668426212</v>
      </c>
      <c r="I143" s="17" t="n">
        <f aca="false">+I141/E141-1</f>
        <v>-0.197384682852928</v>
      </c>
      <c r="J143" s="17" t="n">
        <f aca="false">+J141/F141-1</f>
        <v>0.0463865119037532</v>
      </c>
      <c r="K143" s="17" t="n">
        <f aca="false">+K141/G141-1</f>
        <v>-0.525523206425207</v>
      </c>
      <c r="L143" s="17" t="n">
        <f aca="false">+L141/H141-1</f>
        <v>0.191221826809015</v>
      </c>
      <c r="R143" s="17" t="n">
        <f aca="false">+R141/Q141-1</f>
        <v>0.106924163918983</v>
      </c>
      <c r="S143" s="17" t="n">
        <f aca="false">+S141/R141-1</f>
        <v>1.21088145896657</v>
      </c>
      <c r="T143" s="17" t="n">
        <f aca="false">+T141/S141-1</f>
        <v>-0.0803019054689433</v>
      </c>
      <c r="U143" s="17" t="n">
        <f aca="false">+U141/T141-1</f>
        <v>0.081632958129662</v>
      </c>
      <c r="V143" s="17" t="n">
        <f aca="false">+V141/U141-1</f>
        <v>0.188134000386965</v>
      </c>
      <c r="W143" s="17" t="n">
        <f aca="false">+W141/V141-1</f>
        <v>0.0399088064579916</v>
      </c>
      <c r="X143" s="17" t="n">
        <f aca="false">+X141/W141-1</f>
        <v>-0.132569741169101</v>
      </c>
      <c r="Y143" s="17" t="n">
        <f aca="false">+Y141/X141-1</f>
        <v>0.224358478401032</v>
      </c>
      <c r="Z143" s="17" t="n">
        <f aca="false">+Z141/Y141-1</f>
        <v>-0.0446344879882884</v>
      </c>
    </row>
    <row r="144" customFormat="false" ht="12.8" hidden="false" customHeight="false" outlineLevel="0" collapsed="false">
      <c r="A144" s="1" t="s">
        <v>160</v>
      </c>
      <c r="B144" s="4" t="n">
        <v>3825</v>
      </c>
      <c r="C144" s="4" t="n">
        <f aca="false">+7535-B144</f>
        <v>3710</v>
      </c>
      <c r="D144" s="4" t="n">
        <f aca="false">+11430-C144-B144</f>
        <v>3895</v>
      </c>
      <c r="E144" s="4" t="n">
        <f aca="false">+15234-D144-C144-B144</f>
        <v>3804</v>
      </c>
      <c r="F144" s="4" t="n">
        <v>3856</v>
      </c>
      <c r="G144" s="4" t="n">
        <f aca="false">+7614-F144</f>
        <v>3758</v>
      </c>
      <c r="H144" s="4" t="n">
        <f aca="false">+11559-G144-F144</f>
        <v>3945</v>
      </c>
      <c r="I144" s="4" t="n">
        <f aca="false">+15421-H144-G144-F144</f>
        <v>3862</v>
      </c>
      <c r="J144" s="4" t="n">
        <v>3921</v>
      </c>
      <c r="K144" s="4" t="n">
        <f aca="false">+7743-J144</f>
        <v>3822</v>
      </c>
      <c r="L144" s="4" t="n">
        <f aca="false">+11778-K144-J144</f>
        <v>4035</v>
      </c>
      <c r="Q144" s="4" t="n">
        <v>12150</v>
      </c>
      <c r="R144" s="4" t="n">
        <v>12769</v>
      </c>
      <c r="S144" s="4" t="n">
        <v>13712</v>
      </c>
      <c r="T144" s="4" t="n">
        <v>14119</v>
      </c>
      <c r="U144" s="4" t="n">
        <v>14081</v>
      </c>
      <c r="V144" s="4" t="n">
        <v>14467</v>
      </c>
      <c r="W144" s="4" t="n">
        <v>14841</v>
      </c>
      <c r="X144" s="4" t="n">
        <v>15025</v>
      </c>
      <c r="Y144" s="4" t="n">
        <f aca="false">+SUM(B144:E144)</f>
        <v>15234</v>
      </c>
      <c r="Z144" s="4" t="n">
        <f aca="false">+SUM(F144:I144)</f>
        <v>15421</v>
      </c>
    </row>
    <row r="145" s="17" customFormat="true" ht="10.5" hidden="false" customHeight="true" outlineLevel="0" collapsed="false">
      <c r="B145" s="17" t="n">
        <f aca="false">+B144/B$16</f>
        <v>0.0319882918670291</v>
      </c>
      <c r="C145" s="17" t="n">
        <f aca="false">+C144/C$16</f>
        <v>0.0408801912884423</v>
      </c>
      <c r="D145" s="17" t="n">
        <f aca="false">+D144/D$16</f>
        <v>0.0454084428226681</v>
      </c>
      <c r="E145" s="17" t="n">
        <f aca="false">+E144/E$16</f>
        <v>0.0400716317286422</v>
      </c>
      <c r="F145" s="17" t="n">
        <f aca="false">+F144/F$16</f>
        <v>0.0310217216411907</v>
      </c>
      <c r="G145" s="17" t="n">
        <f aca="false">+G144/G$16</f>
        <v>0.0394089703121887</v>
      </c>
      <c r="H145" s="17" t="n">
        <f aca="false">+H144/H$16</f>
        <v>0.0419520183759411</v>
      </c>
      <c r="I145" s="17" t="n">
        <f aca="false">+I144/I$16</f>
        <v>0.037690551012043</v>
      </c>
      <c r="J145" s="17" t="n">
        <f aca="false">+J144/J$16</f>
        <v>0.0272753832883497</v>
      </c>
      <c r="K145" s="17" t="n">
        <f aca="false">+K144/K$16</f>
        <v>0.0343754497049935</v>
      </c>
      <c r="L145" s="17" t="n">
        <f aca="false">+L144/L$16</f>
        <v>0.0368772677006315</v>
      </c>
      <c r="Q145" s="17" t="n">
        <f aca="false">+Q144/Q$16</f>
        <v>0.0570109376539647</v>
      </c>
      <c r="R145" s="17" t="n">
        <f aca="false">+R144/R$16</f>
        <v>0.0562763885093743</v>
      </c>
      <c r="S145" s="17" t="n">
        <f aca="false">+S144/S$16</f>
        <v>0.0516274779269188</v>
      </c>
      <c r="T145" s="17" t="n">
        <f aca="false">+T144/T$16</f>
        <v>0.0542675286539009</v>
      </c>
      <c r="U145" s="17" t="n">
        <f aca="false">+U144/U$16</f>
        <v>0.0512941005045262</v>
      </c>
      <c r="V145" s="17" t="n">
        <f aca="false">+V144/V$16</f>
        <v>0.0395470959523478</v>
      </c>
      <c r="W145" s="17" t="n">
        <f aca="false">+W144/W$16</f>
        <v>0.03763618104725</v>
      </c>
      <c r="X145" s="17" t="n">
        <f aca="false">+X144/X$16</f>
        <v>0.0392005948576125</v>
      </c>
      <c r="Y145" s="17" t="n">
        <f aca="false">+Y144/Y$16</f>
        <v>0.0389581495262572</v>
      </c>
      <c r="Z145" s="17" t="n">
        <f aca="false">+Z144/Z$16</f>
        <v>0.0370553703975144</v>
      </c>
    </row>
    <row r="146" s="17" customFormat="true" ht="10.5" hidden="false" customHeight="true" outlineLevel="0" collapsed="false">
      <c r="F146" s="17" t="n">
        <f aca="false">+F144/B144-1</f>
        <v>0.0081045751633988</v>
      </c>
      <c r="G146" s="17" t="n">
        <f aca="false">+G144/C144-1</f>
        <v>0.0129380053908357</v>
      </c>
      <c r="H146" s="17" t="n">
        <f aca="false">+H144/D144-1</f>
        <v>0.012836970474968</v>
      </c>
      <c r="I146" s="17" t="n">
        <f aca="false">+I144/E144-1</f>
        <v>0.0152471083070451</v>
      </c>
      <c r="J146" s="17" t="n">
        <f aca="false">+J144/F144-1</f>
        <v>0.016856846473029</v>
      </c>
      <c r="K146" s="17" t="n">
        <f aca="false">+K144/G144-1</f>
        <v>0.0170303352847259</v>
      </c>
      <c r="L146" s="17" t="n">
        <f aca="false">+L144/H144-1</f>
        <v>0.0228136882129277</v>
      </c>
      <c r="R146" s="17" t="n">
        <f aca="false">+R144/Q144-1</f>
        <v>0.0509465020576132</v>
      </c>
      <c r="S146" s="17" t="n">
        <f aca="false">+S144/R144-1</f>
        <v>0.0738507322421489</v>
      </c>
      <c r="T146" s="17" t="n">
        <f aca="false">+T144/S144-1</f>
        <v>0.0296820303383898</v>
      </c>
      <c r="U146" s="17" t="n">
        <f aca="false">+U144/T144-1</f>
        <v>-0.00269140873999574</v>
      </c>
      <c r="V146" s="17" t="n">
        <f aca="false">+V144/U144-1</f>
        <v>0.0274128257936226</v>
      </c>
      <c r="W146" s="17" t="n">
        <f aca="false">+W144/V144-1</f>
        <v>0.0258519388954173</v>
      </c>
      <c r="X146" s="17" t="n">
        <f aca="false">+X144/W144-1</f>
        <v>0.0123980863823192</v>
      </c>
      <c r="Y146" s="17" t="n">
        <f aca="false">+Y144/X144-1</f>
        <v>0.0139101497504159</v>
      </c>
      <c r="Z146" s="17" t="n">
        <f aca="false">+Z144/Y144-1</f>
        <v>0.0122751739529998</v>
      </c>
    </row>
    <row r="147" customFormat="false" ht="12.8" hidden="false" customHeight="false" outlineLevel="0" collapsed="false">
      <c r="A147" s="1" t="s">
        <v>161</v>
      </c>
      <c r="B147" s="4" t="n">
        <f aca="false">+B144+B141-B138</f>
        <v>23964</v>
      </c>
      <c r="C147" s="4" t="n">
        <f aca="false">+C144+C141-C138</f>
        <v>26915</v>
      </c>
      <c r="D147" s="4" t="n">
        <f aca="false">+D144+D141-D138</f>
        <v>30417</v>
      </c>
      <c r="E147" s="4" t="n">
        <f aca="false">+E144+E141-E138</f>
        <v>28887</v>
      </c>
      <c r="F147" s="4" t="n">
        <f aca="false">+F144+F141-F138</f>
        <v>27462</v>
      </c>
      <c r="G147" s="4" t="n">
        <f aca="false">+G144+G141-G138</f>
        <v>29656</v>
      </c>
      <c r="H147" s="4" t="n">
        <f aca="false">+H144+H141-H138</f>
        <v>25020</v>
      </c>
      <c r="I147" s="4" t="n">
        <f aca="false">+I144+I141-I138</f>
        <v>23994</v>
      </c>
      <c r="J147" s="4" t="n">
        <f aca="false">+J144+J141-J138</f>
        <v>28622</v>
      </c>
      <c r="K147" s="4" t="n">
        <f aca="false">+K144+K141-K138</f>
        <v>16110</v>
      </c>
      <c r="L147" s="4" t="n">
        <f aca="false">+L144+L141-L138</f>
        <v>29140</v>
      </c>
      <c r="Q147" s="4" t="n">
        <f aca="false">+Q144+Q141-Q138</f>
        <v>41377</v>
      </c>
      <c r="R147" s="4" t="n">
        <f aca="false">+R144+R141-R138</f>
        <v>45114</v>
      </c>
      <c r="S147" s="4" t="n">
        <f aca="false">+S144+S141-S138</f>
        <v>85781</v>
      </c>
      <c r="T147" s="4" t="n">
        <f aca="false">+T144+T141-T138</f>
        <v>81016</v>
      </c>
      <c r="U147" s="4" t="n">
        <f aca="false">+U144+U141-U138</f>
        <v>86439</v>
      </c>
      <c r="V147" s="4" t="n">
        <f aca="false">+V144+V141-V138</f>
        <v>100438</v>
      </c>
      <c r="W147" s="4" t="n">
        <f aca="false">+W144+W141-W138</f>
        <v>104243</v>
      </c>
      <c r="X147" s="4" t="n">
        <f aca="false">+X144+X141-X138</f>
        <v>92575</v>
      </c>
      <c r="Y147" s="4" t="n">
        <f aca="false">+Y144+Y141-Y138</f>
        <v>110183</v>
      </c>
      <c r="Z147" s="4" t="n">
        <f aca="false">+Z144+Z141-Z138</f>
        <v>106132</v>
      </c>
    </row>
    <row r="148" s="17" customFormat="true" ht="10.5" hidden="false" customHeight="true" outlineLevel="0" collapsed="false">
      <c r="B148" s="17" t="n">
        <f aca="false">+B147/B$16</f>
        <v>0.200409784653983</v>
      </c>
      <c r="C148" s="17" t="n">
        <f aca="false">+C147/C$16</f>
        <v>0.29657421793219</v>
      </c>
      <c r="D148" s="17" t="n">
        <f aca="false">+D147/D$16</f>
        <v>0.354605546941488</v>
      </c>
      <c r="E148" s="17" t="n">
        <f aca="false">+E147/E$16</f>
        <v>0.304297903718529</v>
      </c>
      <c r="F148" s="17" t="n">
        <f aca="false">+F147/F$16</f>
        <v>0.220933226065969</v>
      </c>
      <c r="G148" s="17" t="n">
        <f aca="false">+G147/G$16</f>
        <v>0.310993194140039</v>
      </c>
      <c r="H148" s="17" t="n">
        <f aca="false">+H147/H$16</f>
        <v>0.266068314262623</v>
      </c>
      <c r="I148" s="17" t="n">
        <f aca="false">+I147/I$16</f>
        <v>0.234165479280932</v>
      </c>
      <c r="J148" s="17" t="n">
        <f aca="false">+J147/J$16</f>
        <v>0.199101254904143</v>
      </c>
      <c r="K148" s="17" t="n">
        <f aca="false">+K147/K$16</f>
        <v>0.144894948913513</v>
      </c>
      <c r="L148" s="17" t="n">
        <f aca="false">+L147/L$16</f>
        <v>0.266320590036283</v>
      </c>
      <c r="Q148" s="17" t="n">
        <f aca="false">+Q147/Q$16</f>
        <v>0.194151569325769</v>
      </c>
      <c r="R148" s="17" t="n">
        <f aca="false">+R147/R$16</f>
        <v>0.198829429964125</v>
      </c>
      <c r="S148" s="17" t="n">
        <f aca="false">+S147/S$16</f>
        <v>0.322976712664019</v>
      </c>
      <c r="T148" s="17" t="n">
        <f aca="false">+T147/T$16</f>
        <v>0.311391607155212</v>
      </c>
      <c r="U148" s="17" t="n">
        <f aca="false">+U147/U$16</f>
        <v>0.314878968362385</v>
      </c>
      <c r="V148" s="17" t="n">
        <f aca="false">+V147/V$16</f>
        <v>0.274558044049347</v>
      </c>
      <c r="W148" s="17" t="n">
        <f aca="false">+W147/W$16</f>
        <v>0.26435606905926</v>
      </c>
      <c r="X148" s="17" t="n">
        <f aca="false">+X147/X$16</f>
        <v>0.241530453839832</v>
      </c>
      <c r="Y148" s="17" t="n">
        <f aca="false">+Y147/Y$16</f>
        <v>0.281772731341184</v>
      </c>
      <c r="Z148" s="17" t="n">
        <f aca="false">+Z147/Z$16</f>
        <v>0.25502629991758</v>
      </c>
    </row>
    <row r="149" s="17" customFormat="true" ht="10.5" hidden="false" customHeight="true" outlineLevel="0" collapsed="false">
      <c r="F149" s="17" t="n">
        <f aca="false">+F147/B147-1</f>
        <v>0.145968953430145</v>
      </c>
      <c r="G149" s="17" t="n">
        <f aca="false">+G147/C147-1</f>
        <v>0.101839123165521</v>
      </c>
      <c r="H149" s="17" t="n">
        <f aca="false">+H147/D147-1</f>
        <v>-0.177433671959759</v>
      </c>
      <c r="I149" s="17" t="n">
        <f aca="false">+I147/E147-1</f>
        <v>-0.16938415204071</v>
      </c>
      <c r="J149" s="17" t="n">
        <f aca="false">+J147/F147-1</f>
        <v>0.0422401864394435</v>
      </c>
      <c r="K149" s="17" t="n">
        <f aca="false">+K147/G147-1</f>
        <v>-0.456770973833288</v>
      </c>
      <c r="L149" s="17" t="n">
        <f aca="false">+L147/H147-1</f>
        <v>0.16466826538769</v>
      </c>
      <c r="R149" s="17" t="n">
        <f aca="false">+R147/Q147-1</f>
        <v>0.0903158759697416</v>
      </c>
      <c r="S149" s="17" t="n">
        <f aca="false">+S147/R147-1</f>
        <v>0.901427494790974</v>
      </c>
      <c r="T149" s="17" t="n">
        <f aca="false">+T147/S147-1</f>
        <v>-0.0555484314708385</v>
      </c>
      <c r="U149" s="17" t="n">
        <f aca="false">+U147/T147-1</f>
        <v>0.0669373950824528</v>
      </c>
      <c r="V149" s="17" t="n">
        <f aca="false">+V147/U147-1</f>
        <v>0.16195235946737</v>
      </c>
      <c r="W149" s="17" t="n">
        <f aca="false">+W147/V147-1</f>
        <v>0.03788406778311</v>
      </c>
      <c r="X149" s="17" t="n">
        <f aca="false">+X147/W147-1</f>
        <v>-0.111930777126522</v>
      </c>
      <c r="Y149" s="17" t="n">
        <f aca="false">+Y147/X147-1</f>
        <v>0.190202538482312</v>
      </c>
      <c r="Z149" s="17" t="n">
        <f aca="false">+Z147/Y147-1</f>
        <v>-0.0367661072942287</v>
      </c>
    </row>
    <row r="152" customFormat="false" ht="12.8" hidden="false" customHeight="false" outlineLevel="0" collapsed="false">
      <c r="A152" s="1" t="s">
        <v>162</v>
      </c>
    </row>
    <row r="153" customFormat="false" ht="12.8" hidden="false" customHeight="false" outlineLevel="0" collapsed="false">
      <c r="A153" s="1" t="s">
        <v>163</v>
      </c>
      <c r="B153" s="4" t="n">
        <v>50430</v>
      </c>
      <c r="C153" s="4" t="n">
        <v>37273</v>
      </c>
      <c r="D153" s="4" t="n">
        <v>37678</v>
      </c>
      <c r="E153" s="4" t="n">
        <v>41664</v>
      </c>
      <c r="F153" s="4" t="n">
        <v>52648</v>
      </c>
      <c r="G153" s="4" t="n">
        <v>40315</v>
      </c>
      <c r="H153" s="4" t="n">
        <v>41198</v>
      </c>
      <c r="I153" s="4" t="n">
        <v>44192</v>
      </c>
      <c r="J153" s="4" t="n">
        <v>58529</v>
      </c>
      <c r="K153" s="4" t="n">
        <v>45093</v>
      </c>
      <c r="L153" s="4" t="n">
        <v>45781</v>
      </c>
      <c r="Q153" s="4" t="n">
        <v>86613</v>
      </c>
      <c r="R153" s="4" t="n">
        <v>96600</v>
      </c>
      <c r="S153" s="4" t="n">
        <v>112093</v>
      </c>
      <c r="T153" s="4" t="n">
        <v>116914</v>
      </c>
      <c r="U153" s="4" t="n">
        <v>124556</v>
      </c>
      <c r="V153" s="4" t="n">
        <v>153306</v>
      </c>
      <c r="W153" s="4" t="n">
        <v>169658</v>
      </c>
      <c r="X153" s="4" t="n">
        <v>162560</v>
      </c>
      <c r="Y153" s="4" t="n">
        <f aca="false">+SUM(B153:E153)</f>
        <v>167045</v>
      </c>
      <c r="Z153" s="4" t="n">
        <f aca="false">+SUM(F153:I153)</f>
        <v>178353</v>
      </c>
    </row>
    <row r="154" s="17" customFormat="true" ht="10.5" hidden="false" customHeight="true" outlineLevel="0" collapsed="false">
      <c r="R154" s="17" t="n">
        <f aca="false">+R153/Q153-1</f>
        <v>0.115306016417859</v>
      </c>
      <c r="S154" s="17" t="n">
        <f aca="false">+S153/R153-1</f>
        <v>0.160383022774327</v>
      </c>
      <c r="T154" s="17" t="n">
        <f aca="false">+T153/S153-1</f>
        <v>0.0430089300848402</v>
      </c>
      <c r="U154" s="17" t="n">
        <f aca="false">+U153/T153-1</f>
        <v>0.0653642848589562</v>
      </c>
      <c r="V154" s="17" t="n">
        <f aca="false">+V153/U153-1</f>
        <v>0.230819872186005</v>
      </c>
      <c r="W154" s="17" t="n">
        <f aca="false">+W153/V153-1</f>
        <v>0.106662492009445</v>
      </c>
      <c r="X154" s="17" t="n">
        <f aca="false">+X153/W153-1</f>
        <v>-0.0418371075929223</v>
      </c>
      <c r="Y154" s="17" t="n">
        <f aca="false">+Y153/X153-1</f>
        <v>0.0275898129921259</v>
      </c>
      <c r="Z154" s="17" t="n">
        <f aca="false">+Z153/Y153-1</f>
        <v>0.067694333862133</v>
      </c>
    </row>
    <row r="155" customFormat="false" ht="12.8" hidden="false" customHeight="false" outlineLevel="0" collapsed="false">
      <c r="A155" s="1" t="s">
        <v>164</v>
      </c>
      <c r="B155" s="4" t="n">
        <v>30397</v>
      </c>
      <c r="C155" s="4" t="n">
        <v>24123</v>
      </c>
      <c r="D155" s="4" t="n">
        <v>21884</v>
      </c>
      <c r="E155" s="4" t="n">
        <v>24924</v>
      </c>
      <c r="F155" s="4" t="n">
        <v>33861</v>
      </c>
      <c r="G155" s="4" t="n">
        <v>24454</v>
      </c>
      <c r="H155" s="4" t="n">
        <v>24014</v>
      </c>
      <c r="I155" s="4" t="n">
        <v>28703</v>
      </c>
      <c r="J155" s="4" t="n">
        <v>38146</v>
      </c>
      <c r="K155" s="4" t="n">
        <v>28055</v>
      </c>
      <c r="L155" s="4" t="n">
        <v>29395</v>
      </c>
      <c r="Q155" s="4" t="n">
        <v>49952</v>
      </c>
      <c r="R155" s="4" t="n">
        <v>54938</v>
      </c>
      <c r="S155" s="4" t="n">
        <v>62420</v>
      </c>
      <c r="T155" s="4" t="n">
        <v>60288</v>
      </c>
      <c r="U155" s="4" t="n">
        <v>68640</v>
      </c>
      <c r="V155" s="4" t="n">
        <v>89307</v>
      </c>
      <c r="W155" s="4" t="n">
        <v>95118</v>
      </c>
      <c r="X155" s="4" t="n">
        <v>94294</v>
      </c>
      <c r="Y155" s="4" t="n">
        <f aca="false">+SUM(B155:E155)</f>
        <v>101328</v>
      </c>
      <c r="Z155" s="4" t="n">
        <f aca="false">+SUM(F155:I155)</f>
        <v>111032</v>
      </c>
    </row>
    <row r="156" s="17" customFormat="true" ht="10.5" hidden="false" customHeight="true" outlineLevel="0" collapsed="false">
      <c r="R156" s="17" t="n">
        <f aca="false">+R155/Q155-1</f>
        <v>0.0998158231902626</v>
      </c>
      <c r="S156" s="17" t="n">
        <f aca="false">+S155/R155-1</f>
        <v>0.136189886781463</v>
      </c>
      <c r="T156" s="17" t="n">
        <f aca="false">+T155/S155-1</f>
        <v>-0.0341557193207306</v>
      </c>
      <c r="U156" s="17" t="n">
        <f aca="false">+U155/T155-1</f>
        <v>0.138535031847134</v>
      </c>
      <c r="V156" s="17" t="n">
        <f aca="false">+V155/U155-1</f>
        <v>0.301092657342657</v>
      </c>
      <c r="W156" s="17" t="n">
        <f aca="false">+W155/V155-1</f>
        <v>0.0650676878632135</v>
      </c>
      <c r="X156" s="17" t="n">
        <f aca="false">+X155/W155-1</f>
        <v>-0.00866292394709733</v>
      </c>
      <c r="Y156" s="17" t="n">
        <f aca="false">+Y155/X155-1</f>
        <v>0.0745964748552399</v>
      </c>
      <c r="Z156" s="17" t="n">
        <f aca="false">+Z155/Y155-1</f>
        <v>0.0957681983262277</v>
      </c>
    </row>
    <row r="157" customFormat="false" ht="12.8" hidden="false" customHeight="false" outlineLevel="0" collapsed="false">
      <c r="A157" s="1" t="s">
        <v>165</v>
      </c>
      <c r="B157" s="4" t="n">
        <v>20819</v>
      </c>
      <c r="C157" s="4" t="n">
        <v>16372</v>
      </c>
      <c r="D157" s="4" t="n">
        <v>14728</v>
      </c>
      <c r="E157" s="4" t="n">
        <v>15033</v>
      </c>
      <c r="F157" s="4" t="n">
        <v>18513</v>
      </c>
      <c r="G157" s="4" t="n">
        <v>16002</v>
      </c>
      <c r="H157" s="4" t="n">
        <v>15369</v>
      </c>
      <c r="I157" s="4" t="n">
        <v>14493</v>
      </c>
      <c r="J157" s="4" t="n">
        <v>25526</v>
      </c>
      <c r="K157" s="4" t="n">
        <v>20497</v>
      </c>
      <c r="L157" s="4" t="n">
        <v>18816</v>
      </c>
      <c r="Q157" s="4" t="n">
        <v>48492</v>
      </c>
      <c r="R157" s="4" t="n">
        <v>44764</v>
      </c>
      <c r="S157" s="4" t="n">
        <v>51942</v>
      </c>
      <c r="T157" s="4" t="n">
        <v>43678</v>
      </c>
      <c r="U157" s="4" t="n">
        <v>40308</v>
      </c>
      <c r="V157" s="4" t="n">
        <v>68366</v>
      </c>
      <c r="W157" s="4" t="n">
        <v>74200</v>
      </c>
      <c r="X157" s="4" t="n">
        <v>72559</v>
      </c>
      <c r="Y157" s="4" t="n">
        <f aca="false">+SUM(B157:E157)</f>
        <v>66952</v>
      </c>
      <c r="Z157" s="4" t="n">
        <f aca="false">+SUM(F157:I157)</f>
        <v>64377</v>
      </c>
    </row>
    <row r="158" s="17" customFormat="true" ht="10.5" hidden="false" customHeight="true" outlineLevel="0" collapsed="false">
      <c r="R158" s="17" t="n">
        <f aca="false">+R157/Q157-1</f>
        <v>-0.0768786603975914</v>
      </c>
      <c r="S158" s="17" t="n">
        <f aca="false">+S157/R157-1</f>
        <v>0.160352068626575</v>
      </c>
      <c r="T158" s="17" t="n">
        <f aca="false">+T157/S157-1</f>
        <v>-0.159100535212352</v>
      </c>
      <c r="U158" s="17" t="n">
        <f aca="false">+U157/T157-1</f>
        <v>-0.0771555474151747</v>
      </c>
      <c r="V158" s="17" t="n">
        <f aca="false">+V157/U157-1</f>
        <v>0.696090106182396</v>
      </c>
      <c r="W158" s="17" t="n">
        <f aca="false">+W157/V157-1</f>
        <v>0.0853348155515901</v>
      </c>
      <c r="X158" s="17" t="n">
        <f aca="false">+X157/W157-1</f>
        <v>-0.0221159029649596</v>
      </c>
      <c r="Y158" s="17" t="n">
        <f aca="false">+Y157/X157-1</f>
        <v>-0.0772750451356827</v>
      </c>
      <c r="Z158" s="17" t="n">
        <f aca="false">+Z157/Y157-1</f>
        <v>-0.0384603895327996</v>
      </c>
    </row>
    <row r="159" customFormat="false" ht="12.8" hidden="false" customHeight="false" outlineLevel="0" collapsed="false">
      <c r="A159" s="1" t="s">
        <v>166</v>
      </c>
      <c r="B159" s="4" t="n">
        <v>7767</v>
      </c>
      <c r="C159" s="4" t="n">
        <v>6262</v>
      </c>
      <c r="D159" s="4" t="n">
        <v>5097</v>
      </c>
      <c r="E159" s="4" t="n">
        <v>5926</v>
      </c>
      <c r="F159" s="4" t="n">
        <v>8987</v>
      </c>
      <c r="G159" s="4" t="n">
        <v>7298</v>
      </c>
      <c r="H159" s="4" t="n">
        <v>5782</v>
      </c>
      <c r="I159" s="4" t="n">
        <v>6636</v>
      </c>
      <c r="J159" s="4" t="n">
        <v>9413</v>
      </c>
      <c r="K159" s="4" t="n">
        <v>8401</v>
      </c>
      <c r="L159" s="4" t="n">
        <v>6554</v>
      </c>
      <c r="Q159" s="4" t="n">
        <v>16928</v>
      </c>
      <c r="R159" s="4" t="n">
        <v>17733</v>
      </c>
      <c r="S159" s="4" t="n">
        <v>21733</v>
      </c>
      <c r="T159" s="4" t="n">
        <v>21506</v>
      </c>
      <c r="U159" s="4" t="n">
        <v>21418</v>
      </c>
      <c r="V159" s="4" t="n">
        <v>28482</v>
      </c>
      <c r="W159" s="4" t="n">
        <v>25977</v>
      </c>
      <c r="X159" s="4" t="n">
        <v>24257</v>
      </c>
      <c r="Y159" s="4" t="n">
        <f aca="false">+SUM(B159:E159)</f>
        <v>25052</v>
      </c>
      <c r="Z159" s="4" t="n">
        <f aca="false">+SUM(F159:I159)</f>
        <v>28703</v>
      </c>
    </row>
    <row r="160" s="17" customFormat="true" ht="10.5" hidden="false" customHeight="true" outlineLevel="0" collapsed="false">
      <c r="R160" s="17" t="n">
        <f aca="false">+R159/Q159-1</f>
        <v>0.0475543478260869</v>
      </c>
      <c r="S160" s="17" t="n">
        <f aca="false">+S159/R159-1</f>
        <v>0.225568149777251</v>
      </c>
      <c r="T160" s="17" t="n">
        <f aca="false">+T159/S159-1</f>
        <v>-0.0104449454746238</v>
      </c>
      <c r="U160" s="17" t="n">
        <f aca="false">+U159/T159-1</f>
        <v>-0.00409188133544125</v>
      </c>
      <c r="V160" s="17" t="n">
        <f aca="false">+V159/U159-1</f>
        <v>0.329816042581007</v>
      </c>
      <c r="W160" s="17" t="n">
        <f aca="false">+W159/V159-1</f>
        <v>-0.0879502843901412</v>
      </c>
      <c r="X160" s="17" t="n">
        <f aca="false">+X159/W159-1</f>
        <v>-0.0662124186780614</v>
      </c>
      <c r="Y160" s="17" t="n">
        <f aca="false">+Y159/X159-1</f>
        <v>0.0327740446056808</v>
      </c>
      <c r="Z160" s="17" t="n">
        <f aca="false">+Z159/Y159-1</f>
        <v>0.145736867315983</v>
      </c>
    </row>
    <row r="161" customFormat="false" ht="12.8" hidden="false" customHeight="false" outlineLevel="0" collapsed="false">
      <c r="A161" s="1" t="s">
        <v>167</v>
      </c>
      <c r="B161" s="4" t="n">
        <v>10162</v>
      </c>
      <c r="C161" s="4" t="n">
        <v>6723</v>
      </c>
      <c r="D161" s="4" t="n">
        <v>6390</v>
      </c>
      <c r="E161" s="4" t="n">
        <v>7383</v>
      </c>
      <c r="F161" s="4" t="n">
        <v>10291</v>
      </c>
      <c r="G161" s="4" t="n">
        <v>7290</v>
      </c>
      <c r="H161" s="4" t="n">
        <v>7673</v>
      </c>
      <c r="I161" s="4" t="n">
        <v>8442</v>
      </c>
      <c r="J161" s="4" t="n">
        <v>12142</v>
      </c>
      <c r="K161" s="4" t="n">
        <v>9138</v>
      </c>
      <c r="L161" s="4" t="n">
        <v>8871</v>
      </c>
      <c r="Q161" s="4" t="n">
        <v>13654</v>
      </c>
      <c r="R161" s="4" t="n">
        <v>15199</v>
      </c>
      <c r="S161" s="4" t="n">
        <v>17407</v>
      </c>
      <c r="T161" s="4" t="n">
        <v>17788</v>
      </c>
      <c r="U161" s="4" t="n">
        <v>19593</v>
      </c>
      <c r="V161" s="4" t="n">
        <v>26356</v>
      </c>
      <c r="W161" s="4" t="n">
        <v>29375</v>
      </c>
      <c r="X161" s="4" t="n">
        <v>29615</v>
      </c>
      <c r="Y161" s="4" t="n">
        <f aca="false">+SUM(B161:E161)</f>
        <v>30658</v>
      </c>
      <c r="Z161" s="4" t="n">
        <f aca="false">+SUM(F161:I161)</f>
        <v>33696</v>
      </c>
    </row>
    <row r="162" s="17" customFormat="true" ht="10.5" hidden="false" customHeight="true" outlineLevel="0" collapsed="false">
      <c r="R162" s="17" t="n">
        <f aca="false">+R161/Q161-1</f>
        <v>0.113153654606709</v>
      </c>
      <c r="S162" s="17" t="n">
        <f aca="false">+S161/R161-1</f>
        <v>0.145272715310218</v>
      </c>
      <c r="T162" s="17" t="n">
        <f aca="false">+T161/S161-1</f>
        <v>0.0218877463089562</v>
      </c>
      <c r="U162" s="17" t="n">
        <f aca="false">+U161/T161-1</f>
        <v>0.101472903080729</v>
      </c>
      <c r="V162" s="17" t="n">
        <f aca="false">+V161/U161-1</f>
        <v>0.345174296942786</v>
      </c>
      <c r="W162" s="17" t="n">
        <f aca="false">+W161/V161-1</f>
        <v>0.114546972226438</v>
      </c>
      <c r="X162" s="17" t="n">
        <f aca="false">+X161/W161-1</f>
        <v>0.00817021276595753</v>
      </c>
      <c r="Y162" s="17" t="n">
        <f aca="false">+Y161/X161-1</f>
        <v>0.0352186392031066</v>
      </c>
      <c r="Z162" s="17" t="n">
        <f aca="false">+Z161/Y161-1</f>
        <v>0.0990932219975211</v>
      </c>
    </row>
    <row r="163" customFormat="false" ht="12.8" hidden="false" customHeight="false" outlineLevel="0" collapsed="false">
      <c r="B163" s="4" t="n">
        <f aca="false">+B161+B159+B157+B155+B153</f>
        <v>119575</v>
      </c>
      <c r="C163" s="4" t="n">
        <f aca="false">+C161+C159+C157+C155+C153</f>
        <v>90753</v>
      </c>
      <c r="D163" s="4" t="n">
        <f aca="false">+D161+D159+D157+D155+D153</f>
        <v>85777</v>
      </c>
      <c r="E163" s="4" t="n">
        <f aca="false">+E161+E159+E157+E155+E153</f>
        <v>94930</v>
      </c>
      <c r="F163" s="4" t="n">
        <f aca="false">+F161+F159+F157+F155+F153</f>
        <v>124300</v>
      </c>
      <c r="G163" s="4" t="n">
        <f aca="false">+G161+G159+G157+G155+G153</f>
        <v>95359</v>
      </c>
      <c r="H163" s="4" t="n">
        <f aca="false">+H161+H159+H157+H155+H153</f>
        <v>94036</v>
      </c>
      <c r="I163" s="4" t="n">
        <f aca="false">+I161+I159+I157+I155+I153</f>
        <v>102466</v>
      </c>
      <c r="J163" s="4" t="n">
        <f aca="false">+J161+J159+J157+J155+J153</f>
        <v>143756</v>
      </c>
      <c r="K163" s="4" t="n">
        <f aca="false">+K161+K159+K157+K155+K153</f>
        <v>111184</v>
      </c>
      <c r="L163" s="4" t="n">
        <f aca="false">+L161+L159+L157+L155+L153</f>
        <v>109417</v>
      </c>
      <c r="Q163" s="4" t="n">
        <f aca="false">+Q161+Q159+Q157+Q155+Q153</f>
        <v>215639</v>
      </c>
      <c r="R163" s="4" t="n">
        <f aca="false">+R161+R159+R157+R155+R153</f>
        <v>229234</v>
      </c>
      <c r="S163" s="4" t="n">
        <f aca="false">+S161+S159+S157+S155+S153</f>
        <v>265595</v>
      </c>
      <c r="T163" s="4" t="n">
        <f aca="false">+T161+T159+T157+T155+T153</f>
        <v>260174</v>
      </c>
      <c r="U163" s="4" t="n">
        <f aca="false">+U161+U159+U157+U155+U153</f>
        <v>274515</v>
      </c>
      <c r="V163" s="4" t="n">
        <f aca="false">+V161+V159+V157+V155+V153</f>
        <v>365817</v>
      </c>
      <c r="W163" s="4" t="n">
        <f aca="false">+W161+W159+W157+W155+W153</f>
        <v>394328</v>
      </c>
      <c r="X163" s="4" t="n">
        <f aca="false">+X161+X159+X157+X155+X153</f>
        <v>383285</v>
      </c>
      <c r="Y163" s="4" t="n">
        <f aca="false">+Y161+Y159+Y157+Y155+Y153</f>
        <v>391035</v>
      </c>
      <c r="Z163" s="4" t="n">
        <f aca="false">+Z161+Z159+Z157+Z155+Z153</f>
        <v>416161</v>
      </c>
    </row>
  </sheetData>
  <mergeCells count="1">
    <mergeCell ref="AL55:AM55"/>
  </mergeCells>
  <hyperlinks>
    <hyperlink ref="A1" r:id="rId2" location="Main" display="Ma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50" colorId="64" zoomScale="80" zoomScaleNormal="80" zoomScalePageLayoutView="100" workbookViewId="0">
      <selection pane="topLeft" activeCell="E55" activeCellId="0" sqref="E5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15.05"/>
    <col collapsed="false" customWidth="true" hidden="false" outlineLevel="0" max="4" min="4" style="1" width="15.17"/>
    <col collapsed="false" customWidth="true" hidden="false" outlineLevel="0" max="9" min="9" style="1" width="13.16"/>
  </cols>
  <sheetData>
    <row r="1" customFormat="false" ht="12.8" hidden="false" customHeight="false" outlineLevel="0" collapsed="false">
      <c r="A1" s="1" t="s">
        <v>62</v>
      </c>
    </row>
    <row r="3" customFormat="false" ht="12.8" hidden="false" customHeight="false" outlineLevel="0" collapsed="false">
      <c r="B3" s="1" t="s">
        <v>168</v>
      </c>
      <c r="C3" s="1" t="s">
        <v>169</v>
      </c>
      <c r="D3" s="1" t="s">
        <v>170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175</v>
      </c>
      <c r="J3" s="1" t="s">
        <v>176</v>
      </c>
    </row>
    <row r="4" customFormat="false" ht="12.8" hidden="false" customHeight="false" outlineLevel="0" collapsed="false">
      <c r="B4" s="1" t="s">
        <v>177</v>
      </c>
      <c r="C4" s="1" t="s">
        <v>178</v>
      </c>
      <c r="D4" s="1" t="s">
        <v>179</v>
      </c>
      <c r="E4" s="1" t="n">
        <v>2050</v>
      </c>
      <c r="F4" s="35" t="s">
        <v>180</v>
      </c>
      <c r="G4" s="1" t="s">
        <v>181</v>
      </c>
      <c r="H4" s="1" t="s">
        <v>182</v>
      </c>
      <c r="I4" s="1" t="s">
        <v>183</v>
      </c>
      <c r="J4" s="1" t="n">
        <v>3.68</v>
      </c>
    </row>
    <row r="5" customFormat="false" ht="12.8" hidden="false" customHeight="false" outlineLevel="0" collapsed="false">
      <c r="B5" s="1" t="s">
        <v>184</v>
      </c>
      <c r="C5" s="1" t="s">
        <v>178</v>
      </c>
      <c r="D5" s="1" t="s">
        <v>179</v>
      </c>
      <c r="E5" s="1" t="n">
        <v>1625</v>
      </c>
      <c r="F5" s="35" t="s">
        <v>185</v>
      </c>
      <c r="G5" s="1" t="s">
        <v>181</v>
      </c>
      <c r="H5" s="1" t="s">
        <v>186</v>
      </c>
      <c r="I5" s="1" t="s">
        <v>183</v>
      </c>
      <c r="J5" s="1" t="s">
        <v>178</v>
      </c>
    </row>
    <row r="6" customFormat="false" ht="12.8" hidden="false" customHeight="false" outlineLevel="0" collapsed="false">
      <c r="B6" s="1" t="s">
        <v>187</v>
      </c>
      <c r="C6" s="1" t="s">
        <v>178</v>
      </c>
      <c r="D6" s="1" t="s">
        <v>179</v>
      </c>
      <c r="E6" s="1" t="n">
        <v>3350</v>
      </c>
      <c r="F6" s="35" t="s">
        <v>188</v>
      </c>
      <c r="G6" s="1" t="s">
        <v>181</v>
      </c>
      <c r="H6" s="1" t="s">
        <v>182</v>
      </c>
      <c r="I6" s="1" t="s">
        <v>183</v>
      </c>
      <c r="J6" s="1" t="n">
        <v>4.142</v>
      </c>
    </row>
    <row r="7" customFormat="false" ht="12.8" hidden="false" customHeight="false" outlineLevel="0" collapsed="false">
      <c r="B7" s="1" t="s">
        <v>189</v>
      </c>
      <c r="C7" s="1" t="s">
        <v>178</v>
      </c>
      <c r="D7" s="1" t="s">
        <v>179</v>
      </c>
      <c r="E7" s="1" t="n">
        <v>3200</v>
      </c>
      <c r="F7" s="35" t="s">
        <v>190</v>
      </c>
      <c r="G7" s="1" t="s">
        <v>181</v>
      </c>
      <c r="H7" s="1" t="s">
        <v>182</v>
      </c>
      <c r="I7" s="1" t="s">
        <v>183</v>
      </c>
      <c r="J7" s="1" t="n">
        <v>4.1</v>
      </c>
    </row>
    <row r="8" customFormat="false" ht="12.8" hidden="false" customHeight="false" outlineLevel="0" collapsed="false">
      <c r="B8" s="1" t="s">
        <v>191</v>
      </c>
      <c r="C8" s="1" t="s">
        <v>192</v>
      </c>
      <c r="D8" s="1" t="s">
        <v>179</v>
      </c>
      <c r="E8" s="1" t="n">
        <v>3000</v>
      </c>
      <c r="F8" s="35" t="s">
        <v>193</v>
      </c>
      <c r="G8" s="1" t="s">
        <v>181</v>
      </c>
      <c r="H8" s="1" t="s">
        <v>182</v>
      </c>
      <c r="I8" s="1" t="s">
        <v>183</v>
      </c>
      <c r="J8" s="1" t="n">
        <v>4.145</v>
      </c>
    </row>
    <row r="9" customFormat="false" ht="12.8" hidden="false" customHeight="false" outlineLevel="0" collapsed="false">
      <c r="B9" s="1" t="s">
        <v>194</v>
      </c>
      <c r="C9" s="1" t="s">
        <v>178</v>
      </c>
      <c r="D9" s="1" t="s">
        <v>179</v>
      </c>
      <c r="E9" s="1" t="n">
        <v>2900</v>
      </c>
      <c r="F9" s="35" t="s">
        <v>195</v>
      </c>
      <c r="G9" s="1" t="s">
        <v>181</v>
      </c>
      <c r="H9" s="1" t="s">
        <v>182</v>
      </c>
      <c r="I9" s="1" t="s">
        <v>183</v>
      </c>
      <c r="J9" s="1" t="n">
        <v>4.202</v>
      </c>
    </row>
    <row r="10" customFormat="false" ht="12.8" hidden="false" customHeight="false" outlineLevel="0" collapsed="false">
      <c r="B10" s="1" t="s">
        <v>196</v>
      </c>
      <c r="C10" s="1" t="s">
        <v>178</v>
      </c>
      <c r="D10" s="1" t="s">
        <v>179</v>
      </c>
      <c r="E10" s="1" t="n">
        <v>2000</v>
      </c>
      <c r="F10" s="35" t="s">
        <v>197</v>
      </c>
      <c r="G10" s="1" t="s">
        <v>181</v>
      </c>
      <c r="H10" s="1" t="s">
        <v>186</v>
      </c>
      <c r="I10" s="1" t="s">
        <v>183</v>
      </c>
      <c r="J10" s="1" t="s">
        <v>178</v>
      </c>
    </row>
    <row r="11" customFormat="false" ht="12.8" hidden="false" customHeight="false" outlineLevel="0" collapsed="false">
      <c r="B11" s="1" t="s">
        <v>198</v>
      </c>
      <c r="C11" s="1" t="s">
        <v>178</v>
      </c>
      <c r="D11" s="1" t="s">
        <v>179</v>
      </c>
      <c r="E11" s="1" t="n">
        <v>3000</v>
      </c>
      <c r="F11" s="35" t="s">
        <v>199</v>
      </c>
      <c r="G11" s="1" t="s">
        <v>181</v>
      </c>
      <c r="H11" s="1" t="s">
        <v>182</v>
      </c>
      <c r="I11" s="1" t="s">
        <v>183</v>
      </c>
      <c r="J11" s="1" t="n">
        <v>4.268</v>
      </c>
    </row>
    <row r="12" customFormat="false" ht="12.8" hidden="false" customHeight="false" outlineLevel="0" collapsed="false">
      <c r="B12" s="1" t="s">
        <v>200</v>
      </c>
      <c r="C12" s="1" t="s">
        <v>178</v>
      </c>
      <c r="D12" s="1" t="s">
        <v>179</v>
      </c>
      <c r="E12" s="1" t="n">
        <v>1200</v>
      </c>
      <c r="F12" s="35" t="s">
        <v>201</v>
      </c>
      <c r="G12" s="1" t="s">
        <v>181</v>
      </c>
      <c r="H12" s="1" t="s">
        <v>182</v>
      </c>
      <c r="I12" s="1" t="s">
        <v>183</v>
      </c>
      <c r="J12" s="1" t="n">
        <v>4.387</v>
      </c>
    </row>
    <row r="13" customFormat="false" ht="12.8" hidden="false" customHeight="false" outlineLevel="0" collapsed="false">
      <c r="B13" s="1" t="s">
        <v>202</v>
      </c>
      <c r="C13" s="1" t="s">
        <v>178</v>
      </c>
      <c r="D13" s="1" t="s">
        <v>179</v>
      </c>
      <c r="E13" s="1" t="n">
        <v>4000</v>
      </c>
      <c r="F13" s="35" t="s">
        <v>203</v>
      </c>
      <c r="G13" s="1" t="s">
        <v>181</v>
      </c>
      <c r="H13" s="1" t="s">
        <v>182</v>
      </c>
      <c r="I13" s="1" t="s">
        <v>183</v>
      </c>
      <c r="J13" s="1" t="n">
        <v>4.367</v>
      </c>
    </row>
    <row r="14" customFormat="false" ht="12.8" hidden="false" customHeight="false" outlineLevel="0" collapsed="false">
      <c r="B14" s="1" t="s">
        <v>204</v>
      </c>
      <c r="C14" s="1" t="s">
        <v>178</v>
      </c>
      <c r="D14" s="1" t="s">
        <v>179</v>
      </c>
      <c r="E14" s="1" t="n">
        <v>4000</v>
      </c>
      <c r="F14" s="35" t="s">
        <v>205</v>
      </c>
      <c r="G14" s="1" t="s">
        <v>181</v>
      </c>
      <c r="H14" s="1" t="s">
        <v>182</v>
      </c>
      <c r="I14" s="1" t="s">
        <v>183</v>
      </c>
      <c r="J14" s="1" t="n">
        <v>4.416</v>
      </c>
    </row>
    <row r="15" customFormat="false" ht="12.8" hidden="false" customHeight="false" outlineLevel="0" collapsed="false">
      <c r="B15" s="1" t="s">
        <v>206</v>
      </c>
      <c r="C15" s="1" t="s">
        <v>178</v>
      </c>
      <c r="D15" s="1" t="s">
        <v>179</v>
      </c>
      <c r="E15" s="1" t="n">
        <v>1400</v>
      </c>
      <c r="F15" s="35" t="s">
        <v>207</v>
      </c>
      <c r="G15" s="1" t="s">
        <v>181</v>
      </c>
      <c r="H15" s="1" t="s">
        <v>182</v>
      </c>
      <c r="I15" s="1" t="s">
        <v>183</v>
      </c>
      <c r="J15" s="1" t="n">
        <v>4.393</v>
      </c>
    </row>
    <row r="16" customFormat="false" ht="12.8" hidden="false" customHeight="false" outlineLevel="0" collapsed="false">
      <c r="B16" s="1" t="s">
        <v>208</v>
      </c>
      <c r="C16" s="1" t="s">
        <v>178</v>
      </c>
      <c r="D16" s="1" t="s">
        <v>179</v>
      </c>
      <c r="E16" s="1" t="n">
        <v>1375</v>
      </c>
      <c r="F16" s="35" t="s">
        <v>209</v>
      </c>
      <c r="G16" s="1" t="s">
        <v>181</v>
      </c>
      <c r="H16" s="1" t="s">
        <v>186</v>
      </c>
      <c r="I16" s="1" t="s">
        <v>183</v>
      </c>
      <c r="J16" s="1" t="s">
        <v>178</v>
      </c>
    </row>
    <row r="17" customFormat="false" ht="12.8" hidden="false" customHeight="false" outlineLevel="0" collapsed="false">
      <c r="B17" s="1" t="s">
        <v>210</v>
      </c>
      <c r="C17" s="1" t="s">
        <v>178</v>
      </c>
      <c r="D17" s="1" t="s">
        <v>179</v>
      </c>
      <c r="E17" s="1" t="n">
        <v>3050</v>
      </c>
      <c r="F17" s="35" t="s">
        <v>211</v>
      </c>
      <c r="G17" s="1" t="s">
        <v>181</v>
      </c>
      <c r="H17" s="1" t="s">
        <v>212</v>
      </c>
      <c r="I17" s="1" t="s">
        <v>183</v>
      </c>
      <c r="J17" s="1" t="s">
        <v>178</v>
      </c>
    </row>
    <row r="18" customFormat="false" ht="12.8" hidden="false" customHeight="false" outlineLevel="0" collapsed="false">
      <c r="B18" s="1" t="s">
        <v>213</v>
      </c>
      <c r="C18" s="1" t="s">
        <v>178</v>
      </c>
      <c r="D18" s="1" t="s">
        <v>179</v>
      </c>
      <c r="E18" s="1" t="n">
        <v>3250</v>
      </c>
      <c r="F18" s="35" t="s">
        <v>214</v>
      </c>
      <c r="G18" s="1" t="s">
        <v>181</v>
      </c>
      <c r="H18" s="1" t="s">
        <v>182</v>
      </c>
      <c r="I18" s="1" t="s">
        <v>183</v>
      </c>
      <c r="J18" s="1" t="n">
        <v>4.472</v>
      </c>
    </row>
    <row r="19" customFormat="false" ht="12.8" hidden="false" customHeight="false" outlineLevel="0" collapsed="false">
      <c r="B19" s="1" t="s">
        <v>215</v>
      </c>
      <c r="C19" s="1" t="s">
        <v>178</v>
      </c>
      <c r="D19" s="1" t="s">
        <v>179</v>
      </c>
      <c r="E19" s="1" t="n">
        <v>2200</v>
      </c>
      <c r="F19" s="35" t="s">
        <v>216</v>
      </c>
      <c r="G19" s="1" t="s">
        <v>181</v>
      </c>
      <c r="H19" s="1" t="s">
        <v>182</v>
      </c>
      <c r="I19" s="1" t="s">
        <v>183</v>
      </c>
      <c r="J19" s="1" t="n">
        <v>4.491</v>
      </c>
    </row>
    <row r="20" customFormat="false" ht="12.8" hidden="false" customHeight="false" outlineLevel="0" collapsed="false">
      <c r="B20" s="1" t="s">
        <v>217</v>
      </c>
      <c r="C20" s="1" t="s">
        <v>178</v>
      </c>
      <c r="D20" s="1" t="s">
        <v>179</v>
      </c>
      <c r="E20" s="1" t="n">
        <v>750</v>
      </c>
      <c r="F20" s="35" t="s">
        <v>218</v>
      </c>
      <c r="G20" s="1" t="s">
        <v>219</v>
      </c>
      <c r="H20" s="1" t="s">
        <v>220</v>
      </c>
      <c r="I20" s="1" t="s">
        <v>183</v>
      </c>
      <c r="J20" s="1" t="s">
        <v>178</v>
      </c>
    </row>
    <row r="21" customFormat="false" ht="12.8" hidden="false" customHeight="false" outlineLevel="0" collapsed="false">
      <c r="B21" s="1" t="s">
        <v>221</v>
      </c>
      <c r="C21" s="1" t="s">
        <v>178</v>
      </c>
      <c r="D21" s="1" t="s">
        <v>179</v>
      </c>
      <c r="E21" s="1" t="n">
        <v>4150</v>
      </c>
      <c r="F21" s="35" t="s">
        <v>222</v>
      </c>
      <c r="G21" s="1" t="s">
        <v>181</v>
      </c>
      <c r="H21" s="1" t="s">
        <v>182</v>
      </c>
      <c r="I21" s="1" t="s">
        <v>183</v>
      </c>
      <c r="J21" s="1" t="n">
        <v>4.632</v>
      </c>
    </row>
    <row r="22" customFormat="false" ht="12.8" hidden="false" customHeight="false" outlineLevel="0" collapsed="false">
      <c r="B22" s="1" t="s">
        <v>223</v>
      </c>
      <c r="C22" s="1" t="s">
        <v>178</v>
      </c>
      <c r="D22" s="1" t="s">
        <v>179</v>
      </c>
      <c r="E22" s="1" t="n">
        <v>1650</v>
      </c>
      <c r="F22" s="35" t="s">
        <v>224</v>
      </c>
      <c r="G22" s="1" t="s">
        <v>181</v>
      </c>
      <c r="H22" s="1" t="s">
        <v>182</v>
      </c>
      <c r="I22" s="1" t="s">
        <v>183</v>
      </c>
      <c r="J22" s="1" t="n">
        <v>4.703</v>
      </c>
    </row>
    <row r="23" customFormat="false" ht="12.8" hidden="false" customHeight="false" outlineLevel="0" collapsed="false">
      <c r="B23" s="1" t="s">
        <v>225</v>
      </c>
      <c r="C23" s="1" t="s">
        <v>178</v>
      </c>
      <c r="D23" s="1" t="s">
        <v>179</v>
      </c>
      <c r="E23" s="1" t="n">
        <v>4200</v>
      </c>
      <c r="F23" s="35" t="s">
        <v>226</v>
      </c>
      <c r="G23" s="1" t="s">
        <v>181</v>
      </c>
      <c r="H23" s="1" t="s">
        <v>182</v>
      </c>
      <c r="I23" s="1" t="s">
        <v>183</v>
      </c>
      <c r="J23" s="1" t="n">
        <v>4.588</v>
      </c>
    </row>
    <row r="24" customFormat="false" ht="12.8" hidden="false" customHeight="false" outlineLevel="0" collapsed="false">
      <c r="B24" s="1" t="s">
        <v>227</v>
      </c>
      <c r="C24" s="1" t="s">
        <v>178</v>
      </c>
      <c r="D24" s="1" t="s">
        <v>179</v>
      </c>
      <c r="E24" s="1" t="n">
        <v>1250</v>
      </c>
      <c r="F24" s="35" t="s">
        <v>228</v>
      </c>
      <c r="G24" s="1" t="s">
        <v>181</v>
      </c>
      <c r="H24" s="1" t="s">
        <v>182</v>
      </c>
      <c r="I24" s="1" t="s">
        <v>183</v>
      </c>
      <c r="J24" s="1" t="n">
        <v>4.692</v>
      </c>
    </row>
    <row r="25" customFormat="false" ht="12.8" hidden="false" customHeight="false" outlineLevel="0" collapsed="false">
      <c r="B25" s="1" t="s">
        <v>229</v>
      </c>
      <c r="C25" s="1" t="s">
        <v>178</v>
      </c>
      <c r="D25" s="1" t="s">
        <v>179</v>
      </c>
      <c r="E25" s="1" t="n">
        <v>1650</v>
      </c>
      <c r="F25" s="35" t="s">
        <v>230</v>
      </c>
      <c r="G25" s="1" t="s">
        <v>181</v>
      </c>
      <c r="H25" s="1" t="s">
        <v>182</v>
      </c>
      <c r="I25" s="1" t="s">
        <v>183</v>
      </c>
      <c r="J25" s="1" t="n">
        <v>4.675</v>
      </c>
    </row>
    <row r="26" customFormat="false" ht="12.8" hidden="false" customHeight="false" outlineLevel="0" collapsed="false">
      <c r="B26" s="1" t="s">
        <v>231</v>
      </c>
      <c r="C26" s="1" t="s">
        <v>178</v>
      </c>
      <c r="D26" s="1" t="s">
        <v>179</v>
      </c>
      <c r="E26" s="1" t="n">
        <v>1700</v>
      </c>
      <c r="F26" s="35" t="s">
        <v>232</v>
      </c>
      <c r="G26" s="1" t="s">
        <v>181</v>
      </c>
      <c r="H26" s="1" t="s">
        <v>182</v>
      </c>
      <c r="I26" s="1" t="s">
        <v>183</v>
      </c>
      <c r="J26" s="1" t="n">
        <v>4.747</v>
      </c>
    </row>
    <row r="27" customFormat="false" ht="12.8" hidden="false" customHeight="false" outlineLevel="0" collapsed="false">
      <c r="B27" s="1" t="s">
        <v>233</v>
      </c>
      <c r="C27" s="1" t="s">
        <v>192</v>
      </c>
      <c r="D27" s="1" t="s">
        <v>179</v>
      </c>
      <c r="E27" s="1" t="n">
        <v>500</v>
      </c>
      <c r="F27" s="35" t="s">
        <v>234</v>
      </c>
      <c r="G27" s="1" t="s">
        <v>181</v>
      </c>
      <c r="H27" s="1" t="s">
        <v>186</v>
      </c>
      <c r="I27" s="1" t="s">
        <v>183</v>
      </c>
      <c r="J27" s="1" t="s">
        <v>178</v>
      </c>
    </row>
    <row r="28" customFormat="false" ht="12.8" hidden="false" customHeight="false" outlineLevel="0" collapsed="false">
      <c r="B28" s="1" t="s">
        <v>235</v>
      </c>
      <c r="C28" s="1" t="s">
        <v>178</v>
      </c>
      <c r="D28" s="1" t="s">
        <v>179</v>
      </c>
      <c r="E28" s="1" t="n">
        <v>4500</v>
      </c>
      <c r="F28" s="35" t="s">
        <v>236</v>
      </c>
      <c r="G28" s="1" t="s">
        <v>181</v>
      </c>
      <c r="H28" s="1" t="s">
        <v>182</v>
      </c>
      <c r="I28" s="1" t="s">
        <v>183</v>
      </c>
      <c r="J28" s="1" t="n">
        <v>4.704</v>
      </c>
    </row>
    <row r="29" customFormat="false" ht="12.8" hidden="false" customHeight="false" outlineLevel="0" collapsed="false">
      <c r="B29" s="1" t="s">
        <v>237</v>
      </c>
      <c r="C29" s="1" t="s">
        <v>178</v>
      </c>
      <c r="D29" s="1" t="s">
        <v>179</v>
      </c>
      <c r="E29" s="1" t="n">
        <v>3350</v>
      </c>
      <c r="F29" s="35" t="s">
        <v>238</v>
      </c>
      <c r="G29" s="1" t="s">
        <v>181</v>
      </c>
      <c r="H29" s="1" t="s">
        <v>182</v>
      </c>
      <c r="I29" s="1" t="s">
        <v>183</v>
      </c>
      <c r="J29" s="1" t="n">
        <v>4.746</v>
      </c>
    </row>
    <row r="30" customFormat="false" ht="12.8" hidden="false" customHeight="false" outlineLevel="0" collapsed="false">
      <c r="B30" s="1" t="s">
        <v>239</v>
      </c>
      <c r="C30" s="1" t="s">
        <v>178</v>
      </c>
      <c r="D30" s="1" t="s">
        <v>179</v>
      </c>
      <c r="E30" s="1" t="n">
        <v>4300</v>
      </c>
      <c r="F30" s="35" t="s">
        <v>240</v>
      </c>
      <c r="G30" s="1" t="s">
        <v>181</v>
      </c>
      <c r="H30" s="1" t="s">
        <v>182</v>
      </c>
      <c r="I30" s="1" t="s">
        <v>183</v>
      </c>
      <c r="J30" s="1" t="n">
        <v>4.747</v>
      </c>
    </row>
    <row r="31" customFormat="false" ht="12.8" hidden="false" customHeight="false" outlineLevel="0" collapsed="false">
      <c r="B31" s="1" t="s">
        <v>241</v>
      </c>
      <c r="C31" s="1" t="s">
        <v>178</v>
      </c>
      <c r="D31" s="1" t="s">
        <v>179</v>
      </c>
      <c r="E31" s="1" t="n">
        <v>4750</v>
      </c>
      <c r="F31" s="35" t="s">
        <v>242</v>
      </c>
      <c r="G31" s="1" t="s">
        <v>181</v>
      </c>
      <c r="H31" s="1" t="s">
        <v>182</v>
      </c>
      <c r="I31" s="1" t="s">
        <v>183</v>
      </c>
      <c r="J31" s="1" t="n">
        <v>4.96</v>
      </c>
    </row>
    <row r="32" customFormat="false" ht="12.8" hidden="false" customHeight="false" outlineLevel="0" collapsed="false">
      <c r="B32" s="1" t="s">
        <v>243</v>
      </c>
      <c r="C32" s="1" t="s">
        <v>178</v>
      </c>
      <c r="D32" s="1" t="s">
        <v>179</v>
      </c>
      <c r="E32" s="1" t="n">
        <v>4500</v>
      </c>
      <c r="F32" s="35" t="s">
        <v>244</v>
      </c>
      <c r="G32" s="1" t="s">
        <v>181</v>
      </c>
      <c r="H32" s="1" t="s">
        <v>182</v>
      </c>
      <c r="I32" s="1" t="s">
        <v>183</v>
      </c>
      <c r="J32" s="1" t="n">
        <v>4.965</v>
      </c>
    </row>
    <row r="33" customFormat="false" ht="12.8" hidden="false" customHeight="false" outlineLevel="0" collapsed="false">
      <c r="B33" s="1" t="s">
        <v>245</v>
      </c>
      <c r="C33" s="1" t="s">
        <v>178</v>
      </c>
      <c r="D33" s="1" t="s">
        <v>179</v>
      </c>
      <c r="E33" s="1" t="n">
        <v>2375</v>
      </c>
      <c r="F33" s="35" t="s">
        <v>246</v>
      </c>
      <c r="G33" s="1" t="s">
        <v>181</v>
      </c>
      <c r="H33" s="1" t="s">
        <v>182</v>
      </c>
      <c r="I33" s="1" t="s">
        <v>183</v>
      </c>
      <c r="J33" s="1" t="n">
        <v>5.589</v>
      </c>
    </row>
    <row r="34" customFormat="false" ht="12.8" hidden="false" customHeight="false" outlineLevel="0" collapsed="false">
      <c r="B34" s="1" t="s">
        <v>247</v>
      </c>
      <c r="C34" s="1" t="s">
        <v>178</v>
      </c>
      <c r="D34" s="1" t="s">
        <v>179</v>
      </c>
      <c r="E34" s="1" t="n">
        <v>3600</v>
      </c>
      <c r="F34" s="35" t="s">
        <v>248</v>
      </c>
      <c r="G34" s="1" t="s">
        <v>181</v>
      </c>
      <c r="H34" s="1" t="s">
        <v>212</v>
      </c>
      <c r="I34" s="1" t="s">
        <v>183</v>
      </c>
      <c r="J34" s="1" t="s">
        <v>178</v>
      </c>
    </row>
    <row r="35" customFormat="false" ht="12.8" hidden="false" customHeight="false" outlineLevel="0" collapsed="false">
      <c r="B35" s="1" t="s">
        <v>249</v>
      </c>
      <c r="C35" s="1" t="s">
        <v>178</v>
      </c>
      <c r="D35" s="1" t="s">
        <v>179</v>
      </c>
      <c r="E35" s="1" t="n">
        <v>3850</v>
      </c>
      <c r="F35" s="35" t="s">
        <v>250</v>
      </c>
      <c r="G35" s="1" t="s">
        <v>181</v>
      </c>
      <c r="H35" s="1" t="s">
        <v>182</v>
      </c>
      <c r="I35" s="1" t="s">
        <v>183</v>
      </c>
      <c r="J35" s="1" t="n">
        <v>5.772</v>
      </c>
    </row>
    <row r="36" customFormat="false" ht="12.8" hidden="false" customHeight="false" outlineLevel="0" collapsed="false">
      <c r="B36" s="1" t="s">
        <v>251</v>
      </c>
      <c r="C36" s="1" t="s">
        <v>178</v>
      </c>
      <c r="D36" s="1" t="s">
        <v>179</v>
      </c>
      <c r="E36" s="1" t="n">
        <v>4450</v>
      </c>
      <c r="F36" s="35" t="s">
        <v>252</v>
      </c>
      <c r="G36" s="1" t="s">
        <v>181</v>
      </c>
      <c r="H36" s="1" t="s">
        <v>182</v>
      </c>
      <c r="I36" s="1" t="s">
        <v>183</v>
      </c>
      <c r="J36" s="1" t="n">
        <v>5.797</v>
      </c>
    </row>
    <row r="37" customFormat="false" ht="12.8" hidden="false" customHeight="false" outlineLevel="0" collapsed="false">
      <c r="B37" s="1" t="s">
        <v>253</v>
      </c>
      <c r="C37" s="1" t="s">
        <v>178</v>
      </c>
      <c r="D37" s="1" t="s">
        <v>179</v>
      </c>
      <c r="E37" s="1" t="n">
        <v>3450</v>
      </c>
      <c r="F37" s="35" t="s">
        <v>254</v>
      </c>
      <c r="G37" s="1" t="s">
        <v>181</v>
      </c>
      <c r="H37" s="1" t="s">
        <v>182</v>
      </c>
      <c r="I37" s="1" t="s">
        <v>183</v>
      </c>
      <c r="J37" s="1" t="n">
        <v>5.882</v>
      </c>
    </row>
    <row r="38" customFormat="false" ht="12.8" hidden="false" customHeight="false" outlineLevel="0" collapsed="false">
      <c r="B38" s="1" t="s">
        <v>255</v>
      </c>
      <c r="C38" s="1" t="s">
        <v>178</v>
      </c>
      <c r="D38" s="1" t="s">
        <v>179</v>
      </c>
      <c r="E38" s="1" t="n">
        <v>4375</v>
      </c>
      <c r="F38" s="35" t="s">
        <v>256</v>
      </c>
      <c r="G38" s="1" t="s">
        <v>181</v>
      </c>
      <c r="H38" s="1" t="s">
        <v>182</v>
      </c>
      <c r="I38" s="1" t="s">
        <v>183</v>
      </c>
      <c r="J38" s="1" t="n">
        <v>5.88</v>
      </c>
    </row>
    <row r="39" customFormat="false" ht="12.8" hidden="false" customHeight="false" outlineLevel="0" collapsed="false">
      <c r="B39" s="1" t="s">
        <v>257</v>
      </c>
      <c r="C39" s="1" t="s">
        <v>178</v>
      </c>
      <c r="D39" s="1" t="s">
        <v>179</v>
      </c>
      <c r="E39" s="1" t="n">
        <v>4650</v>
      </c>
      <c r="F39" s="35" t="s">
        <v>258</v>
      </c>
      <c r="G39" s="1" t="s">
        <v>181</v>
      </c>
      <c r="H39" s="1" t="s">
        <v>182</v>
      </c>
      <c r="I39" s="1" t="s">
        <v>183</v>
      </c>
      <c r="J39" s="1" t="n">
        <v>5.848</v>
      </c>
    </row>
    <row r="40" customFormat="false" ht="12.8" hidden="false" customHeight="false" outlineLevel="0" collapsed="false">
      <c r="B40" s="1" t="s">
        <v>259</v>
      </c>
      <c r="C40" s="1" t="s">
        <v>178</v>
      </c>
      <c r="D40" s="1" t="s">
        <v>179</v>
      </c>
      <c r="E40" s="1" t="n">
        <v>3850</v>
      </c>
      <c r="F40" s="35" t="s">
        <v>260</v>
      </c>
      <c r="G40" s="1" t="s">
        <v>181</v>
      </c>
      <c r="H40" s="1" t="s">
        <v>182</v>
      </c>
      <c r="I40" s="1" t="s">
        <v>183</v>
      </c>
      <c r="J40" s="1" t="n">
        <v>5.924</v>
      </c>
    </row>
    <row r="41" customFormat="false" ht="12.8" hidden="false" customHeight="false" outlineLevel="0" collapsed="false">
      <c r="B41" s="1" t="s">
        <v>261</v>
      </c>
      <c r="C41" s="1" t="s">
        <v>178</v>
      </c>
      <c r="D41" s="1" t="s">
        <v>179</v>
      </c>
      <c r="E41" s="1" t="n">
        <v>4250</v>
      </c>
      <c r="F41" s="35" t="s">
        <v>262</v>
      </c>
      <c r="G41" s="1" t="s">
        <v>181</v>
      </c>
      <c r="H41" s="1" t="s">
        <v>182</v>
      </c>
      <c r="I41" s="1" t="s">
        <v>183</v>
      </c>
      <c r="J41" s="1" t="n">
        <v>5.925</v>
      </c>
    </row>
    <row r="42" customFormat="false" ht="12.8" hidden="false" customHeight="false" outlineLevel="0" collapsed="false">
      <c r="B42" s="1" t="s">
        <v>263</v>
      </c>
      <c r="C42" s="1" t="s">
        <v>178</v>
      </c>
      <c r="D42" s="1" t="s">
        <v>179</v>
      </c>
      <c r="E42" s="1" t="n">
        <v>3750</v>
      </c>
      <c r="F42" s="35" t="s">
        <v>264</v>
      </c>
      <c r="G42" s="1" t="s">
        <v>181</v>
      </c>
      <c r="H42" s="1" t="s">
        <v>182</v>
      </c>
      <c r="I42" s="1" t="s">
        <v>183</v>
      </c>
      <c r="J42" s="1" t="n">
        <v>5.962</v>
      </c>
    </row>
    <row r="43" customFormat="false" ht="12.8" hidden="false" customHeight="false" outlineLevel="0" collapsed="false">
      <c r="B43" s="1" t="s">
        <v>265</v>
      </c>
      <c r="C43" s="1" t="s">
        <v>178</v>
      </c>
      <c r="D43" s="1" t="s">
        <v>179</v>
      </c>
      <c r="E43" s="1" t="n">
        <v>3750</v>
      </c>
      <c r="F43" s="35" t="s">
        <v>266</v>
      </c>
      <c r="G43" s="1" t="s">
        <v>181</v>
      </c>
      <c r="H43" s="1" t="s">
        <v>182</v>
      </c>
      <c r="I43" s="1" t="s">
        <v>183</v>
      </c>
      <c r="J43" s="1" t="n">
        <v>5.946</v>
      </c>
    </row>
    <row r="44" customFormat="false" ht="12.8" hidden="false" customHeight="false" outlineLevel="0" collapsed="false">
      <c r="B44" s="1" t="s">
        <v>267</v>
      </c>
      <c r="C44" s="1" t="s">
        <v>178</v>
      </c>
      <c r="D44" s="1" t="s">
        <v>179</v>
      </c>
      <c r="E44" s="1" t="n">
        <v>2950</v>
      </c>
      <c r="F44" s="35" t="s">
        <v>268</v>
      </c>
      <c r="G44" s="1" t="s">
        <v>181</v>
      </c>
      <c r="H44" s="1" t="s">
        <v>182</v>
      </c>
      <c r="I44" s="1" t="s">
        <v>183</v>
      </c>
      <c r="J44" s="1" t="n">
        <v>5.98</v>
      </c>
    </row>
    <row r="45" customFormat="false" ht="12.8" hidden="false" customHeight="false" outlineLevel="0" collapsed="false">
      <c r="B45" s="1" t="s">
        <v>269</v>
      </c>
      <c r="C45" s="1" t="s">
        <v>178</v>
      </c>
      <c r="D45" s="1" t="s">
        <v>179</v>
      </c>
      <c r="E45" s="1" t="n">
        <v>2650</v>
      </c>
      <c r="F45" s="35" t="s">
        <v>270</v>
      </c>
      <c r="G45" s="1" t="s">
        <v>181</v>
      </c>
      <c r="H45" s="1" t="s">
        <v>182</v>
      </c>
      <c r="I45" s="1" t="s">
        <v>183</v>
      </c>
      <c r="J45" s="1" t="n">
        <v>5.983</v>
      </c>
    </row>
    <row r="46" customFormat="false" ht="12.8" hidden="false" customHeight="false" outlineLevel="0" collapsed="false">
      <c r="B46" s="1" t="s">
        <v>271</v>
      </c>
      <c r="C46" s="1" t="s">
        <v>178</v>
      </c>
      <c r="D46" s="1" t="s">
        <v>179</v>
      </c>
      <c r="E46" s="1" t="n">
        <v>2400</v>
      </c>
      <c r="F46" s="35" t="s">
        <v>272</v>
      </c>
      <c r="G46" s="1" t="s">
        <v>181</v>
      </c>
      <c r="H46" s="1" t="s">
        <v>182</v>
      </c>
      <c r="I46" s="1" t="s">
        <v>183</v>
      </c>
      <c r="J46" s="1" t="n">
        <v>5.966</v>
      </c>
    </row>
    <row r="47" customFormat="false" ht="12.8" hidden="false" customHeight="false" outlineLevel="0" collapsed="false">
      <c r="B47" s="1" t="s">
        <v>273</v>
      </c>
      <c r="C47" s="1" t="s">
        <v>178</v>
      </c>
      <c r="D47" s="1" t="s">
        <v>179</v>
      </c>
      <c r="E47" s="1" t="n">
        <v>2650</v>
      </c>
      <c r="F47" s="35" t="s">
        <v>274</v>
      </c>
      <c r="G47" s="1" t="s">
        <v>181</v>
      </c>
      <c r="H47" s="1" t="s">
        <v>182</v>
      </c>
      <c r="I47" s="1" t="s">
        <v>183</v>
      </c>
      <c r="J47" s="1" t="n">
        <v>5.994</v>
      </c>
    </row>
    <row r="48" customFormat="false" ht="12.8" hidden="false" customHeight="false" outlineLevel="0" collapsed="false">
      <c r="B48" s="1" t="s">
        <v>275</v>
      </c>
      <c r="C48" s="1" t="s">
        <v>178</v>
      </c>
      <c r="D48" s="1" t="s">
        <v>179</v>
      </c>
      <c r="E48" s="1" t="n">
        <v>2700</v>
      </c>
      <c r="F48" s="35" t="s">
        <v>276</v>
      </c>
      <c r="G48" s="1" t="s">
        <v>181</v>
      </c>
      <c r="H48" s="1" t="s">
        <v>182</v>
      </c>
      <c r="I48" s="1" t="s">
        <v>183</v>
      </c>
      <c r="J48" s="1" t="n">
        <v>5.973</v>
      </c>
    </row>
    <row r="49" customFormat="false" ht="12.8" hidden="false" customHeight="false" outlineLevel="0" collapsed="false">
      <c r="B49" s="1" t="s">
        <v>277</v>
      </c>
      <c r="C49" s="1" t="s">
        <v>178</v>
      </c>
      <c r="D49" s="1" t="s">
        <v>179</v>
      </c>
      <c r="E49" s="1" t="n">
        <v>3950</v>
      </c>
      <c r="F49" s="35" t="s">
        <v>278</v>
      </c>
      <c r="G49" s="1" t="s">
        <v>181</v>
      </c>
      <c r="H49" s="1" t="s">
        <v>182</v>
      </c>
      <c r="I49" s="1" t="s">
        <v>183</v>
      </c>
      <c r="J49" s="1" t="n">
        <v>5.959</v>
      </c>
    </row>
    <row r="50" customFormat="false" ht="12.8" hidden="false" customHeight="false" outlineLevel="0" collapsed="false">
      <c r="B50" s="1" t="s">
        <v>279</v>
      </c>
      <c r="C50" s="1" t="s">
        <v>178</v>
      </c>
      <c r="D50" s="1" t="s">
        <v>179</v>
      </c>
      <c r="E50" s="1" t="n">
        <v>4850</v>
      </c>
      <c r="F50" s="35" t="s">
        <v>280</v>
      </c>
      <c r="G50" s="1" t="s">
        <v>181</v>
      </c>
      <c r="H50" s="1" t="s">
        <v>182</v>
      </c>
      <c r="I50" s="1" t="s">
        <v>183</v>
      </c>
      <c r="J50" s="1" t="n">
        <v>5.774</v>
      </c>
    </row>
    <row r="51" customFormat="false" ht="12.8" hidden="false" customHeight="false" outlineLevel="0" collapsed="false">
      <c r="B51" s="1" t="s">
        <v>281</v>
      </c>
      <c r="C51" s="1" t="s">
        <v>178</v>
      </c>
      <c r="D51" s="1" t="s">
        <v>179</v>
      </c>
      <c r="E51" s="1" t="n">
        <v>2550</v>
      </c>
      <c r="F51" s="35" t="s">
        <v>282</v>
      </c>
      <c r="G51" s="1" t="s">
        <v>181</v>
      </c>
      <c r="H51" s="1" t="s">
        <v>182</v>
      </c>
      <c r="I51" s="1" t="s">
        <v>183</v>
      </c>
      <c r="J51" s="1" t="n">
        <v>5.938</v>
      </c>
    </row>
    <row r="52" customFormat="false" ht="12.8" hidden="false" customHeight="false" outlineLevel="0" collapsed="false">
      <c r="B52" s="1" t="s">
        <v>283</v>
      </c>
      <c r="C52" s="1" t="s">
        <v>178</v>
      </c>
      <c r="D52" s="1" t="s">
        <v>179</v>
      </c>
      <c r="E52" s="1" t="n">
        <v>2800</v>
      </c>
      <c r="F52" s="35" t="s">
        <v>284</v>
      </c>
      <c r="G52" s="1" t="s">
        <v>181</v>
      </c>
      <c r="H52" s="1" t="s">
        <v>182</v>
      </c>
      <c r="I52" s="1" t="s">
        <v>183</v>
      </c>
      <c r="J52" s="1" t="n">
        <v>6.001</v>
      </c>
    </row>
    <row r="53" customFormat="false" ht="12.8" hidden="false" customHeight="false" outlineLevel="0" collapsed="false">
      <c r="B53" s="1" t="s">
        <v>285</v>
      </c>
      <c r="C53" s="1" t="s">
        <v>178</v>
      </c>
      <c r="D53" s="1" t="s">
        <v>179</v>
      </c>
      <c r="E53" s="1" t="n">
        <v>2850</v>
      </c>
      <c r="F53" s="35" t="s">
        <v>286</v>
      </c>
      <c r="G53" s="1" t="s">
        <v>181</v>
      </c>
      <c r="H53" s="1" t="s">
        <v>182</v>
      </c>
      <c r="I53" s="1" t="s">
        <v>183</v>
      </c>
      <c r="J53" s="1" t="n">
        <v>6.007</v>
      </c>
    </row>
    <row r="54" customFormat="false" ht="12.8" hidden="false" customHeight="false" outlineLevel="0" collapsed="false">
      <c r="B54" s="1" t="s">
        <v>287</v>
      </c>
      <c r="C54" s="1" t="s">
        <v>178</v>
      </c>
      <c r="D54" s="1" t="s">
        <v>179</v>
      </c>
      <c r="E54" s="1" t="n">
        <v>4100</v>
      </c>
      <c r="F54" s="35" t="s">
        <v>288</v>
      </c>
      <c r="G54" s="1" t="s">
        <v>181</v>
      </c>
      <c r="H54" s="1" t="s">
        <v>182</v>
      </c>
      <c r="I54" s="1" t="s">
        <v>183</v>
      </c>
      <c r="J54" s="1" t="n">
        <v>6.005</v>
      </c>
    </row>
    <row r="55" customFormat="false" ht="12.8" hidden="false" customHeight="false" outlineLevel="0" collapsed="false">
      <c r="E55" s="36" t="n">
        <f aca="false">+AVERAGE(E4:E54)</f>
        <v>3051.96078431373</v>
      </c>
    </row>
    <row r="56" customFormat="false" ht="12.8" hidden="false" customHeight="false" outlineLevel="0" collapsed="false">
      <c r="E56" s="36" t="n">
        <f aca="false">+MEDIAN(E4:E54)</f>
        <v>3050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2026-08-26T15:02:02Z</dcterms:created>
  <dc:creator/>
  <dc:description/>
  <dc:language>en-US</dc:language>
  <cp:lastModifiedBy/>
  <dcterms:modified xsi:type="dcterms:W3CDTF">2026-10-03T23:34:28Z</dcterms:modified>
  <cp:revision>251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