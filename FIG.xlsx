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externalLinks/externalLink1.xml" ContentType="application/vnd.openxmlformats-officedocument.spreadsheetml.externalLink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ain" sheetId="1" state="visible" r:id="rId3"/>
    <sheet name="Model" sheetId="2" state="visible" r:id="rId4"/>
  </sheets>
  <externalReferences>
    <externalReference r:id="rId5"/>
  </externalReferenc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2" authorId="0">
      <text>
        <r>
          <rPr>
            <sz val="10"/>
            <rFont val="Arial"/>
            <family val="2"/>
          </rPr>
          <t xml:space="preserve">Suppose an HY rating, typical for newer firms</t>
        </r>
      </text>
    </comment>
    <comment ref="B13" authorId="0">
      <text>
        <r>
          <rPr>
            <sz val="10"/>
            <rFont val="Arial"/>
            <family val="2"/>
          </rPr>
          <t xml:space="preserve">Assume an ADBE similar Beta</t>
        </r>
      </text>
    </comment>
    <comment ref="E13" authorId="0">
      <text>
        <r>
          <rPr>
            <sz val="10"/>
            <rFont val="Arial"/>
            <family val="2"/>
          </rPr>
          <t xml:space="preserve">Suppose same as ADBE’s tax rate (a little lower since it is not yet profitable)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8" authorId="0">
      <text>
        <r>
          <rPr>
            <sz val="10"/>
            <rFont val="Arial"/>
            <family val="2"/>
          </rPr>
          <t xml:space="preserve">USDC holding - crypto</t>
        </r>
      </text>
    </comment>
    <comment ref="A56" authorId="0">
      <text>
        <r>
          <rPr>
            <sz val="10"/>
            <rFont val="Arial"/>
            <family val="2"/>
          </rPr>
          <t xml:space="preserve">Bitcoin – crypto
</t>
        </r>
      </text>
    </comment>
  </commentList>
</comments>
</file>

<file path=xl/sharedStrings.xml><?xml version="1.0" encoding="utf-8"?>
<sst xmlns="http://schemas.openxmlformats.org/spreadsheetml/2006/main" count="131" uniqueCount="115">
  <si>
    <t xml:space="preserve">Figma</t>
  </si>
  <si>
    <t xml:space="preserve">Price</t>
  </si>
  <si>
    <t xml:space="preserve">Share A</t>
  </si>
  <si>
    <t xml:space="preserve">Share B</t>
  </si>
  <si>
    <t xml:space="preserve">MC</t>
  </si>
  <si>
    <t xml:space="preserve">Cash</t>
  </si>
  <si>
    <t xml:space="preserve">Debt</t>
  </si>
  <si>
    <t xml:space="preserve">EV</t>
  </si>
  <si>
    <t xml:space="preserve">HQ</t>
  </si>
  <si>
    <t xml:space="preserve">760 Market Street Floor 10, San Francisco, CA 94102, United States</t>
  </si>
  <si>
    <t xml:space="preserve">CEO</t>
  </si>
  <si>
    <t xml:space="preserve">Dylan Field</t>
  </si>
  <si>
    <t xml:space="preserve">BETA</t>
  </si>
  <si>
    <t xml:space="preserve">WACC</t>
  </si>
  <si>
    <t xml:space="preserve">CAPM</t>
  </si>
  <si>
    <t xml:space="preserve">Cost of Debt</t>
  </si>
  <si>
    <t xml:space="preserve">Rating</t>
  </si>
  <si>
    <t xml:space="preserve">BB</t>
  </si>
  <si>
    <t xml:space="preserve">Ba2</t>
  </si>
  <si>
    <t xml:space="preserve">S&amp;P</t>
  </si>
  <si>
    <t xml:space="preserve">Moody’s</t>
  </si>
  <si>
    <t xml:space="preserve">Cr. Spread</t>
  </si>
  <si>
    <t xml:space="preserve">Main</t>
  </si>
  <si>
    <t xml:space="preserve">in thousands</t>
  </si>
  <si>
    <t xml:space="preserve">Q224</t>
  </si>
  <si>
    <t xml:space="preserve">Q324</t>
  </si>
  <si>
    <t xml:space="preserve">Q424</t>
  </si>
  <si>
    <t xml:space="preserve">Q125</t>
  </si>
  <si>
    <t xml:space="preserve">Q225</t>
  </si>
  <si>
    <t xml:space="preserve">Q325</t>
  </si>
  <si>
    <t xml:space="preserve">Q425</t>
  </si>
  <si>
    <t xml:space="preserve">Q126</t>
  </si>
  <si>
    <t xml:space="preserve">Q226</t>
  </si>
  <si>
    <t xml:space="preserve">Q326</t>
  </si>
  <si>
    <t xml:space="preserve">Q426</t>
  </si>
  <si>
    <t xml:space="preserve">Revenue</t>
  </si>
  <si>
    <t xml:space="preserve">COGS</t>
  </si>
  <si>
    <t xml:space="preserve">Gross Profit</t>
  </si>
  <si>
    <t xml:space="preserve">R&amp;D</t>
  </si>
  <si>
    <t xml:space="preserve">S&amp;M</t>
  </si>
  <si>
    <t xml:space="preserve">G&amp;A</t>
  </si>
  <si>
    <t xml:space="preserve">Op Ex</t>
  </si>
  <si>
    <t xml:space="preserve">EBIT</t>
  </si>
  <si>
    <t xml:space="preserve">Other Income</t>
  </si>
  <si>
    <t xml:space="preserve">EBT</t>
  </si>
  <si>
    <t xml:space="preserve">Taxes</t>
  </si>
  <si>
    <t xml:space="preserve">N.M.</t>
  </si>
  <si>
    <t xml:space="preserve">Net Income</t>
  </si>
  <si>
    <t xml:space="preserve">NCI</t>
  </si>
  <si>
    <t xml:space="preserve">Net Income FIG</t>
  </si>
  <si>
    <t xml:space="preserve">EPS</t>
  </si>
  <si>
    <t xml:space="preserve">Shares</t>
  </si>
  <si>
    <t xml:space="preserve">Gross Margin</t>
  </si>
  <si>
    <t xml:space="preserve">Terminal</t>
  </si>
  <si>
    <t xml:space="preserve">OP Margin</t>
  </si>
  <si>
    <t xml:space="preserve">ROIC</t>
  </si>
  <si>
    <t xml:space="preserve">NI Margin</t>
  </si>
  <si>
    <t xml:space="preserve">Discount</t>
  </si>
  <si>
    <t xml:space="preserve">Rule of 40</t>
  </si>
  <si>
    <t xml:space="preserve">NPV</t>
  </si>
  <si>
    <t xml:space="preserve">Tax Rate</t>
  </si>
  <si>
    <t xml:space="preserve">Share</t>
  </si>
  <si>
    <t xml:space="preserve">Diff</t>
  </si>
  <si>
    <t xml:space="preserve">NWC</t>
  </si>
  <si>
    <t xml:space="preserve">NOPAT</t>
  </si>
  <si>
    <t xml:space="preserve">UFCF</t>
  </si>
  <si>
    <t xml:space="preserve">Digital Assets, curr</t>
  </si>
  <si>
    <t xml:space="preserve">Mrk Securities</t>
  </si>
  <si>
    <t xml:space="preserve"> BTC ETF</t>
  </si>
  <si>
    <t xml:space="preserve">TV</t>
  </si>
  <si>
    <t xml:space="preserve">A/R</t>
  </si>
  <si>
    <t xml:space="preserve">Prepaid Exp</t>
  </si>
  <si>
    <t xml:space="preserve">PP&amp;E</t>
  </si>
  <si>
    <t xml:space="preserve">Intangible assets</t>
  </si>
  <si>
    <t xml:space="preserve">Digital Assets, non curr</t>
  </si>
  <si>
    <t xml:space="preserve">Goodwill</t>
  </si>
  <si>
    <t xml:space="preserve">OP Lease ROU</t>
  </si>
  <si>
    <t xml:space="preserve">Other A</t>
  </si>
  <si>
    <t xml:space="preserve">A</t>
  </si>
  <si>
    <t xml:space="preserve">A/P</t>
  </si>
  <si>
    <t xml:space="preserve">Accr and Other curr L</t>
  </si>
  <si>
    <t xml:space="preserve">Accr. Compensation </t>
  </si>
  <si>
    <t xml:space="preserve">Op Lease Liab, curr</t>
  </si>
  <si>
    <t xml:space="preserve">D/R</t>
  </si>
  <si>
    <t xml:space="preserve">Op Lease, non curr</t>
  </si>
  <si>
    <t xml:space="preserve">Other non-curr L</t>
  </si>
  <si>
    <t xml:space="preserve">L</t>
  </si>
  <si>
    <t xml:space="preserve">Convertible stocks</t>
  </si>
  <si>
    <t xml:space="preserve">Preferred stocks</t>
  </si>
  <si>
    <t xml:space="preserve">Blockchain stocks</t>
  </si>
  <si>
    <t xml:space="preserve">Class A stocks</t>
  </si>
  <si>
    <t xml:space="preserve">Class B stocks</t>
  </si>
  <si>
    <t xml:space="preserve">Class C stocks</t>
  </si>
  <si>
    <t xml:space="preserve">APIC</t>
  </si>
  <si>
    <t xml:space="preserve">Acc OCI</t>
  </si>
  <si>
    <t xml:space="preserve">Acc deficit</t>
  </si>
  <si>
    <t xml:space="preserve">SE</t>
  </si>
  <si>
    <t xml:space="preserve">L+SE</t>
  </si>
  <si>
    <t xml:space="preserve">Future Commitments</t>
  </si>
  <si>
    <t xml:space="preserve">Model NI</t>
  </si>
  <si>
    <t xml:space="preserve">D&amp;A</t>
  </si>
  <si>
    <t xml:space="preserve">Non-cash lease</t>
  </si>
  <si>
    <t xml:space="preserve">SBC</t>
  </si>
  <si>
    <t xml:space="preserve">Amort D/C</t>
  </si>
  <si>
    <t xml:space="preserve">Discount AFS</t>
  </si>
  <si>
    <t xml:space="preserve">Unrl Loss</t>
  </si>
  <si>
    <t xml:space="preserve">Loss on Digital Assets</t>
  </si>
  <si>
    <t xml:space="preserve">Other non-cash adj</t>
  </si>
  <si>
    <t xml:space="preserve">Accr compensation</t>
  </si>
  <si>
    <t xml:space="preserve">CFFO</t>
  </si>
  <si>
    <t xml:space="preserve">CapEx</t>
  </si>
  <si>
    <t xml:space="preserve">FCF</t>
  </si>
  <si>
    <t xml:space="preserve">DPO</t>
  </si>
  <si>
    <t xml:space="preserve">DSO</t>
  </si>
  <si>
    <t xml:space="preserve">CCC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</si>
</sst>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.00%"/>
    <numFmt numFmtId="167" formatCode="#,##0.00"/>
    <numFmt numFmtId="168" formatCode="#,##0.00;\(#,##0.00\);\-"/>
    <numFmt numFmtId="169" formatCode="0%"/>
  </numFmts>
  <fonts count="1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0"/>
      <name val="Arial"/>
      <family val="2"/>
      <charset val="1"/>
    </font>
    <font>
      <i val="true"/>
      <sz val="10"/>
      <name val="Arial"/>
      <family val="2"/>
      <charset val="1"/>
    </font>
    <font>
      <b val="true"/>
      <sz val="13"/>
      <name val="Arial"/>
      <family val="2"/>
      <charset val="1"/>
    </font>
    <font>
      <sz val="10"/>
      <name val="Arial"/>
      <family val="2"/>
    </font>
    <font>
      <sz val="10"/>
      <color rgb="FF0000FF"/>
      <name val="Arial"/>
      <family val="2"/>
      <charset val="1"/>
    </font>
    <font>
      <b val="true"/>
      <sz val="10"/>
      <name val="Arial"/>
      <family val="2"/>
      <charset val="1"/>
    </font>
    <font>
      <i val="true"/>
      <sz val="8"/>
      <color rgb="FF808080"/>
      <name val="Arial"/>
      <family val="2"/>
      <charset val="1"/>
    </font>
    <font>
      <i val="true"/>
      <sz val="10"/>
      <color rgb="FF80808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CCCCCC"/>
      </patternFill>
    </fill>
    <fill>
      <patternFill patternType="solid">
        <fgColor rgb="FFCCCCCC"/>
        <bgColor rgb="FFDDDDDD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0" fillId="2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3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0" fillId="3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2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2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2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2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externalLink" Target="externalLinks/externalLink1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83520</xdr:colOff>
      <xdr:row>1</xdr:row>
      <xdr:rowOff>37800</xdr:rowOff>
    </xdr:from>
    <xdr:to>
      <xdr:col>20</xdr:col>
      <xdr:colOff>83520</xdr:colOff>
      <xdr:row>101</xdr:row>
      <xdr:rowOff>46800</xdr:rowOff>
    </xdr:to>
    <xdr:sp>
      <xdr:nvSpPr>
        <xdr:cNvPr id="1" name="Vertical line 1"/>
        <xdr:cNvSpPr/>
      </xdr:nvSpPr>
      <xdr:spPr>
        <a:xfrm>
          <a:off x="16938360" y="200520"/>
          <a:ext cx="0" cy="1579752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9</xdr:col>
      <xdr:colOff>83160</xdr:colOff>
      <xdr:row>0</xdr:row>
      <xdr:rowOff>120600</xdr:rowOff>
    </xdr:from>
    <xdr:to>
      <xdr:col>9</xdr:col>
      <xdr:colOff>83160</xdr:colOff>
      <xdr:row>100</xdr:row>
      <xdr:rowOff>129600</xdr:rowOff>
    </xdr:to>
    <xdr:sp>
      <xdr:nvSpPr>
        <xdr:cNvPr id="2" name="Vertical line 2"/>
        <xdr:cNvSpPr/>
      </xdr:nvSpPr>
      <xdr:spPr>
        <a:xfrm>
          <a:off x="7997040" y="120600"/>
          <a:ext cx="0" cy="1579752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Bond%20Analysis.od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Zero-rate curve US"/>
      <sheetName val="Credit Spread US"/>
      <sheetName val="Zero-rate curve ECB"/>
    </sheetNames>
    <sheetDataSet>
      <sheetData sheetId="0"/>
      <sheetData sheetId="1"/>
      <sheetData sheetId="2">
        <row r="6">
          <cell r="L6">
            <v>2.72916666666667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FIG.ods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E13" activeCellId="0" sqref="E1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4.28"/>
    <col collapsed="false" customWidth="false" hidden="false" outlineLevel="0" max="16384" min="2" style="1" width="11.53"/>
  </cols>
  <sheetData>
    <row r="1" customFormat="false" ht="12.8" hidden="false" customHeight="false" outlineLevel="0" collapsed="false">
      <c r="A1" s="2" t="s">
        <v>0</v>
      </c>
      <c r="E1" s="1" t="s">
        <v>1</v>
      </c>
      <c r="F1" s="3" t="n">
        <v>23.9</v>
      </c>
    </row>
    <row r="2" customFormat="false" ht="12.8" hidden="false" customHeight="false" outlineLevel="0" collapsed="false">
      <c r="E2" s="1" t="s">
        <v>2</v>
      </c>
      <c r="F2" s="3" t="n">
        <v>445.682595</v>
      </c>
    </row>
    <row r="3" customFormat="false" ht="12.8" hidden="false" customHeight="false" outlineLevel="0" collapsed="false">
      <c r="E3" s="1" t="s">
        <v>3</v>
      </c>
      <c r="F3" s="3" t="n">
        <v>82.693978</v>
      </c>
    </row>
    <row r="4" customFormat="false" ht="12.8" hidden="false" customHeight="false" outlineLevel="0" collapsed="false">
      <c r="E4" s="1" t="s">
        <v>4</v>
      </c>
      <c r="F4" s="3" t="n">
        <f aca="false">+F1*(F2+F3)</f>
        <v>12628.2000947</v>
      </c>
    </row>
    <row r="5" customFormat="false" ht="12.8" hidden="false" customHeight="false" outlineLevel="0" collapsed="false">
      <c r="E5" s="1" t="s">
        <v>5</v>
      </c>
      <c r="F5" s="3" t="n">
        <v>1663</v>
      </c>
    </row>
    <row r="6" customFormat="false" ht="12.8" hidden="false" customHeight="false" outlineLevel="0" collapsed="false">
      <c r="E6" s="1" t="s">
        <v>6</v>
      </c>
      <c r="F6" s="3" t="n">
        <v>0</v>
      </c>
    </row>
    <row r="7" customFormat="false" ht="12.8" hidden="false" customHeight="false" outlineLevel="0" collapsed="false">
      <c r="E7" s="1" t="s">
        <v>7</v>
      </c>
      <c r="F7" s="3" t="n">
        <f aca="false">+F4-F5+F6</f>
        <v>10965.2000947</v>
      </c>
    </row>
    <row r="8" customFormat="false" ht="12.8" hidden="false" customHeight="false" outlineLevel="0" collapsed="false">
      <c r="F8" s="3"/>
    </row>
    <row r="9" customFormat="false" ht="12.8" hidden="false" customHeight="false" outlineLevel="0" collapsed="false">
      <c r="F9" s="3"/>
    </row>
    <row r="10" customFormat="false" ht="12.8" hidden="false" customHeight="false" outlineLevel="0" collapsed="false">
      <c r="A10" s="1" t="s">
        <v>8</v>
      </c>
      <c r="B10" s="4" t="s">
        <v>9</v>
      </c>
    </row>
    <row r="11" customFormat="false" ht="12.8" hidden="false" customHeight="false" outlineLevel="0" collapsed="false">
      <c r="A11" s="1" t="s">
        <v>10</v>
      </c>
      <c r="B11" s="5" t="s">
        <v>11</v>
      </c>
    </row>
    <row r="13" customFormat="false" ht="16.15" hidden="false" customHeight="false" outlineLevel="0" collapsed="false">
      <c r="A13" s="6" t="s">
        <v>12</v>
      </c>
      <c r="B13" s="6" t="n">
        <v>1.5</v>
      </c>
      <c r="C13" s="6"/>
      <c r="D13" s="6" t="s">
        <v>13</v>
      </c>
      <c r="E13" s="7" t="n">
        <f aca="false">+(F5/(F5+F6))*B14+(F6/(F5+F6))*B15*(1-0.05)</f>
        <v>0.12525</v>
      </c>
    </row>
    <row r="14" customFormat="false" ht="16.15" hidden="false" customHeight="false" outlineLevel="0" collapsed="false">
      <c r="A14" s="6" t="s">
        <v>14</v>
      </c>
      <c r="B14" s="7" t="n">
        <f aca="false">+0.0495+B13*(0.1-0.0495)</f>
        <v>0.12525</v>
      </c>
      <c r="C14" s="6"/>
      <c r="D14" s="6"/>
      <c r="E14" s="6"/>
    </row>
    <row r="15" customFormat="false" ht="16.15" hidden="false" customHeight="false" outlineLevel="0" collapsed="false">
      <c r="A15" s="6" t="s">
        <v>15</v>
      </c>
      <c r="B15" s="7" t="n">
        <f aca="false">+0.0495+(B24/10)</f>
        <v>0.322416666666667</v>
      </c>
      <c r="C15" s="6"/>
      <c r="D15" s="6"/>
      <c r="E15" s="6"/>
    </row>
    <row r="16" customFormat="false" ht="16.15" hidden="false" customHeight="false" outlineLevel="0" collapsed="false">
      <c r="A16" s="6"/>
      <c r="B16" s="6"/>
      <c r="C16" s="6"/>
      <c r="D16" s="6"/>
      <c r="E16" s="6"/>
    </row>
    <row r="17" customFormat="false" ht="16.15" hidden="false" customHeight="false" outlineLevel="0" collapsed="false">
      <c r="A17" s="6"/>
      <c r="B17" s="6"/>
      <c r="C17" s="6"/>
      <c r="D17" s="6"/>
      <c r="E17" s="6"/>
    </row>
    <row r="18" customFormat="false" ht="16.15" hidden="false" customHeight="false" outlineLevel="0" collapsed="false">
      <c r="A18" s="6"/>
      <c r="B18" s="6"/>
      <c r="C18" s="6"/>
      <c r="D18" s="6"/>
      <c r="E18" s="6"/>
    </row>
    <row r="19" customFormat="false" ht="16.15" hidden="false" customHeight="false" outlineLevel="0" collapsed="false">
      <c r="A19" s="6"/>
      <c r="B19" s="6"/>
      <c r="C19" s="6"/>
      <c r="D19" s="6"/>
      <c r="E19" s="6"/>
    </row>
    <row r="20" customFormat="false" ht="16.15" hidden="false" customHeight="false" outlineLevel="0" collapsed="false">
      <c r="A20" s="6"/>
      <c r="B20" s="6"/>
      <c r="C20" s="6"/>
      <c r="D20" s="6"/>
      <c r="E20" s="6"/>
    </row>
    <row r="21" customFormat="false" ht="16.15" hidden="false" customHeight="false" outlineLevel="0" collapsed="false">
      <c r="A21" s="6"/>
      <c r="B21" s="6"/>
      <c r="C21" s="6"/>
      <c r="D21" s="6"/>
      <c r="E21" s="6"/>
    </row>
    <row r="22" customFormat="false" ht="16.15" hidden="false" customHeight="false" outlineLevel="0" collapsed="false">
      <c r="A22" s="6" t="s">
        <v>16</v>
      </c>
      <c r="B22" s="8" t="s">
        <v>17</v>
      </c>
      <c r="C22" s="8" t="s">
        <v>18</v>
      </c>
      <c r="D22" s="6"/>
      <c r="E22" s="6"/>
    </row>
    <row r="23" customFormat="false" ht="16.15" hidden="false" customHeight="false" outlineLevel="0" collapsed="false">
      <c r="A23" s="6"/>
      <c r="B23" s="8" t="s">
        <v>19</v>
      </c>
      <c r="C23" s="8" t="s">
        <v>20</v>
      </c>
      <c r="D23" s="6"/>
      <c r="E23" s="6"/>
    </row>
    <row r="24" customFormat="false" ht="16.15" hidden="false" customHeight="false" outlineLevel="0" collapsed="false">
      <c r="A24" s="6" t="s">
        <v>21</v>
      </c>
      <c r="B24" s="9" t="n">
        <f aca="false">+'[1]Credit Spread US'!L6</f>
        <v>2.72916666666667</v>
      </c>
      <c r="C24" s="6"/>
      <c r="D24" s="6"/>
      <c r="E24" s="6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W113"/>
  <sheetViews>
    <sheetView showFormulas="false" showGridLines="false" showRowColHeaders="true" showZeros="true" rightToLeft="false" tabSelected="true" showOutlineSymbols="true" defaultGridColor="true" view="normal" topLeftCell="A1" colorId="64" zoomScale="50" zoomScaleNormal="50" zoomScalePageLayoutView="100" workbookViewId="0">
      <pane xSplit="1" ySplit="2" topLeftCell="Q3" activePane="bottomRight" state="frozen"/>
      <selection pane="topLeft" activeCell="A1" activeCellId="0" sqref="A1"/>
      <selection pane="topRight" activeCell="Q1" activeCellId="0" sqref="Q1"/>
      <selection pane="bottomLeft" activeCell="A3" activeCellId="0" sqref="A3"/>
      <selection pane="bottomRight" activeCell="V3" activeCellId="0" sqref="V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0.03"/>
    <col collapsed="false" customWidth="false" hidden="false" outlineLevel="0" max="31" min="2" style="3" width="11.53"/>
    <col collapsed="false" customWidth="false" hidden="false" outlineLevel="0" max="16384" min="33" style="3" width="11.53"/>
  </cols>
  <sheetData>
    <row r="1" s="1" customFormat="true" ht="12.8" hidden="false" customHeight="false" outlineLevel="0" collapsed="false">
      <c r="A1" s="10" t="s">
        <v>22</v>
      </c>
      <c r="B1" s="11"/>
      <c r="C1" s="11"/>
      <c r="D1" s="11"/>
      <c r="AF1" s="0"/>
    </row>
    <row r="2" s="14" customFormat="true" ht="12.8" hidden="false" customHeight="false" outlineLevel="0" collapsed="false">
      <c r="A2" s="12" t="s">
        <v>23</v>
      </c>
      <c r="B2" s="13" t="s">
        <v>24</v>
      </c>
      <c r="C2" s="13" t="s">
        <v>25</v>
      </c>
      <c r="D2" s="13" t="s">
        <v>26</v>
      </c>
      <c r="E2" s="14" t="s">
        <v>27</v>
      </c>
      <c r="F2" s="14" t="s">
        <v>28</v>
      </c>
      <c r="G2" s="14" t="s">
        <v>29</v>
      </c>
      <c r="H2" s="14" t="s">
        <v>30</v>
      </c>
      <c r="I2" s="14" t="s">
        <v>31</v>
      </c>
      <c r="J2" s="14" t="s">
        <v>32</v>
      </c>
      <c r="K2" s="14" t="s">
        <v>33</v>
      </c>
      <c r="L2" s="14" t="s">
        <v>34</v>
      </c>
      <c r="R2" s="14" t="n">
        <v>2023</v>
      </c>
      <c r="S2" s="14" t="n">
        <f aca="false">+R2+1</f>
        <v>2024</v>
      </c>
      <c r="T2" s="14" t="n">
        <f aca="false">+S2+1</f>
        <v>2025</v>
      </c>
      <c r="U2" s="14" t="n">
        <f aca="false">+T2+1</f>
        <v>2026</v>
      </c>
      <c r="V2" s="14" t="n">
        <f aca="false">+U2+1</f>
        <v>2027</v>
      </c>
      <c r="W2" s="14" t="n">
        <f aca="false">+V2+1</f>
        <v>2028</v>
      </c>
      <c r="X2" s="14" t="n">
        <f aca="false">+W2+1</f>
        <v>2029</v>
      </c>
      <c r="Y2" s="14" t="n">
        <f aca="false">+X2+1</f>
        <v>2030</v>
      </c>
      <c r="Z2" s="14" t="n">
        <f aca="false">+Y2+1</f>
        <v>2031</v>
      </c>
      <c r="AA2" s="14" t="n">
        <f aca="false">+Z2+1</f>
        <v>2032</v>
      </c>
      <c r="AB2" s="14" t="n">
        <f aca="false">+AA2+1</f>
        <v>2033</v>
      </c>
      <c r="AC2" s="14" t="n">
        <f aca="false">+AB2+1</f>
        <v>2034</v>
      </c>
      <c r="AD2" s="14" t="n">
        <f aca="false">+AC2+1</f>
        <v>2035</v>
      </c>
      <c r="AE2" s="14" t="n">
        <f aca="false">+AD2+1</f>
        <v>2036</v>
      </c>
      <c r="AF2" s="0"/>
    </row>
    <row r="3" s="16" customFormat="true" ht="12.8" hidden="false" customHeight="false" outlineLevel="0" collapsed="false">
      <c r="A3" s="15" t="s">
        <v>35</v>
      </c>
      <c r="B3" s="16" t="n">
        <v>177198</v>
      </c>
      <c r="C3" s="16" t="n">
        <v>198639</v>
      </c>
      <c r="D3" s="16" t="n">
        <v>216945</v>
      </c>
      <c r="E3" s="16" t="n">
        <v>228199</v>
      </c>
      <c r="F3" s="16" t="n">
        <v>249640</v>
      </c>
      <c r="G3" s="16" t="n">
        <v>274173</v>
      </c>
      <c r="H3" s="16" t="n">
        <v>303776</v>
      </c>
      <c r="I3" s="16" t="n">
        <v>333439</v>
      </c>
      <c r="R3" s="16" t="n">
        <v>504874</v>
      </c>
      <c r="S3" s="16" t="n">
        <v>749011</v>
      </c>
      <c r="T3" s="16" t="n">
        <v>1055788</v>
      </c>
      <c r="U3" s="16" t="n">
        <f aca="false">+T3*1.4</f>
        <v>1478103.2</v>
      </c>
      <c r="V3" s="16" t="n">
        <f aca="false">+U3*1.4</f>
        <v>2069344.48</v>
      </c>
      <c r="W3" s="16" t="n">
        <f aca="false">+V3*1.35</f>
        <v>2793615.048</v>
      </c>
      <c r="X3" s="16" t="n">
        <f aca="false">+W3*1.35</f>
        <v>3771380.3148</v>
      </c>
      <c r="Y3" s="16" t="n">
        <f aca="false">+X3*1.2</f>
        <v>4525656.37776</v>
      </c>
      <c r="Z3" s="16" t="n">
        <f aca="false">+Y3*1.2</f>
        <v>5430787.653312</v>
      </c>
      <c r="AA3" s="16" t="n">
        <f aca="false">+Z3*1.2</f>
        <v>6516945.1839744</v>
      </c>
      <c r="AB3" s="16" t="n">
        <f aca="false">+AA3*1.19</f>
        <v>7755164.76892954</v>
      </c>
      <c r="AC3" s="16" t="n">
        <f aca="false">+AB3*1.18</f>
        <v>9151094.42733685</v>
      </c>
      <c r="AD3" s="16" t="n">
        <f aca="false">+AC3*1.17</f>
        <v>10706780.4799841</v>
      </c>
      <c r="AE3" s="16" t="n">
        <f aca="false">+AD3*1.16</f>
        <v>12419865.3567816</v>
      </c>
      <c r="AF3" s="17"/>
    </row>
    <row r="4" s="18" customFormat="true" ht="10.5" hidden="false" customHeight="true" outlineLevel="0" collapsed="false">
      <c r="B4" s="19"/>
      <c r="C4" s="19"/>
      <c r="D4" s="19"/>
      <c r="F4" s="18" t="n">
        <f aca="false">+F3/B3-1</f>
        <v>0.408819512635583</v>
      </c>
      <c r="G4" s="18" t="n">
        <f aca="false">+G3/C3-1</f>
        <v>0.380257653330917</v>
      </c>
      <c r="H4" s="18" t="n">
        <f aca="false">+H3/D3-1</f>
        <v>0.400244301551084</v>
      </c>
      <c r="I4" s="18" t="n">
        <f aca="false">+I3/E3-1</f>
        <v>0.461176429344563</v>
      </c>
      <c r="S4" s="18" t="n">
        <f aca="false">+S3/R3-1</f>
        <v>0.483560254637791</v>
      </c>
      <c r="T4" s="18" t="n">
        <f aca="false">+T3/S3-1</f>
        <v>0.409576094343074</v>
      </c>
      <c r="U4" s="18" t="n">
        <f aca="false">+U3/T3-1</f>
        <v>0.4</v>
      </c>
      <c r="V4" s="18" t="n">
        <f aca="false">+V3/U3-1</f>
        <v>0.4</v>
      </c>
      <c r="W4" s="18" t="n">
        <f aca="false">+W3/V3-1</f>
        <v>0.35</v>
      </c>
      <c r="X4" s="18" t="n">
        <f aca="false">+X3/W3-1</f>
        <v>0.35</v>
      </c>
      <c r="Y4" s="18" t="n">
        <f aca="false">+Y3/X3-1</f>
        <v>0.2</v>
      </c>
      <c r="Z4" s="18" t="n">
        <f aca="false">+Z3/Y3-1</f>
        <v>0.2</v>
      </c>
      <c r="AA4" s="18" t="n">
        <f aca="false">+AA3/Z3-1</f>
        <v>0.2</v>
      </c>
      <c r="AB4" s="18" t="n">
        <f aca="false">+AB3/AA3-1</f>
        <v>0.19</v>
      </c>
      <c r="AC4" s="18" t="n">
        <f aca="false">+AC3/AB3-1</f>
        <v>0.18</v>
      </c>
      <c r="AD4" s="18" t="n">
        <f aca="false">+AD3/AC3-1</f>
        <v>0.17</v>
      </c>
      <c r="AE4" s="18" t="n">
        <f aca="false">+AE3/AD3-1</f>
        <v>0.16</v>
      </c>
      <c r="AF4" s="0"/>
    </row>
    <row r="5" customFormat="false" ht="12.8" hidden="false" customHeight="false" outlineLevel="0" collapsed="false">
      <c r="A5" s="1" t="s">
        <v>36</v>
      </c>
      <c r="B5" s="3" t="n">
        <v>39558</v>
      </c>
      <c r="C5" s="3" t="n">
        <v>18703</v>
      </c>
      <c r="D5" s="3" t="n">
        <v>16463</v>
      </c>
      <c r="E5" s="3" t="n">
        <v>19452</v>
      </c>
      <c r="F5" s="3" t="n">
        <v>27889</v>
      </c>
      <c r="G5" s="3" t="n">
        <v>83884</v>
      </c>
      <c r="H5" s="3" t="n">
        <v>54302</v>
      </c>
      <c r="I5" s="3" t="n">
        <v>68666</v>
      </c>
      <c r="R5" s="3" t="n">
        <v>44500</v>
      </c>
      <c r="S5" s="3" t="n">
        <v>87514</v>
      </c>
      <c r="T5" s="3" t="n">
        <v>185527</v>
      </c>
      <c r="U5" s="3" t="n">
        <f aca="false">+U3-U7</f>
        <v>251277.544</v>
      </c>
      <c r="V5" s="3" t="n">
        <f aca="false">+V3-V7</f>
        <v>341441.8392</v>
      </c>
      <c r="W5" s="3" t="n">
        <f aca="false">+W3-W7</f>
        <v>446978.40768</v>
      </c>
      <c r="X5" s="3" t="n">
        <f aca="false">+X3-X7</f>
        <v>584563.948794</v>
      </c>
      <c r="Y5" s="3" t="n">
        <f aca="false">+Y3-Y7</f>
        <v>678848.456664</v>
      </c>
      <c r="Z5" s="3" t="n">
        <f aca="false">+Z3-Z7</f>
        <v>787464.209730241</v>
      </c>
      <c r="AA5" s="3" t="n">
        <f aca="false">+AA3-AA7</f>
        <v>912372.325756416</v>
      </c>
      <c r="AB5" s="3" t="n">
        <f aca="false">+AB3-AB7</f>
        <v>1046947.24380549</v>
      </c>
      <c r="AC5" s="3" t="n">
        <f aca="false">+AC3-AC7</f>
        <v>1189642.27555379</v>
      </c>
      <c r="AD5" s="3" t="n">
        <f aca="false">+AD3-AD7</f>
        <v>1338347.55999802</v>
      </c>
      <c r="AE5" s="3" t="n">
        <f aca="false">+AE3-AE7</f>
        <v>1490383.84281379</v>
      </c>
    </row>
    <row r="6" s="18" customFormat="true" ht="10.5" hidden="false" customHeight="true" outlineLevel="0" collapsed="false">
      <c r="B6" s="19"/>
      <c r="C6" s="19"/>
      <c r="D6" s="19"/>
      <c r="F6" s="18" t="n">
        <f aca="false">+F5/B5-1</f>
        <v>-0.294984579604631</v>
      </c>
      <c r="G6" s="18" t="n">
        <f aca="false">+G5/C5-1</f>
        <v>3.4850558733893</v>
      </c>
      <c r="H6" s="18" t="n">
        <f aca="false">+H5/D5-1</f>
        <v>2.29842677519286</v>
      </c>
      <c r="I6" s="18" t="n">
        <f aca="false">+I5/E5-1</f>
        <v>2.53002261978203</v>
      </c>
      <c r="S6" s="18" t="n">
        <f aca="false">+S5/R5-1</f>
        <v>0.966606741573034</v>
      </c>
      <c r="T6" s="18" t="n">
        <f aca="false">+T5/S5-1</f>
        <v>1.11996937632836</v>
      </c>
      <c r="U6" s="18" t="n">
        <f aca="false">+U5/T5-1</f>
        <v>0.354398788316525</v>
      </c>
      <c r="V6" s="18" t="n">
        <f aca="false">+V5/U5-1</f>
        <v>0.358823529411765</v>
      </c>
      <c r="W6" s="18" t="n">
        <f aca="false">+W5/V5-1</f>
        <v>0.30909090909091</v>
      </c>
      <c r="X6" s="18" t="n">
        <f aca="false">+X5/W5-1</f>
        <v>0.3078125</v>
      </c>
      <c r="Y6" s="18" t="n">
        <f aca="false">+Y5/X5-1</f>
        <v>0.161290322580645</v>
      </c>
      <c r="Z6" s="18" t="n">
        <f aca="false">+Z5/Y5-1</f>
        <v>0.16</v>
      </c>
      <c r="AA6" s="18" t="n">
        <f aca="false">+AA5/Z5-1</f>
        <v>0.158620689655171</v>
      </c>
      <c r="AB6" s="18" t="n">
        <f aca="false">+AB5/AA5-1</f>
        <v>0.147500000000001</v>
      </c>
      <c r="AC6" s="18" t="n">
        <f aca="false">+AC5/AB5-1</f>
        <v>0.136296296296296</v>
      </c>
      <c r="AD6" s="18" t="n">
        <f aca="false">+AD5/AC5-1</f>
        <v>0.125</v>
      </c>
      <c r="AE6" s="18" t="n">
        <f aca="false">+AE5/AD5-1</f>
        <v>0.113599999999999</v>
      </c>
      <c r="AF6" s="0"/>
    </row>
    <row r="7" customFormat="false" ht="12.8" hidden="false" customHeight="false" outlineLevel="0" collapsed="false">
      <c r="A7" s="1" t="s">
        <v>37</v>
      </c>
      <c r="B7" s="3" t="n">
        <f aca="false">+B3-B5</f>
        <v>137640</v>
      </c>
      <c r="C7" s="3" t="n">
        <f aca="false">+C3-C5</f>
        <v>179936</v>
      </c>
      <c r="D7" s="3" t="n">
        <f aca="false">+D3-D5</f>
        <v>200482</v>
      </c>
      <c r="E7" s="3" t="n">
        <f aca="false">+E3-E5</f>
        <v>208747</v>
      </c>
      <c r="F7" s="3" t="n">
        <f aca="false">+F3-F5</f>
        <v>221751</v>
      </c>
      <c r="G7" s="3" t="n">
        <f aca="false">+G3-G5</f>
        <v>190289</v>
      </c>
      <c r="H7" s="3" t="n">
        <f aca="false">+H3-H5</f>
        <v>249474</v>
      </c>
      <c r="I7" s="3" t="n">
        <f aca="false">+I3-I5</f>
        <v>264773</v>
      </c>
      <c r="J7" s="3" t="n">
        <f aca="false">+J3-J5</f>
        <v>0</v>
      </c>
      <c r="K7" s="3" t="n">
        <f aca="false">+K3-K5</f>
        <v>0</v>
      </c>
      <c r="L7" s="3" t="n">
        <f aca="false">+L3-L5</f>
        <v>0</v>
      </c>
      <c r="R7" s="3" t="n">
        <f aca="false">+R3-R5</f>
        <v>460374</v>
      </c>
      <c r="S7" s="3" t="n">
        <f aca="false">+S3-S5</f>
        <v>661497</v>
      </c>
      <c r="T7" s="3" t="n">
        <f aca="false">+T3-T5</f>
        <v>870261</v>
      </c>
      <c r="U7" s="3" t="n">
        <f aca="false">+U3*0.83</f>
        <v>1226825.656</v>
      </c>
      <c r="V7" s="3" t="n">
        <f aca="false">+V3*0.835</f>
        <v>1727902.6408</v>
      </c>
      <c r="W7" s="3" t="n">
        <f aca="false">+W3*0.84</f>
        <v>2346636.64032</v>
      </c>
      <c r="X7" s="3" t="n">
        <f aca="false">+X3*0.845</f>
        <v>3186816.366006</v>
      </c>
      <c r="Y7" s="3" t="n">
        <f aca="false">+Y3*0.85</f>
        <v>3846807.921096</v>
      </c>
      <c r="Z7" s="3" t="n">
        <f aca="false">+Z3*0.855</f>
        <v>4643323.44358176</v>
      </c>
      <c r="AA7" s="3" t="n">
        <f aca="false">+AA3*0.86</f>
        <v>5604572.85821798</v>
      </c>
      <c r="AB7" s="3" t="n">
        <f aca="false">+AB3*0.865</f>
        <v>6708217.52512405</v>
      </c>
      <c r="AC7" s="3" t="n">
        <f aca="false">+AC3*0.87</f>
        <v>7961452.15178306</v>
      </c>
      <c r="AD7" s="3" t="n">
        <f aca="false">+AD3*0.875</f>
        <v>9368432.9199861</v>
      </c>
      <c r="AE7" s="3" t="n">
        <f aca="false">+AE3*0.88</f>
        <v>10929481.5139678</v>
      </c>
    </row>
    <row r="8" s="18" customFormat="true" ht="10.5" hidden="false" customHeight="true" outlineLevel="0" collapsed="false">
      <c r="B8" s="19"/>
      <c r="C8" s="19"/>
      <c r="D8" s="19"/>
      <c r="F8" s="18" t="n">
        <f aca="false">+F7/B7-1</f>
        <v>0.611094158674804</v>
      </c>
      <c r="G8" s="18" t="n">
        <f aca="false">+G7/C7-1</f>
        <v>0.057537124310866</v>
      </c>
      <c r="H8" s="18" t="n">
        <f aca="false">+H7/D7-1</f>
        <v>0.244371065731587</v>
      </c>
      <c r="I8" s="18" t="n">
        <f aca="false">+I7/E7-1</f>
        <v>0.268391881080926</v>
      </c>
      <c r="S8" s="18" t="n">
        <f aca="false">+S7/R7-1</f>
        <v>0.436868719780005</v>
      </c>
      <c r="T8" s="18" t="n">
        <f aca="false">+T7/S7-1</f>
        <v>0.31559326799668</v>
      </c>
      <c r="U8" s="18" t="n">
        <f aca="false">+U7/T7-1</f>
        <v>0.409721515729189</v>
      </c>
      <c r="V8" s="18" t="n">
        <f aca="false">+V7/U7-1</f>
        <v>0.408433734939759</v>
      </c>
      <c r="W8" s="18" t="n">
        <f aca="false">+W7/V7-1</f>
        <v>0.35808383233533</v>
      </c>
      <c r="X8" s="18" t="n">
        <f aca="false">+X7/W7-1</f>
        <v>0.358035714285714</v>
      </c>
      <c r="Y8" s="18" t="n">
        <f aca="false">+Y7/X7-1</f>
        <v>0.207100591715977</v>
      </c>
      <c r="Z8" s="18" t="n">
        <f aca="false">+Z7/Y7-1</f>
        <v>0.207058823529412</v>
      </c>
      <c r="AA8" s="18" t="n">
        <f aca="false">+AA7/Z7-1</f>
        <v>0.207017543859649</v>
      </c>
      <c r="AB8" s="18" t="n">
        <f aca="false">+AB7/AA7-1</f>
        <v>0.196918604651163</v>
      </c>
      <c r="AC8" s="18" t="n">
        <f aca="false">+AC7/AB7-1</f>
        <v>0.186820809248555</v>
      </c>
      <c r="AD8" s="18" t="n">
        <f aca="false">+AD7/AC7-1</f>
        <v>0.176724137931034</v>
      </c>
      <c r="AE8" s="18" t="n">
        <f aca="false">+AE7/AD7-1</f>
        <v>0.166628571428572</v>
      </c>
      <c r="AF8" s="0"/>
    </row>
    <row r="9" customFormat="false" ht="12.8" hidden="false" customHeight="false" outlineLevel="0" collapsed="false">
      <c r="A9" s="1" t="s">
        <v>38</v>
      </c>
      <c r="B9" s="3" t="n">
        <v>535676</v>
      </c>
      <c r="C9" s="3" t="n">
        <v>104182</v>
      </c>
      <c r="D9" s="3" t="n">
        <v>58551</v>
      </c>
      <c r="E9" s="3" t="n">
        <v>69925</v>
      </c>
      <c r="F9" s="3" t="n">
        <v>83052</v>
      </c>
      <c r="G9" s="3" t="n">
        <v>680885</v>
      </c>
      <c r="H9" s="3" t="n">
        <v>195838</v>
      </c>
      <c r="I9" s="3" t="n">
        <v>172974</v>
      </c>
      <c r="R9" s="3" t="n">
        <v>164774</v>
      </c>
      <c r="S9" s="3" t="n">
        <v>751120</v>
      </c>
      <c r="T9" s="3" t="n">
        <v>1029700</v>
      </c>
      <c r="U9" s="3" t="n">
        <f aca="false">+T9*1.25</f>
        <v>1287125</v>
      </c>
      <c r="V9" s="3" t="n">
        <f aca="false">+U9*1.25</f>
        <v>1608906.25</v>
      </c>
      <c r="W9" s="3" t="n">
        <f aca="false">+V9*1.2</f>
        <v>1930687.5</v>
      </c>
      <c r="X9" s="3" t="n">
        <f aca="false">+W9*1.2</f>
        <v>2316825</v>
      </c>
      <c r="Y9" s="3" t="n">
        <f aca="false">+X9*1.1</f>
        <v>2548507.5</v>
      </c>
      <c r="Z9" s="3" t="n">
        <f aca="false">+Y9*1.1</f>
        <v>2803358.25</v>
      </c>
      <c r="AA9" s="3" t="n">
        <f aca="false">+Z9*1.1</f>
        <v>3083694.075</v>
      </c>
      <c r="AB9" s="3" t="n">
        <f aca="false">+AA9*1.05</f>
        <v>3237878.77875</v>
      </c>
      <c r="AC9" s="3" t="n">
        <f aca="false">+AB9*1.05</f>
        <v>3399772.7176875</v>
      </c>
      <c r="AD9" s="3" t="n">
        <f aca="false">+AC9*1.05</f>
        <v>3569761.35357188</v>
      </c>
      <c r="AE9" s="3" t="n">
        <f aca="false">+AD9*1.05</f>
        <v>3748249.42125047</v>
      </c>
    </row>
    <row r="10" s="18" customFormat="true" ht="10.5" hidden="false" customHeight="true" outlineLevel="0" collapsed="false">
      <c r="B10" s="19"/>
      <c r="C10" s="19"/>
      <c r="D10" s="19"/>
      <c r="F10" s="18" t="n">
        <f aca="false">+F9/B9-1</f>
        <v>-0.844958519702208</v>
      </c>
      <c r="G10" s="18" t="n">
        <f aca="false">+G9/C9-1</f>
        <v>5.5355339693997</v>
      </c>
      <c r="H10" s="18" t="n">
        <f aca="false">+H9/D9-1</f>
        <v>2.34474219056891</v>
      </c>
      <c r="I10" s="18" t="n">
        <f aca="false">+I9/E9-1</f>
        <v>1.47370754379693</v>
      </c>
      <c r="S10" s="18" t="n">
        <f aca="false">+S9/R9-1</f>
        <v>3.55848616893442</v>
      </c>
      <c r="T10" s="18" t="n">
        <f aca="false">+T9/S9-1</f>
        <v>0.37088614335925</v>
      </c>
      <c r="U10" s="18" t="n">
        <f aca="false">+U9/T9-1</f>
        <v>0.25</v>
      </c>
      <c r="V10" s="18" t="n">
        <f aca="false">+V9/U9-1</f>
        <v>0.25</v>
      </c>
      <c r="W10" s="18" t="n">
        <f aca="false">+W9/V9-1</f>
        <v>0.2</v>
      </c>
      <c r="X10" s="18" t="n">
        <f aca="false">+X9/W9-1</f>
        <v>0.2</v>
      </c>
      <c r="Y10" s="18" t="n">
        <f aca="false">+Y9/X9-1</f>
        <v>0.1</v>
      </c>
      <c r="Z10" s="18" t="n">
        <f aca="false">+Z9/Y9-1</f>
        <v>0.1</v>
      </c>
      <c r="AA10" s="18" t="n">
        <f aca="false">+AA9/Z9-1</f>
        <v>0.1</v>
      </c>
      <c r="AB10" s="18" t="n">
        <f aca="false">+AB9/AA9-1</f>
        <v>0.05</v>
      </c>
      <c r="AC10" s="18" t="n">
        <f aca="false">+AC9/AB9-1</f>
        <v>0.05</v>
      </c>
      <c r="AD10" s="18" t="n">
        <f aca="false">+AD9/AC9-1</f>
        <v>0.05</v>
      </c>
      <c r="AE10" s="18" t="n">
        <f aca="false">+AE9/AD9-1</f>
        <v>0.05</v>
      </c>
      <c r="AF10" s="0"/>
    </row>
    <row r="11" customFormat="false" ht="12.8" hidden="false" customHeight="false" outlineLevel="0" collapsed="false">
      <c r="A11" s="1" t="s">
        <v>39</v>
      </c>
      <c r="B11" s="3" t="n">
        <v>276246</v>
      </c>
      <c r="C11" s="3" t="n">
        <v>79290</v>
      </c>
      <c r="D11" s="3" t="n">
        <v>61206</v>
      </c>
      <c r="E11" s="3" t="n">
        <v>68840</v>
      </c>
      <c r="F11" s="3" t="n">
        <v>97701</v>
      </c>
      <c r="G11" s="3" t="n">
        <v>274759</v>
      </c>
      <c r="H11" s="3" t="n">
        <v>134208</v>
      </c>
      <c r="I11" s="3" t="n">
        <v>125568</v>
      </c>
      <c r="R11" s="3" t="n">
        <v>201377</v>
      </c>
      <c r="S11" s="3" t="n">
        <v>472076</v>
      </c>
      <c r="T11" s="3" t="n">
        <v>575508</v>
      </c>
      <c r="U11" s="3" t="n">
        <f aca="false">+T11*1.2</f>
        <v>690609.6</v>
      </c>
      <c r="V11" s="3" t="n">
        <f aca="false">+U11*1.2</f>
        <v>828731.52</v>
      </c>
      <c r="W11" s="3" t="n">
        <f aca="false">+V11*1.2</f>
        <v>994477.824</v>
      </c>
      <c r="X11" s="3" t="n">
        <f aca="false">+W11*1.15</f>
        <v>1143649.4976</v>
      </c>
      <c r="Y11" s="3" t="n">
        <f aca="false">+X11*1.15</f>
        <v>1315196.92224</v>
      </c>
      <c r="Z11" s="3" t="n">
        <f aca="false">+Y11*1.15</f>
        <v>1512476.460576</v>
      </c>
      <c r="AA11" s="3" t="n">
        <f aca="false">+Z11*1.1</f>
        <v>1663724.1066336</v>
      </c>
      <c r="AB11" s="3" t="n">
        <f aca="false">+AA11*1.05</f>
        <v>1746910.31196528</v>
      </c>
      <c r="AC11" s="3" t="n">
        <f aca="false">+AB11*1.05</f>
        <v>1834255.82756354</v>
      </c>
      <c r="AD11" s="3" t="n">
        <f aca="false">+AC11*1.05</f>
        <v>1925968.61894172</v>
      </c>
      <c r="AE11" s="3" t="n">
        <f aca="false">+AD11*1.05</f>
        <v>2022267.04988881</v>
      </c>
    </row>
    <row r="12" s="18" customFormat="true" ht="10.5" hidden="false" customHeight="true" outlineLevel="0" collapsed="false">
      <c r="B12" s="19"/>
      <c r="C12" s="19"/>
      <c r="D12" s="19"/>
      <c r="F12" s="18" t="n">
        <f aca="false">+F11/B11-1</f>
        <v>-0.646326100649421</v>
      </c>
      <c r="G12" s="18" t="n">
        <f aca="false">+G11/C11-1</f>
        <v>2.46524151847648</v>
      </c>
      <c r="H12" s="18" t="n">
        <f aca="false">+H11/D11-1</f>
        <v>1.1927262033134</v>
      </c>
      <c r="I12" s="18" t="n">
        <f aca="false">+I11/E11-1</f>
        <v>0.824055781522371</v>
      </c>
      <c r="S12" s="18" t="n">
        <f aca="false">+S11/R11-1</f>
        <v>1.34423990823182</v>
      </c>
      <c r="T12" s="18" t="n">
        <f aca="false">+T11/S11-1</f>
        <v>0.219100314356163</v>
      </c>
      <c r="U12" s="18" t="n">
        <f aca="false">+U11/T11-1</f>
        <v>0.2</v>
      </c>
      <c r="V12" s="18" t="n">
        <f aca="false">+V11/U11-1</f>
        <v>0.2</v>
      </c>
      <c r="W12" s="18" t="n">
        <f aca="false">+W11/V11-1</f>
        <v>0.2</v>
      </c>
      <c r="X12" s="18" t="n">
        <f aca="false">+X11/W11-1</f>
        <v>0.15</v>
      </c>
      <c r="Y12" s="18" t="n">
        <f aca="false">+Y11/X11-1</f>
        <v>0.15</v>
      </c>
      <c r="Z12" s="18" t="n">
        <f aca="false">+Z11/Y11-1</f>
        <v>0.15</v>
      </c>
      <c r="AA12" s="18" t="n">
        <f aca="false">+AA11/Z11-1</f>
        <v>0.1</v>
      </c>
      <c r="AB12" s="18" t="n">
        <f aca="false">+AB11/AA11-1</f>
        <v>0.05</v>
      </c>
      <c r="AC12" s="18" t="n">
        <f aca="false">+AC11/AB11-1</f>
        <v>0.05</v>
      </c>
      <c r="AD12" s="18" t="n">
        <f aca="false">+AD11/AC11-1</f>
        <v>0.05</v>
      </c>
      <c r="AE12" s="18" t="n">
        <f aca="false">+AE11/AD11-1</f>
        <v>0.05</v>
      </c>
      <c r="AF12" s="0"/>
    </row>
    <row r="13" customFormat="false" ht="12.8" hidden="false" customHeight="false" outlineLevel="0" collapsed="false">
      <c r="A13" s="1" t="s">
        <v>40</v>
      </c>
      <c r="B13" s="3" t="n">
        <v>220005</v>
      </c>
      <c r="C13" s="3" t="n">
        <v>43800</v>
      </c>
      <c r="D13" s="3" t="n">
        <v>29056</v>
      </c>
      <c r="E13" s="3" t="n">
        <v>30233</v>
      </c>
      <c r="F13" s="3" t="n">
        <v>38922</v>
      </c>
      <c r="G13" s="3" t="n">
        <v>371425</v>
      </c>
      <c r="H13" s="3" t="n">
        <v>114930</v>
      </c>
      <c r="I13" s="3" t="n">
        <v>103629</v>
      </c>
      <c r="R13" s="3" t="n">
        <v>167679</v>
      </c>
      <c r="S13" s="3" t="n">
        <v>315734</v>
      </c>
      <c r="T13" s="3" t="n">
        <v>555510</v>
      </c>
      <c r="U13" s="3" t="n">
        <f aca="false">+T13*1.2</f>
        <v>666612</v>
      </c>
      <c r="V13" s="3" t="n">
        <f aca="false">+U13*1.2</f>
        <v>799934.4</v>
      </c>
      <c r="W13" s="3" t="n">
        <f aca="false">+V13*1.2</f>
        <v>959921.28</v>
      </c>
      <c r="X13" s="3" t="n">
        <f aca="false">+W13*1.15</f>
        <v>1103909.472</v>
      </c>
      <c r="Y13" s="3" t="n">
        <f aca="false">+X13*1.15</f>
        <v>1269495.8928</v>
      </c>
      <c r="Z13" s="3" t="n">
        <f aca="false">+Y13*1.15</f>
        <v>1459920.27672</v>
      </c>
      <c r="AA13" s="3" t="n">
        <f aca="false">+Z13*1.1</f>
        <v>1605912.304392</v>
      </c>
      <c r="AB13" s="3" t="n">
        <f aca="false">+AA13*1.05</f>
        <v>1686207.9196116</v>
      </c>
      <c r="AC13" s="3" t="n">
        <f aca="false">+AB13*1.05</f>
        <v>1770518.31559218</v>
      </c>
      <c r="AD13" s="3" t="n">
        <f aca="false">+AC13*1.05</f>
        <v>1859044.23137179</v>
      </c>
      <c r="AE13" s="3" t="n">
        <f aca="false">+AD13*1.05</f>
        <v>1951996.44294038</v>
      </c>
    </row>
    <row r="14" s="18" customFormat="true" ht="10.5" hidden="false" customHeight="true" outlineLevel="0" collapsed="false">
      <c r="B14" s="19"/>
      <c r="C14" s="19"/>
      <c r="D14" s="19"/>
      <c r="F14" s="18" t="n">
        <f aca="false">+F13/B13-1</f>
        <v>-0.823085838958206</v>
      </c>
      <c r="G14" s="18" t="n">
        <f aca="false">+G13/C13-1</f>
        <v>7.48002283105023</v>
      </c>
      <c r="H14" s="18" t="n">
        <f aca="false">+H13/D13-1</f>
        <v>2.95546530837004</v>
      </c>
      <c r="I14" s="18" t="n">
        <f aca="false">+I13/E13-1</f>
        <v>2.42767836470082</v>
      </c>
      <c r="S14" s="18" t="n">
        <f aca="false">+S13/R13-1</f>
        <v>0.882966859296632</v>
      </c>
      <c r="T14" s="18" t="n">
        <f aca="false">+T13/S13-1</f>
        <v>0.75942407216201</v>
      </c>
      <c r="U14" s="18" t="n">
        <f aca="false">+U13/T13-1</f>
        <v>0.2</v>
      </c>
      <c r="V14" s="18" t="n">
        <f aca="false">+V13/U13-1</f>
        <v>0.2</v>
      </c>
      <c r="W14" s="18" t="n">
        <f aca="false">+W13/V13-1</f>
        <v>0.2</v>
      </c>
      <c r="X14" s="18" t="n">
        <f aca="false">+X13/W13-1</f>
        <v>0.15</v>
      </c>
      <c r="Y14" s="18" t="n">
        <f aca="false">+Y13/X13-1</f>
        <v>0.15</v>
      </c>
      <c r="Z14" s="18" t="n">
        <f aca="false">+Z13/Y13-1</f>
        <v>0.15</v>
      </c>
      <c r="AA14" s="18" t="n">
        <f aca="false">+AA13/Z13-1</f>
        <v>0.1</v>
      </c>
      <c r="AB14" s="18" t="n">
        <f aca="false">+AB13/AA13-1</f>
        <v>0.05</v>
      </c>
      <c r="AC14" s="18" t="n">
        <f aca="false">+AC13/AB13-1</f>
        <v>0.05</v>
      </c>
      <c r="AD14" s="18" t="n">
        <f aca="false">+AD13/AC13-1</f>
        <v>0.05</v>
      </c>
      <c r="AE14" s="18" t="n">
        <f aca="false">+AE13/AD13-1</f>
        <v>0.05</v>
      </c>
      <c r="AF14" s="0"/>
    </row>
    <row r="15" customFormat="false" ht="12.8" hidden="false" customHeight="false" outlineLevel="0" collapsed="false">
      <c r="A15" s="1" t="s">
        <v>41</v>
      </c>
      <c r="B15" s="3" t="n">
        <f aca="false">+B13+B11+B9</f>
        <v>1031927</v>
      </c>
      <c r="C15" s="3" t="n">
        <f aca="false">+C13+C11+C9</f>
        <v>227272</v>
      </c>
      <c r="D15" s="3" t="n">
        <f aca="false">+D13+D11+D9</f>
        <v>148813</v>
      </c>
      <c r="E15" s="3" t="n">
        <f aca="false">+E13+E11+E9</f>
        <v>168998</v>
      </c>
      <c r="F15" s="3" t="n">
        <f aca="false">+F13+F11+F9</f>
        <v>219675</v>
      </c>
      <c r="G15" s="3" t="n">
        <f aca="false">+G13+G11+G9</f>
        <v>1327069</v>
      </c>
      <c r="H15" s="3" t="n">
        <f aca="false">+H13+H11+H9</f>
        <v>444976</v>
      </c>
      <c r="I15" s="3" t="n">
        <f aca="false">+I13+I11+I9</f>
        <v>402171</v>
      </c>
      <c r="J15" s="3" t="n">
        <f aca="false">+J13+J11+J9</f>
        <v>0</v>
      </c>
      <c r="K15" s="3" t="n">
        <f aca="false">+K13+K11+K9</f>
        <v>0</v>
      </c>
      <c r="L15" s="3" t="n">
        <f aca="false">+L13+L11+L9</f>
        <v>0</v>
      </c>
      <c r="R15" s="3" t="n">
        <f aca="false">+R13+R11+R9</f>
        <v>533830</v>
      </c>
      <c r="S15" s="3" t="n">
        <f aca="false">+S13+S11+S9</f>
        <v>1538930</v>
      </c>
      <c r="T15" s="3" t="n">
        <f aca="false">+T13+T11+T9</f>
        <v>2160718</v>
      </c>
      <c r="U15" s="3" t="n">
        <f aca="false">+U13+U11+U9</f>
        <v>2644346.6</v>
      </c>
      <c r="V15" s="3" t="n">
        <f aca="false">+V13+V11+V9</f>
        <v>3237572.17</v>
      </c>
      <c r="W15" s="3" t="n">
        <f aca="false">+W13+W11+W9</f>
        <v>3885086.604</v>
      </c>
      <c r="X15" s="3" t="n">
        <f aca="false">+X13+X11+X9</f>
        <v>4564383.9696</v>
      </c>
      <c r="Y15" s="3" t="n">
        <f aca="false">+Y13+Y11+Y9</f>
        <v>5133200.31504</v>
      </c>
      <c r="Z15" s="3" t="n">
        <f aca="false">+Z13+Z11+Z9</f>
        <v>5775754.987296</v>
      </c>
      <c r="AA15" s="3" t="n">
        <f aca="false">+AA13+AA11+AA9</f>
        <v>6353330.4860256</v>
      </c>
      <c r="AB15" s="3" t="n">
        <f aca="false">+AB13+AB11+AB9</f>
        <v>6670997.01032688</v>
      </c>
      <c r="AC15" s="3" t="n">
        <f aca="false">+AC13+AC11+AC9</f>
        <v>7004546.86084322</v>
      </c>
      <c r="AD15" s="3" t="n">
        <f aca="false">+AD13+AD11+AD9</f>
        <v>7354774.20388539</v>
      </c>
      <c r="AE15" s="3" t="n">
        <f aca="false">+AE13+AE11+AE9</f>
        <v>7722512.91407966</v>
      </c>
    </row>
    <row r="16" s="18" customFormat="true" ht="10.5" hidden="false" customHeight="true" outlineLevel="0" collapsed="false">
      <c r="B16" s="19"/>
      <c r="C16" s="19"/>
      <c r="D16" s="19"/>
      <c r="F16" s="18" t="n">
        <f aca="false">+F15/B15-1</f>
        <v>-0.787121569645915</v>
      </c>
      <c r="G16" s="18" t="n">
        <f aca="false">+G15/C15-1</f>
        <v>4.83912228519131</v>
      </c>
      <c r="H16" s="18" t="n">
        <f aca="false">+H15/D15-1</f>
        <v>1.99016886965521</v>
      </c>
      <c r="I16" s="18" t="n">
        <f aca="false">+I15/E15-1</f>
        <v>1.3797382217541</v>
      </c>
      <c r="S16" s="18" t="n">
        <f aca="false">+S15/R15-1</f>
        <v>1.88280913399397</v>
      </c>
      <c r="T16" s="18" t="n">
        <f aca="false">+T15/S15-1</f>
        <v>0.404039170072713</v>
      </c>
      <c r="U16" s="18" t="n">
        <f aca="false">+U15/T15-1</f>
        <v>0.223827727634981</v>
      </c>
      <c r="V16" s="18" t="n">
        <f aca="false">+V15/U15-1</f>
        <v>0.224337297538832</v>
      </c>
      <c r="W16" s="18" t="n">
        <f aca="false">+W15/V15-1</f>
        <v>0.2</v>
      </c>
      <c r="X16" s="18" t="n">
        <f aca="false">+X15/W15-1</f>
        <v>0.174847419076993</v>
      </c>
      <c r="Y16" s="18" t="n">
        <f aca="false">+Y15/X15-1</f>
        <v>0.124620616764161</v>
      </c>
      <c r="Z16" s="18" t="n">
        <f aca="false">+Z15/Y15-1</f>
        <v>0.125176231750269</v>
      </c>
      <c r="AA16" s="18" t="n">
        <f aca="false">+AA15/Z15-1</f>
        <v>0.1</v>
      </c>
      <c r="AB16" s="18" t="n">
        <f aca="false">+AB15/AA15-1</f>
        <v>0.05</v>
      </c>
      <c r="AC16" s="18" t="n">
        <f aca="false">+AC15/AB15-1</f>
        <v>0.05</v>
      </c>
      <c r="AD16" s="18" t="n">
        <f aca="false">+AD15/AC15-1</f>
        <v>0.05</v>
      </c>
      <c r="AE16" s="18" t="n">
        <f aca="false">+AE15/AD15-1</f>
        <v>0.05</v>
      </c>
      <c r="AF16" s="0"/>
    </row>
    <row r="17" customFormat="false" ht="12.8" hidden="false" customHeight="false" outlineLevel="0" collapsed="false">
      <c r="A17" s="1" t="s">
        <v>42</v>
      </c>
      <c r="B17" s="3" t="n">
        <f aca="false">+B7-B15</f>
        <v>-894287</v>
      </c>
      <c r="C17" s="3" t="n">
        <f aca="false">+C7-C15</f>
        <v>-47336</v>
      </c>
      <c r="D17" s="3" t="n">
        <f aca="false">+D7-D15</f>
        <v>51669</v>
      </c>
      <c r="E17" s="3" t="n">
        <f aca="false">+E7-E15</f>
        <v>39749</v>
      </c>
      <c r="F17" s="3" t="n">
        <f aca="false">+F7-F15</f>
        <v>2076</v>
      </c>
      <c r="G17" s="3" t="n">
        <f aca="false">+G7-G15</f>
        <v>-1136780</v>
      </c>
      <c r="H17" s="3" t="n">
        <f aca="false">+H7-H15</f>
        <v>-195502</v>
      </c>
      <c r="I17" s="3" t="n">
        <f aca="false">+I7-I15</f>
        <v>-137398</v>
      </c>
      <c r="J17" s="3" t="n">
        <f aca="false">+J7-J15</f>
        <v>0</v>
      </c>
      <c r="K17" s="3" t="n">
        <f aca="false">+K7-K15</f>
        <v>0</v>
      </c>
      <c r="L17" s="3" t="n">
        <f aca="false">+L7-L15</f>
        <v>0</v>
      </c>
      <c r="R17" s="3" t="n">
        <f aca="false">+R7-R15</f>
        <v>-73456</v>
      </c>
      <c r="S17" s="3" t="n">
        <f aca="false">+S7-S15</f>
        <v>-877433</v>
      </c>
      <c r="T17" s="3" t="n">
        <f aca="false">+T7-T15</f>
        <v>-1290457</v>
      </c>
      <c r="U17" s="3" t="n">
        <f aca="false">+U7-U15</f>
        <v>-1417520.944</v>
      </c>
      <c r="V17" s="3" t="n">
        <f aca="false">+V7-V15</f>
        <v>-1509669.5292</v>
      </c>
      <c r="W17" s="3" t="n">
        <f aca="false">+W7-W15</f>
        <v>-1538449.96368</v>
      </c>
      <c r="X17" s="3" t="n">
        <f aca="false">+X7-X15</f>
        <v>-1377567.603594</v>
      </c>
      <c r="Y17" s="3" t="n">
        <f aca="false">+Y7-Y15</f>
        <v>-1286392.393944</v>
      </c>
      <c r="Z17" s="3" t="n">
        <f aca="false">+Z7-Z15</f>
        <v>-1132431.54371424</v>
      </c>
      <c r="AA17" s="3" t="n">
        <f aca="false">+AA7-AA15</f>
        <v>-748757.627807615</v>
      </c>
      <c r="AB17" s="3" t="n">
        <f aca="false">+AB7-AB15</f>
        <v>37220.5147971679</v>
      </c>
      <c r="AC17" s="3" t="n">
        <f aca="false">+AC7-AC15</f>
        <v>956905.290939836</v>
      </c>
      <c r="AD17" s="3" t="n">
        <f aca="false">+AD7-AD15</f>
        <v>2013658.71610072</v>
      </c>
      <c r="AE17" s="3" t="n">
        <f aca="false">+AE7-AE15</f>
        <v>3206968.59988813</v>
      </c>
    </row>
    <row r="18" s="18" customFormat="true" ht="10.5" hidden="false" customHeight="true" outlineLevel="0" collapsed="false">
      <c r="B18" s="19"/>
      <c r="C18" s="19"/>
      <c r="D18" s="19"/>
      <c r="F18" s="18" t="n">
        <f aca="false">+F17/B17-1</f>
        <v>-1.00232140241332</v>
      </c>
      <c r="G18" s="18" t="n">
        <f aca="false">+G17/C17-1</f>
        <v>23.0151259083995</v>
      </c>
      <c r="H18" s="18" t="n">
        <f aca="false">+H17/D17-1</f>
        <v>-4.78373879889295</v>
      </c>
      <c r="I18" s="18" t="n">
        <f aca="false">+I17/E17-1</f>
        <v>-4.45664041862688</v>
      </c>
      <c r="S18" s="18" t="n">
        <f aca="false">+S17/R17-1</f>
        <v>10.9450147026792</v>
      </c>
      <c r="T18" s="18" t="n">
        <f aca="false">+T17/S17-1</f>
        <v>0.470718561987069</v>
      </c>
      <c r="U18" s="18" t="n">
        <f aca="false">+U17/T17-1</f>
        <v>0.0984642990816433</v>
      </c>
      <c r="V18" s="18" t="n">
        <f aca="false">+V17/U17-1</f>
        <v>0.0650068597504969</v>
      </c>
      <c r="W18" s="18" t="n">
        <f aca="false">+W17/V17-1</f>
        <v>0.0190640626463801</v>
      </c>
      <c r="X18" s="18" t="n">
        <f aca="false">+X17/W17-1</f>
        <v>-0.104574320832097</v>
      </c>
      <c r="Y18" s="18" t="n">
        <f aca="false">+Y17/X17-1</f>
        <v>-0.0661856517329015</v>
      </c>
      <c r="Z18" s="18" t="n">
        <f aca="false">+Z17/Y17-1</f>
        <v>-0.119684204411164</v>
      </c>
      <c r="AA18" s="18" t="n">
        <f aca="false">+AA17/Z17-1</f>
        <v>-0.338805394494946</v>
      </c>
      <c r="AB18" s="18" t="n">
        <f aca="false">+AB17/AA17-1</f>
        <v>-1.04970969698987</v>
      </c>
      <c r="AC18" s="18" t="n">
        <f aca="false">+AC17/AB17-1</f>
        <v>24.7090826431194</v>
      </c>
      <c r="AD18" s="18" t="n">
        <f aca="false">+AD17/AC17-1</f>
        <v>1.10434484495637</v>
      </c>
      <c r="AE18" s="18" t="n">
        <f aca="false">+AE17/AD17-1</f>
        <v>0.592607810969161</v>
      </c>
      <c r="AF18" s="0"/>
    </row>
    <row r="19" customFormat="false" ht="12.8" hidden="false" customHeight="false" outlineLevel="0" collapsed="false">
      <c r="A19" s="1" t="s">
        <v>43</v>
      </c>
      <c r="B19" s="3" t="n">
        <v>10139</v>
      </c>
      <c r="C19" s="3" t="n">
        <v>17910</v>
      </c>
      <c r="D19" s="3" t="n">
        <v>39128</v>
      </c>
      <c r="E19" s="3" t="n">
        <v>7274</v>
      </c>
      <c r="F19" s="3" t="n">
        <v>36978</v>
      </c>
      <c r="G19" s="3" t="n">
        <v>29305</v>
      </c>
      <c r="H19" s="3" t="n">
        <v>-8742</v>
      </c>
      <c r="I19" s="3" t="n">
        <v>-4325</v>
      </c>
      <c r="R19" s="3" t="n">
        <v>1019375</v>
      </c>
      <c r="S19" s="3" t="n">
        <v>84362</v>
      </c>
      <c r="T19" s="3" t="n">
        <v>64815</v>
      </c>
      <c r="U19" s="3" t="n">
        <v>70000</v>
      </c>
      <c r="V19" s="3" t="n">
        <v>70000</v>
      </c>
      <c r="W19" s="3" t="n">
        <v>70000</v>
      </c>
      <c r="X19" s="3" t="n">
        <v>70000</v>
      </c>
      <c r="Y19" s="3" t="n">
        <v>70000</v>
      </c>
      <c r="Z19" s="3" t="n">
        <v>70000</v>
      </c>
      <c r="AA19" s="3" t="n">
        <v>70000</v>
      </c>
      <c r="AB19" s="3" t="n">
        <v>70000</v>
      </c>
      <c r="AC19" s="3" t="n">
        <v>70000</v>
      </c>
      <c r="AD19" s="3" t="n">
        <v>70000</v>
      </c>
      <c r="AE19" s="3" t="n">
        <v>70000</v>
      </c>
    </row>
    <row r="20" s="18" customFormat="true" ht="10.5" hidden="false" customHeight="true" outlineLevel="0" collapsed="false">
      <c r="B20" s="19"/>
      <c r="C20" s="19"/>
      <c r="D20" s="19"/>
      <c r="F20" s="18" t="n">
        <f aca="false">+F19/B19-1</f>
        <v>2.64710523720288</v>
      </c>
      <c r="G20" s="18" t="n">
        <f aca="false">+G19/C19-1</f>
        <v>0.636236739251815</v>
      </c>
      <c r="H20" s="18" t="n">
        <f aca="false">+H19/D19-1</f>
        <v>-1.22342056839092</v>
      </c>
      <c r="I20" s="18" t="n">
        <f aca="false">+I19/E19-1</f>
        <v>-1.59458344789662</v>
      </c>
      <c r="S20" s="18" t="n">
        <f aca="false">+S19/R19-1</f>
        <v>-0.917241446965052</v>
      </c>
      <c r="T20" s="18" t="n">
        <f aca="false">+T19/S19-1</f>
        <v>-0.231703847703942</v>
      </c>
      <c r="U20" s="18" t="n">
        <f aca="false">+U19/T19-1</f>
        <v>0.0799969142945305</v>
      </c>
      <c r="V20" s="18" t="n">
        <f aca="false">+V19/U19-1</f>
        <v>0</v>
      </c>
      <c r="W20" s="18" t="n">
        <f aca="false">+W19/V19-1</f>
        <v>0</v>
      </c>
      <c r="X20" s="18" t="n">
        <f aca="false">+X19/W19-1</f>
        <v>0</v>
      </c>
      <c r="Y20" s="18" t="n">
        <f aca="false">+Y19/X19-1</f>
        <v>0</v>
      </c>
      <c r="Z20" s="18" t="n">
        <f aca="false">+Z19/Y19-1</f>
        <v>0</v>
      </c>
      <c r="AA20" s="18" t="n">
        <f aca="false">+AA19/Z19-1</f>
        <v>0</v>
      </c>
      <c r="AB20" s="18" t="n">
        <f aca="false">+AB19/AA19-1</f>
        <v>0</v>
      </c>
      <c r="AC20" s="18" t="n">
        <f aca="false">+AC19/AB19-1</f>
        <v>0</v>
      </c>
      <c r="AD20" s="18" t="n">
        <f aca="false">+AD19/AC19-1</f>
        <v>0</v>
      </c>
      <c r="AE20" s="18" t="n">
        <f aca="false">+AE19/AD19-1</f>
        <v>0</v>
      </c>
      <c r="AF20" s="0"/>
    </row>
    <row r="21" customFormat="false" ht="12.8" hidden="false" customHeight="false" outlineLevel="0" collapsed="false">
      <c r="A21" s="1" t="s">
        <v>44</v>
      </c>
      <c r="B21" s="3" t="n">
        <f aca="false">+B17+B19</f>
        <v>-884148</v>
      </c>
      <c r="C21" s="3" t="n">
        <f aca="false">+C17+C19</f>
        <v>-29426</v>
      </c>
      <c r="D21" s="3" t="n">
        <f aca="false">+D17+D19</f>
        <v>90797</v>
      </c>
      <c r="E21" s="3" t="n">
        <f aca="false">+E17+E19</f>
        <v>47023</v>
      </c>
      <c r="F21" s="3" t="n">
        <f aca="false">+F17+F19</f>
        <v>39054</v>
      </c>
      <c r="G21" s="3" t="n">
        <f aca="false">+G17+G19</f>
        <v>-1107475</v>
      </c>
      <c r="H21" s="3" t="n">
        <f aca="false">+H17+H19</f>
        <v>-204244</v>
      </c>
      <c r="I21" s="3" t="n">
        <f aca="false">+I17+I19</f>
        <v>-141723</v>
      </c>
      <c r="J21" s="3" t="n">
        <f aca="false">+J17+J19</f>
        <v>0</v>
      </c>
      <c r="K21" s="3" t="n">
        <f aca="false">+K17+K19</f>
        <v>0</v>
      </c>
      <c r="L21" s="3" t="n">
        <f aca="false">+L17+L19</f>
        <v>0</v>
      </c>
      <c r="R21" s="3" t="n">
        <f aca="false">+R17+R19</f>
        <v>945919</v>
      </c>
      <c r="S21" s="3" t="n">
        <f aca="false">+S17+S19</f>
        <v>-793071</v>
      </c>
      <c r="T21" s="3" t="n">
        <f aca="false">+T17+T19</f>
        <v>-1225642</v>
      </c>
      <c r="U21" s="3" t="n">
        <f aca="false">+U17+U19</f>
        <v>-1347520.944</v>
      </c>
      <c r="V21" s="3" t="n">
        <f aca="false">+V17+V19</f>
        <v>-1439669.5292</v>
      </c>
      <c r="W21" s="3" t="n">
        <f aca="false">+W17+W19</f>
        <v>-1468449.96368</v>
      </c>
      <c r="X21" s="3" t="n">
        <f aca="false">+X17+X19</f>
        <v>-1307567.603594</v>
      </c>
      <c r="Y21" s="3" t="n">
        <f aca="false">+Y17+Y19</f>
        <v>-1216392.393944</v>
      </c>
      <c r="Z21" s="3" t="n">
        <f aca="false">+Z17+Z19</f>
        <v>-1062431.54371424</v>
      </c>
      <c r="AA21" s="3" t="n">
        <f aca="false">+AA17+AA19</f>
        <v>-678757.627807615</v>
      </c>
      <c r="AB21" s="3" t="n">
        <f aca="false">+AB17+AB19</f>
        <v>107220.514797168</v>
      </c>
      <c r="AC21" s="3" t="n">
        <f aca="false">+AC17+AC19</f>
        <v>1026905.29093984</v>
      </c>
      <c r="AD21" s="3" t="n">
        <f aca="false">+AD17+AD19</f>
        <v>2083658.71610072</v>
      </c>
      <c r="AE21" s="3" t="n">
        <f aca="false">+AE17+AE19</f>
        <v>3276968.59988813</v>
      </c>
    </row>
    <row r="22" s="18" customFormat="true" ht="10.5" hidden="false" customHeight="true" outlineLevel="0" collapsed="false">
      <c r="B22" s="19"/>
      <c r="C22" s="19"/>
      <c r="D22" s="19"/>
      <c r="F22" s="18" t="n">
        <f aca="false">+F21/B21-1</f>
        <v>-1.04417133783032</v>
      </c>
      <c r="G22" s="18" t="n">
        <f aca="false">+G21/C21-1</f>
        <v>36.6359342078434</v>
      </c>
      <c r="H22" s="18" t="n">
        <f aca="false">+H21/D21-1</f>
        <v>-3.24945758119762</v>
      </c>
      <c r="I22" s="18" t="n">
        <f aca="false">+I21/E21-1</f>
        <v>-4.01390808753163</v>
      </c>
      <c r="S22" s="18" t="n">
        <f aca="false">+S21/R21-1</f>
        <v>-1.83841322565674</v>
      </c>
      <c r="T22" s="18" t="n">
        <f aca="false">+T21/S21-1</f>
        <v>0.54543792422116</v>
      </c>
      <c r="U22" s="18" t="n">
        <f aca="false">+U21/T21-1</f>
        <v>0.0994409003607906</v>
      </c>
      <c r="V22" s="18" t="n">
        <f aca="false">+V21/U21-1</f>
        <v>0.0683837869906978</v>
      </c>
      <c r="W22" s="18" t="n">
        <f aca="false">+W21/V21-1</f>
        <v>0.0199910006402599</v>
      </c>
      <c r="X22" s="18" t="n">
        <f aca="false">+X21/W21-1</f>
        <v>-0.109559306796414</v>
      </c>
      <c r="Y22" s="18" t="n">
        <f aca="false">+Y21/X21-1</f>
        <v>-0.0697288686255262</v>
      </c>
      <c r="Z22" s="18" t="n">
        <f aca="false">+Z21/Y21-1</f>
        <v>-0.126571697584002</v>
      </c>
      <c r="AA22" s="18" t="n">
        <f aca="false">+AA21/Z21-1</f>
        <v>-0.361128129314862</v>
      </c>
      <c r="AB22" s="18" t="n">
        <f aca="false">+AB21/AA21-1</f>
        <v>-1.15796583405403</v>
      </c>
      <c r="AC22" s="18" t="n">
        <f aca="false">+AC21/AB21-1</f>
        <v>8.57750755890757</v>
      </c>
      <c r="AD22" s="18" t="n">
        <f aca="false">+AD21/AC21-1</f>
        <v>1.02906610228264</v>
      </c>
      <c r="AE22" s="18" t="n">
        <f aca="false">+AE21/AD21-1</f>
        <v>0.572699297906393</v>
      </c>
      <c r="AF22" s="0"/>
    </row>
    <row r="23" customFormat="false" ht="12.8" hidden="false" customHeight="false" outlineLevel="0" collapsed="false">
      <c r="A23" s="1" t="s">
        <v>45</v>
      </c>
      <c r="B23" s="3" t="n">
        <v>-56294</v>
      </c>
      <c r="C23" s="3" t="n">
        <v>-13828</v>
      </c>
      <c r="D23" s="3" t="n">
        <v>-7010</v>
      </c>
      <c r="E23" s="3" t="n">
        <v>2141</v>
      </c>
      <c r="F23" s="3" t="n">
        <v>10827</v>
      </c>
      <c r="G23" s="3" t="n">
        <v>-10460</v>
      </c>
      <c r="H23" s="3" t="n">
        <v>22313</v>
      </c>
      <c r="I23" s="3" t="n">
        <v>678</v>
      </c>
      <c r="R23" s="3" t="n">
        <v>208078</v>
      </c>
      <c r="S23" s="3" t="n">
        <v>-60951</v>
      </c>
      <c r="T23" s="3" t="n">
        <v>24821</v>
      </c>
      <c r="U23" s="3" t="n">
        <f aca="false">+U21*(-0.1)</f>
        <v>134752.0944</v>
      </c>
      <c r="V23" s="3" t="n">
        <f aca="false">+V21*(-0.1)</f>
        <v>143966.95292</v>
      </c>
      <c r="W23" s="3" t="n">
        <f aca="false">+W21*(-0.1)</f>
        <v>146844.996368</v>
      </c>
      <c r="AC23" s="3" t="n">
        <f aca="false">+AC21*(0.22)</f>
        <v>225919.164006764</v>
      </c>
      <c r="AD23" s="3" t="n">
        <f aca="false">+AD21*(0.22)</f>
        <v>458404.917542157</v>
      </c>
      <c r="AE23" s="3" t="n">
        <f aca="false">+AE21*(0.22)</f>
        <v>720933.091975389</v>
      </c>
    </row>
    <row r="24" s="18" customFormat="true" ht="10.5" hidden="false" customHeight="true" outlineLevel="0" collapsed="false">
      <c r="B24" s="19"/>
      <c r="C24" s="19"/>
      <c r="D24" s="19"/>
      <c r="F24" s="18" t="n">
        <f aca="false">+F23/B23-1</f>
        <v>-1.19232955554766</v>
      </c>
      <c r="G24" s="18" t="n">
        <f aca="false">+G23/C23-1</f>
        <v>-0.243563783627423</v>
      </c>
      <c r="H24" s="18" t="n">
        <f aca="false">+H23/D23-1</f>
        <v>-4.1830242510699</v>
      </c>
      <c r="I24" s="18" t="n">
        <f aca="false">+I23/E23-1</f>
        <v>-0.683325548808968</v>
      </c>
      <c r="S24" s="18" t="n">
        <f aca="false">+S23/R23-1</f>
        <v>-1.29292380741837</v>
      </c>
      <c r="T24" s="20" t="s">
        <v>46</v>
      </c>
      <c r="U24" s="18" t="n">
        <f aca="false">+U23/T23-1</f>
        <v>4.42895509447645</v>
      </c>
      <c r="V24" s="18" t="n">
        <f aca="false">+V23/U23-1</f>
        <v>0.0683837869906978</v>
      </c>
      <c r="W24" s="18" t="n">
        <f aca="false">+W23/V23-1</f>
        <v>0.0199910006402599</v>
      </c>
      <c r="X24" s="18" t="n">
        <f aca="false">+X23/W23-1</f>
        <v>-1</v>
      </c>
      <c r="Y24" s="18" t="e">
        <f aca="false">+Y23/X23-1</f>
        <v>#DIV/0!</v>
      </c>
      <c r="Z24" s="18" t="e">
        <f aca="false">+Z23/Y23-1</f>
        <v>#DIV/0!</v>
      </c>
      <c r="AA24" s="18" t="e">
        <f aca="false">+AA23/Z23-1</f>
        <v>#DIV/0!</v>
      </c>
      <c r="AB24" s="18" t="e">
        <f aca="false">+AB23/AA23-1</f>
        <v>#DIV/0!</v>
      </c>
      <c r="AC24" s="18" t="e">
        <f aca="false">+AC23/AB23-1</f>
        <v>#DIV/0!</v>
      </c>
      <c r="AD24" s="18" t="n">
        <f aca="false">+AD23/AC23-1</f>
        <v>1.02906610228264</v>
      </c>
      <c r="AE24" s="18" t="n">
        <f aca="false">+AE23/AD23-1</f>
        <v>0.572699297906393</v>
      </c>
      <c r="AF24" s="0"/>
    </row>
    <row r="25" customFormat="false" ht="12.8" hidden="false" customHeight="false" outlineLevel="0" collapsed="false">
      <c r="A25" s="1" t="s">
        <v>47</v>
      </c>
      <c r="B25" s="3" t="n">
        <f aca="false">+B21-B23</f>
        <v>-827854</v>
      </c>
      <c r="C25" s="3" t="n">
        <f aca="false">+C21-C23</f>
        <v>-15598</v>
      </c>
      <c r="D25" s="3" t="n">
        <f aca="false">+D21-D23</f>
        <v>97807</v>
      </c>
      <c r="E25" s="3" t="n">
        <f aca="false">+E21-E23</f>
        <v>44882</v>
      </c>
      <c r="F25" s="3" t="n">
        <f aca="false">+F21-F23</f>
        <v>28227</v>
      </c>
      <c r="G25" s="3" t="n">
        <f aca="false">+G21-G23</f>
        <v>-1097015</v>
      </c>
      <c r="H25" s="3" t="n">
        <f aca="false">+H21-H23</f>
        <v>-226557</v>
      </c>
      <c r="I25" s="3" t="n">
        <f aca="false">+I21-I23</f>
        <v>-142401</v>
      </c>
      <c r="J25" s="3" t="n">
        <f aca="false">+J21-J23</f>
        <v>0</v>
      </c>
      <c r="K25" s="3" t="n">
        <f aca="false">+K21-K23</f>
        <v>0</v>
      </c>
      <c r="L25" s="3" t="n">
        <f aca="false">+L21-L23</f>
        <v>0</v>
      </c>
      <c r="R25" s="3" t="n">
        <f aca="false">+R21-R23</f>
        <v>737841</v>
      </c>
      <c r="S25" s="3" t="n">
        <f aca="false">+S21-S23</f>
        <v>-732120</v>
      </c>
      <c r="T25" s="3" t="n">
        <f aca="false">+T21-T23</f>
        <v>-1250463</v>
      </c>
      <c r="U25" s="3" t="n">
        <f aca="false">+U21-U23</f>
        <v>-1482273.0384</v>
      </c>
      <c r="V25" s="3" t="n">
        <f aca="false">+V21-V23</f>
        <v>-1583636.48212</v>
      </c>
      <c r="W25" s="3" t="n">
        <f aca="false">+W21-W23</f>
        <v>-1615294.960048</v>
      </c>
      <c r="X25" s="3" t="n">
        <f aca="false">+X21-X23</f>
        <v>-1307567.603594</v>
      </c>
      <c r="Y25" s="3" t="n">
        <f aca="false">+Y21-Y23</f>
        <v>-1216392.393944</v>
      </c>
      <c r="Z25" s="3" t="n">
        <f aca="false">+Z21-Z23</f>
        <v>-1062431.54371424</v>
      </c>
      <c r="AA25" s="3" t="n">
        <f aca="false">+AA21-AA23</f>
        <v>-678757.627807615</v>
      </c>
      <c r="AB25" s="3" t="n">
        <f aca="false">+AB21-AB23</f>
        <v>107220.514797168</v>
      </c>
      <c r="AC25" s="3" t="n">
        <f aca="false">+AC21-AC23</f>
        <v>800986.126933072</v>
      </c>
      <c r="AD25" s="3" t="n">
        <f aca="false">+AD21-AD23</f>
        <v>1625253.79855856</v>
      </c>
      <c r="AE25" s="3" t="n">
        <f aca="false">+AE21-AE23</f>
        <v>2556035.50791274</v>
      </c>
    </row>
    <row r="26" s="18" customFormat="true" ht="10.5" hidden="false" customHeight="true" outlineLevel="0" collapsed="false">
      <c r="B26" s="19"/>
      <c r="C26" s="19"/>
      <c r="D26" s="19"/>
      <c r="F26" s="18" t="n">
        <f aca="false">+F25/B25-1</f>
        <v>-1.03409659191113</v>
      </c>
      <c r="G26" s="18" t="n">
        <f aca="false">+G25/C25-1</f>
        <v>69.3304910886011</v>
      </c>
      <c r="H26" s="18" t="n">
        <f aca="false">+H25/D25-1</f>
        <v>-3.3163679491243</v>
      </c>
      <c r="I26" s="18" t="n">
        <f aca="false">+I25/E25-1</f>
        <v>-4.17278641771757</v>
      </c>
      <c r="S26" s="18" t="n">
        <f aca="false">+S25/R25-1</f>
        <v>-1.99224629696642</v>
      </c>
      <c r="T26" s="18" t="n">
        <f aca="false">+T25/S25-1</f>
        <v>0.708002786428454</v>
      </c>
      <c r="U26" s="18" t="n">
        <f aca="false">+U25/T25-1</f>
        <v>0.185379366202759</v>
      </c>
      <c r="V26" s="18" t="n">
        <f aca="false">+V25/U25-1</f>
        <v>0.0683837869906978</v>
      </c>
      <c r="W26" s="18" t="n">
        <f aca="false">+W25/V25-1</f>
        <v>0.0199910006402599</v>
      </c>
      <c r="X26" s="18" t="n">
        <f aca="false">+X25/W25-1</f>
        <v>-0.190508460724013</v>
      </c>
      <c r="Y26" s="18" t="n">
        <f aca="false">+Y25/X25-1</f>
        <v>-0.0697288686255262</v>
      </c>
      <c r="Z26" s="18" t="n">
        <f aca="false">+Z25/Y25-1</f>
        <v>-0.126571697584002</v>
      </c>
      <c r="AA26" s="18" t="n">
        <f aca="false">+AA25/Z25-1</f>
        <v>-0.361128129314862</v>
      </c>
      <c r="AB26" s="18" t="n">
        <f aca="false">+AB25/AA25-1</f>
        <v>-1.15796583405403</v>
      </c>
      <c r="AC26" s="18" t="n">
        <f aca="false">+AC25/AB25-1</f>
        <v>6.4704558959479</v>
      </c>
      <c r="AD26" s="18" t="n">
        <f aca="false">+AD25/AC25-1</f>
        <v>1.02906610228264</v>
      </c>
      <c r="AE26" s="18" t="n">
        <f aca="false">+AE25/AD25-1</f>
        <v>0.572699297906393</v>
      </c>
      <c r="AF26" s="0"/>
    </row>
    <row r="27" customFormat="false" ht="12.8" hidden="false" customHeight="false" outlineLevel="0" collapsed="false">
      <c r="A27" s="1" t="s">
        <v>48</v>
      </c>
      <c r="B27" s="3" t="n">
        <v>0</v>
      </c>
      <c r="C27" s="3" t="n">
        <v>0</v>
      </c>
      <c r="D27" s="3" t="n">
        <v>-64737</v>
      </c>
      <c r="E27" s="3" t="n">
        <v>-36271</v>
      </c>
      <c r="F27" s="3" t="n">
        <v>-27381</v>
      </c>
      <c r="G27" s="3" t="n">
        <v>0</v>
      </c>
      <c r="H27" s="3" t="n">
        <v>0</v>
      </c>
      <c r="I27" s="3" t="n">
        <v>0</v>
      </c>
      <c r="R27" s="3" t="n">
        <v>-451982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</row>
    <row r="28" s="18" customFormat="true" ht="10.5" hidden="false" customHeight="true" outlineLevel="0" collapsed="false">
      <c r="B28" s="19"/>
      <c r="C28" s="19"/>
      <c r="D28" s="19"/>
      <c r="F28" s="18" t="e">
        <f aca="false">+F27/B27-1</f>
        <v>#DIV/0!</v>
      </c>
      <c r="G28" s="18" t="e">
        <f aca="false">+G27/C27-1</f>
        <v>#DIV/0!</v>
      </c>
      <c r="H28" s="18" t="n">
        <f aca="false">+H27/D27-1</f>
        <v>-1</v>
      </c>
      <c r="I28" s="18" t="n">
        <f aca="false">+I27/E27-1</f>
        <v>-1</v>
      </c>
      <c r="S28" s="20" t="s">
        <v>46</v>
      </c>
      <c r="T28" s="20" t="s">
        <v>46</v>
      </c>
      <c r="AF28" s="0"/>
    </row>
    <row r="29" s="16" customFormat="true" ht="12.8" hidden="false" customHeight="false" outlineLevel="0" collapsed="false">
      <c r="A29" s="16" t="s">
        <v>49</v>
      </c>
      <c r="B29" s="16" t="n">
        <f aca="false">+B25+B27</f>
        <v>-827854</v>
      </c>
      <c r="C29" s="16" t="n">
        <f aca="false">+C25+C27</f>
        <v>-15598</v>
      </c>
      <c r="D29" s="16" t="n">
        <f aca="false">+D25+D27</f>
        <v>33070</v>
      </c>
      <c r="E29" s="16" t="n">
        <f aca="false">+E25+E27</f>
        <v>8611</v>
      </c>
      <c r="F29" s="16" t="n">
        <f aca="false">+F25+F27</f>
        <v>846</v>
      </c>
      <c r="G29" s="16" t="n">
        <f aca="false">+G25+G27</f>
        <v>-1097015</v>
      </c>
      <c r="H29" s="16" t="n">
        <f aca="false">+H25+H27</f>
        <v>-226557</v>
      </c>
      <c r="I29" s="16" t="n">
        <f aca="false">+I25+I27</f>
        <v>-142401</v>
      </c>
      <c r="J29" s="16" t="n">
        <f aca="false">+J25+J27</f>
        <v>0</v>
      </c>
      <c r="K29" s="16" t="n">
        <f aca="false">+K25+K27</f>
        <v>0</v>
      </c>
      <c r="L29" s="16" t="n">
        <f aca="false">+L25+L27</f>
        <v>0</v>
      </c>
      <c r="R29" s="16" t="n">
        <f aca="false">+R25+R27</f>
        <v>285859</v>
      </c>
      <c r="S29" s="16" t="n">
        <f aca="false">+S25+S27</f>
        <v>-732120</v>
      </c>
      <c r="T29" s="16" t="n">
        <f aca="false">+T25+T27</f>
        <v>-1250463</v>
      </c>
      <c r="U29" s="16" t="n">
        <f aca="false">+U25+U27</f>
        <v>-1482273.0384</v>
      </c>
      <c r="V29" s="16" t="n">
        <f aca="false">+V25+V27</f>
        <v>-1583636.48212</v>
      </c>
      <c r="W29" s="16" t="n">
        <f aca="false">+W25+W27</f>
        <v>-1615294.960048</v>
      </c>
      <c r="X29" s="16" t="n">
        <f aca="false">+X25+X27</f>
        <v>-1307567.603594</v>
      </c>
      <c r="Y29" s="16" t="n">
        <f aca="false">+Y25+Y27</f>
        <v>-1216392.393944</v>
      </c>
      <c r="Z29" s="16" t="n">
        <f aca="false">+Z25+Z27</f>
        <v>-1062431.54371424</v>
      </c>
      <c r="AA29" s="16" t="n">
        <f aca="false">+AA25+AA27</f>
        <v>-678757.627807615</v>
      </c>
      <c r="AB29" s="16" t="n">
        <f aca="false">+AB25+AB27</f>
        <v>107220.514797168</v>
      </c>
      <c r="AC29" s="16" t="n">
        <f aca="false">+AC25+AC27</f>
        <v>800986.126933072</v>
      </c>
      <c r="AD29" s="16" t="n">
        <f aca="false">+AD25+AD27</f>
        <v>1625253.79855856</v>
      </c>
      <c r="AE29" s="16" t="n">
        <f aca="false">+AE25+AE27</f>
        <v>2556035.50791274</v>
      </c>
      <c r="AF29" s="21" t="n">
        <f aca="false">+AE29*(1+$AJ$36)</f>
        <v>2581595.86299187</v>
      </c>
      <c r="AG29" s="21" t="n">
        <f aca="false">+AF29*(1+$AJ$36)</f>
        <v>2607411.82162179</v>
      </c>
      <c r="AH29" s="21" t="n">
        <f aca="false">+AG29*(1+$AJ$36)</f>
        <v>2633485.93983801</v>
      </c>
      <c r="AI29" s="21" t="n">
        <f aca="false">+AH29*(1+$AJ$36)</f>
        <v>2659820.79923639</v>
      </c>
      <c r="AJ29" s="21" t="n">
        <f aca="false">+AI29*(1+$AJ$36)</f>
        <v>2686419.00722875</v>
      </c>
      <c r="AK29" s="21" t="n">
        <f aca="false">+AJ29*(1+$AJ$36)</f>
        <v>2713283.19730104</v>
      </c>
      <c r="AL29" s="21" t="n">
        <f aca="false">+AK29*(1+$AJ$36)</f>
        <v>2740416.02927405</v>
      </c>
      <c r="AM29" s="21" t="n">
        <f aca="false">+AL29*(1+$AJ$36)</f>
        <v>2767820.18956679</v>
      </c>
      <c r="AN29" s="21" t="n">
        <f aca="false">+AM29*(1+$AJ$36)</f>
        <v>2795498.39146246</v>
      </c>
      <c r="AO29" s="21" t="n">
        <f aca="false">+AN29*(1+$AJ$36)</f>
        <v>2823453.37537708</v>
      </c>
      <c r="AP29" s="21" t="n">
        <f aca="false">+AO29*(1+$AJ$36)</f>
        <v>2851687.90913085</v>
      </c>
      <c r="AQ29" s="21" t="n">
        <f aca="false">+AP29*(1+$AJ$36)</f>
        <v>2880204.78822216</v>
      </c>
      <c r="AR29" s="21" t="n">
        <f aca="false">+AQ29*(1+$AJ$36)</f>
        <v>2909006.83610438</v>
      </c>
      <c r="AS29" s="21" t="n">
        <f aca="false">+AR29*(1+$AJ$36)</f>
        <v>2938096.90446543</v>
      </c>
      <c r="AT29" s="21" t="n">
        <f aca="false">+AS29*(1+$AJ$36)</f>
        <v>2967477.87351008</v>
      </c>
      <c r="AU29" s="21" t="n">
        <f aca="false">+AT29*(1+$AJ$36)</f>
        <v>2997152.65224518</v>
      </c>
      <c r="AV29" s="21" t="n">
        <f aca="false">+AU29*(1+$AJ$36)</f>
        <v>3027124.17876763</v>
      </c>
      <c r="AW29" s="21" t="n">
        <f aca="false">+AV29*(1+$AJ$36)</f>
        <v>3057395.42055531</v>
      </c>
      <c r="AX29" s="21" t="n">
        <f aca="false">+AW29*(1+$AJ$36)</f>
        <v>3087969.37476086</v>
      </c>
      <c r="AY29" s="21" t="n">
        <f aca="false">+AX29*(1+$AJ$36)</f>
        <v>3118849.06850847</v>
      </c>
      <c r="AZ29" s="21" t="n">
        <f aca="false">+AY29*(1+$AJ$36)</f>
        <v>3150037.55919355</v>
      </c>
      <c r="BA29" s="21" t="n">
        <f aca="false">+AZ29*(1+$AJ$36)</f>
        <v>3181537.93478549</v>
      </c>
      <c r="BB29" s="21" t="n">
        <f aca="false">+BA29*(1+$AJ$36)</f>
        <v>3213353.31413334</v>
      </c>
      <c r="BC29" s="21" t="n">
        <f aca="false">+BB29*(1+$AJ$36)</f>
        <v>3245486.84727468</v>
      </c>
      <c r="BD29" s="21" t="n">
        <f aca="false">+BC29*(1+$AJ$36)</f>
        <v>3277941.71574743</v>
      </c>
      <c r="BE29" s="21" t="n">
        <f aca="false">+BD29*(1+$AJ$36)</f>
        <v>3310721.1329049</v>
      </c>
      <c r="BF29" s="21" t="n">
        <f aca="false">+BE29*(1+$AJ$36)</f>
        <v>3343828.34423395</v>
      </c>
      <c r="BG29" s="21" t="n">
        <f aca="false">+BF29*(1+$AJ$36)</f>
        <v>3377266.62767629</v>
      </c>
      <c r="BH29" s="21" t="n">
        <f aca="false">+BG29*(1+$AJ$36)</f>
        <v>3411039.29395305</v>
      </c>
      <c r="BI29" s="21" t="n">
        <f aca="false">+BH29*(1+$AJ$36)</f>
        <v>3445149.68689258</v>
      </c>
      <c r="BJ29" s="21" t="n">
        <f aca="false">+BI29*(1+$AJ$36)</f>
        <v>3479601.18376151</v>
      </c>
      <c r="BK29" s="21" t="n">
        <f aca="false">+BJ29*(1+$AJ$36)</f>
        <v>3514397.19559912</v>
      </c>
      <c r="BL29" s="21" t="n">
        <f aca="false">+BK29*(1+$AJ$36)</f>
        <v>3549541.16755511</v>
      </c>
      <c r="BM29" s="21" t="n">
        <f aca="false">+BL29*(1+$AJ$36)</f>
        <v>3585036.57923066</v>
      </c>
      <c r="BN29" s="21" t="n">
        <f aca="false">+BM29*(1+$AJ$36)</f>
        <v>3620886.94502297</v>
      </c>
      <c r="BO29" s="21" t="n">
        <f aca="false">+BN29*(1+$AJ$36)</f>
        <v>3657095.8144732</v>
      </c>
      <c r="BP29" s="21" t="n">
        <f aca="false">+BO29*(1+$AJ$36)</f>
        <v>3693666.77261793</v>
      </c>
      <c r="BQ29" s="21" t="n">
        <f aca="false">+BP29*(1+$AJ$36)</f>
        <v>3730603.44034411</v>
      </c>
      <c r="BR29" s="21" t="n">
        <f aca="false">+BQ29*(1+$AJ$36)</f>
        <v>3767909.47474755</v>
      </c>
      <c r="BS29" s="21" t="n">
        <f aca="false">+BR29*(1+$AJ$36)</f>
        <v>3805588.56949503</v>
      </c>
      <c r="BT29" s="21" t="n">
        <f aca="false">+BS29*(1+$AJ$36)</f>
        <v>3843644.45518998</v>
      </c>
      <c r="BU29" s="21" t="n">
        <f aca="false">+BT29*(1+$AJ$36)</f>
        <v>3882080.89974188</v>
      </c>
      <c r="BV29" s="21" t="n">
        <f aca="false">+BU29*(1+$AJ$36)</f>
        <v>3920901.7087393</v>
      </c>
      <c r="BW29" s="21" t="n">
        <f aca="false">+BV29*(1+$AJ$36)</f>
        <v>3960110.72582669</v>
      </c>
      <c r="BX29" s="21" t="n">
        <f aca="false">+BW29*(1+$AJ$36)</f>
        <v>3999711.83308496</v>
      </c>
      <c r="BY29" s="21" t="n">
        <f aca="false">+BX29*(1+$AJ$36)</f>
        <v>4039708.95141581</v>
      </c>
      <c r="BZ29" s="21" t="n">
        <f aca="false">+BY29*(1+$AJ$36)</f>
        <v>4080106.04092997</v>
      </c>
      <c r="CA29" s="21" t="n">
        <f aca="false">+BZ29*(1+$AJ$36)</f>
        <v>4120907.10133927</v>
      </c>
      <c r="CB29" s="21" t="n">
        <f aca="false">+CA29*(1+$AJ$36)</f>
        <v>4162116.17235266</v>
      </c>
      <c r="CC29" s="21" t="n">
        <f aca="false">+CB29*(1+$AJ$36)</f>
        <v>4203737.33407618</v>
      </c>
      <c r="CD29" s="21" t="n">
        <f aca="false">+CC29*(1+$AJ$36)</f>
        <v>4245774.70741695</v>
      </c>
      <c r="CE29" s="21" t="n">
        <f aca="false">+CD29*(1+$AJ$36)</f>
        <v>4288232.45449112</v>
      </c>
      <c r="CF29" s="21" t="n">
        <f aca="false">+CE29*(1+$AJ$36)</f>
        <v>4331114.77903603</v>
      </c>
      <c r="CG29" s="21" t="n">
        <f aca="false">+CF29*(1+$AJ$36)</f>
        <v>4374425.92682639</v>
      </c>
      <c r="CH29" s="21" t="n">
        <f aca="false">+CG29*(1+$AJ$36)</f>
        <v>4418170.18609465</v>
      </c>
      <c r="CI29" s="21" t="n">
        <f aca="false">+CH29*(1+$AJ$36)</f>
        <v>4462351.8879556</v>
      </c>
      <c r="CJ29" s="21" t="n">
        <f aca="false">+CI29*(1+$AJ$36)</f>
        <v>4506975.40683515</v>
      </c>
      <c r="CK29" s="21" t="n">
        <f aca="false">+CJ29*(1+$AJ$36)</f>
        <v>4552045.16090351</v>
      </c>
      <c r="CL29" s="21" t="n">
        <f aca="false">+CK29*(1+$AJ$36)</f>
        <v>4597565.61251254</v>
      </c>
      <c r="CM29" s="21" t="n">
        <f aca="false">+CL29*(1+$AJ$36)</f>
        <v>4643541.26863767</v>
      </c>
      <c r="CN29" s="21" t="n">
        <f aca="false">+CM29*(1+$AJ$36)</f>
        <v>4689976.68132404</v>
      </c>
      <c r="CO29" s="21" t="n">
        <f aca="false">+CN29*(1+$AJ$36)</f>
        <v>4736876.44813728</v>
      </c>
      <c r="CP29" s="21" t="n">
        <f aca="false">+CO29*(1+$AJ$36)</f>
        <v>4784245.21261866</v>
      </c>
      <c r="CQ29" s="21" t="n">
        <f aca="false">+CP29*(1+$AJ$36)</f>
        <v>4832087.66474484</v>
      </c>
      <c r="CR29" s="21" t="n">
        <f aca="false">+CQ29*(1+$AJ$36)</f>
        <v>4880408.54139229</v>
      </c>
      <c r="CS29" s="21" t="n">
        <f aca="false">+CR29*(1+$AJ$36)</f>
        <v>4929212.62680621</v>
      </c>
      <c r="CT29" s="21" t="n">
        <f aca="false">+CS29*(1+$AJ$36)</f>
        <v>4978504.75307427</v>
      </c>
      <c r="CU29" s="21" t="n">
        <f aca="false">+CT29*(1+$AJ$36)</f>
        <v>5028289.80060502</v>
      </c>
      <c r="CV29" s="21" t="n">
        <f aca="false">+CU29*(1+$AJ$36)</f>
        <v>5078572.69861107</v>
      </c>
      <c r="CW29" s="21" t="n">
        <f aca="false">+CV29*(1+$AJ$36)</f>
        <v>5129358.42559718</v>
      </c>
    </row>
    <row r="30" s="18" customFormat="true" ht="10.5" hidden="false" customHeight="true" outlineLevel="0" collapsed="false">
      <c r="B30" s="19"/>
      <c r="C30" s="19"/>
      <c r="D30" s="19"/>
      <c r="F30" s="18" t="n">
        <f aca="false">+F29/B29-1</f>
        <v>-1.00102191932394</v>
      </c>
      <c r="G30" s="18" t="n">
        <f aca="false">+G29/C29-1</f>
        <v>69.3304910886011</v>
      </c>
      <c r="H30" s="18" t="n">
        <f aca="false">+H29/D29-1</f>
        <v>-7.85083156939825</v>
      </c>
      <c r="I30" s="18" t="n">
        <f aca="false">+I29/E29-1</f>
        <v>-17.5371037045639</v>
      </c>
      <c r="S30" s="18" t="n">
        <f aca="false">+S29/R29-1</f>
        <v>-3.5611227913062</v>
      </c>
      <c r="T30" s="18" t="n">
        <f aca="false">+T29/S29-1</f>
        <v>0.708002786428454</v>
      </c>
      <c r="U30" s="18" t="n">
        <f aca="false">+U29/T29-1</f>
        <v>0.185379366202759</v>
      </c>
      <c r="V30" s="18" t="n">
        <f aca="false">+V29/U29-1</f>
        <v>0.0683837869906978</v>
      </c>
      <c r="W30" s="18" t="n">
        <f aca="false">+W29/V29-1</f>
        <v>0.0199910006402599</v>
      </c>
      <c r="X30" s="18" t="n">
        <f aca="false">+X29/W29-1</f>
        <v>-0.190508460724013</v>
      </c>
      <c r="Y30" s="18" t="n">
        <f aca="false">+Y29/X29-1</f>
        <v>-0.0697288686255262</v>
      </c>
      <c r="Z30" s="18" t="n">
        <f aca="false">+Z29/Y29-1</f>
        <v>-0.126571697584002</v>
      </c>
      <c r="AA30" s="18" t="n">
        <f aca="false">+AA29/Z29-1</f>
        <v>-0.361128129314862</v>
      </c>
      <c r="AB30" s="18" t="n">
        <f aca="false">+AB29/AA29-1</f>
        <v>-1.15796583405403</v>
      </c>
      <c r="AC30" s="18" t="n">
        <f aca="false">+AC29/AB29-1</f>
        <v>6.4704558959479</v>
      </c>
      <c r="AD30" s="18" t="n">
        <f aca="false">+AD29/AC29-1</f>
        <v>1.02906610228264</v>
      </c>
      <c r="AE30" s="18" t="n">
        <f aca="false">+AE29/AD29-1</f>
        <v>0.572699297906393</v>
      </c>
      <c r="AF30" s="0"/>
    </row>
    <row r="31" s="22" customFormat="true" ht="12.8" hidden="false" customHeight="false" outlineLevel="0" collapsed="false">
      <c r="A31" s="22" t="s">
        <v>50</v>
      </c>
      <c r="B31" s="22" t="n">
        <f aca="false">+B29/B33</f>
        <v>-4.38523799938553</v>
      </c>
      <c r="C31" s="22" t="n">
        <f aca="false">+C29/C33</f>
        <v>-0.0740055416381994</v>
      </c>
      <c r="D31" s="22" t="n">
        <f aca="false">+D29/D33</f>
        <v>0.145724546676361</v>
      </c>
      <c r="E31" s="22" t="n">
        <f aca="false">+E29/E33</f>
        <v>0.0372647959978535</v>
      </c>
      <c r="F31" s="22" t="n">
        <f aca="false">+F29/F33</f>
        <v>0.00365124168112489</v>
      </c>
      <c r="G31" s="22" t="n">
        <f aca="false">+G29/G33</f>
        <v>-2.7206903564378</v>
      </c>
      <c r="H31" s="22" t="n">
        <f aca="false">+H29/H33</f>
        <v>-0.443328845717327</v>
      </c>
      <c r="I31" s="22" t="n">
        <f aca="false">+I29/I33</f>
        <v>-0.272024986389295</v>
      </c>
      <c r="R31" s="22" t="n">
        <f aca="false">+R29/R33</f>
        <v>1.52696747450683</v>
      </c>
      <c r="S31" s="22" t="n">
        <f aca="false">+S29/S33</f>
        <v>-3.74271517084841</v>
      </c>
      <c r="T31" s="22" t="n">
        <f aca="false">+T29/T33</f>
        <v>-3.71008829707694</v>
      </c>
      <c r="U31" s="22" t="n">
        <f aca="false">+U29/U33</f>
        <v>-3.99805646740485</v>
      </c>
      <c r="V31" s="22" t="n">
        <f aca="false">+V29/V33</f>
        <v>-3.88314428113513</v>
      </c>
      <c r="W31" s="22" t="n">
        <f aca="false">+W29/W33</f>
        <v>-3.60070201904139</v>
      </c>
      <c r="X31" s="22" t="n">
        <f aca="false">+X29/X33</f>
        <v>-2.64976165442542</v>
      </c>
      <c r="Y31" s="22" t="n">
        <f aca="false">+Y29/Y33</f>
        <v>-2.48989572942933</v>
      </c>
      <c r="Z31" s="22" t="n">
        <f aca="false">+Z29/Z33</f>
        <v>-2.19671252540233</v>
      </c>
      <c r="AA31" s="22" t="n">
        <f aca="false">+AA29/AA33</f>
        <v>-1.4175937782437</v>
      </c>
      <c r="AB31" s="22" t="n">
        <f aca="false">+AB29/AB33</f>
        <v>0.226193316697046</v>
      </c>
      <c r="AC31" s="22" t="n">
        <f aca="false">+AC29/AC33</f>
        <v>1.70683555186208</v>
      </c>
      <c r="AD31" s="22" t="n">
        <f aca="false">+AD29/AD33</f>
        <v>3.49826480853962</v>
      </c>
      <c r="AE31" s="22" t="n">
        <f aca="false">+AE29/AE33</f>
        <v>5.55729152351607</v>
      </c>
      <c r="AF31" s="0"/>
    </row>
    <row r="32" s="18" customFormat="true" ht="10.5" hidden="false" customHeight="true" outlineLevel="0" collapsed="false">
      <c r="B32" s="19"/>
      <c r="C32" s="19"/>
      <c r="D32" s="19"/>
      <c r="F32" s="18" t="n">
        <f aca="false">+F31/B31-1</f>
        <v>-1.0008326210987</v>
      </c>
      <c r="G32" s="18" t="n">
        <f aca="false">+G31/C31-1</f>
        <v>35.7633328020056</v>
      </c>
      <c r="H32" s="18" t="n">
        <f aca="false">+H31/D31-1</f>
        <v>-4.04223863328883</v>
      </c>
      <c r="I32" s="18" t="n">
        <f aca="false">+I31/E31-1</f>
        <v>-8.29978466553161</v>
      </c>
      <c r="S32" s="18" t="n">
        <f aca="false">+S31/R31-1</f>
        <v>-3.4510772058568</v>
      </c>
      <c r="T32" s="18" t="n">
        <f aca="false">+T31/S31-1</f>
        <v>-0.00871743434435024</v>
      </c>
      <c r="U32" s="18" t="n">
        <f aca="false">+U31/T31-1</f>
        <v>0.0776176056388716</v>
      </c>
      <c r="V32" s="18" t="n">
        <f aca="false">+V31/U31-1</f>
        <v>-0.0287420118266384</v>
      </c>
      <c r="W32" s="18" t="n">
        <f aca="false">+W31/V31-1</f>
        <v>-0.0727354539634002</v>
      </c>
      <c r="X32" s="18" t="n">
        <f aca="false">+X31/W31-1</f>
        <v>-0.264098600658194</v>
      </c>
      <c r="Y32" s="18" t="n">
        <f aca="false">+Y31/X31-1</f>
        <v>-0.0603321905308345</v>
      </c>
      <c r="Z32" s="18" t="n">
        <f aca="false">+Z31/Y31-1</f>
        <v>-0.11774918947879</v>
      </c>
      <c r="AA32" s="18" t="n">
        <f aca="false">+AA31/Z31-1</f>
        <v>-0.35467487809582</v>
      </c>
      <c r="AB32" s="18" t="n">
        <f aca="false">+AB31/AA31-1</f>
        <v>-1.15956144853943</v>
      </c>
      <c r="AC32" s="18" t="n">
        <f aca="false">+AC31/AB31-1</f>
        <v>6.54591504641203</v>
      </c>
      <c r="AD32" s="18" t="n">
        <f aca="false">+AD31/AC31-1</f>
        <v>1.04956171947742</v>
      </c>
      <c r="AE32" s="18" t="n">
        <f aca="false">+AE31/AD31-1</f>
        <v>0.588585149400397</v>
      </c>
      <c r="AF32" s="0"/>
    </row>
    <row r="33" customFormat="false" ht="12.8" hidden="false" customHeight="false" outlineLevel="0" collapsed="false">
      <c r="A33" s="1" t="s">
        <v>51</v>
      </c>
      <c r="B33" s="3" t="n">
        <v>188782</v>
      </c>
      <c r="C33" s="3" t="n">
        <v>210768</v>
      </c>
      <c r="D33" s="3" t="n">
        <v>226935</v>
      </c>
      <c r="E33" s="3" t="n">
        <v>231076</v>
      </c>
      <c r="F33" s="3" t="n">
        <v>231702</v>
      </c>
      <c r="G33" s="3" t="n">
        <v>403212</v>
      </c>
      <c r="H33" s="3" t="n">
        <v>511036</v>
      </c>
      <c r="I33" s="3" t="n">
        <v>523485</v>
      </c>
      <c r="R33" s="3" t="n">
        <v>187207</v>
      </c>
      <c r="S33" s="3" t="n">
        <v>195612</v>
      </c>
      <c r="T33" s="3" t="n">
        <v>337044</v>
      </c>
      <c r="U33" s="3" t="n">
        <f aca="false">+T33*1.1</f>
        <v>370748.4</v>
      </c>
      <c r="V33" s="3" t="n">
        <f aca="false">+U33*1.1</f>
        <v>407823.24</v>
      </c>
      <c r="W33" s="3" t="n">
        <f aca="false">+V33*1.1</f>
        <v>448605.564</v>
      </c>
      <c r="X33" s="3" t="n">
        <f aca="false">+W33*1.1</f>
        <v>493466.1204</v>
      </c>
      <c r="Y33" s="3" t="n">
        <f aca="false">+X33*0.99</f>
        <v>488531.459196</v>
      </c>
      <c r="Z33" s="3" t="n">
        <f aca="false">+Y33*0.99</f>
        <v>483646.14460404</v>
      </c>
      <c r="AA33" s="3" t="n">
        <f aca="false">+Z33*0.99</f>
        <v>478809.683158</v>
      </c>
      <c r="AB33" s="3" t="n">
        <f aca="false">+AA33*0.99</f>
        <v>474021.58632642</v>
      </c>
      <c r="AC33" s="3" t="n">
        <f aca="false">+AB33*0.99</f>
        <v>469281.370463156</v>
      </c>
      <c r="AD33" s="3" t="n">
        <f aca="false">+AC33*0.99</f>
        <v>464588.556758524</v>
      </c>
      <c r="AE33" s="3" t="n">
        <f aca="false">+AD33*0.99</f>
        <v>459942.671190939</v>
      </c>
    </row>
    <row r="34" s="18" customFormat="true" ht="10.5" hidden="false" customHeight="true" outlineLevel="0" collapsed="false">
      <c r="B34" s="19"/>
      <c r="C34" s="19"/>
      <c r="D34" s="19"/>
      <c r="F34" s="18" t="n">
        <f aca="false">+F33/B33-1</f>
        <v>0.227352184000593</v>
      </c>
      <c r="G34" s="18" t="n">
        <f aca="false">+G33/C33-1</f>
        <v>0.913060806194489</v>
      </c>
      <c r="H34" s="18" t="n">
        <f aca="false">+H33/D33-1</f>
        <v>1.25190473042942</v>
      </c>
      <c r="I34" s="18" t="n">
        <f aca="false">+I33/E33-1</f>
        <v>1.26542349703128</v>
      </c>
      <c r="S34" s="18" t="n">
        <f aca="false">+S33/R33-1</f>
        <v>0.0448968254392197</v>
      </c>
      <c r="T34" s="18" t="n">
        <f aca="false">+T33/S33-1</f>
        <v>0.723023127415496</v>
      </c>
      <c r="U34" s="18" t="n">
        <f aca="false">+U33/T33-1</f>
        <v>0.1</v>
      </c>
      <c r="V34" s="18" t="n">
        <f aca="false">+V33/U33-1</f>
        <v>0.1</v>
      </c>
      <c r="W34" s="18" t="n">
        <f aca="false">+W33/V33-1</f>
        <v>0.1</v>
      </c>
      <c r="X34" s="18" t="n">
        <f aca="false">+X33/W33-1</f>
        <v>0.1</v>
      </c>
      <c r="Y34" s="18" t="n">
        <f aca="false">+Y33/X33-1</f>
        <v>-0.01</v>
      </c>
      <c r="Z34" s="18" t="n">
        <f aca="false">+Z33/Y33-1</f>
        <v>-0.01</v>
      </c>
      <c r="AA34" s="18" t="n">
        <f aca="false">+AA33/Z33-1</f>
        <v>-0.01</v>
      </c>
      <c r="AB34" s="18" t="n">
        <f aca="false">+AB33/AA33-1</f>
        <v>-0.01</v>
      </c>
      <c r="AC34" s="18" t="n">
        <f aca="false">+AC33/AB33-1</f>
        <v>-0.01</v>
      </c>
      <c r="AD34" s="18" t="n">
        <f aca="false">+AD33/AC33-1</f>
        <v>-0.01</v>
      </c>
      <c r="AE34" s="18" t="n">
        <f aca="false">+AE33/AD33-1</f>
        <v>-0.01</v>
      </c>
      <c r="AF34" s="0"/>
    </row>
    <row r="36" s="23" customFormat="true" ht="12.8" hidden="false" customHeight="false" outlineLevel="0" collapsed="false">
      <c r="A36" s="23" t="s">
        <v>52</v>
      </c>
      <c r="B36" s="23" t="n">
        <f aca="false">+B7/B3</f>
        <v>0.776758202688518</v>
      </c>
      <c r="C36" s="23" t="n">
        <f aca="false">+C7/C3</f>
        <v>0.905844270259113</v>
      </c>
      <c r="D36" s="23" t="n">
        <f aca="false">+D7/D3</f>
        <v>0.924114406877319</v>
      </c>
      <c r="E36" s="23" t="n">
        <f aca="false">+E7/E3</f>
        <v>0.914758609809859</v>
      </c>
      <c r="F36" s="23" t="n">
        <f aca="false">+F7/F3</f>
        <v>0.888283127703894</v>
      </c>
      <c r="G36" s="23" t="n">
        <f aca="false">+G7/G3</f>
        <v>0.694047189183472</v>
      </c>
      <c r="H36" s="23" t="n">
        <f aca="false">+H7/H3</f>
        <v>0.82124328452544</v>
      </c>
      <c r="I36" s="23" t="n">
        <f aca="false">+I7/I3</f>
        <v>0.794067280672027</v>
      </c>
      <c r="S36" s="23" t="n">
        <f aca="false">+S7/S3</f>
        <v>0.883160594437198</v>
      </c>
      <c r="T36" s="23" t="n">
        <f aca="false">+T7/T3</f>
        <v>0.824276275161301</v>
      </c>
      <c r="U36" s="23" t="n">
        <f aca="false">+U7/U3</f>
        <v>0.83</v>
      </c>
      <c r="V36" s="23" t="n">
        <f aca="false">+V7/V3</f>
        <v>0.835</v>
      </c>
      <c r="W36" s="23" t="n">
        <f aca="false">+W7/W3</f>
        <v>0.84</v>
      </c>
      <c r="X36" s="23" t="n">
        <f aca="false">+X7/X3</f>
        <v>0.845</v>
      </c>
      <c r="Y36" s="23" t="n">
        <f aca="false">+Y7/Y3</f>
        <v>0.85</v>
      </c>
      <c r="Z36" s="23" t="n">
        <f aca="false">+Z7/Z3</f>
        <v>0.855</v>
      </c>
      <c r="AA36" s="23" t="n">
        <f aca="false">+AA7/AA3</f>
        <v>0.86</v>
      </c>
      <c r="AB36" s="23" t="n">
        <f aca="false">+AB7/AB3</f>
        <v>0.865</v>
      </c>
      <c r="AC36" s="23" t="n">
        <f aca="false">+AC7/AC3</f>
        <v>0.87</v>
      </c>
      <c r="AD36" s="23" t="n">
        <f aca="false">+AD7/AD3</f>
        <v>0.875</v>
      </c>
      <c r="AE36" s="23" t="n">
        <f aca="false">+AE7/AE3</f>
        <v>0.88</v>
      </c>
      <c r="AF36" s="0"/>
      <c r="AI36" s="24" t="s">
        <v>53</v>
      </c>
      <c r="AJ36" s="25" t="n">
        <v>0.01</v>
      </c>
    </row>
    <row r="37" s="23" customFormat="true" ht="12.8" hidden="false" customHeight="false" outlineLevel="0" collapsed="false">
      <c r="A37" s="23" t="s">
        <v>54</v>
      </c>
      <c r="B37" s="23" t="n">
        <f aca="false">+B17/B3</f>
        <v>-5.04682332757706</v>
      </c>
      <c r="C37" s="23" t="n">
        <f aca="false">+C17/C3</f>
        <v>-0.238301642678427</v>
      </c>
      <c r="D37" s="23" t="n">
        <f aca="false">+D17/D3</f>
        <v>0.238166355527899</v>
      </c>
      <c r="E37" s="23" t="n">
        <f aca="false">+E17/E3</f>
        <v>0.174185688806699</v>
      </c>
      <c r="F37" s="23" t="n">
        <f aca="false">+F17/F3</f>
        <v>0.00831597500400577</v>
      </c>
      <c r="G37" s="23" t="n">
        <f aca="false">+G17/G3</f>
        <v>-4.14621425158568</v>
      </c>
      <c r="H37" s="23" t="n">
        <f aca="false">+H17/H3</f>
        <v>-0.643572895817971</v>
      </c>
      <c r="I37" s="23" t="n">
        <f aca="false">+I17/I3</f>
        <v>-0.412063375909837</v>
      </c>
      <c r="S37" s="23" t="n">
        <f aca="false">+S17/S3</f>
        <v>-1.17145542588827</v>
      </c>
      <c r="T37" s="23" t="n">
        <f aca="false">+T17/T3</f>
        <v>-1.22226905401463</v>
      </c>
      <c r="U37" s="23" t="n">
        <f aca="false">+U17/U3</f>
        <v>-0.95901351407669</v>
      </c>
      <c r="V37" s="23" t="n">
        <f aca="false">+V17/V3</f>
        <v>-0.729539979346503</v>
      </c>
      <c r="W37" s="23" t="n">
        <f aca="false">+W17/W3</f>
        <v>-0.550702203863558</v>
      </c>
      <c r="X37" s="23" t="n">
        <f aca="false">+X17/X3</f>
        <v>-0.36526881104725</v>
      </c>
      <c r="Y37" s="23" t="n">
        <f aca="false">+Y17/Y3</f>
        <v>-0.284244380608655</v>
      </c>
      <c r="Z37" s="23" t="n">
        <f aca="false">+Z17/Z3</f>
        <v>-0.208520681714303</v>
      </c>
      <c r="AA37" s="23" t="n">
        <f aca="false">+AA17/AA3</f>
        <v>-0.114893958238111</v>
      </c>
      <c r="AB37" s="23" t="n">
        <f aca="false">+AB17/AB3</f>
        <v>0.00479944861343101</v>
      </c>
      <c r="AC37" s="23" t="n">
        <f aca="false">+AC17/AC3</f>
        <v>0.104567305969578</v>
      </c>
      <c r="AD37" s="23" t="n">
        <f aca="false">+AD17/AD3</f>
        <v>0.188073223306032</v>
      </c>
      <c r="AE37" s="23" t="n">
        <f aca="false">+AE17/AE3</f>
        <v>0.258212831440805</v>
      </c>
      <c r="AF37" s="0"/>
      <c r="AI37" s="26" t="s">
        <v>55</v>
      </c>
      <c r="AJ37" s="27" t="n">
        <v>0.02</v>
      </c>
    </row>
    <row r="38" s="23" customFormat="true" ht="12.8" hidden="false" customHeight="false" outlineLevel="0" collapsed="false">
      <c r="A38" s="23" t="s">
        <v>56</v>
      </c>
      <c r="B38" s="23" t="n">
        <f aca="false">+B29/B3</f>
        <v>-4.67191503290105</v>
      </c>
      <c r="C38" s="23" t="n">
        <f aca="false">+C29/C3</f>
        <v>-0.0785243582579453</v>
      </c>
      <c r="D38" s="23" t="n">
        <f aca="false">+D29/D3</f>
        <v>0.152434948950195</v>
      </c>
      <c r="E38" s="23" t="n">
        <f aca="false">+E29/E3</f>
        <v>0.0377346088282596</v>
      </c>
      <c r="F38" s="23" t="n">
        <f aca="false">+F29/F3</f>
        <v>0.00338887998718154</v>
      </c>
      <c r="G38" s="23" t="n">
        <f aca="false">+G29/G3</f>
        <v>-4.00117808828732</v>
      </c>
      <c r="H38" s="23" t="n">
        <f aca="false">+H29/H3</f>
        <v>-0.745802828399874</v>
      </c>
      <c r="I38" s="23" t="n">
        <f aca="false">+I29/I3</f>
        <v>-0.427067619564598</v>
      </c>
      <c r="S38" s="23" t="n">
        <f aca="false">+S29/S3</f>
        <v>-0.977448929321465</v>
      </c>
      <c r="T38" s="23" t="n">
        <f aca="false">+T29/T3</f>
        <v>-1.18438834311434</v>
      </c>
      <c r="U38" s="23" t="n">
        <f aca="false">+U29/U3</f>
        <v>-1.00282107392772</v>
      </c>
      <c r="V38" s="23" t="n">
        <f aca="false">+V29/V3</f>
        <v>-0.765284126169269</v>
      </c>
      <c r="W38" s="23" t="n">
        <f aca="false">+W29/W3</f>
        <v>-0.578209571574444</v>
      </c>
      <c r="X38" s="23" t="n">
        <f aca="false">+X29/X3</f>
        <v>-0.346707967494745</v>
      </c>
      <c r="Y38" s="23" t="n">
        <f aca="false">+Y29/Y3</f>
        <v>-0.268777010981567</v>
      </c>
      <c r="Z38" s="23" t="n">
        <f aca="false">+Z29/Z3</f>
        <v>-0.195631207025064</v>
      </c>
      <c r="AA38" s="23" t="n">
        <f aca="false">+AA29/AA3</f>
        <v>-0.104152729330412</v>
      </c>
      <c r="AB38" s="23" t="n">
        <f aca="false">+AB29/AB3</f>
        <v>0.0138256913930106</v>
      </c>
      <c r="AC38" s="23" t="n">
        <f aca="false">+AC29/AC3</f>
        <v>0.087528998120739</v>
      </c>
      <c r="AD38" s="23" t="n">
        <f aca="false">+AD29/AD3</f>
        <v>0.151796686370558</v>
      </c>
      <c r="AE38" s="23" t="n">
        <f aca="false">+AE29/AE3</f>
        <v>0.205802191447839</v>
      </c>
      <c r="AF38" s="0"/>
      <c r="AI38" s="28" t="s">
        <v>57</v>
      </c>
      <c r="AJ38" s="29" t="n">
        <f aca="false">+Main!E13</f>
        <v>0.12525</v>
      </c>
    </row>
    <row r="39" s="23" customFormat="true" ht="12.8" hidden="false" customHeight="false" outlineLevel="0" collapsed="false">
      <c r="A39" s="30" t="s">
        <v>58</v>
      </c>
      <c r="E39" s="23" t="n">
        <f aca="false">+E37+E4</f>
        <v>0.174185688806699</v>
      </c>
      <c r="F39" s="23" t="n">
        <f aca="false">+F37+F4</f>
        <v>0.417135487639588</v>
      </c>
      <c r="G39" s="23" t="n">
        <f aca="false">+G37+G4</f>
        <v>-3.76595659825476</v>
      </c>
      <c r="H39" s="23" t="n">
        <f aca="false">+H37+H4</f>
        <v>-0.243328594266887</v>
      </c>
      <c r="I39" s="23" t="n">
        <f aca="false">+I37+I4</f>
        <v>0.0491130534347264</v>
      </c>
      <c r="S39" s="23" t="n">
        <f aca="false">+S37+S4</f>
        <v>-0.68789517125048</v>
      </c>
      <c r="T39" s="23" t="n">
        <f aca="false">+T37+T4</f>
        <v>-0.812692959671558</v>
      </c>
      <c r="U39" s="23" t="n">
        <f aca="false">+U37+U4</f>
        <v>-0.55901351407669</v>
      </c>
      <c r="V39" s="23" t="n">
        <f aca="false">+V37+V4</f>
        <v>-0.329539979346503</v>
      </c>
      <c r="W39" s="23" t="n">
        <f aca="false">+W37+W4</f>
        <v>-0.200702203863558</v>
      </c>
      <c r="X39" s="23" t="n">
        <f aca="false">+X37+X4</f>
        <v>-0.0152688110472499</v>
      </c>
      <c r="Y39" s="23" t="n">
        <f aca="false">+Y37+Y4</f>
        <v>-0.0842443806086548</v>
      </c>
      <c r="Z39" s="23" t="n">
        <f aca="false">+Z37+Z4</f>
        <v>-0.00852068171430326</v>
      </c>
      <c r="AA39" s="23" t="n">
        <f aca="false">+AA37+AA4</f>
        <v>0.0851060417618887</v>
      </c>
      <c r="AB39" s="23" t="n">
        <f aca="false">+AB37+AB4</f>
        <v>0.194799448613431</v>
      </c>
      <c r="AC39" s="23" t="n">
        <f aca="false">+AC37+AC4</f>
        <v>0.284567305969578</v>
      </c>
      <c r="AD39" s="23" t="n">
        <f aca="false">+AD37+AD4</f>
        <v>0.358073223306032</v>
      </c>
      <c r="AE39" s="23" t="n">
        <f aca="false">+AE37+AE4</f>
        <v>0.418212831440805</v>
      </c>
      <c r="AF39" s="0"/>
      <c r="AI39" s="26" t="s">
        <v>59</v>
      </c>
      <c r="AJ39" s="31" t="n">
        <f aca="false">+NPV(AJ38,U29:CW29)</f>
        <v>1617314.0626308</v>
      </c>
    </row>
    <row r="40" s="23" customFormat="true" ht="12.8" hidden="false" customHeight="false" outlineLevel="0" collapsed="false">
      <c r="A40" s="23" t="s">
        <v>60</v>
      </c>
      <c r="B40" s="23" t="n">
        <f aca="false">+B23/B21</f>
        <v>0.0636703357356461</v>
      </c>
      <c r="C40" s="23" t="n">
        <f aca="false">+C23/C21</f>
        <v>0.469924556514647</v>
      </c>
      <c r="D40" s="23" t="n">
        <f aca="false">+D23/D21</f>
        <v>-0.0772051940042072</v>
      </c>
      <c r="E40" s="23" t="n">
        <f aca="false">+E23/E21</f>
        <v>0.0455309104055462</v>
      </c>
      <c r="F40" s="23" t="n">
        <f aca="false">+F23/F21</f>
        <v>0.277231525579966</v>
      </c>
      <c r="G40" s="23" t="n">
        <f aca="false">+G23/G21</f>
        <v>0.00944490846294499</v>
      </c>
      <c r="H40" s="23" t="n">
        <f aca="false">+H23/H21</f>
        <v>-0.109246783259239</v>
      </c>
      <c r="I40" s="23" t="n">
        <f aca="false">+I23/I21</f>
        <v>-0.0047839800173578</v>
      </c>
      <c r="R40" s="23" t="n">
        <f aca="false">+R23/R21</f>
        <v>0.21997443755755</v>
      </c>
      <c r="S40" s="23" t="n">
        <f aca="false">+S23/S21</f>
        <v>0.0768544052171874</v>
      </c>
      <c r="T40" s="23" t="n">
        <f aca="false">+T23/T21</f>
        <v>-0.0202514274151832</v>
      </c>
      <c r="U40" s="23" t="n">
        <f aca="false">+U23/U21</f>
        <v>-0.1</v>
      </c>
      <c r="V40" s="23" t="n">
        <f aca="false">+V23/V21</f>
        <v>-0.1</v>
      </c>
      <c r="W40" s="23" t="n">
        <f aca="false">+W23/W21</f>
        <v>-0.1</v>
      </c>
      <c r="X40" s="23" t="n">
        <f aca="false">+X23/X21</f>
        <v>-0</v>
      </c>
      <c r="Y40" s="23" t="n">
        <f aca="false">+Y23/Y21</f>
        <v>-0</v>
      </c>
      <c r="Z40" s="23" t="n">
        <f aca="false">+Z23/Z21</f>
        <v>-0</v>
      </c>
      <c r="AA40" s="23" t="n">
        <f aca="false">+AA23/AA21</f>
        <v>-0</v>
      </c>
      <c r="AB40" s="23" t="n">
        <f aca="false">+AB23/AB21</f>
        <v>0</v>
      </c>
      <c r="AC40" s="23" t="n">
        <f aca="false">+AC23/AC21</f>
        <v>0.22</v>
      </c>
      <c r="AD40" s="23" t="n">
        <f aca="false">+AD23/AD21</f>
        <v>0.22</v>
      </c>
      <c r="AE40" s="23" t="n">
        <f aca="false">+AE23/AE21</f>
        <v>0.22</v>
      </c>
      <c r="AF40" s="32"/>
      <c r="AI40" s="28" t="s">
        <v>61</v>
      </c>
      <c r="AJ40" s="33" t="n">
        <f aca="false">+AJ39/(Main!F2+Main!F3)-1</f>
        <v>3059.91175361555</v>
      </c>
    </row>
    <row r="41" s="23" customFormat="true" ht="12.8" hidden="false" customHeight="false" outlineLevel="0" collapsed="false">
      <c r="AF41" s="32"/>
      <c r="AI41" s="34" t="s">
        <v>62</v>
      </c>
      <c r="AJ41" s="35" t="n">
        <f aca="false">+AJ40/Main!F1-1</f>
        <v>127.029780486006</v>
      </c>
    </row>
    <row r="42" customFormat="false" ht="12.8" hidden="false" customHeight="false" outlineLevel="0" collapsed="false">
      <c r="A42" s="3" t="s">
        <v>63</v>
      </c>
      <c r="D42" s="3" t="n">
        <f aca="false">+SUM(D51,D52)-SUM(D62,D63)</f>
        <v>144906</v>
      </c>
      <c r="F42" s="3" t="n">
        <f aca="false">+SUM(F51,F52)-SUM(F62,F63)</f>
        <v>119990</v>
      </c>
      <c r="G42" s="3" t="n">
        <f aca="false">+SUM(G51,G52)-SUM(G62,G63)</f>
        <v>170704</v>
      </c>
      <c r="H42" s="3" t="n">
        <f aca="false">+SUM(H51,H52)-SUM(H62,H63)</f>
        <v>262145</v>
      </c>
      <c r="I42" s="3" t="n">
        <f aca="false">+SUM(I51,I52)-SUM(I62,I63)</f>
        <v>191148</v>
      </c>
      <c r="S42" s="3" t="n">
        <f aca="false">+SUM(S51,S52)-SUM(S62,S63)</f>
        <v>144906</v>
      </c>
      <c r="T42" s="3" t="n">
        <f aca="false">+SUM(T51,T52)-SUM(T62,T63)</f>
        <v>262145</v>
      </c>
      <c r="U42" s="3" t="n">
        <f aca="false">+SUM(U51,U52)-SUM(U62,U63)</f>
        <v>250046.017545206</v>
      </c>
      <c r="V42" s="3" t="n">
        <f aca="false">+SUM(V51,V52)-SUM(V62,V63)</f>
        <v>273014.986704657</v>
      </c>
      <c r="W42" s="3" t="n">
        <f aca="false">+SUM(W51,W52)-SUM(W62,W63)</f>
        <v>329068.347110137</v>
      </c>
      <c r="X42" s="3" t="n">
        <f aca="false">+SUM(X51,X52)-SUM(X62,X63)</f>
        <v>412264.147039069</v>
      </c>
      <c r="Y42" s="3" t="n">
        <f aca="false">+SUM(Y51,Y52)-SUM(Y62,Y63)</f>
        <v>371159.070806137</v>
      </c>
      <c r="Z42" s="3" t="n">
        <f aca="false">+SUM(Z51,Z52)-SUM(Z62,Z63)</f>
        <v>326625.375410475</v>
      </c>
      <c r="AA42" s="3" t="n">
        <f aca="false">+SUM(AA51,AA52)-SUM(AA62,AA63)</f>
        <v>332060.269023595</v>
      </c>
      <c r="AB42" s="3" t="n">
        <f aca="false">+SUM(AB51,AB52)-SUM(AB62,AB63)</f>
        <v>463589.144107789</v>
      </c>
      <c r="AC42" s="3" t="n">
        <f aca="false">+SUM(AC51,AC52)-SUM(AC62,AC63)</f>
        <v>589116.604944617</v>
      </c>
      <c r="AD42" s="3" t="n">
        <f aca="false">+SUM(AD51,AD52)-SUM(AD62,AD63)</f>
        <v>754187.228669082</v>
      </c>
      <c r="AE42" s="3" t="n">
        <f aca="false">+SUM(AE51,AE52)-SUM(AE62,AE63)</f>
        <v>936418.553623021</v>
      </c>
      <c r="AF42" s="36"/>
    </row>
    <row r="43" customFormat="false" ht="12.8" hidden="false" customHeight="false" outlineLevel="0" collapsed="false">
      <c r="A43" s="3" t="s">
        <v>64</v>
      </c>
      <c r="B43" s="3" t="n">
        <f aca="false">+B17*(1-B40)</f>
        <v>-837347.446465976</v>
      </c>
      <c r="C43" s="3" t="n">
        <f aca="false">+C17*(1-C40)</f>
        <v>-25091.6511928227</v>
      </c>
      <c r="D43" s="3" t="n">
        <f aca="false">+D17*(1-D40)</f>
        <v>55658.1151690034</v>
      </c>
      <c r="E43" s="3" t="n">
        <f aca="false">+E17*(1-E40)</f>
        <v>37939.1918422899</v>
      </c>
      <c r="F43" s="3" t="n">
        <f aca="false">+F17*(1-F40)</f>
        <v>1500.46735289599</v>
      </c>
      <c r="G43" s="3" t="n">
        <f aca="false">+G17*(1-G40)</f>
        <v>-1126043.21695749</v>
      </c>
      <c r="H43" s="3" t="n">
        <f aca="false">+H17*(1-H40)</f>
        <v>-216859.964620748</v>
      </c>
      <c r="I43" s="3" t="n">
        <f aca="false">+I17*(1-I40)</f>
        <v>-138055.309286425</v>
      </c>
      <c r="R43" s="3" t="n">
        <f aca="false">+R17*(1-R40)</f>
        <v>-57297.5577147726</v>
      </c>
      <c r="S43" s="3" t="n">
        <f aca="false">+S17*(1-S40)</f>
        <v>-809998.408667068</v>
      </c>
      <c r="T43" s="3" t="n">
        <f aca="false">+T17*(1-T40)</f>
        <v>-1316590.59626792</v>
      </c>
      <c r="U43" s="3" t="n">
        <f aca="false">+U17*(1-U40)</f>
        <v>-1559273.0384</v>
      </c>
      <c r="V43" s="3" t="n">
        <f aca="false">+V17*(1-V40)</f>
        <v>-1660636.48212</v>
      </c>
      <c r="W43" s="3" t="n">
        <f aca="false">+W17*(1-W40)</f>
        <v>-1692294.960048</v>
      </c>
      <c r="X43" s="3" t="n">
        <f aca="false">+X17*(1-X40)</f>
        <v>-1377567.603594</v>
      </c>
      <c r="Y43" s="3" t="n">
        <f aca="false">+Y17*(1-Y40)</f>
        <v>-1286392.393944</v>
      </c>
      <c r="Z43" s="3" t="n">
        <f aca="false">+Z17*(1-Z40)</f>
        <v>-1132431.54371424</v>
      </c>
      <c r="AA43" s="3" t="n">
        <f aca="false">+AA17*(1-AA40)</f>
        <v>-748757.627807615</v>
      </c>
      <c r="AB43" s="3" t="n">
        <f aca="false">+AB17*(1-AB40)</f>
        <v>37220.5147971679</v>
      </c>
      <c r="AC43" s="3" t="n">
        <f aca="false">+AC17*(1-AC40)</f>
        <v>746386.126933072</v>
      </c>
      <c r="AD43" s="3" t="n">
        <f aca="false">+AD17*(1-AD40)</f>
        <v>1570653.79855856</v>
      </c>
      <c r="AE43" s="3" t="n">
        <f aca="false">+AE17*(1-AE40)</f>
        <v>2501435.50791274</v>
      </c>
      <c r="AF43" s="36"/>
    </row>
    <row r="44" customFormat="false" ht="12.8" hidden="false" customHeight="false" outlineLevel="0" collapsed="false">
      <c r="A44" s="3" t="s">
        <v>65</v>
      </c>
      <c r="S44" s="3" t="n">
        <f aca="false">+S43+S88-S106-(S42-R42)</f>
        <v>-949190.408667068</v>
      </c>
      <c r="T44" s="3" t="n">
        <f aca="false">+T43+T88-T106-(T42-S42)</f>
        <v>-1422679.59626792</v>
      </c>
      <c r="U44" s="3" t="n">
        <f aca="false">+U43+U88-U106-(U42-T42)</f>
        <v>-1531564.05594521</v>
      </c>
      <c r="V44" s="3" t="n">
        <f aca="false">+V43+V88-V106-(V42-U42)</f>
        <v>-1661751.45127945</v>
      </c>
      <c r="W44" s="3" t="n">
        <f aca="false">+W43+W88-W106-(W42-V42)</f>
        <v>-1717752.72045348</v>
      </c>
      <c r="X44" s="3" t="n">
        <f aca="false">+X43+X88-X106-(X42-W42)</f>
        <v>-1417929.56352293</v>
      </c>
      <c r="Y44" s="3" t="n">
        <f aca="false">+Y43+Y88-Y106-(Y42-X42)</f>
        <v>-1185319.94171107</v>
      </c>
      <c r="Z44" s="3" t="n">
        <f aca="false">+Z43+Z88-Z106-(Z42-Y42)</f>
        <v>-1003943.52191858</v>
      </c>
      <c r="AA44" s="3" t="n">
        <f aca="false">+AA43+AA88-AA106-(AA42-Z42)</f>
        <v>-636656.464460736</v>
      </c>
      <c r="AB44" s="3" t="n">
        <f aca="false">+AB43+AB88-AB106-(AB42-AA42)</f>
        <v>70242.1194569743</v>
      </c>
      <c r="AC44" s="3" t="n">
        <f aca="false">+AC43+AC88-AC106-(AC42-AB42)</f>
        <v>851229.337737843</v>
      </c>
      <c r="AD44" s="3" t="n">
        <f aca="false">+AD43+AD88-AD106-(AD42-AC42)</f>
        <v>1728102.11513233</v>
      </c>
      <c r="AE44" s="3" t="n">
        <f aca="false">+AE43+AE88-AE106-(AE42-AD42)</f>
        <v>2770730.69937634</v>
      </c>
      <c r="AF44" s="36"/>
    </row>
    <row r="45" s="23" customFormat="true" ht="12.8" hidden="false" customHeight="false" outlineLevel="0" collapsed="false">
      <c r="AF45" s="32"/>
    </row>
    <row r="46" customFormat="false" ht="12.8" hidden="false" customHeight="false" outlineLevel="0" collapsed="false">
      <c r="AF46" s="32"/>
    </row>
    <row r="47" customFormat="false" ht="12.8" hidden="false" customHeight="false" outlineLevel="0" collapsed="false">
      <c r="A47" s="1" t="s">
        <v>5</v>
      </c>
      <c r="D47" s="3" t="n">
        <f aca="false">+486954+3631</f>
        <v>490585</v>
      </c>
      <c r="F47" s="3" t="n">
        <f aca="false">+621619+9799</f>
        <v>631418</v>
      </c>
      <c r="G47" s="3" t="n">
        <f aca="false">+340485+9799</f>
        <v>350284</v>
      </c>
      <c r="H47" s="3" t="n">
        <f aca="false">+403469+9799</f>
        <v>413268</v>
      </c>
      <c r="I47" s="3" t="n">
        <f aca="false">+405654+9800</f>
        <v>415454</v>
      </c>
      <c r="S47" s="3" t="n">
        <f aca="false">+486954+3631</f>
        <v>490585</v>
      </c>
      <c r="T47" s="3" t="n">
        <f aca="false">+403469+9799</f>
        <v>413268</v>
      </c>
      <c r="AI47" s="37" t="s">
        <v>53</v>
      </c>
      <c r="AJ47" s="38" t="n">
        <v>0.01</v>
      </c>
    </row>
    <row r="48" customFormat="false" ht="12.8" hidden="false" customHeight="false" outlineLevel="0" collapsed="false">
      <c r="A48" s="1" t="s">
        <v>66</v>
      </c>
      <c r="D48" s="3" t="n">
        <v>0</v>
      </c>
      <c r="F48" s="3" t="n">
        <v>30136</v>
      </c>
      <c r="G48" s="3" t="n">
        <v>30320</v>
      </c>
      <c r="H48" s="3" t="n">
        <v>15575</v>
      </c>
      <c r="I48" s="3" t="n">
        <v>15696</v>
      </c>
      <c r="S48" s="3" t="n">
        <v>0</v>
      </c>
      <c r="T48" s="3" t="n">
        <v>15575</v>
      </c>
      <c r="AI48" s="39" t="s">
        <v>57</v>
      </c>
      <c r="AJ48" s="40" t="n">
        <f aca="false">+Main!E13</f>
        <v>0.12525</v>
      </c>
    </row>
    <row r="49" customFormat="false" ht="12.8" hidden="false" customHeight="false" outlineLevel="0" collapsed="false">
      <c r="A49" s="1" t="s">
        <v>67</v>
      </c>
      <c r="D49" s="3" t="n">
        <v>970883</v>
      </c>
      <c r="F49" s="3" t="n">
        <v>971719</v>
      </c>
      <c r="G49" s="3" t="n">
        <v>1237048</v>
      </c>
      <c r="H49" s="3" t="n">
        <v>1252474</v>
      </c>
      <c r="I49" s="3" t="n">
        <v>1232810</v>
      </c>
      <c r="S49" s="3" t="n">
        <v>970883</v>
      </c>
      <c r="T49" s="3" t="n">
        <v>1252474</v>
      </c>
      <c r="AI49" s="41" t="s">
        <v>7</v>
      </c>
      <c r="AJ49" s="42" t="n">
        <f aca="false">+NPV(AJ48,U44:AD44,AE44+AJ50)/1000</f>
        <v>2045.68376926599</v>
      </c>
    </row>
    <row r="50" s="44" customFormat="true" ht="12.8" hidden="false" customHeight="false" outlineLevel="0" collapsed="false">
      <c r="A50" s="43" t="s">
        <v>68</v>
      </c>
      <c r="D50" s="44" t="n">
        <v>78791</v>
      </c>
      <c r="F50" s="44" t="n">
        <v>90793</v>
      </c>
      <c r="G50" s="44" t="n">
        <v>96422</v>
      </c>
      <c r="H50" s="44" t="n">
        <v>73689</v>
      </c>
      <c r="I50" s="44" t="n">
        <v>57019</v>
      </c>
      <c r="R50" s="44" t="n">
        <v>0</v>
      </c>
      <c r="S50" s="44" t="n">
        <v>78791</v>
      </c>
      <c r="T50" s="44" t="n">
        <v>73689</v>
      </c>
      <c r="AF50" s="0"/>
      <c r="AI50" s="39" t="s">
        <v>69</v>
      </c>
      <c r="AJ50" s="45" t="n">
        <f aca="false">+AE44*(1+AJ47)/(AJ48-AJ47)</f>
        <v>24281457.7559228</v>
      </c>
    </row>
    <row r="51" customFormat="false" ht="12.8" hidden="false" customHeight="false" outlineLevel="0" collapsed="false">
      <c r="A51" s="1" t="s">
        <v>70</v>
      </c>
      <c r="D51" s="3" t="n">
        <v>131315</v>
      </c>
      <c r="F51" s="3" t="n">
        <v>124721</v>
      </c>
      <c r="G51" s="3" t="n">
        <v>156004</v>
      </c>
      <c r="H51" s="3" t="n">
        <v>247915</v>
      </c>
      <c r="I51" s="3" t="n">
        <v>188351</v>
      </c>
      <c r="S51" s="3" t="n">
        <v>131315</v>
      </c>
      <c r="T51" s="3" t="n">
        <v>247915</v>
      </c>
      <c r="U51" s="3" t="n">
        <f aca="false">+(U111/365)*U3</f>
        <v>261411.402191781</v>
      </c>
      <c r="V51" s="3" t="n">
        <f aca="false">+(V111/365)*V3</f>
        <v>368513.400547945</v>
      </c>
      <c r="W51" s="3" t="n">
        <f aca="false">+(W111/365)*W3</f>
        <v>489839.350882192</v>
      </c>
      <c r="X51" s="3" t="n">
        <f aca="false">+(X111/365)*X3</f>
        <v>661283.123690959</v>
      </c>
      <c r="Y51" s="3" t="n">
        <f aca="false">+(Y111/365)*Y3</f>
        <v>781140.689859945</v>
      </c>
      <c r="Z51" s="3" t="n">
        <f aca="false">+(Z111/365)*Z3</f>
        <v>937368.827831934</v>
      </c>
      <c r="AA51" s="3" t="n">
        <f aca="false">+(AA111/365)*AA3</f>
        <v>1106987.94905867</v>
      </c>
      <c r="AB51" s="3" t="n">
        <f aca="false">+(AB111/365)*AB3</f>
        <v>1317315.65937981</v>
      </c>
      <c r="AC51" s="3" t="n">
        <f aca="false">+(AC111/365)*AC3</f>
        <v>1529360.98648643</v>
      </c>
      <c r="AD51" s="3" t="n">
        <f aca="false">+(AD111/365)*AD3</f>
        <v>1789352.35418913</v>
      </c>
      <c r="AE51" s="3" t="n">
        <f aca="false">+(AE111/365)*AE3</f>
        <v>2075648.73085939</v>
      </c>
      <c r="AI51" s="46" t="s">
        <v>62</v>
      </c>
      <c r="AJ51" s="47" t="n">
        <f aca="false">+AJ49/(Main!F7)-1</f>
        <v>-0.813438537226989</v>
      </c>
    </row>
    <row r="52" customFormat="false" ht="12.8" hidden="false" customHeight="false" outlineLevel="0" collapsed="false">
      <c r="A52" s="1" t="s">
        <v>71</v>
      </c>
      <c r="D52" s="3" t="n">
        <v>48873</v>
      </c>
      <c r="F52" s="3" t="n">
        <v>60059</v>
      </c>
      <c r="G52" s="3" t="n">
        <v>79904</v>
      </c>
      <c r="H52" s="3" t="n">
        <v>85267</v>
      </c>
      <c r="I52" s="3" t="n">
        <v>93882</v>
      </c>
      <c r="S52" s="3" t="n">
        <v>48873</v>
      </c>
      <c r="T52" s="3" t="n">
        <v>85267</v>
      </c>
      <c r="U52" s="48" t="n">
        <f aca="false">+T52*1.5</f>
        <v>127900.5</v>
      </c>
      <c r="V52" s="48" t="n">
        <f aca="false">+U52*1.4</f>
        <v>179060.7</v>
      </c>
      <c r="W52" s="48" t="n">
        <f aca="false">+V52*1.4</f>
        <v>250684.98</v>
      </c>
      <c r="X52" s="48" t="n">
        <f aca="false">+W52*1.3</f>
        <v>325890.474</v>
      </c>
      <c r="Y52" s="48" t="n">
        <f aca="false">+X52*1.2</f>
        <v>391068.5688</v>
      </c>
      <c r="Z52" s="48" t="n">
        <f aca="false">+Y52*1.1</f>
        <v>430175.42568</v>
      </c>
      <c r="AA52" s="48" t="n">
        <f aca="false">+Z52*1.1</f>
        <v>473192.968248</v>
      </c>
      <c r="AB52" s="48" t="n">
        <f aca="false">+AA52*1.1</f>
        <v>520512.2650728</v>
      </c>
      <c r="AC52" s="48" t="n">
        <f aca="false">+AB52*1.1</f>
        <v>572563.49158008</v>
      </c>
      <c r="AD52" s="48" t="n">
        <f aca="false">+AC52*1.1</f>
        <v>629819.840738088</v>
      </c>
      <c r="AE52" s="48" t="n">
        <f aca="false">+AD52*1.1</f>
        <v>692801.824811897</v>
      </c>
    </row>
    <row r="53" customFormat="false" ht="12.8" hidden="false" customHeight="false" outlineLevel="0" collapsed="false">
      <c r="T53" s="18" t="n">
        <f aca="false">+T52/S52-1</f>
        <v>0.744664743314304</v>
      </c>
      <c r="U53" s="18" t="n">
        <f aca="false">+U52/T52-1</f>
        <v>0.5</v>
      </c>
      <c r="V53" s="18" t="n">
        <f aca="false">+V52/U52-1</f>
        <v>0.4</v>
      </c>
      <c r="W53" s="18" t="n">
        <f aca="false">+W52/V52-1</f>
        <v>0.4</v>
      </c>
      <c r="X53" s="18" t="n">
        <f aca="false">+X52/W52-1</f>
        <v>0.3</v>
      </c>
      <c r="Y53" s="18" t="n">
        <f aca="false">+Y52/X52-1</f>
        <v>0.2</v>
      </c>
      <c r="Z53" s="18" t="n">
        <f aca="false">+Z52/Y52-1</f>
        <v>0.1</v>
      </c>
      <c r="AA53" s="18" t="n">
        <f aca="false">+AA52/Z52-1</f>
        <v>0.1</v>
      </c>
      <c r="AB53" s="18" t="n">
        <f aca="false">+AB52/AA52-1</f>
        <v>0.1</v>
      </c>
      <c r="AC53" s="18" t="n">
        <f aca="false">+AC52/AB52-1</f>
        <v>0.1</v>
      </c>
      <c r="AD53" s="18" t="n">
        <f aca="false">+AD52/AC52-1</f>
        <v>0.1</v>
      </c>
      <c r="AE53" s="18" t="n">
        <f aca="false">+AE52/AD52-1</f>
        <v>0.1</v>
      </c>
    </row>
    <row r="54" customFormat="false" ht="12.8" hidden="false" customHeight="false" outlineLevel="0" collapsed="false">
      <c r="A54" s="1" t="s">
        <v>72</v>
      </c>
      <c r="D54" s="3" t="n">
        <v>15017</v>
      </c>
      <c r="F54" s="3" t="n">
        <v>16593</v>
      </c>
      <c r="G54" s="3" t="n">
        <v>17946</v>
      </c>
      <c r="H54" s="3" t="n">
        <v>19996</v>
      </c>
      <c r="I54" s="3" t="n">
        <v>30982</v>
      </c>
      <c r="S54" s="3" t="n">
        <v>15017</v>
      </c>
      <c r="T54" s="3" t="n">
        <v>19996</v>
      </c>
    </row>
    <row r="55" customFormat="false" ht="12.8" hidden="false" customHeight="false" outlineLevel="0" collapsed="false">
      <c r="A55" s="1" t="s">
        <v>73</v>
      </c>
      <c r="D55" s="3" t="n">
        <v>2511</v>
      </c>
      <c r="F55" s="3" t="n">
        <v>13227</v>
      </c>
      <c r="G55" s="3" t="n">
        <v>16044</v>
      </c>
      <c r="H55" s="3" t="n">
        <v>19083</v>
      </c>
      <c r="I55" s="3" t="n">
        <v>12663</v>
      </c>
      <c r="S55" s="3" t="n">
        <v>2511</v>
      </c>
      <c r="T55" s="3" t="n">
        <v>19083</v>
      </c>
    </row>
    <row r="56" customFormat="false" ht="12.8" hidden="false" customHeight="false" outlineLevel="0" collapsed="false">
      <c r="A56" s="1" t="s">
        <v>74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15116</v>
      </c>
      <c r="I56" s="3" t="n">
        <v>11787</v>
      </c>
      <c r="S56" s="3" t="n">
        <v>0</v>
      </c>
      <c r="T56" s="3" t="n">
        <v>15116</v>
      </c>
    </row>
    <row r="57" customFormat="false" ht="12.8" hidden="false" customHeight="false" outlineLevel="0" collapsed="false">
      <c r="A57" s="1" t="s">
        <v>75</v>
      </c>
      <c r="D57" s="3" t="n">
        <v>11398</v>
      </c>
      <c r="F57" s="3" t="n">
        <v>24541</v>
      </c>
      <c r="G57" s="3" t="n">
        <v>24541</v>
      </c>
      <c r="H57" s="3" t="n">
        <v>101396</v>
      </c>
      <c r="I57" s="3" t="n">
        <v>101396</v>
      </c>
      <c r="S57" s="3" t="n">
        <v>11398</v>
      </c>
      <c r="T57" s="3" t="n">
        <v>101396</v>
      </c>
    </row>
    <row r="58" customFormat="false" ht="12.8" hidden="false" customHeight="false" outlineLevel="0" collapsed="false">
      <c r="A58" s="1" t="s">
        <v>76</v>
      </c>
      <c r="D58" s="3" t="n">
        <v>28806</v>
      </c>
      <c r="F58" s="3" t="n">
        <v>64261</v>
      </c>
      <c r="G58" s="3" t="n">
        <v>60728</v>
      </c>
      <c r="H58" s="3" t="n">
        <v>57411</v>
      </c>
      <c r="I58" s="3" t="n">
        <v>54458</v>
      </c>
      <c r="S58" s="3" t="n">
        <v>28806</v>
      </c>
      <c r="T58" s="3" t="n">
        <v>57411</v>
      </c>
    </row>
    <row r="59" customFormat="false" ht="12.8" hidden="false" customHeight="false" outlineLevel="0" collapsed="false">
      <c r="A59" s="1" t="s">
        <v>77</v>
      </c>
      <c r="D59" s="3" t="n">
        <v>93760</v>
      </c>
      <c r="F59" s="3" t="n">
        <v>97988</v>
      </c>
      <c r="G59" s="3" t="n">
        <v>100406</v>
      </c>
      <c r="H59" s="3" t="n">
        <v>120706</v>
      </c>
      <c r="I59" s="3" t="n">
        <v>133309</v>
      </c>
      <c r="S59" s="3" t="n">
        <v>93760</v>
      </c>
      <c r="T59" s="3" t="n">
        <v>120706</v>
      </c>
    </row>
    <row r="60" customFormat="false" ht="12.8" hidden="false" customHeight="false" outlineLevel="0" collapsed="false">
      <c r="A60" s="1" t="s">
        <v>78</v>
      </c>
      <c r="B60" s="3" t="n">
        <f aca="false">+SUM(B47:B59)-B50-B53</f>
        <v>0</v>
      </c>
      <c r="C60" s="3" t="n">
        <f aca="false">+SUM(C47:C59)-C50-C53</f>
        <v>0</v>
      </c>
      <c r="D60" s="3" t="n">
        <f aca="false">+SUM(D47:D59)-D50-D53</f>
        <v>1793148</v>
      </c>
      <c r="E60" s="3" t="n">
        <f aca="false">+SUM(E47:E59)-E50-E53</f>
        <v>0</v>
      </c>
      <c r="F60" s="3" t="n">
        <f aca="false">+SUM(F47:F59)-F50-F53</f>
        <v>2034663</v>
      </c>
      <c r="G60" s="3" t="n">
        <f aca="false">+SUM(G47:G59)-G50-G53</f>
        <v>2073225</v>
      </c>
      <c r="H60" s="3" t="n">
        <f aca="false">+SUM(H47:H59)-H50-H53</f>
        <v>2348207</v>
      </c>
      <c r="I60" s="3" t="n">
        <f aca="false">+SUM(I47:I59)-I50-I53</f>
        <v>2290788</v>
      </c>
      <c r="J60" s="3" t="n">
        <f aca="false">+SUM(J47:J59)-J50-J53</f>
        <v>0</v>
      </c>
      <c r="K60" s="3" t="n">
        <f aca="false">+SUM(K47:K59)-K50-K53</f>
        <v>0</v>
      </c>
      <c r="L60" s="3" t="n">
        <f aca="false">+SUM(L47:L59)-L50-L53</f>
        <v>0</v>
      </c>
      <c r="R60" s="3" t="n">
        <f aca="false">+SUM(R47:R59)-R50-R53</f>
        <v>0</v>
      </c>
      <c r="S60" s="3" t="n">
        <f aca="false">+SUM(S47:S59)-S50-S53</f>
        <v>1793148</v>
      </c>
      <c r="T60" s="3" t="n">
        <f aca="false">+SUM(T47:T59)-T50-T53</f>
        <v>2348207</v>
      </c>
    </row>
    <row r="61" customFormat="false" ht="12.8" hidden="false" customHeight="false" outlineLevel="0" collapsed="false">
      <c r="T61" s="18"/>
    </row>
    <row r="62" customFormat="false" ht="12.8" hidden="false" customHeight="false" outlineLevel="0" collapsed="false">
      <c r="A62" s="1" t="s">
        <v>79</v>
      </c>
      <c r="D62" s="3" t="n">
        <v>4163</v>
      </c>
      <c r="F62" s="3" t="n">
        <v>12029</v>
      </c>
      <c r="G62" s="3" t="n">
        <v>13364</v>
      </c>
      <c r="H62" s="3" t="n">
        <v>4502</v>
      </c>
      <c r="I62" s="3" t="n">
        <v>8928</v>
      </c>
      <c r="S62" s="3" t="n">
        <v>4163</v>
      </c>
      <c r="T62" s="3" t="n">
        <v>4502</v>
      </c>
      <c r="U62" s="3" t="n">
        <f aca="false">+(U112/365)*U5</f>
        <v>6195.88464657534</v>
      </c>
      <c r="V62" s="3" t="n">
        <f aca="false">+(V112/365)*V5</f>
        <v>8419.11384328767</v>
      </c>
      <c r="W62" s="3" t="n">
        <f aca="false">+(W112/365)*W5</f>
        <v>12245.9837720548</v>
      </c>
      <c r="X62" s="3" t="n">
        <f aca="false">+(X112/365)*X5</f>
        <v>16015.4506518904</v>
      </c>
      <c r="Y62" s="3" t="n">
        <f aca="false">+(Y112/365)*Y5</f>
        <v>18598.5878538082</v>
      </c>
      <c r="Z62" s="3" t="n">
        <f aca="false">+(Z112/365)*Z5</f>
        <v>23731.7981014593</v>
      </c>
      <c r="AA62" s="3" t="n">
        <f aca="false">+(AA112/365)*AA5</f>
        <v>27496.1522830701</v>
      </c>
      <c r="AB62" s="3" t="n">
        <f aca="false">+(AB112/365)*AB5</f>
        <v>31551.8347448229</v>
      </c>
      <c r="AC62" s="3" t="n">
        <f aca="false">+(AC112/365)*AC5</f>
        <v>35852.2329618951</v>
      </c>
      <c r="AD62" s="3" t="n">
        <f aca="false">+(AD112/365)*AD5</f>
        <v>40333.762082132</v>
      </c>
      <c r="AE62" s="3" t="n">
        <f aca="false">+(AE112/365)*AE5</f>
        <v>44915.6774546621</v>
      </c>
    </row>
    <row r="63" customFormat="false" ht="12.8" hidden="false" customHeight="false" outlineLevel="0" collapsed="false">
      <c r="A63" s="1" t="s">
        <v>80</v>
      </c>
      <c r="D63" s="3" t="n">
        <v>31119</v>
      </c>
      <c r="F63" s="3" t="n">
        <v>52761</v>
      </c>
      <c r="G63" s="3" t="n">
        <v>51840</v>
      </c>
      <c r="H63" s="3" t="n">
        <v>66535</v>
      </c>
      <c r="I63" s="3" t="n">
        <v>82157</v>
      </c>
      <c r="S63" s="3" t="n">
        <v>31119</v>
      </c>
      <c r="T63" s="3" t="n">
        <v>66535</v>
      </c>
      <c r="U63" s="48" t="n">
        <f aca="false">+T63*2</f>
        <v>133070</v>
      </c>
      <c r="V63" s="48" t="n">
        <f aca="false">+U63*2</f>
        <v>266140</v>
      </c>
      <c r="W63" s="48" t="n">
        <f aca="false">+V63*1.5</f>
        <v>399210</v>
      </c>
      <c r="X63" s="48" t="n">
        <f aca="false">+W63*1.4</f>
        <v>558894</v>
      </c>
      <c r="Y63" s="48" t="n">
        <f aca="false">+X63*1.4</f>
        <v>782451.6</v>
      </c>
      <c r="Z63" s="48" t="n">
        <f aca="false">+Y63*1.3</f>
        <v>1017187.08</v>
      </c>
      <c r="AA63" s="48" t="n">
        <f aca="false">+Z63*1.2</f>
        <v>1220624.496</v>
      </c>
      <c r="AB63" s="48" t="n">
        <f aca="false">+AA63*1.1</f>
        <v>1342686.9456</v>
      </c>
      <c r="AC63" s="48" t="n">
        <f aca="false">+AB63*1.1</f>
        <v>1476955.64016</v>
      </c>
      <c r="AD63" s="48" t="n">
        <f aca="false">+AC63*1.1</f>
        <v>1624651.204176</v>
      </c>
      <c r="AE63" s="48" t="n">
        <f aca="false">+AD63*1.1</f>
        <v>1787116.3245936</v>
      </c>
    </row>
    <row r="64" customFormat="false" ht="12.8" hidden="false" customHeight="false" outlineLevel="0" collapsed="false">
      <c r="T64" s="18" t="n">
        <f aca="false">+T63/S63-1</f>
        <v>1.13808284327903</v>
      </c>
      <c r="U64" s="18" t="n">
        <f aca="false">+U63/T63-1</f>
        <v>1</v>
      </c>
      <c r="V64" s="18" t="n">
        <f aca="false">+V63/U63-1</f>
        <v>1</v>
      </c>
      <c r="W64" s="18" t="n">
        <f aca="false">+W63/V63-1</f>
        <v>0.5</v>
      </c>
      <c r="X64" s="18" t="n">
        <f aca="false">+X63/W63-1</f>
        <v>0.4</v>
      </c>
      <c r="Y64" s="18" t="n">
        <f aca="false">+Y63/X63-1</f>
        <v>0.4</v>
      </c>
      <c r="Z64" s="18" t="n">
        <f aca="false">+Z63/Y63-1</f>
        <v>0.3</v>
      </c>
      <c r="AA64" s="18" t="n">
        <f aca="false">+AA63/Z63-1</f>
        <v>0.2</v>
      </c>
      <c r="AB64" s="18" t="n">
        <f aca="false">+AB63/AA63-1</f>
        <v>0.1</v>
      </c>
      <c r="AC64" s="18" t="n">
        <f aca="false">+AC63/AB63-1</f>
        <v>0.1</v>
      </c>
      <c r="AD64" s="18" t="n">
        <f aca="false">+AD63/AC63-1</f>
        <v>0.1</v>
      </c>
      <c r="AE64" s="18" t="n">
        <f aca="false">+AE63/AD63-1</f>
        <v>0.1</v>
      </c>
    </row>
    <row r="65" customFormat="false" ht="12.8" hidden="false" customHeight="false" outlineLevel="0" collapsed="false">
      <c r="A65" s="1" t="s">
        <v>81</v>
      </c>
      <c r="D65" s="3" t="n">
        <v>19377</v>
      </c>
      <c r="F65" s="3" t="n">
        <v>39225</v>
      </c>
      <c r="G65" s="3" t="n">
        <v>79031</v>
      </c>
      <c r="H65" s="3" t="n">
        <v>107105</v>
      </c>
      <c r="I65" s="3" t="n">
        <v>53173</v>
      </c>
      <c r="S65" s="3" t="n">
        <v>19377</v>
      </c>
      <c r="T65" s="3" t="n">
        <v>107105</v>
      </c>
    </row>
    <row r="66" customFormat="false" ht="12.8" hidden="false" customHeight="false" outlineLevel="0" collapsed="false">
      <c r="A66" s="1" t="s">
        <v>82</v>
      </c>
      <c r="D66" s="3" t="n">
        <v>10937</v>
      </c>
      <c r="F66" s="3" t="n">
        <v>9400</v>
      </c>
      <c r="G66" s="3" t="n">
        <v>4677</v>
      </c>
      <c r="H66" s="3" t="n">
        <v>2630</v>
      </c>
      <c r="I66" s="3" t="n">
        <v>2540</v>
      </c>
      <c r="S66" s="3" t="n">
        <v>10937</v>
      </c>
      <c r="T66" s="3" t="n">
        <v>2630</v>
      </c>
    </row>
    <row r="67" customFormat="false" ht="12.8" hidden="false" customHeight="false" outlineLevel="0" collapsed="false">
      <c r="A67" s="1" t="s">
        <v>83</v>
      </c>
      <c r="D67" s="3" t="n">
        <v>381363</v>
      </c>
      <c r="F67" s="3" t="n">
        <v>433147</v>
      </c>
      <c r="G67" s="3" t="n">
        <v>473567</v>
      </c>
      <c r="H67" s="3" t="n">
        <v>595334</v>
      </c>
      <c r="I67" s="3" t="n">
        <v>627664</v>
      </c>
      <c r="S67" s="3" t="n">
        <v>381363</v>
      </c>
      <c r="T67" s="3" t="n">
        <v>595334</v>
      </c>
    </row>
    <row r="68" customFormat="false" ht="12.8" hidden="false" customHeight="false" outlineLevel="0" collapsed="false">
      <c r="A68" s="1" t="s">
        <v>84</v>
      </c>
      <c r="D68" s="3" t="n">
        <v>17833</v>
      </c>
      <c r="F68" s="3" t="n">
        <v>55298</v>
      </c>
      <c r="G68" s="3" t="n">
        <v>56559</v>
      </c>
      <c r="H68" s="3" t="n">
        <v>55845</v>
      </c>
      <c r="I68" s="3" t="n">
        <v>53624</v>
      </c>
      <c r="S68" s="3" t="n">
        <v>17833</v>
      </c>
      <c r="T68" s="3" t="n">
        <v>55845</v>
      </c>
    </row>
    <row r="69" customFormat="false" ht="12.8" hidden="false" customHeight="false" outlineLevel="0" collapsed="false">
      <c r="A69" s="1" t="s">
        <v>85</v>
      </c>
      <c r="D69" s="3" t="n">
        <v>4303</v>
      </c>
      <c r="F69" s="3" t="n">
        <v>5589</v>
      </c>
      <c r="G69" s="3" t="n">
        <v>5667</v>
      </c>
      <c r="H69" s="3" t="n">
        <v>5615</v>
      </c>
      <c r="I69" s="3" t="n">
        <v>5741</v>
      </c>
      <c r="S69" s="3" t="n">
        <v>4303</v>
      </c>
      <c r="T69" s="3" t="n">
        <v>5615</v>
      </c>
    </row>
    <row r="70" customFormat="false" ht="12.8" hidden="false" customHeight="false" outlineLevel="0" collapsed="false">
      <c r="A70" s="1" t="s">
        <v>86</v>
      </c>
      <c r="B70" s="3" t="n">
        <f aca="false">+SUM(B62:B69)-B64</f>
        <v>0</v>
      </c>
      <c r="C70" s="3" t="n">
        <f aca="false">+SUM(C62:C69)-C64</f>
        <v>0</v>
      </c>
      <c r="D70" s="3" t="n">
        <f aca="false">+SUM(D62:D69)-D64</f>
        <v>469095</v>
      </c>
      <c r="E70" s="3" t="n">
        <f aca="false">+SUM(E62:E69)-E64</f>
        <v>0</v>
      </c>
      <c r="F70" s="3" t="n">
        <f aca="false">+SUM(F62:F69)-F64</f>
        <v>607449</v>
      </c>
      <c r="G70" s="3" t="n">
        <f aca="false">+SUM(G62:G69)-G64</f>
        <v>684705</v>
      </c>
      <c r="H70" s="3" t="n">
        <f aca="false">+SUM(H62:H69)-H64</f>
        <v>837566</v>
      </c>
      <c r="I70" s="3" t="n">
        <f aca="false">+SUM(I62:I69)-I64</f>
        <v>833827</v>
      </c>
      <c r="J70" s="3" t="n">
        <f aca="false">+SUM(J62:J69)-J64</f>
        <v>0</v>
      </c>
      <c r="K70" s="3" t="n">
        <f aca="false">+SUM(K62:K69)-K64</f>
        <v>0</v>
      </c>
      <c r="L70" s="3" t="n">
        <f aca="false">+SUM(L62:L69)-L64</f>
        <v>0</v>
      </c>
      <c r="R70" s="3" t="n">
        <f aca="false">+SUM(R62:R69)-R64</f>
        <v>0</v>
      </c>
      <c r="S70" s="3" t="n">
        <f aca="false">+SUM(S62:S69)-S64</f>
        <v>469095</v>
      </c>
      <c r="T70" s="3" t="n">
        <f aca="false">+SUM(T62:T69)-T64</f>
        <v>837566</v>
      </c>
    </row>
    <row r="71" customFormat="false" ht="12.8" hidden="false" customHeight="false" outlineLevel="0" collapsed="false">
      <c r="A71" s="1" t="s">
        <v>87</v>
      </c>
      <c r="D71" s="3" t="n">
        <v>329441</v>
      </c>
      <c r="E71" s="3" t="n">
        <v>0</v>
      </c>
      <c r="F71" s="3" t="n">
        <v>329441</v>
      </c>
      <c r="G71" s="3" t="n">
        <v>0</v>
      </c>
      <c r="H71" s="3" t="n">
        <v>0</v>
      </c>
      <c r="I71" s="3" t="n">
        <v>0</v>
      </c>
      <c r="S71" s="3" t="n">
        <v>329441</v>
      </c>
      <c r="T71" s="3" t="n">
        <v>0</v>
      </c>
    </row>
    <row r="72" customFormat="false" ht="12.8" hidden="false" customHeight="false" outlineLevel="0" collapsed="false">
      <c r="A72" s="1" t="s">
        <v>88</v>
      </c>
      <c r="D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S72" s="3" t="n">
        <v>0</v>
      </c>
      <c r="T72" s="3" t="n">
        <v>0</v>
      </c>
    </row>
    <row r="73" customFormat="false" ht="12.8" hidden="false" customHeight="false" outlineLevel="0" collapsed="false">
      <c r="A73" s="1" t="s">
        <v>89</v>
      </c>
      <c r="D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S73" s="3" t="n">
        <v>0</v>
      </c>
      <c r="T73" s="3" t="n">
        <v>0</v>
      </c>
    </row>
    <row r="74" customFormat="false" ht="12.8" hidden="false" customHeight="false" outlineLevel="0" collapsed="false">
      <c r="A74" s="1" t="s">
        <v>90</v>
      </c>
      <c r="D74" s="3" t="n">
        <v>1</v>
      </c>
      <c r="F74" s="3" t="n">
        <v>1</v>
      </c>
      <c r="G74" s="3" t="n">
        <v>4</v>
      </c>
      <c r="H74" s="3" t="n">
        <v>4</v>
      </c>
      <c r="I74" s="3" t="n">
        <v>4</v>
      </c>
      <c r="S74" s="3" t="n">
        <v>1</v>
      </c>
      <c r="T74" s="3" t="n">
        <v>4</v>
      </c>
    </row>
    <row r="75" customFormat="false" ht="12.8" hidden="false" customHeight="false" outlineLevel="0" collapsed="false">
      <c r="A75" s="1" t="s">
        <v>91</v>
      </c>
      <c r="D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S75" s="3" t="n">
        <v>0</v>
      </c>
      <c r="T75" s="3" t="n">
        <v>0</v>
      </c>
    </row>
    <row r="76" customFormat="false" ht="12.8" hidden="false" customHeight="false" outlineLevel="0" collapsed="false">
      <c r="A76" s="1" t="s">
        <v>92</v>
      </c>
      <c r="D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S76" s="3" t="n">
        <v>0</v>
      </c>
      <c r="T76" s="3" t="n">
        <v>0</v>
      </c>
    </row>
    <row r="77" customFormat="false" ht="12.8" hidden="false" customHeight="false" outlineLevel="0" collapsed="false">
      <c r="A77" s="1" t="s">
        <v>93</v>
      </c>
      <c r="D77" s="3" t="n">
        <v>1186207</v>
      </c>
      <c r="F77" s="3" t="n">
        <v>1215071</v>
      </c>
      <c r="G77" s="3" t="n">
        <v>2601900</v>
      </c>
      <c r="H77" s="3" t="n">
        <v>2950007</v>
      </c>
      <c r="I77" s="3" t="n">
        <v>3042899</v>
      </c>
      <c r="S77" s="3" t="n">
        <v>1186207</v>
      </c>
      <c r="T77" s="3" t="n">
        <v>2950007</v>
      </c>
    </row>
    <row r="78" customFormat="false" ht="12.8" hidden="false" customHeight="false" outlineLevel="0" collapsed="false">
      <c r="A78" s="1" t="s">
        <v>94</v>
      </c>
      <c r="D78" s="3" t="n">
        <v>1314</v>
      </c>
      <c r="F78" s="3" t="n">
        <v>2502</v>
      </c>
      <c r="G78" s="3" t="n">
        <v>3432</v>
      </c>
      <c r="H78" s="3" t="n">
        <v>4003</v>
      </c>
      <c r="I78" s="3" t="n">
        <v>-168</v>
      </c>
      <c r="S78" s="3" t="n">
        <v>1314</v>
      </c>
      <c r="T78" s="3" t="n">
        <v>4003</v>
      </c>
    </row>
    <row r="79" customFormat="false" ht="12.8" hidden="false" customHeight="false" outlineLevel="0" collapsed="false">
      <c r="A79" s="1" t="s">
        <v>95</v>
      </c>
      <c r="D79" s="3" t="n">
        <v>-192910</v>
      </c>
      <c r="F79" s="3" t="n">
        <v>-119801</v>
      </c>
      <c r="G79" s="3" t="n">
        <v>-1216816</v>
      </c>
      <c r="H79" s="3" t="n">
        <v>-1443373</v>
      </c>
      <c r="I79" s="3" t="n">
        <v>-1585774</v>
      </c>
      <c r="S79" s="3" t="n">
        <v>-192910</v>
      </c>
      <c r="T79" s="3" t="n">
        <v>-1443373</v>
      </c>
    </row>
    <row r="80" customFormat="false" ht="12.8" hidden="false" customHeight="false" outlineLevel="0" collapsed="false">
      <c r="A80" s="1" t="s">
        <v>96</v>
      </c>
      <c r="D80" s="3" t="n">
        <f aca="false">+SUM(D71:D79)</f>
        <v>1324053</v>
      </c>
      <c r="E80" s="3" t="n">
        <f aca="false">+SUM(E71:E79)</f>
        <v>0</v>
      </c>
      <c r="F80" s="3" t="n">
        <f aca="false">+SUM(F71:F79)</f>
        <v>1427214</v>
      </c>
      <c r="G80" s="3" t="n">
        <f aca="false">+SUM(G71:G79)</f>
        <v>1388520</v>
      </c>
      <c r="H80" s="3" t="n">
        <f aca="false">+SUM(H71:H79)</f>
        <v>1510641</v>
      </c>
      <c r="I80" s="3" t="n">
        <f aca="false">+SUM(I71:I79)</f>
        <v>1456961</v>
      </c>
      <c r="J80" s="3" t="n">
        <f aca="false">+SUM(J71:J79)</f>
        <v>0</v>
      </c>
      <c r="K80" s="3" t="n">
        <f aca="false">+SUM(K71:K79)</f>
        <v>0</v>
      </c>
      <c r="L80" s="3" t="n">
        <f aca="false">+SUM(L71:L79)</f>
        <v>0</v>
      </c>
      <c r="R80" s="3" t="n">
        <f aca="false">+SUM(R71:R79)</f>
        <v>0</v>
      </c>
      <c r="S80" s="3" t="n">
        <f aca="false">+SUM(S71:S79)</f>
        <v>1324053</v>
      </c>
      <c r="T80" s="3" t="n">
        <f aca="false">+SUM(T71:T79)</f>
        <v>1510641</v>
      </c>
    </row>
    <row r="81" customFormat="false" ht="12.8" hidden="false" customHeight="false" outlineLevel="0" collapsed="false">
      <c r="A81" s="1" t="s">
        <v>97</v>
      </c>
      <c r="D81" s="3" t="n">
        <f aca="false">+D80+D70</f>
        <v>1793148</v>
      </c>
      <c r="E81" s="3" t="n">
        <f aca="false">+E80+E70</f>
        <v>0</v>
      </c>
      <c r="F81" s="3" t="n">
        <f aca="false">+F80+F70</f>
        <v>2034663</v>
      </c>
      <c r="G81" s="3" t="n">
        <f aca="false">+G80+G70</f>
        <v>2073225</v>
      </c>
      <c r="H81" s="3" t="n">
        <f aca="false">+H80+H70</f>
        <v>2348207</v>
      </c>
      <c r="I81" s="3" t="n">
        <f aca="false">+I80+I70</f>
        <v>2290788</v>
      </c>
      <c r="J81" s="3" t="n">
        <f aca="false">+J80+J70</f>
        <v>0</v>
      </c>
      <c r="K81" s="3" t="n">
        <f aca="false">+K80+K70</f>
        <v>0</v>
      </c>
      <c r="L81" s="3" t="n">
        <f aca="false">+L80+L70</f>
        <v>0</v>
      </c>
      <c r="R81" s="3" t="n">
        <f aca="false">+R80+R70</f>
        <v>0</v>
      </c>
      <c r="S81" s="3" t="n">
        <f aca="false">+S80+S70</f>
        <v>1793148</v>
      </c>
      <c r="T81" s="3" t="n">
        <f aca="false">+T80+T70</f>
        <v>2348207</v>
      </c>
    </row>
    <row r="83" customFormat="false" ht="12.8" hidden="false" customHeight="false" outlineLevel="0" collapsed="false">
      <c r="A83" s="1" t="s">
        <v>98</v>
      </c>
      <c r="U83" s="3" t="n">
        <v>74272</v>
      </c>
      <c r="V83" s="3" t="n">
        <v>134782</v>
      </c>
      <c r="W83" s="3" t="n">
        <v>126375</v>
      </c>
      <c r="X83" s="3" t="n">
        <v>115000</v>
      </c>
      <c r="Y83" s="3" t="n">
        <v>47917</v>
      </c>
    </row>
    <row r="86" customFormat="false" ht="12.8" hidden="false" customHeight="false" outlineLevel="0" collapsed="false">
      <c r="A86" s="1" t="s">
        <v>99</v>
      </c>
      <c r="B86" s="3" t="n">
        <f aca="false">+B25</f>
        <v>-827854</v>
      </c>
      <c r="C86" s="3" t="n">
        <f aca="false">+C25</f>
        <v>-15598</v>
      </c>
      <c r="D86" s="3" t="n">
        <f aca="false">+D25</f>
        <v>97807</v>
      </c>
      <c r="E86" s="3" t="n">
        <f aca="false">+E25</f>
        <v>44882</v>
      </c>
      <c r="F86" s="3" t="n">
        <f aca="false">+F25</f>
        <v>28227</v>
      </c>
      <c r="G86" s="3" t="n">
        <f aca="false">+G25</f>
        <v>-1097015</v>
      </c>
      <c r="H86" s="3" t="n">
        <f aca="false">+H25</f>
        <v>-226557</v>
      </c>
      <c r="I86" s="3" t="n">
        <f aca="false">+I25</f>
        <v>-142401</v>
      </c>
      <c r="J86" s="3" t="n">
        <f aca="false">+J25</f>
        <v>0</v>
      </c>
      <c r="K86" s="3" t="n">
        <f aca="false">+K25</f>
        <v>0</v>
      </c>
      <c r="L86" s="3" t="n">
        <f aca="false">+L25</f>
        <v>0</v>
      </c>
      <c r="R86" s="3" t="n">
        <f aca="false">+R25</f>
        <v>737841</v>
      </c>
      <c r="S86" s="3" t="n">
        <f aca="false">+S25</f>
        <v>-732120</v>
      </c>
      <c r="T86" s="3" t="n">
        <f aca="false">+T25</f>
        <v>-1250463</v>
      </c>
      <c r="U86" s="3" t="n">
        <f aca="false">+U25</f>
        <v>-1482273.0384</v>
      </c>
      <c r="V86" s="3" t="n">
        <f aca="false">+V25</f>
        <v>-1583636.48212</v>
      </c>
      <c r="W86" s="3" t="n">
        <f aca="false">+W25</f>
        <v>-1615294.960048</v>
      </c>
      <c r="X86" s="3" t="n">
        <f aca="false">+X25</f>
        <v>-1307567.603594</v>
      </c>
      <c r="Y86" s="3" t="n">
        <f aca="false">+Y25</f>
        <v>-1216392.393944</v>
      </c>
      <c r="Z86" s="3" t="n">
        <f aca="false">+Z25</f>
        <v>-1062431.54371424</v>
      </c>
      <c r="AA86" s="3" t="n">
        <f aca="false">+AA25</f>
        <v>-678757.627807615</v>
      </c>
      <c r="AB86" s="3" t="n">
        <f aca="false">+AB25</f>
        <v>107220.514797168</v>
      </c>
      <c r="AC86" s="3" t="n">
        <f aca="false">+AC25</f>
        <v>800986.126933072</v>
      </c>
      <c r="AD86" s="3" t="n">
        <f aca="false">+AD25</f>
        <v>1625253.79855856</v>
      </c>
      <c r="AE86" s="3" t="n">
        <f aca="false">+AE25</f>
        <v>2556035.50791274</v>
      </c>
    </row>
    <row r="87" customFormat="false" ht="12.8" hidden="false" customHeight="false" outlineLevel="0" collapsed="false">
      <c r="A87" s="1" t="s">
        <v>47</v>
      </c>
      <c r="B87" s="3" t="n">
        <v>-827854</v>
      </c>
      <c r="C87" s="3" t="n">
        <v>-15598</v>
      </c>
      <c r="D87" s="3" t="n">
        <v>97807</v>
      </c>
      <c r="E87" s="3" t="n">
        <v>44882</v>
      </c>
      <c r="F87" s="3" t="n">
        <v>28227</v>
      </c>
      <c r="G87" s="3" t="n">
        <v>-1097015</v>
      </c>
      <c r="H87" s="3" t="n">
        <v>-226557</v>
      </c>
      <c r="I87" s="3" t="n">
        <v>-142401</v>
      </c>
      <c r="R87" s="3" t="n">
        <v>737841</v>
      </c>
      <c r="S87" s="3" t="n">
        <v>-732120</v>
      </c>
      <c r="T87" s="3" t="n">
        <v>-1250463</v>
      </c>
    </row>
    <row r="88" customFormat="false" ht="12.8" hidden="false" customHeight="false" outlineLevel="0" collapsed="false">
      <c r="A88" s="1" t="s">
        <v>100</v>
      </c>
      <c r="B88" s="3" t="n">
        <v>2009</v>
      </c>
      <c r="C88" s="3" t="n">
        <v>1985</v>
      </c>
      <c r="D88" s="3" t="n">
        <v>1578</v>
      </c>
      <c r="E88" s="3" t="n">
        <v>1521</v>
      </c>
      <c r="F88" s="3" t="n">
        <v>3611</v>
      </c>
      <c r="G88" s="3" t="n">
        <v>4413</v>
      </c>
      <c r="H88" s="3" t="n">
        <v>6049</v>
      </c>
      <c r="I88" s="3" t="n">
        <v>6097</v>
      </c>
      <c r="R88" s="3" t="n">
        <v>8497</v>
      </c>
      <c r="S88" s="3" t="n">
        <v>7691</v>
      </c>
      <c r="T88" s="3" t="n">
        <v>15594</v>
      </c>
      <c r="U88" s="3" t="n">
        <f aca="false">+T88*1.4</f>
        <v>21831.6</v>
      </c>
      <c r="V88" s="3" t="n">
        <f aca="false">+U88*1.4</f>
        <v>30564.24</v>
      </c>
      <c r="W88" s="3" t="n">
        <f aca="false">+V88*1.4</f>
        <v>42789.936</v>
      </c>
      <c r="X88" s="3" t="n">
        <f aca="false">+W88*1.4</f>
        <v>59905.9104</v>
      </c>
      <c r="Y88" s="3" t="n">
        <f aca="false">+X88*1.4</f>
        <v>83868.27456</v>
      </c>
      <c r="Z88" s="3" t="n">
        <f aca="false">+Y88*1.4</f>
        <v>117415.584384</v>
      </c>
      <c r="AA88" s="3" t="n">
        <f aca="false">+Z88*1.4</f>
        <v>164381.8181376</v>
      </c>
      <c r="AB88" s="3" t="n">
        <f aca="false">+AA88*1.4</f>
        <v>230134.54539264</v>
      </c>
      <c r="AC88" s="3" t="n">
        <f aca="false">+AB88*1.4</f>
        <v>322188.363549696</v>
      </c>
      <c r="AD88" s="3" t="n">
        <f aca="false">+AC88*1.4</f>
        <v>451063.708969574</v>
      </c>
      <c r="AE88" s="3" t="n">
        <f aca="false">+AD88*1.4</f>
        <v>631489.192557404</v>
      </c>
    </row>
    <row r="89" customFormat="false" ht="12.8" hidden="false" customHeight="false" outlineLevel="0" collapsed="false">
      <c r="A89" s="1" t="s">
        <v>101</v>
      </c>
      <c r="B89" s="3" t="n">
        <v>3714</v>
      </c>
      <c r="C89" s="3" t="n">
        <v>3561</v>
      </c>
      <c r="D89" s="3" t="n">
        <v>3620</v>
      </c>
      <c r="E89" s="3" t="n">
        <v>4105</v>
      </c>
      <c r="F89" s="3" t="n">
        <v>4594</v>
      </c>
      <c r="G89" s="3" t="n">
        <v>4495</v>
      </c>
      <c r="H89" s="3" t="n">
        <v>4790</v>
      </c>
      <c r="I89" s="3" t="n">
        <v>4587</v>
      </c>
      <c r="R89" s="3" t="n">
        <v>12432</v>
      </c>
      <c r="S89" s="3" t="n">
        <v>14130</v>
      </c>
      <c r="T89" s="3" t="n">
        <v>17984</v>
      </c>
    </row>
    <row r="90" customFormat="false" ht="12.8" hidden="false" customHeight="false" outlineLevel="0" collapsed="false">
      <c r="A90" s="1" t="s">
        <v>102</v>
      </c>
      <c r="B90" s="3" t="n">
        <v>858390</v>
      </c>
      <c r="C90" s="3" t="n">
        <v>88403</v>
      </c>
      <c r="D90" s="3" t="n">
        <v>153</v>
      </c>
      <c r="E90" s="3" t="n">
        <v>197</v>
      </c>
      <c r="F90" s="3" t="n">
        <v>7310</v>
      </c>
      <c r="G90" s="3" t="n">
        <v>1138332</v>
      </c>
      <c r="H90" s="3" t="n">
        <v>218294</v>
      </c>
      <c r="I90" s="3" t="n">
        <v>168998</v>
      </c>
      <c r="R90" s="3" t="n">
        <v>2703</v>
      </c>
      <c r="S90" s="3" t="n">
        <v>947553</v>
      </c>
      <c r="T90" s="3" t="n">
        <v>1364133</v>
      </c>
    </row>
    <row r="91" customFormat="false" ht="12.8" hidden="false" customHeight="false" outlineLevel="0" collapsed="false">
      <c r="A91" s="1" t="s">
        <v>103</v>
      </c>
      <c r="B91" s="3" t="n">
        <v>3377</v>
      </c>
      <c r="C91" s="3" t="n">
        <v>4005</v>
      </c>
      <c r="D91" s="3" t="n">
        <v>4517</v>
      </c>
      <c r="E91" s="3" t="n">
        <v>4706</v>
      </c>
      <c r="F91" s="3" t="n">
        <v>4992</v>
      </c>
      <c r="G91" s="3" t="n">
        <v>5322</v>
      </c>
      <c r="H91" s="3" t="n">
        <v>5866</v>
      </c>
      <c r="I91" s="3" t="n">
        <v>6511</v>
      </c>
      <c r="R91" s="3" t="n">
        <v>8666</v>
      </c>
      <c r="S91" s="3" t="n">
        <v>14820</v>
      </c>
      <c r="T91" s="3" t="n">
        <v>20886</v>
      </c>
    </row>
    <row r="92" customFormat="false" ht="12.8" hidden="false" customHeight="false" outlineLevel="0" collapsed="false">
      <c r="A92" s="1" t="s">
        <v>104</v>
      </c>
      <c r="B92" s="3" t="n">
        <v>-4323</v>
      </c>
      <c r="C92" s="3" t="n">
        <v>-5258</v>
      </c>
      <c r="D92" s="3" t="n">
        <v>-5774</v>
      </c>
      <c r="E92" s="3" t="n">
        <v>-4846</v>
      </c>
      <c r="F92" s="3" t="n">
        <v>-4135</v>
      </c>
      <c r="G92" s="3" t="n">
        <v>-3500</v>
      </c>
      <c r="H92" s="3" t="n">
        <v>-3454</v>
      </c>
      <c r="I92" s="3" t="n">
        <v>-2474</v>
      </c>
      <c r="R92" s="3" t="n">
        <v>-3957</v>
      </c>
      <c r="S92" s="3" t="n">
        <v>-17059</v>
      </c>
      <c r="T92" s="3" t="n">
        <v>-15935</v>
      </c>
    </row>
    <row r="93" customFormat="false" ht="12.8" hidden="false" customHeight="false" outlineLevel="0" collapsed="false">
      <c r="A93" s="1" t="s">
        <v>105</v>
      </c>
      <c r="B93" s="3" t="n">
        <v>4015</v>
      </c>
      <c r="C93" s="3" t="n">
        <v>-2776</v>
      </c>
      <c r="D93" s="3" t="n">
        <v>-25104</v>
      </c>
      <c r="E93" s="3" t="n">
        <v>8266</v>
      </c>
      <c r="F93" s="3" t="n">
        <v>-22121</v>
      </c>
      <c r="G93" s="3" t="n">
        <v>-7714</v>
      </c>
      <c r="H93" s="3" t="n">
        <v>22366</v>
      </c>
      <c r="I93" s="3" t="n">
        <v>15611</v>
      </c>
      <c r="R93" s="3" t="n">
        <v>0</v>
      </c>
      <c r="S93" s="3" t="n">
        <v>-24177</v>
      </c>
      <c r="T93" s="3" t="n">
        <v>797</v>
      </c>
    </row>
    <row r="94" customFormat="false" ht="12.8" hidden="false" customHeight="false" outlineLevel="0" collapsed="false">
      <c r="A94" s="1" t="s">
        <v>106</v>
      </c>
      <c r="B94" s="3" t="n">
        <v>0</v>
      </c>
      <c r="C94" s="3" t="n">
        <v>0</v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3329</v>
      </c>
      <c r="R94" s="3" t="n">
        <v>0</v>
      </c>
      <c r="S94" s="3" t="n">
        <v>0</v>
      </c>
      <c r="T94" s="3" t="n">
        <v>0</v>
      </c>
    </row>
    <row r="95" customFormat="false" ht="12.8" hidden="false" customHeight="false" outlineLevel="0" collapsed="false">
      <c r="A95" s="1" t="s">
        <v>107</v>
      </c>
      <c r="B95" s="3" t="n">
        <v>-457</v>
      </c>
      <c r="C95" s="3" t="n">
        <v>-388</v>
      </c>
      <c r="D95" s="3" t="n">
        <v>-745</v>
      </c>
      <c r="E95" s="3" t="n">
        <v>-186</v>
      </c>
      <c r="F95" s="3" t="n">
        <v>1529</v>
      </c>
      <c r="G95" s="3" t="n">
        <v>-1911</v>
      </c>
      <c r="H95" s="3" t="n">
        <v>51</v>
      </c>
      <c r="I95" s="3" t="n">
        <v>2482</v>
      </c>
      <c r="R95" s="3" t="n">
        <v>148</v>
      </c>
      <c r="S95" s="3" t="n">
        <v>-2590</v>
      </c>
      <c r="T95" s="3" t="n">
        <v>-517</v>
      </c>
    </row>
    <row r="96" customFormat="false" ht="12.8" hidden="false" customHeight="false" outlineLevel="0" collapsed="false">
      <c r="A96" s="1" t="s">
        <v>70</v>
      </c>
      <c r="B96" s="3" t="n">
        <v>-23265</v>
      </c>
      <c r="C96" s="3" t="n">
        <v>1457</v>
      </c>
      <c r="D96" s="3" t="n">
        <v>-35318</v>
      </c>
      <c r="E96" s="3" t="n">
        <v>17991</v>
      </c>
      <c r="F96" s="3" t="n">
        <v>-12207</v>
      </c>
      <c r="G96" s="3" t="n">
        <v>-31314</v>
      </c>
      <c r="H96" s="3" t="n">
        <v>-92191</v>
      </c>
      <c r="I96" s="3" t="n">
        <v>59512</v>
      </c>
      <c r="R96" s="3" t="n">
        <v>-39578</v>
      </c>
      <c r="S96" s="3" t="n">
        <v>-42668</v>
      </c>
      <c r="T96" s="3" t="n">
        <v>-117721</v>
      </c>
    </row>
    <row r="97" customFormat="false" ht="12.8" hidden="false" customHeight="false" outlineLevel="0" collapsed="false">
      <c r="A97" s="1" t="s">
        <v>71</v>
      </c>
      <c r="B97" s="3" t="n">
        <v>2636</v>
      </c>
      <c r="C97" s="3" t="n">
        <v>7464</v>
      </c>
      <c r="D97" s="3" t="n">
        <v>-7075</v>
      </c>
      <c r="E97" s="3" t="n">
        <v>-9164</v>
      </c>
      <c r="F97" s="3" t="n">
        <v>6293</v>
      </c>
      <c r="G97" s="3" t="n">
        <v>-26906</v>
      </c>
      <c r="H97" s="3" t="n">
        <v>-6090</v>
      </c>
      <c r="I97" s="3" t="n">
        <v>-8806</v>
      </c>
      <c r="R97" s="3" t="n">
        <v>450</v>
      </c>
      <c r="S97" s="3" t="n">
        <v>-20567</v>
      </c>
      <c r="T97" s="3" t="n">
        <v>-35867</v>
      </c>
    </row>
    <row r="98" customFormat="false" ht="12.8" hidden="false" customHeight="false" outlineLevel="0" collapsed="false">
      <c r="A98" s="1" t="s">
        <v>77</v>
      </c>
      <c r="B98" s="3" t="n">
        <v>-44566</v>
      </c>
      <c r="C98" s="3" t="n">
        <v>-19779</v>
      </c>
      <c r="D98" s="3" t="n">
        <v>-16769</v>
      </c>
      <c r="E98" s="3" t="n">
        <v>-2434</v>
      </c>
      <c r="F98" s="3" t="n">
        <v>-7837</v>
      </c>
      <c r="G98" s="3" t="n">
        <v>-5323</v>
      </c>
      <c r="H98" s="3" t="n">
        <v>-20618</v>
      </c>
      <c r="I98" s="3" t="n">
        <v>-18189</v>
      </c>
      <c r="R98" s="3" t="n">
        <v>-14036</v>
      </c>
      <c r="S98" s="3" t="n">
        <v>-86632</v>
      </c>
      <c r="T98" s="3" t="n">
        <v>-36212</v>
      </c>
    </row>
    <row r="99" customFormat="false" ht="12.8" hidden="false" customHeight="false" outlineLevel="0" collapsed="false">
      <c r="A99" s="1" t="s">
        <v>79</v>
      </c>
      <c r="B99" s="3" t="n">
        <v>1493</v>
      </c>
      <c r="C99" s="3" t="n">
        <v>1144</v>
      </c>
      <c r="D99" s="3" t="n">
        <v>91</v>
      </c>
      <c r="E99" s="3" t="n">
        <v>-883</v>
      </c>
      <c r="F99" s="3" t="n">
        <v>8594</v>
      </c>
      <c r="G99" s="3" t="n">
        <v>-1626</v>
      </c>
      <c r="H99" s="3" t="n">
        <v>-5931</v>
      </c>
      <c r="I99" s="3" t="n">
        <v>4160</v>
      </c>
      <c r="R99" s="3" t="n">
        <v>-2673</v>
      </c>
      <c r="S99" s="3" t="n">
        <v>525</v>
      </c>
      <c r="T99" s="3" t="n">
        <v>154</v>
      </c>
    </row>
    <row r="100" customFormat="false" ht="12.8" hidden="false" customHeight="false" outlineLevel="0" collapsed="false">
      <c r="A100" s="1" t="s">
        <v>80</v>
      </c>
      <c r="B100" s="3" t="n">
        <v>-196216</v>
      </c>
      <c r="C100" s="3" t="n">
        <v>-13363</v>
      </c>
      <c r="D100" s="3" t="n">
        <v>-149</v>
      </c>
      <c r="E100" s="3" t="n">
        <v>4386</v>
      </c>
      <c r="F100" s="3" t="n">
        <v>4266</v>
      </c>
      <c r="G100" s="3" t="n">
        <v>-4469</v>
      </c>
      <c r="H100" s="3" t="n">
        <v>-1997</v>
      </c>
      <c r="I100" s="3" t="n">
        <v>9457</v>
      </c>
      <c r="R100" s="3" t="n">
        <v>232489</v>
      </c>
      <c r="S100" s="3" t="n">
        <v>-252530</v>
      </c>
      <c r="T100" s="3" t="n">
        <v>2186</v>
      </c>
    </row>
    <row r="101" customFormat="false" ht="12.8" hidden="false" customHeight="false" outlineLevel="0" collapsed="false">
      <c r="A101" s="1" t="s">
        <v>108</v>
      </c>
      <c r="B101" s="3" t="n">
        <v>16402</v>
      </c>
      <c r="C101" s="3" t="n">
        <v>-8522</v>
      </c>
      <c r="D101" s="3" t="n">
        <v>-1010</v>
      </c>
      <c r="E101" s="3" t="n">
        <v>3289</v>
      </c>
      <c r="F101" s="3" t="n">
        <v>16559</v>
      </c>
      <c r="G101" s="3" t="n">
        <v>37881</v>
      </c>
      <c r="H101" s="3" t="n">
        <v>19278</v>
      </c>
      <c r="I101" s="3" t="n">
        <v>-44022</v>
      </c>
      <c r="R101" s="3" t="n">
        <v>695</v>
      </c>
      <c r="S101" s="3" t="n">
        <v>11447</v>
      </c>
      <c r="T101" s="3" t="n">
        <v>77007</v>
      </c>
    </row>
    <row r="102" customFormat="false" ht="12.8" hidden="false" customHeight="false" outlineLevel="0" collapsed="false">
      <c r="A102" s="1" t="s">
        <v>83</v>
      </c>
      <c r="B102" s="3" t="n">
        <v>35761</v>
      </c>
      <c r="C102" s="3" t="n">
        <v>19239</v>
      </c>
      <c r="D102" s="3" t="n">
        <v>56964</v>
      </c>
      <c r="E102" s="3" t="n">
        <v>25273</v>
      </c>
      <c r="F102" s="3" t="n">
        <v>26511</v>
      </c>
      <c r="G102" s="3" t="n">
        <v>40420</v>
      </c>
      <c r="H102" s="3" t="n">
        <v>121767</v>
      </c>
      <c r="I102" s="3" t="n">
        <v>32330</v>
      </c>
      <c r="R102" s="3" t="n">
        <v>92086</v>
      </c>
      <c r="S102" s="3" t="n">
        <v>127728</v>
      </c>
      <c r="T102" s="3" t="n">
        <v>213971</v>
      </c>
    </row>
    <row r="103" customFormat="false" ht="12.8" hidden="false" customHeight="false" outlineLevel="0" collapsed="false">
      <c r="A103" s="1" t="s">
        <v>85</v>
      </c>
      <c r="B103" s="3" t="n">
        <v>-9359</v>
      </c>
      <c r="C103" s="3" t="n">
        <v>0</v>
      </c>
      <c r="D103" s="3" t="n">
        <v>305</v>
      </c>
      <c r="E103" s="3" t="n">
        <v>74</v>
      </c>
      <c r="F103" s="3" t="n">
        <v>-3731</v>
      </c>
      <c r="G103" s="3" t="n">
        <v>78</v>
      </c>
      <c r="H103" s="3" t="n">
        <v>-1737</v>
      </c>
      <c r="I103" s="3" t="n">
        <v>126</v>
      </c>
      <c r="R103" s="3" t="n">
        <v>11571</v>
      </c>
      <c r="S103" s="3" t="n">
        <v>-7268</v>
      </c>
      <c r="T103" s="3" t="n">
        <v>-5316</v>
      </c>
    </row>
    <row r="104" customFormat="false" ht="12.8" hidden="false" customHeight="false" outlineLevel="0" collapsed="false">
      <c r="A104" s="1" t="s">
        <v>109</v>
      </c>
      <c r="B104" s="3" t="n">
        <f aca="false">+SUM(B87:B103)</f>
        <v>-178243</v>
      </c>
      <c r="C104" s="3" t="n">
        <f aca="false">+SUM(C87:C103)</f>
        <v>61574</v>
      </c>
      <c r="D104" s="3" t="n">
        <f aca="false">+SUM(D87:D103)</f>
        <v>73091</v>
      </c>
      <c r="E104" s="3" t="n">
        <f aca="false">+SUM(E87:E103)</f>
        <v>97177</v>
      </c>
      <c r="F104" s="3" t="n">
        <f aca="false">+SUM(F87:F103)</f>
        <v>62455</v>
      </c>
      <c r="G104" s="3" t="n">
        <f aca="false">+SUM(G87:G103)</f>
        <v>51163</v>
      </c>
      <c r="H104" s="3" t="n">
        <f aca="false">+SUM(H87:H103)</f>
        <v>39886</v>
      </c>
      <c r="I104" s="3" t="n">
        <f aca="false">+SUM(I87:I103)</f>
        <v>97308</v>
      </c>
      <c r="J104" s="3" t="n">
        <f aca="false">+SUM(J87:J103)</f>
        <v>0</v>
      </c>
      <c r="K104" s="3" t="n">
        <f aca="false">+SUM(K87:K103)</f>
        <v>0</v>
      </c>
      <c r="L104" s="3" t="n">
        <f aca="false">+SUM(L87:L103)</f>
        <v>0</v>
      </c>
      <c r="R104" s="3" t="n">
        <f aca="false">+SUM(R87:R103)</f>
        <v>1047334</v>
      </c>
      <c r="S104" s="3" t="n">
        <f aca="false">+SUM(S87:S103)</f>
        <v>-61717</v>
      </c>
      <c r="T104" s="3" t="n">
        <f aca="false">+SUM(T87:T103)</f>
        <v>250681</v>
      </c>
      <c r="U104" s="3" t="n">
        <f aca="false">+SUM(U87:U103)</f>
        <v>21831.6</v>
      </c>
    </row>
    <row r="106" customFormat="false" ht="12.8" hidden="false" customHeight="false" outlineLevel="0" collapsed="false">
      <c r="A106" s="1" t="s">
        <v>110</v>
      </c>
      <c r="B106" s="3" t="n">
        <v>399</v>
      </c>
      <c r="C106" s="3" t="n">
        <v>413</v>
      </c>
      <c r="D106" s="3" t="n">
        <v>662</v>
      </c>
      <c r="E106" s="3" t="n">
        <v>874</v>
      </c>
      <c r="F106" s="3" t="n">
        <v>1134</v>
      </c>
      <c r="G106" s="3" t="n">
        <v>1702</v>
      </c>
      <c r="H106" s="3" t="n">
        <v>734</v>
      </c>
      <c r="I106" s="3" t="n">
        <v>7812</v>
      </c>
      <c r="R106" s="3" t="n">
        <v>3737</v>
      </c>
      <c r="S106" s="3" t="n">
        <v>1977</v>
      </c>
      <c r="T106" s="3" t="n">
        <v>4444</v>
      </c>
      <c r="U106" s="3" t="n">
        <f aca="false">+T106*1.4</f>
        <v>6221.6</v>
      </c>
      <c r="V106" s="3" t="n">
        <f aca="false">+U106*1.4</f>
        <v>8710.24</v>
      </c>
      <c r="W106" s="3" t="n">
        <f aca="false">+V106*1.4</f>
        <v>12194.336</v>
      </c>
      <c r="X106" s="3" t="n">
        <f aca="false">+W106*1.4</f>
        <v>17072.0704</v>
      </c>
      <c r="Y106" s="3" t="n">
        <f aca="false">+X106*1.4</f>
        <v>23900.89856</v>
      </c>
      <c r="Z106" s="3" t="n">
        <f aca="false">+Y106*1.4</f>
        <v>33461.257984</v>
      </c>
      <c r="AA106" s="3" t="n">
        <f aca="false">+Z106*1.4</f>
        <v>46845.7611776</v>
      </c>
      <c r="AB106" s="3" t="n">
        <f aca="false">+AA106*1.4</f>
        <v>65584.06564864</v>
      </c>
      <c r="AC106" s="3" t="n">
        <f aca="false">+AB106*1.4</f>
        <v>91817.6919080959</v>
      </c>
      <c r="AD106" s="3" t="n">
        <f aca="false">+AC106*1.4</f>
        <v>128544.768671334</v>
      </c>
      <c r="AE106" s="3" t="n">
        <f aca="false">+AD106*1.4</f>
        <v>179962.676139868</v>
      </c>
    </row>
    <row r="107" s="18" customFormat="true" ht="10.5" hidden="false" customHeight="true" outlineLevel="0" collapsed="false">
      <c r="B107" s="19"/>
      <c r="C107" s="19"/>
      <c r="D107" s="19"/>
      <c r="F107" s="18" t="n">
        <f aca="false">+F106/B106-1</f>
        <v>1.84210526315789</v>
      </c>
      <c r="G107" s="18" t="n">
        <f aca="false">+G106/C106-1</f>
        <v>3.12106537530266</v>
      </c>
      <c r="H107" s="18" t="n">
        <f aca="false">+H106/D106-1</f>
        <v>0.108761329305136</v>
      </c>
      <c r="I107" s="18" t="n">
        <f aca="false">+I106/E106-1</f>
        <v>7.93821510297483</v>
      </c>
      <c r="S107" s="18" t="n">
        <f aca="false">+S106/R106-1</f>
        <v>-0.470966015520471</v>
      </c>
      <c r="T107" s="18" t="n">
        <f aca="false">+T106/S106-1</f>
        <v>1.24785027819929</v>
      </c>
      <c r="U107" s="18" t="n">
        <f aca="false">+U106/T106-1</f>
        <v>0.4</v>
      </c>
      <c r="V107" s="18" t="n">
        <f aca="false">+V106/U106-1</f>
        <v>0.4</v>
      </c>
      <c r="W107" s="18" t="n">
        <f aca="false">+W106/V106-1</f>
        <v>0.4</v>
      </c>
      <c r="X107" s="18" t="n">
        <f aca="false">+X106/W106-1</f>
        <v>0.4</v>
      </c>
      <c r="Y107" s="18" t="n">
        <f aca="false">+Y106/X106-1</f>
        <v>0.4</v>
      </c>
      <c r="Z107" s="18" t="n">
        <f aca="false">+Z106/Y106-1</f>
        <v>0.4</v>
      </c>
      <c r="AA107" s="18" t="n">
        <f aca="false">+AA106/Z106-1</f>
        <v>0.4</v>
      </c>
      <c r="AB107" s="18" t="n">
        <f aca="false">+AB106/AA106-1</f>
        <v>0.4</v>
      </c>
      <c r="AC107" s="18" t="n">
        <f aca="false">+AC106/AB106-1</f>
        <v>0.4</v>
      </c>
      <c r="AD107" s="18" t="n">
        <f aca="false">+AD106/AC106-1</f>
        <v>0.4</v>
      </c>
      <c r="AE107" s="18" t="n">
        <f aca="false">+AE106/AD106-1</f>
        <v>0.4</v>
      </c>
      <c r="AF107" s="0"/>
    </row>
    <row r="108" s="16" customFormat="true" ht="12.8" hidden="false" customHeight="false" outlineLevel="0" collapsed="false">
      <c r="A108" s="15" t="s">
        <v>111</v>
      </c>
      <c r="B108" s="16" t="n">
        <f aca="false">+B104-B106</f>
        <v>-178642</v>
      </c>
      <c r="C108" s="16" t="n">
        <f aca="false">+C104-C106</f>
        <v>61161</v>
      </c>
      <c r="D108" s="16" t="n">
        <f aca="false">+D104-D106</f>
        <v>72429</v>
      </c>
      <c r="E108" s="16" t="n">
        <f aca="false">+E104-E106</f>
        <v>96303</v>
      </c>
      <c r="F108" s="16" t="n">
        <f aca="false">+F104-F106</f>
        <v>61321</v>
      </c>
      <c r="G108" s="16" t="n">
        <f aca="false">+G104-G106</f>
        <v>49461</v>
      </c>
      <c r="H108" s="16" t="n">
        <f aca="false">+H104-H106</f>
        <v>39152</v>
      </c>
      <c r="I108" s="16" t="n">
        <f aca="false">+I104-I106</f>
        <v>89496</v>
      </c>
      <c r="J108" s="16" t="n">
        <f aca="false">+J104-J106</f>
        <v>0</v>
      </c>
      <c r="K108" s="16" t="n">
        <f aca="false">+K104-K106</f>
        <v>0</v>
      </c>
      <c r="L108" s="16" t="n">
        <f aca="false">+L104-L106</f>
        <v>0</v>
      </c>
      <c r="R108" s="16" t="n">
        <f aca="false">+R104-R106</f>
        <v>1043597</v>
      </c>
      <c r="S108" s="16" t="n">
        <f aca="false">+S104-S106</f>
        <v>-63694</v>
      </c>
      <c r="T108" s="16" t="n">
        <f aca="false">+T104-T106</f>
        <v>246237</v>
      </c>
      <c r="AF108" s="0"/>
    </row>
    <row r="109" s="18" customFormat="true" ht="10.5" hidden="false" customHeight="true" outlineLevel="0" collapsed="false">
      <c r="B109" s="19"/>
      <c r="C109" s="19"/>
      <c r="D109" s="19"/>
      <c r="F109" s="18" t="n">
        <f aca="false">+F108/B108-1</f>
        <v>-1.34326194288017</v>
      </c>
      <c r="G109" s="18" t="n">
        <f aca="false">+G108/C108-1</f>
        <v>-0.191298376416344</v>
      </c>
      <c r="H109" s="18" t="n">
        <f aca="false">+H108/D108-1</f>
        <v>-0.459443040770962</v>
      </c>
      <c r="I109" s="18" t="n">
        <f aca="false">+I108/E108-1</f>
        <v>-0.0706831562879661</v>
      </c>
      <c r="S109" s="20" t="s">
        <v>46</v>
      </c>
      <c r="T109" s="18" t="n">
        <f aca="false">+T108/S108-1</f>
        <v>-4.86593713693598</v>
      </c>
      <c r="AF109" s="0"/>
    </row>
    <row r="111" customFormat="false" ht="12.8" hidden="false" customHeight="false" outlineLevel="0" collapsed="false">
      <c r="A111" s="1" t="s">
        <v>112</v>
      </c>
      <c r="G111" s="3" t="n">
        <f aca="false">+AVERAGE(F51:G51)/G3*90</f>
        <v>46.0753794137278</v>
      </c>
      <c r="H111" s="3" t="n">
        <f aca="false">+AVERAGE(G51:H51)/H3*90</f>
        <v>59.8347301959338</v>
      </c>
      <c r="I111" s="3" t="n">
        <f aca="false">+AVERAGE(H51:I51)/I3*90</f>
        <v>58.8772459130456</v>
      </c>
      <c r="S111" s="3" t="n">
        <f aca="false">+AVERAGE(S51)/S3*365</f>
        <v>63.9910161533008</v>
      </c>
      <c r="T111" s="3" t="n">
        <f aca="false">+AVERAGE(S51:T51)/T3*365</f>
        <v>65.5524357162612</v>
      </c>
      <c r="U111" s="3" t="n">
        <f aca="false">+T111-1</f>
        <v>64.5524357162612</v>
      </c>
      <c r="V111" s="3" t="n">
        <v>65</v>
      </c>
      <c r="W111" s="3" t="n">
        <f aca="false">+V111-1</f>
        <v>64</v>
      </c>
      <c r="X111" s="3" t="n">
        <v>64</v>
      </c>
      <c r="Y111" s="3" t="n">
        <f aca="false">+X111-1</f>
        <v>63</v>
      </c>
      <c r="Z111" s="3" t="n">
        <v>63</v>
      </c>
      <c r="AA111" s="3" t="n">
        <f aca="false">+Z111-1</f>
        <v>62</v>
      </c>
      <c r="AB111" s="3" t="n">
        <v>62</v>
      </c>
      <c r="AC111" s="3" t="n">
        <f aca="false">+AB111-1</f>
        <v>61</v>
      </c>
      <c r="AD111" s="3" t="n">
        <v>61</v>
      </c>
      <c r="AE111" s="3" t="n">
        <v>61</v>
      </c>
    </row>
    <row r="112" customFormat="false" ht="12.8" hidden="false" customHeight="false" outlineLevel="0" collapsed="false">
      <c r="A112" s="1" t="s">
        <v>113</v>
      </c>
      <c r="G112" s="3" t="n">
        <f aca="false">+AVERAGE(F62:G62)/G5*90</f>
        <v>13.6222044728435</v>
      </c>
      <c r="H112" s="3" t="n">
        <f aca="false">+AVERAGE(G62:H62)/H5*90</f>
        <v>14.8055320246031</v>
      </c>
      <c r="I112" s="3" t="n">
        <f aca="false">+AVERAGE(H62:I62)/I5*90</f>
        <v>8.80129904173827</v>
      </c>
      <c r="S112" s="3" t="n">
        <f aca="false">+AVERAGE(S62)/S5*365</f>
        <v>17.362879082204</v>
      </c>
      <c r="T112" s="3" t="n">
        <f aca="false">+AVERAGE(S62:T62)/T5*365</f>
        <v>8.5236245937249</v>
      </c>
      <c r="U112" s="3" t="n">
        <v>9</v>
      </c>
      <c r="V112" s="3" t="n">
        <v>9</v>
      </c>
      <c r="W112" s="3" t="n">
        <v>10</v>
      </c>
      <c r="X112" s="3" t="n">
        <v>10</v>
      </c>
      <c r="Y112" s="3" t="n">
        <v>10</v>
      </c>
      <c r="Z112" s="3" t="n">
        <v>11</v>
      </c>
      <c r="AA112" s="3" t="n">
        <v>11</v>
      </c>
      <c r="AB112" s="3" t="n">
        <v>11</v>
      </c>
      <c r="AC112" s="3" t="n">
        <v>11</v>
      </c>
      <c r="AD112" s="3" t="n">
        <v>11</v>
      </c>
      <c r="AE112" s="3" t="n">
        <v>11</v>
      </c>
    </row>
    <row r="113" customFormat="false" ht="12.8" hidden="false" customHeight="false" outlineLevel="0" collapsed="false">
      <c r="A113" s="1" t="s">
        <v>114</v>
      </c>
      <c r="G113" s="3" t="n">
        <f aca="false">+G111-G112</f>
        <v>32.4531749408844</v>
      </c>
      <c r="H113" s="3" t="n">
        <f aca="false">+H111-H112</f>
        <v>45.0291981713307</v>
      </c>
      <c r="I113" s="3" t="n">
        <f aca="false">+I111-I112</f>
        <v>50.0759468713073</v>
      </c>
      <c r="S113" s="3" t="n">
        <f aca="false">+S111-S112</f>
        <v>46.6281370710968</v>
      </c>
      <c r="T113" s="3" t="n">
        <f aca="false">+T111-T112</f>
        <v>57.0288111225363</v>
      </c>
      <c r="U113" s="3" t="n">
        <f aca="false">+U111-U112</f>
        <v>55.5524357162612</v>
      </c>
      <c r="V113" s="3" t="n">
        <f aca="false">+V111-V112</f>
        <v>56</v>
      </c>
      <c r="W113" s="3" t="n">
        <f aca="false">+W111-W112</f>
        <v>54</v>
      </c>
      <c r="X113" s="3" t="n">
        <f aca="false">+X111-X112</f>
        <v>54</v>
      </c>
      <c r="Y113" s="3" t="n">
        <f aca="false">+Y111-Y112</f>
        <v>53</v>
      </c>
      <c r="Z113" s="3" t="n">
        <f aca="false">+Z111-Z112</f>
        <v>52</v>
      </c>
      <c r="AA113" s="3" t="n">
        <f aca="false">+AA111-AA112</f>
        <v>51</v>
      </c>
      <c r="AB113" s="3" t="n">
        <f aca="false">+AB111-AB112</f>
        <v>51</v>
      </c>
      <c r="AC113" s="3" t="n">
        <f aca="false">+AC111-AC112</f>
        <v>50</v>
      </c>
      <c r="AD113" s="3" t="n">
        <f aca="false">+AD111-AD112</f>
        <v>50</v>
      </c>
      <c r="AE113" s="3" t="n">
        <f aca="false">+AE111-AE112</f>
        <v>50</v>
      </c>
    </row>
  </sheetData>
  <hyperlinks>
    <hyperlink ref="A1" r:id="rId2" location="Main" display="Main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374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2026-07-20T09:17:40Z</dcterms:created>
  <dc:creator/>
  <dc:description/>
  <dc:language>en-US</dc:language>
  <cp:lastModifiedBy/>
  <dcterms:modified xsi:type="dcterms:W3CDTF">2026-07-20T16:15:15Z</dcterms:modified>
  <cp:revision>91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