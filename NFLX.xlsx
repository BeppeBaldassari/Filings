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3"/>
    <sheet name="Model" sheetId="2" state="visible" r:id="rId4"/>
    <sheet name="Bonds" sheetId="3" state="visible" r:id="rId5"/>
  </sheets>
  <externalReferences>
    <externalReference r:id="rId6"/>
  </externalReferenc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31" authorId="0">
      <text>
        <r>
          <rPr>
            <sz val="10"/>
            <rFont val="Arial"/>
            <family val="2"/>
          </rPr>
          <t xml:space="preserve">Varies a lot on region. In UK the basic is 14£ while in Turkey is 4$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</xdr:colOff>
                <xdr:row>27</xdr:row>
                <xdr:rowOff>1</xdr:rowOff>
              </xdr:from>
              <xdr:to>
                <xdr:col>2</xdr:col>
                <xdr:colOff>-1</xdr:colOff>
                <xdr:row>30</xdr:row>
                <xdr:rowOff>1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Arg. 9€ (4€)
Br. 7€ (3$)
Chile: 10€ (3.35$)
Uru: 17$ (5$)
Para: 6$ (3$)
Vene: 6$ (3$)
Colo: 7€ (3$)
Peru: 10€ (3$)
Mex: 12€ (4$)
El Sal. : 9 (4$)
Pan: 10$ (4$)
Ecu: 9$ (4$)
Boli: 6$ (3$)
Gua: 9$ (4$)
Barb: 15$ (4$)
Cuba: 6$ (3$)
Hai: 6$ (3$)
CR: 12$ (3$)
Jam: 7$ (3$)
Hon: 10$ (4$)
Bah: 15$ (5$)
Dom: 6$ (3$)
DR: 10$ (4$)
Nica 7$ (3$)
Tri: 15$ (5$)
Gre 6$ (3$)
Anti 15$ (5$)
Kitts 15$ (5$)
Vincen: 6$ (3$)
Lucia 6$ (3$)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</xdr:colOff>
                <xdr:row>23</xdr:row>
                <xdr:rowOff>1</xdr:rowOff>
              </xdr:from>
              <xdr:to>
                <xdr:col>2</xdr:col>
                <xdr:colOff>1</xdr:colOff>
                <xdr:row>46</xdr:row>
                <xdr:rowOff>1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X18" authorId="0">
      <text>
        <r>
          <rPr>
            <sz val="10"/>
            <rFont val="Arial"/>
            <family val="2"/>
          </rPr>
          <t xml:space="preserve">$303M Brazilian Tax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24</xdr:col>
                <xdr:colOff>1</xdr:colOff>
                <xdr:row>18</xdr:row>
                <xdr:rowOff>1</xdr:rowOff>
              </xdr:from>
              <xdr:to>
                <xdr:col>28</xdr:col>
                <xdr:colOff>1</xdr:colOff>
                <xdr:row>19</xdr:row>
                <xdr:rowOff>1</xdr:rowOff>
              </xdr:to>
            </anchor>
          </commentPr>
        </mc:Choice>
        <mc:Fallback/>
      </mc:AlternateContent>
    </comment>
    <comment ref="Y44" authorId="0">
      <text>
        <r>
          <rPr>
            <sz val="10"/>
            <rFont val="Arial"/>
            <family val="2"/>
          </rPr>
          <t xml:space="preserve">10-for-1 stock split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25</xdr:col>
                <xdr:colOff>1</xdr:colOff>
                <xdr:row>39</xdr:row>
                <xdr:rowOff>1</xdr:rowOff>
              </xdr:from>
              <xdr:to>
                <xdr:col>26</xdr:col>
                <xdr:colOff>1</xdr:colOff>
                <xdr:row>43</xdr:row>
                <xdr:rowOff>1</xdr:rowOff>
              </xdr:to>
            </anchor>
          </commentPr>
        </mc:Choice>
        <mc:Fallback/>
      </mc:AlternateContent>
    </comment>
    <comment ref="Y108" authorId="0">
      <text>
        <r>
          <rPr>
            <sz val="10"/>
            <rFont val="Arial"/>
            <family val="2"/>
          </rPr>
          <t xml:space="preserve">Universal and Dreamworks deal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25</xdr:col>
                <xdr:colOff>1</xdr:colOff>
                <xdr:row>108</xdr:row>
                <xdr:rowOff>1</xdr:rowOff>
              </xdr:from>
              <xdr:to>
                <xdr:col>29</xdr:col>
                <xdr:colOff>1</xdr:colOff>
                <xdr:row>109</xdr:row>
                <xdr:rowOff>1</xdr:rowOff>
              </xdr:to>
            </anchor>
          </commentPr>
        </mc:Choice>
        <mc:Fallback/>
      </mc:AlternateContent>
    </comment>
    <comment ref="Z2" authorId="0">
      <text>
        <r>
          <rPr>
            <sz val="10"/>
            <rFont val="Arial"/>
            <family val="2"/>
          </rPr>
          <t xml:space="preserve">Exp. 12.18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1</xdr:colOff>
                <xdr:row>0</xdr:row>
                <xdr:rowOff>1</xdr:rowOff>
              </xdr:from>
              <xdr:to>
                <xdr:col>27</xdr:col>
                <xdr:colOff>1</xdr:colOff>
                <xdr:row>4</xdr:row>
                <xdr:rowOff>1</xdr:rowOff>
              </xdr:to>
            </anchor>
          </commentPr>
        </mc:Choice>
        <mc:Fallback/>
      </mc:AlternateContent>
    </comment>
    <comment ref="AA2" authorId="0">
      <text>
        <r>
          <rPr>
            <sz val="10"/>
            <rFont val="Arial"/>
            <family val="2"/>
          </rPr>
          <t xml:space="preserve">Exp. 12.63
Guid. 12,574 M$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27</xdr:col>
                <xdr:colOff>1</xdr:colOff>
                <xdr:row>0</xdr:row>
                <xdr:rowOff>1</xdr:rowOff>
              </xdr:from>
              <xdr:to>
                <xdr:col>28</xdr:col>
                <xdr:colOff>1</xdr:colOff>
                <xdr:row>4</xdr:row>
                <xdr:rowOff>1</xdr:rowOff>
              </xdr:to>
            </anchor>
          </commentPr>
        </mc:Choice>
        <mc:Fallback/>
      </mc:AlternateContent>
    </comment>
    <comment ref="AN108" authorId="0">
      <text>
        <r>
          <rPr>
            <sz val="10"/>
            <rFont val="Arial"/>
            <family val="2"/>
          </rPr>
          <t xml:space="preserve">Universal and Dreamworks deal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1</xdr:colOff>
                <xdr:row>108</xdr:row>
                <xdr:rowOff>1</xdr:rowOff>
              </xdr:from>
              <xdr:to>
                <xdr:col>44</xdr:col>
                <xdr:colOff>1</xdr:colOff>
                <xdr:row>109</xdr:row>
                <xdr:rowOff>1</xdr:rowOff>
              </xdr:to>
            </anchor>
          </commentPr>
        </mc:Choice>
        <mc:Fallback/>
      </mc:AlternateContent>
    </comment>
    <comment ref="AO2" authorId="0">
      <text>
        <r>
          <rPr>
            <sz val="10"/>
            <rFont val="Arial"/>
            <family val="2"/>
          </rPr>
          <t xml:space="preserve">Rev exp. 51.151 (01/03)
Guidance 51 – 51.4B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41</xdr:col>
                <xdr:colOff>1</xdr:colOff>
                <xdr:row>0</xdr:row>
                <xdr:rowOff>1</xdr:rowOff>
              </xdr:from>
              <xdr:to>
                <xdr:col>42</xdr:col>
                <xdr:colOff>1</xdr:colOff>
                <xdr:row>4</xdr:row>
                <xdr:rowOff>1</xdr:rowOff>
              </xdr:to>
            </anchor>
          </commentPr>
        </mc:Choice>
        <mc:Fallback/>
      </mc:AlternateContent>
    </comment>
    <comment ref="AO144" authorId="0">
      <text>
        <r>
          <rPr>
            <sz val="10"/>
            <rFont val="Arial"/>
            <family val="2"/>
          </rPr>
          <t xml:space="preserve">Guidance 3,000 M$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41</xdr:col>
                <xdr:colOff>1</xdr:colOff>
                <xdr:row>139</xdr:row>
                <xdr:rowOff>1</xdr:rowOff>
              </xdr:from>
              <xdr:to>
                <xdr:col>42</xdr:col>
                <xdr:colOff>1</xdr:colOff>
                <xdr:row>143</xdr:row>
                <xdr:rowOff>1</xdr:rowOff>
              </xdr:to>
            </anchor>
          </commentPr>
        </mc:Choice>
        <mc:Fallback/>
      </mc:AlternateContent>
    </comment>
    <comment ref="AP2" authorId="0">
      <text>
        <r>
          <rPr>
            <sz val="10"/>
            <rFont val="Arial"/>
            <family val="2"/>
          </rPr>
          <t xml:space="preserve">Rev exp. 57.055,56 (01/03)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42</xdr:col>
                <xdr:colOff>1</xdr:colOff>
                <xdr:row>0</xdr:row>
                <xdr:rowOff>1</xdr:rowOff>
              </xdr:from>
              <xdr:to>
                <xdr:col>43</xdr:col>
                <xdr:colOff>1</xdr:colOff>
                <xdr:row>4</xdr:row>
                <xdr:rowOff>1</xdr:rowOff>
              </xdr:to>
            </anchor>
          </commentPr>
        </mc:Choice>
        <mc:Fallback/>
      </mc:AlternateContent>
    </comment>
    <comment ref="AQ2" authorId="0">
      <text>
        <r>
          <rPr>
            <sz val="10"/>
            <rFont val="Arial"/>
            <family val="2"/>
          </rPr>
          <t xml:space="preserve">Rev exp. 62.818 (01/03)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43</xdr:col>
                <xdr:colOff>1</xdr:colOff>
                <xdr:row>0</xdr:row>
                <xdr:rowOff>1</xdr:rowOff>
              </xdr:from>
              <xdr:to>
                <xdr:col>44</xdr:col>
                <xdr:colOff>1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<sst xmlns="http://schemas.openxmlformats.org/spreadsheetml/2006/main" count="320" uniqueCount="222">
  <si>
    <t xml:space="preserve">Netflix</t>
  </si>
  <si>
    <t xml:space="preserve">price</t>
  </si>
  <si>
    <r>
      <rPr>
        <sz val="10"/>
        <color rgb="FF000000"/>
        <rFont val="Arial"/>
        <family val="0"/>
        <charset val="1"/>
      </rPr>
      <t xml:space="preserve">The 4</t>
    </r>
    <r>
      <rPr>
        <vertAlign val="superscript"/>
        <sz val="10"/>
        <color rgb="FF000000"/>
        <rFont val="Arial"/>
        <family val="0"/>
        <charset val="1"/>
      </rPr>
      <t xml:space="preserve">th</t>
    </r>
    <r>
      <rPr>
        <sz val="10"/>
        <color rgb="FF000000"/>
        <rFont val="Arial"/>
        <family val="0"/>
        <charset val="1"/>
      </rPr>
      <t xml:space="preserve"> quarter is the most sub grower</t>
    </r>
  </si>
  <si>
    <t xml:space="preserve">shares</t>
  </si>
  <si>
    <t xml:space="preserve">Q226</t>
  </si>
  <si>
    <t xml:space="preserve">Asian users watch ½ to 2/3 the amount of TV as US consumers</t>
  </si>
  <si>
    <t xml:space="preserve">MC</t>
  </si>
  <si>
    <t xml:space="preserve">-&gt;</t>
  </si>
  <si>
    <t xml:space="preserve">After the NFLX – WBD acquisition, the management proved to be long term viewer and willing to maximize the shareholder value</t>
  </si>
  <si>
    <t xml:space="preserve">cash</t>
  </si>
  <si>
    <t xml:space="preserve">Acquired InterPositive AI film making studio</t>
  </si>
  <si>
    <t xml:space="preserve">debt</t>
  </si>
  <si>
    <t xml:space="preserve">NFLX to increase subscription prices. </t>
  </si>
  <si>
    <t xml:space="preserve">EV</t>
  </si>
  <si>
    <t xml:space="preserve">8.99$ (from 7.99$) for AD supported tier, 19.99$ (from 17.99), adding a user in ad free account is not 6.99$ (from 7.99)</t>
  </si>
  <si>
    <t xml:space="preserve">and adding from an ad free account is 9.99$ (from 8.99). Ad free passes at 26.99$ (from 24.99)</t>
  </si>
  <si>
    <t xml:space="preserve">275 M&amp;A cost (not just for WBD)</t>
  </si>
  <si>
    <t xml:space="preserve">BETA</t>
  </si>
  <si>
    <t xml:space="preserve">WACC</t>
  </si>
  <si>
    <t xml:space="preserve">CAPM</t>
  </si>
  <si>
    <t xml:space="preserve">Cost of Debt</t>
  </si>
  <si>
    <t xml:space="preserve">EV/Subs</t>
  </si>
  <si>
    <t xml:space="preserve">P/E</t>
  </si>
  <si>
    <t xml:space="preserve">P/FCF</t>
  </si>
  <si>
    <t xml:space="preserve">P/B</t>
  </si>
  <si>
    <t xml:space="preserve">EV/EBITDA</t>
  </si>
  <si>
    <t xml:space="preserve">D/E</t>
  </si>
  <si>
    <t xml:space="preserve">EV/FCF</t>
  </si>
  <si>
    <t xml:space="preserve">Inc Margin</t>
  </si>
  <si>
    <t xml:space="preserve">Cr. Spread</t>
  </si>
  <si>
    <t xml:space="preserve">Rating</t>
  </si>
  <si>
    <t xml:space="preserve">A-</t>
  </si>
  <si>
    <t xml:space="preserve">A3</t>
  </si>
  <si>
    <t xml:space="preserve">S&amp;P</t>
  </si>
  <si>
    <t xml:space="preserve">Moody’s</t>
  </si>
  <si>
    <t xml:space="preserve">IR</t>
  </si>
  <si>
    <t xml:space="preserve">CEO</t>
  </si>
  <si>
    <t xml:space="preserve">Ted Sarandos</t>
  </si>
  <si>
    <t xml:space="preserve">ir@netflix.com</t>
  </si>
  <si>
    <t xml:space="preserve">Founded</t>
  </si>
  <si>
    <t xml:space="preserve">Streaming</t>
  </si>
  <si>
    <t xml:space="preserve">UCAN</t>
  </si>
  <si>
    <t xml:space="preserve">Arm</t>
  </si>
  <si>
    <t xml:space="preserve">Streaming Revenues</t>
  </si>
  <si>
    <t xml:space="preserve">Memberships</t>
  </si>
  <si>
    <t xml:space="preserve">ARM</t>
  </si>
  <si>
    <t xml:space="preserve">EMEA</t>
  </si>
  <si>
    <t xml:space="preserve">LATAM</t>
  </si>
  <si>
    <t xml:space="preserve">APAC</t>
  </si>
  <si>
    <t xml:space="preserve">Main</t>
  </si>
  <si>
    <t xml:space="preserve">in Millions</t>
  </si>
  <si>
    <t xml:space="preserve">Q120</t>
  </si>
  <si>
    <t xml:space="preserve">Q220</t>
  </si>
  <si>
    <t xml:space="preserve">Q320</t>
  </si>
  <si>
    <t xml:space="preserve">Q420</t>
  </si>
  <si>
    <t xml:space="preserve">Q121</t>
  </si>
  <si>
    <t xml:space="preserve">Q221</t>
  </si>
  <si>
    <t xml:space="preserve">Q321</t>
  </si>
  <si>
    <t xml:space="preserve">Q421</t>
  </si>
  <si>
    <t xml:space="preserve">Q122</t>
  </si>
  <si>
    <t xml:space="preserve">Q222</t>
  </si>
  <si>
    <t xml:space="preserve">Q322</t>
  </si>
  <si>
    <t xml:space="preserve">Q422</t>
  </si>
  <si>
    <t xml:space="preserve">Q123</t>
  </si>
  <si>
    <t xml:space="preserve">Q223</t>
  </si>
  <si>
    <t xml:space="preserve">Q323</t>
  </si>
  <si>
    <t xml:space="preserve">Q423</t>
  </si>
  <si>
    <t xml:space="preserve">Q124</t>
  </si>
  <si>
    <t xml:space="preserve">Q224</t>
  </si>
  <si>
    <t xml:space="preserve">Q324</t>
  </si>
  <si>
    <t xml:space="preserve">Q424</t>
  </si>
  <si>
    <t xml:space="preserve">Q125</t>
  </si>
  <si>
    <t xml:space="preserve">Q225</t>
  </si>
  <si>
    <t xml:space="preserve">Q325</t>
  </si>
  <si>
    <t xml:space="preserve">Q425</t>
  </si>
  <si>
    <t xml:space="preserve">Q126</t>
  </si>
  <si>
    <t xml:space="preserve">Q326</t>
  </si>
  <si>
    <t xml:space="preserve">Q426</t>
  </si>
  <si>
    <t xml:space="preserve">Disney + Subs</t>
  </si>
  <si>
    <t xml:space="preserve">Disney+ ARPU</t>
  </si>
  <si>
    <t xml:space="preserve">Hulu Subs</t>
  </si>
  <si>
    <t xml:space="preserve">Subscriptions</t>
  </si>
  <si>
    <t xml:space="preserve">-</t>
  </si>
  <si>
    <t xml:space="preserve">N.M.</t>
  </si>
  <si>
    <t xml:space="preserve">Revenues</t>
  </si>
  <si>
    <t xml:space="preserve">COGS</t>
  </si>
  <si>
    <t xml:space="preserve">Gross Profit</t>
  </si>
  <si>
    <t xml:space="preserve">T&amp;D</t>
  </si>
  <si>
    <t xml:space="preserve">S&amp;M</t>
  </si>
  <si>
    <t xml:space="preserve">G&amp;A</t>
  </si>
  <si>
    <t xml:space="preserve">OpEx</t>
  </si>
  <si>
    <t xml:space="preserve">EBIT</t>
  </si>
  <si>
    <t xml:space="preserve">Interest Exp</t>
  </si>
  <si>
    <t xml:space="preserve">Other Income</t>
  </si>
  <si>
    <t xml:space="preserve">EBT</t>
  </si>
  <si>
    <t xml:space="preserve">Taxes</t>
  </si>
  <si>
    <t xml:space="preserve">Net Inc</t>
  </si>
  <si>
    <t xml:space="preserve">EPS</t>
  </si>
  <si>
    <t xml:space="preserve">Shares</t>
  </si>
  <si>
    <t xml:space="preserve">Gordon Growth Model</t>
  </si>
  <si>
    <t xml:space="preserve">Gross Margin</t>
  </si>
  <si>
    <t xml:space="preserve">ROIC</t>
  </si>
  <si>
    <t xml:space="preserve">Payout Ratio</t>
  </si>
  <si>
    <t xml:space="preserve">Ev</t>
  </si>
  <si>
    <t xml:space="preserve">OP Margin</t>
  </si>
  <si>
    <t xml:space="preserve">Terminal</t>
  </si>
  <si>
    <t xml:space="preserve">2026 E</t>
  </si>
  <si>
    <t xml:space="preserve">Sustained Growth</t>
  </si>
  <si>
    <t xml:space="preserve">Share</t>
  </si>
  <si>
    <t xml:space="preserve">NI Margin</t>
  </si>
  <si>
    <t xml:space="preserve">Discount </t>
  </si>
  <si>
    <t xml:space="preserve">EV/E</t>
  </si>
  <si>
    <t xml:space="preserve">Equity Value</t>
  </si>
  <si>
    <t xml:space="preserve">Price</t>
  </si>
  <si>
    <t xml:space="preserve">Rule of 40</t>
  </si>
  <si>
    <t xml:space="preserve">NPV</t>
  </si>
  <si>
    <t xml:space="preserve">Just P/E</t>
  </si>
  <si>
    <t xml:space="preserve">Tax Rate</t>
  </si>
  <si>
    <t xml:space="preserve">Diff</t>
  </si>
  <si>
    <t xml:space="preserve">yield</t>
  </si>
  <si>
    <t xml:space="preserve">Debt-to-EBITDA</t>
  </si>
  <si>
    <t xml:space="preserve">AVG bond yield</t>
  </si>
  <si>
    <t xml:space="preserve">Dividend Yield</t>
  </si>
  <si>
    <t xml:space="preserve">New Gross Margin</t>
  </si>
  <si>
    <t xml:space="preserve">EBITDA</t>
  </si>
  <si>
    <t xml:space="preserve">Incremental Margin Y/Y</t>
  </si>
  <si>
    <t xml:space="preserve">ROA</t>
  </si>
  <si>
    <t xml:space="preserve">ROE</t>
  </si>
  <si>
    <t xml:space="preserve">A. Turnover</t>
  </si>
  <si>
    <t xml:space="preserve">Financial Leverage</t>
  </si>
  <si>
    <t xml:space="preserve">Financial Leverage %</t>
  </si>
  <si>
    <t xml:space="preserve">NOPAT</t>
  </si>
  <si>
    <t xml:space="preserve">Debt (-)</t>
  </si>
  <si>
    <t xml:space="preserve">Invested Capital</t>
  </si>
  <si>
    <t xml:space="preserve">Cash (+)</t>
  </si>
  <si>
    <t xml:space="preserve">A/L</t>
  </si>
  <si>
    <t xml:space="preserve">TV</t>
  </si>
  <si>
    <t xml:space="preserve">NWC</t>
  </si>
  <si>
    <t xml:space="preserve">UFCF</t>
  </si>
  <si>
    <t xml:space="preserve">Net Cash</t>
  </si>
  <si>
    <t xml:space="preserve">Cash</t>
  </si>
  <si>
    <t xml:space="preserve">Short Investments</t>
  </si>
  <si>
    <t xml:space="preserve">Content Asset</t>
  </si>
  <si>
    <t xml:space="preserve">PP&amp;E</t>
  </si>
  <si>
    <t xml:space="preserve">Other, Curr</t>
  </si>
  <si>
    <t xml:space="preserve">Other, Non Curr</t>
  </si>
  <si>
    <t xml:space="preserve">A</t>
  </si>
  <si>
    <t xml:space="preserve">Current content Liabilities</t>
  </si>
  <si>
    <t xml:space="preserve">A/P</t>
  </si>
  <si>
    <t xml:space="preserve">Accrued Exp</t>
  </si>
  <si>
    <t xml:space="preserve">D/R</t>
  </si>
  <si>
    <t xml:space="preserve">Short debt</t>
  </si>
  <si>
    <t xml:space="preserve">Long Debt</t>
  </si>
  <si>
    <t xml:space="preserve">NCCL</t>
  </si>
  <si>
    <t xml:space="preserve">Other NCL</t>
  </si>
  <si>
    <t xml:space="preserve">L</t>
  </si>
  <si>
    <t xml:space="preserve">Stocks</t>
  </si>
  <si>
    <t xml:space="preserve">Treasury stock</t>
  </si>
  <si>
    <t xml:space="preserve">Accumulated income or loss</t>
  </si>
  <si>
    <t xml:space="preserve">Retained Earning</t>
  </si>
  <si>
    <t xml:space="preserve">SE</t>
  </si>
  <si>
    <t xml:space="preserve">L+SE</t>
  </si>
  <si>
    <t xml:space="preserve">Content Obligations</t>
  </si>
  <si>
    <t xml:space="preserve">ROCE</t>
  </si>
  <si>
    <t xml:space="preserve">Cap. Employed</t>
  </si>
  <si>
    <t xml:space="preserve">Book Value</t>
  </si>
  <si>
    <t xml:space="preserve">Model NI</t>
  </si>
  <si>
    <t xml:space="preserve">Net Income</t>
  </si>
  <si>
    <t xml:space="preserve">Addition to content assets</t>
  </si>
  <si>
    <t xml:space="preserve">Change in content liabilities</t>
  </si>
  <si>
    <t xml:space="preserve">Amortization of content assets</t>
  </si>
  <si>
    <t xml:space="preserve">D&amp;A</t>
  </si>
  <si>
    <t xml:space="preserve">SBC</t>
  </si>
  <si>
    <t xml:space="preserve">FX Loss</t>
  </si>
  <si>
    <t xml:space="preserve">O/non income assets</t>
  </si>
  <si>
    <t xml:space="preserve">D/T</t>
  </si>
  <si>
    <t xml:space="preserve">OCA</t>
  </si>
  <si>
    <t xml:space="preserve">Accr. Exp</t>
  </si>
  <si>
    <t xml:space="preserve">ONCL</t>
  </si>
  <si>
    <t xml:space="preserve">CFFO</t>
  </si>
  <si>
    <t xml:space="preserve">CapEx</t>
  </si>
  <si>
    <t xml:space="preserve">FCF </t>
  </si>
  <si>
    <t xml:space="preserve">Employees</t>
  </si>
  <si>
    <t xml:space="preserve">Revenue / Employee</t>
  </si>
  <si>
    <t xml:space="preserve">Accruals</t>
  </si>
  <si>
    <t xml:space="preserve">Accruals Ratio</t>
  </si>
  <si>
    <t xml:space="preserve">ADV</t>
  </si>
  <si>
    <t xml:space="preserve">Time Interest Earned</t>
  </si>
  <si>
    <t xml:space="preserve">DPO</t>
  </si>
  <si>
    <t xml:space="preserve">Share Issuance</t>
  </si>
  <si>
    <t xml:space="preserve">Share Repurchase</t>
  </si>
  <si>
    <t xml:space="preserve">Total SH return</t>
  </si>
  <si>
    <t xml:space="preserve">US64110LAN64</t>
  </si>
  <si>
    <t xml:space="preserve">Fixed Listing</t>
  </si>
  <si>
    <t xml:space="preserve">15/11/2026</t>
  </si>
  <si>
    <t xml:space="preserve">USD</t>
  </si>
  <si>
    <t xml:space="preserve">Senior</t>
  </si>
  <si>
    <t xml:space="preserve">XS1821883102</t>
  </si>
  <si>
    <t xml:space="preserve">15/05/2027</t>
  </si>
  <si>
    <t xml:space="preserve">EUR</t>
  </si>
  <si>
    <t xml:space="preserve">US64110LAS51</t>
  </si>
  <si>
    <t xml:space="preserve">15/04/2028</t>
  </si>
  <si>
    <t xml:space="preserve">US64110LAT35</t>
  </si>
  <si>
    <t xml:space="preserve">15/11/2028</t>
  </si>
  <si>
    <t xml:space="preserve">US64110LAX47</t>
  </si>
  <si>
    <t xml:space="preserve">15/05/2029</t>
  </si>
  <si>
    <t xml:space="preserve">XS2076099865</t>
  </si>
  <si>
    <t xml:space="preserve">US64110LAU08</t>
  </si>
  <si>
    <t xml:space="preserve">15/11/2029</t>
  </si>
  <si>
    <t xml:space="preserve">USU74079AN15</t>
  </si>
  <si>
    <t xml:space="preserve">XS1989380172</t>
  </si>
  <si>
    <t xml:space="preserve">XS1989380503</t>
  </si>
  <si>
    <t xml:space="preserve">US64110LAV80</t>
  </si>
  <si>
    <t xml:space="preserve">15/06/2030</t>
  </si>
  <si>
    <t xml:space="preserve">USU74079AQ46</t>
  </si>
  <si>
    <t xml:space="preserve">XS2072829794</t>
  </si>
  <si>
    <t xml:space="preserve">XS2072829950</t>
  </si>
  <si>
    <t xml:space="preserve">US64110LAZ94</t>
  </si>
  <si>
    <t xml:space="preserve">15/08/2034</t>
  </si>
  <si>
    <t xml:space="preserve">US64110LBA35</t>
  </si>
  <si>
    <t xml:space="preserve">15/08/2054</t>
  </si>
  <si>
    <t xml:space="preserve">average yield</t>
  </si>
</sst>
</file>

<file path=xl/styles.xml><?xml version="1.0" encoding="utf-8"?>
<styleSheet xmlns="http://schemas.openxmlformats.org/spreadsheetml/2006/main">
  <numFmts count="25">
    <numFmt numFmtId="164" formatCode="General"/>
    <numFmt numFmtId="165" formatCode="#,##0"/>
    <numFmt numFmtId="166" formatCode="0.00"/>
    <numFmt numFmtId="167" formatCode="#,##0.00"/>
    <numFmt numFmtId="168" formatCode="0.00%"/>
    <numFmt numFmtId="169" formatCode="#,##0.00\x"/>
    <numFmt numFmtId="170" formatCode="#%"/>
    <numFmt numFmtId="171" formatCode="#,##0\x"/>
    <numFmt numFmtId="172" formatCode="0.00\x"/>
    <numFmt numFmtId="173" formatCode="0\x"/>
    <numFmt numFmtId="174" formatCode="0%"/>
    <numFmt numFmtId="175" formatCode="0.0%"/>
    <numFmt numFmtId="176" formatCode="#,##0.00&quot;bp&quot;"/>
    <numFmt numFmtId="177" formatCode="#,##0.0"/>
    <numFmt numFmtId="178" formatCode="#,##0.0;\(#,##0.0\);\-"/>
    <numFmt numFmtId="179" formatCode="#,##0.00;\(#,##0.00\);\-"/>
    <numFmt numFmtId="180" formatCode="#,##0_);\(#,##0\);\-"/>
    <numFmt numFmtId="181" formatCode="0.00;\(0.00\);\-"/>
    <numFmt numFmtId="182" formatCode="0.00%;\(0.00%\);\-"/>
    <numFmt numFmtId="183" formatCode="#,##0.000000"/>
    <numFmt numFmtId="184" formatCode="#\x"/>
    <numFmt numFmtId="185" formatCode="#,##0_);\(#,##0\)"/>
    <numFmt numFmtId="186" formatCode="#,##0;\(#,##0\);\-"/>
    <numFmt numFmtId="187" formatCode="#,###"/>
    <numFmt numFmtId="188" formatCode="#,##0.00;[RED]\-#,##0.00"/>
  </numFmts>
  <fonts count="2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i val="true"/>
      <sz val="10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vertAlign val="superscript"/>
      <sz val="10"/>
      <color rgb="FF000000"/>
      <name val="Arial"/>
      <family val="0"/>
      <charset val="1"/>
    </font>
    <font>
      <b val="true"/>
      <sz val="11"/>
      <color theme="1"/>
      <name val="Arial"/>
      <family val="2"/>
      <charset val="1"/>
    </font>
    <font>
      <b val="true"/>
      <i val="true"/>
      <sz val="12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b val="true"/>
      <i val="true"/>
      <sz val="12"/>
      <color theme="1"/>
      <name val="Arial"/>
      <family val="2"/>
      <charset val="1"/>
    </font>
    <font>
      <b val="true"/>
      <i val="true"/>
      <sz val="13"/>
      <name val="Arial"/>
      <family val="2"/>
      <charset val="1"/>
    </font>
    <font>
      <sz val="10"/>
      <name val="Arial"/>
      <family val="2"/>
    </font>
    <font>
      <sz val="10"/>
      <color theme="1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10"/>
      <color theme="1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i val="true"/>
      <sz val="8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11"/>
      <color rgb="FF4B4B4B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92E285"/>
        <bgColor rgb="FFB3B3B3"/>
      </patternFill>
    </fill>
    <fill>
      <patternFill patternType="solid">
        <fgColor rgb="FFB2B2B2"/>
        <bgColor rgb="FFB3B3B3"/>
      </patternFill>
    </fill>
    <fill>
      <patternFill patternType="solid">
        <fgColor rgb="FFDDDDDD"/>
        <bgColor rgb="FFCC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8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8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8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9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9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9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8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0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1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0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1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0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1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1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4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4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9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3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4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7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7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8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2E28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2B2B2"/>
      <rgbColor rgb="FF004586"/>
      <rgbColor rgb="FF339966"/>
      <rgbColor rgb="FF003300"/>
      <rgbColor rgb="FF333300"/>
      <rgbColor rgb="FF993300"/>
      <rgbColor rgb="FF993366"/>
      <rgbColor rgb="FF333399"/>
      <rgbColor rgb="FF4B4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externalLink" Target="externalLinks/externalLink1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GB" sz="1300" b="0" u="none" strike="noStrike">
                <a:uFillTx/>
                <a:latin typeface="Arial"/>
              </a:defRPr>
            </a:pPr>
            <a:r>
              <a:rPr lang="en-GB"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Employees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n-GB"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Model!$AI$2:$AN$2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Model!$AI$138:$AN$138</c:f>
              <c:numCache>
                <c:formatCode>#,##0_);\(#,##0\);\-</c:formatCode>
                <c:ptCount val="6"/>
                <c:pt idx="0">
                  <c:v>9400</c:v>
                </c:pt>
                <c:pt idx="1">
                  <c:v>11300</c:v>
                </c:pt>
                <c:pt idx="2">
                  <c:v>12800</c:v>
                </c:pt>
                <c:pt idx="3">
                  <c:v>13000</c:v>
                </c:pt>
                <c:pt idx="4">
                  <c:v>14000</c:v>
                </c:pt>
                <c:pt idx="5">
                  <c:v>16000</c:v>
                </c:pt>
              </c:numCache>
            </c:numRef>
          </c:val>
        </c:ser>
        <c:gapWidth val="100"/>
        <c:overlap val="0"/>
        <c:axId val="68013434"/>
        <c:axId val="940746"/>
      </c:barChart>
      <c:catAx>
        <c:axId val="6801343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lang="en-GB"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40746"/>
        <c:crosses val="autoZero"/>
        <c:auto val="1"/>
        <c:lblAlgn val="ctr"/>
        <c:lblOffset val="100"/>
        <c:noMultiLvlLbl val="0"/>
      </c:catAx>
      <c:valAx>
        <c:axId val="9407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_);\(#,##0\);\-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lang="en-GB"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801343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27</xdr:col>
      <xdr:colOff>77040</xdr:colOff>
      <xdr:row>0</xdr:row>
      <xdr:rowOff>153360</xdr:rowOff>
    </xdr:from>
    <xdr:to>
      <xdr:col>27</xdr:col>
      <xdr:colOff>100440</xdr:colOff>
      <xdr:row>149</xdr:row>
      <xdr:rowOff>113760</xdr:rowOff>
    </xdr:to>
    <xdr:grpSp>
      <xdr:nvGrpSpPr>
        <xdr:cNvPr id="1" name="Shape 2"/>
        <xdr:cNvGrpSpPr/>
      </xdr:nvGrpSpPr>
      <xdr:grpSpPr>
        <a:xfrm>
          <a:off x="24943680" y="153360"/>
          <a:ext cx="23400" cy="23305680"/>
          <a:chOff x="24943680" y="153360"/>
          <a:chExt cx="23400" cy="23305680"/>
        </a:xfrm>
      </xdr:grpSpPr>
      <xdr:cxnSp>
        <xdr:nvCxnSpPr>
          <xdr:cNvPr id="2" name="Shape 3"/>
          <xdr:cNvCxnSpPr/>
        </xdr:nvCxnSpPr>
        <xdr:spPr>
          <a:xfrm>
            <a:off x="24943680" y="153360"/>
            <a:ext cx="23760" cy="23306040"/>
          </a:xfrm>
          <a:prstGeom prst="straightConnector1">
            <a:avLst/>
          </a:prstGeom>
          <a:ln w="9360">
            <a:solidFill>
              <a:srgbClr val="000000"/>
            </a:solidFill>
            <a:round/>
          </a:ln>
        </xdr:spPr>
      </xdr:cxnSp>
    </xdr:grpSp>
    <xdr:clientData/>
  </xdr:twoCellAnchor>
  <xdr:twoCellAnchor editAs="oneCell">
    <xdr:from>
      <xdr:col>40</xdr:col>
      <xdr:colOff>54000</xdr:colOff>
      <xdr:row>1</xdr:row>
      <xdr:rowOff>79560</xdr:rowOff>
    </xdr:from>
    <xdr:to>
      <xdr:col>40</xdr:col>
      <xdr:colOff>60120</xdr:colOff>
      <xdr:row>148</xdr:row>
      <xdr:rowOff>68040</xdr:rowOff>
    </xdr:to>
    <xdr:grpSp>
      <xdr:nvGrpSpPr>
        <xdr:cNvPr id="3" name="Shape 2"/>
        <xdr:cNvGrpSpPr/>
      </xdr:nvGrpSpPr>
      <xdr:grpSpPr>
        <a:xfrm>
          <a:off x="36494280" y="242280"/>
          <a:ext cx="6120" cy="23008320"/>
          <a:chOff x="36494280" y="242280"/>
          <a:chExt cx="6120" cy="23008320"/>
        </a:xfrm>
      </xdr:grpSpPr>
      <xdr:cxnSp>
        <xdr:nvCxnSpPr>
          <xdr:cNvPr id="4" name="Shape 4"/>
          <xdr:cNvCxnSpPr/>
        </xdr:nvCxnSpPr>
        <xdr:spPr>
          <a:xfrm flipH="1">
            <a:off x="36494280" y="242280"/>
            <a:ext cx="6480" cy="23008680"/>
          </a:xfrm>
          <a:prstGeom prst="straightConnector1">
            <a:avLst/>
          </a:prstGeom>
          <a:ln w="9360">
            <a:solidFill>
              <a:srgbClr val="000000"/>
            </a:solidFill>
            <a:round/>
          </a:ln>
        </xdr:spPr>
      </xdr:cxnSp>
    </xdr:grpSp>
    <xdr:clientData/>
  </xdr:twoCellAnchor>
  <xdr:twoCellAnchor editAs="oneCell">
    <xdr:from>
      <xdr:col>33</xdr:col>
      <xdr:colOff>618840</xdr:colOff>
      <xdr:row>167</xdr:row>
      <xdr:rowOff>101520</xdr:rowOff>
    </xdr:from>
    <xdr:to>
      <xdr:col>40</xdr:col>
      <xdr:colOff>143280</xdr:colOff>
      <xdr:row>187</xdr:row>
      <xdr:rowOff>86760</xdr:rowOff>
    </xdr:to>
    <xdr:graphicFrame>
      <xdr:nvGraphicFramePr>
        <xdr:cNvPr id="5" name=""/>
        <xdr:cNvGraphicFramePr/>
      </xdr:nvGraphicFramePr>
      <xdr:xfrm>
        <a:off x="30827160" y="26226720"/>
        <a:ext cx="5756400" cy="323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Bond%20Analysi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Zero-rate curve US"/>
      <sheetName val="Credit Spread US"/>
      <sheetName val="Zero-rate curve ECB"/>
      <sheetName val="Zero-rate curve BoE"/>
    </sheetNames>
    <sheetDataSet>
      <sheetData sheetId="0"/>
      <sheetData sheetId="1"/>
      <sheetData sheetId="2">
        <row r="6">
          <cell r="J6">
            <v>0.805217391304348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NFLX.ods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NFLX.od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E9" activeCellId="0" sqref="E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8.59"/>
    <col collapsed="false" customWidth="true" hidden="false" outlineLevel="0" max="2" min="2" style="1" width="19.21"/>
    <col collapsed="false" customWidth="true" hidden="false" outlineLevel="0" max="3" min="3" style="1" width="17.86"/>
    <col collapsed="false" customWidth="false" hidden="false" outlineLevel="0" max="4" min="4" style="1" width="12.63"/>
    <col collapsed="false" customWidth="true" hidden="false" outlineLevel="0" max="5" min="5" style="1" width="17.25"/>
    <col collapsed="false" customWidth="false" hidden="false" outlineLevel="0" max="10" min="6" style="1" width="12.63"/>
    <col collapsed="false" customWidth="false" hidden="false" outlineLevel="0" max="11" min="11" style="2" width="12.63"/>
    <col collapsed="false" customWidth="false" hidden="false" outlineLevel="0" max="15" min="12" style="1" width="12.63"/>
    <col collapsed="false" customWidth="true" hidden="false" outlineLevel="0" max="16" min="16" style="1" width="16.12"/>
    <col collapsed="false" customWidth="false" hidden="false" outlineLevel="0" max="16384" min="17" style="1" width="12.63"/>
  </cols>
  <sheetData>
    <row r="1" customFormat="false" ht="15.75" hidden="false" customHeight="false" outlineLevel="0" collapsed="false">
      <c r="A1" s="3" t="s">
        <v>0</v>
      </c>
      <c r="F1" s="4" t="s">
        <v>1</v>
      </c>
      <c r="G1" s="5" t="n">
        <v>78</v>
      </c>
    </row>
    <row r="2" customFormat="false" ht="15.75" hidden="false" customHeight="false" outlineLevel="0" collapsed="false">
      <c r="A2" s="6" t="s">
        <v>2</v>
      </c>
      <c r="B2" s="6"/>
      <c r="C2" s="6"/>
      <c r="E2" s="6"/>
      <c r="F2" s="4" t="s">
        <v>3</v>
      </c>
      <c r="G2" s="7" t="n">
        <v>4163.939676</v>
      </c>
      <c r="H2" s="8" t="s">
        <v>4</v>
      </c>
      <c r="P2" s="6"/>
    </row>
    <row r="3" s="9" customFormat="true" ht="15.75" hidden="false" customHeight="false" outlineLevel="0" collapsed="false">
      <c r="A3" s="1" t="s">
        <v>5</v>
      </c>
      <c r="B3" s="6"/>
      <c r="C3" s="6"/>
      <c r="D3" s="6"/>
      <c r="E3" s="6"/>
      <c r="F3" s="4" t="s">
        <v>6</v>
      </c>
      <c r="G3" s="7" t="n">
        <f aca="false">G2*G1</f>
        <v>324787.294728</v>
      </c>
      <c r="H3" s="8"/>
      <c r="I3" s="6"/>
      <c r="J3" s="6"/>
      <c r="L3" s="6"/>
      <c r="M3" s="6"/>
      <c r="N3" s="6"/>
      <c r="O3" s="8" t="s">
        <v>7</v>
      </c>
      <c r="P3" s="1" t="s">
        <v>8</v>
      </c>
    </row>
    <row r="4" customFormat="false" ht="15.75" hidden="false" customHeight="false" outlineLevel="0" collapsed="false">
      <c r="A4" s="6"/>
      <c r="B4" s="6"/>
      <c r="C4" s="6"/>
      <c r="E4" s="4"/>
      <c r="F4" s="4" t="s">
        <v>9</v>
      </c>
      <c r="G4" s="7" t="n">
        <v>9128</v>
      </c>
      <c r="H4" s="8" t="s">
        <v>4</v>
      </c>
      <c r="K4" s="10"/>
      <c r="O4" s="8" t="s">
        <v>7</v>
      </c>
      <c r="P4" s="1" t="s">
        <v>10</v>
      </c>
    </row>
    <row r="5" customFormat="false" ht="15.75" hidden="false" customHeight="false" outlineLevel="0" collapsed="false">
      <c r="A5" s="6"/>
      <c r="B5" s="6"/>
      <c r="C5" s="6"/>
      <c r="E5" s="4"/>
      <c r="F5" s="4" t="s">
        <v>11</v>
      </c>
      <c r="G5" s="7" t="n">
        <v>14309</v>
      </c>
      <c r="H5" s="8" t="s">
        <v>4</v>
      </c>
      <c r="K5" s="11"/>
      <c r="O5" s="8" t="s">
        <v>7</v>
      </c>
      <c r="P5" s="1" t="s">
        <v>12</v>
      </c>
    </row>
    <row r="6" customFormat="false" ht="15.75" hidden="false" customHeight="false" outlineLevel="0" collapsed="false">
      <c r="A6" s="6"/>
      <c r="B6" s="6"/>
      <c r="C6" s="6"/>
      <c r="E6" s="6"/>
      <c r="F6" s="12" t="s">
        <v>13</v>
      </c>
      <c r="G6" s="13" t="n">
        <f aca="false">G3-G4+G5</f>
        <v>329968.294728</v>
      </c>
      <c r="K6" s="10"/>
      <c r="P6" s="14" t="s">
        <v>14</v>
      </c>
    </row>
    <row r="7" customFormat="false" ht="15.75" hidden="false" customHeight="true" outlineLevel="0" collapsed="false">
      <c r="A7" s="6"/>
      <c r="B7" s="6"/>
      <c r="C7" s="6"/>
      <c r="E7" s="6"/>
      <c r="G7" s="15" t="n">
        <f aca="false">G6/(SUM(Model!W40:Z40))</f>
        <v>24.6674734696729</v>
      </c>
      <c r="P7" s="1" t="s">
        <v>15</v>
      </c>
    </row>
    <row r="8" customFormat="false" ht="15.75" hidden="false" customHeight="true" outlineLevel="0" collapsed="false">
      <c r="A8" s="6"/>
      <c r="B8" s="6"/>
      <c r="C8" s="6"/>
      <c r="E8" s="6"/>
      <c r="G8" s="6"/>
      <c r="J8" s="16"/>
      <c r="K8" s="17"/>
      <c r="O8" s="8" t="s">
        <v>7</v>
      </c>
      <c r="P8" s="14" t="s">
        <v>16</v>
      </c>
    </row>
    <row r="9" customFormat="false" ht="15.75" hidden="false" customHeight="true" outlineLevel="0" collapsed="false">
      <c r="A9" s="18" t="s">
        <v>17</v>
      </c>
      <c r="B9" s="18" t="n">
        <v>1.49</v>
      </c>
      <c r="C9" s="6"/>
      <c r="D9" s="18" t="s">
        <v>18</v>
      </c>
      <c r="E9" s="19" t="n">
        <f aca="false">+(G3/(G3+G5))*B10+(G5/(G3+G5))*B11*(1-Model!AN52)</f>
        <v>0.121171220375731</v>
      </c>
      <c r="G9" s="6"/>
      <c r="K9" s="9"/>
      <c r="P9" s="6"/>
    </row>
    <row r="10" customFormat="false" ht="15.75" hidden="false" customHeight="false" outlineLevel="0" collapsed="false">
      <c r="A10" s="18" t="s">
        <v>19</v>
      </c>
      <c r="B10" s="19" t="n">
        <f aca="false">+0.05 + B9*(0.1 - 0.05)</f>
        <v>0.1245</v>
      </c>
      <c r="C10" s="6"/>
      <c r="E10" s="6"/>
      <c r="H10" s="4"/>
      <c r="I10" s="20"/>
      <c r="J10" s="9"/>
      <c r="K10" s="21"/>
      <c r="P10" s="6"/>
    </row>
    <row r="11" customFormat="false" ht="15.75" hidden="false" customHeight="false" outlineLevel="0" collapsed="false">
      <c r="A11" s="18" t="s">
        <v>20</v>
      </c>
      <c r="B11" s="19" t="n">
        <f aca="false">+0.045 + (B17/100)</f>
        <v>0.0528478260869565</v>
      </c>
      <c r="C11" s="22" t="n">
        <v>0.0472</v>
      </c>
      <c r="D11" s="1" t="s">
        <v>21</v>
      </c>
      <c r="E11" s="23" t="n">
        <f aca="false">+G6/Model!AN11</f>
        <v>1015.28706070154</v>
      </c>
      <c r="H11" s="4"/>
      <c r="I11" s="24"/>
      <c r="J11" s="9"/>
      <c r="O11" s="9"/>
      <c r="P11" s="9"/>
    </row>
    <row r="12" customFormat="false" ht="15.75" hidden="false" customHeight="false" outlineLevel="0" collapsed="false">
      <c r="A12" s="18" t="s">
        <v>22</v>
      </c>
      <c r="B12" s="25" t="n">
        <f aca="false">+G1/Model!AN42</f>
        <v>30.8560286056777</v>
      </c>
      <c r="C12" s="9"/>
      <c r="D12" s="9"/>
      <c r="E12" s="9"/>
      <c r="H12" s="9"/>
      <c r="I12" s="9"/>
      <c r="J12" s="6"/>
      <c r="K12" s="6"/>
      <c r="L12" s="9"/>
      <c r="M12" s="9"/>
      <c r="N12" s="9"/>
      <c r="O12" s="9"/>
      <c r="P12" s="9"/>
    </row>
    <row r="13" customFormat="false" ht="15.75" hidden="false" customHeight="false" outlineLevel="0" collapsed="false">
      <c r="A13" s="26" t="s">
        <v>23</v>
      </c>
      <c r="B13" s="25" t="n">
        <f aca="false">+G3/SUM(Model!X135:AA135)</f>
        <v>29.1251079545531</v>
      </c>
      <c r="C13" s="9"/>
      <c r="D13" s="9"/>
      <c r="E13" s="9"/>
      <c r="H13" s="9" t="s">
        <v>24</v>
      </c>
      <c r="I13" s="9" t="n">
        <f aca="false">G3/Model!Z113</f>
        <v>10.4344641578359</v>
      </c>
      <c r="K13" s="6"/>
      <c r="L13" s="9"/>
      <c r="M13" s="9"/>
      <c r="N13" s="9"/>
      <c r="O13" s="9"/>
      <c r="P13" s="9"/>
    </row>
    <row r="14" customFormat="false" ht="15.75" hidden="false" customHeight="false" outlineLevel="0" collapsed="false">
      <c r="A14" s="26" t="s">
        <v>25</v>
      </c>
      <c r="B14" s="25" t="n">
        <f aca="false">+G6/SUM(Model!X58:AA58)</f>
        <v>22.4042829631177</v>
      </c>
      <c r="C14" s="9"/>
      <c r="D14" s="9"/>
      <c r="E14" s="9"/>
      <c r="H14" s="9" t="s">
        <v>26</v>
      </c>
      <c r="I14" s="27" t="n">
        <f aca="false">Model!Z97/Model!Z113</f>
        <v>0.429260416535816</v>
      </c>
      <c r="K14" s="6"/>
      <c r="L14" s="9"/>
      <c r="M14" s="9"/>
      <c r="N14" s="9"/>
      <c r="O14" s="9"/>
      <c r="P14" s="9"/>
    </row>
    <row r="15" customFormat="false" ht="15.75" hidden="false" customHeight="false" outlineLevel="0" collapsed="false">
      <c r="A15" s="26" t="s">
        <v>27</v>
      </c>
      <c r="B15" s="25" t="n">
        <f aca="false">+G6/SUM(Model!X135:AA135)</f>
        <v>29.5897110556039</v>
      </c>
      <c r="C15" s="9"/>
      <c r="D15" s="9"/>
      <c r="E15" s="9"/>
      <c r="H15" s="9"/>
      <c r="I15" s="28"/>
      <c r="J15" s="9"/>
      <c r="L15" s="9"/>
      <c r="M15" s="9"/>
      <c r="N15" s="9"/>
      <c r="O15" s="9"/>
      <c r="P15" s="9"/>
    </row>
    <row r="16" customFormat="false" ht="16.15" hidden="false" customHeight="false" outlineLevel="0" collapsed="false">
      <c r="A16" s="26" t="s">
        <v>28</v>
      </c>
      <c r="B16" s="29" t="n">
        <f aca="false">+((Model!AA30+Model!Z30+Model!Y30+Model!X30)-(Model!W30+Model!V30+Model!U30+Model!T30))/((Model!AA16+Model!Z16+Model!Y16+Model!X16)-(Model!W16+Model!V16+Model!U16+Model!T16))</f>
        <v>0.299697013019438</v>
      </c>
      <c r="C16" s="30"/>
      <c r="D16" s="9"/>
      <c r="E16" s="9"/>
      <c r="H16" s="9"/>
      <c r="I16" s="27"/>
      <c r="J16" s="9"/>
      <c r="L16" s="9"/>
      <c r="M16" s="9"/>
      <c r="N16" s="9"/>
      <c r="O16" s="9"/>
      <c r="P16" s="9"/>
    </row>
    <row r="17" customFormat="false" ht="15.75" hidden="false" customHeight="false" outlineLevel="0" collapsed="false">
      <c r="A17" s="26" t="s">
        <v>29</v>
      </c>
      <c r="B17" s="31" t="n">
        <f aca="false">+'[1]Credit Spread US'!J6</f>
        <v>0.784782608695652</v>
      </c>
      <c r="C17" s="9"/>
      <c r="D17" s="9"/>
      <c r="E17" s="9"/>
      <c r="F17" s="9"/>
      <c r="G17" s="27"/>
      <c r="H17" s="9"/>
      <c r="I17" s="9"/>
      <c r="J17" s="9"/>
      <c r="L17" s="9"/>
      <c r="M17" s="9"/>
      <c r="N17" s="9"/>
      <c r="O17" s="9"/>
      <c r="P17" s="9"/>
    </row>
    <row r="18" customFormat="false" ht="15.75" hidden="false" customHeight="false" outlineLevel="0" collapsed="false">
      <c r="A18" s="26" t="s">
        <v>30</v>
      </c>
      <c r="B18" s="32" t="s">
        <v>31</v>
      </c>
      <c r="C18" s="33" t="s">
        <v>32</v>
      </c>
      <c r="D18" s="9"/>
      <c r="E18" s="9"/>
      <c r="F18" s="9"/>
      <c r="G18" s="27"/>
      <c r="H18" s="9"/>
      <c r="I18" s="9"/>
      <c r="J18" s="9"/>
      <c r="L18" s="9"/>
      <c r="M18" s="9"/>
      <c r="N18" s="9"/>
      <c r="O18" s="9"/>
      <c r="P18" s="9"/>
    </row>
    <row r="19" customFormat="false" ht="15.75" hidden="false" customHeight="false" outlineLevel="0" collapsed="false">
      <c r="A19" s="34"/>
      <c r="B19" s="33" t="s">
        <v>33</v>
      </c>
      <c r="C19" s="33" t="s">
        <v>34</v>
      </c>
      <c r="D19" s="9"/>
      <c r="E19" s="9"/>
      <c r="F19" s="9"/>
      <c r="G19" s="27"/>
      <c r="H19" s="9"/>
      <c r="I19" s="9"/>
      <c r="J19" s="9"/>
      <c r="L19" s="9"/>
      <c r="M19" s="9"/>
      <c r="N19" s="9"/>
      <c r="O19" s="9"/>
      <c r="P19" s="9"/>
    </row>
    <row r="20" customFormat="false" ht="15.75" hidden="false" customHeight="false" outlineLevel="0" collapsed="false">
      <c r="A20" s="34"/>
      <c r="B20" s="9"/>
      <c r="C20" s="9"/>
      <c r="D20" s="9"/>
      <c r="E20" s="9"/>
      <c r="F20" s="9"/>
      <c r="G20" s="27"/>
      <c r="H20" s="9"/>
      <c r="I20" s="9"/>
      <c r="J20" s="9"/>
      <c r="L20" s="9"/>
      <c r="M20" s="9"/>
      <c r="N20" s="9"/>
      <c r="O20" s="9"/>
      <c r="P20" s="9"/>
    </row>
    <row r="21" customFormat="false" ht="15.75" hidden="false" customHeight="false" outlineLevel="0" collapsed="false">
      <c r="A21" s="34"/>
      <c r="B21" s="9"/>
      <c r="C21" s="9"/>
      <c r="D21" s="9"/>
      <c r="E21" s="9"/>
      <c r="F21" s="9"/>
      <c r="G21" s="27"/>
      <c r="H21" s="9"/>
      <c r="I21" s="9"/>
      <c r="J21" s="9"/>
      <c r="L21" s="9"/>
      <c r="M21" s="9"/>
      <c r="N21" s="9"/>
      <c r="O21" s="9"/>
      <c r="P21" s="9"/>
    </row>
    <row r="22" customFormat="false" ht="15.75" hidden="false" customHeight="false" outlineLevel="0" collapsed="false">
      <c r="A22" s="34" t="s">
        <v>35</v>
      </c>
      <c r="B22" s="9"/>
      <c r="C22" s="9"/>
      <c r="D22" s="9"/>
      <c r="E22" s="9"/>
      <c r="F22" s="9" t="s">
        <v>36</v>
      </c>
      <c r="G22" s="9" t="s">
        <v>37</v>
      </c>
      <c r="H22" s="9"/>
      <c r="I22" s="9"/>
      <c r="J22" s="9"/>
      <c r="L22" s="9"/>
      <c r="M22" s="9"/>
      <c r="N22" s="9"/>
      <c r="P22" s="6"/>
    </row>
    <row r="23" customFormat="false" ht="15.75" hidden="false" customHeight="false" outlineLevel="0" collapsed="false">
      <c r="A23" s="4" t="s">
        <v>38</v>
      </c>
      <c r="B23" s="6"/>
      <c r="C23" s="6"/>
      <c r="E23" s="6"/>
      <c r="F23" s="4" t="s">
        <v>39</v>
      </c>
      <c r="G23" s="4" t="n">
        <v>1997</v>
      </c>
      <c r="P23" s="6"/>
    </row>
    <row r="24" customFormat="false" ht="15.75" hidden="false" customHeight="false" outlineLevel="0" collapsed="false">
      <c r="A24" s="6"/>
      <c r="B24" s="6"/>
      <c r="C24" s="6"/>
      <c r="E24" s="6"/>
      <c r="F24" s="4" t="s">
        <v>40</v>
      </c>
      <c r="G24" s="4" t="n">
        <v>2007</v>
      </c>
      <c r="P24" s="6"/>
    </row>
    <row r="25" customFormat="false" ht="15.75" hidden="false" customHeight="true" outlineLevel="0" collapsed="false">
      <c r="A25" s="6"/>
      <c r="B25" s="6"/>
      <c r="C25" s="6"/>
      <c r="E25" s="6"/>
      <c r="P25" s="6"/>
    </row>
    <row r="26" customFormat="false" ht="15.75" hidden="false" customHeight="true" outlineLevel="0" collapsed="false">
      <c r="A26" s="1" t="s">
        <v>41</v>
      </c>
      <c r="B26" s="6" t="n">
        <v>2020</v>
      </c>
      <c r="C26" s="6" t="n">
        <f aca="false">B26+1</f>
        <v>2021</v>
      </c>
      <c r="D26" s="6" t="n">
        <f aca="false">C26+1</f>
        <v>2022</v>
      </c>
      <c r="E26" s="6" t="n">
        <f aca="false">D26+1</f>
        <v>2023</v>
      </c>
      <c r="F26" s="6" t="n">
        <f aca="false">E26+1</f>
        <v>2024</v>
      </c>
      <c r="G26" s="6" t="n">
        <f aca="false">F26+1</f>
        <v>2025</v>
      </c>
      <c r="I26" s="1" t="s">
        <v>42</v>
      </c>
      <c r="J26" s="35" t="n">
        <f aca="false">(Model!AN16/(F28+F33+F38+F43))/12</f>
        <v>12.4872730287704</v>
      </c>
      <c r="P26" s="6"/>
    </row>
    <row r="27" customFormat="false" ht="15.75" hidden="false" customHeight="true" outlineLevel="0" collapsed="false">
      <c r="A27" s="1" t="s">
        <v>43</v>
      </c>
      <c r="B27" s="2"/>
      <c r="C27" s="2"/>
      <c r="D27" s="2" t="n">
        <v>14084</v>
      </c>
      <c r="E27" s="2" t="n">
        <v>14873</v>
      </c>
      <c r="F27" s="2" t="n">
        <v>17359</v>
      </c>
      <c r="G27" s="2"/>
      <c r="P27" s="6"/>
    </row>
    <row r="28" customFormat="false" ht="15.75" hidden="false" customHeight="true" outlineLevel="0" collapsed="false">
      <c r="A28" s="1" t="s">
        <v>44</v>
      </c>
      <c r="B28" s="2"/>
      <c r="C28" s="2"/>
      <c r="D28" s="2" t="n">
        <v>74</v>
      </c>
      <c r="E28" s="2" t="n">
        <v>80.1</v>
      </c>
      <c r="F28" s="2" t="n">
        <v>89.625</v>
      </c>
      <c r="G28" s="2"/>
      <c r="P28" s="6"/>
    </row>
    <row r="29" customFormat="false" ht="15.75" hidden="false" customHeight="true" outlineLevel="0" collapsed="false">
      <c r="A29" s="1" t="s">
        <v>45</v>
      </c>
      <c r="B29" s="2" t="e">
        <f aca="false">(B27/B28)/12</f>
        <v>#DIV/0!</v>
      </c>
      <c r="C29" s="2" t="e">
        <f aca="false">(C27/C28)/12</f>
        <v>#DIV/0!</v>
      </c>
      <c r="D29" s="2" t="n">
        <f aca="false">(D27/D28)/12</f>
        <v>15.8603603603604</v>
      </c>
      <c r="E29" s="2" t="n">
        <f aca="false">(E27/E28)/12</f>
        <v>15.473366625052</v>
      </c>
      <c r="F29" s="2" t="n">
        <f aca="false">(F27/F28)/12</f>
        <v>16.14039981404</v>
      </c>
      <c r="G29" s="2" t="e">
        <f aca="false">(G27/G28)/12</f>
        <v>#DIV/0!</v>
      </c>
      <c r="P29" s="6"/>
    </row>
    <row r="30" customFormat="false" ht="15.75" hidden="false" customHeight="true" outlineLevel="0" collapsed="false">
      <c r="A30" s="6"/>
      <c r="B30" s="2"/>
      <c r="C30" s="2"/>
      <c r="D30" s="2"/>
      <c r="E30" s="2"/>
      <c r="F30" s="2"/>
      <c r="G30" s="2"/>
      <c r="P30" s="6"/>
    </row>
    <row r="31" customFormat="false" ht="15.75" hidden="false" customHeight="true" outlineLevel="0" collapsed="false">
      <c r="A31" s="1" t="s">
        <v>46</v>
      </c>
      <c r="B31" s="2"/>
      <c r="C31" s="2"/>
      <c r="D31" s="2"/>
      <c r="E31" s="2"/>
      <c r="F31" s="2"/>
      <c r="G31" s="2"/>
      <c r="P31" s="6"/>
    </row>
    <row r="32" customFormat="false" ht="15.75" hidden="false" customHeight="true" outlineLevel="0" collapsed="false">
      <c r="A32" s="1" t="s">
        <v>43</v>
      </c>
      <c r="B32" s="2"/>
      <c r="C32" s="2"/>
      <c r="D32" s="2" t="n">
        <v>9745</v>
      </c>
      <c r="E32" s="2" t="n">
        <v>10556.4</v>
      </c>
      <c r="F32" s="2" t="n">
        <v>12387</v>
      </c>
      <c r="G32" s="2"/>
      <c r="P32" s="6"/>
    </row>
    <row r="33" customFormat="false" ht="15.75" hidden="false" customHeight="true" outlineLevel="0" collapsed="false">
      <c r="A33" s="1" t="s">
        <v>44</v>
      </c>
      <c r="B33" s="2"/>
      <c r="C33" s="2"/>
      <c r="D33" s="2" t="n">
        <v>76.7</v>
      </c>
      <c r="E33" s="2" t="n">
        <v>88.8</v>
      </c>
      <c r="F33" s="2" t="n">
        <v>101.1</v>
      </c>
      <c r="G33" s="2"/>
      <c r="P33" s="6"/>
    </row>
    <row r="34" customFormat="false" ht="15.75" hidden="false" customHeight="true" outlineLevel="0" collapsed="false">
      <c r="A34" s="1" t="s">
        <v>45</v>
      </c>
      <c r="B34" s="2" t="e">
        <f aca="false">(B32/B33)/12</f>
        <v>#DIV/0!</v>
      </c>
      <c r="C34" s="2" t="e">
        <f aca="false">(C32/C33)/12</f>
        <v>#DIV/0!</v>
      </c>
      <c r="D34" s="2" t="n">
        <f aca="false">(D32/D33)/12</f>
        <v>10.5877879182964</v>
      </c>
      <c r="E34" s="2" t="n">
        <f aca="false">(E32/E33)/12</f>
        <v>9.90653153153153</v>
      </c>
      <c r="F34" s="2" t="n">
        <f aca="false">(F32/F33)/12</f>
        <v>10.2101879327399</v>
      </c>
      <c r="G34" s="2" t="e">
        <f aca="false">(G32/G33)/12</f>
        <v>#DIV/0!</v>
      </c>
      <c r="P34" s="6"/>
    </row>
    <row r="35" customFormat="false" ht="15.75" hidden="false" customHeight="true" outlineLevel="0" collapsed="false">
      <c r="A35" s="6"/>
      <c r="B35" s="2"/>
      <c r="C35" s="2"/>
      <c r="D35" s="2"/>
      <c r="E35" s="2"/>
      <c r="F35" s="2"/>
      <c r="G35" s="2"/>
      <c r="P35" s="6"/>
    </row>
    <row r="36" customFormat="false" ht="15.75" hidden="false" customHeight="true" outlineLevel="0" collapsed="false">
      <c r="A36" s="1" t="s">
        <v>47</v>
      </c>
      <c r="B36" s="2"/>
      <c r="C36" s="2"/>
      <c r="D36" s="2"/>
      <c r="E36" s="2"/>
      <c r="F36" s="2"/>
      <c r="G36" s="2"/>
      <c r="P36" s="6"/>
    </row>
    <row r="37" customFormat="false" ht="15.75" hidden="false" customHeight="true" outlineLevel="0" collapsed="false">
      <c r="A37" s="1" t="s">
        <v>43</v>
      </c>
      <c r="B37" s="2"/>
      <c r="C37" s="2"/>
      <c r="D37" s="2" t="n">
        <v>4069.9</v>
      </c>
      <c r="E37" s="2" t="n">
        <v>4446.4</v>
      </c>
      <c r="F37" s="2" t="n">
        <v>4839.8</v>
      </c>
      <c r="G37" s="2"/>
      <c r="P37" s="6"/>
    </row>
    <row r="38" customFormat="false" ht="15.75" hidden="false" customHeight="true" outlineLevel="0" collapsed="false">
      <c r="A38" s="1" t="s">
        <v>44</v>
      </c>
      <c r="B38" s="2"/>
      <c r="C38" s="2"/>
      <c r="D38" s="2" t="n">
        <v>41.6</v>
      </c>
      <c r="E38" s="2" t="n">
        <v>45.9</v>
      </c>
      <c r="F38" s="2" t="n">
        <v>53.3</v>
      </c>
      <c r="G38" s="2"/>
      <c r="P38" s="6"/>
    </row>
    <row r="39" customFormat="false" ht="15.75" hidden="false" customHeight="true" outlineLevel="0" collapsed="false">
      <c r="A39" s="1" t="s">
        <v>45</v>
      </c>
      <c r="B39" s="2" t="e">
        <f aca="false">(B37/B38)/12</f>
        <v>#DIV/0!</v>
      </c>
      <c r="C39" s="2" t="e">
        <f aca="false">(C37/C38)/12</f>
        <v>#DIV/0!</v>
      </c>
      <c r="D39" s="2" t="n">
        <f aca="false">(D37/D38)/12</f>
        <v>8.15284455128205</v>
      </c>
      <c r="E39" s="2" t="n">
        <f aca="false">(E37/E38)/12</f>
        <v>8.07262164124909</v>
      </c>
      <c r="F39" s="2" t="n">
        <f aca="false">(F37/F38)/12</f>
        <v>7.56691682301439</v>
      </c>
      <c r="G39" s="2" t="e">
        <f aca="false">(G37/G38)/12</f>
        <v>#DIV/0!</v>
      </c>
      <c r="P39" s="6"/>
    </row>
    <row r="40" customFormat="false" ht="15.75" hidden="false" customHeight="true" outlineLevel="0" collapsed="false">
      <c r="A40" s="6"/>
      <c r="B40" s="2"/>
      <c r="C40" s="2"/>
      <c r="D40" s="2"/>
      <c r="E40" s="2"/>
      <c r="F40" s="2"/>
      <c r="G40" s="2"/>
      <c r="P40" s="6"/>
    </row>
    <row r="41" customFormat="false" ht="15.75" hidden="false" customHeight="true" outlineLevel="0" collapsed="false">
      <c r="A41" s="1" t="s">
        <v>48</v>
      </c>
      <c r="B41" s="2"/>
      <c r="C41" s="2"/>
      <c r="D41" s="2"/>
      <c r="E41" s="2"/>
      <c r="F41" s="2"/>
      <c r="G41" s="2"/>
      <c r="P41" s="6"/>
    </row>
    <row r="42" customFormat="false" ht="15.75" hidden="false" customHeight="true" outlineLevel="0" collapsed="false">
      <c r="A42" s="1" t="s">
        <v>43</v>
      </c>
      <c r="B42" s="2"/>
      <c r="C42" s="2"/>
      <c r="D42" s="2" t="n">
        <v>3570.2</v>
      </c>
      <c r="E42" s="2" t="n">
        <v>3763.7</v>
      </c>
      <c r="F42" s="2" t="n">
        <v>4414.7</v>
      </c>
      <c r="G42" s="2"/>
      <c r="P42" s="6"/>
    </row>
    <row r="43" customFormat="false" ht="15.75" hidden="false" customHeight="true" outlineLevel="0" collapsed="false">
      <c r="A43" s="1" t="s">
        <v>44</v>
      </c>
      <c r="B43" s="2"/>
      <c r="C43" s="2"/>
      <c r="D43" s="2" t="n">
        <v>38</v>
      </c>
      <c r="E43" s="2" t="n">
        <v>45.3</v>
      </c>
      <c r="F43" s="2" t="n">
        <v>57.5</v>
      </c>
      <c r="G43" s="2"/>
      <c r="P43" s="6"/>
    </row>
    <row r="44" customFormat="false" ht="15.75" hidden="false" customHeight="true" outlineLevel="0" collapsed="false">
      <c r="A44" s="1" t="s">
        <v>45</v>
      </c>
      <c r="B44" s="2" t="e">
        <f aca="false">(B42/B43)/12</f>
        <v>#DIV/0!</v>
      </c>
      <c r="C44" s="2" t="e">
        <f aca="false">(C42/C43)/12</f>
        <v>#DIV/0!</v>
      </c>
      <c r="D44" s="2" t="n">
        <f aca="false">(D42/D43)/12</f>
        <v>7.82938596491228</v>
      </c>
      <c r="E44" s="2" t="n">
        <f aca="false">(E42/E43)/12</f>
        <v>6.92365710080942</v>
      </c>
      <c r="F44" s="2" t="n">
        <f aca="false">(F42/F43)/12</f>
        <v>6.39811594202898</v>
      </c>
      <c r="G44" s="2" t="e">
        <f aca="false">(G42/G43)/12</f>
        <v>#DIV/0!</v>
      </c>
      <c r="P44" s="6"/>
    </row>
    <row r="45" customFormat="false" ht="15.75" hidden="false" customHeight="true" outlineLevel="0" collapsed="false">
      <c r="A45" s="6"/>
      <c r="B45" s="6"/>
      <c r="C45" s="6"/>
      <c r="E45" s="6"/>
      <c r="P45" s="6"/>
    </row>
    <row r="46" customFormat="false" ht="15.75" hidden="false" customHeight="true" outlineLevel="0" collapsed="false">
      <c r="A46" s="6"/>
      <c r="B46" s="6"/>
      <c r="C46" s="6"/>
      <c r="E46" s="6"/>
      <c r="P46" s="6"/>
    </row>
    <row r="47" customFormat="false" ht="15.75" hidden="false" customHeight="true" outlineLevel="0" collapsed="false">
      <c r="A47" s="6"/>
      <c r="B47" s="6"/>
      <c r="C47" s="6"/>
      <c r="E47" s="6"/>
      <c r="P47" s="6"/>
    </row>
    <row r="48" customFormat="false" ht="15.75" hidden="false" customHeight="true" outlineLevel="0" collapsed="false">
      <c r="A48" s="6"/>
      <c r="B48" s="36"/>
      <c r="C48" s="6"/>
      <c r="E48" s="6"/>
      <c r="P48" s="6"/>
    </row>
    <row r="49" customFormat="false" ht="15.75" hidden="false" customHeight="true" outlineLevel="0" collapsed="false">
      <c r="A49" s="6"/>
      <c r="B49" s="6"/>
      <c r="C49" s="6"/>
      <c r="E49" s="6"/>
      <c r="P49" s="6"/>
    </row>
    <row r="50" customFormat="false" ht="15.75" hidden="false" customHeight="true" outlineLevel="0" collapsed="false">
      <c r="A50" s="6"/>
      <c r="B50" s="6"/>
      <c r="C50" s="6"/>
      <c r="E50" s="6"/>
      <c r="P50" s="6"/>
    </row>
    <row r="51" customFormat="false" ht="15.75" hidden="false" customHeight="true" outlineLevel="0" collapsed="false">
      <c r="A51" s="6"/>
      <c r="B51" s="6"/>
      <c r="C51" s="6"/>
      <c r="E51" s="6"/>
      <c r="P51" s="6"/>
    </row>
    <row r="52" customFormat="false" ht="15.75" hidden="false" customHeight="true" outlineLevel="0" collapsed="false">
      <c r="A52" s="6"/>
      <c r="B52" s="6"/>
      <c r="C52" s="6"/>
      <c r="E52" s="6"/>
      <c r="P52" s="6"/>
    </row>
    <row r="53" customFormat="false" ht="15.75" hidden="false" customHeight="true" outlineLevel="0" collapsed="false">
      <c r="A53" s="6"/>
      <c r="B53" s="6"/>
      <c r="C53" s="6"/>
      <c r="E53" s="6"/>
      <c r="P53" s="6"/>
    </row>
    <row r="54" customFormat="false" ht="15.75" hidden="false" customHeight="true" outlineLevel="0" collapsed="false">
      <c r="A54" s="6"/>
      <c r="B54" s="6"/>
      <c r="C54" s="6"/>
      <c r="E54" s="6"/>
      <c r="P54" s="6"/>
    </row>
    <row r="55" customFormat="false" ht="15.75" hidden="false" customHeight="true" outlineLevel="0" collapsed="false">
      <c r="A55" s="6"/>
      <c r="B55" s="6"/>
      <c r="C55" s="6"/>
      <c r="E55" s="6"/>
      <c r="P55" s="6"/>
    </row>
    <row r="56" customFormat="false" ht="15.75" hidden="false" customHeight="true" outlineLevel="0" collapsed="false">
      <c r="A56" s="6"/>
      <c r="B56" s="6"/>
      <c r="C56" s="6"/>
      <c r="E56" s="6"/>
      <c r="P56" s="6"/>
    </row>
    <row r="57" customFormat="false" ht="15.75" hidden="false" customHeight="true" outlineLevel="0" collapsed="false">
      <c r="A57" s="6"/>
      <c r="B57" s="6"/>
      <c r="C57" s="6"/>
      <c r="E57" s="6"/>
      <c r="P57" s="6"/>
    </row>
    <row r="58" customFormat="false" ht="15.75" hidden="false" customHeight="true" outlineLevel="0" collapsed="false">
      <c r="A58" s="6"/>
      <c r="B58" s="6"/>
      <c r="C58" s="6"/>
      <c r="E58" s="6"/>
      <c r="P58" s="6"/>
    </row>
    <row r="59" customFormat="false" ht="15.75" hidden="false" customHeight="true" outlineLevel="0" collapsed="false">
      <c r="A59" s="6"/>
      <c r="B59" s="6"/>
      <c r="C59" s="6"/>
      <c r="E59" s="6"/>
      <c r="P59" s="6"/>
    </row>
    <row r="60" customFormat="false" ht="15.75" hidden="false" customHeight="true" outlineLevel="0" collapsed="false">
      <c r="A60" s="6"/>
      <c r="B60" s="6"/>
      <c r="C60" s="6"/>
      <c r="E60" s="6"/>
      <c r="P60" s="6"/>
    </row>
    <row r="61" customFormat="false" ht="15.75" hidden="false" customHeight="true" outlineLevel="0" collapsed="false">
      <c r="A61" s="6"/>
      <c r="B61" s="6"/>
      <c r="C61" s="6"/>
      <c r="E61" s="6"/>
      <c r="P61" s="6"/>
    </row>
    <row r="62" customFormat="false" ht="15.75" hidden="false" customHeight="true" outlineLevel="0" collapsed="false">
      <c r="A62" s="6"/>
      <c r="B62" s="6"/>
      <c r="C62" s="6"/>
      <c r="E62" s="6"/>
      <c r="P62" s="6"/>
    </row>
    <row r="63" customFormat="false" ht="15.75" hidden="false" customHeight="true" outlineLevel="0" collapsed="false">
      <c r="A63" s="6"/>
      <c r="B63" s="6"/>
      <c r="C63" s="6"/>
      <c r="E63" s="6"/>
      <c r="P63" s="6"/>
    </row>
    <row r="64" customFormat="false" ht="15.75" hidden="false" customHeight="true" outlineLevel="0" collapsed="false">
      <c r="A64" s="6"/>
      <c r="B64" s="6"/>
      <c r="C64" s="6"/>
      <c r="E64" s="6"/>
      <c r="P64" s="6"/>
    </row>
    <row r="65" customFormat="false" ht="15.75" hidden="false" customHeight="true" outlineLevel="0" collapsed="false">
      <c r="A65" s="6"/>
      <c r="B65" s="6"/>
      <c r="C65" s="6"/>
      <c r="E65" s="6"/>
      <c r="P65" s="6"/>
    </row>
    <row r="66" customFormat="false" ht="15.75" hidden="false" customHeight="true" outlineLevel="0" collapsed="false">
      <c r="A66" s="6"/>
      <c r="B66" s="6"/>
      <c r="C66" s="6"/>
      <c r="E66" s="6"/>
      <c r="P66" s="6"/>
    </row>
    <row r="67" customFormat="false" ht="15.75" hidden="false" customHeight="true" outlineLevel="0" collapsed="false">
      <c r="A67" s="6"/>
      <c r="B67" s="6"/>
      <c r="C67" s="6"/>
      <c r="E67" s="6"/>
      <c r="P67" s="6"/>
    </row>
    <row r="68" customFormat="false" ht="15.75" hidden="false" customHeight="true" outlineLevel="0" collapsed="false">
      <c r="A68" s="6"/>
      <c r="B68" s="6"/>
      <c r="C68" s="6"/>
      <c r="E68" s="6"/>
      <c r="P68" s="6"/>
    </row>
    <row r="69" customFormat="false" ht="15.75" hidden="false" customHeight="true" outlineLevel="0" collapsed="false">
      <c r="A69" s="6"/>
      <c r="B69" s="6"/>
      <c r="C69" s="6"/>
      <c r="E69" s="6"/>
      <c r="P69" s="6"/>
    </row>
    <row r="70" customFormat="false" ht="15.75" hidden="false" customHeight="true" outlineLevel="0" collapsed="false">
      <c r="A70" s="6"/>
      <c r="B70" s="6"/>
      <c r="C70" s="6"/>
      <c r="E70" s="6"/>
      <c r="P70" s="6"/>
    </row>
    <row r="71" customFormat="false" ht="15.75" hidden="false" customHeight="true" outlineLevel="0" collapsed="false">
      <c r="A71" s="6"/>
      <c r="B71" s="6"/>
      <c r="C71" s="6"/>
      <c r="E71" s="6"/>
      <c r="P71" s="6"/>
    </row>
    <row r="72" customFormat="false" ht="15.75" hidden="false" customHeight="true" outlineLevel="0" collapsed="false">
      <c r="A72" s="6"/>
      <c r="B72" s="6"/>
      <c r="C72" s="6"/>
      <c r="E72" s="6"/>
      <c r="P72" s="6"/>
    </row>
    <row r="73" customFormat="false" ht="15.75" hidden="false" customHeight="true" outlineLevel="0" collapsed="false">
      <c r="A73" s="6"/>
      <c r="B73" s="6"/>
      <c r="C73" s="6"/>
      <c r="E73" s="6"/>
      <c r="P73" s="6"/>
    </row>
    <row r="74" customFormat="false" ht="15.75" hidden="false" customHeight="true" outlineLevel="0" collapsed="false">
      <c r="A74" s="6"/>
      <c r="B74" s="6"/>
      <c r="C74" s="6"/>
      <c r="E74" s="6"/>
      <c r="P74" s="6"/>
    </row>
    <row r="75" customFormat="false" ht="15.75" hidden="false" customHeight="true" outlineLevel="0" collapsed="false">
      <c r="A75" s="6"/>
      <c r="B75" s="6"/>
      <c r="C75" s="6"/>
      <c r="E75" s="6"/>
      <c r="P75" s="6"/>
    </row>
    <row r="76" customFormat="false" ht="15.75" hidden="false" customHeight="true" outlineLevel="0" collapsed="false">
      <c r="A76" s="6"/>
      <c r="B76" s="6"/>
      <c r="C76" s="6"/>
      <c r="E76" s="6"/>
      <c r="P76" s="6"/>
    </row>
    <row r="77" customFormat="false" ht="15.75" hidden="false" customHeight="true" outlineLevel="0" collapsed="false">
      <c r="A77" s="6"/>
      <c r="B77" s="6"/>
      <c r="C77" s="6"/>
      <c r="E77" s="6"/>
      <c r="P77" s="6"/>
    </row>
    <row r="78" customFormat="false" ht="15.75" hidden="false" customHeight="true" outlineLevel="0" collapsed="false">
      <c r="A78" s="6"/>
      <c r="B78" s="6"/>
      <c r="C78" s="6"/>
      <c r="E78" s="6"/>
      <c r="P78" s="6"/>
    </row>
    <row r="79" customFormat="false" ht="15.75" hidden="false" customHeight="true" outlineLevel="0" collapsed="false">
      <c r="A79" s="6"/>
      <c r="B79" s="6"/>
      <c r="C79" s="6"/>
      <c r="E79" s="6"/>
      <c r="P79" s="6"/>
    </row>
    <row r="80" customFormat="false" ht="15.75" hidden="false" customHeight="true" outlineLevel="0" collapsed="false">
      <c r="A80" s="6"/>
      <c r="B80" s="6"/>
      <c r="C80" s="6"/>
      <c r="E80" s="6"/>
      <c r="P80" s="6"/>
    </row>
    <row r="81" customFormat="false" ht="15.75" hidden="false" customHeight="true" outlineLevel="0" collapsed="false">
      <c r="A81" s="6"/>
      <c r="B81" s="6"/>
      <c r="C81" s="6"/>
      <c r="E81" s="6"/>
      <c r="P81" s="6"/>
    </row>
    <row r="82" customFormat="false" ht="15.75" hidden="false" customHeight="true" outlineLevel="0" collapsed="false">
      <c r="A82" s="6"/>
      <c r="B82" s="6"/>
      <c r="C82" s="6"/>
      <c r="E82" s="6"/>
      <c r="P82" s="6"/>
    </row>
    <row r="83" customFormat="false" ht="15.75" hidden="false" customHeight="true" outlineLevel="0" collapsed="false">
      <c r="A83" s="6"/>
      <c r="B83" s="6"/>
      <c r="C83" s="6"/>
      <c r="E83" s="6"/>
      <c r="P83" s="6"/>
    </row>
    <row r="84" customFormat="false" ht="15.75" hidden="false" customHeight="true" outlineLevel="0" collapsed="false">
      <c r="A84" s="6"/>
      <c r="B84" s="6"/>
      <c r="C84" s="6"/>
      <c r="E84" s="6"/>
      <c r="P84" s="6"/>
    </row>
    <row r="85" customFormat="false" ht="15.75" hidden="false" customHeight="true" outlineLevel="0" collapsed="false">
      <c r="A85" s="6"/>
      <c r="B85" s="6"/>
      <c r="C85" s="6"/>
      <c r="E85" s="6"/>
      <c r="P85" s="6"/>
    </row>
    <row r="86" customFormat="false" ht="15.75" hidden="false" customHeight="true" outlineLevel="0" collapsed="false">
      <c r="A86" s="6"/>
      <c r="B86" s="6"/>
      <c r="C86" s="6"/>
      <c r="E86" s="6"/>
      <c r="P86" s="6"/>
    </row>
    <row r="87" customFormat="false" ht="15.75" hidden="false" customHeight="true" outlineLevel="0" collapsed="false">
      <c r="A87" s="6"/>
      <c r="B87" s="6"/>
      <c r="C87" s="6"/>
      <c r="E87" s="6"/>
      <c r="P87" s="6"/>
    </row>
    <row r="88" customFormat="false" ht="15.75" hidden="false" customHeight="true" outlineLevel="0" collapsed="false">
      <c r="A88" s="6"/>
      <c r="B88" s="6"/>
      <c r="C88" s="6"/>
      <c r="E88" s="6"/>
      <c r="P88" s="6"/>
    </row>
    <row r="89" customFormat="false" ht="15.75" hidden="false" customHeight="true" outlineLevel="0" collapsed="false">
      <c r="A89" s="6"/>
      <c r="B89" s="6"/>
      <c r="C89" s="6"/>
      <c r="E89" s="6"/>
      <c r="P89" s="6"/>
    </row>
    <row r="90" customFormat="false" ht="15.75" hidden="false" customHeight="true" outlineLevel="0" collapsed="false">
      <c r="A90" s="6"/>
      <c r="B90" s="6"/>
      <c r="C90" s="6"/>
      <c r="E90" s="6"/>
      <c r="P90" s="6"/>
    </row>
    <row r="91" customFormat="false" ht="15.75" hidden="false" customHeight="true" outlineLevel="0" collapsed="false">
      <c r="A91" s="6"/>
      <c r="B91" s="6"/>
      <c r="C91" s="6"/>
      <c r="E91" s="6"/>
      <c r="P91" s="6"/>
    </row>
    <row r="92" customFormat="false" ht="15.75" hidden="false" customHeight="true" outlineLevel="0" collapsed="false">
      <c r="A92" s="6"/>
      <c r="B92" s="6"/>
      <c r="C92" s="6"/>
      <c r="E92" s="6"/>
      <c r="P92" s="6"/>
    </row>
    <row r="93" customFormat="false" ht="15.75" hidden="false" customHeight="true" outlineLevel="0" collapsed="false">
      <c r="A93" s="6"/>
      <c r="B93" s="6"/>
      <c r="C93" s="6"/>
      <c r="E93" s="6"/>
      <c r="P93" s="6"/>
    </row>
    <row r="94" customFormat="false" ht="15.75" hidden="false" customHeight="true" outlineLevel="0" collapsed="false">
      <c r="A94" s="6"/>
      <c r="B94" s="6"/>
      <c r="C94" s="6"/>
      <c r="E94" s="6"/>
      <c r="P94" s="6"/>
    </row>
    <row r="95" customFormat="false" ht="15.75" hidden="false" customHeight="true" outlineLevel="0" collapsed="false">
      <c r="A95" s="6"/>
      <c r="B95" s="6"/>
      <c r="C95" s="6"/>
      <c r="E95" s="6"/>
      <c r="P95" s="6"/>
    </row>
    <row r="96" customFormat="false" ht="15.75" hidden="false" customHeight="true" outlineLevel="0" collapsed="false">
      <c r="A96" s="6"/>
      <c r="B96" s="6"/>
      <c r="C96" s="6"/>
      <c r="E96" s="6"/>
      <c r="P96" s="6"/>
    </row>
    <row r="97" customFormat="false" ht="15.75" hidden="false" customHeight="true" outlineLevel="0" collapsed="false">
      <c r="A97" s="6"/>
      <c r="B97" s="6"/>
      <c r="C97" s="6"/>
      <c r="E97" s="6"/>
      <c r="P97" s="6"/>
    </row>
    <row r="98" customFormat="false" ht="15.75" hidden="false" customHeight="true" outlineLevel="0" collapsed="false">
      <c r="A98" s="6"/>
      <c r="B98" s="6"/>
      <c r="C98" s="6"/>
      <c r="E98" s="6"/>
      <c r="P98" s="6"/>
    </row>
    <row r="99" customFormat="false" ht="15.75" hidden="false" customHeight="true" outlineLevel="0" collapsed="false">
      <c r="A99" s="6"/>
      <c r="B99" s="6"/>
      <c r="C99" s="6"/>
      <c r="E99" s="6"/>
      <c r="P99" s="6"/>
    </row>
    <row r="100" customFormat="false" ht="15.75" hidden="false" customHeight="true" outlineLevel="0" collapsed="false">
      <c r="A100" s="6"/>
      <c r="B100" s="6"/>
      <c r="C100" s="6"/>
      <c r="E100" s="6"/>
      <c r="P100" s="6"/>
    </row>
    <row r="101" customFormat="false" ht="15.75" hidden="false" customHeight="true" outlineLevel="0" collapsed="false">
      <c r="A101" s="6"/>
      <c r="B101" s="6"/>
      <c r="C101" s="6"/>
      <c r="E101" s="6"/>
      <c r="P101" s="6"/>
    </row>
    <row r="102" customFormat="false" ht="15.75" hidden="false" customHeight="true" outlineLevel="0" collapsed="false">
      <c r="A102" s="6"/>
      <c r="B102" s="6"/>
      <c r="C102" s="6"/>
      <c r="E102" s="6"/>
      <c r="P102" s="6"/>
    </row>
    <row r="103" customFormat="false" ht="15.75" hidden="false" customHeight="true" outlineLevel="0" collapsed="false">
      <c r="A103" s="6"/>
      <c r="B103" s="6"/>
      <c r="C103" s="6"/>
      <c r="E103" s="6"/>
      <c r="P103" s="6"/>
    </row>
    <row r="104" customFormat="false" ht="15.75" hidden="false" customHeight="true" outlineLevel="0" collapsed="false">
      <c r="A104" s="6"/>
      <c r="B104" s="6"/>
      <c r="C104" s="6"/>
      <c r="E104" s="6"/>
      <c r="P104" s="6"/>
    </row>
    <row r="105" customFormat="false" ht="15.75" hidden="false" customHeight="true" outlineLevel="0" collapsed="false">
      <c r="A105" s="6"/>
      <c r="B105" s="6"/>
      <c r="C105" s="6"/>
      <c r="E105" s="6"/>
      <c r="P105" s="6"/>
    </row>
    <row r="106" customFormat="false" ht="15.75" hidden="false" customHeight="true" outlineLevel="0" collapsed="false">
      <c r="A106" s="6"/>
      <c r="B106" s="6"/>
      <c r="C106" s="6"/>
      <c r="E106" s="6"/>
      <c r="P106" s="6"/>
    </row>
    <row r="107" customFormat="false" ht="15.75" hidden="false" customHeight="true" outlineLevel="0" collapsed="false">
      <c r="A107" s="6"/>
      <c r="B107" s="6"/>
      <c r="C107" s="6"/>
      <c r="E107" s="6"/>
      <c r="P107" s="6"/>
    </row>
    <row r="108" customFormat="false" ht="15.75" hidden="false" customHeight="true" outlineLevel="0" collapsed="false">
      <c r="A108" s="6"/>
      <c r="B108" s="6"/>
      <c r="C108" s="6"/>
      <c r="E108" s="6"/>
      <c r="P108" s="6"/>
    </row>
    <row r="109" customFormat="false" ht="15.75" hidden="false" customHeight="true" outlineLevel="0" collapsed="false">
      <c r="A109" s="6"/>
      <c r="B109" s="6"/>
      <c r="C109" s="6"/>
      <c r="E109" s="6"/>
      <c r="P109" s="6"/>
    </row>
    <row r="110" customFormat="false" ht="15.75" hidden="false" customHeight="true" outlineLevel="0" collapsed="false">
      <c r="A110" s="6"/>
      <c r="B110" s="6"/>
      <c r="C110" s="6"/>
      <c r="E110" s="6"/>
      <c r="P110" s="6"/>
    </row>
    <row r="111" customFormat="false" ht="15.75" hidden="false" customHeight="true" outlineLevel="0" collapsed="false">
      <c r="A111" s="6"/>
      <c r="B111" s="6"/>
      <c r="C111" s="6"/>
      <c r="E111" s="6"/>
      <c r="P111" s="6"/>
    </row>
    <row r="112" customFormat="false" ht="15.75" hidden="false" customHeight="true" outlineLevel="0" collapsed="false">
      <c r="A112" s="6"/>
      <c r="B112" s="6"/>
      <c r="C112" s="6"/>
      <c r="E112" s="6"/>
      <c r="P112" s="6"/>
    </row>
    <row r="113" customFormat="false" ht="15.75" hidden="false" customHeight="true" outlineLevel="0" collapsed="false">
      <c r="A113" s="6"/>
      <c r="B113" s="6"/>
      <c r="C113" s="6"/>
      <c r="E113" s="6"/>
      <c r="P113" s="6"/>
    </row>
    <row r="114" customFormat="false" ht="15.75" hidden="false" customHeight="true" outlineLevel="0" collapsed="false">
      <c r="A114" s="6"/>
      <c r="B114" s="6"/>
      <c r="C114" s="6"/>
      <c r="E114" s="6"/>
      <c r="P114" s="6"/>
    </row>
    <row r="115" customFormat="false" ht="15.75" hidden="false" customHeight="true" outlineLevel="0" collapsed="false">
      <c r="A115" s="6"/>
      <c r="B115" s="6"/>
      <c r="C115" s="6"/>
      <c r="E115" s="6"/>
      <c r="P115" s="6"/>
    </row>
    <row r="116" customFormat="false" ht="15.75" hidden="false" customHeight="true" outlineLevel="0" collapsed="false">
      <c r="A116" s="6"/>
      <c r="B116" s="6"/>
      <c r="C116" s="6"/>
      <c r="E116" s="6"/>
      <c r="P116" s="6"/>
    </row>
    <row r="117" customFormat="false" ht="15.75" hidden="false" customHeight="true" outlineLevel="0" collapsed="false">
      <c r="A117" s="6"/>
      <c r="B117" s="6"/>
      <c r="C117" s="6"/>
      <c r="E117" s="6"/>
      <c r="P117" s="6"/>
    </row>
    <row r="118" customFormat="false" ht="15.75" hidden="false" customHeight="true" outlineLevel="0" collapsed="false">
      <c r="A118" s="6"/>
      <c r="B118" s="6"/>
      <c r="C118" s="6"/>
      <c r="E118" s="6"/>
      <c r="P118" s="6"/>
    </row>
    <row r="119" customFormat="false" ht="15.75" hidden="false" customHeight="true" outlineLevel="0" collapsed="false">
      <c r="A119" s="6"/>
      <c r="B119" s="6"/>
      <c r="C119" s="6"/>
      <c r="E119" s="6"/>
      <c r="P119" s="6"/>
    </row>
    <row r="120" customFormat="false" ht="15.75" hidden="false" customHeight="true" outlineLevel="0" collapsed="false">
      <c r="A120" s="6"/>
      <c r="B120" s="6"/>
      <c r="C120" s="6"/>
      <c r="E120" s="6"/>
      <c r="P120" s="6"/>
    </row>
    <row r="121" customFormat="false" ht="15.75" hidden="false" customHeight="true" outlineLevel="0" collapsed="false">
      <c r="A121" s="6"/>
      <c r="B121" s="6"/>
      <c r="C121" s="6"/>
      <c r="E121" s="6"/>
      <c r="P121" s="6"/>
    </row>
    <row r="122" customFormat="false" ht="15.75" hidden="false" customHeight="true" outlineLevel="0" collapsed="false">
      <c r="A122" s="6"/>
      <c r="B122" s="6"/>
      <c r="C122" s="6"/>
      <c r="E122" s="6"/>
      <c r="P122" s="6"/>
    </row>
    <row r="123" customFormat="false" ht="15.75" hidden="false" customHeight="true" outlineLevel="0" collapsed="false">
      <c r="A123" s="6"/>
      <c r="B123" s="6"/>
      <c r="C123" s="6"/>
      <c r="E123" s="6"/>
      <c r="P123" s="6"/>
    </row>
    <row r="124" customFormat="false" ht="15.75" hidden="false" customHeight="true" outlineLevel="0" collapsed="false">
      <c r="A124" s="6"/>
      <c r="B124" s="6"/>
      <c r="C124" s="6"/>
      <c r="E124" s="6"/>
      <c r="P124" s="6"/>
    </row>
    <row r="125" customFormat="false" ht="15.75" hidden="false" customHeight="true" outlineLevel="0" collapsed="false">
      <c r="A125" s="6"/>
      <c r="B125" s="6"/>
      <c r="C125" s="6"/>
      <c r="E125" s="6"/>
      <c r="P125" s="6"/>
    </row>
    <row r="126" customFormat="false" ht="15.75" hidden="false" customHeight="true" outlineLevel="0" collapsed="false">
      <c r="A126" s="6"/>
      <c r="B126" s="6"/>
      <c r="C126" s="6"/>
      <c r="E126" s="6"/>
      <c r="P126" s="6"/>
    </row>
    <row r="127" customFormat="false" ht="15.75" hidden="false" customHeight="true" outlineLevel="0" collapsed="false">
      <c r="A127" s="6"/>
      <c r="B127" s="6"/>
      <c r="C127" s="6"/>
      <c r="E127" s="6"/>
      <c r="P127" s="6"/>
    </row>
    <row r="128" customFormat="false" ht="15.75" hidden="false" customHeight="true" outlineLevel="0" collapsed="false">
      <c r="A128" s="6"/>
      <c r="B128" s="6"/>
      <c r="C128" s="6"/>
      <c r="E128" s="6"/>
      <c r="P128" s="6"/>
    </row>
    <row r="129" customFormat="false" ht="15.75" hidden="false" customHeight="true" outlineLevel="0" collapsed="false">
      <c r="A129" s="6"/>
      <c r="B129" s="6"/>
      <c r="C129" s="6"/>
      <c r="E129" s="6"/>
      <c r="P129" s="6"/>
    </row>
    <row r="130" customFormat="false" ht="15.75" hidden="false" customHeight="true" outlineLevel="0" collapsed="false">
      <c r="A130" s="6"/>
      <c r="B130" s="6"/>
      <c r="C130" s="6"/>
      <c r="E130" s="6"/>
      <c r="P130" s="6"/>
    </row>
    <row r="131" customFormat="false" ht="15.75" hidden="false" customHeight="true" outlineLevel="0" collapsed="false">
      <c r="A131" s="6"/>
      <c r="B131" s="6"/>
      <c r="C131" s="6"/>
      <c r="E131" s="6"/>
      <c r="P131" s="6"/>
    </row>
    <row r="132" customFormat="false" ht="15.75" hidden="false" customHeight="true" outlineLevel="0" collapsed="false">
      <c r="A132" s="6"/>
      <c r="B132" s="6"/>
      <c r="C132" s="6"/>
      <c r="E132" s="6"/>
      <c r="P132" s="6"/>
    </row>
    <row r="133" customFormat="false" ht="15.75" hidden="false" customHeight="true" outlineLevel="0" collapsed="false">
      <c r="A133" s="6"/>
      <c r="B133" s="6"/>
      <c r="C133" s="6"/>
      <c r="E133" s="6"/>
      <c r="P133" s="6"/>
    </row>
    <row r="134" customFormat="false" ht="15.75" hidden="false" customHeight="true" outlineLevel="0" collapsed="false">
      <c r="A134" s="6"/>
      <c r="B134" s="6"/>
      <c r="C134" s="6"/>
      <c r="E134" s="6"/>
      <c r="P134" s="6"/>
    </row>
    <row r="135" customFormat="false" ht="15.75" hidden="false" customHeight="true" outlineLevel="0" collapsed="false">
      <c r="A135" s="6"/>
      <c r="B135" s="6"/>
      <c r="C135" s="6"/>
      <c r="E135" s="6"/>
      <c r="P135" s="6"/>
    </row>
    <row r="136" customFormat="false" ht="15.75" hidden="false" customHeight="true" outlineLevel="0" collapsed="false">
      <c r="A136" s="6"/>
      <c r="B136" s="6"/>
      <c r="C136" s="6"/>
      <c r="E136" s="6"/>
      <c r="P136" s="6"/>
    </row>
    <row r="137" customFormat="false" ht="15.75" hidden="false" customHeight="true" outlineLevel="0" collapsed="false">
      <c r="A137" s="6"/>
      <c r="B137" s="6"/>
      <c r="C137" s="6"/>
      <c r="E137" s="6"/>
      <c r="P137" s="6"/>
    </row>
    <row r="138" customFormat="false" ht="15.75" hidden="false" customHeight="true" outlineLevel="0" collapsed="false">
      <c r="A138" s="6"/>
      <c r="B138" s="6"/>
      <c r="C138" s="6"/>
      <c r="E138" s="6"/>
      <c r="P138" s="6"/>
    </row>
    <row r="139" customFormat="false" ht="15.75" hidden="false" customHeight="true" outlineLevel="0" collapsed="false">
      <c r="A139" s="6"/>
      <c r="B139" s="6"/>
      <c r="C139" s="6"/>
      <c r="E139" s="6"/>
      <c r="P139" s="6"/>
    </row>
    <row r="140" customFormat="false" ht="15.75" hidden="false" customHeight="true" outlineLevel="0" collapsed="false">
      <c r="A140" s="6"/>
      <c r="B140" s="6"/>
      <c r="C140" s="6"/>
      <c r="E140" s="6"/>
      <c r="P140" s="6"/>
    </row>
    <row r="141" customFormat="false" ht="15.75" hidden="false" customHeight="true" outlineLevel="0" collapsed="false">
      <c r="A141" s="6"/>
      <c r="B141" s="6"/>
      <c r="C141" s="6"/>
      <c r="E141" s="6"/>
      <c r="P141" s="6"/>
    </row>
    <row r="142" customFormat="false" ht="15.75" hidden="false" customHeight="true" outlineLevel="0" collapsed="false">
      <c r="A142" s="6"/>
      <c r="B142" s="6"/>
      <c r="C142" s="6"/>
      <c r="E142" s="6"/>
      <c r="P142" s="6"/>
    </row>
    <row r="143" customFormat="false" ht="15.75" hidden="false" customHeight="true" outlineLevel="0" collapsed="false">
      <c r="A143" s="6"/>
      <c r="B143" s="6"/>
      <c r="C143" s="6"/>
      <c r="E143" s="6"/>
      <c r="P143" s="6"/>
    </row>
    <row r="144" customFormat="false" ht="15.75" hidden="false" customHeight="true" outlineLevel="0" collapsed="false">
      <c r="A144" s="6"/>
      <c r="B144" s="6"/>
      <c r="C144" s="6"/>
      <c r="E144" s="6"/>
      <c r="P144" s="6"/>
    </row>
    <row r="145" customFormat="false" ht="15.75" hidden="false" customHeight="true" outlineLevel="0" collapsed="false">
      <c r="A145" s="6"/>
      <c r="B145" s="6"/>
      <c r="C145" s="6"/>
      <c r="E145" s="6"/>
      <c r="P145" s="6"/>
    </row>
    <row r="146" customFormat="false" ht="15.75" hidden="false" customHeight="true" outlineLevel="0" collapsed="false">
      <c r="A146" s="6"/>
      <c r="B146" s="6"/>
      <c r="C146" s="6"/>
      <c r="E146" s="6"/>
      <c r="P146" s="6"/>
    </row>
    <row r="147" customFormat="false" ht="15.75" hidden="false" customHeight="true" outlineLevel="0" collapsed="false">
      <c r="A147" s="6"/>
      <c r="B147" s="6"/>
      <c r="C147" s="6"/>
      <c r="E147" s="6"/>
      <c r="P147" s="6"/>
    </row>
    <row r="148" customFormat="false" ht="15.75" hidden="false" customHeight="true" outlineLevel="0" collapsed="false">
      <c r="A148" s="6"/>
      <c r="B148" s="6"/>
      <c r="C148" s="6"/>
      <c r="E148" s="6"/>
      <c r="P148" s="6"/>
    </row>
    <row r="149" customFormat="false" ht="15.75" hidden="false" customHeight="true" outlineLevel="0" collapsed="false">
      <c r="A149" s="6"/>
      <c r="B149" s="6"/>
      <c r="C149" s="6"/>
      <c r="E149" s="6"/>
      <c r="P149" s="6"/>
    </row>
    <row r="150" customFormat="false" ht="15.75" hidden="false" customHeight="true" outlineLevel="0" collapsed="false">
      <c r="A150" s="6"/>
      <c r="B150" s="6"/>
      <c r="C150" s="6"/>
      <c r="E150" s="6"/>
      <c r="P150" s="6"/>
    </row>
    <row r="151" customFormat="false" ht="15.75" hidden="false" customHeight="true" outlineLevel="0" collapsed="false">
      <c r="A151" s="6"/>
      <c r="B151" s="6"/>
      <c r="C151" s="6"/>
      <c r="E151" s="6"/>
      <c r="P151" s="6"/>
    </row>
    <row r="152" customFormat="false" ht="15.75" hidden="false" customHeight="true" outlineLevel="0" collapsed="false">
      <c r="A152" s="6"/>
      <c r="B152" s="6"/>
      <c r="C152" s="6"/>
      <c r="E152" s="6"/>
      <c r="P152" s="6"/>
    </row>
    <row r="153" customFormat="false" ht="15.75" hidden="false" customHeight="true" outlineLevel="0" collapsed="false">
      <c r="A153" s="6"/>
      <c r="B153" s="6"/>
      <c r="C153" s="6"/>
      <c r="E153" s="6"/>
      <c r="P153" s="6"/>
    </row>
    <row r="154" customFormat="false" ht="15.75" hidden="false" customHeight="true" outlineLevel="0" collapsed="false">
      <c r="A154" s="6"/>
      <c r="B154" s="6"/>
      <c r="C154" s="6"/>
      <c r="E154" s="6"/>
      <c r="P154" s="6"/>
    </row>
    <row r="155" customFormat="false" ht="15.75" hidden="false" customHeight="true" outlineLevel="0" collapsed="false">
      <c r="A155" s="6"/>
      <c r="B155" s="6"/>
      <c r="C155" s="6"/>
      <c r="E155" s="6"/>
      <c r="P155" s="6"/>
    </row>
    <row r="156" customFormat="false" ht="15.75" hidden="false" customHeight="true" outlineLevel="0" collapsed="false">
      <c r="A156" s="6"/>
      <c r="B156" s="6"/>
      <c r="C156" s="6"/>
      <c r="E156" s="6"/>
      <c r="P156" s="6"/>
    </row>
    <row r="157" customFormat="false" ht="15.75" hidden="false" customHeight="true" outlineLevel="0" collapsed="false">
      <c r="A157" s="6"/>
      <c r="B157" s="6"/>
      <c r="C157" s="6"/>
      <c r="E157" s="6"/>
      <c r="P157" s="6"/>
    </row>
    <row r="158" customFormat="false" ht="15.75" hidden="false" customHeight="true" outlineLevel="0" collapsed="false">
      <c r="A158" s="6"/>
      <c r="B158" s="6"/>
      <c r="C158" s="6"/>
      <c r="E158" s="6"/>
      <c r="P158" s="6"/>
    </row>
    <row r="159" customFormat="false" ht="15.75" hidden="false" customHeight="true" outlineLevel="0" collapsed="false">
      <c r="A159" s="6"/>
      <c r="B159" s="6"/>
      <c r="C159" s="6"/>
      <c r="E159" s="6"/>
      <c r="P159" s="6"/>
    </row>
    <row r="160" customFormat="false" ht="15.75" hidden="false" customHeight="true" outlineLevel="0" collapsed="false">
      <c r="A160" s="6"/>
      <c r="B160" s="6"/>
      <c r="C160" s="6"/>
      <c r="E160" s="6"/>
      <c r="P160" s="6"/>
    </row>
    <row r="161" customFormat="false" ht="15.75" hidden="false" customHeight="true" outlineLevel="0" collapsed="false">
      <c r="A161" s="6"/>
      <c r="B161" s="6"/>
      <c r="C161" s="6"/>
      <c r="E161" s="6"/>
      <c r="P161" s="6"/>
    </row>
    <row r="162" customFormat="false" ht="15.75" hidden="false" customHeight="true" outlineLevel="0" collapsed="false">
      <c r="A162" s="6"/>
      <c r="B162" s="6"/>
      <c r="C162" s="6"/>
      <c r="E162" s="6"/>
      <c r="P162" s="6"/>
    </row>
    <row r="163" customFormat="false" ht="15.75" hidden="false" customHeight="true" outlineLevel="0" collapsed="false">
      <c r="A163" s="6"/>
      <c r="B163" s="6"/>
      <c r="C163" s="6"/>
      <c r="E163" s="6"/>
      <c r="P163" s="6"/>
    </row>
    <row r="164" customFormat="false" ht="15.75" hidden="false" customHeight="true" outlineLevel="0" collapsed="false">
      <c r="A164" s="6"/>
      <c r="B164" s="6"/>
      <c r="C164" s="6"/>
      <c r="E164" s="6"/>
      <c r="P164" s="6"/>
    </row>
    <row r="165" customFormat="false" ht="15.75" hidden="false" customHeight="true" outlineLevel="0" collapsed="false">
      <c r="A165" s="6"/>
      <c r="B165" s="6"/>
      <c r="C165" s="6"/>
      <c r="E165" s="6"/>
      <c r="P165" s="6"/>
    </row>
    <row r="166" customFormat="false" ht="15.75" hidden="false" customHeight="true" outlineLevel="0" collapsed="false">
      <c r="A166" s="6"/>
      <c r="B166" s="6"/>
      <c r="C166" s="6"/>
      <c r="E166" s="6"/>
      <c r="P166" s="6"/>
    </row>
    <row r="167" customFormat="false" ht="15.75" hidden="false" customHeight="true" outlineLevel="0" collapsed="false">
      <c r="A167" s="6"/>
      <c r="B167" s="6"/>
      <c r="C167" s="6"/>
      <c r="E167" s="6"/>
      <c r="P167" s="6"/>
    </row>
    <row r="168" customFormat="false" ht="15.75" hidden="false" customHeight="true" outlineLevel="0" collapsed="false">
      <c r="A168" s="6"/>
      <c r="B168" s="6"/>
      <c r="C168" s="6"/>
      <c r="E168" s="6"/>
      <c r="P168" s="6"/>
    </row>
    <row r="169" customFormat="false" ht="15.75" hidden="false" customHeight="true" outlineLevel="0" collapsed="false">
      <c r="A169" s="6"/>
      <c r="B169" s="6"/>
      <c r="C169" s="6"/>
      <c r="E169" s="6"/>
      <c r="P169" s="6"/>
    </row>
    <row r="170" customFormat="false" ht="15.75" hidden="false" customHeight="true" outlineLevel="0" collapsed="false">
      <c r="A170" s="6"/>
      <c r="B170" s="6"/>
      <c r="C170" s="6"/>
      <c r="E170" s="6"/>
      <c r="P170" s="6"/>
    </row>
    <row r="171" customFormat="false" ht="15.75" hidden="false" customHeight="true" outlineLevel="0" collapsed="false">
      <c r="A171" s="6"/>
      <c r="B171" s="6"/>
      <c r="C171" s="6"/>
      <c r="E171" s="6"/>
      <c r="P171" s="6"/>
    </row>
    <row r="172" customFormat="false" ht="15.75" hidden="false" customHeight="true" outlineLevel="0" collapsed="false">
      <c r="A172" s="6"/>
      <c r="B172" s="6"/>
      <c r="C172" s="6"/>
      <c r="E172" s="6"/>
      <c r="P172" s="6"/>
    </row>
    <row r="173" customFormat="false" ht="15.75" hidden="false" customHeight="true" outlineLevel="0" collapsed="false">
      <c r="A173" s="6"/>
      <c r="B173" s="6"/>
      <c r="C173" s="6"/>
      <c r="E173" s="6"/>
      <c r="P173" s="6"/>
    </row>
    <row r="174" customFormat="false" ht="15.75" hidden="false" customHeight="true" outlineLevel="0" collapsed="false">
      <c r="A174" s="6"/>
      <c r="B174" s="6"/>
      <c r="C174" s="6"/>
      <c r="E174" s="6"/>
      <c r="P174" s="6"/>
    </row>
    <row r="175" customFormat="false" ht="15.75" hidden="false" customHeight="true" outlineLevel="0" collapsed="false">
      <c r="A175" s="6"/>
      <c r="B175" s="6"/>
      <c r="C175" s="6"/>
      <c r="E175" s="6"/>
      <c r="P175" s="6"/>
    </row>
    <row r="176" customFormat="false" ht="15.75" hidden="false" customHeight="true" outlineLevel="0" collapsed="false">
      <c r="A176" s="6"/>
      <c r="B176" s="6"/>
      <c r="C176" s="6"/>
      <c r="E176" s="6"/>
      <c r="P176" s="6"/>
    </row>
    <row r="177" customFormat="false" ht="15.75" hidden="false" customHeight="true" outlineLevel="0" collapsed="false">
      <c r="A177" s="6"/>
      <c r="B177" s="6"/>
      <c r="C177" s="6"/>
      <c r="E177" s="6"/>
      <c r="P177" s="6"/>
    </row>
    <row r="178" customFormat="false" ht="15.75" hidden="false" customHeight="true" outlineLevel="0" collapsed="false">
      <c r="A178" s="6"/>
      <c r="B178" s="6"/>
      <c r="C178" s="6"/>
      <c r="E178" s="6"/>
      <c r="P178" s="6"/>
    </row>
    <row r="179" customFormat="false" ht="15.75" hidden="false" customHeight="true" outlineLevel="0" collapsed="false">
      <c r="A179" s="6"/>
      <c r="B179" s="6"/>
      <c r="C179" s="6"/>
      <c r="E179" s="6"/>
      <c r="P179" s="6"/>
    </row>
    <row r="180" customFormat="false" ht="15.75" hidden="false" customHeight="true" outlineLevel="0" collapsed="false">
      <c r="A180" s="6"/>
      <c r="B180" s="6"/>
      <c r="C180" s="6"/>
      <c r="E180" s="6"/>
      <c r="P180" s="6"/>
    </row>
    <row r="181" customFormat="false" ht="15.75" hidden="false" customHeight="true" outlineLevel="0" collapsed="false">
      <c r="A181" s="6"/>
      <c r="B181" s="6"/>
      <c r="C181" s="6"/>
      <c r="E181" s="6"/>
      <c r="P181" s="6"/>
    </row>
    <row r="182" customFormat="false" ht="15.75" hidden="false" customHeight="true" outlineLevel="0" collapsed="false">
      <c r="A182" s="6"/>
      <c r="B182" s="6"/>
      <c r="C182" s="6"/>
      <c r="E182" s="6"/>
      <c r="P182" s="6"/>
    </row>
    <row r="183" customFormat="false" ht="15.75" hidden="false" customHeight="true" outlineLevel="0" collapsed="false">
      <c r="A183" s="6"/>
      <c r="B183" s="6"/>
      <c r="C183" s="6"/>
      <c r="E183" s="6"/>
      <c r="P183" s="6"/>
    </row>
    <row r="184" customFormat="false" ht="15.75" hidden="false" customHeight="true" outlineLevel="0" collapsed="false">
      <c r="A184" s="6"/>
      <c r="B184" s="6"/>
      <c r="C184" s="6"/>
      <c r="E184" s="6"/>
      <c r="P184" s="6"/>
    </row>
    <row r="185" customFormat="false" ht="15.75" hidden="false" customHeight="true" outlineLevel="0" collapsed="false">
      <c r="A185" s="6"/>
      <c r="B185" s="6"/>
      <c r="C185" s="6"/>
      <c r="E185" s="6"/>
      <c r="P185" s="6"/>
    </row>
    <row r="186" customFormat="false" ht="15.75" hidden="false" customHeight="true" outlineLevel="0" collapsed="false">
      <c r="A186" s="6"/>
      <c r="B186" s="6"/>
      <c r="C186" s="6"/>
      <c r="E186" s="6"/>
      <c r="P186" s="6"/>
    </row>
    <row r="187" customFormat="false" ht="15.75" hidden="false" customHeight="true" outlineLevel="0" collapsed="false">
      <c r="A187" s="6"/>
      <c r="B187" s="6"/>
      <c r="C187" s="6"/>
      <c r="E187" s="6"/>
      <c r="P187" s="6"/>
    </row>
    <row r="188" customFormat="false" ht="15.75" hidden="false" customHeight="true" outlineLevel="0" collapsed="false">
      <c r="A188" s="6"/>
      <c r="B188" s="6"/>
      <c r="C188" s="6"/>
      <c r="E188" s="6"/>
      <c r="P188" s="6"/>
    </row>
    <row r="189" customFormat="false" ht="15.75" hidden="false" customHeight="true" outlineLevel="0" collapsed="false">
      <c r="A189" s="6"/>
      <c r="B189" s="6"/>
      <c r="C189" s="6"/>
      <c r="E189" s="6"/>
      <c r="P189" s="6"/>
    </row>
    <row r="190" customFormat="false" ht="15.75" hidden="false" customHeight="true" outlineLevel="0" collapsed="false">
      <c r="A190" s="6"/>
      <c r="B190" s="6"/>
      <c r="C190" s="6"/>
      <c r="E190" s="6"/>
      <c r="P190" s="6"/>
    </row>
    <row r="191" customFormat="false" ht="15.75" hidden="false" customHeight="true" outlineLevel="0" collapsed="false">
      <c r="A191" s="6"/>
      <c r="B191" s="6"/>
      <c r="C191" s="6"/>
      <c r="E191" s="6"/>
      <c r="P191" s="6"/>
    </row>
    <row r="192" customFormat="false" ht="15.75" hidden="false" customHeight="true" outlineLevel="0" collapsed="false">
      <c r="A192" s="6"/>
      <c r="B192" s="6"/>
      <c r="C192" s="6"/>
      <c r="E192" s="6"/>
      <c r="P192" s="6"/>
    </row>
    <row r="193" customFormat="false" ht="15.75" hidden="false" customHeight="true" outlineLevel="0" collapsed="false">
      <c r="A193" s="6"/>
      <c r="B193" s="6"/>
      <c r="C193" s="6"/>
      <c r="E193" s="6"/>
      <c r="P193" s="6"/>
    </row>
    <row r="194" customFormat="false" ht="15.75" hidden="false" customHeight="true" outlineLevel="0" collapsed="false">
      <c r="A194" s="6"/>
      <c r="B194" s="6"/>
      <c r="C194" s="6"/>
      <c r="E194" s="6"/>
      <c r="P194" s="6"/>
    </row>
    <row r="195" customFormat="false" ht="15.75" hidden="false" customHeight="true" outlineLevel="0" collapsed="false">
      <c r="A195" s="6"/>
      <c r="B195" s="6"/>
      <c r="C195" s="6"/>
      <c r="E195" s="6"/>
      <c r="P195" s="6"/>
    </row>
    <row r="196" customFormat="false" ht="15.75" hidden="false" customHeight="true" outlineLevel="0" collapsed="false">
      <c r="A196" s="6"/>
      <c r="B196" s="6"/>
      <c r="C196" s="6"/>
      <c r="E196" s="6"/>
      <c r="P196" s="6"/>
    </row>
    <row r="197" customFormat="false" ht="15.75" hidden="false" customHeight="true" outlineLevel="0" collapsed="false">
      <c r="A197" s="6"/>
      <c r="B197" s="6"/>
      <c r="C197" s="6"/>
      <c r="E197" s="6"/>
      <c r="P197" s="6"/>
    </row>
    <row r="198" customFormat="false" ht="15.75" hidden="false" customHeight="true" outlineLevel="0" collapsed="false">
      <c r="A198" s="6"/>
      <c r="B198" s="6"/>
      <c r="C198" s="6"/>
      <c r="E198" s="6"/>
      <c r="P198" s="6"/>
    </row>
    <row r="199" customFormat="false" ht="15.75" hidden="false" customHeight="true" outlineLevel="0" collapsed="false">
      <c r="A199" s="6"/>
      <c r="B199" s="6"/>
      <c r="C199" s="6"/>
      <c r="E199" s="6"/>
      <c r="P199" s="6"/>
    </row>
    <row r="200" customFormat="false" ht="15.75" hidden="false" customHeight="true" outlineLevel="0" collapsed="false">
      <c r="A200" s="6"/>
      <c r="B200" s="6"/>
      <c r="C200" s="6"/>
      <c r="E200" s="6"/>
      <c r="P200" s="6"/>
    </row>
    <row r="201" customFormat="false" ht="15.75" hidden="false" customHeight="true" outlineLevel="0" collapsed="false">
      <c r="A201" s="6"/>
      <c r="B201" s="6"/>
      <c r="C201" s="6"/>
      <c r="E201" s="6"/>
      <c r="P201" s="6"/>
    </row>
    <row r="202" customFormat="false" ht="15.75" hidden="false" customHeight="true" outlineLevel="0" collapsed="false">
      <c r="A202" s="6"/>
      <c r="B202" s="6"/>
      <c r="C202" s="6"/>
      <c r="E202" s="6"/>
      <c r="P202" s="6"/>
    </row>
    <row r="203" customFormat="false" ht="15.75" hidden="false" customHeight="true" outlineLevel="0" collapsed="false">
      <c r="A203" s="6"/>
      <c r="B203" s="6"/>
      <c r="C203" s="6"/>
      <c r="E203" s="6"/>
      <c r="P203" s="6"/>
    </row>
    <row r="204" customFormat="false" ht="15.75" hidden="false" customHeight="true" outlineLevel="0" collapsed="false">
      <c r="A204" s="6"/>
      <c r="B204" s="6"/>
      <c r="C204" s="6"/>
      <c r="E204" s="6"/>
      <c r="P204" s="6"/>
    </row>
    <row r="205" customFormat="false" ht="15.75" hidden="false" customHeight="true" outlineLevel="0" collapsed="false">
      <c r="A205" s="6"/>
      <c r="B205" s="6"/>
      <c r="C205" s="6"/>
      <c r="E205" s="6"/>
      <c r="P205" s="6"/>
    </row>
    <row r="206" customFormat="false" ht="15.75" hidden="false" customHeight="true" outlineLevel="0" collapsed="false">
      <c r="A206" s="6"/>
      <c r="B206" s="6"/>
      <c r="C206" s="6"/>
      <c r="E206" s="6"/>
      <c r="P206" s="6"/>
    </row>
    <row r="207" customFormat="false" ht="15.75" hidden="false" customHeight="true" outlineLevel="0" collapsed="false">
      <c r="A207" s="6"/>
      <c r="B207" s="6"/>
      <c r="C207" s="6"/>
      <c r="E207" s="6"/>
      <c r="P207" s="6"/>
    </row>
    <row r="208" customFormat="false" ht="15.75" hidden="false" customHeight="true" outlineLevel="0" collapsed="false">
      <c r="A208" s="6"/>
      <c r="B208" s="6"/>
      <c r="C208" s="6"/>
      <c r="E208" s="6"/>
      <c r="P208" s="6"/>
    </row>
    <row r="209" customFormat="false" ht="15.75" hidden="false" customHeight="true" outlineLevel="0" collapsed="false">
      <c r="A209" s="6"/>
      <c r="B209" s="6"/>
      <c r="C209" s="6"/>
      <c r="E209" s="6"/>
      <c r="P209" s="6"/>
    </row>
    <row r="210" customFormat="false" ht="15.75" hidden="false" customHeight="true" outlineLevel="0" collapsed="false">
      <c r="A210" s="6"/>
      <c r="B210" s="6"/>
      <c r="C210" s="6"/>
      <c r="E210" s="6"/>
      <c r="P210" s="6"/>
    </row>
    <row r="211" customFormat="false" ht="15.75" hidden="false" customHeight="true" outlineLevel="0" collapsed="false">
      <c r="A211" s="6"/>
      <c r="B211" s="6"/>
      <c r="C211" s="6"/>
      <c r="E211" s="6"/>
      <c r="P211" s="6"/>
    </row>
    <row r="212" customFormat="false" ht="15.75" hidden="false" customHeight="true" outlineLevel="0" collapsed="false">
      <c r="A212" s="6"/>
      <c r="B212" s="6"/>
      <c r="C212" s="6"/>
      <c r="E212" s="6"/>
      <c r="P212" s="6"/>
    </row>
    <row r="213" customFormat="false" ht="15.75" hidden="false" customHeight="true" outlineLevel="0" collapsed="false">
      <c r="A213" s="6"/>
      <c r="B213" s="6"/>
      <c r="C213" s="6"/>
      <c r="E213" s="6"/>
      <c r="P213" s="6"/>
    </row>
    <row r="214" customFormat="false" ht="15.75" hidden="false" customHeight="true" outlineLevel="0" collapsed="false">
      <c r="A214" s="6"/>
      <c r="B214" s="6"/>
      <c r="C214" s="6"/>
      <c r="E214" s="6"/>
      <c r="P214" s="6"/>
    </row>
    <row r="215" customFormat="false" ht="15.75" hidden="false" customHeight="true" outlineLevel="0" collapsed="false">
      <c r="A215" s="6"/>
      <c r="B215" s="6"/>
      <c r="C215" s="6"/>
      <c r="E215" s="6"/>
      <c r="P215" s="6"/>
    </row>
    <row r="216" customFormat="false" ht="15.75" hidden="false" customHeight="true" outlineLevel="0" collapsed="false">
      <c r="A216" s="6"/>
      <c r="B216" s="6"/>
      <c r="C216" s="6"/>
      <c r="E216" s="6"/>
      <c r="P216" s="6"/>
    </row>
    <row r="217" customFormat="false" ht="15.75" hidden="false" customHeight="true" outlineLevel="0" collapsed="false">
      <c r="A217" s="6"/>
      <c r="B217" s="6"/>
      <c r="C217" s="6"/>
      <c r="E217" s="6"/>
      <c r="P217" s="6"/>
    </row>
    <row r="218" customFormat="false" ht="15.75" hidden="false" customHeight="true" outlineLevel="0" collapsed="false">
      <c r="A218" s="6"/>
      <c r="B218" s="6"/>
      <c r="C218" s="6"/>
      <c r="E218" s="6"/>
      <c r="P218" s="6"/>
    </row>
    <row r="219" customFormat="false" ht="15.75" hidden="false" customHeight="true" outlineLevel="0" collapsed="false">
      <c r="A219" s="6"/>
      <c r="B219" s="6"/>
      <c r="C219" s="6"/>
      <c r="E219" s="6"/>
      <c r="P219" s="6"/>
    </row>
    <row r="220" customFormat="false" ht="15.75" hidden="false" customHeight="true" outlineLevel="0" collapsed="false">
      <c r="A220" s="6"/>
      <c r="B220" s="6"/>
      <c r="C220" s="6"/>
      <c r="E220" s="6"/>
      <c r="P220" s="6"/>
    </row>
    <row r="221" customFormat="false" ht="15.75" hidden="false" customHeight="true" outlineLevel="0" collapsed="false">
      <c r="A221" s="6"/>
      <c r="B221" s="6"/>
      <c r="C221" s="6"/>
      <c r="E221" s="6"/>
      <c r="P221" s="6"/>
    </row>
    <row r="222" customFormat="false" ht="15.75" hidden="false" customHeight="true" outlineLevel="0" collapsed="false">
      <c r="A222" s="6"/>
      <c r="B222" s="6"/>
      <c r="C222" s="6"/>
      <c r="E222" s="6"/>
      <c r="P222" s="6"/>
    </row>
    <row r="223" customFormat="false" ht="15.75" hidden="false" customHeight="true" outlineLevel="0" collapsed="false">
      <c r="A223" s="6"/>
      <c r="B223" s="6"/>
      <c r="C223" s="6"/>
      <c r="E223" s="6"/>
      <c r="P223" s="6"/>
    </row>
    <row r="224" customFormat="false" ht="15.75" hidden="false" customHeight="true" outlineLevel="0" collapsed="false">
      <c r="A224" s="6"/>
      <c r="B224" s="6"/>
      <c r="C224" s="6"/>
      <c r="E224" s="6"/>
      <c r="P224" s="6"/>
    </row>
    <row r="225" customFormat="false" ht="15.75" hidden="false" customHeight="true" outlineLevel="0" collapsed="false">
      <c r="A225" s="6"/>
      <c r="B225" s="6"/>
      <c r="C225" s="6"/>
      <c r="E225" s="6"/>
      <c r="P225" s="6"/>
    </row>
    <row r="226" customFormat="false" ht="15.75" hidden="false" customHeight="true" outlineLevel="0" collapsed="false">
      <c r="A226" s="6"/>
      <c r="B226" s="6"/>
      <c r="C226" s="6"/>
      <c r="E226" s="6"/>
      <c r="P226" s="6"/>
    </row>
    <row r="227" customFormat="false" ht="15.75" hidden="false" customHeight="true" outlineLevel="0" collapsed="false">
      <c r="A227" s="6"/>
      <c r="B227" s="6"/>
      <c r="C227" s="6"/>
      <c r="E227" s="6"/>
      <c r="P227" s="6"/>
    </row>
    <row r="228" customFormat="false" ht="15.75" hidden="false" customHeight="true" outlineLevel="0" collapsed="false">
      <c r="A228" s="6"/>
      <c r="B228" s="6"/>
      <c r="C228" s="6"/>
      <c r="E228" s="6"/>
      <c r="P228" s="6"/>
    </row>
    <row r="229" customFormat="false" ht="15.75" hidden="false" customHeight="true" outlineLevel="0" collapsed="false">
      <c r="A229" s="6"/>
      <c r="B229" s="6"/>
      <c r="C229" s="6"/>
      <c r="E229" s="6"/>
      <c r="P229" s="6"/>
    </row>
    <row r="230" customFormat="false" ht="15.75" hidden="false" customHeight="true" outlineLevel="0" collapsed="false">
      <c r="A230" s="6"/>
      <c r="B230" s="6"/>
      <c r="C230" s="6"/>
      <c r="E230" s="6"/>
      <c r="P230" s="6"/>
    </row>
    <row r="231" customFormat="false" ht="15.75" hidden="false" customHeight="true" outlineLevel="0" collapsed="false">
      <c r="A231" s="6"/>
      <c r="B231" s="6"/>
      <c r="C231" s="6"/>
      <c r="E231" s="6"/>
      <c r="P231" s="6"/>
    </row>
    <row r="232" customFormat="false" ht="15.75" hidden="false" customHeight="true" outlineLevel="0" collapsed="false">
      <c r="A232" s="6"/>
      <c r="B232" s="6"/>
      <c r="C232" s="6"/>
      <c r="E232" s="6"/>
      <c r="P232" s="6"/>
    </row>
    <row r="233" customFormat="false" ht="15.75" hidden="false" customHeight="true" outlineLevel="0" collapsed="false">
      <c r="A233" s="6"/>
      <c r="B233" s="6"/>
      <c r="C233" s="6"/>
      <c r="E233" s="6"/>
      <c r="P233" s="6"/>
    </row>
    <row r="234" customFormat="false" ht="15.75" hidden="false" customHeight="true" outlineLevel="0" collapsed="false">
      <c r="A234" s="6"/>
      <c r="B234" s="6"/>
      <c r="C234" s="6"/>
      <c r="E234" s="6"/>
      <c r="P234" s="6"/>
    </row>
    <row r="235" customFormat="false" ht="15.75" hidden="false" customHeight="true" outlineLevel="0" collapsed="false">
      <c r="A235" s="6"/>
      <c r="B235" s="6"/>
      <c r="C235" s="6"/>
      <c r="E235" s="6"/>
      <c r="P235" s="6"/>
    </row>
    <row r="236" customFormat="false" ht="15.75" hidden="false" customHeight="true" outlineLevel="0" collapsed="false">
      <c r="A236" s="6"/>
      <c r="B236" s="6"/>
      <c r="C236" s="6"/>
      <c r="E236" s="6"/>
      <c r="P236" s="6"/>
    </row>
    <row r="237" customFormat="false" ht="15.75" hidden="false" customHeight="true" outlineLevel="0" collapsed="false">
      <c r="A237" s="6"/>
      <c r="B237" s="6"/>
      <c r="C237" s="6"/>
      <c r="E237" s="6"/>
      <c r="P237" s="6"/>
    </row>
    <row r="238" customFormat="false" ht="15.75" hidden="false" customHeight="true" outlineLevel="0" collapsed="false">
      <c r="A238" s="6"/>
      <c r="B238" s="6"/>
      <c r="C238" s="6"/>
      <c r="E238" s="6"/>
      <c r="P238" s="6"/>
    </row>
    <row r="239" customFormat="false" ht="15.75" hidden="false" customHeight="true" outlineLevel="0" collapsed="false">
      <c r="A239" s="6"/>
      <c r="B239" s="6"/>
      <c r="C239" s="6"/>
      <c r="E239" s="6"/>
      <c r="P239" s="6"/>
    </row>
    <row r="240" customFormat="false" ht="15.75" hidden="false" customHeight="true" outlineLevel="0" collapsed="false">
      <c r="A240" s="6"/>
      <c r="B240" s="6"/>
      <c r="C240" s="6"/>
      <c r="E240" s="6"/>
      <c r="P240" s="6"/>
    </row>
    <row r="241" customFormat="false" ht="15.75" hidden="false" customHeight="true" outlineLevel="0" collapsed="false">
      <c r="A241" s="6"/>
      <c r="B241" s="6"/>
      <c r="C241" s="6"/>
      <c r="E241" s="6"/>
      <c r="P241" s="6"/>
    </row>
    <row r="242" customFormat="false" ht="15.75" hidden="false" customHeight="true" outlineLevel="0" collapsed="false">
      <c r="A242" s="6"/>
      <c r="B242" s="6"/>
      <c r="C242" s="6"/>
      <c r="E242" s="6"/>
      <c r="P242" s="6"/>
    </row>
    <row r="243" customFormat="false" ht="15.75" hidden="false" customHeight="true" outlineLevel="0" collapsed="false">
      <c r="A243" s="6"/>
      <c r="B243" s="6"/>
      <c r="C243" s="6"/>
      <c r="E243" s="6"/>
      <c r="P243" s="6"/>
    </row>
    <row r="244" customFormat="false" ht="15.75" hidden="false" customHeight="true" outlineLevel="0" collapsed="false">
      <c r="A244" s="6"/>
      <c r="B244" s="6"/>
      <c r="C244" s="6"/>
      <c r="E244" s="6"/>
      <c r="P244" s="6"/>
    </row>
    <row r="245" customFormat="false" ht="15.75" hidden="false" customHeight="true" outlineLevel="0" collapsed="false">
      <c r="A245" s="6"/>
      <c r="B245" s="6"/>
      <c r="C245" s="6"/>
      <c r="E245" s="6"/>
      <c r="P245" s="6"/>
    </row>
    <row r="246" customFormat="false" ht="15.75" hidden="false" customHeight="true" outlineLevel="0" collapsed="false">
      <c r="A246" s="6"/>
      <c r="B246" s="6"/>
      <c r="C246" s="6"/>
      <c r="E246" s="6"/>
      <c r="P246" s="6"/>
    </row>
    <row r="247" customFormat="false" ht="15.75" hidden="false" customHeight="true" outlineLevel="0" collapsed="false">
      <c r="A247" s="6"/>
      <c r="B247" s="6"/>
      <c r="C247" s="6"/>
      <c r="E247" s="6"/>
      <c r="P247" s="6"/>
    </row>
    <row r="248" customFormat="false" ht="15.75" hidden="false" customHeight="true" outlineLevel="0" collapsed="false">
      <c r="A248" s="6"/>
      <c r="B248" s="6"/>
      <c r="C248" s="6"/>
      <c r="E248" s="6"/>
      <c r="P248" s="6"/>
    </row>
    <row r="249" customFormat="false" ht="15.75" hidden="false" customHeight="true" outlineLevel="0" collapsed="false">
      <c r="A249" s="6"/>
      <c r="B249" s="6"/>
      <c r="C249" s="6"/>
      <c r="E249" s="6"/>
      <c r="P249" s="6"/>
    </row>
    <row r="250" customFormat="false" ht="15.75" hidden="false" customHeight="true" outlineLevel="0" collapsed="false">
      <c r="A250" s="6"/>
      <c r="B250" s="6"/>
      <c r="C250" s="6"/>
      <c r="E250" s="6"/>
      <c r="P250" s="6"/>
    </row>
    <row r="251" customFormat="false" ht="15.75" hidden="false" customHeight="true" outlineLevel="0" collapsed="false">
      <c r="A251" s="6"/>
      <c r="B251" s="6"/>
      <c r="C251" s="6"/>
      <c r="E251" s="6"/>
      <c r="P251" s="6"/>
    </row>
    <row r="252" customFormat="false" ht="15.75" hidden="false" customHeight="true" outlineLevel="0" collapsed="false">
      <c r="A252" s="6"/>
      <c r="B252" s="6"/>
      <c r="C252" s="6"/>
      <c r="E252" s="6"/>
      <c r="P252" s="6"/>
    </row>
    <row r="253" customFormat="false" ht="15.75" hidden="false" customHeight="true" outlineLevel="0" collapsed="false">
      <c r="A253" s="6"/>
      <c r="B253" s="6"/>
      <c r="C253" s="6"/>
      <c r="E253" s="6"/>
      <c r="P253" s="6"/>
    </row>
    <row r="254" customFormat="false" ht="15.75" hidden="false" customHeight="true" outlineLevel="0" collapsed="false">
      <c r="A254" s="6"/>
      <c r="B254" s="6"/>
      <c r="C254" s="6"/>
      <c r="E254" s="6"/>
      <c r="P254" s="6"/>
    </row>
    <row r="255" customFormat="false" ht="15.75" hidden="false" customHeight="true" outlineLevel="0" collapsed="false">
      <c r="A255" s="6"/>
      <c r="B255" s="6"/>
      <c r="C255" s="6"/>
      <c r="E255" s="6"/>
      <c r="P255" s="6"/>
    </row>
    <row r="256" customFormat="false" ht="15.75" hidden="false" customHeight="true" outlineLevel="0" collapsed="false">
      <c r="A256" s="6"/>
      <c r="B256" s="6"/>
      <c r="C256" s="6"/>
      <c r="E256" s="6"/>
      <c r="P256" s="6"/>
    </row>
    <row r="257" customFormat="false" ht="15.75" hidden="false" customHeight="true" outlineLevel="0" collapsed="false">
      <c r="A257" s="6"/>
      <c r="B257" s="6"/>
      <c r="C257" s="6"/>
      <c r="E257" s="6"/>
      <c r="P257" s="6"/>
    </row>
    <row r="258" customFormat="false" ht="15.75" hidden="false" customHeight="true" outlineLevel="0" collapsed="false">
      <c r="A258" s="6"/>
      <c r="B258" s="6"/>
      <c r="C258" s="6"/>
      <c r="E258" s="6"/>
      <c r="P258" s="6"/>
    </row>
    <row r="259" customFormat="false" ht="15.75" hidden="false" customHeight="true" outlineLevel="0" collapsed="false">
      <c r="A259" s="6"/>
      <c r="B259" s="6"/>
      <c r="C259" s="6"/>
      <c r="E259" s="6"/>
      <c r="P259" s="6"/>
    </row>
    <row r="260" customFormat="false" ht="15.75" hidden="false" customHeight="true" outlineLevel="0" collapsed="false">
      <c r="A260" s="6"/>
      <c r="B260" s="6"/>
      <c r="C260" s="6"/>
      <c r="E260" s="6"/>
      <c r="P260" s="6"/>
    </row>
    <row r="261" customFormat="false" ht="15.75" hidden="false" customHeight="true" outlineLevel="0" collapsed="false">
      <c r="A261" s="6"/>
      <c r="B261" s="6"/>
      <c r="C261" s="6"/>
      <c r="E261" s="6"/>
      <c r="P261" s="6"/>
    </row>
    <row r="262" customFormat="false" ht="15.75" hidden="false" customHeight="true" outlineLevel="0" collapsed="false">
      <c r="A262" s="6"/>
      <c r="B262" s="6"/>
      <c r="C262" s="6"/>
      <c r="E262" s="6"/>
      <c r="P262" s="6"/>
    </row>
    <row r="263" customFormat="false" ht="15.75" hidden="false" customHeight="true" outlineLevel="0" collapsed="false">
      <c r="A263" s="6"/>
      <c r="B263" s="6"/>
      <c r="C263" s="6"/>
      <c r="E263" s="6"/>
      <c r="P263" s="6"/>
    </row>
    <row r="264" customFormat="false" ht="15.75" hidden="false" customHeight="true" outlineLevel="0" collapsed="false">
      <c r="A264" s="6"/>
      <c r="B264" s="6"/>
      <c r="C264" s="6"/>
      <c r="E264" s="6"/>
      <c r="P264" s="6"/>
    </row>
    <row r="265" customFormat="false" ht="15.75" hidden="false" customHeight="true" outlineLevel="0" collapsed="false">
      <c r="A265" s="6"/>
      <c r="B265" s="6"/>
      <c r="C265" s="6"/>
      <c r="E265" s="6"/>
      <c r="P265" s="6"/>
    </row>
    <row r="266" customFormat="false" ht="15.75" hidden="false" customHeight="true" outlineLevel="0" collapsed="false">
      <c r="A266" s="6"/>
      <c r="B266" s="6"/>
      <c r="C266" s="6"/>
      <c r="E266" s="6"/>
      <c r="P266" s="6"/>
    </row>
    <row r="267" customFormat="false" ht="15.75" hidden="false" customHeight="true" outlineLevel="0" collapsed="false">
      <c r="A267" s="6"/>
      <c r="B267" s="6"/>
      <c r="C267" s="6"/>
      <c r="E267" s="6"/>
      <c r="P267" s="6"/>
    </row>
    <row r="268" customFormat="false" ht="15.75" hidden="false" customHeight="true" outlineLevel="0" collapsed="false">
      <c r="A268" s="6"/>
      <c r="B268" s="6"/>
      <c r="C268" s="6"/>
      <c r="E268" s="6"/>
      <c r="P268" s="6"/>
    </row>
    <row r="269" customFormat="false" ht="15.75" hidden="false" customHeight="true" outlineLevel="0" collapsed="false">
      <c r="A269" s="6"/>
      <c r="B269" s="6"/>
      <c r="C269" s="6"/>
      <c r="E269" s="6"/>
      <c r="P269" s="6"/>
    </row>
    <row r="270" customFormat="false" ht="15.75" hidden="false" customHeight="true" outlineLevel="0" collapsed="false">
      <c r="A270" s="6"/>
      <c r="B270" s="6"/>
      <c r="C270" s="6"/>
      <c r="E270" s="6"/>
      <c r="P270" s="6"/>
    </row>
    <row r="271" customFormat="false" ht="15.75" hidden="false" customHeight="true" outlineLevel="0" collapsed="false">
      <c r="A271" s="6"/>
      <c r="B271" s="6"/>
      <c r="C271" s="6"/>
      <c r="E271" s="6"/>
      <c r="P271" s="6"/>
    </row>
    <row r="272" customFormat="false" ht="15.75" hidden="false" customHeight="true" outlineLevel="0" collapsed="false">
      <c r="A272" s="6"/>
      <c r="B272" s="6"/>
      <c r="C272" s="6"/>
      <c r="E272" s="6"/>
      <c r="P272" s="6"/>
    </row>
    <row r="273" customFormat="false" ht="15.75" hidden="false" customHeight="true" outlineLevel="0" collapsed="false">
      <c r="A273" s="6"/>
      <c r="B273" s="6"/>
      <c r="C273" s="6"/>
      <c r="E273" s="6"/>
      <c r="P273" s="6"/>
    </row>
    <row r="274" customFormat="false" ht="15.75" hidden="false" customHeight="true" outlineLevel="0" collapsed="false">
      <c r="A274" s="6"/>
      <c r="B274" s="6"/>
      <c r="C274" s="6"/>
      <c r="E274" s="6"/>
      <c r="P274" s="6"/>
    </row>
    <row r="275" customFormat="false" ht="15.75" hidden="false" customHeight="true" outlineLevel="0" collapsed="false">
      <c r="A275" s="6"/>
      <c r="B275" s="6"/>
      <c r="C275" s="6"/>
      <c r="E275" s="6"/>
      <c r="P275" s="6"/>
    </row>
    <row r="276" customFormat="false" ht="15.75" hidden="false" customHeight="true" outlineLevel="0" collapsed="false">
      <c r="A276" s="6"/>
      <c r="B276" s="6"/>
      <c r="C276" s="6"/>
      <c r="E276" s="6"/>
      <c r="P276" s="6"/>
    </row>
    <row r="277" customFormat="false" ht="15.75" hidden="false" customHeight="true" outlineLevel="0" collapsed="false">
      <c r="A277" s="6"/>
      <c r="B277" s="6"/>
      <c r="C277" s="6"/>
      <c r="E277" s="6"/>
      <c r="P277" s="6"/>
    </row>
    <row r="278" customFormat="false" ht="15.75" hidden="false" customHeight="true" outlineLevel="0" collapsed="false">
      <c r="A278" s="6"/>
      <c r="B278" s="6"/>
      <c r="C278" s="6"/>
      <c r="E278" s="6"/>
      <c r="P278" s="6"/>
    </row>
    <row r="279" customFormat="false" ht="15.75" hidden="false" customHeight="true" outlineLevel="0" collapsed="false">
      <c r="A279" s="6"/>
      <c r="B279" s="6"/>
      <c r="C279" s="6"/>
      <c r="E279" s="6"/>
      <c r="P279" s="6"/>
    </row>
    <row r="280" customFormat="false" ht="15.75" hidden="false" customHeight="true" outlineLevel="0" collapsed="false">
      <c r="A280" s="6"/>
      <c r="B280" s="6"/>
      <c r="C280" s="6"/>
      <c r="E280" s="6"/>
      <c r="P280" s="6"/>
    </row>
    <row r="281" customFormat="false" ht="15.75" hidden="false" customHeight="true" outlineLevel="0" collapsed="false">
      <c r="A281" s="6"/>
      <c r="B281" s="6"/>
      <c r="C281" s="6"/>
      <c r="E281" s="6"/>
      <c r="P281" s="6"/>
    </row>
    <row r="282" customFormat="false" ht="15.75" hidden="false" customHeight="true" outlineLevel="0" collapsed="false">
      <c r="A282" s="6"/>
      <c r="B282" s="6"/>
      <c r="C282" s="6"/>
      <c r="E282" s="6"/>
      <c r="P282" s="6"/>
    </row>
    <row r="283" customFormat="false" ht="15.75" hidden="false" customHeight="true" outlineLevel="0" collapsed="false">
      <c r="A283" s="6"/>
      <c r="B283" s="6"/>
      <c r="C283" s="6"/>
      <c r="E283" s="6"/>
      <c r="P283" s="6"/>
    </row>
    <row r="284" customFormat="false" ht="15.75" hidden="false" customHeight="true" outlineLevel="0" collapsed="false">
      <c r="A284" s="6"/>
      <c r="B284" s="6"/>
      <c r="C284" s="6"/>
      <c r="E284" s="6"/>
      <c r="P284" s="6"/>
    </row>
    <row r="285" customFormat="false" ht="15.75" hidden="false" customHeight="true" outlineLevel="0" collapsed="false">
      <c r="A285" s="6"/>
      <c r="B285" s="6"/>
      <c r="C285" s="6"/>
      <c r="E285" s="6"/>
      <c r="P285" s="6"/>
    </row>
    <row r="286" customFormat="false" ht="15.75" hidden="false" customHeight="true" outlineLevel="0" collapsed="false">
      <c r="A286" s="6"/>
      <c r="B286" s="6"/>
      <c r="C286" s="6"/>
      <c r="E286" s="6"/>
      <c r="P286" s="6"/>
    </row>
    <row r="287" customFormat="false" ht="15.75" hidden="false" customHeight="true" outlineLevel="0" collapsed="false">
      <c r="A287" s="6"/>
      <c r="B287" s="6"/>
      <c r="C287" s="6"/>
      <c r="E287" s="6"/>
      <c r="P287" s="6"/>
    </row>
    <row r="288" customFormat="false" ht="15.75" hidden="false" customHeight="true" outlineLevel="0" collapsed="false">
      <c r="A288" s="6"/>
      <c r="B288" s="6"/>
      <c r="C288" s="6"/>
      <c r="E288" s="6"/>
      <c r="P288" s="6"/>
    </row>
    <row r="289" customFormat="false" ht="15.75" hidden="false" customHeight="true" outlineLevel="0" collapsed="false">
      <c r="A289" s="6"/>
      <c r="B289" s="6"/>
      <c r="C289" s="6"/>
      <c r="E289" s="6"/>
      <c r="P289" s="6"/>
    </row>
    <row r="290" customFormat="false" ht="15.75" hidden="false" customHeight="true" outlineLevel="0" collapsed="false">
      <c r="A290" s="6"/>
      <c r="B290" s="6"/>
      <c r="C290" s="6"/>
      <c r="E290" s="6"/>
      <c r="P290" s="6"/>
    </row>
    <row r="291" customFormat="false" ht="15.75" hidden="false" customHeight="true" outlineLevel="0" collapsed="false">
      <c r="A291" s="6"/>
      <c r="B291" s="6"/>
      <c r="C291" s="6"/>
      <c r="E291" s="6"/>
      <c r="P291" s="6"/>
    </row>
    <row r="292" customFormat="false" ht="15.75" hidden="false" customHeight="true" outlineLevel="0" collapsed="false">
      <c r="A292" s="6"/>
      <c r="B292" s="6"/>
      <c r="C292" s="6"/>
      <c r="E292" s="6"/>
      <c r="P292" s="6"/>
    </row>
    <row r="293" customFormat="false" ht="15.75" hidden="false" customHeight="true" outlineLevel="0" collapsed="false">
      <c r="A293" s="6"/>
      <c r="B293" s="6"/>
      <c r="C293" s="6"/>
      <c r="E293" s="6"/>
      <c r="P293" s="6"/>
    </row>
    <row r="294" customFormat="false" ht="15.75" hidden="false" customHeight="true" outlineLevel="0" collapsed="false">
      <c r="A294" s="6"/>
      <c r="B294" s="6"/>
      <c r="C294" s="6"/>
      <c r="E294" s="6"/>
      <c r="P294" s="6"/>
    </row>
    <row r="295" customFormat="false" ht="15.75" hidden="false" customHeight="true" outlineLevel="0" collapsed="false">
      <c r="A295" s="6"/>
      <c r="B295" s="6"/>
      <c r="C295" s="6"/>
      <c r="E295" s="6"/>
      <c r="P295" s="6"/>
    </row>
    <row r="296" customFormat="false" ht="15.75" hidden="false" customHeight="true" outlineLevel="0" collapsed="false">
      <c r="A296" s="6"/>
      <c r="B296" s="6"/>
      <c r="C296" s="6"/>
      <c r="E296" s="6"/>
      <c r="P296" s="6"/>
    </row>
    <row r="297" customFormat="false" ht="15.75" hidden="false" customHeight="true" outlineLevel="0" collapsed="false">
      <c r="A297" s="6"/>
      <c r="B297" s="6"/>
      <c r="C297" s="6"/>
      <c r="E297" s="6"/>
      <c r="P297" s="6"/>
    </row>
    <row r="298" customFormat="false" ht="15.75" hidden="false" customHeight="true" outlineLevel="0" collapsed="false">
      <c r="A298" s="6"/>
      <c r="B298" s="6"/>
      <c r="C298" s="6"/>
      <c r="E298" s="6"/>
      <c r="P298" s="6"/>
    </row>
    <row r="299" customFormat="false" ht="15.75" hidden="false" customHeight="true" outlineLevel="0" collapsed="false">
      <c r="A299" s="6"/>
      <c r="B299" s="6"/>
      <c r="C299" s="6"/>
      <c r="E299" s="6"/>
      <c r="P299" s="6"/>
    </row>
    <row r="300" customFormat="false" ht="15.75" hidden="false" customHeight="true" outlineLevel="0" collapsed="false">
      <c r="A300" s="6"/>
      <c r="B300" s="6"/>
      <c r="C300" s="6"/>
      <c r="E300" s="6"/>
      <c r="P300" s="6"/>
    </row>
    <row r="301" customFormat="false" ht="15.75" hidden="false" customHeight="true" outlineLevel="0" collapsed="false">
      <c r="A301" s="6"/>
      <c r="B301" s="6"/>
      <c r="C301" s="6"/>
      <c r="E301" s="6"/>
      <c r="P301" s="6"/>
    </row>
    <row r="302" customFormat="false" ht="15.75" hidden="false" customHeight="true" outlineLevel="0" collapsed="false">
      <c r="A302" s="6"/>
      <c r="B302" s="6"/>
      <c r="C302" s="6"/>
      <c r="E302" s="6"/>
      <c r="P302" s="6"/>
    </row>
    <row r="303" customFormat="false" ht="15.75" hidden="false" customHeight="true" outlineLevel="0" collapsed="false">
      <c r="A303" s="6"/>
      <c r="B303" s="6"/>
      <c r="C303" s="6"/>
      <c r="E303" s="6"/>
      <c r="P303" s="6"/>
    </row>
    <row r="304" customFormat="false" ht="15.75" hidden="false" customHeight="true" outlineLevel="0" collapsed="false">
      <c r="A304" s="6"/>
      <c r="B304" s="6"/>
      <c r="C304" s="6"/>
      <c r="E304" s="6"/>
      <c r="P304" s="6"/>
    </row>
    <row r="305" customFormat="false" ht="15.75" hidden="false" customHeight="true" outlineLevel="0" collapsed="false">
      <c r="A305" s="6"/>
      <c r="B305" s="6"/>
      <c r="C305" s="6"/>
      <c r="E305" s="6"/>
      <c r="P305" s="6"/>
    </row>
    <row r="306" customFormat="false" ht="15.75" hidden="false" customHeight="true" outlineLevel="0" collapsed="false">
      <c r="A306" s="6"/>
      <c r="B306" s="6"/>
      <c r="C306" s="6"/>
      <c r="E306" s="6"/>
      <c r="P306" s="6"/>
    </row>
    <row r="307" customFormat="false" ht="15.75" hidden="false" customHeight="true" outlineLevel="0" collapsed="false">
      <c r="A307" s="6"/>
      <c r="B307" s="6"/>
      <c r="C307" s="6"/>
      <c r="E307" s="6"/>
      <c r="P307" s="6"/>
    </row>
    <row r="308" customFormat="false" ht="15.75" hidden="false" customHeight="true" outlineLevel="0" collapsed="false">
      <c r="A308" s="6"/>
      <c r="B308" s="6"/>
      <c r="C308" s="6"/>
      <c r="E308" s="6"/>
      <c r="P308" s="6"/>
    </row>
    <row r="309" customFormat="false" ht="15.75" hidden="false" customHeight="true" outlineLevel="0" collapsed="false">
      <c r="A309" s="6"/>
      <c r="B309" s="6"/>
      <c r="C309" s="6"/>
      <c r="E309" s="6"/>
      <c r="P309" s="6"/>
    </row>
    <row r="310" customFormat="false" ht="15.75" hidden="false" customHeight="true" outlineLevel="0" collapsed="false">
      <c r="A310" s="6"/>
      <c r="B310" s="6"/>
      <c r="C310" s="6"/>
      <c r="E310" s="6"/>
      <c r="P310" s="6"/>
    </row>
    <row r="311" customFormat="false" ht="15.75" hidden="false" customHeight="true" outlineLevel="0" collapsed="false">
      <c r="A311" s="6"/>
      <c r="B311" s="6"/>
      <c r="C311" s="6"/>
      <c r="E311" s="6"/>
      <c r="P311" s="6"/>
    </row>
    <row r="312" customFormat="false" ht="15.75" hidden="false" customHeight="true" outlineLevel="0" collapsed="false">
      <c r="A312" s="6"/>
      <c r="B312" s="6"/>
      <c r="C312" s="6"/>
      <c r="E312" s="6"/>
      <c r="P312" s="6"/>
    </row>
    <row r="313" customFormat="false" ht="15.75" hidden="false" customHeight="true" outlineLevel="0" collapsed="false">
      <c r="A313" s="6"/>
      <c r="B313" s="6"/>
      <c r="C313" s="6"/>
      <c r="E313" s="6"/>
      <c r="P313" s="6"/>
    </row>
    <row r="314" customFormat="false" ht="15.75" hidden="false" customHeight="true" outlineLevel="0" collapsed="false">
      <c r="A314" s="6"/>
      <c r="B314" s="6"/>
      <c r="C314" s="6"/>
      <c r="E314" s="6"/>
      <c r="P314" s="6"/>
    </row>
    <row r="315" customFormat="false" ht="15.75" hidden="false" customHeight="true" outlineLevel="0" collapsed="false">
      <c r="A315" s="6"/>
      <c r="B315" s="6"/>
      <c r="C315" s="6"/>
      <c r="E315" s="6"/>
      <c r="P315" s="6"/>
    </row>
    <row r="316" customFormat="false" ht="15.75" hidden="false" customHeight="true" outlineLevel="0" collapsed="false">
      <c r="A316" s="6"/>
      <c r="B316" s="6"/>
      <c r="C316" s="6"/>
      <c r="E316" s="6"/>
      <c r="P316" s="6"/>
    </row>
    <row r="317" customFormat="false" ht="15.75" hidden="false" customHeight="true" outlineLevel="0" collapsed="false">
      <c r="A317" s="6"/>
      <c r="B317" s="6"/>
      <c r="C317" s="6"/>
      <c r="E317" s="6"/>
      <c r="P317" s="6"/>
    </row>
    <row r="318" customFormat="false" ht="15.75" hidden="false" customHeight="true" outlineLevel="0" collapsed="false">
      <c r="A318" s="6"/>
      <c r="B318" s="6"/>
      <c r="C318" s="6"/>
      <c r="E318" s="6"/>
      <c r="P318" s="6"/>
    </row>
    <row r="319" customFormat="false" ht="15.75" hidden="false" customHeight="true" outlineLevel="0" collapsed="false">
      <c r="A319" s="6"/>
      <c r="B319" s="6"/>
      <c r="C319" s="6"/>
      <c r="E319" s="6"/>
      <c r="P319" s="6"/>
    </row>
    <row r="320" customFormat="false" ht="15.75" hidden="false" customHeight="true" outlineLevel="0" collapsed="false">
      <c r="A320" s="6"/>
      <c r="B320" s="6"/>
      <c r="C320" s="6"/>
      <c r="E320" s="6"/>
      <c r="P320" s="6"/>
    </row>
    <row r="321" customFormat="false" ht="15.75" hidden="false" customHeight="true" outlineLevel="0" collapsed="false">
      <c r="A321" s="6"/>
      <c r="B321" s="6"/>
      <c r="C321" s="6"/>
      <c r="E321" s="6"/>
      <c r="P321" s="6"/>
    </row>
    <row r="322" customFormat="false" ht="15.75" hidden="false" customHeight="true" outlineLevel="0" collapsed="false">
      <c r="A322" s="6"/>
      <c r="B322" s="6"/>
      <c r="C322" s="6"/>
      <c r="E322" s="6"/>
      <c r="P322" s="6"/>
    </row>
    <row r="323" customFormat="false" ht="15.75" hidden="false" customHeight="true" outlineLevel="0" collapsed="false">
      <c r="A323" s="6"/>
      <c r="B323" s="6"/>
      <c r="C323" s="6"/>
      <c r="E323" s="6"/>
      <c r="P323" s="6"/>
    </row>
    <row r="324" customFormat="false" ht="15.75" hidden="false" customHeight="true" outlineLevel="0" collapsed="false">
      <c r="A324" s="6"/>
      <c r="B324" s="6"/>
      <c r="C324" s="6"/>
      <c r="E324" s="6"/>
      <c r="P324" s="6"/>
    </row>
    <row r="325" customFormat="false" ht="15.75" hidden="false" customHeight="true" outlineLevel="0" collapsed="false">
      <c r="A325" s="6"/>
      <c r="B325" s="6"/>
      <c r="C325" s="6"/>
      <c r="E325" s="6"/>
      <c r="P325" s="6"/>
    </row>
    <row r="326" customFormat="false" ht="15.75" hidden="false" customHeight="true" outlineLevel="0" collapsed="false">
      <c r="A326" s="6"/>
      <c r="B326" s="6"/>
      <c r="C326" s="6"/>
      <c r="E326" s="6"/>
      <c r="P326" s="6"/>
    </row>
    <row r="327" customFormat="false" ht="15.75" hidden="false" customHeight="true" outlineLevel="0" collapsed="false">
      <c r="A327" s="6"/>
      <c r="B327" s="6"/>
      <c r="C327" s="6"/>
      <c r="E327" s="6"/>
      <c r="P327" s="6"/>
    </row>
    <row r="328" customFormat="false" ht="15.75" hidden="false" customHeight="true" outlineLevel="0" collapsed="false">
      <c r="A328" s="6"/>
      <c r="B328" s="6"/>
      <c r="C328" s="6"/>
      <c r="E328" s="6"/>
      <c r="P328" s="6"/>
    </row>
    <row r="329" customFormat="false" ht="15.75" hidden="false" customHeight="true" outlineLevel="0" collapsed="false">
      <c r="A329" s="6"/>
      <c r="B329" s="6"/>
      <c r="C329" s="6"/>
      <c r="E329" s="6"/>
      <c r="P329" s="6"/>
    </row>
    <row r="330" customFormat="false" ht="15.75" hidden="false" customHeight="true" outlineLevel="0" collapsed="false">
      <c r="A330" s="6"/>
      <c r="B330" s="6"/>
      <c r="C330" s="6"/>
      <c r="E330" s="6"/>
      <c r="P330" s="6"/>
    </row>
    <row r="331" customFormat="false" ht="15.75" hidden="false" customHeight="true" outlineLevel="0" collapsed="false">
      <c r="A331" s="6"/>
      <c r="B331" s="6"/>
      <c r="C331" s="6"/>
      <c r="E331" s="6"/>
      <c r="P331" s="6"/>
    </row>
    <row r="332" customFormat="false" ht="15.75" hidden="false" customHeight="true" outlineLevel="0" collapsed="false">
      <c r="A332" s="6"/>
      <c r="B332" s="6"/>
      <c r="C332" s="6"/>
      <c r="E332" s="6"/>
      <c r="P332" s="6"/>
    </row>
    <row r="333" customFormat="false" ht="15.75" hidden="false" customHeight="true" outlineLevel="0" collapsed="false">
      <c r="A333" s="6"/>
      <c r="B333" s="6"/>
      <c r="C333" s="6"/>
      <c r="E333" s="6"/>
      <c r="P333" s="6"/>
    </row>
    <row r="334" customFormat="false" ht="15.75" hidden="false" customHeight="true" outlineLevel="0" collapsed="false">
      <c r="A334" s="6"/>
      <c r="B334" s="6"/>
      <c r="C334" s="6"/>
      <c r="E334" s="6"/>
      <c r="P334" s="6"/>
    </row>
    <row r="335" customFormat="false" ht="15.75" hidden="false" customHeight="true" outlineLevel="0" collapsed="false">
      <c r="A335" s="6"/>
      <c r="B335" s="6"/>
      <c r="C335" s="6"/>
      <c r="E335" s="6"/>
      <c r="P335" s="6"/>
    </row>
    <row r="336" customFormat="false" ht="15.75" hidden="false" customHeight="true" outlineLevel="0" collapsed="false">
      <c r="A336" s="6"/>
      <c r="B336" s="6"/>
      <c r="C336" s="6"/>
      <c r="E336" s="6"/>
      <c r="P336" s="6"/>
    </row>
    <row r="337" customFormat="false" ht="15.75" hidden="false" customHeight="true" outlineLevel="0" collapsed="false">
      <c r="A337" s="6"/>
      <c r="B337" s="6"/>
      <c r="C337" s="6"/>
      <c r="E337" s="6"/>
      <c r="P337" s="6"/>
    </row>
    <row r="338" customFormat="false" ht="15.75" hidden="false" customHeight="true" outlineLevel="0" collapsed="false">
      <c r="A338" s="6"/>
      <c r="B338" s="6"/>
      <c r="C338" s="6"/>
      <c r="E338" s="6"/>
      <c r="P338" s="6"/>
    </row>
    <row r="339" customFormat="false" ht="15.75" hidden="false" customHeight="true" outlineLevel="0" collapsed="false">
      <c r="A339" s="6"/>
      <c r="B339" s="6"/>
      <c r="C339" s="6"/>
      <c r="E339" s="6"/>
      <c r="P339" s="6"/>
    </row>
    <row r="340" customFormat="false" ht="15.75" hidden="false" customHeight="true" outlineLevel="0" collapsed="false">
      <c r="A340" s="6"/>
      <c r="B340" s="6"/>
      <c r="C340" s="6"/>
      <c r="E340" s="6"/>
      <c r="P340" s="6"/>
    </row>
    <row r="341" customFormat="false" ht="15.75" hidden="false" customHeight="true" outlineLevel="0" collapsed="false">
      <c r="A341" s="6"/>
      <c r="B341" s="6"/>
      <c r="C341" s="6"/>
      <c r="E341" s="6"/>
      <c r="P341" s="6"/>
    </row>
    <row r="342" customFormat="false" ht="15.75" hidden="false" customHeight="true" outlineLevel="0" collapsed="false">
      <c r="A342" s="6"/>
      <c r="B342" s="6"/>
      <c r="C342" s="6"/>
      <c r="E342" s="6"/>
      <c r="P342" s="6"/>
    </row>
    <row r="343" customFormat="false" ht="15.75" hidden="false" customHeight="true" outlineLevel="0" collapsed="false">
      <c r="A343" s="6"/>
      <c r="B343" s="6"/>
      <c r="C343" s="6"/>
      <c r="E343" s="6"/>
      <c r="P343" s="6"/>
    </row>
    <row r="344" customFormat="false" ht="15.75" hidden="false" customHeight="true" outlineLevel="0" collapsed="false">
      <c r="A344" s="6"/>
      <c r="B344" s="6"/>
      <c r="C344" s="6"/>
      <c r="E344" s="6"/>
      <c r="P344" s="6"/>
    </row>
    <row r="345" customFormat="false" ht="15.75" hidden="false" customHeight="true" outlineLevel="0" collapsed="false">
      <c r="A345" s="6"/>
      <c r="B345" s="6"/>
      <c r="C345" s="6"/>
      <c r="E345" s="6"/>
      <c r="P345" s="6"/>
    </row>
    <row r="346" customFormat="false" ht="15.75" hidden="false" customHeight="true" outlineLevel="0" collapsed="false">
      <c r="A346" s="6"/>
      <c r="B346" s="6"/>
      <c r="C346" s="6"/>
      <c r="E346" s="6"/>
      <c r="P346" s="6"/>
    </row>
    <row r="347" customFormat="false" ht="15.75" hidden="false" customHeight="true" outlineLevel="0" collapsed="false">
      <c r="A347" s="6"/>
      <c r="B347" s="6"/>
      <c r="C347" s="6"/>
      <c r="E347" s="6"/>
      <c r="P347" s="6"/>
    </row>
    <row r="348" customFormat="false" ht="15.75" hidden="false" customHeight="true" outlineLevel="0" collapsed="false">
      <c r="A348" s="6"/>
      <c r="B348" s="6"/>
      <c r="C348" s="6"/>
      <c r="E348" s="6"/>
      <c r="P348" s="6"/>
    </row>
    <row r="349" customFormat="false" ht="15.75" hidden="false" customHeight="true" outlineLevel="0" collapsed="false">
      <c r="A349" s="6"/>
      <c r="B349" s="6"/>
      <c r="C349" s="6"/>
      <c r="E349" s="6"/>
      <c r="P349" s="6"/>
    </row>
    <row r="350" customFormat="false" ht="15.75" hidden="false" customHeight="true" outlineLevel="0" collapsed="false">
      <c r="A350" s="6"/>
      <c r="B350" s="6"/>
      <c r="C350" s="6"/>
      <c r="E350" s="6"/>
      <c r="P350" s="6"/>
    </row>
    <row r="351" customFormat="false" ht="15.75" hidden="false" customHeight="true" outlineLevel="0" collapsed="false">
      <c r="A351" s="6"/>
      <c r="B351" s="6"/>
      <c r="C351" s="6"/>
      <c r="E351" s="6"/>
      <c r="P351" s="6"/>
    </row>
    <row r="352" customFormat="false" ht="15.75" hidden="false" customHeight="true" outlineLevel="0" collapsed="false">
      <c r="A352" s="6"/>
      <c r="B352" s="6"/>
      <c r="C352" s="6"/>
      <c r="E352" s="6"/>
      <c r="P352" s="6"/>
    </row>
    <row r="353" customFormat="false" ht="15.75" hidden="false" customHeight="true" outlineLevel="0" collapsed="false">
      <c r="A353" s="6"/>
      <c r="B353" s="6"/>
      <c r="C353" s="6"/>
      <c r="E353" s="6"/>
      <c r="P353" s="6"/>
    </row>
    <row r="354" customFormat="false" ht="15.75" hidden="false" customHeight="true" outlineLevel="0" collapsed="false">
      <c r="A354" s="6"/>
      <c r="B354" s="6"/>
      <c r="C354" s="6"/>
      <c r="E354" s="6"/>
      <c r="P354" s="6"/>
    </row>
    <row r="355" customFormat="false" ht="15.75" hidden="false" customHeight="true" outlineLevel="0" collapsed="false">
      <c r="A355" s="6"/>
      <c r="B355" s="6"/>
      <c r="C355" s="6"/>
      <c r="E355" s="6"/>
      <c r="P355" s="6"/>
    </row>
    <row r="356" customFormat="false" ht="15.75" hidden="false" customHeight="true" outlineLevel="0" collapsed="false">
      <c r="A356" s="6"/>
      <c r="B356" s="6"/>
      <c r="C356" s="6"/>
      <c r="E356" s="6"/>
      <c r="P356" s="6"/>
    </row>
    <row r="357" customFormat="false" ht="15.75" hidden="false" customHeight="true" outlineLevel="0" collapsed="false">
      <c r="A357" s="6"/>
      <c r="B357" s="6"/>
      <c r="C357" s="6"/>
      <c r="E357" s="6"/>
      <c r="P357" s="6"/>
    </row>
    <row r="358" customFormat="false" ht="15.75" hidden="false" customHeight="true" outlineLevel="0" collapsed="false">
      <c r="A358" s="6"/>
      <c r="B358" s="6"/>
      <c r="C358" s="6"/>
      <c r="E358" s="6"/>
      <c r="P358" s="6"/>
    </row>
    <row r="359" customFormat="false" ht="15.75" hidden="false" customHeight="true" outlineLevel="0" collapsed="false">
      <c r="A359" s="6"/>
      <c r="B359" s="6"/>
      <c r="C359" s="6"/>
      <c r="E359" s="6"/>
      <c r="P359" s="6"/>
    </row>
    <row r="360" customFormat="false" ht="15.75" hidden="false" customHeight="true" outlineLevel="0" collapsed="false">
      <c r="A360" s="6"/>
      <c r="B360" s="6"/>
      <c r="C360" s="6"/>
      <c r="E360" s="6"/>
      <c r="P360" s="6"/>
    </row>
    <row r="361" customFormat="false" ht="15.75" hidden="false" customHeight="true" outlineLevel="0" collapsed="false">
      <c r="A361" s="6"/>
      <c r="B361" s="6"/>
      <c r="C361" s="6"/>
      <c r="E361" s="6"/>
      <c r="P361" s="6"/>
    </row>
    <row r="362" customFormat="false" ht="15.75" hidden="false" customHeight="true" outlineLevel="0" collapsed="false">
      <c r="A362" s="6"/>
      <c r="B362" s="6"/>
      <c r="C362" s="6"/>
      <c r="E362" s="6"/>
      <c r="P362" s="6"/>
    </row>
    <row r="363" customFormat="false" ht="15.75" hidden="false" customHeight="true" outlineLevel="0" collapsed="false">
      <c r="A363" s="6"/>
      <c r="B363" s="6"/>
      <c r="C363" s="6"/>
      <c r="E363" s="6"/>
      <c r="P363" s="6"/>
    </row>
    <row r="364" customFormat="false" ht="15.75" hidden="false" customHeight="true" outlineLevel="0" collapsed="false">
      <c r="A364" s="6"/>
      <c r="B364" s="6"/>
      <c r="C364" s="6"/>
      <c r="E364" s="6"/>
      <c r="P364" s="6"/>
    </row>
    <row r="365" customFormat="false" ht="15.75" hidden="false" customHeight="true" outlineLevel="0" collapsed="false">
      <c r="A365" s="6"/>
      <c r="B365" s="6"/>
      <c r="C365" s="6"/>
      <c r="E365" s="6"/>
      <c r="P365" s="6"/>
    </row>
    <row r="366" customFormat="false" ht="15.75" hidden="false" customHeight="true" outlineLevel="0" collapsed="false">
      <c r="A366" s="6"/>
      <c r="B366" s="6"/>
      <c r="C366" s="6"/>
      <c r="E366" s="6"/>
      <c r="P366" s="6"/>
    </row>
    <row r="367" customFormat="false" ht="15.75" hidden="false" customHeight="true" outlineLevel="0" collapsed="false">
      <c r="A367" s="6"/>
      <c r="B367" s="6"/>
      <c r="C367" s="6"/>
      <c r="E367" s="6"/>
      <c r="P367" s="6"/>
    </row>
    <row r="368" customFormat="false" ht="15.75" hidden="false" customHeight="true" outlineLevel="0" collapsed="false">
      <c r="A368" s="6"/>
      <c r="B368" s="6"/>
      <c r="C368" s="6"/>
      <c r="E368" s="6"/>
      <c r="P368" s="6"/>
    </row>
    <row r="369" customFormat="false" ht="15.75" hidden="false" customHeight="true" outlineLevel="0" collapsed="false">
      <c r="A369" s="6"/>
      <c r="B369" s="6"/>
      <c r="C369" s="6"/>
      <c r="E369" s="6"/>
      <c r="P369" s="6"/>
    </row>
    <row r="370" customFormat="false" ht="15.75" hidden="false" customHeight="true" outlineLevel="0" collapsed="false">
      <c r="A370" s="6"/>
      <c r="B370" s="6"/>
      <c r="C370" s="6"/>
      <c r="E370" s="6"/>
      <c r="P370" s="6"/>
    </row>
    <row r="371" customFormat="false" ht="15.75" hidden="false" customHeight="true" outlineLevel="0" collapsed="false">
      <c r="A371" s="6"/>
      <c r="B371" s="6"/>
      <c r="C371" s="6"/>
      <c r="E371" s="6"/>
      <c r="P371" s="6"/>
    </row>
    <row r="372" customFormat="false" ht="15.75" hidden="false" customHeight="true" outlineLevel="0" collapsed="false">
      <c r="A372" s="6"/>
      <c r="B372" s="6"/>
      <c r="C372" s="6"/>
      <c r="E372" s="6"/>
      <c r="P372" s="6"/>
    </row>
    <row r="373" customFormat="false" ht="15.75" hidden="false" customHeight="true" outlineLevel="0" collapsed="false">
      <c r="A373" s="6"/>
      <c r="B373" s="6"/>
      <c r="C373" s="6"/>
      <c r="E373" s="6"/>
      <c r="P373" s="6"/>
    </row>
    <row r="374" customFormat="false" ht="15.75" hidden="false" customHeight="true" outlineLevel="0" collapsed="false">
      <c r="A374" s="6"/>
      <c r="B374" s="6"/>
      <c r="C374" s="6"/>
      <c r="E374" s="6"/>
      <c r="P374" s="6"/>
    </row>
    <row r="375" customFormat="false" ht="15.75" hidden="false" customHeight="true" outlineLevel="0" collapsed="false">
      <c r="A375" s="6"/>
      <c r="B375" s="6"/>
      <c r="C375" s="6"/>
      <c r="E375" s="6"/>
      <c r="P375" s="6"/>
    </row>
    <row r="376" customFormat="false" ht="15.75" hidden="false" customHeight="true" outlineLevel="0" collapsed="false">
      <c r="A376" s="6"/>
      <c r="B376" s="6"/>
      <c r="C376" s="6"/>
      <c r="E376" s="6"/>
      <c r="P376" s="6"/>
    </row>
    <row r="377" customFormat="false" ht="15.75" hidden="false" customHeight="true" outlineLevel="0" collapsed="false">
      <c r="A377" s="6"/>
      <c r="B377" s="6"/>
      <c r="C377" s="6"/>
      <c r="E377" s="6"/>
      <c r="P377" s="6"/>
    </row>
    <row r="378" customFormat="false" ht="15.75" hidden="false" customHeight="true" outlineLevel="0" collapsed="false">
      <c r="A378" s="6"/>
      <c r="B378" s="6"/>
      <c r="C378" s="6"/>
      <c r="E378" s="6"/>
      <c r="P378" s="6"/>
    </row>
    <row r="379" customFormat="false" ht="15.75" hidden="false" customHeight="true" outlineLevel="0" collapsed="false">
      <c r="A379" s="6"/>
      <c r="B379" s="6"/>
      <c r="C379" s="6"/>
      <c r="E379" s="6"/>
      <c r="P379" s="6"/>
    </row>
    <row r="380" customFormat="false" ht="15.75" hidden="false" customHeight="true" outlineLevel="0" collapsed="false">
      <c r="A380" s="6"/>
      <c r="B380" s="6"/>
      <c r="C380" s="6"/>
      <c r="E380" s="6"/>
      <c r="P380" s="6"/>
    </row>
    <row r="381" customFormat="false" ht="15.75" hidden="false" customHeight="true" outlineLevel="0" collapsed="false">
      <c r="A381" s="6"/>
      <c r="B381" s="6"/>
      <c r="C381" s="6"/>
      <c r="E381" s="6"/>
      <c r="P381" s="6"/>
    </row>
    <row r="382" customFormat="false" ht="15.75" hidden="false" customHeight="true" outlineLevel="0" collapsed="false">
      <c r="A382" s="6"/>
      <c r="B382" s="6"/>
      <c r="C382" s="6"/>
      <c r="E382" s="6"/>
      <c r="P382" s="6"/>
    </row>
    <row r="383" customFormat="false" ht="15.75" hidden="false" customHeight="true" outlineLevel="0" collapsed="false">
      <c r="A383" s="6"/>
      <c r="B383" s="6"/>
      <c r="C383" s="6"/>
      <c r="E383" s="6"/>
      <c r="P383" s="6"/>
    </row>
    <row r="384" customFormat="false" ht="15.75" hidden="false" customHeight="true" outlineLevel="0" collapsed="false">
      <c r="A384" s="6"/>
      <c r="B384" s="6"/>
      <c r="C384" s="6"/>
      <c r="E384" s="6"/>
      <c r="P384" s="6"/>
    </row>
    <row r="385" customFormat="false" ht="15.75" hidden="false" customHeight="true" outlineLevel="0" collapsed="false">
      <c r="A385" s="6"/>
      <c r="B385" s="6"/>
      <c r="C385" s="6"/>
      <c r="E385" s="6"/>
      <c r="P385" s="6"/>
    </row>
    <row r="386" customFormat="false" ht="15.75" hidden="false" customHeight="true" outlineLevel="0" collapsed="false">
      <c r="A386" s="6"/>
      <c r="B386" s="6"/>
      <c r="C386" s="6"/>
      <c r="E386" s="6"/>
      <c r="P386" s="6"/>
    </row>
    <row r="387" customFormat="false" ht="15.75" hidden="false" customHeight="true" outlineLevel="0" collapsed="false">
      <c r="A387" s="6"/>
      <c r="B387" s="6"/>
      <c r="C387" s="6"/>
      <c r="E387" s="6"/>
      <c r="P387" s="6"/>
    </row>
    <row r="388" customFormat="false" ht="15.75" hidden="false" customHeight="true" outlineLevel="0" collapsed="false">
      <c r="A388" s="6"/>
      <c r="B388" s="6"/>
      <c r="C388" s="6"/>
      <c r="E388" s="6"/>
      <c r="P388" s="6"/>
    </row>
    <row r="389" customFormat="false" ht="15.75" hidden="false" customHeight="true" outlineLevel="0" collapsed="false">
      <c r="A389" s="6"/>
      <c r="B389" s="6"/>
      <c r="C389" s="6"/>
      <c r="E389" s="6"/>
      <c r="P389" s="6"/>
    </row>
    <row r="390" customFormat="false" ht="15.75" hidden="false" customHeight="true" outlineLevel="0" collapsed="false">
      <c r="A390" s="6"/>
      <c r="B390" s="6"/>
      <c r="C390" s="6"/>
      <c r="E390" s="6"/>
      <c r="P390" s="6"/>
    </row>
    <row r="391" customFormat="false" ht="15.75" hidden="false" customHeight="true" outlineLevel="0" collapsed="false">
      <c r="A391" s="6"/>
      <c r="B391" s="6"/>
      <c r="C391" s="6"/>
      <c r="E391" s="6"/>
      <c r="P391" s="6"/>
    </row>
    <row r="392" customFormat="false" ht="15.75" hidden="false" customHeight="true" outlineLevel="0" collapsed="false">
      <c r="A392" s="6"/>
      <c r="B392" s="6"/>
      <c r="C392" s="6"/>
      <c r="E392" s="6"/>
      <c r="P392" s="6"/>
    </row>
    <row r="393" customFormat="false" ht="15.75" hidden="false" customHeight="true" outlineLevel="0" collapsed="false">
      <c r="A393" s="6"/>
      <c r="B393" s="6"/>
      <c r="C393" s="6"/>
      <c r="E393" s="6"/>
      <c r="P393" s="6"/>
    </row>
    <row r="394" customFormat="false" ht="15.75" hidden="false" customHeight="true" outlineLevel="0" collapsed="false">
      <c r="A394" s="6"/>
      <c r="B394" s="6"/>
      <c r="C394" s="6"/>
      <c r="E394" s="6"/>
      <c r="P394" s="6"/>
    </row>
    <row r="395" customFormat="false" ht="15.75" hidden="false" customHeight="true" outlineLevel="0" collapsed="false">
      <c r="A395" s="6"/>
      <c r="B395" s="6"/>
      <c r="C395" s="6"/>
      <c r="E395" s="6"/>
      <c r="P395" s="6"/>
    </row>
    <row r="396" customFormat="false" ht="15.75" hidden="false" customHeight="true" outlineLevel="0" collapsed="false">
      <c r="A396" s="6"/>
      <c r="B396" s="6"/>
      <c r="C396" s="6"/>
      <c r="E396" s="6"/>
      <c r="P396" s="6"/>
    </row>
    <row r="397" customFormat="false" ht="15.75" hidden="false" customHeight="true" outlineLevel="0" collapsed="false">
      <c r="A397" s="6"/>
      <c r="B397" s="6"/>
      <c r="C397" s="6"/>
      <c r="E397" s="6"/>
      <c r="P397" s="6"/>
    </row>
    <row r="398" customFormat="false" ht="15.75" hidden="false" customHeight="true" outlineLevel="0" collapsed="false">
      <c r="A398" s="6"/>
      <c r="B398" s="6"/>
      <c r="C398" s="6"/>
      <c r="E398" s="6"/>
      <c r="P398" s="6"/>
    </row>
    <row r="399" customFormat="false" ht="15.75" hidden="false" customHeight="true" outlineLevel="0" collapsed="false">
      <c r="A399" s="6"/>
      <c r="B399" s="6"/>
      <c r="C399" s="6"/>
      <c r="E399" s="6"/>
      <c r="P399" s="6"/>
    </row>
    <row r="400" customFormat="false" ht="15.75" hidden="false" customHeight="true" outlineLevel="0" collapsed="false">
      <c r="A400" s="6"/>
      <c r="B400" s="6"/>
      <c r="C400" s="6"/>
      <c r="E400" s="6"/>
      <c r="P400" s="6"/>
    </row>
    <row r="401" customFormat="false" ht="15.75" hidden="false" customHeight="true" outlineLevel="0" collapsed="false">
      <c r="A401" s="6"/>
      <c r="B401" s="6"/>
      <c r="C401" s="6"/>
      <c r="E401" s="6"/>
      <c r="P401" s="6"/>
    </row>
    <row r="402" customFormat="false" ht="15.75" hidden="false" customHeight="true" outlineLevel="0" collapsed="false">
      <c r="A402" s="6"/>
      <c r="B402" s="6"/>
      <c r="C402" s="6"/>
      <c r="E402" s="6"/>
      <c r="P402" s="6"/>
    </row>
    <row r="403" customFormat="false" ht="15.75" hidden="false" customHeight="true" outlineLevel="0" collapsed="false">
      <c r="A403" s="6"/>
      <c r="B403" s="6"/>
      <c r="C403" s="6"/>
      <c r="E403" s="6"/>
      <c r="P403" s="6"/>
    </row>
    <row r="404" customFormat="false" ht="15.75" hidden="false" customHeight="true" outlineLevel="0" collapsed="false">
      <c r="A404" s="6"/>
      <c r="B404" s="6"/>
      <c r="C404" s="6"/>
      <c r="E404" s="6"/>
      <c r="P404" s="6"/>
    </row>
    <row r="405" customFormat="false" ht="15.75" hidden="false" customHeight="true" outlineLevel="0" collapsed="false">
      <c r="A405" s="6"/>
      <c r="B405" s="6"/>
      <c r="C405" s="6"/>
      <c r="E405" s="6"/>
      <c r="P405" s="6"/>
    </row>
    <row r="406" customFormat="false" ht="15.75" hidden="false" customHeight="true" outlineLevel="0" collapsed="false">
      <c r="A406" s="6"/>
      <c r="B406" s="6"/>
      <c r="C406" s="6"/>
      <c r="E406" s="6"/>
      <c r="P406" s="6"/>
    </row>
    <row r="407" customFormat="false" ht="15.75" hidden="false" customHeight="true" outlineLevel="0" collapsed="false">
      <c r="A407" s="6"/>
      <c r="B407" s="6"/>
      <c r="C407" s="6"/>
      <c r="E407" s="6"/>
      <c r="P407" s="6"/>
    </row>
    <row r="408" customFormat="false" ht="15.75" hidden="false" customHeight="true" outlineLevel="0" collapsed="false">
      <c r="A408" s="6"/>
      <c r="B408" s="6"/>
      <c r="C408" s="6"/>
      <c r="E408" s="6"/>
      <c r="P408" s="6"/>
    </row>
    <row r="409" customFormat="false" ht="15.75" hidden="false" customHeight="true" outlineLevel="0" collapsed="false">
      <c r="A409" s="6"/>
      <c r="B409" s="6"/>
      <c r="C409" s="6"/>
      <c r="E409" s="6"/>
      <c r="P409" s="6"/>
    </row>
    <row r="410" customFormat="false" ht="15.75" hidden="false" customHeight="true" outlineLevel="0" collapsed="false">
      <c r="A410" s="6"/>
      <c r="B410" s="6"/>
      <c r="C410" s="6"/>
      <c r="E410" s="6"/>
      <c r="P410" s="6"/>
    </row>
    <row r="411" customFormat="false" ht="15.75" hidden="false" customHeight="true" outlineLevel="0" collapsed="false">
      <c r="A411" s="6"/>
      <c r="B411" s="6"/>
      <c r="C411" s="6"/>
      <c r="E411" s="6"/>
      <c r="P411" s="6"/>
    </row>
    <row r="412" customFormat="false" ht="15.75" hidden="false" customHeight="true" outlineLevel="0" collapsed="false">
      <c r="A412" s="6"/>
      <c r="B412" s="6"/>
      <c r="C412" s="6"/>
      <c r="E412" s="6"/>
      <c r="P412" s="6"/>
    </row>
    <row r="413" customFormat="false" ht="15.75" hidden="false" customHeight="true" outlineLevel="0" collapsed="false">
      <c r="A413" s="6"/>
      <c r="B413" s="6"/>
      <c r="C413" s="6"/>
      <c r="E413" s="6"/>
      <c r="P413" s="6"/>
    </row>
    <row r="414" customFormat="false" ht="15.75" hidden="false" customHeight="true" outlineLevel="0" collapsed="false">
      <c r="A414" s="6"/>
      <c r="B414" s="6"/>
      <c r="C414" s="6"/>
      <c r="E414" s="6"/>
      <c r="P414" s="6"/>
    </row>
    <row r="415" customFormat="false" ht="15.75" hidden="false" customHeight="true" outlineLevel="0" collapsed="false">
      <c r="A415" s="6"/>
      <c r="B415" s="6"/>
      <c r="C415" s="6"/>
      <c r="E415" s="6"/>
      <c r="P415" s="6"/>
    </row>
    <row r="416" customFormat="false" ht="15.75" hidden="false" customHeight="true" outlineLevel="0" collapsed="false">
      <c r="A416" s="6"/>
      <c r="B416" s="6"/>
      <c r="C416" s="6"/>
      <c r="E416" s="6"/>
      <c r="P416" s="6"/>
    </row>
    <row r="417" customFormat="false" ht="15.75" hidden="false" customHeight="true" outlineLevel="0" collapsed="false">
      <c r="A417" s="6"/>
      <c r="B417" s="6"/>
      <c r="C417" s="6"/>
      <c r="E417" s="6"/>
      <c r="P417" s="6"/>
    </row>
    <row r="418" customFormat="false" ht="15.75" hidden="false" customHeight="true" outlineLevel="0" collapsed="false">
      <c r="A418" s="6"/>
      <c r="B418" s="6"/>
      <c r="C418" s="6"/>
      <c r="E418" s="6"/>
      <c r="P418" s="6"/>
    </row>
    <row r="419" customFormat="false" ht="15.75" hidden="false" customHeight="true" outlineLevel="0" collapsed="false">
      <c r="A419" s="6"/>
      <c r="B419" s="6"/>
      <c r="C419" s="6"/>
      <c r="E419" s="6"/>
      <c r="P419" s="6"/>
    </row>
    <row r="420" customFormat="false" ht="15.75" hidden="false" customHeight="true" outlineLevel="0" collapsed="false">
      <c r="A420" s="6"/>
      <c r="B420" s="6"/>
      <c r="C420" s="6"/>
      <c r="E420" s="6"/>
      <c r="P420" s="6"/>
    </row>
    <row r="421" customFormat="false" ht="15.75" hidden="false" customHeight="true" outlineLevel="0" collapsed="false">
      <c r="A421" s="6"/>
      <c r="B421" s="6"/>
      <c r="C421" s="6"/>
      <c r="E421" s="6"/>
      <c r="P421" s="6"/>
    </row>
    <row r="422" customFormat="false" ht="15.75" hidden="false" customHeight="true" outlineLevel="0" collapsed="false">
      <c r="A422" s="6"/>
      <c r="B422" s="6"/>
      <c r="C422" s="6"/>
      <c r="E422" s="6"/>
      <c r="P422" s="6"/>
    </row>
    <row r="423" customFormat="false" ht="15.75" hidden="false" customHeight="true" outlineLevel="0" collapsed="false">
      <c r="A423" s="6"/>
      <c r="B423" s="6"/>
      <c r="C423" s="6"/>
      <c r="E423" s="6"/>
      <c r="P423" s="6"/>
    </row>
    <row r="424" customFormat="false" ht="15.75" hidden="false" customHeight="true" outlineLevel="0" collapsed="false">
      <c r="A424" s="6"/>
      <c r="B424" s="6"/>
      <c r="C424" s="6"/>
      <c r="E424" s="6"/>
      <c r="P424" s="6"/>
    </row>
    <row r="425" customFormat="false" ht="15.75" hidden="false" customHeight="true" outlineLevel="0" collapsed="false">
      <c r="A425" s="6"/>
      <c r="B425" s="6"/>
      <c r="C425" s="6"/>
      <c r="E425" s="6"/>
      <c r="P425" s="6"/>
    </row>
    <row r="426" customFormat="false" ht="15.75" hidden="false" customHeight="true" outlineLevel="0" collapsed="false">
      <c r="A426" s="6"/>
      <c r="B426" s="6"/>
      <c r="C426" s="6"/>
      <c r="E426" s="6"/>
      <c r="P426" s="6"/>
    </row>
    <row r="427" customFormat="false" ht="15.75" hidden="false" customHeight="true" outlineLevel="0" collapsed="false">
      <c r="A427" s="6"/>
      <c r="B427" s="6"/>
      <c r="C427" s="6"/>
      <c r="E427" s="6"/>
      <c r="P427" s="6"/>
    </row>
    <row r="428" customFormat="false" ht="15.75" hidden="false" customHeight="true" outlineLevel="0" collapsed="false">
      <c r="A428" s="6"/>
      <c r="B428" s="6"/>
      <c r="C428" s="6"/>
      <c r="E428" s="6"/>
      <c r="P428" s="6"/>
    </row>
    <row r="429" customFormat="false" ht="15.75" hidden="false" customHeight="true" outlineLevel="0" collapsed="false">
      <c r="A429" s="6"/>
      <c r="B429" s="6"/>
      <c r="C429" s="6"/>
      <c r="E429" s="6"/>
      <c r="P429" s="6"/>
    </row>
    <row r="430" customFormat="false" ht="15.75" hidden="false" customHeight="true" outlineLevel="0" collapsed="false">
      <c r="A430" s="6"/>
      <c r="B430" s="6"/>
      <c r="C430" s="6"/>
      <c r="E430" s="6"/>
      <c r="P430" s="6"/>
    </row>
    <row r="431" customFormat="false" ht="15.75" hidden="false" customHeight="true" outlineLevel="0" collapsed="false">
      <c r="A431" s="6"/>
      <c r="B431" s="6"/>
      <c r="C431" s="6"/>
      <c r="E431" s="6"/>
      <c r="P431" s="6"/>
    </row>
    <row r="432" customFormat="false" ht="15.75" hidden="false" customHeight="true" outlineLevel="0" collapsed="false">
      <c r="A432" s="6"/>
      <c r="B432" s="6"/>
      <c r="C432" s="6"/>
      <c r="E432" s="6"/>
      <c r="P432" s="6"/>
    </row>
    <row r="433" customFormat="false" ht="15.75" hidden="false" customHeight="true" outlineLevel="0" collapsed="false">
      <c r="A433" s="6"/>
      <c r="B433" s="6"/>
      <c r="C433" s="6"/>
      <c r="E433" s="6"/>
      <c r="P433" s="6"/>
    </row>
    <row r="434" customFormat="false" ht="15.75" hidden="false" customHeight="true" outlineLevel="0" collapsed="false">
      <c r="A434" s="6"/>
      <c r="B434" s="6"/>
      <c r="C434" s="6"/>
      <c r="E434" s="6"/>
      <c r="P434" s="6"/>
    </row>
    <row r="435" customFormat="false" ht="15.75" hidden="false" customHeight="true" outlineLevel="0" collapsed="false">
      <c r="A435" s="6"/>
      <c r="B435" s="6"/>
      <c r="C435" s="6"/>
      <c r="E435" s="6"/>
      <c r="P435" s="6"/>
    </row>
    <row r="436" customFormat="false" ht="15.75" hidden="false" customHeight="true" outlineLevel="0" collapsed="false">
      <c r="A436" s="6"/>
      <c r="B436" s="6"/>
      <c r="C436" s="6"/>
      <c r="E436" s="6"/>
      <c r="P436" s="6"/>
    </row>
    <row r="437" customFormat="false" ht="15.75" hidden="false" customHeight="true" outlineLevel="0" collapsed="false">
      <c r="A437" s="6"/>
      <c r="B437" s="6"/>
      <c r="C437" s="6"/>
      <c r="E437" s="6"/>
      <c r="P437" s="6"/>
    </row>
    <row r="438" customFormat="false" ht="15.75" hidden="false" customHeight="true" outlineLevel="0" collapsed="false">
      <c r="A438" s="6"/>
      <c r="B438" s="6"/>
      <c r="C438" s="6"/>
      <c r="E438" s="6"/>
      <c r="P438" s="6"/>
    </row>
    <row r="439" customFormat="false" ht="15.75" hidden="false" customHeight="true" outlineLevel="0" collapsed="false">
      <c r="A439" s="6"/>
      <c r="B439" s="6"/>
      <c r="C439" s="6"/>
      <c r="E439" s="6"/>
      <c r="P439" s="6"/>
    </row>
    <row r="440" customFormat="false" ht="15.75" hidden="false" customHeight="true" outlineLevel="0" collapsed="false">
      <c r="A440" s="6"/>
      <c r="B440" s="6"/>
      <c r="C440" s="6"/>
      <c r="E440" s="6"/>
      <c r="P440" s="6"/>
    </row>
    <row r="441" customFormat="false" ht="15.75" hidden="false" customHeight="true" outlineLevel="0" collapsed="false">
      <c r="A441" s="6"/>
      <c r="B441" s="6"/>
      <c r="C441" s="6"/>
      <c r="E441" s="6"/>
      <c r="P441" s="6"/>
    </row>
    <row r="442" customFormat="false" ht="15.75" hidden="false" customHeight="true" outlineLevel="0" collapsed="false">
      <c r="A442" s="6"/>
      <c r="B442" s="6"/>
      <c r="C442" s="6"/>
      <c r="E442" s="6"/>
      <c r="P442" s="6"/>
    </row>
    <row r="443" customFormat="false" ht="15.75" hidden="false" customHeight="true" outlineLevel="0" collapsed="false">
      <c r="A443" s="6"/>
      <c r="B443" s="6"/>
      <c r="C443" s="6"/>
      <c r="E443" s="6"/>
      <c r="P443" s="6"/>
    </row>
    <row r="444" customFormat="false" ht="15.75" hidden="false" customHeight="true" outlineLevel="0" collapsed="false">
      <c r="A444" s="6"/>
      <c r="B444" s="6"/>
      <c r="C444" s="6"/>
      <c r="E444" s="6"/>
      <c r="P444" s="6"/>
    </row>
    <row r="445" customFormat="false" ht="15.75" hidden="false" customHeight="true" outlineLevel="0" collapsed="false">
      <c r="A445" s="6"/>
      <c r="B445" s="6"/>
      <c r="C445" s="6"/>
      <c r="E445" s="6"/>
      <c r="P445" s="6"/>
    </row>
    <row r="446" customFormat="false" ht="15.75" hidden="false" customHeight="true" outlineLevel="0" collapsed="false">
      <c r="A446" s="6"/>
      <c r="B446" s="6"/>
      <c r="C446" s="6"/>
      <c r="E446" s="6"/>
      <c r="P446" s="6"/>
    </row>
    <row r="447" customFormat="false" ht="15.75" hidden="false" customHeight="true" outlineLevel="0" collapsed="false">
      <c r="A447" s="6"/>
      <c r="B447" s="6"/>
      <c r="C447" s="6"/>
      <c r="E447" s="6"/>
      <c r="P447" s="6"/>
    </row>
    <row r="448" customFormat="false" ht="15.75" hidden="false" customHeight="true" outlineLevel="0" collapsed="false">
      <c r="A448" s="6"/>
      <c r="B448" s="6"/>
      <c r="C448" s="6"/>
      <c r="E448" s="6"/>
      <c r="P448" s="6"/>
    </row>
    <row r="449" customFormat="false" ht="15.75" hidden="false" customHeight="true" outlineLevel="0" collapsed="false">
      <c r="A449" s="6"/>
      <c r="B449" s="6"/>
      <c r="C449" s="6"/>
      <c r="E449" s="6"/>
      <c r="P449" s="6"/>
    </row>
    <row r="450" customFormat="false" ht="15.75" hidden="false" customHeight="true" outlineLevel="0" collapsed="false">
      <c r="A450" s="6"/>
      <c r="B450" s="6"/>
      <c r="C450" s="6"/>
      <c r="E450" s="6"/>
      <c r="P450" s="6"/>
    </row>
    <row r="451" customFormat="false" ht="15.75" hidden="false" customHeight="true" outlineLevel="0" collapsed="false">
      <c r="A451" s="6"/>
      <c r="B451" s="6"/>
      <c r="C451" s="6"/>
      <c r="E451" s="6"/>
      <c r="P451" s="6"/>
    </row>
    <row r="452" customFormat="false" ht="15.75" hidden="false" customHeight="true" outlineLevel="0" collapsed="false">
      <c r="A452" s="6"/>
      <c r="B452" s="6"/>
      <c r="C452" s="6"/>
      <c r="E452" s="6"/>
      <c r="P452" s="6"/>
    </row>
    <row r="453" customFormat="false" ht="15.75" hidden="false" customHeight="true" outlineLevel="0" collapsed="false">
      <c r="A453" s="6"/>
      <c r="B453" s="6"/>
      <c r="C453" s="6"/>
      <c r="E453" s="6"/>
      <c r="P453" s="6"/>
    </row>
    <row r="454" customFormat="false" ht="15.75" hidden="false" customHeight="true" outlineLevel="0" collapsed="false">
      <c r="A454" s="6"/>
      <c r="B454" s="6"/>
      <c r="C454" s="6"/>
      <c r="E454" s="6"/>
      <c r="P454" s="6"/>
    </row>
    <row r="455" customFormat="false" ht="15.75" hidden="false" customHeight="true" outlineLevel="0" collapsed="false">
      <c r="A455" s="6"/>
      <c r="B455" s="6"/>
      <c r="C455" s="6"/>
      <c r="E455" s="6"/>
      <c r="P455" s="6"/>
    </row>
    <row r="456" customFormat="false" ht="15.75" hidden="false" customHeight="true" outlineLevel="0" collapsed="false">
      <c r="A456" s="6"/>
      <c r="B456" s="6"/>
      <c r="C456" s="6"/>
      <c r="E456" s="6"/>
      <c r="P456" s="6"/>
    </row>
    <row r="457" customFormat="false" ht="15.75" hidden="false" customHeight="true" outlineLevel="0" collapsed="false">
      <c r="A457" s="6"/>
      <c r="B457" s="6"/>
      <c r="C457" s="6"/>
      <c r="E457" s="6"/>
      <c r="P457" s="6"/>
    </row>
    <row r="458" customFormat="false" ht="15.75" hidden="false" customHeight="true" outlineLevel="0" collapsed="false">
      <c r="A458" s="6"/>
      <c r="B458" s="6"/>
      <c r="C458" s="6"/>
      <c r="E458" s="6"/>
      <c r="P458" s="6"/>
    </row>
    <row r="459" customFormat="false" ht="15.75" hidden="false" customHeight="true" outlineLevel="0" collapsed="false">
      <c r="A459" s="6"/>
      <c r="B459" s="6"/>
      <c r="C459" s="6"/>
      <c r="E459" s="6"/>
      <c r="P459" s="6"/>
    </row>
    <row r="460" customFormat="false" ht="15.75" hidden="false" customHeight="true" outlineLevel="0" collapsed="false">
      <c r="A460" s="6"/>
      <c r="B460" s="6"/>
      <c r="C460" s="6"/>
      <c r="E460" s="6"/>
      <c r="P460" s="6"/>
    </row>
    <row r="461" customFormat="false" ht="15.75" hidden="false" customHeight="true" outlineLevel="0" collapsed="false">
      <c r="A461" s="6"/>
      <c r="B461" s="6"/>
      <c r="C461" s="6"/>
      <c r="E461" s="6"/>
      <c r="P461" s="6"/>
    </row>
    <row r="462" customFormat="false" ht="15.75" hidden="false" customHeight="true" outlineLevel="0" collapsed="false">
      <c r="A462" s="6"/>
      <c r="B462" s="6"/>
      <c r="C462" s="6"/>
      <c r="E462" s="6"/>
      <c r="P462" s="6"/>
    </row>
    <row r="463" customFormat="false" ht="15.75" hidden="false" customHeight="true" outlineLevel="0" collapsed="false">
      <c r="A463" s="6"/>
      <c r="B463" s="6"/>
      <c r="C463" s="6"/>
      <c r="E463" s="6"/>
      <c r="P463" s="6"/>
    </row>
    <row r="464" customFormat="false" ht="15.75" hidden="false" customHeight="true" outlineLevel="0" collapsed="false">
      <c r="A464" s="6"/>
      <c r="B464" s="6"/>
      <c r="C464" s="6"/>
      <c r="E464" s="6"/>
      <c r="P464" s="6"/>
    </row>
    <row r="465" customFormat="false" ht="15.75" hidden="false" customHeight="true" outlineLevel="0" collapsed="false">
      <c r="A465" s="6"/>
      <c r="B465" s="6"/>
      <c r="C465" s="6"/>
      <c r="E465" s="6"/>
      <c r="P465" s="6"/>
    </row>
    <row r="466" customFormat="false" ht="15.75" hidden="false" customHeight="true" outlineLevel="0" collapsed="false">
      <c r="A466" s="6"/>
      <c r="B466" s="6"/>
      <c r="C466" s="6"/>
      <c r="E466" s="6"/>
      <c r="P466" s="6"/>
    </row>
    <row r="467" customFormat="false" ht="15.75" hidden="false" customHeight="true" outlineLevel="0" collapsed="false">
      <c r="A467" s="6"/>
      <c r="B467" s="6"/>
      <c r="C467" s="6"/>
      <c r="E467" s="6"/>
      <c r="P467" s="6"/>
    </row>
    <row r="468" customFormat="false" ht="15.75" hidden="false" customHeight="true" outlineLevel="0" collapsed="false">
      <c r="A468" s="6"/>
      <c r="B468" s="6"/>
      <c r="C468" s="6"/>
      <c r="E468" s="6"/>
      <c r="P468" s="6"/>
    </row>
    <row r="469" customFormat="false" ht="15.75" hidden="false" customHeight="true" outlineLevel="0" collapsed="false">
      <c r="A469" s="6"/>
      <c r="B469" s="6"/>
      <c r="C469" s="6"/>
      <c r="E469" s="6"/>
      <c r="P469" s="6"/>
    </row>
    <row r="470" customFormat="false" ht="15.75" hidden="false" customHeight="true" outlineLevel="0" collapsed="false">
      <c r="A470" s="6"/>
      <c r="B470" s="6"/>
      <c r="C470" s="6"/>
      <c r="E470" s="6"/>
      <c r="P470" s="6"/>
    </row>
    <row r="471" customFormat="false" ht="15.75" hidden="false" customHeight="true" outlineLevel="0" collapsed="false">
      <c r="A471" s="6"/>
      <c r="B471" s="6"/>
      <c r="C471" s="6"/>
      <c r="E471" s="6"/>
      <c r="P471" s="6"/>
    </row>
    <row r="472" customFormat="false" ht="15.75" hidden="false" customHeight="true" outlineLevel="0" collapsed="false">
      <c r="A472" s="6"/>
      <c r="B472" s="6"/>
      <c r="C472" s="6"/>
      <c r="E472" s="6"/>
      <c r="P472" s="6"/>
    </row>
    <row r="473" customFormat="false" ht="15.75" hidden="false" customHeight="true" outlineLevel="0" collapsed="false">
      <c r="A473" s="6"/>
      <c r="B473" s="6"/>
      <c r="C473" s="6"/>
      <c r="E473" s="6"/>
      <c r="P473" s="6"/>
    </row>
    <row r="474" customFormat="false" ht="15.75" hidden="false" customHeight="true" outlineLevel="0" collapsed="false">
      <c r="A474" s="6"/>
      <c r="B474" s="6"/>
      <c r="C474" s="6"/>
      <c r="E474" s="6"/>
      <c r="P474" s="6"/>
    </row>
    <row r="475" customFormat="false" ht="15.75" hidden="false" customHeight="true" outlineLevel="0" collapsed="false">
      <c r="A475" s="6"/>
      <c r="B475" s="6"/>
      <c r="C475" s="6"/>
      <c r="E475" s="6"/>
      <c r="P475" s="6"/>
    </row>
    <row r="476" customFormat="false" ht="15.75" hidden="false" customHeight="true" outlineLevel="0" collapsed="false">
      <c r="A476" s="6"/>
      <c r="B476" s="6"/>
      <c r="C476" s="6"/>
      <c r="E476" s="6"/>
      <c r="P476" s="6"/>
    </row>
    <row r="477" customFormat="false" ht="15.75" hidden="false" customHeight="true" outlineLevel="0" collapsed="false">
      <c r="A477" s="6"/>
      <c r="B477" s="6"/>
      <c r="C477" s="6"/>
      <c r="E477" s="6"/>
      <c r="P477" s="6"/>
    </row>
    <row r="478" customFormat="false" ht="15.75" hidden="false" customHeight="true" outlineLevel="0" collapsed="false">
      <c r="A478" s="6"/>
      <c r="B478" s="6"/>
      <c r="C478" s="6"/>
      <c r="E478" s="6"/>
      <c r="P478" s="6"/>
    </row>
    <row r="479" customFormat="false" ht="15.75" hidden="false" customHeight="true" outlineLevel="0" collapsed="false">
      <c r="A479" s="6"/>
      <c r="B479" s="6"/>
      <c r="C479" s="6"/>
      <c r="E479" s="6"/>
      <c r="P479" s="6"/>
    </row>
    <row r="480" customFormat="false" ht="15.75" hidden="false" customHeight="true" outlineLevel="0" collapsed="false">
      <c r="A480" s="6"/>
      <c r="B480" s="6"/>
      <c r="C480" s="6"/>
      <c r="E480" s="6"/>
      <c r="P480" s="6"/>
    </row>
    <row r="481" customFormat="false" ht="15.75" hidden="false" customHeight="true" outlineLevel="0" collapsed="false">
      <c r="A481" s="6"/>
      <c r="B481" s="6"/>
      <c r="C481" s="6"/>
      <c r="E481" s="6"/>
      <c r="P481" s="6"/>
    </row>
    <row r="482" customFormat="false" ht="15.75" hidden="false" customHeight="true" outlineLevel="0" collapsed="false">
      <c r="A482" s="6"/>
      <c r="B482" s="6"/>
      <c r="C482" s="6"/>
      <c r="E482" s="6"/>
      <c r="P482" s="6"/>
    </row>
    <row r="483" customFormat="false" ht="15.75" hidden="false" customHeight="true" outlineLevel="0" collapsed="false">
      <c r="A483" s="6"/>
      <c r="B483" s="6"/>
      <c r="C483" s="6"/>
      <c r="E483" s="6"/>
      <c r="P483" s="6"/>
    </row>
    <row r="484" customFormat="false" ht="15.75" hidden="false" customHeight="true" outlineLevel="0" collapsed="false">
      <c r="A484" s="6"/>
      <c r="B484" s="6"/>
      <c r="C484" s="6"/>
      <c r="E484" s="6"/>
      <c r="P484" s="6"/>
    </row>
    <row r="485" customFormat="false" ht="15.75" hidden="false" customHeight="true" outlineLevel="0" collapsed="false">
      <c r="A485" s="6"/>
      <c r="B485" s="6"/>
      <c r="C485" s="6"/>
      <c r="E485" s="6"/>
      <c r="P485" s="6"/>
    </row>
    <row r="486" customFormat="false" ht="15.75" hidden="false" customHeight="true" outlineLevel="0" collapsed="false">
      <c r="A486" s="6"/>
      <c r="B486" s="6"/>
      <c r="C486" s="6"/>
      <c r="E486" s="6"/>
      <c r="P486" s="6"/>
    </row>
    <row r="487" customFormat="false" ht="15.75" hidden="false" customHeight="true" outlineLevel="0" collapsed="false">
      <c r="A487" s="6"/>
      <c r="B487" s="6"/>
      <c r="C487" s="6"/>
      <c r="E487" s="6"/>
      <c r="P487" s="6"/>
    </row>
    <row r="488" customFormat="false" ht="15.75" hidden="false" customHeight="true" outlineLevel="0" collapsed="false">
      <c r="A488" s="6"/>
      <c r="B488" s="6"/>
      <c r="C488" s="6"/>
      <c r="E488" s="6"/>
      <c r="P488" s="6"/>
    </row>
    <row r="489" customFormat="false" ht="15.75" hidden="false" customHeight="true" outlineLevel="0" collapsed="false">
      <c r="A489" s="6"/>
      <c r="B489" s="6"/>
      <c r="C489" s="6"/>
      <c r="E489" s="6"/>
      <c r="P489" s="6"/>
    </row>
    <row r="490" customFormat="false" ht="15.75" hidden="false" customHeight="true" outlineLevel="0" collapsed="false">
      <c r="A490" s="6"/>
      <c r="B490" s="6"/>
      <c r="C490" s="6"/>
      <c r="E490" s="6"/>
      <c r="P490" s="6"/>
    </row>
    <row r="491" customFormat="false" ht="15.75" hidden="false" customHeight="true" outlineLevel="0" collapsed="false">
      <c r="A491" s="6"/>
      <c r="B491" s="6"/>
      <c r="C491" s="6"/>
      <c r="E491" s="6"/>
      <c r="P491" s="6"/>
    </row>
    <row r="492" customFormat="false" ht="15.75" hidden="false" customHeight="true" outlineLevel="0" collapsed="false">
      <c r="A492" s="6"/>
      <c r="B492" s="6"/>
      <c r="C492" s="6"/>
      <c r="E492" s="6"/>
      <c r="P492" s="6"/>
    </row>
    <row r="493" customFormat="false" ht="15.75" hidden="false" customHeight="true" outlineLevel="0" collapsed="false">
      <c r="A493" s="6"/>
      <c r="B493" s="6"/>
      <c r="C493" s="6"/>
      <c r="E493" s="6"/>
      <c r="P493" s="6"/>
    </row>
    <row r="494" customFormat="false" ht="15.75" hidden="false" customHeight="true" outlineLevel="0" collapsed="false">
      <c r="A494" s="6"/>
      <c r="B494" s="6"/>
      <c r="C494" s="6"/>
      <c r="E494" s="6"/>
      <c r="P494" s="6"/>
    </row>
    <row r="495" customFormat="false" ht="15.75" hidden="false" customHeight="true" outlineLevel="0" collapsed="false">
      <c r="A495" s="6"/>
      <c r="B495" s="6"/>
      <c r="C495" s="6"/>
      <c r="E495" s="6"/>
      <c r="P495" s="6"/>
    </row>
    <row r="496" customFormat="false" ht="15.75" hidden="false" customHeight="true" outlineLevel="0" collapsed="false">
      <c r="A496" s="6"/>
      <c r="B496" s="6"/>
      <c r="C496" s="6"/>
      <c r="E496" s="6"/>
      <c r="P496" s="6"/>
    </row>
    <row r="497" customFormat="false" ht="15.75" hidden="false" customHeight="true" outlineLevel="0" collapsed="false">
      <c r="A497" s="6"/>
      <c r="B497" s="6"/>
      <c r="C497" s="6"/>
      <c r="E497" s="6"/>
      <c r="P497" s="6"/>
    </row>
    <row r="498" customFormat="false" ht="15.75" hidden="false" customHeight="true" outlineLevel="0" collapsed="false">
      <c r="A498" s="6"/>
      <c r="B498" s="6"/>
      <c r="C498" s="6"/>
      <c r="E498" s="6"/>
      <c r="P498" s="6"/>
    </row>
    <row r="499" customFormat="false" ht="15.75" hidden="false" customHeight="true" outlineLevel="0" collapsed="false">
      <c r="A499" s="6"/>
      <c r="B499" s="6"/>
      <c r="C499" s="6"/>
      <c r="E499" s="6"/>
      <c r="P499" s="6"/>
    </row>
    <row r="500" customFormat="false" ht="15.75" hidden="false" customHeight="true" outlineLevel="0" collapsed="false">
      <c r="A500" s="6"/>
      <c r="B500" s="6"/>
      <c r="C500" s="6"/>
      <c r="E500" s="6"/>
      <c r="P500" s="6"/>
    </row>
    <row r="501" customFormat="false" ht="15.75" hidden="false" customHeight="true" outlineLevel="0" collapsed="false">
      <c r="A501" s="6"/>
      <c r="B501" s="6"/>
      <c r="C501" s="6"/>
      <c r="E501" s="6"/>
      <c r="P501" s="6"/>
    </row>
    <row r="502" customFormat="false" ht="15.75" hidden="false" customHeight="true" outlineLevel="0" collapsed="false">
      <c r="A502" s="6"/>
      <c r="B502" s="6"/>
      <c r="C502" s="6"/>
      <c r="E502" s="6"/>
      <c r="P502" s="6"/>
    </row>
    <row r="503" customFormat="false" ht="15.75" hidden="false" customHeight="true" outlineLevel="0" collapsed="false">
      <c r="A503" s="6"/>
      <c r="B503" s="6"/>
      <c r="C503" s="6"/>
      <c r="E503" s="6"/>
      <c r="P503" s="6"/>
    </row>
    <row r="504" customFormat="false" ht="15.75" hidden="false" customHeight="true" outlineLevel="0" collapsed="false">
      <c r="A504" s="6"/>
      <c r="B504" s="6"/>
      <c r="C504" s="6"/>
      <c r="E504" s="6"/>
      <c r="P504" s="6"/>
    </row>
    <row r="505" customFormat="false" ht="15.75" hidden="false" customHeight="true" outlineLevel="0" collapsed="false">
      <c r="A505" s="6"/>
      <c r="B505" s="6"/>
      <c r="C505" s="6"/>
      <c r="E505" s="6"/>
      <c r="P505" s="6"/>
    </row>
    <row r="506" customFormat="false" ht="15.75" hidden="false" customHeight="true" outlineLevel="0" collapsed="false">
      <c r="A506" s="6"/>
      <c r="B506" s="6"/>
      <c r="C506" s="6"/>
      <c r="E506" s="6"/>
      <c r="P506" s="6"/>
    </row>
    <row r="507" customFormat="false" ht="15.75" hidden="false" customHeight="true" outlineLevel="0" collapsed="false">
      <c r="A507" s="6"/>
      <c r="B507" s="6"/>
      <c r="C507" s="6"/>
      <c r="E507" s="6"/>
      <c r="P507" s="6"/>
    </row>
    <row r="508" customFormat="false" ht="15.75" hidden="false" customHeight="true" outlineLevel="0" collapsed="false">
      <c r="A508" s="6"/>
      <c r="B508" s="6"/>
      <c r="C508" s="6"/>
      <c r="E508" s="6"/>
      <c r="P508" s="6"/>
    </row>
    <row r="509" customFormat="false" ht="15.75" hidden="false" customHeight="true" outlineLevel="0" collapsed="false">
      <c r="A509" s="6"/>
      <c r="B509" s="6"/>
      <c r="C509" s="6"/>
      <c r="E509" s="6"/>
      <c r="P509" s="6"/>
    </row>
    <row r="510" customFormat="false" ht="15.75" hidden="false" customHeight="true" outlineLevel="0" collapsed="false">
      <c r="A510" s="6"/>
      <c r="B510" s="6"/>
      <c r="C510" s="6"/>
      <c r="E510" s="6"/>
      <c r="P510" s="6"/>
    </row>
    <row r="511" customFormat="false" ht="15.75" hidden="false" customHeight="true" outlineLevel="0" collapsed="false">
      <c r="A511" s="6"/>
      <c r="B511" s="6"/>
      <c r="C511" s="6"/>
      <c r="E511" s="6"/>
      <c r="P511" s="6"/>
    </row>
    <row r="512" customFormat="false" ht="15.75" hidden="false" customHeight="true" outlineLevel="0" collapsed="false">
      <c r="A512" s="6"/>
      <c r="B512" s="6"/>
      <c r="C512" s="6"/>
      <c r="E512" s="6"/>
      <c r="P512" s="6"/>
    </row>
    <row r="513" customFormat="false" ht="15.75" hidden="false" customHeight="true" outlineLevel="0" collapsed="false">
      <c r="A513" s="6"/>
      <c r="B513" s="6"/>
      <c r="C513" s="6"/>
      <c r="E513" s="6"/>
      <c r="P513" s="6"/>
    </row>
    <row r="514" customFormat="false" ht="15.75" hidden="false" customHeight="true" outlineLevel="0" collapsed="false">
      <c r="A514" s="6"/>
      <c r="B514" s="6"/>
      <c r="C514" s="6"/>
      <c r="E514" s="6"/>
      <c r="P514" s="6"/>
    </row>
    <row r="515" customFormat="false" ht="15.75" hidden="false" customHeight="true" outlineLevel="0" collapsed="false">
      <c r="A515" s="6"/>
      <c r="B515" s="6"/>
      <c r="C515" s="6"/>
      <c r="E515" s="6"/>
      <c r="P515" s="6"/>
    </row>
    <row r="516" customFormat="false" ht="15.75" hidden="false" customHeight="true" outlineLevel="0" collapsed="false">
      <c r="A516" s="6"/>
      <c r="B516" s="6"/>
      <c r="C516" s="6"/>
      <c r="E516" s="6"/>
      <c r="P516" s="6"/>
    </row>
    <row r="517" customFormat="false" ht="15.75" hidden="false" customHeight="true" outlineLevel="0" collapsed="false">
      <c r="A517" s="6"/>
      <c r="B517" s="6"/>
      <c r="C517" s="6"/>
      <c r="E517" s="6"/>
      <c r="P517" s="6"/>
    </row>
    <row r="518" customFormat="false" ht="15.75" hidden="false" customHeight="true" outlineLevel="0" collapsed="false">
      <c r="A518" s="6"/>
      <c r="B518" s="6"/>
      <c r="C518" s="6"/>
      <c r="E518" s="6"/>
      <c r="P518" s="6"/>
    </row>
    <row r="519" customFormat="false" ht="15.75" hidden="false" customHeight="true" outlineLevel="0" collapsed="false">
      <c r="A519" s="6"/>
      <c r="B519" s="6"/>
      <c r="C519" s="6"/>
      <c r="E519" s="6"/>
      <c r="P519" s="6"/>
    </row>
    <row r="520" customFormat="false" ht="15.75" hidden="false" customHeight="true" outlineLevel="0" collapsed="false">
      <c r="A520" s="6"/>
      <c r="B520" s="6"/>
      <c r="C520" s="6"/>
      <c r="E520" s="6"/>
      <c r="P520" s="6"/>
    </row>
    <row r="521" customFormat="false" ht="15.75" hidden="false" customHeight="true" outlineLevel="0" collapsed="false">
      <c r="A521" s="6"/>
      <c r="B521" s="6"/>
      <c r="C521" s="6"/>
      <c r="E521" s="6"/>
      <c r="P521" s="6"/>
    </row>
    <row r="522" customFormat="false" ht="15.75" hidden="false" customHeight="true" outlineLevel="0" collapsed="false">
      <c r="A522" s="6"/>
      <c r="B522" s="6"/>
      <c r="C522" s="6"/>
      <c r="E522" s="6"/>
      <c r="P522" s="6"/>
    </row>
    <row r="523" customFormat="false" ht="15.75" hidden="false" customHeight="true" outlineLevel="0" collapsed="false">
      <c r="A523" s="6"/>
      <c r="B523" s="6"/>
      <c r="C523" s="6"/>
      <c r="E523" s="6"/>
      <c r="P523" s="6"/>
    </row>
    <row r="524" customFormat="false" ht="15.75" hidden="false" customHeight="true" outlineLevel="0" collapsed="false">
      <c r="A524" s="6"/>
      <c r="B524" s="6"/>
      <c r="C524" s="6"/>
      <c r="E524" s="6"/>
      <c r="P524" s="6"/>
    </row>
    <row r="525" customFormat="false" ht="15.75" hidden="false" customHeight="true" outlineLevel="0" collapsed="false">
      <c r="A525" s="6"/>
      <c r="B525" s="6"/>
      <c r="C525" s="6"/>
      <c r="E525" s="6"/>
      <c r="P525" s="6"/>
    </row>
    <row r="526" customFormat="false" ht="15.75" hidden="false" customHeight="true" outlineLevel="0" collapsed="false">
      <c r="A526" s="6"/>
      <c r="B526" s="6"/>
      <c r="C526" s="6"/>
      <c r="E526" s="6"/>
      <c r="P526" s="6"/>
    </row>
    <row r="527" customFormat="false" ht="15.75" hidden="false" customHeight="true" outlineLevel="0" collapsed="false">
      <c r="A527" s="6"/>
      <c r="B527" s="6"/>
      <c r="C527" s="6"/>
      <c r="E527" s="6"/>
      <c r="P527" s="6"/>
    </row>
    <row r="528" customFormat="false" ht="15.75" hidden="false" customHeight="true" outlineLevel="0" collapsed="false">
      <c r="A528" s="6"/>
      <c r="B528" s="6"/>
      <c r="C528" s="6"/>
      <c r="E528" s="6"/>
      <c r="P528" s="6"/>
    </row>
    <row r="529" customFormat="false" ht="15.75" hidden="false" customHeight="true" outlineLevel="0" collapsed="false">
      <c r="A529" s="6"/>
      <c r="B529" s="6"/>
      <c r="C529" s="6"/>
      <c r="E529" s="6"/>
      <c r="P529" s="6"/>
    </row>
    <row r="530" customFormat="false" ht="15.75" hidden="false" customHeight="true" outlineLevel="0" collapsed="false">
      <c r="A530" s="6"/>
      <c r="B530" s="6"/>
      <c r="C530" s="6"/>
      <c r="E530" s="6"/>
      <c r="P530" s="6"/>
    </row>
    <row r="531" customFormat="false" ht="15.75" hidden="false" customHeight="true" outlineLevel="0" collapsed="false">
      <c r="A531" s="6"/>
      <c r="B531" s="6"/>
      <c r="C531" s="6"/>
      <c r="E531" s="6"/>
      <c r="P531" s="6"/>
    </row>
    <row r="532" customFormat="false" ht="15.75" hidden="false" customHeight="true" outlineLevel="0" collapsed="false">
      <c r="A532" s="6"/>
      <c r="B532" s="6"/>
      <c r="C532" s="6"/>
      <c r="E532" s="6"/>
      <c r="P532" s="6"/>
    </row>
    <row r="533" customFormat="false" ht="15.75" hidden="false" customHeight="true" outlineLevel="0" collapsed="false">
      <c r="A533" s="6"/>
      <c r="B533" s="6"/>
      <c r="C533" s="6"/>
      <c r="E533" s="6"/>
      <c r="P533" s="6"/>
    </row>
    <row r="534" customFormat="false" ht="15.75" hidden="false" customHeight="true" outlineLevel="0" collapsed="false">
      <c r="A534" s="6"/>
      <c r="B534" s="6"/>
      <c r="C534" s="6"/>
      <c r="E534" s="6"/>
      <c r="P534" s="6"/>
    </row>
    <row r="535" customFormat="false" ht="15.75" hidden="false" customHeight="true" outlineLevel="0" collapsed="false">
      <c r="A535" s="6"/>
      <c r="B535" s="6"/>
      <c r="C535" s="6"/>
      <c r="E535" s="6"/>
      <c r="P535" s="6"/>
    </row>
    <row r="536" customFormat="false" ht="15.75" hidden="false" customHeight="true" outlineLevel="0" collapsed="false">
      <c r="A536" s="6"/>
      <c r="B536" s="6"/>
      <c r="C536" s="6"/>
      <c r="E536" s="6"/>
      <c r="P536" s="6"/>
    </row>
    <row r="537" customFormat="false" ht="15.75" hidden="false" customHeight="true" outlineLevel="0" collapsed="false">
      <c r="A537" s="6"/>
      <c r="B537" s="6"/>
      <c r="C537" s="6"/>
      <c r="E537" s="6"/>
      <c r="P537" s="6"/>
    </row>
    <row r="538" customFormat="false" ht="15.75" hidden="false" customHeight="true" outlineLevel="0" collapsed="false">
      <c r="A538" s="6"/>
      <c r="B538" s="6"/>
      <c r="C538" s="6"/>
      <c r="E538" s="6"/>
      <c r="P538" s="6"/>
    </row>
    <row r="539" customFormat="false" ht="15.75" hidden="false" customHeight="true" outlineLevel="0" collapsed="false">
      <c r="A539" s="6"/>
      <c r="B539" s="6"/>
      <c r="C539" s="6"/>
      <c r="E539" s="6"/>
      <c r="P539" s="6"/>
    </row>
    <row r="540" customFormat="false" ht="15.75" hidden="false" customHeight="true" outlineLevel="0" collapsed="false">
      <c r="A540" s="6"/>
      <c r="B540" s="6"/>
      <c r="C540" s="6"/>
      <c r="E540" s="6"/>
      <c r="P540" s="6"/>
    </row>
    <row r="541" customFormat="false" ht="15.75" hidden="false" customHeight="true" outlineLevel="0" collapsed="false">
      <c r="A541" s="6"/>
      <c r="B541" s="6"/>
      <c r="C541" s="6"/>
      <c r="E541" s="6"/>
      <c r="P541" s="6"/>
    </row>
    <row r="542" customFormat="false" ht="15.75" hidden="false" customHeight="true" outlineLevel="0" collapsed="false">
      <c r="A542" s="6"/>
      <c r="B542" s="6"/>
      <c r="C542" s="6"/>
      <c r="E542" s="6"/>
      <c r="P542" s="6"/>
    </row>
    <row r="543" customFormat="false" ht="15.75" hidden="false" customHeight="true" outlineLevel="0" collapsed="false">
      <c r="A543" s="6"/>
      <c r="B543" s="6"/>
      <c r="C543" s="6"/>
      <c r="E543" s="6"/>
      <c r="P543" s="6"/>
    </row>
    <row r="544" customFormat="false" ht="15.75" hidden="false" customHeight="true" outlineLevel="0" collapsed="false">
      <c r="A544" s="6"/>
      <c r="B544" s="6"/>
      <c r="C544" s="6"/>
      <c r="E544" s="6"/>
      <c r="P544" s="6"/>
    </row>
    <row r="545" customFormat="false" ht="15.75" hidden="false" customHeight="true" outlineLevel="0" collapsed="false">
      <c r="A545" s="6"/>
      <c r="B545" s="6"/>
      <c r="C545" s="6"/>
      <c r="E545" s="6"/>
      <c r="P545" s="6"/>
    </row>
    <row r="546" customFormat="false" ht="15.75" hidden="false" customHeight="true" outlineLevel="0" collapsed="false">
      <c r="A546" s="6"/>
      <c r="B546" s="6"/>
      <c r="C546" s="6"/>
      <c r="E546" s="6"/>
      <c r="P546" s="6"/>
    </row>
    <row r="547" customFormat="false" ht="15.75" hidden="false" customHeight="true" outlineLevel="0" collapsed="false">
      <c r="A547" s="6"/>
      <c r="B547" s="6"/>
      <c r="C547" s="6"/>
      <c r="E547" s="6"/>
      <c r="P547" s="6"/>
    </row>
    <row r="548" customFormat="false" ht="15.75" hidden="false" customHeight="true" outlineLevel="0" collapsed="false">
      <c r="A548" s="6"/>
      <c r="B548" s="6"/>
      <c r="C548" s="6"/>
      <c r="E548" s="6"/>
      <c r="P548" s="6"/>
    </row>
    <row r="549" customFormat="false" ht="15.75" hidden="false" customHeight="true" outlineLevel="0" collapsed="false">
      <c r="A549" s="6"/>
      <c r="B549" s="6"/>
      <c r="C549" s="6"/>
      <c r="E549" s="6"/>
      <c r="P549" s="6"/>
    </row>
    <row r="550" customFormat="false" ht="15.75" hidden="false" customHeight="true" outlineLevel="0" collapsed="false">
      <c r="A550" s="6"/>
      <c r="B550" s="6"/>
      <c r="C550" s="6"/>
      <c r="E550" s="6"/>
      <c r="P550" s="6"/>
    </row>
    <row r="551" customFormat="false" ht="15.75" hidden="false" customHeight="true" outlineLevel="0" collapsed="false">
      <c r="A551" s="6"/>
      <c r="B551" s="6"/>
      <c r="C551" s="6"/>
      <c r="E551" s="6"/>
      <c r="P551" s="6"/>
    </row>
    <row r="552" customFormat="false" ht="15.75" hidden="false" customHeight="true" outlineLevel="0" collapsed="false">
      <c r="A552" s="6"/>
      <c r="B552" s="6"/>
      <c r="C552" s="6"/>
      <c r="E552" s="6"/>
      <c r="P552" s="6"/>
    </row>
    <row r="553" customFormat="false" ht="15.75" hidden="false" customHeight="true" outlineLevel="0" collapsed="false">
      <c r="A553" s="6"/>
      <c r="B553" s="6"/>
      <c r="C553" s="6"/>
      <c r="E553" s="6"/>
      <c r="P553" s="6"/>
    </row>
    <row r="554" customFormat="false" ht="15.75" hidden="false" customHeight="true" outlineLevel="0" collapsed="false">
      <c r="A554" s="6"/>
      <c r="B554" s="6"/>
      <c r="C554" s="6"/>
      <c r="E554" s="6"/>
      <c r="P554" s="6"/>
    </row>
    <row r="555" customFormat="false" ht="15.75" hidden="false" customHeight="true" outlineLevel="0" collapsed="false">
      <c r="A555" s="6"/>
      <c r="B555" s="6"/>
      <c r="C555" s="6"/>
      <c r="E555" s="6"/>
      <c r="P555" s="6"/>
    </row>
    <row r="556" customFormat="false" ht="15.75" hidden="false" customHeight="true" outlineLevel="0" collapsed="false">
      <c r="A556" s="6"/>
      <c r="B556" s="6"/>
      <c r="C556" s="6"/>
      <c r="E556" s="6"/>
      <c r="P556" s="6"/>
    </row>
    <row r="557" customFormat="false" ht="15.75" hidden="false" customHeight="true" outlineLevel="0" collapsed="false">
      <c r="A557" s="6"/>
      <c r="B557" s="6"/>
      <c r="C557" s="6"/>
      <c r="E557" s="6"/>
      <c r="P557" s="6"/>
    </row>
    <row r="558" customFormat="false" ht="15.75" hidden="false" customHeight="true" outlineLevel="0" collapsed="false">
      <c r="A558" s="6"/>
      <c r="B558" s="6"/>
      <c r="C558" s="6"/>
      <c r="E558" s="6"/>
      <c r="P558" s="6"/>
    </row>
    <row r="559" customFormat="false" ht="15.75" hidden="false" customHeight="true" outlineLevel="0" collapsed="false">
      <c r="A559" s="6"/>
      <c r="B559" s="6"/>
      <c r="C559" s="6"/>
      <c r="E559" s="6"/>
      <c r="P559" s="6"/>
    </row>
    <row r="560" customFormat="false" ht="15.75" hidden="false" customHeight="true" outlineLevel="0" collapsed="false">
      <c r="A560" s="6"/>
      <c r="B560" s="6"/>
      <c r="C560" s="6"/>
      <c r="E560" s="6"/>
      <c r="P560" s="6"/>
    </row>
    <row r="561" customFormat="false" ht="15.75" hidden="false" customHeight="true" outlineLevel="0" collapsed="false">
      <c r="A561" s="6"/>
      <c r="B561" s="6"/>
      <c r="C561" s="6"/>
      <c r="E561" s="6"/>
      <c r="P561" s="6"/>
    </row>
    <row r="562" customFormat="false" ht="15.75" hidden="false" customHeight="true" outlineLevel="0" collapsed="false">
      <c r="A562" s="6"/>
      <c r="B562" s="6"/>
      <c r="C562" s="6"/>
      <c r="E562" s="6"/>
      <c r="P562" s="6"/>
    </row>
    <row r="563" customFormat="false" ht="15.75" hidden="false" customHeight="true" outlineLevel="0" collapsed="false">
      <c r="A563" s="6"/>
      <c r="B563" s="6"/>
      <c r="C563" s="6"/>
      <c r="E563" s="6"/>
      <c r="P563" s="6"/>
    </row>
    <row r="564" customFormat="false" ht="15.75" hidden="false" customHeight="true" outlineLevel="0" collapsed="false">
      <c r="A564" s="6"/>
      <c r="B564" s="6"/>
      <c r="C564" s="6"/>
      <c r="E564" s="6"/>
      <c r="P564" s="6"/>
    </row>
    <row r="565" customFormat="false" ht="15.75" hidden="false" customHeight="true" outlineLevel="0" collapsed="false">
      <c r="A565" s="6"/>
      <c r="B565" s="6"/>
      <c r="C565" s="6"/>
      <c r="E565" s="6"/>
      <c r="P565" s="6"/>
    </row>
    <row r="566" customFormat="false" ht="15.75" hidden="false" customHeight="true" outlineLevel="0" collapsed="false">
      <c r="A566" s="6"/>
      <c r="B566" s="6"/>
      <c r="C566" s="6"/>
      <c r="E566" s="6"/>
      <c r="P566" s="6"/>
    </row>
    <row r="567" customFormat="false" ht="15.75" hidden="false" customHeight="true" outlineLevel="0" collapsed="false">
      <c r="A567" s="6"/>
      <c r="B567" s="6"/>
      <c r="C567" s="6"/>
      <c r="E567" s="6"/>
      <c r="P567" s="6"/>
    </row>
    <row r="568" customFormat="false" ht="15.75" hidden="false" customHeight="true" outlineLevel="0" collapsed="false">
      <c r="A568" s="6"/>
      <c r="B568" s="6"/>
      <c r="C568" s="6"/>
      <c r="E568" s="6"/>
      <c r="P568" s="6"/>
    </row>
    <row r="569" customFormat="false" ht="15.75" hidden="false" customHeight="true" outlineLevel="0" collapsed="false">
      <c r="A569" s="6"/>
      <c r="B569" s="6"/>
      <c r="C569" s="6"/>
      <c r="E569" s="6"/>
      <c r="P569" s="6"/>
    </row>
    <row r="570" customFormat="false" ht="15.75" hidden="false" customHeight="true" outlineLevel="0" collapsed="false">
      <c r="A570" s="6"/>
      <c r="B570" s="6"/>
      <c r="C570" s="6"/>
      <c r="E570" s="6"/>
      <c r="P570" s="6"/>
    </row>
    <row r="571" customFormat="false" ht="15.75" hidden="false" customHeight="true" outlineLevel="0" collapsed="false">
      <c r="A571" s="6"/>
      <c r="B571" s="6"/>
      <c r="C571" s="6"/>
      <c r="E571" s="6"/>
      <c r="P571" s="6"/>
    </row>
    <row r="572" customFormat="false" ht="15.75" hidden="false" customHeight="true" outlineLevel="0" collapsed="false">
      <c r="A572" s="6"/>
      <c r="B572" s="6"/>
      <c r="C572" s="6"/>
      <c r="E572" s="6"/>
      <c r="P572" s="6"/>
    </row>
    <row r="573" customFormat="false" ht="15.75" hidden="false" customHeight="true" outlineLevel="0" collapsed="false">
      <c r="A573" s="6"/>
      <c r="B573" s="6"/>
      <c r="C573" s="6"/>
      <c r="E573" s="6"/>
      <c r="P573" s="6"/>
    </row>
    <row r="574" customFormat="false" ht="15.75" hidden="false" customHeight="true" outlineLevel="0" collapsed="false">
      <c r="A574" s="6"/>
      <c r="B574" s="6"/>
      <c r="C574" s="6"/>
      <c r="E574" s="6"/>
      <c r="P574" s="6"/>
    </row>
    <row r="575" customFormat="false" ht="15.75" hidden="false" customHeight="true" outlineLevel="0" collapsed="false">
      <c r="A575" s="6"/>
      <c r="B575" s="6"/>
      <c r="C575" s="6"/>
      <c r="E575" s="6"/>
      <c r="P575" s="6"/>
    </row>
    <row r="576" customFormat="false" ht="15.75" hidden="false" customHeight="true" outlineLevel="0" collapsed="false">
      <c r="A576" s="6"/>
      <c r="B576" s="6"/>
      <c r="C576" s="6"/>
      <c r="E576" s="6"/>
      <c r="P576" s="6"/>
    </row>
    <row r="577" customFormat="false" ht="15.75" hidden="false" customHeight="true" outlineLevel="0" collapsed="false">
      <c r="A577" s="6"/>
      <c r="B577" s="6"/>
      <c r="C577" s="6"/>
      <c r="E577" s="6"/>
      <c r="P577" s="6"/>
    </row>
    <row r="578" customFormat="false" ht="15.75" hidden="false" customHeight="true" outlineLevel="0" collapsed="false">
      <c r="A578" s="6"/>
      <c r="B578" s="6"/>
      <c r="C578" s="6"/>
      <c r="E578" s="6"/>
      <c r="P578" s="6"/>
    </row>
    <row r="579" customFormat="false" ht="15.75" hidden="false" customHeight="true" outlineLevel="0" collapsed="false">
      <c r="A579" s="6"/>
      <c r="B579" s="6"/>
      <c r="C579" s="6"/>
      <c r="E579" s="6"/>
      <c r="P579" s="6"/>
    </row>
    <row r="580" customFormat="false" ht="15.75" hidden="false" customHeight="true" outlineLevel="0" collapsed="false">
      <c r="A580" s="6"/>
      <c r="B580" s="6"/>
      <c r="C580" s="6"/>
      <c r="E580" s="6"/>
      <c r="P580" s="6"/>
    </row>
    <row r="581" customFormat="false" ht="15.75" hidden="false" customHeight="true" outlineLevel="0" collapsed="false">
      <c r="A581" s="6"/>
      <c r="B581" s="6"/>
      <c r="C581" s="6"/>
      <c r="E581" s="6"/>
      <c r="P581" s="6"/>
    </row>
    <row r="582" customFormat="false" ht="15.75" hidden="false" customHeight="true" outlineLevel="0" collapsed="false">
      <c r="A582" s="6"/>
      <c r="B582" s="6"/>
      <c r="C582" s="6"/>
      <c r="E582" s="6"/>
      <c r="P582" s="6"/>
    </row>
    <row r="583" customFormat="false" ht="15.75" hidden="false" customHeight="true" outlineLevel="0" collapsed="false">
      <c r="A583" s="6"/>
      <c r="B583" s="6"/>
      <c r="C583" s="6"/>
      <c r="E583" s="6"/>
      <c r="P583" s="6"/>
    </row>
    <row r="584" customFormat="false" ht="15.75" hidden="false" customHeight="true" outlineLevel="0" collapsed="false">
      <c r="A584" s="6"/>
      <c r="B584" s="6"/>
      <c r="C584" s="6"/>
      <c r="E584" s="6"/>
      <c r="P584" s="6"/>
    </row>
    <row r="585" customFormat="false" ht="15.75" hidden="false" customHeight="true" outlineLevel="0" collapsed="false">
      <c r="A585" s="6"/>
      <c r="B585" s="6"/>
      <c r="C585" s="6"/>
      <c r="E585" s="6"/>
      <c r="P585" s="6"/>
    </row>
    <row r="586" customFormat="false" ht="15.75" hidden="false" customHeight="true" outlineLevel="0" collapsed="false">
      <c r="A586" s="6"/>
      <c r="B586" s="6"/>
      <c r="C586" s="6"/>
      <c r="E586" s="6"/>
      <c r="P586" s="6"/>
    </row>
    <row r="587" customFormat="false" ht="15.75" hidden="false" customHeight="true" outlineLevel="0" collapsed="false">
      <c r="A587" s="6"/>
      <c r="B587" s="6"/>
      <c r="C587" s="6"/>
      <c r="E587" s="6"/>
      <c r="P587" s="6"/>
    </row>
    <row r="588" customFormat="false" ht="15.75" hidden="false" customHeight="true" outlineLevel="0" collapsed="false">
      <c r="A588" s="6"/>
      <c r="B588" s="6"/>
      <c r="C588" s="6"/>
      <c r="E588" s="6"/>
      <c r="P588" s="6"/>
    </row>
    <row r="589" customFormat="false" ht="15.75" hidden="false" customHeight="true" outlineLevel="0" collapsed="false">
      <c r="A589" s="6"/>
      <c r="B589" s="6"/>
      <c r="C589" s="6"/>
      <c r="E589" s="6"/>
      <c r="P589" s="6"/>
    </row>
    <row r="590" customFormat="false" ht="15.75" hidden="false" customHeight="true" outlineLevel="0" collapsed="false">
      <c r="A590" s="6"/>
      <c r="B590" s="6"/>
      <c r="C590" s="6"/>
      <c r="E590" s="6"/>
      <c r="P590" s="6"/>
    </row>
    <row r="591" customFormat="false" ht="15.75" hidden="false" customHeight="true" outlineLevel="0" collapsed="false">
      <c r="A591" s="6"/>
      <c r="B591" s="6"/>
      <c r="C591" s="6"/>
      <c r="E591" s="6"/>
      <c r="P591" s="6"/>
    </row>
    <row r="592" customFormat="false" ht="15.75" hidden="false" customHeight="true" outlineLevel="0" collapsed="false">
      <c r="A592" s="6"/>
      <c r="B592" s="6"/>
      <c r="C592" s="6"/>
      <c r="E592" s="6"/>
      <c r="P592" s="6"/>
    </row>
    <row r="593" customFormat="false" ht="15.75" hidden="false" customHeight="true" outlineLevel="0" collapsed="false">
      <c r="A593" s="6"/>
      <c r="B593" s="6"/>
      <c r="C593" s="6"/>
      <c r="E593" s="6"/>
      <c r="P593" s="6"/>
    </row>
    <row r="594" customFormat="false" ht="15.75" hidden="false" customHeight="true" outlineLevel="0" collapsed="false">
      <c r="A594" s="6"/>
      <c r="B594" s="6"/>
      <c r="C594" s="6"/>
      <c r="E594" s="6"/>
      <c r="P594" s="6"/>
    </row>
    <row r="595" customFormat="false" ht="15.75" hidden="false" customHeight="true" outlineLevel="0" collapsed="false">
      <c r="A595" s="6"/>
      <c r="B595" s="6"/>
      <c r="C595" s="6"/>
      <c r="E595" s="6"/>
      <c r="P595" s="6"/>
    </row>
    <row r="596" customFormat="false" ht="15.75" hidden="false" customHeight="true" outlineLevel="0" collapsed="false">
      <c r="A596" s="6"/>
      <c r="B596" s="6"/>
      <c r="C596" s="6"/>
      <c r="E596" s="6"/>
      <c r="P596" s="6"/>
    </row>
    <row r="597" customFormat="false" ht="15.75" hidden="false" customHeight="true" outlineLevel="0" collapsed="false">
      <c r="A597" s="6"/>
      <c r="B597" s="6"/>
      <c r="C597" s="6"/>
      <c r="E597" s="6"/>
      <c r="P597" s="6"/>
    </row>
    <row r="598" customFormat="false" ht="15.75" hidden="false" customHeight="true" outlineLevel="0" collapsed="false">
      <c r="A598" s="6"/>
      <c r="B598" s="6"/>
      <c r="C598" s="6"/>
      <c r="E598" s="6"/>
      <c r="P598" s="6"/>
    </row>
    <row r="599" customFormat="false" ht="15.75" hidden="false" customHeight="true" outlineLevel="0" collapsed="false">
      <c r="A599" s="6"/>
      <c r="B599" s="6"/>
      <c r="C599" s="6"/>
      <c r="E599" s="6"/>
      <c r="P599" s="6"/>
    </row>
    <row r="600" customFormat="false" ht="15.75" hidden="false" customHeight="true" outlineLevel="0" collapsed="false">
      <c r="A600" s="6"/>
      <c r="B600" s="6"/>
      <c r="C600" s="6"/>
      <c r="E600" s="6"/>
      <c r="P600" s="6"/>
    </row>
    <row r="601" customFormat="false" ht="15.75" hidden="false" customHeight="true" outlineLevel="0" collapsed="false">
      <c r="A601" s="6"/>
      <c r="B601" s="6"/>
      <c r="C601" s="6"/>
      <c r="E601" s="6"/>
      <c r="P601" s="6"/>
    </row>
    <row r="602" customFormat="false" ht="15.75" hidden="false" customHeight="true" outlineLevel="0" collapsed="false">
      <c r="A602" s="6"/>
      <c r="B602" s="6"/>
      <c r="C602" s="6"/>
      <c r="E602" s="6"/>
      <c r="P602" s="6"/>
    </row>
    <row r="603" customFormat="false" ht="15.75" hidden="false" customHeight="true" outlineLevel="0" collapsed="false">
      <c r="A603" s="6"/>
      <c r="B603" s="6"/>
      <c r="C603" s="6"/>
      <c r="E603" s="6"/>
      <c r="P603" s="6"/>
    </row>
    <row r="604" customFormat="false" ht="15.75" hidden="false" customHeight="true" outlineLevel="0" collapsed="false">
      <c r="A604" s="6"/>
      <c r="B604" s="6"/>
      <c r="C604" s="6"/>
      <c r="E604" s="6"/>
      <c r="P604" s="6"/>
    </row>
    <row r="605" customFormat="false" ht="15.75" hidden="false" customHeight="true" outlineLevel="0" collapsed="false">
      <c r="A605" s="6"/>
      <c r="B605" s="6"/>
      <c r="C605" s="6"/>
      <c r="E605" s="6"/>
      <c r="P605" s="6"/>
    </row>
    <row r="606" customFormat="false" ht="15.75" hidden="false" customHeight="true" outlineLevel="0" collapsed="false">
      <c r="A606" s="6"/>
      <c r="B606" s="6"/>
      <c r="C606" s="6"/>
      <c r="E606" s="6"/>
      <c r="P606" s="6"/>
    </row>
    <row r="607" customFormat="false" ht="15.75" hidden="false" customHeight="true" outlineLevel="0" collapsed="false">
      <c r="A607" s="6"/>
      <c r="B607" s="6"/>
      <c r="C607" s="6"/>
      <c r="E607" s="6"/>
      <c r="P607" s="6"/>
    </row>
    <row r="608" customFormat="false" ht="15.75" hidden="false" customHeight="true" outlineLevel="0" collapsed="false">
      <c r="A608" s="6"/>
      <c r="B608" s="6"/>
      <c r="C608" s="6"/>
      <c r="E608" s="6"/>
      <c r="P608" s="6"/>
    </row>
    <row r="609" customFormat="false" ht="15.75" hidden="false" customHeight="true" outlineLevel="0" collapsed="false">
      <c r="A609" s="6"/>
      <c r="B609" s="6"/>
      <c r="C609" s="6"/>
      <c r="E609" s="6"/>
      <c r="P609" s="6"/>
    </row>
    <row r="610" customFormat="false" ht="15.75" hidden="false" customHeight="true" outlineLevel="0" collapsed="false">
      <c r="A610" s="6"/>
      <c r="B610" s="6"/>
      <c r="C610" s="6"/>
      <c r="E610" s="6"/>
      <c r="P610" s="6"/>
    </row>
    <row r="611" customFormat="false" ht="15.75" hidden="false" customHeight="true" outlineLevel="0" collapsed="false">
      <c r="A611" s="6"/>
      <c r="B611" s="6"/>
      <c r="C611" s="6"/>
      <c r="E611" s="6"/>
      <c r="P611" s="6"/>
    </row>
    <row r="612" customFormat="false" ht="15.75" hidden="false" customHeight="true" outlineLevel="0" collapsed="false">
      <c r="A612" s="6"/>
      <c r="B612" s="6"/>
      <c r="C612" s="6"/>
      <c r="E612" s="6"/>
      <c r="P612" s="6"/>
    </row>
    <row r="613" customFormat="false" ht="15.75" hidden="false" customHeight="true" outlineLevel="0" collapsed="false">
      <c r="A613" s="6"/>
      <c r="B613" s="6"/>
      <c r="C613" s="6"/>
      <c r="E613" s="6"/>
      <c r="P613" s="6"/>
    </row>
    <row r="614" customFormat="false" ht="15.75" hidden="false" customHeight="true" outlineLevel="0" collapsed="false">
      <c r="A614" s="6"/>
      <c r="B614" s="6"/>
      <c r="C614" s="6"/>
      <c r="E614" s="6"/>
      <c r="P614" s="6"/>
    </row>
    <row r="615" customFormat="false" ht="15.75" hidden="false" customHeight="true" outlineLevel="0" collapsed="false">
      <c r="A615" s="6"/>
      <c r="B615" s="6"/>
      <c r="C615" s="6"/>
      <c r="E615" s="6"/>
      <c r="P615" s="6"/>
    </row>
    <row r="616" customFormat="false" ht="15.75" hidden="false" customHeight="true" outlineLevel="0" collapsed="false">
      <c r="A616" s="6"/>
      <c r="B616" s="6"/>
      <c r="C616" s="6"/>
      <c r="E616" s="6"/>
      <c r="P616" s="6"/>
    </row>
    <row r="617" customFormat="false" ht="15.75" hidden="false" customHeight="true" outlineLevel="0" collapsed="false">
      <c r="A617" s="6"/>
      <c r="B617" s="6"/>
      <c r="C617" s="6"/>
      <c r="E617" s="6"/>
      <c r="P617" s="6"/>
    </row>
    <row r="618" customFormat="false" ht="15.75" hidden="false" customHeight="true" outlineLevel="0" collapsed="false">
      <c r="A618" s="6"/>
      <c r="B618" s="6"/>
      <c r="C618" s="6"/>
      <c r="E618" s="6"/>
      <c r="P618" s="6"/>
    </row>
    <row r="619" customFormat="false" ht="15.75" hidden="false" customHeight="true" outlineLevel="0" collapsed="false">
      <c r="A619" s="6"/>
      <c r="B619" s="6"/>
      <c r="C619" s="6"/>
      <c r="E619" s="6"/>
      <c r="P619" s="6"/>
    </row>
    <row r="620" customFormat="false" ht="15.75" hidden="false" customHeight="true" outlineLevel="0" collapsed="false">
      <c r="A620" s="6"/>
      <c r="B620" s="6"/>
      <c r="C620" s="6"/>
      <c r="E620" s="6"/>
      <c r="P620" s="6"/>
    </row>
    <row r="621" customFormat="false" ht="15.75" hidden="false" customHeight="true" outlineLevel="0" collapsed="false">
      <c r="A621" s="6"/>
      <c r="B621" s="6"/>
      <c r="C621" s="6"/>
      <c r="E621" s="6"/>
      <c r="P621" s="6"/>
    </row>
    <row r="622" customFormat="false" ht="15.75" hidden="false" customHeight="true" outlineLevel="0" collapsed="false">
      <c r="A622" s="6"/>
      <c r="B622" s="6"/>
      <c r="C622" s="6"/>
      <c r="E622" s="6"/>
      <c r="P622" s="6"/>
    </row>
    <row r="623" customFormat="false" ht="15.75" hidden="false" customHeight="true" outlineLevel="0" collapsed="false">
      <c r="A623" s="6"/>
      <c r="B623" s="6"/>
      <c r="C623" s="6"/>
      <c r="E623" s="6"/>
      <c r="P623" s="6"/>
    </row>
    <row r="624" customFormat="false" ht="15.75" hidden="false" customHeight="true" outlineLevel="0" collapsed="false">
      <c r="A624" s="6"/>
      <c r="B624" s="6"/>
      <c r="C624" s="6"/>
      <c r="E624" s="6"/>
      <c r="P624" s="6"/>
    </row>
    <row r="625" customFormat="false" ht="15.75" hidden="false" customHeight="true" outlineLevel="0" collapsed="false">
      <c r="A625" s="6"/>
      <c r="B625" s="6"/>
      <c r="C625" s="6"/>
      <c r="E625" s="6"/>
      <c r="P625" s="6"/>
    </row>
    <row r="626" customFormat="false" ht="15.75" hidden="false" customHeight="true" outlineLevel="0" collapsed="false">
      <c r="A626" s="6"/>
      <c r="B626" s="6"/>
      <c r="C626" s="6"/>
      <c r="E626" s="6"/>
      <c r="P626" s="6"/>
    </row>
    <row r="627" customFormat="false" ht="15.75" hidden="false" customHeight="true" outlineLevel="0" collapsed="false">
      <c r="A627" s="6"/>
      <c r="B627" s="6"/>
      <c r="C627" s="6"/>
      <c r="E627" s="6"/>
      <c r="P627" s="6"/>
    </row>
    <row r="628" customFormat="false" ht="15.75" hidden="false" customHeight="true" outlineLevel="0" collapsed="false">
      <c r="A628" s="6"/>
      <c r="B628" s="6"/>
      <c r="C628" s="6"/>
      <c r="E628" s="6"/>
      <c r="P628" s="6"/>
    </row>
    <row r="629" customFormat="false" ht="15.75" hidden="false" customHeight="true" outlineLevel="0" collapsed="false">
      <c r="A629" s="6"/>
      <c r="B629" s="6"/>
      <c r="C629" s="6"/>
      <c r="E629" s="6"/>
      <c r="P629" s="6"/>
    </row>
    <row r="630" customFormat="false" ht="15.75" hidden="false" customHeight="true" outlineLevel="0" collapsed="false">
      <c r="A630" s="6"/>
      <c r="B630" s="6"/>
      <c r="C630" s="6"/>
      <c r="E630" s="6"/>
      <c r="P630" s="6"/>
    </row>
    <row r="631" customFormat="false" ht="15.75" hidden="false" customHeight="true" outlineLevel="0" collapsed="false">
      <c r="A631" s="6"/>
      <c r="B631" s="6"/>
      <c r="C631" s="6"/>
      <c r="E631" s="6"/>
      <c r="P631" s="6"/>
    </row>
    <row r="632" customFormat="false" ht="15.75" hidden="false" customHeight="true" outlineLevel="0" collapsed="false">
      <c r="A632" s="6"/>
      <c r="B632" s="6"/>
      <c r="C632" s="6"/>
      <c r="E632" s="6"/>
      <c r="P632" s="6"/>
    </row>
    <row r="633" customFormat="false" ht="15.75" hidden="false" customHeight="true" outlineLevel="0" collapsed="false">
      <c r="A633" s="6"/>
      <c r="B633" s="6"/>
      <c r="C633" s="6"/>
      <c r="E633" s="6"/>
      <c r="P633" s="6"/>
    </row>
    <row r="634" customFormat="false" ht="15.75" hidden="false" customHeight="true" outlineLevel="0" collapsed="false">
      <c r="A634" s="6"/>
      <c r="B634" s="6"/>
      <c r="C634" s="6"/>
      <c r="E634" s="6"/>
      <c r="P634" s="6"/>
    </row>
    <row r="635" customFormat="false" ht="15.75" hidden="false" customHeight="true" outlineLevel="0" collapsed="false">
      <c r="A635" s="6"/>
      <c r="B635" s="6"/>
      <c r="C635" s="6"/>
      <c r="E635" s="6"/>
      <c r="P635" s="6"/>
    </row>
    <row r="636" customFormat="false" ht="15.75" hidden="false" customHeight="true" outlineLevel="0" collapsed="false">
      <c r="A636" s="6"/>
      <c r="B636" s="6"/>
      <c r="C636" s="6"/>
      <c r="E636" s="6"/>
      <c r="P636" s="6"/>
    </row>
    <row r="637" customFormat="false" ht="15.75" hidden="false" customHeight="true" outlineLevel="0" collapsed="false">
      <c r="A637" s="6"/>
      <c r="B637" s="6"/>
      <c r="C637" s="6"/>
      <c r="E637" s="6"/>
      <c r="P637" s="6"/>
    </row>
    <row r="638" customFormat="false" ht="15.75" hidden="false" customHeight="true" outlineLevel="0" collapsed="false">
      <c r="A638" s="6"/>
      <c r="B638" s="6"/>
      <c r="C638" s="6"/>
      <c r="E638" s="6"/>
      <c r="P638" s="6"/>
    </row>
    <row r="639" customFormat="false" ht="15.75" hidden="false" customHeight="true" outlineLevel="0" collapsed="false">
      <c r="A639" s="6"/>
      <c r="B639" s="6"/>
      <c r="C639" s="6"/>
      <c r="E639" s="6"/>
      <c r="P639" s="6"/>
    </row>
    <row r="640" customFormat="false" ht="15.75" hidden="false" customHeight="true" outlineLevel="0" collapsed="false">
      <c r="A640" s="6"/>
      <c r="B640" s="6"/>
      <c r="C640" s="6"/>
      <c r="E640" s="6"/>
      <c r="P640" s="6"/>
    </row>
    <row r="641" customFormat="false" ht="15.75" hidden="false" customHeight="true" outlineLevel="0" collapsed="false">
      <c r="A641" s="6"/>
      <c r="B641" s="6"/>
      <c r="C641" s="6"/>
      <c r="E641" s="6"/>
      <c r="P641" s="6"/>
    </row>
    <row r="642" customFormat="false" ht="15.75" hidden="false" customHeight="true" outlineLevel="0" collapsed="false">
      <c r="A642" s="6"/>
      <c r="B642" s="6"/>
      <c r="C642" s="6"/>
      <c r="E642" s="6"/>
      <c r="P642" s="6"/>
    </row>
    <row r="643" customFormat="false" ht="15.75" hidden="false" customHeight="true" outlineLevel="0" collapsed="false">
      <c r="A643" s="6"/>
      <c r="B643" s="6"/>
      <c r="C643" s="6"/>
      <c r="E643" s="6"/>
      <c r="P643" s="6"/>
    </row>
    <row r="644" customFormat="false" ht="15.75" hidden="false" customHeight="true" outlineLevel="0" collapsed="false">
      <c r="A644" s="6"/>
      <c r="B644" s="6"/>
      <c r="C644" s="6"/>
      <c r="E644" s="6"/>
      <c r="P644" s="6"/>
    </row>
    <row r="645" customFormat="false" ht="15.75" hidden="false" customHeight="true" outlineLevel="0" collapsed="false">
      <c r="A645" s="6"/>
      <c r="B645" s="6"/>
      <c r="C645" s="6"/>
      <c r="E645" s="6"/>
      <c r="P645" s="6"/>
    </row>
    <row r="646" customFormat="false" ht="15.75" hidden="false" customHeight="true" outlineLevel="0" collapsed="false">
      <c r="A646" s="6"/>
      <c r="B646" s="6"/>
      <c r="C646" s="6"/>
      <c r="E646" s="6"/>
      <c r="P646" s="6"/>
    </row>
    <row r="647" customFormat="false" ht="15.75" hidden="false" customHeight="true" outlineLevel="0" collapsed="false">
      <c r="A647" s="6"/>
      <c r="B647" s="6"/>
      <c r="C647" s="6"/>
      <c r="E647" s="6"/>
      <c r="P647" s="6"/>
    </row>
    <row r="648" customFormat="false" ht="15.75" hidden="false" customHeight="true" outlineLevel="0" collapsed="false">
      <c r="A648" s="6"/>
      <c r="B648" s="6"/>
      <c r="C648" s="6"/>
      <c r="E648" s="6"/>
      <c r="P648" s="6"/>
    </row>
    <row r="649" customFormat="false" ht="15.75" hidden="false" customHeight="true" outlineLevel="0" collapsed="false">
      <c r="A649" s="6"/>
      <c r="B649" s="6"/>
      <c r="C649" s="6"/>
      <c r="E649" s="6"/>
      <c r="P649" s="6"/>
    </row>
    <row r="650" customFormat="false" ht="15.75" hidden="false" customHeight="true" outlineLevel="0" collapsed="false">
      <c r="A650" s="6"/>
      <c r="B650" s="6"/>
      <c r="C650" s="6"/>
      <c r="E650" s="6"/>
      <c r="P650" s="6"/>
    </row>
    <row r="651" customFormat="false" ht="15.75" hidden="false" customHeight="true" outlineLevel="0" collapsed="false">
      <c r="A651" s="6"/>
      <c r="B651" s="6"/>
      <c r="C651" s="6"/>
      <c r="E651" s="6"/>
      <c r="P651" s="6"/>
    </row>
    <row r="652" customFormat="false" ht="15.75" hidden="false" customHeight="true" outlineLevel="0" collapsed="false">
      <c r="A652" s="6"/>
      <c r="B652" s="6"/>
      <c r="C652" s="6"/>
      <c r="E652" s="6"/>
      <c r="P652" s="6"/>
    </row>
    <row r="653" customFormat="false" ht="15.75" hidden="false" customHeight="true" outlineLevel="0" collapsed="false">
      <c r="A653" s="6"/>
      <c r="B653" s="6"/>
      <c r="C653" s="6"/>
      <c r="E653" s="6"/>
      <c r="P653" s="6"/>
    </row>
    <row r="654" customFormat="false" ht="15.75" hidden="false" customHeight="true" outlineLevel="0" collapsed="false">
      <c r="A654" s="6"/>
      <c r="B654" s="6"/>
      <c r="C654" s="6"/>
      <c r="E654" s="6"/>
      <c r="P654" s="6"/>
    </row>
    <row r="655" customFormat="false" ht="15.75" hidden="false" customHeight="true" outlineLevel="0" collapsed="false">
      <c r="A655" s="6"/>
      <c r="B655" s="6"/>
      <c r="C655" s="6"/>
      <c r="E655" s="6"/>
      <c r="P655" s="6"/>
    </row>
    <row r="656" customFormat="false" ht="15.75" hidden="false" customHeight="true" outlineLevel="0" collapsed="false">
      <c r="A656" s="6"/>
      <c r="B656" s="6"/>
      <c r="C656" s="6"/>
      <c r="E656" s="6"/>
      <c r="P656" s="6"/>
    </row>
    <row r="657" customFormat="false" ht="15.75" hidden="false" customHeight="true" outlineLevel="0" collapsed="false">
      <c r="A657" s="6"/>
      <c r="B657" s="6"/>
      <c r="C657" s="6"/>
      <c r="E657" s="6"/>
      <c r="P657" s="6"/>
    </row>
    <row r="658" customFormat="false" ht="15.75" hidden="false" customHeight="true" outlineLevel="0" collapsed="false">
      <c r="A658" s="6"/>
      <c r="B658" s="6"/>
      <c r="C658" s="6"/>
      <c r="E658" s="6"/>
      <c r="P658" s="6"/>
    </row>
    <row r="659" customFormat="false" ht="15.75" hidden="false" customHeight="true" outlineLevel="0" collapsed="false">
      <c r="A659" s="6"/>
      <c r="B659" s="6"/>
      <c r="C659" s="6"/>
      <c r="E659" s="6"/>
      <c r="P659" s="6"/>
    </row>
    <row r="660" customFormat="false" ht="15.75" hidden="false" customHeight="true" outlineLevel="0" collapsed="false">
      <c r="A660" s="6"/>
      <c r="B660" s="6"/>
      <c r="C660" s="6"/>
      <c r="E660" s="6"/>
      <c r="P660" s="6"/>
    </row>
    <row r="661" customFormat="false" ht="15.75" hidden="false" customHeight="true" outlineLevel="0" collapsed="false">
      <c r="A661" s="6"/>
      <c r="B661" s="6"/>
      <c r="C661" s="6"/>
      <c r="E661" s="6"/>
      <c r="P661" s="6"/>
    </row>
    <row r="662" customFormat="false" ht="15.75" hidden="false" customHeight="true" outlineLevel="0" collapsed="false">
      <c r="A662" s="6"/>
      <c r="B662" s="6"/>
      <c r="C662" s="6"/>
      <c r="E662" s="6"/>
      <c r="P662" s="6"/>
    </row>
    <row r="663" customFormat="false" ht="15.75" hidden="false" customHeight="true" outlineLevel="0" collapsed="false">
      <c r="A663" s="6"/>
      <c r="B663" s="6"/>
      <c r="C663" s="6"/>
      <c r="E663" s="6"/>
      <c r="P663" s="6"/>
    </row>
    <row r="664" customFormat="false" ht="15.75" hidden="false" customHeight="true" outlineLevel="0" collapsed="false">
      <c r="A664" s="6"/>
      <c r="B664" s="6"/>
      <c r="C664" s="6"/>
      <c r="E664" s="6"/>
      <c r="P664" s="6"/>
    </row>
    <row r="665" customFormat="false" ht="15.75" hidden="false" customHeight="true" outlineLevel="0" collapsed="false">
      <c r="A665" s="6"/>
      <c r="B665" s="6"/>
      <c r="C665" s="6"/>
      <c r="E665" s="6"/>
      <c r="P665" s="6"/>
    </row>
    <row r="666" customFormat="false" ht="15.75" hidden="false" customHeight="true" outlineLevel="0" collapsed="false">
      <c r="A666" s="6"/>
      <c r="B666" s="6"/>
      <c r="C666" s="6"/>
      <c r="E666" s="6"/>
      <c r="P666" s="6"/>
    </row>
    <row r="667" customFormat="false" ht="15.75" hidden="false" customHeight="true" outlineLevel="0" collapsed="false">
      <c r="A667" s="6"/>
      <c r="B667" s="6"/>
      <c r="C667" s="6"/>
      <c r="E667" s="6"/>
      <c r="P667" s="6"/>
    </row>
    <row r="668" customFormat="false" ht="15.75" hidden="false" customHeight="true" outlineLevel="0" collapsed="false">
      <c r="A668" s="6"/>
      <c r="B668" s="6"/>
      <c r="C668" s="6"/>
      <c r="E668" s="6"/>
      <c r="P668" s="6"/>
    </row>
    <row r="669" customFormat="false" ht="15.75" hidden="false" customHeight="true" outlineLevel="0" collapsed="false">
      <c r="A669" s="6"/>
      <c r="B669" s="6"/>
      <c r="C669" s="6"/>
      <c r="E669" s="6"/>
      <c r="P669" s="6"/>
    </row>
    <row r="670" customFormat="false" ht="15.75" hidden="false" customHeight="true" outlineLevel="0" collapsed="false">
      <c r="A670" s="6"/>
      <c r="B670" s="6"/>
      <c r="C670" s="6"/>
      <c r="E670" s="6"/>
      <c r="P670" s="6"/>
    </row>
    <row r="671" customFormat="false" ht="15.75" hidden="false" customHeight="true" outlineLevel="0" collapsed="false">
      <c r="A671" s="6"/>
      <c r="B671" s="6"/>
      <c r="C671" s="6"/>
      <c r="E671" s="6"/>
      <c r="P671" s="6"/>
    </row>
    <row r="672" customFormat="false" ht="15.75" hidden="false" customHeight="true" outlineLevel="0" collapsed="false">
      <c r="A672" s="6"/>
      <c r="B672" s="6"/>
      <c r="C672" s="6"/>
      <c r="E672" s="6"/>
      <c r="P672" s="6"/>
    </row>
    <row r="673" customFormat="false" ht="15.75" hidden="false" customHeight="true" outlineLevel="0" collapsed="false">
      <c r="A673" s="6"/>
      <c r="B673" s="6"/>
      <c r="C673" s="6"/>
      <c r="E673" s="6"/>
      <c r="P673" s="6"/>
    </row>
    <row r="674" customFormat="false" ht="15.75" hidden="false" customHeight="true" outlineLevel="0" collapsed="false">
      <c r="A674" s="6"/>
      <c r="B674" s="6"/>
      <c r="C674" s="6"/>
      <c r="E674" s="6"/>
      <c r="P674" s="6"/>
    </row>
    <row r="675" customFormat="false" ht="15.75" hidden="false" customHeight="true" outlineLevel="0" collapsed="false">
      <c r="A675" s="6"/>
      <c r="B675" s="6"/>
      <c r="C675" s="6"/>
      <c r="E675" s="6"/>
      <c r="P675" s="6"/>
    </row>
    <row r="676" customFormat="false" ht="15.75" hidden="false" customHeight="true" outlineLevel="0" collapsed="false">
      <c r="A676" s="6"/>
      <c r="B676" s="6"/>
      <c r="C676" s="6"/>
      <c r="E676" s="6"/>
      <c r="P676" s="6"/>
    </row>
    <row r="677" customFormat="false" ht="15.75" hidden="false" customHeight="true" outlineLevel="0" collapsed="false">
      <c r="A677" s="6"/>
      <c r="B677" s="6"/>
      <c r="C677" s="6"/>
      <c r="E677" s="6"/>
      <c r="P677" s="6"/>
    </row>
    <row r="678" customFormat="false" ht="15.75" hidden="false" customHeight="true" outlineLevel="0" collapsed="false">
      <c r="A678" s="6"/>
      <c r="B678" s="6"/>
      <c r="C678" s="6"/>
      <c r="E678" s="6"/>
      <c r="P678" s="6"/>
    </row>
    <row r="679" customFormat="false" ht="15.75" hidden="false" customHeight="true" outlineLevel="0" collapsed="false">
      <c r="A679" s="6"/>
      <c r="B679" s="6"/>
      <c r="C679" s="6"/>
      <c r="E679" s="6"/>
      <c r="P679" s="6"/>
    </row>
    <row r="680" customFormat="false" ht="15.75" hidden="false" customHeight="true" outlineLevel="0" collapsed="false">
      <c r="A680" s="6"/>
      <c r="B680" s="6"/>
      <c r="C680" s="6"/>
      <c r="E680" s="6"/>
      <c r="P680" s="6"/>
    </row>
    <row r="681" customFormat="false" ht="15.75" hidden="false" customHeight="true" outlineLevel="0" collapsed="false">
      <c r="A681" s="6"/>
      <c r="B681" s="6"/>
      <c r="C681" s="6"/>
      <c r="E681" s="6"/>
      <c r="P681" s="6"/>
    </row>
    <row r="682" customFormat="false" ht="15.75" hidden="false" customHeight="true" outlineLevel="0" collapsed="false">
      <c r="A682" s="6"/>
      <c r="B682" s="6"/>
      <c r="C682" s="6"/>
      <c r="E682" s="6"/>
      <c r="P682" s="6"/>
    </row>
    <row r="683" customFormat="false" ht="15.75" hidden="false" customHeight="true" outlineLevel="0" collapsed="false">
      <c r="A683" s="6"/>
      <c r="B683" s="6"/>
      <c r="C683" s="6"/>
      <c r="E683" s="6"/>
      <c r="P683" s="6"/>
    </row>
    <row r="684" customFormat="false" ht="15.75" hidden="false" customHeight="true" outlineLevel="0" collapsed="false">
      <c r="A684" s="6"/>
      <c r="B684" s="6"/>
      <c r="C684" s="6"/>
      <c r="E684" s="6"/>
      <c r="P684" s="6"/>
    </row>
    <row r="685" customFormat="false" ht="15.75" hidden="false" customHeight="true" outlineLevel="0" collapsed="false">
      <c r="A685" s="6"/>
      <c r="B685" s="6"/>
      <c r="C685" s="6"/>
      <c r="E685" s="6"/>
      <c r="P685" s="6"/>
    </row>
    <row r="686" customFormat="false" ht="15.75" hidden="false" customHeight="true" outlineLevel="0" collapsed="false">
      <c r="A686" s="6"/>
      <c r="B686" s="6"/>
      <c r="C686" s="6"/>
      <c r="E686" s="6"/>
      <c r="P686" s="6"/>
    </row>
    <row r="687" customFormat="false" ht="15.75" hidden="false" customHeight="true" outlineLevel="0" collapsed="false">
      <c r="A687" s="6"/>
      <c r="B687" s="6"/>
      <c r="C687" s="6"/>
      <c r="E687" s="6"/>
      <c r="P687" s="6"/>
    </row>
    <row r="688" customFormat="false" ht="15.75" hidden="false" customHeight="true" outlineLevel="0" collapsed="false">
      <c r="A688" s="6"/>
      <c r="B688" s="6"/>
      <c r="C688" s="6"/>
      <c r="E688" s="6"/>
      <c r="P688" s="6"/>
    </row>
    <row r="689" customFormat="false" ht="15.75" hidden="false" customHeight="true" outlineLevel="0" collapsed="false">
      <c r="A689" s="6"/>
      <c r="B689" s="6"/>
      <c r="C689" s="6"/>
      <c r="E689" s="6"/>
      <c r="P689" s="6"/>
    </row>
    <row r="690" customFormat="false" ht="15.75" hidden="false" customHeight="true" outlineLevel="0" collapsed="false">
      <c r="A690" s="6"/>
      <c r="B690" s="6"/>
      <c r="C690" s="6"/>
      <c r="E690" s="6"/>
      <c r="P690" s="6"/>
    </row>
    <row r="691" customFormat="false" ht="15.75" hidden="false" customHeight="true" outlineLevel="0" collapsed="false">
      <c r="A691" s="6"/>
      <c r="B691" s="6"/>
      <c r="C691" s="6"/>
      <c r="E691" s="6"/>
      <c r="P691" s="6"/>
    </row>
    <row r="692" customFormat="false" ht="15.75" hidden="false" customHeight="true" outlineLevel="0" collapsed="false">
      <c r="A692" s="6"/>
      <c r="B692" s="6"/>
      <c r="C692" s="6"/>
      <c r="E692" s="6"/>
      <c r="P692" s="6"/>
    </row>
    <row r="693" customFormat="false" ht="15.75" hidden="false" customHeight="true" outlineLevel="0" collapsed="false">
      <c r="A693" s="6"/>
      <c r="B693" s="6"/>
      <c r="C693" s="6"/>
      <c r="E693" s="6"/>
      <c r="P693" s="6"/>
    </row>
    <row r="694" customFormat="false" ht="15.75" hidden="false" customHeight="true" outlineLevel="0" collapsed="false">
      <c r="A694" s="6"/>
      <c r="B694" s="6"/>
      <c r="C694" s="6"/>
      <c r="E694" s="6"/>
      <c r="P694" s="6"/>
    </row>
    <row r="695" customFormat="false" ht="15.75" hidden="false" customHeight="true" outlineLevel="0" collapsed="false">
      <c r="A695" s="6"/>
      <c r="B695" s="6"/>
      <c r="C695" s="6"/>
      <c r="E695" s="6"/>
      <c r="P695" s="6"/>
    </row>
    <row r="696" customFormat="false" ht="15.75" hidden="false" customHeight="true" outlineLevel="0" collapsed="false">
      <c r="A696" s="6"/>
      <c r="B696" s="6"/>
      <c r="C696" s="6"/>
      <c r="E696" s="6"/>
      <c r="P696" s="6"/>
    </row>
    <row r="697" customFormat="false" ht="15.75" hidden="false" customHeight="true" outlineLevel="0" collapsed="false">
      <c r="A697" s="6"/>
      <c r="B697" s="6"/>
      <c r="C697" s="6"/>
      <c r="E697" s="6"/>
      <c r="P697" s="6"/>
    </row>
    <row r="698" customFormat="false" ht="15.75" hidden="false" customHeight="true" outlineLevel="0" collapsed="false">
      <c r="A698" s="6"/>
      <c r="B698" s="6"/>
      <c r="C698" s="6"/>
      <c r="E698" s="6"/>
      <c r="P698" s="6"/>
    </row>
    <row r="699" customFormat="false" ht="15.75" hidden="false" customHeight="true" outlineLevel="0" collapsed="false">
      <c r="A699" s="6"/>
      <c r="B699" s="6"/>
      <c r="C699" s="6"/>
      <c r="E699" s="6"/>
      <c r="P699" s="6"/>
    </row>
    <row r="700" customFormat="false" ht="15.75" hidden="false" customHeight="true" outlineLevel="0" collapsed="false">
      <c r="A700" s="6"/>
      <c r="B700" s="6"/>
      <c r="C700" s="6"/>
      <c r="E700" s="6"/>
      <c r="P700" s="6"/>
    </row>
    <row r="701" customFormat="false" ht="15.75" hidden="false" customHeight="true" outlineLevel="0" collapsed="false">
      <c r="A701" s="6"/>
      <c r="B701" s="6"/>
      <c r="C701" s="6"/>
      <c r="E701" s="6"/>
      <c r="P701" s="6"/>
    </row>
    <row r="702" customFormat="false" ht="15.75" hidden="false" customHeight="true" outlineLevel="0" collapsed="false">
      <c r="A702" s="6"/>
      <c r="B702" s="6"/>
      <c r="C702" s="6"/>
      <c r="E702" s="6"/>
      <c r="P702" s="6"/>
    </row>
    <row r="703" customFormat="false" ht="15.75" hidden="false" customHeight="true" outlineLevel="0" collapsed="false">
      <c r="A703" s="6"/>
      <c r="B703" s="6"/>
      <c r="C703" s="6"/>
      <c r="E703" s="6"/>
      <c r="P703" s="6"/>
    </row>
    <row r="704" customFormat="false" ht="15.75" hidden="false" customHeight="true" outlineLevel="0" collapsed="false">
      <c r="A704" s="6"/>
      <c r="B704" s="6"/>
      <c r="C704" s="6"/>
      <c r="E704" s="6"/>
      <c r="P704" s="6"/>
    </row>
    <row r="705" customFormat="false" ht="15.75" hidden="false" customHeight="true" outlineLevel="0" collapsed="false">
      <c r="A705" s="6"/>
      <c r="B705" s="6"/>
      <c r="C705" s="6"/>
      <c r="E705" s="6"/>
      <c r="P705" s="6"/>
    </row>
    <row r="706" customFormat="false" ht="15.75" hidden="false" customHeight="true" outlineLevel="0" collapsed="false">
      <c r="A706" s="6"/>
      <c r="B706" s="6"/>
      <c r="C706" s="6"/>
      <c r="E706" s="6"/>
      <c r="P706" s="6"/>
    </row>
    <row r="707" customFormat="false" ht="15.75" hidden="false" customHeight="true" outlineLevel="0" collapsed="false">
      <c r="A707" s="6"/>
      <c r="B707" s="6"/>
      <c r="C707" s="6"/>
      <c r="E707" s="6"/>
      <c r="P707" s="6"/>
    </row>
    <row r="708" customFormat="false" ht="15.75" hidden="false" customHeight="true" outlineLevel="0" collapsed="false">
      <c r="A708" s="6"/>
      <c r="B708" s="6"/>
      <c r="C708" s="6"/>
      <c r="E708" s="6"/>
      <c r="P708" s="6"/>
    </row>
    <row r="709" customFormat="false" ht="15.75" hidden="false" customHeight="true" outlineLevel="0" collapsed="false">
      <c r="A709" s="6"/>
      <c r="B709" s="6"/>
      <c r="C709" s="6"/>
      <c r="E709" s="6"/>
      <c r="P709" s="6"/>
    </row>
    <row r="710" customFormat="false" ht="15.75" hidden="false" customHeight="true" outlineLevel="0" collapsed="false">
      <c r="A710" s="6"/>
      <c r="B710" s="6"/>
      <c r="C710" s="6"/>
      <c r="E710" s="6"/>
      <c r="P710" s="6"/>
    </row>
    <row r="711" customFormat="false" ht="15.75" hidden="false" customHeight="true" outlineLevel="0" collapsed="false">
      <c r="A711" s="6"/>
      <c r="B711" s="6"/>
      <c r="C711" s="6"/>
      <c r="E711" s="6"/>
      <c r="P711" s="6"/>
    </row>
    <row r="712" customFormat="false" ht="15.75" hidden="false" customHeight="true" outlineLevel="0" collapsed="false">
      <c r="A712" s="6"/>
      <c r="B712" s="6"/>
      <c r="C712" s="6"/>
      <c r="E712" s="6"/>
      <c r="P712" s="6"/>
    </row>
    <row r="713" customFormat="false" ht="15.75" hidden="false" customHeight="true" outlineLevel="0" collapsed="false">
      <c r="A713" s="6"/>
      <c r="B713" s="6"/>
      <c r="C713" s="6"/>
      <c r="E713" s="6"/>
      <c r="P713" s="6"/>
    </row>
    <row r="714" customFormat="false" ht="15.75" hidden="false" customHeight="true" outlineLevel="0" collapsed="false">
      <c r="A714" s="6"/>
      <c r="B714" s="6"/>
      <c r="C714" s="6"/>
      <c r="E714" s="6"/>
      <c r="P714" s="6"/>
    </row>
    <row r="715" customFormat="false" ht="15.75" hidden="false" customHeight="true" outlineLevel="0" collapsed="false">
      <c r="A715" s="6"/>
      <c r="B715" s="6"/>
      <c r="C715" s="6"/>
      <c r="E715" s="6"/>
      <c r="P715" s="6"/>
    </row>
    <row r="716" customFormat="false" ht="15.75" hidden="false" customHeight="true" outlineLevel="0" collapsed="false">
      <c r="A716" s="6"/>
      <c r="B716" s="6"/>
      <c r="C716" s="6"/>
      <c r="E716" s="6"/>
      <c r="P716" s="6"/>
    </row>
    <row r="717" customFormat="false" ht="15.75" hidden="false" customHeight="true" outlineLevel="0" collapsed="false">
      <c r="A717" s="6"/>
      <c r="B717" s="6"/>
      <c r="C717" s="6"/>
      <c r="E717" s="6"/>
      <c r="P717" s="6"/>
    </row>
    <row r="718" customFormat="false" ht="15.75" hidden="false" customHeight="true" outlineLevel="0" collapsed="false">
      <c r="A718" s="6"/>
      <c r="B718" s="6"/>
      <c r="C718" s="6"/>
      <c r="E718" s="6"/>
      <c r="P718" s="6"/>
    </row>
    <row r="719" customFormat="false" ht="15.75" hidden="false" customHeight="true" outlineLevel="0" collapsed="false">
      <c r="A719" s="6"/>
      <c r="B719" s="6"/>
      <c r="C719" s="6"/>
      <c r="E719" s="6"/>
      <c r="P719" s="6"/>
    </row>
    <row r="720" customFormat="false" ht="15.75" hidden="false" customHeight="true" outlineLevel="0" collapsed="false">
      <c r="A720" s="6"/>
      <c r="B720" s="6"/>
      <c r="C720" s="6"/>
      <c r="E720" s="6"/>
      <c r="P720" s="6"/>
    </row>
    <row r="721" customFormat="false" ht="15.75" hidden="false" customHeight="true" outlineLevel="0" collapsed="false">
      <c r="A721" s="6"/>
      <c r="B721" s="6"/>
      <c r="C721" s="6"/>
      <c r="E721" s="6"/>
      <c r="P721" s="6"/>
    </row>
    <row r="722" customFormat="false" ht="15.75" hidden="false" customHeight="true" outlineLevel="0" collapsed="false">
      <c r="A722" s="6"/>
      <c r="B722" s="6"/>
      <c r="C722" s="6"/>
      <c r="E722" s="6"/>
      <c r="P722" s="6"/>
    </row>
    <row r="723" customFormat="false" ht="15.75" hidden="false" customHeight="true" outlineLevel="0" collapsed="false">
      <c r="A723" s="6"/>
      <c r="B723" s="6"/>
      <c r="C723" s="6"/>
      <c r="E723" s="6"/>
      <c r="P723" s="6"/>
    </row>
    <row r="724" customFormat="false" ht="15.75" hidden="false" customHeight="true" outlineLevel="0" collapsed="false">
      <c r="A724" s="6"/>
      <c r="B724" s="6"/>
      <c r="C724" s="6"/>
      <c r="E724" s="6"/>
      <c r="P724" s="6"/>
    </row>
    <row r="725" customFormat="false" ht="15.75" hidden="false" customHeight="true" outlineLevel="0" collapsed="false">
      <c r="A725" s="6"/>
      <c r="B725" s="6"/>
      <c r="C725" s="6"/>
      <c r="E725" s="6"/>
      <c r="P725" s="6"/>
    </row>
    <row r="726" customFormat="false" ht="15.75" hidden="false" customHeight="true" outlineLevel="0" collapsed="false">
      <c r="A726" s="6"/>
      <c r="B726" s="6"/>
      <c r="C726" s="6"/>
      <c r="E726" s="6"/>
      <c r="P726" s="6"/>
    </row>
    <row r="727" customFormat="false" ht="15.75" hidden="false" customHeight="true" outlineLevel="0" collapsed="false">
      <c r="A727" s="6"/>
      <c r="B727" s="6"/>
      <c r="C727" s="6"/>
      <c r="E727" s="6"/>
      <c r="P727" s="6"/>
    </row>
    <row r="728" customFormat="false" ht="15.75" hidden="false" customHeight="true" outlineLevel="0" collapsed="false">
      <c r="A728" s="6"/>
      <c r="B728" s="6"/>
      <c r="C728" s="6"/>
      <c r="E728" s="6"/>
      <c r="P728" s="6"/>
    </row>
    <row r="729" customFormat="false" ht="15.75" hidden="false" customHeight="true" outlineLevel="0" collapsed="false">
      <c r="A729" s="6"/>
      <c r="B729" s="6"/>
      <c r="C729" s="6"/>
      <c r="E729" s="6"/>
      <c r="P729" s="6"/>
    </row>
    <row r="730" customFormat="false" ht="15.75" hidden="false" customHeight="true" outlineLevel="0" collapsed="false">
      <c r="A730" s="6"/>
      <c r="B730" s="6"/>
      <c r="C730" s="6"/>
      <c r="E730" s="6"/>
      <c r="P730" s="6"/>
    </row>
    <row r="731" customFormat="false" ht="15.75" hidden="false" customHeight="true" outlineLevel="0" collapsed="false">
      <c r="A731" s="6"/>
      <c r="B731" s="6"/>
      <c r="C731" s="6"/>
      <c r="E731" s="6"/>
      <c r="P731" s="6"/>
    </row>
    <row r="732" customFormat="false" ht="15.75" hidden="false" customHeight="true" outlineLevel="0" collapsed="false">
      <c r="A732" s="6"/>
      <c r="B732" s="6"/>
      <c r="C732" s="6"/>
      <c r="E732" s="6"/>
      <c r="P732" s="6"/>
    </row>
    <row r="733" customFormat="false" ht="15.75" hidden="false" customHeight="true" outlineLevel="0" collapsed="false">
      <c r="A733" s="6"/>
      <c r="B733" s="6"/>
      <c r="C733" s="6"/>
      <c r="E733" s="6"/>
      <c r="P733" s="6"/>
    </row>
    <row r="734" customFormat="false" ht="15.75" hidden="false" customHeight="true" outlineLevel="0" collapsed="false">
      <c r="A734" s="6"/>
      <c r="B734" s="6"/>
      <c r="C734" s="6"/>
      <c r="E734" s="6"/>
      <c r="P734" s="6"/>
    </row>
    <row r="735" customFormat="false" ht="15.75" hidden="false" customHeight="true" outlineLevel="0" collapsed="false">
      <c r="A735" s="6"/>
      <c r="B735" s="6"/>
      <c r="C735" s="6"/>
      <c r="E735" s="6"/>
      <c r="P735" s="6"/>
    </row>
    <row r="736" customFormat="false" ht="15.75" hidden="false" customHeight="true" outlineLevel="0" collapsed="false">
      <c r="A736" s="6"/>
      <c r="B736" s="6"/>
      <c r="C736" s="6"/>
      <c r="E736" s="6"/>
      <c r="P736" s="6"/>
    </row>
    <row r="737" customFormat="false" ht="15.75" hidden="false" customHeight="true" outlineLevel="0" collapsed="false">
      <c r="A737" s="6"/>
      <c r="B737" s="6"/>
      <c r="C737" s="6"/>
      <c r="E737" s="6"/>
      <c r="P737" s="6"/>
    </row>
    <row r="738" customFormat="false" ht="15.75" hidden="false" customHeight="true" outlineLevel="0" collapsed="false">
      <c r="A738" s="6"/>
      <c r="B738" s="6"/>
      <c r="C738" s="6"/>
      <c r="E738" s="6"/>
      <c r="P738" s="6"/>
    </row>
    <row r="739" customFormat="false" ht="15.75" hidden="false" customHeight="true" outlineLevel="0" collapsed="false">
      <c r="A739" s="6"/>
      <c r="B739" s="6"/>
      <c r="C739" s="6"/>
      <c r="E739" s="6"/>
      <c r="P739" s="6"/>
    </row>
    <row r="740" customFormat="false" ht="15.75" hidden="false" customHeight="true" outlineLevel="0" collapsed="false">
      <c r="A740" s="6"/>
      <c r="B740" s="6"/>
      <c r="C740" s="6"/>
      <c r="E740" s="6"/>
      <c r="P740" s="6"/>
    </row>
    <row r="741" customFormat="false" ht="15.75" hidden="false" customHeight="true" outlineLevel="0" collapsed="false">
      <c r="A741" s="6"/>
      <c r="B741" s="6"/>
      <c r="C741" s="6"/>
      <c r="E741" s="6"/>
      <c r="P741" s="6"/>
    </row>
    <row r="742" customFormat="false" ht="15.75" hidden="false" customHeight="true" outlineLevel="0" collapsed="false">
      <c r="A742" s="6"/>
      <c r="B742" s="6"/>
      <c r="C742" s="6"/>
      <c r="E742" s="6"/>
      <c r="P742" s="6"/>
    </row>
    <row r="743" customFormat="false" ht="15.75" hidden="false" customHeight="true" outlineLevel="0" collapsed="false">
      <c r="A743" s="6"/>
      <c r="B743" s="6"/>
      <c r="C743" s="6"/>
      <c r="E743" s="6"/>
      <c r="P743" s="6"/>
    </row>
    <row r="744" customFormat="false" ht="15.75" hidden="false" customHeight="true" outlineLevel="0" collapsed="false">
      <c r="A744" s="6"/>
      <c r="B744" s="6"/>
      <c r="C744" s="6"/>
      <c r="E744" s="6"/>
      <c r="P744" s="6"/>
    </row>
    <row r="745" customFormat="false" ht="15.75" hidden="false" customHeight="true" outlineLevel="0" collapsed="false">
      <c r="A745" s="6"/>
      <c r="B745" s="6"/>
      <c r="C745" s="6"/>
      <c r="E745" s="6"/>
      <c r="P745" s="6"/>
    </row>
    <row r="746" customFormat="false" ht="15.75" hidden="false" customHeight="true" outlineLevel="0" collapsed="false">
      <c r="A746" s="6"/>
      <c r="B746" s="6"/>
      <c r="C746" s="6"/>
      <c r="E746" s="6"/>
      <c r="P746" s="6"/>
    </row>
    <row r="747" customFormat="false" ht="15.75" hidden="false" customHeight="true" outlineLevel="0" collapsed="false">
      <c r="A747" s="6"/>
      <c r="B747" s="6"/>
      <c r="C747" s="6"/>
      <c r="E747" s="6"/>
      <c r="P747" s="6"/>
    </row>
    <row r="748" customFormat="false" ht="15.75" hidden="false" customHeight="true" outlineLevel="0" collapsed="false">
      <c r="A748" s="6"/>
      <c r="B748" s="6"/>
      <c r="C748" s="6"/>
      <c r="E748" s="6"/>
      <c r="P748" s="6"/>
    </row>
    <row r="749" customFormat="false" ht="15.75" hidden="false" customHeight="true" outlineLevel="0" collapsed="false">
      <c r="A749" s="6"/>
      <c r="B749" s="6"/>
      <c r="C749" s="6"/>
      <c r="E749" s="6"/>
      <c r="P749" s="6"/>
    </row>
    <row r="750" customFormat="false" ht="15.75" hidden="false" customHeight="true" outlineLevel="0" collapsed="false">
      <c r="A750" s="6"/>
      <c r="B750" s="6"/>
      <c r="C750" s="6"/>
      <c r="E750" s="6"/>
      <c r="P750" s="6"/>
    </row>
    <row r="751" customFormat="false" ht="15.75" hidden="false" customHeight="true" outlineLevel="0" collapsed="false">
      <c r="A751" s="6"/>
      <c r="B751" s="6"/>
      <c r="C751" s="6"/>
      <c r="E751" s="6"/>
      <c r="P751" s="6"/>
    </row>
    <row r="752" customFormat="false" ht="15.75" hidden="false" customHeight="true" outlineLevel="0" collapsed="false">
      <c r="A752" s="6"/>
      <c r="B752" s="6"/>
      <c r="C752" s="6"/>
      <c r="E752" s="6"/>
      <c r="P752" s="6"/>
    </row>
    <row r="753" customFormat="false" ht="15.75" hidden="false" customHeight="true" outlineLevel="0" collapsed="false">
      <c r="A753" s="6"/>
      <c r="B753" s="6"/>
      <c r="C753" s="6"/>
      <c r="E753" s="6"/>
      <c r="P753" s="6"/>
    </row>
    <row r="754" customFormat="false" ht="15.75" hidden="false" customHeight="true" outlineLevel="0" collapsed="false">
      <c r="A754" s="6"/>
      <c r="B754" s="6"/>
      <c r="C754" s="6"/>
      <c r="E754" s="6"/>
      <c r="P754" s="6"/>
    </row>
    <row r="755" customFormat="false" ht="15.75" hidden="false" customHeight="true" outlineLevel="0" collapsed="false">
      <c r="A755" s="6"/>
      <c r="B755" s="6"/>
      <c r="C755" s="6"/>
      <c r="E755" s="6"/>
      <c r="P755" s="6"/>
    </row>
    <row r="756" customFormat="false" ht="15.75" hidden="false" customHeight="true" outlineLevel="0" collapsed="false">
      <c r="A756" s="6"/>
      <c r="B756" s="6"/>
      <c r="C756" s="6"/>
      <c r="E756" s="6"/>
      <c r="P756" s="6"/>
    </row>
    <row r="757" customFormat="false" ht="15.75" hidden="false" customHeight="true" outlineLevel="0" collapsed="false">
      <c r="A757" s="6"/>
      <c r="B757" s="6"/>
      <c r="C757" s="6"/>
      <c r="E757" s="6"/>
      <c r="P757" s="6"/>
    </row>
    <row r="758" customFormat="false" ht="15.75" hidden="false" customHeight="true" outlineLevel="0" collapsed="false">
      <c r="A758" s="6"/>
      <c r="B758" s="6"/>
      <c r="C758" s="6"/>
      <c r="E758" s="6"/>
      <c r="P758" s="6"/>
    </row>
    <row r="759" customFormat="false" ht="15.75" hidden="false" customHeight="true" outlineLevel="0" collapsed="false">
      <c r="A759" s="6"/>
      <c r="B759" s="6"/>
      <c r="C759" s="6"/>
      <c r="E759" s="6"/>
      <c r="P759" s="6"/>
    </row>
    <row r="760" customFormat="false" ht="15.75" hidden="false" customHeight="true" outlineLevel="0" collapsed="false">
      <c r="A760" s="6"/>
      <c r="B760" s="6"/>
      <c r="C760" s="6"/>
      <c r="E760" s="6"/>
      <c r="P760" s="6"/>
    </row>
    <row r="761" customFormat="false" ht="15.75" hidden="false" customHeight="true" outlineLevel="0" collapsed="false">
      <c r="A761" s="6"/>
      <c r="B761" s="6"/>
      <c r="C761" s="6"/>
      <c r="E761" s="6"/>
      <c r="P761" s="6"/>
    </row>
    <row r="762" customFormat="false" ht="15.75" hidden="false" customHeight="true" outlineLevel="0" collapsed="false">
      <c r="A762" s="6"/>
      <c r="B762" s="6"/>
      <c r="C762" s="6"/>
      <c r="E762" s="6"/>
      <c r="P762" s="6"/>
    </row>
    <row r="763" customFormat="false" ht="15.75" hidden="false" customHeight="true" outlineLevel="0" collapsed="false">
      <c r="A763" s="6"/>
      <c r="B763" s="6"/>
      <c r="C763" s="6"/>
      <c r="E763" s="6"/>
      <c r="P763" s="6"/>
    </row>
    <row r="764" customFormat="false" ht="15.75" hidden="false" customHeight="true" outlineLevel="0" collapsed="false">
      <c r="A764" s="6"/>
      <c r="B764" s="6"/>
      <c r="C764" s="6"/>
      <c r="E764" s="6"/>
      <c r="P764" s="6"/>
    </row>
    <row r="765" customFormat="false" ht="15.75" hidden="false" customHeight="true" outlineLevel="0" collapsed="false">
      <c r="A765" s="6"/>
      <c r="B765" s="6"/>
      <c r="C765" s="6"/>
      <c r="E765" s="6"/>
      <c r="P765" s="6"/>
    </row>
    <row r="766" customFormat="false" ht="15.75" hidden="false" customHeight="true" outlineLevel="0" collapsed="false">
      <c r="A766" s="6"/>
      <c r="B766" s="6"/>
      <c r="C766" s="6"/>
      <c r="E766" s="6"/>
      <c r="P766" s="6"/>
    </row>
    <row r="767" customFormat="false" ht="15.75" hidden="false" customHeight="true" outlineLevel="0" collapsed="false">
      <c r="A767" s="6"/>
      <c r="B767" s="6"/>
      <c r="C767" s="6"/>
      <c r="E767" s="6"/>
      <c r="P767" s="6"/>
    </row>
    <row r="768" customFormat="false" ht="15.75" hidden="false" customHeight="true" outlineLevel="0" collapsed="false">
      <c r="A768" s="6"/>
      <c r="B768" s="6"/>
      <c r="C768" s="6"/>
      <c r="E768" s="6"/>
      <c r="P768" s="6"/>
    </row>
    <row r="769" customFormat="false" ht="15.75" hidden="false" customHeight="true" outlineLevel="0" collapsed="false">
      <c r="A769" s="6"/>
      <c r="B769" s="6"/>
      <c r="C769" s="6"/>
      <c r="E769" s="6"/>
      <c r="P769" s="6"/>
    </row>
    <row r="770" customFormat="false" ht="15.75" hidden="false" customHeight="true" outlineLevel="0" collapsed="false">
      <c r="A770" s="6"/>
      <c r="B770" s="6"/>
      <c r="C770" s="6"/>
      <c r="E770" s="6"/>
      <c r="P770" s="6"/>
    </row>
    <row r="771" customFormat="false" ht="15.75" hidden="false" customHeight="true" outlineLevel="0" collapsed="false">
      <c r="A771" s="6"/>
      <c r="B771" s="6"/>
      <c r="C771" s="6"/>
      <c r="E771" s="6"/>
      <c r="P771" s="6"/>
    </row>
    <row r="772" customFormat="false" ht="15.75" hidden="false" customHeight="true" outlineLevel="0" collapsed="false">
      <c r="A772" s="6"/>
      <c r="B772" s="6"/>
      <c r="C772" s="6"/>
      <c r="E772" s="6"/>
      <c r="P772" s="6"/>
    </row>
    <row r="773" customFormat="false" ht="15.75" hidden="false" customHeight="true" outlineLevel="0" collapsed="false">
      <c r="A773" s="6"/>
      <c r="B773" s="6"/>
      <c r="C773" s="6"/>
      <c r="E773" s="6"/>
      <c r="P773" s="6"/>
    </row>
    <row r="774" customFormat="false" ht="15.75" hidden="false" customHeight="true" outlineLevel="0" collapsed="false">
      <c r="A774" s="6"/>
      <c r="B774" s="6"/>
      <c r="C774" s="6"/>
      <c r="E774" s="6"/>
      <c r="P774" s="6"/>
    </row>
    <row r="775" customFormat="false" ht="15.75" hidden="false" customHeight="true" outlineLevel="0" collapsed="false">
      <c r="A775" s="6"/>
      <c r="B775" s="6"/>
      <c r="C775" s="6"/>
      <c r="E775" s="6"/>
      <c r="P775" s="6"/>
    </row>
    <row r="776" customFormat="false" ht="15.75" hidden="false" customHeight="true" outlineLevel="0" collapsed="false">
      <c r="A776" s="6"/>
      <c r="B776" s="6"/>
      <c r="C776" s="6"/>
      <c r="E776" s="6"/>
      <c r="P776" s="6"/>
    </row>
    <row r="777" customFormat="false" ht="15.75" hidden="false" customHeight="true" outlineLevel="0" collapsed="false">
      <c r="A777" s="6"/>
      <c r="B777" s="6"/>
      <c r="C777" s="6"/>
      <c r="E777" s="6"/>
      <c r="P777" s="6"/>
    </row>
    <row r="778" customFormat="false" ht="15.75" hidden="false" customHeight="true" outlineLevel="0" collapsed="false">
      <c r="A778" s="6"/>
      <c r="B778" s="6"/>
      <c r="C778" s="6"/>
      <c r="E778" s="6"/>
      <c r="P778" s="6"/>
    </row>
    <row r="779" customFormat="false" ht="15.75" hidden="false" customHeight="true" outlineLevel="0" collapsed="false">
      <c r="A779" s="6"/>
      <c r="B779" s="6"/>
      <c r="C779" s="6"/>
      <c r="E779" s="6"/>
      <c r="P779" s="6"/>
    </row>
    <row r="780" customFormat="false" ht="15.75" hidden="false" customHeight="true" outlineLevel="0" collapsed="false">
      <c r="A780" s="6"/>
      <c r="B780" s="6"/>
      <c r="C780" s="6"/>
      <c r="E780" s="6"/>
      <c r="P780" s="6"/>
    </row>
    <row r="781" customFormat="false" ht="15.75" hidden="false" customHeight="true" outlineLevel="0" collapsed="false">
      <c r="A781" s="6"/>
      <c r="B781" s="6"/>
      <c r="C781" s="6"/>
      <c r="E781" s="6"/>
      <c r="P781" s="6"/>
    </row>
    <row r="782" customFormat="false" ht="15.75" hidden="false" customHeight="true" outlineLevel="0" collapsed="false">
      <c r="A782" s="6"/>
      <c r="B782" s="6"/>
      <c r="C782" s="6"/>
      <c r="E782" s="6"/>
      <c r="P782" s="6"/>
    </row>
    <row r="783" customFormat="false" ht="15.75" hidden="false" customHeight="true" outlineLevel="0" collapsed="false">
      <c r="A783" s="6"/>
      <c r="B783" s="6"/>
      <c r="C783" s="6"/>
      <c r="E783" s="6"/>
      <c r="P783" s="6"/>
    </row>
    <row r="784" customFormat="false" ht="15.75" hidden="false" customHeight="true" outlineLevel="0" collapsed="false">
      <c r="A784" s="6"/>
      <c r="B784" s="6"/>
      <c r="C784" s="6"/>
      <c r="E784" s="6"/>
      <c r="P784" s="6"/>
    </row>
    <row r="785" customFormat="false" ht="15.75" hidden="false" customHeight="true" outlineLevel="0" collapsed="false">
      <c r="A785" s="6"/>
      <c r="B785" s="6"/>
      <c r="C785" s="6"/>
      <c r="E785" s="6"/>
      <c r="P785" s="6"/>
    </row>
    <row r="786" customFormat="false" ht="15.75" hidden="false" customHeight="true" outlineLevel="0" collapsed="false">
      <c r="A786" s="6"/>
      <c r="B786" s="6"/>
      <c r="C786" s="6"/>
      <c r="E786" s="6"/>
      <c r="P786" s="6"/>
    </row>
    <row r="787" customFormat="false" ht="15.75" hidden="false" customHeight="true" outlineLevel="0" collapsed="false">
      <c r="A787" s="6"/>
      <c r="B787" s="6"/>
      <c r="C787" s="6"/>
      <c r="E787" s="6"/>
      <c r="P787" s="6"/>
    </row>
    <row r="788" customFormat="false" ht="15.75" hidden="false" customHeight="true" outlineLevel="0" collapsed="false">
      <c r="A788" s="6"/>
      <c r="B788" s="6"/>
      <c r="C788" s="6"/>
      <c r="E788" s="6"/>
      <c r="P788" s="6"/>
    </row>
    <row r="789" customFormat="false" ht="15.75" hidden="false" customHeight="true" outlineLevel="0" collapsed="false">
      <c r="A789" s="6"/>
      <c r="B789" s="6"/>
      <c r="C789" s="6"/>
      <c r="E789" s="6"/>
      <c r="P789" s="6"/>
    </row>
    <row r="790" customFormat="false" ht="15.75" hidden="false" customHeight="true" outlineLevel="0" collapsed="false">
      <c r="A790" s="6"/>
      <c r="B790" s="6"/>
      <c r="C790" s="6"/>
      <c r="E790" s="6"/>
      <c r="P790" s="6"/>
    </row>
    <row r="791" customFormat="false" ht="15.75" hidden="false" customHeight="true" outlineLevel="0" collapsed="false">
      <c r="A791" s="6"/>
      <c r="B791" s="6"/>
      <c r="C791" s="6"/>
      <c r="E791" s="6"/>
      <c r="P791" s="6"/>
    </row>
    <row r="792" customFormat="false" ht="15.75" hidden="false" customHeight="true" outlineLevel="0" collapsed="false">
      <c r="A792" s="6"/>
      <c r="B792" s="6"/>
      <c r="C792" s="6"/>
      <c r="E792" s="6"/>
      <c r="P792" s="6"/>
    </row>
    <row r="793" customFormat="false" ht="15.75" hidden="false" customHeight="true" outlineLevel="0" collapsed="false">
      <c r="A793" s="6"/>
      <c r="B793" s="6"/>
      <c r="C793" s="6"/>
      <c r="E793" s="6"/>
      <c r="P793" s="6"/>
    </row>
    <row r="794" customFormat="false" ht="15.75" hidden="false" customHeight="true" outlineLevel="0" collapsed="false">
      <c r="A794" s="6"/>
      <c r="B794" s="6"/>
      <c r="C794" s="6"/>
      <c r="E794" s="6"/>
      <c r="P794" s="6"/>
    </row>
    <row r="795" customFormat="false" ht="15.75" hidden="false" customHeight="true" outlineLevel="0" collapsed="false">
      <c r="A795" s="6"/>
      <c r="B795" s="6"/>
      <c r="C795" s="6"/>
      <c r="E795" s="6"/>
      <c r="P795" s="6"/>
    </row>
    <row r="796" customFormat="false" ht="15.75" hidden="false" customHeight="true" outlineLevel="0" collapsed="false">
      <c r="A796" s="6"/>
      <c r="B796" s="6"/>
      <c r="C796" s="6"/>
      <c r="E796" s="6"/>
      <c r="P796" s="6"/>
    </row>
    <row r="797" customFormat="false" ht="15.75" hidden="false" customHeight="true" outlineLevel="0" collapsed="false">
      <c r="A797" s="6"/>
      <c r="B797" s="6"/>
      <c r="C797" s="6"/>
      <c r="E797" s="6"/>
      <c r="P797" s="6"/>
    </row>
    <row r="798" customFormat="false" ht="15.75" hidden="false" customHeight="true" outlineLevel="0" collapsed="false">
      <c r="A798" s="6"/>
      <c r="B798" s="6"/>
      <c r="C798" s="6"/>
      <c r="E798" s="6"/>
      <c r="P798" s="6"/>
    </row>
    <row r="799" customFormat="false" ht="15.75" hidden="false" customHeight="true" outlineLevel="0" collapsed="false">
      <c r="A799" s="6"/>
      <c r="B799" s="6"/>
      <c r="C799" s="6"/>
      <c r="E799" s="6"/>
      <c r="P799" s="6"/>
    </row>
    <row r="800" customFormat="false" ht="15.75" hidden="false" customHeight="true" outlineLevel="0" collapsed="false">
      <c r="A800" s="6"/>
      <c r="B800" s="6"/>
      <c r="C800" s="6"/>
      <c r="E800" s="6"/>
      <c r="P800" s="6"/>
    </row>
    <row r="801" customFormat="false" ht="15.75" hidden="false" customHeight="true" outlineLevel="0" collapsed="false">
      <c r="A801" s="6"/>
      <c r="B801" s="6"/>
      <c r="C801" s="6"/>
      <c r="E801" s="6"/>
      <c r="P801" s="6"/>
    </row>
    <row r="802" customFormat="false" ht="15.75" hidden="false" customHeight="true" outlineLevel="0" collapsed="false">
      <c r="A802" s="6"/>
      <c r="B802" s="6"/>
      <c r="C802" s="6"/>
      <c r="E802" s="6"/>
      <c r="P802" s="6"/>
    </row>
    <row r="803" customFormat="false" ht="15.75" hidden="false" customHeight="true" outlineLevel="0" collapsed="false">
      <c r="A803" s="6"/>
      <c r="B803" s="6"/>
      <c r="C803" s="6"/>
      <c r="E803" s="6"/>
      <c r="P803" s="6"/>
    </row>
    <row r="804" customFormat="false" ht="15.75" hidden="false" customHeight="true" outlineLevel="0" collapsed="false">
      <c r="A804" s="6"/>
      <c r="B804" s="6"/>
      <c r="C804" s="6"/>
      <c r="E804" s="6"/>
      <c r="P804" s="6"/>
    </row>
    <row r="805" customFormat="false" ht="15.75" hidden="false" customHeight="true" outlineLevel="0" collapsed="false">
      <c r="A805" s="6"/>
      <c r="B805" s="6"/>
      <c r="C805" s="6"/>
      <c r="E805" s="6"/>
      <c r="P805" s="6"/>
    </row>
    <row r="806" customFormat="false" ht="15.75" hidden="false" customHeight="true" outlineLevel="0" collapsed="false">
      <c r="A806" s="6"/>
      <c r="B806" s="6"/>
      <c r="C806" s="6"/>
      <c r="E806" s="6"/>
      <c r="P806" s="6"/>
    </row>
    <row r="807" customFormat="false" ht="15.75" hidden="false" customHeight="true" outlineLevel="0" collapsed="false">
      <c r="A807" s="6"/>
      <c r="B807" s="6"/>
      <c r="C807" s="6"/>
      <c r="E807" s="6"/>
      <c r="P807" s="6"/>
    </row>
    <row r="808" customFormat="false" ht="15.75" hidden="false" customHeight="true" outlineLevel="0" collapsed="false">
      <c r="A808" s="6"/>
      <c r="B808" s="6"/>
      <c r="C808" s="6"/>
      <c r="E808" s="6"/>
      <c r="P808" s="6"/>
    </row>
    <row r="809" customFormat="false" ht="15.75" hidden="false" customHeight="true" outlineLevel="0" collapsed="false">
      <c r="A809" s="6"/>
      <c r="B809" s="6"/>
      <c r="C809" s="6"/>
      <c r="E809" s="6"/>
      <c r="P809" s="6"/>
    </row>
    <row r="810" customFormat="false" ht="15.75" hidden="false" customHeight="true" outlineLevel="0" collapsed="false">
      <c r="A810" s="6"/>
      <c r="B810" s="6"/>
      <c r="C810" s="6"/>
      <c r="E810" s="6"/>
      <c r="P810" s="6"/>
    </row>
    <row r="811" customFormat="false" ht="15.75" hidden="false" customHeight="true" outlineLevel="0" collapsed="false">
      <c r="A811" s="6"/>
      <c r="B811" s="6"/>
      <c r="C811" s="6"/>
      <c r="E811" s="6"/>
      <c r="P811" s="6"/>
    </row>
    <row r="812" customFormat="false" ht="15.75" hidden="false" customHeight="true" outlineLevel="0" collapsed="false">
      <c r="A812" s="6"/>
      <c r="B812" s="6"/>
      <c r="C812" s="6"/>
      <c r="E812" s="6"/>
      <c r="P812" s="6"/>
    </row>
    <row r="813" customFormat="false" ht="15.75" hidden="false" customHeight="true" outlineLevel="0" collapsed="false">
      <c r="A813" s="6"/>
      <c r="B813" s="6"/>
      <c r="C813" s="6"/>
      <c r="E813" s="6"/>
      <c r="P813" s="6"/>
    </row>
    <row r="814" customFormat="false" ht="15.75" hidden="false" customHeight="true" outlineLevel="0" collapsed="false">
      <c r="A814" s="6"/>
      <c r="B814" s="6"/>
      <c r="C814" s="6"/>
      <c r="E814" s="6"/>
      <c r="P814" s="6"/>
    </row>
    <row r="815" customFormat="false" ht="15.75" hidden="false" customHeight="true" outlineLevel="0" collapsed="false">
      <c r="A815" s="6"/>
      <c r="B815" s="6"/>
      <c r="C815" s="6"/>
      <c r="E815" s="6"/>
      <c r="P815" s="6"/>
    </row>
    <row r="816" customFormat="false" ht="15.75" hidden="false" customHeight="true" outlineLevel="0" collapsed="false">
      <c r="A816" s="6"/>
      <c r="B816" s="6"/>
      <c r="C816" s="6"/>
      <c r="E816" s="6"/>
      <c r="P816" s="6"/>
    </row>
    <row r="817" customFormat="false" ht="15.75" hidden="false" customHeight="true" outlineLevel="0" collapsed="false">
      <c r="A817" s="6"/>
      <c r="B817" s="6"/>
      <c r="C817" s="6"/>
      <c r="E817" s="6"/>
      <c r="P817" s="6"/>
    </row>
    <row r="818" customFormat="false" ht="15.75" hidden="false" customHeight="true" outlineLevel="0" collapsed="false">
      <c r="A818" s="6"/>
      <c r="B818" s="6"/>
      <c r="C818" s="6"/>
      <c r="E818" s="6"/>
      <c r="P818" s="6"/>
    </row>
    <row r="819" customFormat="false" ht="15.75" hidden="false" customHeight="true" outlineLevel="0" collapsed="false">
      <c r="A819" s="6"/>
      <c r="B819" s="6"/>
      <c r="C819" s="6"/>
      <c r="E819" s="6"/>
      <c r="P819" s="6"/>
    </row>
    <row r="820" customFormat="false" ht="15.75" hidden="false" customHeight="true" outlineLevel="0" collapsed="false">
      <c r="A820" s="6"/>
      <c r="B820" s="6"/>
      <c r="C820" s="6"/>
      <c r="E820" s="6"/>
      <c r="P820" s="6"/>
    </row>
    <row r="821" customFormat="false" ht="15.75" hidden="false" customHeight="true" outlineLevel="0" collapsed="false">
      <c r="A821" s="6"/>
      <c r="B821" s="6"/>
      <c r="C821" s="6"/>
      <c r="E821" s="6"/>
      <c r="P821" s="6"/>
    </row>
    <row r="822" customFormat="false" ht="15.75" hidden="false" customHeight="true" outlineLevel="0" collapsed="false">
      <c r="A822" s="6"/>
      <c r="B822" s="6"/>
      <c r="C822" s="6"/>
      <c r="E822" s="6"/>
      <c r="P822" s="6"/>
    </row>
    <row r="823" customFormat="false" ht="15.75" hidden="false" customHeight="true" outlineLevel="0" collapsed="false">
      <c r="A823" s="6"/>
      <c r="B823" s="6"/>
      <c r="C823" s="6"/>
      <c r="E823" s="6"/>
      <c r="P823" s="6"/>
    </row>
    <row r="824" customFormat="false" ht="15.75" hidden="false" customHeight="true" outlineLevel="0" collapsed="false">
      <c r="A824" s="6"/>
      <c r="B824" s="6"/>
      <c r="C824" s="6"/>
      <c r="E824" s="6"/>
      <c r="P824" s="6"/>
    </row>
    <row r="825" customFormat="false" ht="15.75" hidden="false" customHeight="true" outlineLevel="0" collapsed="false">
      <c r="A825" s="6"/>
      <c r="B825" s="6"/>
      <c r="C825" s="6"/>
      <c r="E825" s="6"/>
      <c r="P825" s="6"/>
    </row>
    <row r="826" customFormat="false" ht="15.75" hidden="false" customHeight="true" outlineLevel="0" collapsed="false">
      <c r="A826" s="6"/>
      <c r="B826" s="6"/>
      <c r="C826" s="6"/>
      <c r="E826" s="6"/>
      <c r="P826" s="6"/>
    </row>
    <row r="827" customFormat="false" ht="15.75" hidden="false" customHeight="true" outlineLevel="0" collapsed="false">
      <c r="A827" s="6"/>
      <c r="B827" s="6"/>
      <c r="C827" s="6"/>
      <c r="E827" s="6"/>
      <c r="P827" s="6"/>
    </row>
    <row r="828" customFormat="false" ht="15.75" hidden="false" customHeight="true" outlineLevel="0" collapsed="false">
      <c r="A828" s="6"/>
      <c r="B828" s="6"/>
      <c r="C828" s="6"/>
      <c r="E828" s="6"/>
      <c r="P828" s="6"/>
    </row>
    <row r="829" customFormat="false" ht="15.75" hidden="false" customHeight="true" outlineLevel="0" collapsed="false">
      <c r="A829" s="6"/>
      <c r="B829" s="6"/>
      <c r="C829" s="6"/>
      <c r="E829" s="6"/>
      <c r="P829" s="6"/>
    </row>
    <row r="830" customFormat="false" ht="15.75" hidden="false" customHeight="true" outlineLevel="0" collapsed="false">
      <c r="A830" s="6"/>
      <c r="B830" s="6"/>
      <c r="C830" s="6"/>
      <c r="E830" s="6"/>
      <c r="P830" s="6"/>
    </row>
    <row r="831" customFormat="false" ht="15.75" hidden="false" customHeight="true" outlineLevel="0" collapsed="false">
      <c r="A831" s="6"/>
      <c r="B831" s="6"/>
      <c r="C831" s="6"/>
      <c r="E831" s="6"/>
      <c r="P831" s="6"/>
    </row>
    <row r="832" customFormat="false" ht="15.75" hidden="false" customHeight="true" outlineLevel="0" collapsed="false">
      <c r="A832" s="6"/>
      <c r="B832" s="6"/>
      <c r="C832" s="6"/>
      <c r="E832" s="6"/>
      <c r="P832" s="6"/>
    </row>
    <row r="833" customFormat="false" ht="15.75" hidden="false" customHeight="true" outlineLevel="0" collapsed="false">
      <c r="A833" s="6"/>
      <c r="B833" s="6"/>
      <c r="C833" s="6"/>
      <c r="E833" s="6"/>
      <c r="P833" s="6"/>
    </row>
    <row r="834" customFormat="false" ht="15.75" hidden="false" customHeight="true" outlineLevel="0" collapsed="false">
      <c r="A834" s="6"/>
      <c r="B834" s="6"/>
      <c r="C834" s="6"/>
      <c r="E834" s="6"/>
      <c r="P834" s="6"/>
    </row>
    <row r="835" customFormat="false" ht="15.75" hidden="false" customHeight="true" outlineLevel="0" collapsed="false">
      <c r="A835" s="6"/>
      <c r="B835" s="6"/>
      <c r="C835" s="6"/>
      <c r="E835" s="6"/>
      <c r="P835" s="6"/>
    </row>
    <row r="836" customFormat="false" ht="15.75" hidden="false" customHeight="true" outlineLevel="0" collapsed="false">
      <c r="A836" s="6"/>
      <c r="B836" s="6"/>
      <c r="C836" s="6"/>
      <c r="E836" s="6"/>
      <c r="P836" s="6"/>
    </row>
    <row r="837" customFormat="false" ht="15.75" hidden="false" customHeight="true" outlineLevel="0" collapsed="false">
      <c r="A837" s="6"/>
      <c r="B837" s="6"/>
      <c r="C837" s="6"/>
      <c r="E837" s="6"/>
      <c r="P837" s="6"/>
    </row>
    <row r="838" customFormat="false" ht="15.75" hidden="false" customHeight="true" outlineLevel="0" collapsed="false">
      <c r="A838" s="6"/>
      <c r="B838" s="6"/>
      <c r="C838" s="6"/>
      <c r="E838" s="6"/>
      <c r="P838" s="6"/>
    </row>
    <row r="839" customFormat="false" ht="15.75" hidden="false" customHeight="true" outlineLevel="0" collapsed="false">
      <c r="A839" s="6"/>
      <c r="B839" s="6"/>
      <c r="C839" s="6"/>
      <c r="E839" s="6"/>
      <c r="P839" s="6"/>
    </row>
    <row r="840" customFormat="false" ht="15.75" hidden="false" customHeight="true" outlineLevel="0" collapsed="false">
      <c r="A840" s="6"/>
      <c r="B840" s="6"/>
      <c r="C840" s="6"/>
      <c r="E840" s="6"/>
      <c r="P840" s="6"/>
    </row>
    <row r="841" customFormat="false" ht="15.75" hidden="false" customHeight="true" outlineLevel="0" collapsed="false">
      <c r="A841" s="6"/>
      <c r="B841" s="6"/>
      <c r="C841" s="6"/>
      <c r="E841" s="6"/>
      <c r="P841" s="6"/>
    </row>
    <row r="842" customFormat="false" ht="15.75" hidden="false" customHeight="true" outlineLevel="0" collapsed="false">
      <c r="A842" s="6"/>
      <c r="B842" s="6"/>
      <c r="C842" s="6"/>
      <c r="E842" s="6"/>
      <c r="P842" s="6"/>
    </row>
    <row r="843" customFormat="false" ht="15.75" hidden="false" customHeight="true" outlineLevel="0" collapsed="false">
      <c r="A843" s="6"/>
      <c r="B843" s="6"/>
      <c r="C843" s="6"/>
      <c r="E843" s="6"/>
      <c r="P843" s="6"/>
    </row>
    <row r="844" customFormat="false" ht="15.75" hidden="false" customHeight="true" outlineLevel="0" collapsed="false">
      <c r="A844" s="6"/>
      <c r="B844" s="6"/>
      <c r="C844" s="6"/>
      <c r="E844" s="6"/>
      <c r="P844" s="6"/>
    </row>
    <row r="845" customFormat="false" ht="15.75" hidden="false" customHeight="true" outlineLevel="0" collapsed="false">
      <c r="A845" s="6"/>
      <c r="B845" s="6"/>
      <c r="C845" s="6"/>
      <c r="E845" s="6"/>
      <c r="P845" s="6"/>
    </row>
    <row r="846" customFormat="false" ht="15.75" hidden="false" customHeight="true" outlineLevel="0" collapsed="false">
      <c r="A846" s="6"/>
      <c r="B846" s="6"/>
      <c r="C846" s="6"/>
      <c r="E846" s="6"/>
      <c r="P846" s="6"/>
    </row>
    <row r="847" customFormat="false" ht="15.75" hidden="false" customHeight="true" outlineLevel="0" collapsed="false">
      <c r="A847" s="6"/>
      <c r="B847" s="6"/>
      <c r="C847" s="6"/>
      <c r="E847" s="6"/>
      <c r="P847" s="6"/>
    </row>
    <row r="848" customFormat="false" ht="15.75" hidden="false" customHeight="true" outlineLevel="0" collapsed="false">
      <c r="A848" s="6"/>
      <c r="B848" s="6"/>
      <c r="C848" s="6"/>
      <c r="E848" s="6"/>
      <c r="P848" s="6"/>
    </row>
    <row r="849" customFormat="false" ht="15.75" hidden="false" customHeight="true" outlineLevel="0" collapsed="false">
      <c r="A849" s="6"/>
      <c r="B849" s="6"/>
      <c r="C849" s="6"/>
      <c r="E849" s="6"/>
      <c r="P849" s="6"/>
    </row>
    <row r="850" customFormat="false" ht="15.75" hidden="false" customHeight="true" outlineLevel="0" collapsed="false">
      <c r="A850" s="6"/>
      <c r="B850" s="6"/>
      <c r="C850" s="6"/>
      <c r="E850" s="6"/>
      <c r="P850" s="6"/>
    </row>
    <row r="851" customFormat="false" ht="15.75" hidden="false" customHeight="true" outlineLevel="0" collapsed="false">
      <c r="A851" s="6"/>
      <c r="B851" s="6"/>
      <c r="C851" s="6"/>
      <c r="E851" s="6"/>
      <c r="P851" s="6"/>
    </row>
    <row r="852" customFormat="false" ht="15.75" hidden="false" customHeight="true" outlineLevel="0" collapsed="false">
      <c r="A852" s="6"/>
      <c r="B852" s="6"/>
      <c r="C852" s="6"/>
      <c r="E852" s="6"/>
      <c r="P852" s="6"/>
    </row>
    <row r="853" customFormat="false" ht="15.75" hidden="false" customHeight="true" outlineLevel="0" collapsed="false">
      <c r="A853" s="6"/>
      <c r="B853" s="6"/>
      <c r="C853" s="6"/>
      <c r="E853" s="6"/>
      <c r="P853" s="6"/>
    </row>
    <row r="854" customFormat="false" ht="15.75" hidden="false" customHeight="true" outlineLevel="0" collapsed="false">
      <c r="A854" s="6"/>
      <c r="B854" s="6"/>
      <c r="C854" s="6"/>
      <c r="E854" s="6"/>
      <c r="P854" s="6"/>
    </row>
    <row r="855" customFormat="false" ht="15.75" hidden="false" customHeight="true" outlineLevel="0" collapsed="false">
      <c r="A855" s="6"/>
      <c r="B855" s="6"/>
      <c r="C855" s="6"/>
      <c r="E855" s="6"/>
      <c r="P855" s="6"/>
    </row>
    <row r="856" customFormat="false" ht="15.75" hidden="false" customHeight="true" outlineLevel="0" collapsed="false">
      <c r="A856" s="6"/>
      <c r="B856" s="6"/>
      <c r="C856" s="6"/>
      <c r="E856" s="6"/>
      <c r="P856" s="6"/>
    </row>
    <row r="857" customFormat="false" ht="15.75" hidden="false" customHeight="true" outlineLevel="0" collapsed="false">
      <c r="A857" s="6"/>
      <c r="B857" s="6"/>
      <c r="C857" s="6"/>
      <c r="E857" s="6"/>
      <c r="P857" s="6"/>
    </row>
    <row r="858" customFormat="false" ht="15.75" hidden="false" customHeight="true" outlineLevel="0" collapsed="false">
      <c r="A858" s="6"/>
      <c r="B858" s="6"/>
      <c r="C858" s="6"/>
      <c r="E858" s="6"/>
      <c r="P858" s="6"/>
    </row>
    <row r="859" customFormat="false" ht="15.75" hidden="false" customHeight="true" outlineLevel="0" collapsed="false">
      <c r="A859" s="6"/>
      <c r="B859" s="6"/>
      <c r="C859" s="6"/>
      <c r="E859" s="6"/>
      <c r="P859" s="6"/>
    </row>
    <row r="860" customFormat="false" ht="15.75" hidden="false" customHeight="true" outlineLevel="0" collapsed="false">
      <c r="A860" s="6"/>
      <c r="B860" s="6"/>
      <c r="C860" s="6"/>
      <c r="E860" s="6"/>
      <c r="P860" s="6"/>
    </row>
    <row r="861" customFormat="false" ht="15.75" hidden="false" customHeight="true" outlineLevel="0" collapsed="false">
      <c r="A861" s="6"/>
      <c r="B861" s="6"/>
      <c r="C861" s="6"/>
      <c r="E861" s="6"/>
      <c r="P861" s="6"/>
    </row>
    <row r="862" customFormat="false" ht="15.75" hidden="false" customHeight="true" outlineLevel="0" collapsed="false">
      <c r="A862" s="6"/>
      <c r="B862" s="6"/>
      <c r="C862" s="6"/>
      <c r="E862" s="6"/>
      <c r="P862" s="6"/>
    </row>
    <row r="863" customFormat="false" ht="15.75" hidden="false" customHeight="true" outlineLevel="0" collapsed="false">
      <c r="A863" s="6"/>
      <c r="B863" s="6"/>
      <c r="C863" s="6"/>
      <c r="E863" s="6"/>
      <c r="P863" s="6"/>
    </row>
    <row r="864" customFormat="false" ht="15.75" hidden="false" customHeight="true" outlineLevel="0" collapsed="false">
      <c r="A864" s="6"/>
      <c r="B864" s="6"/>
      <c r="C864" s="6"/>
      <c r="E864" s="6"/>
      <c r="P864" s="6"/>
    </row>
    <row r="865" customFormat="false" ht="15.75" hidden="false" customHeight="true" outlineLevel="0" collapsed="false">
      <c r="A865" s="6"/>
      <c r="B865" s="6"/>
      <c r="C865" s="6"/>
      <c r="E865" s="6"/>
      <c r="P865" s="6"/>
    </row>
    <row r="866" customFormat="false" ht="15.75" hidden="false" customHeight="true" outlineLevel="0" collapsed="false">
      <c r="A866" s="6"/>
      <c r="B866" s="6"/>
      <c r="C866" s="6"/>
      <c r="E866" s="6"/>
      <c r="P866" s="6"/>
    </row>
    <row r="867" customFormat="false" ht="15.75" hidden="false" customHeight="true" outlineLevel="0" collapsed="false">
      <c r="A867" s="6"/>
      <c r="B867" s="6"/>
      <c r="C867" s="6"/>
      <c r="E867" s="6"/>
      <c r="P867" s="6"/>
    </row>
    <row r="868" customFormat="false" ht="15.75" hidden="false" customHeight="true" outlineLevel="0" collapsed="false">
      <c r="A868" s="6"/>
      <c r="B868" s="6"/>
      <c r="C868" s="6"/>
      <c r="E868" s="6"/>
      <c r="P868" s="6"/>
    </row>
    <row r="869" customFormat="false" ht="15.75" hidden="false" customHeight="true" outlineLevel="0" collapsed="false">
      <c r="A869" s="6"/>
      <c r="B869" s="6"/>
      <c r="C869" s="6"/>
      <c r="E869" s="6"/>
      <c r="P869" s="6"/>
    </row>
    <row r="870" customFormat="false" ht="15.75" hidden="false" customHeight="true" outlineLevel="0" collapsed="false">
      <c r="A870" s="6"/>
      <c r="B870" s="6"/>
      <c r="C870" s="6"/>
      <c r="E870" s="6"/>
      <c r="P870" s="6"/>
    </row>
    <row r="871" customFormat="false" ht="15.75" hidden="false" customHeight="true" outlineLevel="0" collapsed="false">
      <c r="A871" s="6"/>
      <c r="B871" s="6"/>
      <c r="C871" s="6"/>
      <c r="E871" s="6"/>
      <c r="P871" s="6"/>
    </row>
    <row r="872" customFormat="false" ht="15.75" hidden="false" customHeight="true" outlineLevel="0" collapsed="false">
      <c r="A872" s="6"/>
      <c r="B872" s="6"/>
      <c r="C872" s="6"/>
      <c r="E872" s="6"/>
      <c r="P872" s="6"/>
    </row>
    <row r="873" customFormat="false" ht="15.75" hidden="false" customHeight="true" outlineLevel="0" collapsed="false">
      <c r="A873" s="6"/>
      <c r="B873" s="6"/>
      <c r="C873" s="6"/>
      <c r="E873" s="6"/>
      <c r="P873" s="6"/>
    </row>
    <row r="874" customFormat="false" ht="15.75" hidden="false" customHeight="true" outlineLevel="0" collapsed="false">
      <c r="A874" s="6"/>
      <c r="B874" s="6"/>
      <c r="C874" s="6"/>
      <c r="E874" s="6"/>
      <c r="P874" s="6"/>
    </row>
    <row r="875" customFormat="false" ht="15.75" hidden="false" customHeight="true" outlineLevel="0" collapsed="false">
      <c r="A875" s="6"/>
      <c r="B875" s="6"/>
      <c r="C875" s="6"/>
      <c r="E875" s="6"/>
      <c r="P875" s="6"/>
    </row>
    <row r="876" customFormat="false" ht="15.75" hidden="false" customHeight="true" outlineLevel="0" collapsed="false">
      <c r="A876" s="6"/>
      <c r="B876" s="6"/>
      <c r="C876" s="6"/>
      <c r="E876" s="6"/>
      <c r="P876" s="6"/>
    </row>
    <row r="877" customFormat="false" ht="15.75" hidden="false" customHeight="true" outlineLevel="0" collapsed="false">
      <c r="A877" s="6"/>
      <c r="B877" s="6"/>
      <c r="C877" s="6"/>
      <c r="E877" s="6"/>
      <c r="P877" s="6"/>
    </row>
    <row r="878" customFormat="false" ht="15.75" hidden="false" customHeight="true" outlineLevel="0" collapsed="false">
      <c r="A878" s="6"/>
      <c r="B878" s="6"/>
      <c r="C878" s="6"/>
      <c r="E878" s="6"/>
      <c r="P878" s="6"/>
    </row>
    <row r="879" customFormat="false" ht="15.75" hidden="false" customHeight="true" outlineLevel="0" collapsed="false">
      <c r="A879" s="6"/>
      <c r="B879" s="6"/>
      <c r="C879" s="6"/>
      <c r="E879" s="6"/>
      <c r="P879" s="6"/>
    </row>
    <row r="880" customFormat="false" ht="15.75" hidden="false" customHeight="true" outlineLevel="0" collapsed="false">
      <c r="A880" s="6"/>
      <c r="B880" s="6"/>
      <c r="C880" s="6"/>
      <c r="E880" s="6"/>
      <c r="P880" s="6"/>
    </row>
    <row r="881" customFormat="false" ht="15.75" hidden="false" customHeight="true" outlineLevel="0" collapsed="false">
      <c r="A881" s="6"/>
      <c r="B881" s="6"/>
      <c r="C881" s="6"/>
      <c r="E881" s="6"/>
      <c r="P881" s="6"/>
    </row>
    <row r="882" customFormat="false" ht="15.75" hidden="false" customHeight="true" outlineLevel="0" collapsed="false">
      <c r="A882" s="6"/>
      <c r="B882" s="6"/>
      <c r="C882" s="6"/>
      <c r="E882" s="6"/>
      <c r="P882" s="6"/>
    </row>
    <row r="883" customFormat="false" ht="15.75" hidden="false" customHeight="true" outlineLevel="0" collapsed="false">
      <c r="A883" s="6"/>
      <c r="B883" s="6"/>
      <c r="C883" s="6"/>
      <c r="E883" s="6"/>
      <c r="P883" s="6"/>
    </row>
    <row r="884" customFormat="false" ht="15.75" hidden="false" customHeight="true" outlineLevel="0" collapsed="false">
      <c r="A884" s="6"/>
      <c r="B884" s="6"/>
      <c r="C884" s="6"/>
      <c r="E884" s="6"/>
      <c r="P884" s="6"/>
    </row>
    <row r="885" customFormat="false" ht="15.75" hidden="false" customHeight="true" outlineLevel="0" collapsed="false">
      <c r="A885" s="6"/>
      <c r="B885" s="6"/>
      <c r="C885" s="6"/>
      <c r="E885" s="6"/>
      <c r="P885" s="6"/>
    </row>
    <row r="886" customFormat="false" ht="15.75" hidden="false" customHeight="true" outlineLevel="0" collapsed="false">
      <c r="A886" s="6"/>
      <c r="B886" s="6"/>
      <c r="C886" s="6"/>
      <c r="E886" s="6"/>
      <c r="P886" s="6"/>
    </row>
    <row r="887" customFormat="false" ht="15.75" hidden="false" customHeight="true" outlineLevel="0" collapsed="false">
      <c r="A887" s="6"/>
      <c r="B887" s="6"/>
      <c r="C887" s="6"/>
      <c r="E887" s="6"/>
      <c r="P887" s="6"/>
    </row>
    <row r="888" customFormat="false" ht="15.75" hidden="false" customHeight="true" outlineLevel="0" collapsed="false">
      <c r="A888" s="6"/>
      <c r="B888" s="6"/>
      <c r="C888" s="6"/>
      <c r="E888" s="6"/>
      <c r="P888" s="6"/>
    </row>
    <row r="889" customFormat="false" ht="15.75" hidden="false" customHeight="true" outlineLevel="0" collapsed="false">
      <c r="A889" s="6"/>
      <c r="B889" s="6"/>
      <c r="C889" s="6"/>
      <c r="E889" s="6"/>
      <c r="P889" s="6"/>
    </row>
    <row r="890" customFormat="false" ht="15.75" hidden="false" customHeight="true" outlineLevel="0" collapsed="false">
      <c r="A890" s="6"/>
      <c r="B890" s="6"/>
      <c r="C890" s="6"/>
      <c r="E890" s="6"/>
      <c r="P890" s="6"/>
    </row>
    <row r="891" customFormat="false" ht="15.75" hidden="false" customHeight="true" outlineLevel="0" collapsed="false">
      <c r="A891" s="6"/>
      <c r="B891" s="6"/>
      <c r="C891" s="6"/>
      <c r="E891" s="6"/>
      <c r="P891" s="6"/>
    </row>
    <row r="892" customFormat="false" ht="15.75" hidden="false" customHeight="true" outlineLevel="0" collapsed="false">
      <c r="A892" s="6"/>
      <c r="B892" s="6"/>
      <c r="C892" s="6"/>
      <c r="E892" s="6"/>
      <c r="P892" s="6"/>
    </row>
    <row r="893" customFormat="false" ht="15.75" hidden="false" customHeight="true" outlineLevel="0" collapsed="false">
      <c r="A893" s="6"/>
      <c r="B893" s="6"/>
      <c r="C893" s="6"/>
      <c r="E893" s="6"/>
      <c r="P893" s="6"/>
    </row>
    <row r="894" customFormat="false" ht="15.75" hidden="false" customHeight="true" outlineLevel="0" collapsed="false">
      <c r="A894" s="6"/>
      <c r="B894" s="6"/>
      <c r="C894" s="6"/>
      <c r="E894" s="6"/>
      <c r="P894" s="6"/>
    </row>
    <row r="895" customFormat="false" ht="15.75" hidden="false" customHeight="true" outlineLevel="0" collapsed="false">
      <c r="A895" s="6"/>
      <c r="B895" s="6"/>
      <c r="C895" s="6"/>
      <c r="E895" s="6"/>
      <c r="P895" s="6"/>
    </row>
    <row r="896" customFormat="false" ht="15.75" hidden="false" customHeight="true" outlineLevel="0" collapsed="false">
      <c r="A896" s="6"/>
      <c r="B896" s="6"/>
      <c r="C896" s="6"/>
      <c r="E896" s="6"/>
      <c r="P896" s="6"/>
    </row>
    <row r="897" customFormat="false" ht="15.75" hidden="false" customHeight="true" outlineLevel="0" collapsed="false">
      <c r="A897" s="6"/>
      <c r="B897" s="6"/>
      <c r="C897" s="6"/>
      <c r="E897" s="6"/>
      <c r="P897" s="6"/>
    </row>
    <row r="898" customFormat="false" ht="15.75" hidden="false" customHeight="true" outlineLevel="0" collapsed="false">
      <c r="A898" s="6"/>
      <c r="B898" s="6"/>
      <c r="C898" s="6"/>
      <c r="E898" s="6"/>
      <c r="P898" s="6"/>
    </row>
    <row r="899" customFormat="false" ht="15.75" hidden="false" customHeight="true" outlineLevel="0" collapsed="false">
      <c r="A899" s="6"/>
      <c r="B899" s="6"/>
      <c r="C899" s="6"/>
      <c r="E899" s="6"/>
      <c r="P899" s="6"/>
    </row>
    <row r="900" customFormat="false" ht="15.75" hidden="false" customHeight="true" outlineLevel="0" collapsed="false">
      <c r="A900" s="6"/>
      <c r="B900" s="6"/>
      <c r="C900" s="6"/>
      <c r="E900" s="6"/>
      <c r="P900" s="6"/>
    </row>
    <row r="901" customFormat="false" ht="15.75" hidden="false" customHeight="true" outlineLevel="0" collapsed="false">
      <c r="A901" s="6"/>
      <c r="B901" s="6"/>
      <c r="C901" s="6"/>
      <c r="E901" s="6"/>
      <c r="P901" s="6"/>
    </row>
    <row r="902" customFormat="false" ht="15.75" hidden="false" customHeight="true" outlineLevel="0" collapsed="false">
      <c r="A902" s="6"/>
      <c r="B902" s="6"/>
      <c r="C902" s="6"/>
      <c r="E902" s="6"/>
      <c r="P902" s="6"/>
    </row>
    <row r="903" customFormat="false" ht="15.75" hidden="false" customHeight="true" outlineLevel="0" collapsed="false">
      <c r="A903" s="6"/>
      <c r="B903" s="6"/>
      <c r="C903" s="6"/>
      <c r="E903" s="6"/>
      <c r="P903" s="6"/>
    </row>
    <row r="904" customFormat="false" ht="15.75" hidden="false" customHeight="true" outlineLevel="0" collapsed="false">
      <c r="A904" s="6"/>
      <c r="B904" s="6"/>
      <c r="C904" s="6"/>
      <c r="E904" s="6"/>
      <c r="P904" s="6"/>
    </row>
    <row r="905" customFormat="false" ht="15.75" hidden="false" customHeight="true" outlineLevel="0" collapsed="false">
      <c r="A905" s="6"/>
      <c r="B905" s="6"/>
      <c r="C905" s="6"/>
      <c r="E905" s="6"/>
      <c r="P905" s="6"/>
    </row>
    <row r="906" customFormat="false" ht="15.75" hidden="false" customHeight="true" outlineLevel="0" collapsed="false">
      <c r="A906" s="6"/>
      <c r="B906" s="6"/>
      <c r="C906" s="6"/>
      <c r="E906" s="6"/>
      <c r="P906" s="6"/>
    </row>
    <row r="907" customFormat="false" ht="15.75" hidden="false" customHeight="true" outlineLevel="0" collapsed="false">
      <c r="A907" s="6"/>
      <c r="B907" s="6"/>
      <c r="C907" s="6"/>
      <c r="E907" s="6"/>
      <c r="P907" s="6"/>
    </row>
    <row r="908" customFormat="false" ht="15.75" hidden="false" customHeight="true" outlineLevel="0" collapsed="false">
      <c r="A908" s="6"/>
      <c r="B908" s="6"/>
      <c r="C908" s="6"/>
      <c r="E908" s="6"/>
      <c r="P908" s="6"/>
    </row>
    <row r="909" customFormat="false" ht="15.75" hidden="false" customHeight="true" outlineLevel="0" collapsed="false">
      <c r="A909" s="6"/>
      <c r="B909" s="6"/>
      <c r="C909" s="6"/>
      <c r="E909" s="6"/>
      <c r="P909" s="6"/>
    </row>
    <row r="910" customFormat="false" ht="15.75" hidden="false" customHeight="true" outlineLevel="0" collapsed="false">
      <c r="A910" s="6"/>
      <c r="B910" s="6"/>
      <c r="C910" s="6"/>
      <c r="E910" s="6"/>
      <c r="P910" s="6"/>
    </row>
    <row r="911" customFormat="false" ht="15.75" hidden="false" customHeight="true" outlineLevel="0" collapsed="false">
      <c r="A911" s="6"/>
      <c r="B911" s="6"/>
      <c r="C911" s="6"/>
      <c r="E911" s="6"/>
      <c r="P911" s="6"/>
    </row>
    <row r="912" customFormat="false" ht="15.75" hidden="false" customHeight="true" outlineLevel="0" collapsed="false">
      <c r="A912" s="6"/>
      <c r="B912" s="6"/>
      <c r="C912" s="6"/>
      <c r="E912" s="6"/>
      <c r="P912" s="6"/>
    </row>
    <row r="913" customFormat="false" ht="15.75" hidden="false" customHeight="true" outlineLevel="0" collapsed="false">
      <c r="A913" s="6"/>
      <c r="B913" s="6"/>
      <c r="C913" s="6"/>
      <c r="E913" s="6"/>
      <c r="P913" s="6"/>
    </row>
    <row r="914" customFormat="false" ht="15.75" hidden="false" customHeight="true" outlineLevel="0" collapsed="false">
      <c r="A914" s="6"/>
      <c r="B914" s="6"/>
      <c r="C914" s="6"/>
      <c r="E914" s="6"/>
      <c r="P914" s="6"/>
    </row>
    <row r="915" customFormat="false" ht="15.75" hidden="false" customHeight="true" outlineLevel="0" collapsed="false">
      <c r="A915" s="6"/>
      <c r="B915" s="6"/>
      <c r="C915" s="6"/>
      <c r="E915" s="6"/>
      <c r="P915" s="6"/>
    </row>
    <row r="916" customFormat="false" ht="15.75" hidden="false" customHeight="true" outlineLevel="0" collapsed="false">
      <c r="A916" s="6"/>
      <c r="B916" s="6"/>
      <c r="C916" s="6"/>
      <c r="E916" s="6"/>
      <c r="P916" s="6"/>
    </row>
    <row r="917" customFormat="false" ht="15.75" hidden="false" customHeight="true" outlineLevel="0" collapsed="false">
      <c r="A917" s="6"/>
      <c r="B917" s="6"/>
      <c r="C917" s="6"/>
      <c r="E917" s="6"/>
      <c r="P917" s="6"/>
    </row>
    <row r="918" customFormat="false" ht="15.75" hidden="false" customHeight="true" outlineLevel="0" collapsed="false">
      <c r="A918" s="6"/>
      <c r="B918" s="6"/>
      <c r="C918" s="6"/>
      <c r="E918" s="6"/>
      <c r="P918" s="6"/>
    </row>
    <row r="919" customFormat="false" ht="15.75" hidden="false" customHeight="true" outlineLevel="0" collapsed="false">
      <c r="A919" s="6"/>
      <c r="B919" s="6"/>
      <c r="C919" s="6"/>
      <c r="E919" s="6"/>
      <c r="P919" s="6"/>
    </row>
    <row r="920" customFormat="false" ht="15.75" hidden="false" customHeight="true" outlineLevel="0" collapsed="false">
      <c r="A920" s="6"/>
      <c r="B920" s="6"/>
      <c r="C920" s="6"/>
      <c r="E920" s="6"/>
      <c r="P920" s="6"/>
    </row>
    <row r="921" customFormat="false" ht="15.75" hidden="false" customHeight="true" outlineLevel="0" collapsed="false">
      <c r="A921" s="6"/>
      <c r="B921" s="6"/>
      <c r="C921" s="6"/>
      <c r="E921" s="6"/>
      <c r="P921" s="6"/>
    </row>
    <row r="922" customFormat="false" ht="15.75" hidden="false" customHeight="true" outlineLevel="0" collapsed="false">
      <c r="A922" s="6"/>
      <c r="B922" s="6"/>
      <c r="C922" s="6"/>
      <c r="E922" s="6"/>
      <c r="P922" s="6"/>
    </row>
    <row r="923" customFormat="false" ht="15.75" hidden="false" customHeight="true" outlineLevel="0" collapsed="false">
      <c r="A923" s="6"/>
      <c r="B923" s="6"/>
      <c r="C923" s="6"/>
      <c r="E923" s="6"/>
      <c r="P923" s="6"/>
    </row>
    <row r="924" customFormat="false" ht="15.75" hidden="false" customHeight="true" outlineLevel="0" collapsed="false">
      <c r="A924" s="6"/>
      <c r="B924" s="6"/>
      <c r="C924" s="6"/>
      <c r="E924" s="6"/>
      <c r="P924" s="6"/>
    </row>
    <row r="925" customFormat="false" ht="15.75" hidden="false" customHeight="true" outlineLevel="0" collapsed="false">
      <c r="A925" s="6"/>
      <c r="B925" s="6"/>
      <c r="C925" s="6"/>
      <c r="E925" s="6"/>
      <c r="P925" s="6"/>
    </row>
    <row r="926" customFormat="false" ht="15.75" hidden="false" customHeight="true" outlineLevel="0" collapsed="false">
      <c r="A926" s="6"/>
      <c r="B926" s="6"/>
      <c r="C926" s="6"/>
      <c r="E926" s="6"/>
      <c r="P926" s="6"/>
    </row>
    <row r="927" customFormat="false" ht="15.75" hidden="false" customHeight="true" outlineLevel="0" collapsed="false">
      <c r="A927" s="6"/>
      <c r="B927" s="6"/>
      <c r="C927" s="6"/>
      <c r="E927" s="6"/>
      <c r="P927" s="6"/>
    </row>
    <row r="928" customFormat="false" ht="15.75" hidden="false" customHeight="true" outlineLevel="0" collapsed="false">
      <c r="A928" s="6"/>
      <c r="B928" s="6"/>
      <c r="C928" s="6"/>
      <c r="E928" s="6"/>
      <c r="P928" s="6"/>
    </row>
    <row r="929" customFormat="false" ht="15.75" hidden="false" customHeight="true" outlineLevel="0" collapsed="false">
      <c r="A929" s="6"/>
      <c r="B929" s="6"/>
      <c r="C929" s="6"/>
      <c r="E929" s="6"/>
      <c r="P929" s="6"/>
    </row>
    <row r="930" customFormat="false" ht="15.75" hidden="false" customHeight="true" outlineLevel="0" collapsed="false">
      <c r="A930" s="6"/>
      <c r="B930" s="6"/>
      <c r="C930" s="6"/>
      <c r="E930" s="6"/>
      <c r="P930" s="6"/>
    </row>
    <row r="931" customFormat="false" ht="15.75" hidden="false" customHeight="true" outlineLevel="0" collapsed="false">
      <c r="A931" s="6"/>
      <c r="B931" s="6"/>
      <c r="C931" s="6"/>
      <c r="E931" s="6"/>
      <c r="P931" s="6"/>
    </row>
    <row r="932" customFormat="false" ht="15.75" hidden="false" customHeight="true" outlineLevel="0" collapsed="false">
      <c r="A932" s="6"/>
      <c r="B932" s="6"/>
      <c r="C932" s="6"/>
      <c r="E932" s="6"/>
      <c r="P932" s="6"/>
    </row>
    <row r="933" customFormat="false" ht="15.75" hidden="false" customHeight="true" outlineLevel="0" collapsed="false">
      <c r="A933" s="6"/>
      <c r="B933" s="6"/>
      <c r="C933" s="6"/>
      <c r="E933" s="6"/>
      <c r="P933" s="6"/>
    </row>
    <row r="934" customFormat="false" ht="15.75" hidden="false" customHeight="true" outlineLevel="0" collapsed="false">
      <c r="A934" s="6"/>
      <c r="B934" s="6"/>
      <c r="C934" s="6"/>
      <c r="E934" s="6"/>
      <c r="P934" s="6"/>
    </row>
    <row r="935" customFormat="false" ht="15.75" hidden="false" customHeight="true" outlineLevel="0" collapsed="false">
      <c r="A935" s="6"/>
      <c r="B935" s="6"/>
      <c r="C935" s="6"/>
      <c r="E935" s="6"/>
      <c r="P935" s="6"/>
    </row>
    <row r="936" customFormat="false" ht="15.75" hidden="false" customHeight="true" outlineLevel="0" collapsed="false">
      <c r="A936" s="6"/>
      <c r="B936" s="6"/>
      <c r="C936" s="6"/>
      <c r="E936" s="6"/>
      <c r="P936" s="6"/>
    </row>
    <row r="937" customFormat="false" ht="15.75" hidden="false" customHeight="true" outlineLevel="0" collapsed="false">
      <c r="A937" s="6"/>
      <c r="B937" s="6"/>
      <c r="C937" s="6"/>
      <c r="E937" s="6"/>
      <c r="P937" s="6"/>
    </row>
    <row r="938" customFormat="false" ht="15.75" hidden="false" customHeight="true" outlineLevel="0" collapsed="false">
      <c r="A938" s="6"/>
      <c r="B938" s="6"/>
      <c r="C938" s="6"/>
      <c r="E938" s="6"/>
      <c r="P938" s="6"/>
    </row>
    <row r="939" customFormat="false" ht="15.75" hidden="false" customHeight="true" outlineLevel="0" collapsed="false">
      <c r="A939" s="6"/>
      <c r="B939" s="6"/>
      <c r="C939" s="6"/>
      <c r="E939" s="6"/>
      <c r="P939" s="6"/>
    </row>
    <row r="940" customFormat="false" ht="15.75" hidden="false" customHeight="true" outlineLevel="0" collapsed="false">
      <c r="A940" s="6"/>
      <c r="B940" s="6"/>
      <c r="C940" s="6"/>
      <c r="E940" s="6"/>
      <c r="P940" s="6"/>
    </row>
    <row r="941" customFormat="false" ht="15.75" hidden="false" customHeight="true" outlineLevel="0" collapsed="false">
      <c r="A941" s="6"/>
      <c r="B941" s="6"/>
      <c r="C941" s="6"/>
      <c r="E941" s="6"/>
      <c r="P941" s="6"/>
    </row>
    <row r="942" customFormat="false" ht="15.75" hidden="false" customHeight="true" outlineLevel="0" collapsed="false">
      <c r="A942" s="6"/>
      <c r="B942" s="6"/>
      <c r="C942" s="6"/>
      <c r="E942" s="6"/>
      <c r="P942" s="6"/>
    </row>
    <row r="943" customFormat="false" ht="15.75" hidden="false" customHeight="true" outlineLevel="0" collapsed="false">
      <c r="A943" s="6"/>
      <c r="B943" s="6"/>
      <c r="C943" s="6"/>
      <c r="E943" s="6"/>
      <c r="P943" s="6"/>
    </row>
    <row r="944" customFormat="false" ht="15.75" hidden="false" customHeight="true" outlineLevel="0" collapsed="false">
      <c r="A944" s="6"/>
      <c r="B944" s="6"/>
      <c r="C944" s="6"/>
      <c r="E944" s="6"/>
      <c r="P944" s="6"/>
    </row>
    <row r="945" customFormat="false" ht="15.75" hidden="false" customHeight="true" outlineLevel="0" collapsed="false">
      <c r="A945" s="6"/>
      <c r="B945" s="6"/>
      <c r="C945" s="6"/>
      <c r="E945" s="6"/>
      <c r="P945" s="6"/>
    </row>
    <row r="946" customFormat="false" ht="15.75" hidden="false" customHeight="true" outlineLevel="0" collapsed="false">
      <c r="A946" s="6"/>
      <c r="B946" s="6"/>
      <c r="C946" s="6"/>
      <c r="E946" s="6"/>
      <c r="P946" s="6"/>
    </row>
    <row r="947" customFormat="false" ht="15.75" hidden="false" customHeight="true" outlineLevel="0" collapsed="false">
      <c r="A947" s="6"/>
      <c r="B947" s="6"/>
      <c r="C947" s="6"/>
      <c r="E947" s="6"/>
      <c r="P947" s="6"/>
    </row>
    <row r="948" customFormat="false" ht="15.75" hidden="false" customHeight="true" outlineLevel="0" collapsed="false">
      <c r="A948" s="6"/>
      <c r="B948" s="6"/>
      <c r="C948" s="6"/>
      <c r="E948" s="6"/>
      <c r="P948" s="6"/>
    </row>
    <row r="949" customFormat="false" ht="15.75" hidden="false" customHeight="true" outlineLevel="0" collapsed="false">
      <c r="A949" s="6"/>
      <c r="B949" s="6"/>
      <c r="C949" s="6"/>
      <c r="E949" s="6"/>
      <c r="P949" s="6"/>
    </row>
    <row r="950" customFormat="false" ht="15.75" hidden="false" customHeight="true" outlineLevel="0" collapsed="false">
      <c r="A950" s="6"/>
      <c r="B950" s="6"/>
      <c r="C950" s="6"/>
      <c r="E950" s="6"/>
      <c r="P950" s="6"/>
    </row>
    <row r="951" customFormat="false" ht="15.75" hidden="false" customHeight="true" outlineLevel="0" collapsed="false">
      <c r="A951" s="6"/>
      <c r="B951" s="6"/>
      <c r="C951" s="6"/>
      <c r="E951" s="6"/>
      <c r="P951" s="6"/>
    </row>
    <row r="952" customFormat="false" ht="15.75" hidden="false" customHeight="true" outlineLevel="0" collapsed="false">
      <c r="A952" s="6"/>
      <c r="B952" s="6"/>
      <c r="C952" s="6"/>
      <c r="E952" s="6"/>
      <c r="P952" s="6"/>
    </row>
    <row r="953" customFormat="false" ht="15.75" hidden="false" customHeight="true" outlineLevel="0" collapsed="false">
      <c r="A953" s="6"/>
      <c r="B953" s="6"/>
      <c r="C953" s="6"/>
      <c r="E953" s="6"/>
      <c r="P953" s="6"/>
    </row>
    <row r="954" customFormat="false" ht="15.75" hidden="false" customHeight="true" outlineLevel="0" collapsed="false">
      <c r="A954" s="6"/>
      <c r="B954" s="6"/>
      <c r="C954" s="6"/>
      <c r="E954" s="6"/>
      <c r="P954" s="6"/>
    </row>
    <row r="955" customFormat="false" ht="15.75" hidden="false" customHeight="true" outlineLevel="0" collapsed="false">
      <c r="A955" s="6"/>
      <c r="B955" s="6"/>
      <c r="C955" s="6"/>
      <c r="E955" s="6"/>
      <c r="P955" s="6"/>
    </row>
    <row r="956" customFormat="false" ht="15.75" hidden="false" customHeight="true" outlineLevel="0" collapsed="false">
      <c r="A956" s="6"/>
      <c r="B956" s="6"/>
      <c r="C956" s="6"/>
      <c r="E956" s="6"/>
      <c r="P956" s="6"/>
    </row>
    <row r="957" customFormat="false" ht="15.75" hidden="false" customHeight="true" outlineLevel="0" collapsed="false">
      <c r="A957" s="6"/>
      <c r="B957" s="6"/>
      <c r="C957" s="6"/>
      <c r="E957" s="6"/>
      <c r="P957" s="6"/>
    </row>
    <row r="958" customFormat="false" ht="15.75" hidden="false" customHeight="true" outlineLevel="0" collapsed="false">
      <c r="A958" s="6"/>
      <c r="B958" s="6"/>
      <c r="C958" s="6"/>
      <c r="E958" s="6"/>
      <c r="P958" s="6"/>
    </row>
    <row r="959" customFormat="false" ht="15.75" hidden="false" customHeight="true" outlineLevel="0" collapsed="false">
      <c r="A959" s="6"/>
      <c r="B959" s="6"/>
      <c r="C959" s="6"/>
      <c r="E959" s="6"/>
      <c r="P959" s="6"/>
    </row>
    <row r="960" customFormat="false" ht="15.75" hidden="false" customHeight="true" outlineLevel="0" collapsed="false">
      <c r="A960" s="6"/>
      <c r="B960" s="6"/>
      <c r="C960" s="6"/>
      <c r="E960" s="6"/>
      <c r="P960" s="6"/>
    </row>
    <row r="961" customFormat="false" ht="15.75" hidden="false" customHeight="true" outlineLevel="0" collapsed="false">
      <c r="A961" s="6"/>
      <c r="B961" s="6"/>
      <c r="C961" s="6"/>
      <c r="E961" s="6"/>
      <c r="P961" s="6"/>
    </row>
    <row r="962" customFormat="false" ht="15.75" hidden="false" customHeight="true" outlineLevel="0" collapsed="false">
      <c r="A962" s="6"/>
      <c r="B962" s="6"/>
      <c r="C962" s="6"/>
      <c r="E962" s="6"/>
      <c r="P962" s="6"/>
    </row>
    <row r="963" customFormat="false" ht="15.75" hidden="false" customHeight="true" outlineLevel="0" collapsed="false">
      <c r="A963" s="6"/>
      <c r="B963" s="6"/>
      <c r="C963" s="6"/>
      <c r="E963" s="6"/>
      <c r="P963" s="6"/>
    </row>
    <row r="964" customFormat="false" ht="15.75" hidden="false" customHeight="true" outlineLevel="0" collapsed="false">
      <c r="A964" s="6"/>
      <c r="B964" s="6"/>
      <c r="C964" s="6"/>
      <c r="E964" s="6"/>
      <c r="P964" s="6"/>
    </row>
    <row r="965" customFormat="false" ht="15.75" hidden="false" customHeight="true" outlineLevel="0" collapsed="false">
      <c r="A965" s="6"/>
      <c r="B965" s="6"/>
      <c r="C965" s="6"/>
      <c r="E965" s="6"/>
      <c r="P965" s="6"/>
    </row>
    <row r="966" customFormat="false" ht="15.75" hidden="false" customHeight="true" outlineLevel="0" collapsed="false">
      <c r="A966" s="6"/>
      <c r="B966" s="6"/>
      <c r="C966" s="6"/>
      <c r="E966" s="6"/>
      <c r="P966" s="6"/>
    </row>
    <row r="967" customFormat="false" ht="15.75" hidden="false" customHeight="true" outlineLevel="0" collapsed="false">
      <c r="A967" s="6"/>
      <c r="B967" s="6"/>
      <c r="C967" s="6"/>
      <c r="E967" s="6"/>
      <c r="P967" s="6"/>
    </row>
    <row r="968" customFormat="false" ht="15.75" hidden="false" customHeight="true" outlineLevel="0" collapsed="false">
      <c r="A968" s="6"/>
      <c r="B968" s="6"/>
      <c r="C968" s="6"/>
      <c r="E968" s="6"/>
      <c r="P968" s="6"/>
    </row>
    <row r="969" customFormat="false" ht="15.75" hidden="false" customHeight="true" outlineLevel="0" collapsed="false">
      <c r="A969" s="6"/>
      <c r="B969" s="6"/>
      <c r="C969" s="6"/>
      <c r="E969" s="6"/>
      <c r="P969" s="6"/>
    </row>
    <row r="970" customFormat="false" ht="15.75" hidden="false" customHeight="true" outlineLevel="0" collapsed="false">
      <c r="A970" s="6"/>
      <c r="B970" s="6"/>
      <c r="C970" s="6"/>
      <c r="E970" s="6"/>
      <c r="P970" s="6"/>
    </row>
    <row r="971" customFormat="false" ht="15.75" hidden="false" customHeight="true" outlineLevel="0" collapsed="false">
      <c r="A971" s="6"/>
      <c r="B971" s="6"/>
      <c r="C971" s="6"/>
      <c r="E971" s="6"/>
      <c r="P971" s="6"/>
    </row>
    <row r="972" customFormat="false" ht="15.75" hidden="false" customHeight="true" outlineLevel="0" collapsed="false">
      <c r="A972" s="6"/>
      <c r="B972" s="6"/>
      <c r="C972" s="6"/>
      <c r="E972" s="6"/>
      <c r="P972" s="6"/>
    </row>
    <row r="973" customFormat="false" ht="15.75" hidden="false" customHeight="true" outlineLevel="0" collapsed="false">
      <c r="A973" s="6"/>
      <c r="B973" s="6"/>
      <c r="C973" s="6"/>
      <c r="E973" s="6"/>
      <c r="P973" s="6"/>
    </row>
    <row r="974" customFormat="false" ht="15.75" hidden="false" customHeight="true" outlineLevel="0" collapsed="false">
      <c r="A974" s="6"/>
      <c r="B974" s="6"/>
      <c r="C974" s="6"/>
      <c r="E974" s="6"/>
      <c r="P974" s="6"/>
    </row>
    <row r="975" customFormat="false" ht="15.75" hidden="false" customHeight="true" outlineLevel="0" collapsed="false">
      <c r="A975" s="6"/>
      <c r="B975" s="6"/>
      <c r="C975" s="6"/>
      <c r="E975" s="6"/>
      <c r="P975" s="6"/>
    </row>
    <row r="976" customFormat="false" ht="15.75" hidden="false" customHeight="true" outlineLevel="0" collapsed="false">
      <c r="A976" s="6"/>
      <c r="B976" s="6"/>
      <c r="C976" s="6"/>
      <c r="E976" s="6"/>
      <c r="P976" s="6"/>
    </row>
    <row r="977" customFormat="false" ht="15.75" hidden="false" customHeight="true" outlineLevel="0" collapsed="false">
      <c r="A977" s="6"/>
      <c r="B977" s="6"/>
      <c r="C977" s="6"/>
      <c r="E977" s="6"/>
      <c r="P977" s="6"/>
    </row>
    <row r="978" customFormat="false" ht="15.75" hidden="false" customHeight="true" outlineLevel="0" collapsed="false">
      <c r="A978" s="6"/>
      <c r="B978" s="6"/>
      <c r="C978" s="6"/>
      <c r="E978" s="6"/>
      <c r="P978" s="6"/>
    </row>
    <row r="979" customFormat="false" ht="15.75" hidden="false" customHeight="true" outlineLevel="0" collapsed="false">
      <c r="A979" s="6"/>
      <c r="B979" s="6"/>
      <c r="C979" s="6"/>
      <c r="E979" s="6"/>
      <c r="P979" s="6"/>
    </row>
    <row r="980" customFormat="false" ht="15.75" hidden="false" customHeight="true" outlineLevel="0" collapsed="false">
      <c r="A980" s="6"/>
      <c r="B980" s="6"/>
      <c r="C980" s="6"/>
      <c r="E980" s="6"/>
      <c r="P980" s="6"/>
    </row>
    <row r="981" customFormat="false" ht="15.75" hidden="false" customHeight="true" outlineLevel="0" collapsed="false">
      <c r="A981" s="6"/>
      <c r="B981" s="6"/>
      <c r="C981" s="6"/>
      <c r="E981" s="6"/>
      <c r="P981" s="6"/>
    </row>
    <row r="982" customFormat="false" ht="15.75" hidden="false" customHeight="true" outlineLevel="0" collapsed="false">
      <c r="A982" s="6"/>
      <c r="B982" s="6"/>
      <c r="C982" s="6"/>
      <c r="E982" s="6"/>
      <c r="P982" s="6"/>
    </row>
    <row r="983" customFormat="false" ht="15.75" hidden="false" customHeight="true" outlineLevel="0" collapsed="false">
      <c r="A983" s="6"/>
      <c r="B983" s="6"/>
      <c r="C983" s="6"/>
      <c r="E983" s="6"/>
      <c r="P983" s="6"/>
    </row>
    <row r="984" customFormat="false" ht="15.75" hidden="false" customHeight="true" outlineLevel="0" collapsed="false">
      <c r="A984" s="6"/>
      <c r="B984" s="6"/>
      <c r="C984" s="6"/>
      <c r="E984" s="6"/>
      <c r="P984" s="6"/>
    </row>
    <row r="985" customFormat="false" ht="15.75" hidden="false" customHeight="true" outlineLevel="0" collapsed="false">
      <c r="A985" s="6"/>
      <c r="B985" s="6"/>
      <c r="C985" s="6"/>
      <c r="E985" s="6"/>
      <c r="P985" s="6"/>
    </row>
    <row r="986" customFormat="false" ht="15.75" hidden="false" customHeight="true" outlineLevel="0" collapsed="false">
      <c r="A986" s="6"/>
      <c r="B986" s="6"/>
      <c r="C986" s="6"/>
      <c r="E986" s="6"/>
      <c r="P986" s="6"/>
    </row>
    <row r="987" customFormat="false" ht="15.75" hidden="false" customHeight="true" outlineLevel="0" collapsed="false">
      <c r="A987" s="6"/>
      <c r="B987" s="6"/>
      <c r="C987" s="6"/>
      <c r="E987" s="6"/>
      <c r="P987" s="6"/>
    </row>
    <row r="988" customFormat="false" ht="15.75" hidden="false" customHeight="true" outlineLevel="0" collapsed="false">
      <c r="A988" s="6"/>
      <c r="B988" s="6"/>
      <c r="C988" s="6"/>
      <c r="E988" s="6"/>
      <c r="P988" s="6"/>
    </row>
    <row r="989" customFormat="false" ht="15.75" hidden="false" customHeight="true" outlineLevel="0" collapsed="false">
      <c r="A989" s="6"/>
      <c r="B989" s="6"/>
      <c r="C989" s="6"/>
      <c r="E989" s="6"/>
      <c r="P989" s="6"/>
    </row>
    <row r="990" customFormat="false" ht="15.75" hidden="false" customHeight="true" outlineLevel="0" collapsed="false">
      <c r="A990" s="6"/>
      <c r="B990" s="6"/>
      <c r="C990" s="6"/>
      <c r="E990" s="6"/>
      <c r="P990" s="6"/>
    </row>
    <row r="991" customFormat="false" ht="15.75" hidden="false" customHeight="true" outlineLevel="0" collapsed="false">
      <c r="A991" s="6"/>
      <c r="B991" s="6"/>
      <c r="C991" s="6"/>
      <c r="E991" s="6"/>
      <c r="P991" s="6"/>
    </row>
    <row r="992" customFormat="false" ht="15.75" hidden="false" customHeight="true" outlineLevel="0" collapsed="false">
      <c r="A992" s="6"/>
      <c r="B992" s="6"/>
      <c r="C992" s="6"/>
      <c r="E992" s="6"/>
      <c r="P992" s="6"/>
    </row>
    <row r="993" customFormat="false" ht="15.75" hidden="false" customHeight="true" outlineLevel="0" collapsed="false">
      <c r="A993" s="6"/>
      <c r="B993" s="6"/>
      <c r="C993" s="6"/>
      <c r="E993" s="6"/>
      <c r="P993" s="6"/>
    </row>
    <row r="994" customFormat="false" ht="15.75" hidden="false" customHeight="true" outlineLevel="0" collapsed="false">
      <c r="A994" s="6"/>
      <c r="B994" s="6"/>
      <c r="C994" s="6"/>
      <c r="E994" s="6"/>
      <c r="P994" s="6"/>
    </row>
    <row r="995" customFormat="false" ht="15.75" hidden="false" customHeight="true" outlineLevel="0" collapsed="false">
      <c r="A995" s="6"/>
      <c r="B995" s="6"/>
      <c r="C995" s="6"/>
      <c r="E995" s="6"/>
      <c r="P995" s="6"/>
    </row>
    <row r="996" customFormat="false" ht="15.75" hidden="false" customHeight="true" outlineLevel="0" collapsed="false">
      <c r="A996" s="6"/>
      <c r="B996" s="6"/>
      <c r="C996" s="6"/>
      <c r="E996" s="6"/>
      <c r="P996" s="6"/>
    </row>
    <row r="997" customFormat="false" ht="15.75" hidden="false" customHeight="true" outlineLevel="0" collapsed="false">
      <c r="A997" s="6"/>
      <c r="B997" s="6"/>
      <c r="C997" s="6"/>
      <c r="E997" s="6"/>
      <c r="P997" s="6"/>
    </row>
    <row r="998" customFormat="false" ht="15.75" hidden="false" customHeight="true" outlineLevel="0" collapsed="false">
      <c r="A998" s="6"/>
      <c r="B998" s="6"/>
      <c r="C998" s="6"/>
      <c r="E998" s="6"/>
      <c r="P998" s="6"/>
    </row>
    <row r="999" customFormat="false" ht="15.75" hidden="false" customHeight="true" outlineLevel="0" collapsed="false">
      <c r="A999" s="6"/>
      <c r="B999" s="6"/>
      <c r="C999" s="6"/>
      <c r="E999" s="6"/>
      <c r="P999" s="6"/>
    </row>
    <row r="1000" customFormat="false" ht="15.75" hidden="false" customHeight="true" outlineLevel="0" collapsed="false">
      <c r="A1000" s="6"/>
      <c r="B1000" s="6"/>
      <c r="C1000" s="6"/>
      <c r="E1000" s="6"/>
      <c r="P1000" s="6"/>
    </row>
    <row r="1001" customFormat="false" ht="15.75" hidden="false" customHeight="true" outlineLevel="0" collapsed="false">
      <c r="A1001" s="6"/>
      <c r="B1001" s="6"/>
      <c r="C1001" s="6"/>
      <c r="E1001" s="6"/>
      <c r="P1001" s="6"/>
    </row>
    <row r="1002" customFormat="false" ht="15.75" hidden="false" customHeight="true" outlineLevel="0" collapsed="false">
      <c r="A1002" s="6"/>
      <c r="B1002" s="6"/>
      <c r="C1002" s="6"/>
      <c r="E1002" s="6"/>
      <c r="P1002" s="6"/>
    </row>
    <row r="1003" customFormat="false" ht="15.75" hidden="false" customHeight="true" outlineLevel="0" collapsed="false">
      <c r="A1003" s="6"/>
      <c r="B1003" s="6"/>
      <c r="C1003" s="6"/>
      <c r="E1003" s="6"/>
      <c r="P1003" s="6"/>
    </row>
    <row r="1004" customFormat="false" ht="15.75" hidden="false" customHeight="true" outlineLevel="0" collapsed="false">
      <c r="A1004" s="6"/>
      <c r="B1004" s="6"/>
      <c r="C1004" s="6"/>
      <c r="E1004" s="6"/>
      <c r="P1004" s="6"/>
    </row>
    <row r="1005" customFormat="false" ht="15.75" hidden="false" customHeight="true" outlineLevel="0" collapsed="false">
      <c r="A1005" s="6"/>
      <c r="B1005" s="6"/>
      <c r="C1005" s="6"/>
      <c r="E1005" s="6"/>
      <c r="P1005" s="6"/>
    </row>
    <row r="1006" customFormat="false" ht="15.75" hidden="false" customHeight="true" outlineLevel="0" collapsed="false">
      <c r="A1006" s="6"/>
      <c r="B1006" s="6"/>
      <c r="C1006" s="6"/>
      <c r="E1006" s="6"/>
      <c r="P1006" s="6"/>
    </row>
    <row r="1007" customFormat="false" ht="15.75" hidden="false" customHeight="true" outlineLevel="0" collapsed="false">
      <c r="A1007" s="6"/>
      <c r="B1007" s="6"/>
      <c r="C1007" s="6"/>
      <c r="E1007" s="6"/>
      <c r="P1007" s="6"/>
    </row>
    <row r="1008" customFormat="false" ht="15.75" hidden="false" customHeight="true" outlineLevel="0" collapsed="false">
      <c r="A1008" s="6"/>
      <c r="B1008" s="6"/>
      <c r="C1008" s="6"/>
      <c r="E1008" s="6"/>
      <c r="P1008" s="6"/>
    </row>
    <row r="1009" customFormat="false" ht="15.75" hidden="false" customHeight="true" outlineLevel="0" collapsed="false">
      <c r="A1009" s="6"/>
      <c r="B1009" s="6"/>
      <c r="C1009" s="6"/>
      <c r="E1009" s="6"/>
      <c r="P1009" s="6"/>
    </row>
    <row r="1010" customFormat="false" ht="15.75" hidden="false" customHeight="true" outlineLevel="0" collapsed="false">
      <c r="A1010" s="6"/>
      <c r="B1010" s="6"/>
      <c r="C1010" s="6"/>
      <c r="E1010" s="6"/>
      <c r="P1010" s="6"/>
    </row>
    <row r="1011" customFormat="false" ht="15.75" hidden="false" customHeight="true" outlineLevel="0" collapsed="false">
      <c r="A1011" s="6"/>
      <c r="B1011" s="6"/>
      <c r="C1011" s="6"/>
      <c r="E1011" s="6"/>
      <c r="P1011" s="6"/>
    </row>
    <row r="1012" customFormat="false" ht="15.75" hidden="false" customHeight="true" outlineLevel="0" collapsed="false">
      <c r="A1012" s="6"/>
      <c r="B1012" s="6"/>
      <c r="C1012" s="6"/>
      <c r="E1012" s="6"/>
      <c r="P1012" s="6"/>
    </row>
    <row r="1013" customFormat="false" ht="15.75" hidden="false" customHeight="true" outlineLevel="0" collapsed="false">
      <c r="A1013" s="6"/>
      <c r="B1013" s="6"/>
      <c r="C1013" s="6"/>
      <c r="E1013" s="6"/>
      <c r="P1013" s="6"/>
    </row>
    <row r="1014" customFormat="false" ht="15.75" hidden="false" customHeight="true" outlineLevel="0" collapsed="false">
      <c r="A1014" s="6"/>
      <c r="B1014" s="6"/>
      <c r="C1014" s="6"/>
      <c r="E1014" s="6"/>
      <c r="P1014" s="6"/>
    </row>
    <row r="1015" customFormat="false" ht="15.75" hidden="false" customHeight="true" outlineLevel="0" collapsed="false">
      <c r="A1015" s="6"/>
      <c r="B1015" s="6"/>
      <c r="C1015" s="6"/>
      <c r="E1015" s="6"/>
      <c r="P1015" s="6"/>
    </row>
    <row r="1016" customFormat="false" ht="15.75" hidden="false" customHeight="true" outlineLevel="0" collapsed="false">
      <c r="A1016" s="6"/>
      <c r="B1016" s="6"/>
      <c r="C1016" s="6"/>
      <c r="E1016" s="6"/>
      <c r="P1016" s="6"/>
    </row>
    <row r="1017" customFormat="false" ht="15.75" hidden="false" customHeight="true" outlineLevel="0" collapsed="false">
      <c r="A1017" s="6"/>
      <c r="B1017" s="6"/>
      <c r="C1017" s="6"/>
      <c r="E1017" s="6"/>
      <c r="P1017" s="6"/>
    </row>
    <row r="1018" customFormat="false" ht="15.75" hidden="false" customHeight="true" outlineLevel="0" collapsed="false">
      <c r="A1018" s="6"/>
      <c r="B1018" s="6"/>
      <c r="C1018" s="6"/>
      <c r="E1018" s="6"/>
      <c r="P1018" s="6"/>
    </row>
    <row r="1019" customFormat="false" ht="15.75" hidden="false" customHeight="true" outlineLevel="0" collapsed="false">
      <c r="A1019" s="6"/>
      <c r="B1019" s="6"/>
      <c r="C1019" s="6"/>
      <c r="E1019" s="6"/>
      <c r="P1019" s="6"/>
    </row>
    <row r="1020" customFormat="false" ht="15.75" hidden="false" customHeight="true" outlineLevel="0" collapsed="false">
      <c r="A1020" s="6"/>
      <c r="B1020" s="6"/>
      <c r="C1020" s="6"/>
      <c r="E1020" s="6"/>
      <c r="P1020" s="6"/>
    </row>
    <row r="1021" customFormat="false" ht="15.75" hidden="false" customHeight="true" outlineLevel="0" collapsed="false">
      <c r="A1021" s="6"/>
      <c r="B1021" s="6"/>
      <c r="C1021" s="6"/>
      <c r="E1021" s="6"/>
      <c r="P1021" s="6"/>
    </row>
    <row r="1022" customFormat="false" ht="15.75" hidden="false" customHeight="true" outlineLevel="0" collapsed="false">
      <c r="A1022" s="6"/>
      <c r="B1022" s="6"/>
      <c r="C1022" s="6"/>
      <c r="E1022" s="6"/>
      <c r="P1022" s="6"/>
    </row>
    <row r="1023" customFormat="false" ht="15.75" hidden="false" customHeight="true" outlineLevel="0" collapsed="false">
      <c r="A1023" s="6"/>
      <c r="B1023" s="6"/>
      <c r="C1023" s="6"/>
      <c r="E1023" s="6"/>
      <c r="P1023" s="6"/>
    </row>
    <row r="1024" customFormat="false" ht="15.75" hidden="false" customHeight="true" outlineLevel="0" collapsed="false">
      <c r="A1024" s="6"/>
      <c r="B1024" s="6"/>
      <c r="C1024" s="6"/>
      <c r="E1024" s="6"/>
      <c r="P1024" s="6"/>
    </row>
    <row r="1025" customFormat="false" ht="15.75" hidden="false" customHeight="true" outlineLevel="0" collapsed="false">
      <c r="A1025" s="6"/>
      <c r="B1025" s="6"/>
      <c r="C1025" s="6"/>
      <c r="E1025" s="6"/>
      <c r="P1025" s="6"/>
    </row>
    <row r="1026" customFormat="false" ht="15.75" hidden="false" customHeight="true" outlineLevel="0" collapsed="false">
      <c r="A1026" s="6"/>
      <c r="B1026" s="6"/>
      <c r="C1026" s="6"/>
      <c r="E1026" s="6"/>
      <c r="P1026" s="6"/>
    </row>
    <row r="1027" customFormat="false" ht="15.75" hidden="false" customHeight="true" outlineLevel="0" collapsed="false">
      <c r="A1027" s="6"/>
      <c r="B1027" s="6"/>
      <c r="C1027" s="6"/>
      <c r="E1027" s="6"/>
      <c r="P1027" s="6"/>
    </row>
    <row r="1028" customFormat="false" ht="15.75" hidden="false" customHeight="true" outlineLevel="0" collapsed="false">
      <c r="A1028" s="6"/>
      <c r="B1028" s="6"/>
      <c r="C1028" s="6"/>
      <c r="E1028" s="6"/>
      <c r="P1028" s="6"/>
    </row>
    <row r="1029" customFormat="false" ht="15.75" hidden="false" customHeight="true" outlineLevel="0" collapsed="false">
      <c r="A1029" s="6"/>
      <c r="B1029" s="6"/>
      <c r="C1029" s="6"/>
      <c r="E1029" s="6"/>
      <c r="P1029" s="6"/>
    </row>
    <row r="1030" customFormat="false" ht="15.75" hidden="false" customHeight="true" outlineLevel="0" collapsed="false">
      <c r="A1030" s="6"/>
      <c r="B1030" s="6"/>
      <c r="C1030" s="6"/>
      <c r="E1030" s="6"/>
      <c r="P1030" s="6"/>
    </row>
    <row r="1031" customFormat="false" ht="15.75" hidden="false" customHeight="true" outlineLevel="0" collapsed="false">
      <c r="A1031" s="6"/>
      <c r="B1031" s="6"/>
      <c r="C1031" s="6"/>
      <c r="E1031" s="6"/>
      <c r="P1031" s="6"/>
    </row>
    <row r="1032" customFormat="false" ht="15.75" hidden="false" customHeight="true" outlineLevel="0" collapsed="false">
      <c r="A1032" s="6"/>
      <c r="B1032" s="6"/>
      <c r="C1032" s="6"/>
      <c r="E1032" s="6"/>
      <c r="P1032" s="6"/>
    </row>
    <row r="1033" customFormat="false" ht="15.75" hidden="false" customHeight="true" outlineLevel="0" collapsed="false">
      <c r="A1033" s="6"/>
      <c r="B1033" s="6"/>
      <c r="C1033" s="6"/>
      <c r="E1033" s="6"/>
      <c r="P1033" s="6"/>
    </row>
    <row r="1034" customFormat="false" ht="15.75" hidden="false" customHeight="true" outlineLevel="0" collapsed="false">
      <c r="A1034" s="6"/>
      <c r="B1034" s="6"/>
      <c r="C1034" s="6"/>
      <c r="E1034" s="6"/>
      <c r="P1034" s="6"/>
    </row>
    <row r="1035" customFormat="false" ht="15.75" hidden="false" customHeight="true" outlineLevel="0" collapsed="false">
      <c r="A1035" s="6"/>
      <c r="B1035" s="6"/>
      <c r="C1035" s="6"/>
      <c r="E1035" s="6"/>
      <c r="P1035" s="6"/>
    </row>
    <row r="1036" customFormat="false" ht="15.75" hidden="false" customHeight="true" outlineLevel="0" collapsed="false">
      <c r="A1036" s="6"/>
      <c r="B1036" s="6"/>
      <c r="C1036" s="6"/>
      <c r="E1036" s="6"/>
      <c r="P1036" s="6"/>
    </row>
    <row r="1037" customFormat="false" ht="15.75" hidden="false" customHeight="true" outlineLevel="0" collapsed="false">
      <c r="A1037" s="6"/>
      <c r="B1037" s="6"/>
      <c r="C1037" s="6"/>
      <c r="E1037" s="6"/>
      <c r="P1037" s="6"/>
    </row>
    <row r="1038" customFormat="false" ht="15.75" hidden="false" customHeight="true" outlineLevel="0" collapsed="false">
      <c r="A1038" s="6"/>
      <c r="B1038" s="6"/>
      <c r="C1038" s="6"/>
      <c r="E1038" s="6"/>
      <c r="P1038" s="6"/>
    </row>
    <row r="1039" customFormat="false" ht="15.75" hidden="false" customHeight="true" outlineLevel="0" collapsed="false">
      <c r="A1039" s="6"/>
      <c r="B1039" s="6"/>
      <c r="C1039" s="6"/>
      <c r="E1039" s="6"/>
      <c r="P1039" s="6"/>
    </row>
    <row r="1040" customFormat="false" ht="15.75" hidden="false" customHeight="true" outlineLevel="0" collapsed="false">
      <c r="A1040" s="6"/>
      <c r="B1040" s="6"/>
      <c r="C1040" s="6"/>
      <c r="E1040" s="6"/>
      <c r="P1040" s="6"/>
    </row>
    <row r="1041" customFormat="false" ht="15.75" hidden="false" customHeight="true" outlineLevel="0" collapsed="false">
      <c r="A1041" s="6"/>
      <c r="B1041" s="6"/>
      <c r="C1041" s="6"/>
      <c r="E1041" s="6"/>
      <c r="P1041" s="6"/>
    </row>
    <row r="1042" customFormat="false" ht="15.75" hidden="false" customHeight="true" outlineLevel="0" collapsed="false">
      <c r="A1042" s="6"/>
      <c r="B1042" s="6"/>
      <c r="C1042" s="6"/>
      <c r="E1042" s="6"/>
      <c r="P1042" s="6"/>
    </row>
    <row r="1043" customFormat="false" ht="15.75" hidden="false" customHeight="true" outlineLevel="0" collapsed="false">
      <c r="A1043" s="6"/>
      <c r="B1043" s="6"/>
      <c r="C1043" s="6"/>
      <c r="E1043" s="6"/>
      <c r="P1043" s="6"/>
    </row>
    <row r="1044" customFormat="false" ht="15.75" hidden="false" customHeight="true" outlineLevel="0" collapsed="false">
      <c r="A1044" s="6"/>
      <c r="B1044" s="6"/>
      <c r="C1044" s="6"/>
      <c r="E1044" s="6"/>
      <c r="P1044" s="6"/>
    </row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C161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1" ySplit="2" topLeftCell="AN3" activePane="bottomRight" state="frozen"/>
      <selection pane="topLeft" activeCell="A1" activeCellId="0" sqref="A1"/>
      <selection pane="topRight" activeCell="AN1" activeCellId="0" sqref="AN1"/>
      <selection pane="bottomLeft" activeCell="A3" activeCellId="0" sqref="A3"/>
      <selection pane="bottomRight" activeCell="AS2" activeCellId="0" sqref="AS2"/>
    </sheetView>
  </sheetViews>
  <sheetFormatPr defaultColWidth="12.6328125" defaultRowHeight="12.8" customHeight="true" zeroHeight="false" outlineLevelRow="0" outlineLevelCol="0"/>
  <cols>
    <col collapsed="false" customWidth="true" hidden="false" outlineLevel="0" max="1" min="1" style="6" width="24.4"/>
    <col collapsed="false" customWidth="false" hidden="false" outlineLevel="0" max="47" min="2" style="6" width="12.63"/>
    <col collapsed="false" customWidth="true" hidden="false" outlineLevel="0" max="48" min="48" style="6" width="14.67"/>
    <col collapsed="false" customWidth="false" hidden="false" outlineLevel="0" max="54" min="49" style="6" width="12.63"/>
    <col collapsed="false" customWidth="true" hidden="false" outlineLevel="0" max="55" min="55" style="6" width="15.78"/>
    <col collapsed="false" customWidth="false" hidden="false" outlineLevel="0" max="112" min="56" style="6" width="12.63"/>
    <col collapsed="false" customWidth="false" hidden="false" outlineLevel="0" max="16377" min="114" style="6" width="12.63"/>
    <col collapsed="false" customWidth="true" hidden="false" outlineLevel="0" max="16383" min="16378" style="37" width="11.53"/>
    <col collapsed="false" customWidth="true" hidden="false" outlineLevel="0" max="16384" min="16384" style="6" width="11.53"/>
  </cols>
  <sheetData>
    <row r="1" customFormat="false" ht="12.8" hidden="false" customHeight="true" outlineLevel="0" collapsed="false">
      <c r="A1" s="38" t="s">
        <v>49</v>
      </c>
    </row>
    <row r="2" customFormat="false" ht="12.8" hidden="false" customHeight="true" outlineLevel="0" collapsed="false">
      <c r="A2" s="39" t="s">
        <v>50</v>
      </c>
      <c r="B2" s="40" t="s">
        <v>51</v>
      </c>
      <c r="C2" s="40" t="s">
        <v>52</v>
      </c>
      <c r="D2" s="40" t="s">
        <v>53</v>
      </c>
      <c r="E2" s="40" t="s">
        <v>54</v>
      </c>
      <c r="F2" s="40" t="s">
        <v>55</v>
      </c>
      <c r="G2" s="40" t="s">
        <v>56</v>
      </c>
      <c r="H2" s="40" t="s">
        <v>57</v>
      </c>
      <c r="I2" s="40" t="s">
        <v>58</v>
      </c>
      <c r="J2" s="40" t="s">
        <v>59</v>
      </c>
      <c r="K2" s="40" t="s">
        <v>60</v>
      </c>
      <c r="L2" s="40" t="s">
        <v>61</v>
      </c>
      <c r="M2" s="40" t="s">
        <v>62</v>
      </c>
      <c r="N2" s="40" t="s">
        <v>63</v>
      </c>
      <c r="O2" s="40" t="s">
        <v>64</v>
      </c>
      <c r="P2" s="40" t="s">
        <v>65</v>
      </c>
      <c r="Q2" s="40" t="s">
        <v>66</v>
      </c>
      <c r="R2" s="40" t="s">
        <v>67</v>
      </c>
      <c r="S2" s="40" t="s">
        <v>68</v>
      </c>
      <c r="T2" s="40" t="s">
        <v>69</v>
      </c>
      <c r="U2" s="40" t="s">
        <v>70</v>
      </c>
      <c r="V2" s="40" t="s">
        <v>71</v>
      </c>
      <c r="W2" s="40" t="s">
        <v>72</v>
      </c>
      <c r="X2" s="40" t="s">
        <v>73</v>
      </c>
      <c r="Y2" s="40" t="s">
        <v>74</v>
      </c>
      <c r="Z2" s="40" t="s">
        <v>75</v>
      </c>
      <c r="AA2" s="40" t="s">
        <v>4</v>
      </c>
      <c r="AB2" s="40" t="s">
        <v>76</v>
      </c>
      <c r="AC2" s="40" t="s">
        <v>77</v>
      </c>
      <c r="AD2" s="38"/>
      <c r="AE2" s="38"/>
      <c r="AF2" s="38"/>
      <c r="AG2" s="38"/>
      <c r="AH2" s="38"/>
      <c r="AI2" s="38" t="n">
        <v>2020</v>
      </c>
      <c r="AJ2" s="38" t="n">
        <v>2021</v>
      </c>
      <c r="AK2" s="38" t="n">
        <v>2022</v>
      </c>
      <c r="AL2" s="38" t="n">
        <f aca="false">AK2+1</f>
        <v>2023</v>
      </c>
      <c r="AM2" s="38" t="n">
        <f aca="false">AL2+1</f>
        <v>2024</v>
      </c>
      <c r="AN2" s="38" t="n">
        <f aca="false">AM2+1</f>
        <v>2025</v>
      </c>
      <c r="AO2" s="38" t="n">
        <f aca="false">AN2+1</f>
        <v>2026</v>
      </c>
      <c r="AP2" s="38" t="n">
        <f aca="false">AO2+1</f>
        <v>2027</v>
      </c>
      <c r="AQ2" s="38" t="n">
        <f aca="false">AP2+1</f>
        <v>2028</v>
      </c>
      <c r="AR2" s="38" t="n">
        <f aca="false">AQ2+1</f>
        <v>2029</v>
      </c>
      <c r="AS2" s="38" t="n">
        <f aca="false">AR2+1</f>
        <v>2030</v>
      </c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</row>
    <row r="3" s="43" customFormat="true" ht="12.8" hidden="false" customHeight="true" outlineLevel="0" collapsed="false">
      <c r="A3" s="41" t="s">
        <v>78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 t="n">
        <v>102.9</v>
      </c>
      <c r="AL3" s="42" t="n">
        <v>112.6</v>
      </c>
      <c r="AM3" s="42" t="n">
        <v>125.3</v>
      </c>
      <c r="AN3" s="42" t="n">
        <v>131.6</v>
      </c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DI3" s="37"/>
      <c r="XEX3" s="37"/>
      <c r="XEY3" s="37"/>
      <c r="XEZ3" s="37"/>
      <c r="XFA3" s="37"/>
      <c r="XFB3" s="37"/>
      <c r="XFC3" s="37"/>
    </row>
    <row r="4" s="45" customFormat="true" ht="10.5" hidden="false" customHeight="true" outlineLevel="0" collapsed="false">
      <c r="A4" s="44"/>
      <c r="AL4" s="45" t="n">
        <f aca="false">+AL3/AK3-1</f>
        <v>0.0942662779397472</v>
      </c>
      <c r="AM4" s="45" t="n">
        <f aca="false">+AM3/AL3-1</f>
        <v>0.112788632326821</v>
      </c>
      <c r="AN4" s="45" t="n">
        <f aca="false">+AN3/AM3-1</f>
        <v>0.0502793296089386</v>
      </c>
      <c r="DI4" s="37"/>
      <c r="XEX4" s="37"/>
      <c r="XEY4" s="37"/>
      <c r="XEZ4" s="37"/>
      <c r="XFA4" s="37"/>
      <c r="XFB4" s="37"/>
      <c r="XFC4" s="37"/>
    </row>
    <row r="5" s="48" customFormat="true" ht="12.8" hidden="false" customHeight="true" outlineLevel="0" collapsed="false">
      <c r="A5" s="46" t="s">
        <v>79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 t="n">
        <v>6.22</v>
      </c>
      <c r="AL5" s="47" t="n">
        <v>6.39</v>
      </c>
      <c r="AM5" s="47" t="n">
        <v>7.04</v>
      </c>
      <c r="AN5" s="47" t="n">
        <v>7.81</v>
      </c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DI5" s="37"/>
      <c r="XEX5" s="37"/>
      <c r="XEY5" s="37"/>
      <c r="XEZ5" s="37"/>
      <c r="XFA5" s="37"/>
      <c r="XFB5" s="37"/>
      <c r="XFC5" s="37"/>
    </row>
    <row r="6" s="45" customFormat="true" ht="10.5" hidden="false" customHeight="true" outlineLevel="0" collapsed="false">
      <c r="A6" s="44"/>
      <c r="AL6" s="45" t="n">
        <f aca="false">+AL5/AK5-1</f>
        <v>0.027331189710611</v>
      </c>
      <c r="AM6" s="45" t="n">
        <f aca="false">+AM5/AL5-1</f>
        <v>0.101721439749609</v>
      </c>
      <c r="AN6" s="45" t="n">
        <f aca="false">+AN5/AM5-1</f>
        <v>0.109375</v>
      </c>
      <c r="DI6" s="37"/>
      <c r="XEX6" s="37"/>
      <c r="XEY6" s="37"/>
      <c r="XEZ6" s="37"/>
      <c r="XFA6" s="37"/>
      <c r="XFB6" s="37"/>
      <c r="XFC6" s="37"/>
    </row>
    <row r="7" s="43" customFormat="true" ht="12.8" hidden="false" customHeight="true" outlineLevel="0" collapsed="false">
      <c r="A7" s="41" t="s">
        <v>80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 t="n">
        <v>47.2</v>
      </c>
      <c r="AL7" s="42" t="n">
        <v>48.5</v>
      </c>
      <c r="AM7" s="42" t="n">
        <v>52</v>
      </c>
      <c r="AN7" s="42" t="n">
        <v>64.1</v>
      </c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DI7" s="37"/>
      <c r="XEX7" s="37"/>
      <c r="XEY7" s="37"/>
      <c r="XEZ7" s="37"/>
      <c r="XFA7" s="37"/>
      <c r="XFB7" s="37"/>
      <c r="XFC7" s="37"/>
    </row>
    <row r="8" s="45" customFormat="true" ht="10.5" hidden="false" customHeight="true" outlineLevel="0" collapsed="false">
      <c r="A8" s="44"/>
      <c r="AL8" s="45" t="n">
        <f aca="false">+AL7/AK7-1</f>
        <v>0.027542372881356</v>
      </c>
      <c r="AM8" s="45" t="n">
        <f aca="false">+AM7/AL7-1</f>
        <v>0.0721649484536082</v>
      </c>
      <c r="AN8" s="45" t="n">
        <f aca="false">+AN7/AM7-1</f>
        <v>0.232692307692308</v>
      </c>
      <c r="DI8" s="37"/>
      <c r="XEX8" s="37"/>
      <c r="XEY8" s="37"/>
      <c r="XEZ8" s="37"/>
      <c r="XFA8" s="37"/>
      <c r="XFB8" s="37"/>
      <c r="XFC8" s="37"/>
    </row>
    <row r="9" s="49" customFormat="true" ht="12.8" hidden="false" customHeight="true" outlineLevel="0" collapsed="false"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DI9" s="37"/>
      <c r="XEX9" s="37"/>
      <c r="XEY9" s="37"/>
      <c r="XEZ9" s="37"/>
      <c r="XFA9" s="37"/>
      <c r="XFB9" s="37"/>
      <c r="XFC9" s="37"/>
    </row>
    <row r="10" s="49" customFormat="true" ht="12.8" hidden="false" customHeight="true" outlineLevel="0" collapsed="false"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DI10" s="37"/>
      <c r="XEX10" s="37"/>
      <c r="XEY10" s="37"/>
      <c r="XEZ10" s="37"/>
      <c r="XFA10" s="37"/>
      <c r="XFB10" s="37"/>
      <c r="XFC10" s="37"/>
    </row>
    <row r="11" s="53" customFormat="true" ht="12.8" hidden="false" customHeight="true" outlineLevel="0" collapsed="false">
      <c r="A11" s="51" t="s">
        <v>81</v>
      </c>
      <c r="B11" s="51" t="n">
        <v>182.8</v>
      </c>
      <c r="C11" s="51" t="n">
        <v>192.9</v>
      </c>
      <c r="D11" s="51" t="n">
        <v>195.1</v>
      </c>
      <c r="E11" s="51" t="n">
        <v>203.6</v>
      </c>
      <c r="F11" s="51" t="n">
        <v>107.6</v>
      </c>
      <c r="G11" s="51" t="n">
        <v>109.1</v>
      </c>
      <c r="H11" s="51" t="n">
        <v>213.56</v>
      </c>
      <c r="I11" s="51" t="n">
        <v>221.84</v>
      </c>
      <c r="J11" s="51" t="n">
        <v>221.64</v>
      </c>
      <c r="K11" s="51" t="n">
        <v>220.6</v>
      </c>
      <c r="L11" s="51" t="n">
        <v>223.09</v>
      </c>
      <c r="M11" s="51" t="n">
        <v>230.7</v>
      </c>
      <c r="N11" s="51" t="n">
        <v>232.5</v>
      </c>
      <c r="O11" s="51" t="n">
        <v>238.3</v>
      </c>
      <c r="P11" s="51" t="n">
        <v>247.15</v>
      </c>
      <c r="Q11" s="51" t="n">
        <v>260.2</v>
      </c>
      <c r="R11" s="51" t="n">
        <v>269.6</v>
      </c>
      <c r="S11" s="51" t="n">
        <v>277.6</v>
      </c>
      <c r="T11" s="51" t="n">
        <v>282.7</v>
      </c>
      <c r="U11" s="51" t="n">
        <v>301</v>
      </c>
      <c r="V11" s="52" t="s">
        <v>82</v>
      </c>
      <c r="W11" s="52" t="s">
        <v>82</v>
      </c>
      <c r="X11" s="52" t="s">
        <v>82</v>
      </c>
      <c r="Y11" s="51" t="n">
        <v>325</v>
      </c>
      <c r="Z11" s="51" t="n">
        <v>0</v>
      </c>
      <c r="AA11" s="51" t="n">
        <f aca="false">Z11*1.05</f>
        <v>0</v>
      </c>
      <c r="AB11" s="51" t="n">
        <f aca="false">AA11*1.05</f>
        <v>0</v>
      </c>
      <c r="AC11" s="51" t="n">
        <f aca="false">AB11*1.05</f>
        <v>0</v>
      </c>
      <c r="AD11" s="51"/>
      <c r="AE11" s="51"/>
      <c r="AF11" s="51"/>
      <c r="AG11" s="51"/>
      <c r="AH11" s="51"/>
      <c r="AI11" s="51" t="n">
        <f aca="false">E11</f>
        <v>203.6</v>
      </c>
      <c r="AJ11" s="51" t="n">
        <f aca="false">I11</f>
        <v>221.84</v>
      </c>
      <c r="AK11" s="51" t="n">
        <f aca="false">M11</f>
        <v>230.7</v>
      </c>
      <c r="AL11" s="51" t="n">
        <f aca="false">Q11</f>
        <v>260.2</v>
      </c>
      <c r="AM11" s="51" t="n">
        <f aca="false">U11</f>
        <v>301</v>
      </c>
      <c r="AN11" s="51" t="n">
        <v>325</v>
      </c>
      <c r="AO11" s="51" t="n">
        <f aca="false">AN11*1.07</f>
        <v>347.75</v>
      </c>
      <c r="AP11" s="51" t="n">
        <f aca="false">AO11*1.07</f>
        <v>372.0925</v>
      </c>
      <c r="AQ11" s="51" t="n">
        <f aca="false">AP11*1.07</f>
        <v>398.138975</v>
      </c>
      <c r="AR11" s="51" t="n">
        <f aca="false">AQ11*1.07</f>
        <v>426.00870325</v>
      </c>
      <c r="AS11" s="51" t="n">
        <f aca="false">AR11*1.07</f>
        <v>455.8293124775</v>
      </c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DI11" s="37"/>
      <c r="XEX11" s="37"/>
      <c r="XEY11" s="37"/>
      <c r="XEZ11" s="37"/>
      <c r="XFA11" s="37"/>
      <c r="XFB11" s="37"/>
      <c r="XFC11" s="37"/>
    </row>
    <row r="12" s="54" customFormat="true" ht="10.5" hidden="false" customHeight="true" outlineLevel="0" collapsed="false">
      <c r="C12" s="45"/>
      <c r="D12" s="45"/>
      <c r="E12" s="45"/>
      <c r="F12" s="54" t="n">
        <f aca="false">+F11/B11-1</f>
        <v>-0.411378555798687</v>
      </c>
      <c r="G12" s="54" t="n">
        <f aca="false">+G11/C11-1</f>
        <v>-0.434421980300674</v>
      </c>
      <c r="H12" s="54" t="n">
        <f aca="false">+H11/D11-1</f>
        <v>0.0946181445412608</v>
      </c>
      <c r="I12" s="54" t="n">
        <f aca="false">+I11/E11-1</f>
        <v>0.0895874263261298</v>
      </c>
      <c r="J12" s="54" t="n">
        <f aca="false">+J11/F11-1</f>
        <v>1.05985130111524</v>
      </c>
      <c r="K12" s="54" t="n">
        <f aca="false">+K11/G11-1</f>
        <v>1.02199816681943</v>
      </c>
      <c r="L12" s="54" t="n">
        <f aca="false">+L11/H11-1</f>
        <v>0.0446244615096461</v>
      </c>
      <c r="M12" s="54" t="n">
        <f aca="false">+M11/I11-1</f>
        <v>0.0399386945546338</v>
      </c>
      <c r="N12" s="54" t="n">
        <f aca="false">+N11/J11-1</f>
        <v>0.0489983757444505</v>
      </c>
      <c r="O12" s="54" t="n">
        <f aca="false">+O11/K11-1</f>
        <v>0.0802357207615594</v>
      </c>
      <c r="P12" s="54" t="n">
        <f aca="false">+P11/L11-1</f>
        <v>0.107848850239814</v>
      </c>
      <c r="Q12" s="54" t="n">
        <f aca="false">+Q11/M11-1</f>
        <v>0.127871694841786</v>
      </c>
      <c r="R12" s="54" t="n">
        <f aca="false">+R11/N11-1</f>
        <v>0.159569892473118</v>
      </c>
      <c r="S12" s="54" t="n">
        <f aca="false">+S11/O11-1</f>
        <v>0.164918170373479</v>
      </c>
      <c r="T12" s="54" t="n">
        <f aca="false">+T11/P11-1</f>
        <v>0.143839773416953</v>
      </c>
      <c r="U12" s="54" t="n">
        <f aca="false">+U11/Q11-1</f>
        <v>0.156802459646426</v>
      </c>
      <c r="V12" s="55" t="s">
        <v>83</v>
      </c>
      <c r="W12" s="55" t="s">
        <v>83</v>
      </c>
      <c r="X12" s="55" t="s">
        <v>83</v>
      </c>
      <c r="Y12" s="54" t="n">
        <f aca="false">+Y11/U11-1</f>
        <v>0.0797342192691031</v>
      </c>
      <c r="Z12" s="55" t="s">
        <v>83</v>
      </c>
      <c r="AJ12" s="45" t="n">
        <f aca="false">+AJ11/AI11-1</f>
        <v>0.0895874263261298</v>
      </c>
      <c r="AK12" s="45" t="n">
        <f aca="false">+AK11/AJ11-1</f>
        <v>0.0399386945546338</v>
      </c>
      <c r="AL12" s="45" t="n">
        <f aca="false">+AL11/AK11-1</f>
        <v>0.127871694841786</v>
      </c>
      <c r="AM12" s="45" t="n">
        <f aca="false">+AM11/AL11-1</f>
        <v>0.156802459646426</v>
      </c>
      <c r="AN12" s="45" t="n">
        <f aca="false">+AN11/AM11-1</f>
        <v>0.0797342192691031</v>
      </c>
      <c r="AO12" s="45" t="n">
        <f aca="false">+AO11/AN11-1</f>
        <v>0.0700000000000001</v>
      </c>
      <c r="AP12" s="45" t="n">
        <f aca="false">+AP11/AO11-1</f>
        <v>0.0700000000000001</v>
      </c>
      <c r="AQ12" s="45" t="n">
        <f aca="false">+AQ11/AP11-1</f>
        <v>0.0700000000000001</v>
      </c>
      <c r="AR12" s="45" t="n">
        <f aca="false">+AR11/AQ11-1</f>
        <v>0.0700000000000001</v>
      </c>
      <c r="AS12" s="45" t="n">
        <f aca="false">+AS11/AR11-1</f>
        <v>0.0700000000000001</v>
      </c>
      <c r="DI12" s="37"/>
      <c r="XEX12" s="37"/>
      <c r="XEY12" s="37"/>
      <c r="XEZ12" s="37"/>
      <c r="XFA12" s="37"/>
      <c r="XFB12" s="37"/>
      <c r="XFC12" s="37"/>
    </row>
    <row r="13" s="53" customFormat="true" ht="12.8" hidden="false" customHeight="true" outlineLevel="0" collapsed="false">
      <c r="A13" s="51" t="s">
        <v>45</v>
      </c>
      <c r="B13" s="51" t="n">
        <f aca="false">+B16/B11</f>
        <v>31.5514223194748</v>
      </c>
      <c r="C13" s="51" t="n">
        <f aca="false">+C16/C11</f>
        <v>31.8724727838258</v>
      </c>
      <c r="D13" s="51" t="n">
        <f aca="false">+D16/D11</f>
        <v>32.9861609431061</v>
      </c>
      <c r="E13" s="51" t="n">
        <f aca="false">+E16/E11</f>
        <v>32.6345776031434</v>
      </c>
      <c r="F13" s="51" t="n">
        <f aca="false">+F16/F11</f>
        <v>66.5724907063197</v>
      </c>
      <c r="G13" s="51" t="n">
        <f aca="false">+G16/G11</f>
        <v>67.2940146654446</v>
      </c>
      <c r="H13" s="51" t="n">
        <f aca="false">+H16/H11</f>
        <v>35.041206218393</v>
      </c>
      <c r="I13" s="51" t="n">
        <f aca="false">+I16/I11</f>
        <v>34.7516227912009</v>
      </c>
      <c r="J13" s="51" t="n">
        <f aca="false">+J16/J11</f>
        <v>35.4976538530951</v>
      </c>
      <c r="K13" s="51" t="n">
        <f aca="false">+K16/K11</f>
        <v>36.128739800544</v>
      </c>
      <c r="L13" s="51" t="n">
        <f aca="false">+L16/L11</f>
        <v>35.5237796405038</v>
      </c>
      <c r="M13" s="51" t="n">
        <f aca="false">+M16/M11</f>
        <v>34.0355439965323</v>
      </c>
      <c r="N13" s="51" t="n">
        <f aca="false">+N16/N11</f>
        <v>35.1032258064516</v>
      </c>
      <c r="O13" s="51" t="n">
        <f aca="false">+O16/O11</f>
        <v>34.3558539655896</v>
      </c>
      <c r="P13" s="51" t="n">
        <f aca="false">+P16/P11</f>
        <v>34.5620068784139</v>
      </c>
      <c r="Q13" s="51" t="n">
        <f aca="false">+Q16/Q11</f>
        <v>33.9431206764028</v>
      </c>
      <c r="R13" s="51" t="n">
        <f aca="false">+R16/R11</f>
        <v>34.7551928783383</v>
      </c>
      <c r="S13" s="51" t="n">
        <f aca="false">+S16/S11</f>
        <v>34.4344380403458</v>
      </c>
      <c r="T13" s="51" t="n">
        <f aca="false">+T16/T11</f>
        <v>34.7506190307747</v>
      </c>
      <c r="U13" s="51" t="n">
        <f aca="false">+U16/U11</f>
        <v>34.0431893687708</v>
      </c>
      <c r="V13" s="52" t="n">
        <v>0</v>
      </c>
      <c r="W13" s="52" t="n">
        <v>0</v>
      </c>
      <c r="X13" s="52" t="n">
        <v>0</v>
      </c>
      <c r="Y13" s="51" t="n">
        <f aca="false">+Y16/Y11</f>
        <v>37.0790769230769</v>
      </c>
      <c r="Z13" s="51"/>
      <c r="AA13" s="51"/>
      <c r="AB13" s="51"/>
      <c r="AC13" s="51"/>
      <c r="AD13" s="51"/>
      <c r="AE13" s="51"/>
      <c r="AF13" s="51"/>
      <c r="AG13" s="51"/>
      <c r="AH13" s="51"/>
      <c r="AI13" s="51" t="n">
        <f aca="false">+AI16/AI11</f>
        <v>122.770412573674</v>
      </c>
      <c r="AJ13" s="51" t="n">
        <f aca="false">+AJ16/AJ11</f>
        <v>133.870555355211</v>
      </c>
      <c r="AK13" s="51" t="n">
        <f aca="false">+AK16/AK11</f>
        <v>137.041829215431</v>
      </c>
      <c r="AL13" s="51" t="n">
        <f aca="false">+AL16/AL11</f>
        <v>129.605292083013</v>
      </c>
      <c r="AM13" s="51" t="n">
        <f aca="false">+AM16/AM11</f>
        <v>129.571415282392</v>
      </c>
      <c r="AN13" s="51" t="n">
        <f aca="false">+AN16/AN11</f>
        <v>139.023692307692</v>
      </c>
      <c r="AO13" s="51" t="n">
        <f aca="false">+AO16/AO11</f>
        <v>147.728914162473</v>
      </c>
      <c r="AP13" s="51" t="n">
        <f aca="false">+AP16/AP11</f>
        <v>156.979229348348</v>
      </c>
      <c r="AQ13" s="51" t="n">
        <f aca="false">+AQ16/AQ11</f>
        <v>165.781802956666</v>
      </c>
      <c r="AR13" s="51" t="n">
        <f aca="false">+AR16/AR11</f>
        <v>175.077978823395</v>
      </c>
      <c r="AS13" s="51" t="n">
        <f aca="false">+AS16/AS11</f>
        <v>183.259192787105</v>
      </c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DI13" s="37"/>
      <c r="XEX13" s="37"/>
      <c r="XEY13" s="37"/>
      <c r="XEZ13" s="37"/>
      <c r="XFA13" s="37"/>
      <c r="XFB13" s="37"/>
      <c r="XFC13" s="37"/>
    </row>
    <row r="14" s="54" customFormat="true" ht="10.5" hidden="false" customHeight="true" outlineLevel="0" collapsed="false">
      <c r="C14" s="45"/>
      <c r="D14" s="45"/>
      <c r="E14" s="45"/>
      <c r="F14" s="54" t="n">
        <f aca="false">+F13/B13-1</f>
        <v>1.10996797647466</v>
      </c>
      <c r="G14" s="54" t="n">
        <f aca="false">+G13/C13-1</f>
        <v>1.11135217282526</v>
      </c>
      <c r="H14" s="54" t="n">
        <f aca="false">+H13/D13-1</f>
        <v>0.0623002258077685</v>
      </c>
      <c r="I14" s="54" t="n">
        <f aca="false">+I13/E13-1</f>
        <v>0.0648712299513137</v>
      </c>
      <c r="J14" s="54" t="n">
        <f aca="false">+J13/F13-1</f>
        <v>-0.466781947370863</v>
      </c>
      <c r="K14" s="54" t="n">
        <f aca="false">+K13/G13-1</f>
        <v>-0.463121051996084</v>
      </c>
      <c r="L14" s="54" t="n">
        <f aca="false">+L13/H13-1</f>
        <v>0.0137715984747551</v>
      </c>
      <c r="M14" s="54" t="n">
        <f aca="false">+M13/I13-1</f>
        <v>-0.0206056217567462</v>
      </c>
      <c r="N14" s="54" t="n">
        <f aca="false">+N13/J13-1</f>
        <v>-0.0111113835375098</v>
      </c>
      <c r="O14" s="54" t="n">
        <f aca="false">+O13/K13-1</f>
        <v>-0.0490713444405193</v>
      </c>
      <c r="P14" s="54" t="n">
        <f aca="false">+P13/L13-1</f>
        <v>-0.0270740549520045</v>
      </c>
      <c r="Q14" s="54" t="n">
        <f aca="false">+Q13/M13-1</f>
        <v>-0.00271549413574568</v>
      </c>
      <c r="R14" s="54" t="n">
        <f aca="false">+R13/N13-1</f>
        <v>-0.00991455685674714</v>
      </c>
      <c r="S14" s="54" t="n">
        <f aca="false">+S13/O13-1</f>
        <v>0.00228735617618203</v>
      </c>
      <c r="T14" s="54" t="n">
        <f aca="false">+T13/P13-1</f>
        <v>0.00545721065979543</v>
      </c>
      <c r="U14" s="54" t="n">
        <f aca="false">+U13/Q13-1</f>
        <v>0.00294812882180184</v>
      </c>
      <c r="V14" s="55" t="s">
        <v>83</v>
      </c>
      <c r="W14" s="55" t="s">
        <v>83</v>
      </c>
      <c r="X14" s="55" t="s">
        <v>83</v>
      </c>
      <c r="Y14" s="54" t="n">
        <f aca="false">+Y13/U13-1</f>
        <v>0.0891775303841256</v>
      </c>
      <c r="Z14" s="55" t="s">
        <v>83</v>
      </c>
      <c r="AJ14" s="45" t="n">
        <f aca="false">+AJ13/AI13-1</f>
        <v>0.0904138264981056</v>
      </c>
      <c r="AK14" s="45" t="n">
        <f aca="false">+AK13/AJ13-1</f>
        <v>0.0236891066284544</v>
      </c>
      <c r="AL14" s="45" t="n">
        <f aca="false">+AL13/AK13-1</f>
        <v>-0.0542647246829118</v>
      </c>
      <c r="AM14" s="45" t="n">
        <f aca="false">+AM13/AL13-1</f>
        <v>-0.000261384393156705</v>
      </c>
      <c r="AN14" s="45" t="n">
        <f aca="false">+AN13/AM13-1</f>
        <v>0.07295032631001</v>
      </c>
      <c r="AO14" s="45" t="n">
        <f aca="false">+AO13/AN13-1</f>
        <v>0.0626168224299066</v>
      </c>
      <c r="AP14" s="45" t="n">
        <f aca="false">+AP13/AO13-1</f>
        <v>0.0626168224299064</v>
      </c>
      <c r="AQ14" s="45" t="n">
        <f aca="false">+AQ13/AP13-1</f>
        <v>0.0560747663551402</v>
      </c>
      <c r="AR14" s="45" t="n">
        <f aca="false">+AR13/AQ13-1</f>
        <v>0.0560747663551406</v>
      </c>
      <c r="AS14" s="45" t="n">
        <f aca="false">+AS13/AR13-1</f>
        <v>0.0467289719626169</v>
      </c>
      <c r="DI14" s="37"/>
      <c r="XEX14" s="37"/>
      <c r="XEY14" s="37"/>
      <c r="XEZ14" s="37"/>
      <c r="XFA14" s="37"/>
      <c r="XFB14" s="37"/>
      <c r="XFC14" s="37"/>
    </row>
    <row r="15" s="57" customFormat="true" ht="12.8" hidden="false" customHeight="true" outlineLevel="0" collapsed="false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DI15" s="37"/>
      <c r="XEX15" s="37"/>
      <c r="XEY15" s="37"/>
      <c r="XEZ15" s="37"/>
      <c r="XFA15" s="37"/>
      <c r="XFB15" s="37"/>
      <c r="XFC15" s="37"/>
    </row>
    <row r="16" s="57" customFormat="true" ht="12.8" hidden="false" customHeight="true" outlineLevel="0" collapsed="false">
      <c r="A16" s="56" t="s">
        <v>84</v>
      </c>
      <c r="B16" s="56" t="n">
        <v>5767.6</v>
      </c>
      <c r="C16" s="56" t="n">
        <v>6148.2</v>
      </c>
      <c r="D16" s="56" t="n">
        <v>6435.6</v>
      </c>
      <c r="E16" s="56" t="n">
        <v>6644.4</v>
      </c>
      <c r="F16" s="56" t="n">
        <v>7163.2</v>
      </c>
      <c r="G16" s="56" t="n">
        <v>7341.777</v>
      </c>
      <c r="H16" s="56" t="n">
        <v>7483.4</v>
      </c>
      <c r="I16" s="56" t="n">
        <v>7709.3</v>
      </c>
      <c r="J16" s="56" t="n">
        <v>7867.7</v>
      </c>
      <c r="K16" s="56" t="n">
        <v>7970</v>
      </c>
      <c r="L16" s="56" t="n">
        <v>7925</v>
      </c>
      <c r="M16" s="56" t="n">
        <v>7852</v>
      </c>
      <c r="N16" s="56" t="n">
        <v>8161.5</v>
      </c>
      <c r="O16" s="56" t="n">
        <v>8187</v>
      </c>
      <c r="P16" s="56" t="n">
        <v>8542</v>
      </c>
      <c r="Q16" s="56" t="n">
        <v>8832</v>
      </c>
      <c r="R16" s="56" t="n">
        <v>9370</v>
      </c>
      <c r="S16" s="56" t="n">
        <v>9559</v>
      </c>
      <c r="T16" s="56" t="n">
        <v>9824</v>
      </c>
      <c r="U16" s="56" t="n">
        <v>10247</v>
      </c>
      <c r="V16" s="56" t="n">
        <v>10543</v>
      </c>
      <c r="W16" s="56" t="n">
        <v>11079</v>
      </c>
      <c r="X16" s="56" t="n">
        <v>11510</v>
      </c>
      <c r="Y16" s="56" t="n">
        <v>12050.7</v>
      </c>
      <c r="Z16" s="56" t="n">
        <v>12249.757</v>
      </c>
      <c r="AA16" s="56" t="n">
        <v>12559.938</v>
      </c>
      <c r="AB16" s="56" t="n">
        <f aca="false">X16*1.155</f>
        <v>13294.05</v>
      </c>
      <c r="AC16" s="56" t="n">
        <f aca="false">Y16*1.155</f>
        <v>13918.5585</v>
      </c>
      <c r="AD16" s="56"/>
      <c r="AE16" s="56"/>
      <c r="AF16" s="56"/>
      <c r="AG16" s="56"/>
      <c r="AH16" s="56"/>
      <c r="AI16" s="58" t="n">
        <v>24996.056</v>
      </c>
      <c r="AJ16" s="58" t="n">
        <v>29697.844</v>
      </c>
      <c r="AK16" s="58" t="n">
        <v>31615.55</v>
      </c>
      <c r="AL16" s="58" t="n">
        <v>33723.297</v>
      </c>
      <c r="AM16" s="58" t="n">
        <v>39000.996</v>
      </c>
      <c r="AN16" s="58" t="n">
        <f aca="false">SUM(V16:Y16)</f>
        <v>45182.7</v>
      </c>
      <c r="AO16" s="56" t="n">
        <f aca="false">AN16*1.137</f>
        <v>51372.7299</v>
      </c>
      <c r="AP16" s="56" t="n">
        <f aca="false">AO16*1.137</f>
        <v>58410.7938963</v>
      </c>
      <c r="AQ16" s="56" t="n">
        <f aca="false">AP16*1.13</f>
        <v>66004.197102819</v>
      </c>
      <c r="AR16" s="56" t="n">
        <f aca="false">AQ16*1.13</f>
        <v>74584.7427261855</v>
      </c>
      <c r="AS16" s="56" t="n">
        <f aca="false">AR16*1.12</f>
        <v>83534.9118533278</v>
      </c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DI16" s="37"/>
      <c r="XEX16" s="37"/>
      <c r="XEY16" s="37"/>
      <c r="XEZ16" s="37"/>
      <c r="XFA16" s="37"/>
      <c r="XFB16" s="37"/>
      <c r="XFC16" s="37"/>
    </row>
    <row r="17" s="54" customFormat="true" ht="10.5" hidden="false" customHeight="true" outlineLevel="0" collapsed="false">
      <c r="F17" s="54" t="n">
        <f aca="false">+F16/B16-1</f>
        <v>0.241972397531035</v>
      </c>
      <c r="G17" s="54" t="n">
        <f aca="false">+G16/C16-1</f>
        <v>0.194134380794379</v>
      </c>
      <c r="H17" s="54" t="n">
        <f aca="false">+H16/D16-1</f>
        <v>0.16281310211946</v>
      </c>
      <c r="I17" s="54" t="n">
        <f aca="false">+I16/E16-1</f>
        <v>0.16027030281139</v>
      </c>
      <c r="J17" s="54" t="n">
        <f aca="false">+J16/F16-1</f>
        <v>0.0983498994862631</v>
      </c>
      <c r="K17" s="54" t="n">
        <f aca="false">+K16/G16-1</f>
        <v>0.0855682486678633</v>
      </c>
      <c r="L17" s="54" t="n">
        <f aca="false">+L16/H16-1</f>
        <v>0.0590106101504664</v>
      </c>
      <c r="M17" s="54" t="n">
        <f aca="false">+M16/I16-1</f>
        <v>0.0185101111644377</v>
      </c>
      <c r="N17" s="54" t="n">
        <f aca="false">+N16/J16-1</f>
        <v>0.0373425524613293</v>
      </c>
      <c r="O17" s="54" t="n">
        <f aca="false">+O16/K16-1</f>
        <v>0.0272271016311167</v>
      </c>
      <c r="P17" s="54" t="n">
        <f aca="false">+P16/L16-1</f>
        <v>0.0778548895899054</v>
      </c>
      <c r="Q17" s="54" t="n">
        <f aca="false">+Q16/M16-1</f>
        <v>0.124808965868568</v>
      </c>
      <c r="R17" s="54" t="n">
        <f aca="false">+R16/N16-1</f>
        <v>0.14807327084482</v>
      </c>
      <c r="S17" s="54" t="n">
        <f aca="false">+S16/O16-1</f>
        <v>0.16758275314523</v>
      </c>
      <c r="T17" s="54" t="n">
        <f aca="false">+T16/P16-1</f>
        <v>0.150081948021541</v>
      </c>
      <c r="U17" s="54" t="n">
        <f aca="false">+U16/Q16-1</f>
        <v>0.160212862318841</v>
      </c>
      <c r="V17" s="54" t="n">
        <f aca="false">+V16/R16-1</f>
        <v>0.125186766275347</v>
      </c>
      <c r="W17" s="54" t="n">
        <f aca="false">+W16/S16-1</f>
        <v>0.159012449000941</v>
      </c>
      <c r="X17" s="54" t="n">
        <f aca="false">+X16/T16-1</f>
        <v>0.171620521172638</v>
      </c>
      <c r="Y17" s="54" t="n">
        <f aca="false">+Y16/U16-1</f>
        <v>0.176022250414756</v>
      </c>
      <c r="Z17" s="54" t="n">
        <f aca="false">+Z16/V16-1</f>
        <v>0.16188532675709</v>
      </c>
      <c r="AA17" s="54" t="n">
        <f aca="false">+AA16/W16-1</f>
        <v>0.133670728405091</v>
      </c>
      <c r="AB17" s="54" t="n">
        <f aca="false">+AB16/X16-1</f>
        <v>0.155</v>
      </c>
      <c r="AC17" s="54" t="n">
        <f aca="false">+AC16/Y16-1</f>
        <v>0.155</v>
      </c>
      <c r="AI17" s="45"/>
      <c r="AJ17" s="45" t="n">
        <f aca="false">+AJ16/AI16-1</f>
        <v>0.188101194844499</v>
      </c>
      <c r="AK17" s="45" t="n">
        <f aca="false">+AK16/AJ16-1</f>
        <v>0.0645739131769969</v>
      </c>
      <c r="AL17" s="45" t="n">
        <f aca="false">+AL16/AK16-1</f>
        <v>0.0666680478435453</v>
      </c>
      <c r="AM17" s="45" t="n">
        <f aca="false">+AM16/AL16-1</f>
        <v>0.156500089537509</v>
      </c>
      <c r="AN17" s="45" t="n">
        <f aca="false">+AN16/AM16-1</f>
        <v>0.158501182892868</v>
      </c>
      <c r="AO17" s="45" t="n">
        <f aca="false">+AO16/AN16-1</f>
        <v>0.137</v>
      </c>
      <c r="AP17" s="45" t="n">
        <f aca="false">+AP16/AO16-1</f>
        <v>0.137</v>
      </c>
      <c r="AQ17" s="45" t="n">
        <f aca="false">+AQ16/AP16-1</f>
        <v>0.13</v>
      </c>
      <c r="AR17" s="45" t="n">
        <f aca="false">+AR16/AQ16-1</f>
        <v>0.13</v>
      </c>
      <c r="AS17" s="45" t="n">
        <f aca="false">+AS16/AR16-1</f>
        <v>0.12</v>
      </c>
      <c r="DI17" s="37"/>
      <c r="XEX17" s="37"/>
      <c r="XEY17" s="37"/>
      <c r="XEZ17" s="37"/>
      <c r="XFA17" s="37"/>
      <c r="XFB17" s="37"/>
      <c r="XFC17" s="37"/>
    </row>
    <row r="18" s="57" customFormat="true" ht="12.8" hidden="false" customHeight="true" outlineLevel="0" collapsed="false">
      <c r="A18" s="59" t="s">
        <v>85</v>
      </c>
      <c r="B18" s="59" t="n">
        <v>3599.7</v>
      </c>
      <c r="C18" s="59" t="n">
        <v>3643.7</v>
      </c>
      <c r="D18" s="59" t="n">
        <v>3867.7</v>
      </c>
      <c r="E18" s="59" t="n">
        <v>4165.1</v>
      </c>
      <c r="F18" s="59" t="n">
        <v>3868.5</v>
      </c>
      <c r="G18" s="59" t="n">
        <v>4018</v>
      </c>
      <c r="H18" s="59" t="n">
        <v>4206.5</v>
      </c>
      <c r="I18" s="59" t="n">
        <v>5239.5</v>
      </c>
      <c r="J18" s="59" t="n">
        <v>4284.7</v>
      </c>
      <c r="K18" s="59" t="n">
        <v>4690.7</v>
      </c>
      <c r="L18" s="59" t="n">
        <v>4788</v>
      </c>
      <c r="M18" s="59" t="n">
        <v>5404</v>
      </c>
      <c r="N18" s="59" t="n">
        <v>4803</v>
      </c>
      <c r="O18" s="59" t="n">
        <v>4673</v>
      </c>
      <c r="P18" s="59" t="n">
        <v>4930</v>
      </c>
      <c r="Q18" s="59" t="n">
        <v>5307</v>
      </c>
      <c r="R18" s="59" t="n">
        <v>4977</v>
      </c>
      <c r="S18" s="59" t="n">
        <v>5174</v>
      </c>
      <c r="T18" s="59" t="n">
        <v>5119</v>
      </c>
      <c r="U18" s="59" t="n">
        <v>5767</v>
      </c>
      <c r="V18" s="59" t="n">
        <v>5263</v>
      </c>
      <c r="W18" s="59" t="n">
        <v>5325</v>
      </c>
      <c r="X18" s="59" t="n">
        <v>6164</v>
      </c>
      <c r="Y18" s="59" t="n">
        <v>6522.621</v>
      </c>
      <c r="Z18" s="59" t="n">
        <v>5888.238</v>
      </c>
      <c r="AA18" s="59" t="n">
        <v>6036.965</v>
      </c>
      <c r="AB18" s="59" t="n">
        <f aca="false">AB16-AB20</f>
        <v>6514.0845</v>
      </c>
      <c r="AC18" s="59" t="n">
        <f aca="false">AC16-AC20</f>
        <v>6820.093665</v>
      </c>
      <c r="AD18" s="59"/>
      <c r="AE18" s="59"/>
      <c r="AF18" s="59"/>
      <c r="AG18" s="59"/>
      <c r="AH18" s="59"/>
      <c r="AI18" s="60" t="n">
        <v>15276.319</v>
      </c>
      <c r="AJ18" s="60" t="n">
        <v>17332.683</v>
      </c>
      <c r="AK18" s="60" t="n">
        <v>19168.285</v>
      </c>
      <c r="AL18" s="60" t="n">
        <v>19715.368</v>
      </c>
      <c r="AM18" s="60" t="n">
        <v>21038.464</v>
      </c>
      <c r="AN18" s="60" t="n">
        <v>23275.329</v>
      </c>
      <c r="AO18" s="59" t="n">
        <f aca="false">AO16-AO20</f>
        <v>25686.36495</v>
      </c>
      <c r="AP18" s="59" t="n">
        <f aca="false">AP16-AP20</f>
        <v>28329.2350397055</v>
      </c>
      <c r="AQ18" s="59" t="n">
        <f aca="false">AQ16-AQ20</f>
        <v>31682.0146093531</v>
      </c>
      <c r="AR18" s="59" t="n">
        <f aca="false">AR16-AR20</f>
        <v>35427.7527949381</v>
      </c>
      <c r="AS18" s="59" t="n">
        <f aca="false">AS16-AS20</f>
        <v>39261.4085710641</v>
      </c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DI18" s="37"/>
      <c r="XEX18" s="37"/>
      <c r="XEY18" s="37"/>
      <c r="XEZ18" s="37"/>
      <c r="XFA18" s="37"/>
      <c r="XFB18" s="37"/>
      <c r="XFC18" s="37"/>
    </row>
    <row r="19" s="54" customFormat="true" ht="10.5" hidden="false" customHeight="true" outlineLevel="0" collapsed="false">
      <c r="B19" s="54" t="n">
        <f aca="false">+B18/B$16</f>
        <v>0.624124419169152</v>
      </c>
      <c r="C19" s="54" t="n">
        <f aca="false">+C18/C$16</f>
        <v>0.592645001789142</v>
      </c>
      <c r="D19" s="54" t="n">
        <f aca="false">+D18/D$16</f>
        <v>0.600985145130213</v>
      </c>
      <c r="E19" s="54" t="n">
        <f aca="false">+E18/E$16</f>
        <v>0.626858708085004</v>
      </c>
      <c r="F19" s="54" t="n">
        <f aca="false">+F18/F$16</f>
        <v>0.540051932097387</v>
      </c>
      <c r="G19" s="54" t="n">
        <f aca="false">+G18/G$16</f>
        <v>0.547278948952004</v>
      </c>
      <c r="H19" s="54" t="n">
        <f aca="false">+H18/H$16</f>
        <v>0.562110805248951</v>
      </c>
      <c r="I19" s="54" t="n">
        <f aca="false">+I18/I$16</f>
        <v>0.6796336891806</v>
      </c>
      <c r="J19" s="54" t="n">
        <f aca="false">+J18/J$16</f>
        <v>0.544593718621707</v>
      </c>
      <c r="K19" s="54" t="n">
        <f aca="false">+K18/K$16</f>
        <v>0.588544542032622</v>
      </c>
      <c r="L19" s="54" t="n">
        <f aca="false">+L18/L$16</f>
        <v>0.60416403785489</v>
      </c>
      <c r="M19" s="54" t="n">
        <f aca="false">+M18/M$16</f>
        <v>0.688232297503821</v>
      </c>
      <c r="N19" s="54" t="n">
        <f aca="false">+N18/N$16</f>
        <v>0.588494761992281</v>
      </c>
      <c r="O19" s="54" t="n">
        <f aca="false">+O18/O$16</f>
        <v>0.570782948577012</v>
      </c>
      <c r="P19" s="54" t="n">
        <f aca="false">+P18/P$16</f>
        <v>0.577148208850386</v>
      </c>
      <c r="Q19" s="54" t="n">
        <f aca="false">+Q18/Q$16</f>
        <v>0.600883152173913</v>
      </c>
      <c r="R19" s="54" t="n">
        <f aca="false">+R18/R$16</f>
        <v>0.531163287086446</v>
      </c>
      <c r="S19" s="54" t="n">
        <f aca="false">+S18/S$16</f>
        <v>0.541270007322942</v>
      </c>
      <c r="T19" s="54" t="n">
        <f aca="false">+T18/T$16</f>
        <v>0.521070846905538</v>
      </c>
      <c r="U19" s="54" t="n">
        <f aca="false">+U18/U$16</f>
        <v>0.562798867961355</v>
      </c>
      <c r="V19" s="54" t="n">
        <f aca="false">+V18/V$16</f>
        <v>0.499193777862089</v>
      </c>
      <c r="W19" s="54" t="n">
        <f aca="false">+W18/W$16</f>
        <v>0.480639046845383</v>
      </c>
      <c r="X19" s="54" t="n">
        <f aca="false">+X18/X$16</f>
        <v>0.535534317984362</v>
      </c>
      <c r="Y19" s="54" t="n">
        <f aca="false">+Y18/Y$16</f>
        <v>0.541264905773109</v>
      </c>
      <c r="Z19" s="54" t="n">
        <f aca="false">+Z18/Z$16</f>
        <v>0.48068202495772</v>
      </c>
      <c r="AA19" s="54" t="n">
        <f aca="false">+AA18/AA$16</f>
        <v>0.48065245226529</v>
      </c>
      <c r="AB19" s="54" t="n">
        <f aca="false">+AB18/AB$16</f>
        <v>0.49</v>
      </c>
      <c r="AC19" s="54" t="n">
        <f aca="false">+AC18/AC$16</f>
        <v>0.49</v>
      </c>
      <c r="AI19" s="54" t="n">
        <f aca="false">+AI18/AI$16</f>
        <v>0.611149174893831</v>
      </c>
      <c r="AJ19" s="54" t="n">
        <f aca="false">+AJ18/AJ$16</f>
        <v>0.583634387735352</v>
      </c>
      <c r="AK19" s="54" t="n">
        <f aca="false">+AK18/AK$16</f>
        <v>0.606292947615967</v>
      </c>
      <c r="AL19" s="54" t="n">
        <f aca="false">+AL18/AL$16</f>
        <v>0.584621604465305</v>
      </c>
      <c r="AM19" s="54" t="n">
        <f aca="false">+AM18/AM$16</f>
        <v>0.53943401855686</v>
      </c>
      <c r="AN19" s="54" t="n">
        <f aca="false">+AN18/AN$16</f>
        <v>0.515138072757936</v>
      </c>
      <c r="AO19" s="54" t="n">
        <f aca="false">+AO18/AO$16</f>
        <v>0.5</v>
      </c>
      <c r="AP19" s="54" t="n">
        <f aca="false">+AP18/AP$16</f>
        <v>0.485</v>
      </c>
      <c r="AQ19" s="54" t="n">
        <f aca="false">+AQ18/AQ$16</f>
        <v>0.48</v>
      </c>
      <c r="AR19" s="54" t="n">
        <f aca="false">+AR18/AR$16</f>
        <v>0.475</v>
      </c>
      <c r="AS19" s="54" t="n">
        <f aca="false">+AS18/AS$16</f>
        <v>0.47</v>
      </c>
      <c r="DI19" s="37"/>
      <c r="XEX19" s="37"/>
      <c r="XEY19" s="37"/>
      <c r="XEZ19" s="37"/>
      <c r="XFA19" s="37"/>
      <c r="XFB19" s="37"/>
      <c r="XFC19" s="37"/>
    </row>
    <row r="20" s="57" customFormat="true" ht="12.8" hidden="false" customHeight="true" outlineLevel="0" collapsed="false">
      <c r="A20" s="51" t="s">
        <v>86</v>
      </c>
      <c r="B20" s="51" t="n">
        <f aca="false">B16-B18</f>
        <v>2167.9</v>
      </c>
      <c r="C20" s="51" t="n">
        <f aca="false">C16-C18</f>
        <v>2504.5</v>
      </c>
      <c r="D20" s="51" t="n">
        <f aca="false">D16-D18</f>
        <v>2567.9</v>
      </c>
      <c r="E20" s="51" t="n">
        <f aca="false">E16-E18</f>
        <v>2479.3</v>
      </c>
      <c r="F20" s="51" t="n">
        <f aca="false">F16-F18</f>
        <v>3294.7</v>
      </c>
      <c r="G20" s="51" t="n">
        <f aca="false">G16-G18</f>
        <v>3323.777</v>
      </c>
      <c r="H20" s="51" t="n">
        <f aca="false">H16-H18</f>
        <v>3276.9</v>
      </c>
      <c r="I20" s="51" t="n">
        <f aca="false">I16-I18</f>
        <v>2469.8</v>
      </c>
      <c r="J20" s="51" t="n">
        <f aca="false">J16-J18</f>
        <v>3583</v>
      </c>
      <c r="K20" s="51" t="n">
        <f aca="false">K16-K18</f>
        <v>3279.3</v>
      </c>
      <c r="L20" s="51" t="n">
        <f aca="false">L16-L18</f>
        <v>3137</v>
      </c>
      <c r="M20" s="51" t="n">
        <f aca="false">M16-M18</f>
        <v>2448</v>
      </c>
      <c r="N20" s="51" t="n">
        <f aca="false">N16-N18</f>
        <v>3358.5</v>
      </c>
      <c r="O20" s="51" t="n">
        <f aca="false">O16-O18</f>
        <v>3514</v>
      </c>
      <c r="P20" s="51" t="n">
        <f aca="false">P16-P18</f>
        <v>3612</v>
      </c>
      <c r="Q20" s="51" t="n">
        <f aca="false">Q16-Q18</f>
        <v>3525</v>
      </c>
      <c r="R20" s="51" t="n">
        <f aca="false">R16-R18</f>
        <v>4393</v>
      </c>
      <c r="S20" s="51" t="n">
        <f aca="false">S16-S18</f>
        <v>4385</v>
      </c>
      <c r="T20" s="51" t="n">
        <f aca="false">T16-T18</f>
        <v>4705</v>
      </c>
      <c r="U20" s="51" t="n">
        <f aca="false">U16-U18</f>
        <v>4480</v>
      </c>
      <c r="V20" s="51" t="n">
        <f aca="false">V16-V18</f>
        <v>5280</v>
      </c>
      <c r="W20" s="51" t="n">
        <f aca="false">W16-W18</f>
        <v>5754</v>
      </c>
      <c r="X20" s="51" t="n">
        <f aca="false">X16-X18</f>
        <v>5346</v>
      </c>
      <c r="Y20" s="51" t="n">
        <f aca="false">Y16-Y18</f>
        <v>5528.079</v>
      </c>
      <c r="Z20" s="51" t="n">
        <f aca="false">Z16-Z18</f>
        <v>6361.519</v>
      </c>
      <c r="AA20" s="51" t="n">
        <f aca="false">AA16-AA18</f>
        <v>6522.973</v>
      </c>
      <c r="AB20" s="51" t="n">
        <f aca="false">AB16*0.51</f>
        <v>6779.9655</v>
      </c>
      <c r="AC20" s="51" t="n">
        <f aca="false">AC16*0.51</f>
        <v>7098.464835</v>
      </c>
      <c r="AD20" s="51"/>
      <c r="AE20" s="51"/>
      <c r="AF20" s="51"/>
      <c r="AG20" s="51"/>
      <c r="AH20" s="51"/>
      <c r="AI20" s="61" t="n">
        <f aca="false">AI16-AI18</f>
        <v>9719.737</v>
      </c>
      <c r="AJ20" s="61" t="n">
        <f aca="false">AJ16-AJ18</f>
        <v>12365.161</v>
      </c>
      <c r="AK20" s="61" t="n">
        <f aca="false">AK16-AK18</f>
        <v>12447.265</v>
      </c>
      <c r="AL20" s="61" t="n">
        <f aca="false">AL16-AL18</f>
        <v>14007.929</v>
      </c>
      <c r="AM20" s="61" t="n">
        <f aca="false">AM16-AM18</f>
        <v>17962.532</v>
      </c>
      <c r="AN20" s="61" t="n">
        <f aca="false">AN16-AN18</f>
        <v>21907.371</v>
      </c>
      <c r="AO20" s="51" t="n">
        <f aca="false">AO16*0.5</f>
        <v>25686.36495</v>
      </c>
      <c r="AP20" s="51" t="n">
        <f aca="false">AP16*0.515</f>
        <v>30081.5588565945</v>
      </c>
      <c r="AQ20" s="51" t="n">
        <f aca="false">AQ16*0.52</f>
        <v>34322.1824934659</v>
      </c>
      <c r="AR20" s="51" t="n">
        <f aca="false">AR16*0.525</f>
        <v>39156.9899312474</v>
      </c>
      <c r="AS20" s="51" t="n">
        <f aca="false">AS16*0.53</f>
        <v>44273.5032822637</v>
      </c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37"/>
      <c r="XEX20" s="37"/>
      <c r="XEY20" s="37"/>
      <c r="XEZ20" s="37"/>
      <c r="XFA20" s="37"/>
      <c r="XFB20" s="37"/>
      <c r="XFC20" s="37"/>
    </row>
    <row r="21" s="54" customFormat="true" ht="10.5" hidden="false" customHeight="true" outlineLevel="0" collapsed="false">
      <c r="B21" s="54" t="n">
        <f aca="false">+B20/B$16</f>
        <v>0.375875580830848</v>
      </c>
      <c r="C21" s="54" t="n">
        <f aca="false">+C20/C$16</f>
        <v>0.407354998210858</v>
      </c>
      <c r="D21" s="54" t="n">
        <f aca="false">+D20/D$16</f>
        <v>0.399014854869787</v>
      </c>
      <c r="E21" s="54" t="n">
        <f aca="false">+E20/E$16</f>
        <v>0.373141291914996</v>
      </c>
      <c r="F21" s="54" t="n">
        <f aca="false">+F20/F$16</f>
        <v>0.459948067902613</v>
      </c>
      <c r="G21" s="54" t="n">
        <f aca="false">+G20/G$16</f>
        <v>0.452721051047996</v>
      </c>
      <c r="H21" s="54" t="n">
        <f aca="false">+H20/H$16</f>
        <v>0.437889194751049</v>
      </c>
      <c r="I21" s="54" t="n">
        <f aca="false">+I20/I$16</f>
        <v>0.3203663108194</v>
      </c>
      <c r="J21" s="54" t="n">
        <f aca="false">+J20/J$16</f>
        <v>0.455406281378294</v>
      </c>
      <c r="K21" s="54" t="n">
        <f aca="false">+K20/K$16</f>
        <v>0.411455457967378</v>
      </c>
      <c r="L21" s="54" t="n">
        <f aca="false">+L20/L$16</f>
        <v>0.39583596214511</v>
      </c>
      <c r="M21" s="54" t="n">
        <f aca="false">+M20/M$16</f>
        <v>0.311767702496179</v>
      </c>
      <c r="N21" s="54" t="n">
        <f aca="false">+N20/N$16</f>
        <v>0.411505238007719</v>
      </c>
      <c r="O21" s="54" t="n">
        <f aca="false">+O20/O$16</f>
        <v>0.429217051422988</v>
      </c>
      <c r="P21" s="54" t="n">
        <f aca="false">+P20/P$16</f>
        <v>0.422851791149614</v>
      </c>
      <c r="Q21" s="54" t="n">
        <f aca="false">+Q20/Q$16</f>
        <v>0.399116847826087</v>
      </c>
      <c r="R21" s="54" t="n">
        <f aca="false">+R20/R$16</f>
        <v>0.468836712913554</v>
      </c>
      <c r="S21" s="54" t="n">
        <f aca="false">+S20/S$16</f>
        <v>0.458729992677058</v>
      </c>
      <c r="T21" s="54" t="n">
        <f aca="false">+T20/T$16</f>
        <v>0.478929153094463</v>
      </c>
      <c r="U21" s="54" t="n">
        <f aca="false">+U20/U$16</f>
        <v>0.437201132038645</v>
      </c>
      <c r="V21" s="54" t="n">
        <f aca="false">+V20/V$16</f>
        <v>0.500806222137911</v>
      </c>
      <c r="W21" s="54" t="n">
        <f aca="false">+W20/W$16</f>
        <v>0.519360953154617</v>
      </c>
      <c r="X21" s="54" t="n">
        <f aca="false">+X20/X$16</f>
        <v>0.464465682015639</v>
      </c>
      <c r="Y21" s="54" t="n">
        <f aca="false">+Y20/Y$16</f>
        <v>0.458735094226891</v>
      </c>
      <c r="Z21" s="54" t="n">
        <f aca="false">+Z20/Z$16</f>
        <v>0.519317975042281</v>
      </c>
      <c r="AA21" s="54" t="n">
        <f aca="false">+AA20/AA$16</f>
        <v>0.51934754773471</v>
      </c>
      <c r="AB21" s="54" t="n">
        <f aca="false">+AB20/AB$16</f>
        <v>0.51</v>
      </c>
      <c r="AC21" s="54" t="n">
        <f aca="false">+AC20/AC$16</f>
        <v>0.51</v>
      </c>
      <c r="AI21" s="54" t="n">
        <f aca="false">+AI20/AI$16</f>
        <v>0.388850825106169</v>
      </c>
      <c r="AJ21" s="54" t="n">
        <f aca="false">+AJ20/AJ$16</f>
        <v>0.416365612264648</v>
      </c>
      <c r="AK21" s="54" t="n">
        <f aca="false">+AK20/AK$16</f>
        <v>0.393707052384033</v>
      </c>
      <c r="AL21" s="54" t="n">
        <f aca="false">+AL20/AL$16</f>
        <v>0.415378395534695</v>
      </c>
      <c r="AM21" s="54" t="n">
        <f aca="false">+AM20/AM$16</f>
        <v>0.460565981443141</v>
      </c>
      <c r="AN21" s="54" t="n">
        <f aca="false">+AN20/AN$16</f>
        <v>0.484861927242064</v>
      </c>
      <c r="AO21" s="54" t="n">
        <f aca="false">+AO20/AO$16</f>
        <v>0.5</v>
      </c>
      <c r="AP21" s="54" t="n">
        <f aca="false">+AP20/AP$16</f>
        <v>0.515</v>
      </c>
      <c r="AQ21" s="54" t="n">
        <f aca="false">+AQ20/AQ$16</f>
        <v>0.52</v>
      </c>
      <c r="AR21" s="54" t="n">
        <f aca="false">+AR20/AR$16</f>
        <v>0.525</v>
      </c>
      <c r="AS21" s="54" t="n">
        <f aca="false">+AS20/AS$16</f>
        <v>0.53</v>
      </c>
      <c r="DI21" s="37"/>
      <c r="XEX21" s="37"/>
      <c r="XEY21" s="37"/>
      <c r="XEZ21" s="37"/>
      <c r="XFA21" s="37"/>
      <c r="XFB21" s="37"/>
      <c r="XFC21" s="37"/>
    </row>
    <row r="22" s="57" customFormat="true" ht="12.8" hidden="false" customHeight="true" outlineLevel="0" collapsed="false">
      <c r="A22" s="59" t="s">
        <v>87</v>
      </c>
      <c r="B22" s="59" t="n">
        <v>453.8</v>
      </c>
      <c r="C22" s="59" t="n">
        <v>435</v>
      </c>
      <c r="D22" s="59" t="n">
        <v>453.8</v>
      </c>
      <c r="E22" s="59" t="n">
        <v>486.9</v>
      </c>
      <c r="F22" s="59" t="n">
        <v>525.2</v>
      </c>
      <c r="G22" s="59" t="n">
        <v>537.3</v>
      </c>
      <c r="H22" s="59" t="n">
        <v>563.8</v>
      </c>
      <c r="I22" s="59" t="n">
        <v>647</v>
      </c>
      <c r="J22" s="59" t="n">
        <v>657.5</v>
      </c>
      <c r="K22" s="59" t="n">
        <v>716.8</v>
      </c>
      <c r="L22" s="59" t="n">
        <v>662.7</v>
      </c>
      <c r="M22" s="59" t="n">
        <v>673.9</v>
      </c>
      <c r="N22" s="59" t="n">
        <v>687.2</v>
      </c>
      <c r="O22" s="59" t="n">
        <v>657</v>
      </c>
      <c r="P22" s="59" t="n">
        <v>657</v>
      </c>
      <c r="Q22" s="59" t="n">
        <v>673</v>
      </c>
      <c r="R22" s="59" t="n">
        <v>702</v>
      </c>
      <c r="S22" s="59" t="n">
        <v>711</v>
      </c>
      <c r="T22" s="59" t="n">
        <v>735</v>
      </c>
      <c r="U22" s="59" t="n">
        <v>776</v>
      </c>
      <c r="V22" s="59" t="n">
        <v>822</v>
      </c>
      <c r="W22" s="59" t="n">
        <v>824</v>
      </c>
      <c r="X22" s="59" t="n">
        <v>853</v>
      </c>
      <c r="Y22" s="59" t="n">
        <v>890.3</v>
      </c>
      <c r="Z22" s="59" t="n">
        <v>959.696</v>
      </c>
      <c r="AA22" s="59" t="n">
        <v>1007.675</v>
      </c>
      <c r="AB22" s="59" t="n">
        <f aca="false">X22*1.13</f>
        <v>963.89</v>
      </c>
      <c r="AC22" s="59" t="n">
        <f aca="false">Y22*1.13</f>
        <v>1006.039</v>
      </c>
      <c r="AD22" s="59"/>
      <c r="AE22" s="59"/>
      <c r="AF22" s="59"/>
      <c r="AG22" s="59"/>
      <c r="AH22" s="59"/>
      <c r="AI22" s="60" t="n">
        <v>1829.6</v>
      </c>
      <c r="AJ22" s="60" t="n">
        <v>2273.885</v>
      </c>
      <c r="AK22" s="60" t="n">
        <v>2711.041</v>
      </c>
      <c r="AL22" s="60" t="n">
        <v>2675.758</v>
      </c>
      <c r="AM22" s="60" t="n">
        <v>2925.295</v>
      </c>
      <c r="AN22" s="60" t="n">
        <v>3391.39</v>
      </c>
      <c r="AO22" s="59" t="n">
        <f aca="false">+AO16*0.073</f>
        <v>3750.2092827</v>
      </c>
      <c r="AP22" s="59" t="n">
        <f aca="false">+AP16*0.073</f>
        <v>4263.9879544299</v>
      </c>
      <c r="AQ22" s="59" t="n">
        <f aca="false">+AQ16*0.073</f>
        <v>4818.30638850579</v>
      </c>
      <c r="AR22" s="59" t="n">
        <f aca="false">+AR16*0.073</f>
        <v>5444.68621901154</v>
      </c>
      <c r="AS22" s="59" t="n">
        <f aca="false">+AS16*0.07</f>
        <v>5847.44382973295</v>
      </c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DI22" s="37"/>
      <c r="XEX22" s="37"/>
      <c r="XEY22" s="37"/>
      <c r="XEZ22" s="37"/>
      <c r="XFA22" s="37"/>
      <c r="XFB22" s="37"/>
      <c r="XFC22" s="37"/>
    </row>
    <row r="23" s="54" customFormat="true" ht="10.5" hidden="false" customHeight="true" outlineLevel="0" collapsed="false">
      <c r="B23" s="54" t="n">
        <f aca="false">+B22/B$16</f>
        <v>0.0786809071364172</v>
      </c>
      <c r="C23" s="54" t="n">
        <f aca="false">+C22/C$16</f>
        <v>0.0707524153410754</v>
      </c>
      <c r="D23" s="54" t="n">
        <f aca="false">+D22/D$16</f>
        <v>0.0705140157871838</v>
      </c>
      <c r="E23" s="54" t="n">
        <f aca="false">+E22/E$16</f>
        <v>0.073279754379628</v>
      </c>
      <c r="F23" s="54" t="n">
        <f aca="false">+F22/F$16</f>
        <v>0.0733191869555506</v>
      </c>
      <c r="G23" s="54" t="n">
        <f aca="false">+G22/G$16</f>
        <v>0.0731839171906202</v>
      </c>
      <c r="H23" s="54" t="n">
        <f aca="false">+H22/H$16</f>
        <v>0.0753400860571398</v>
      </c>
      <c r="I23" s="54" t="n">
        <f aca="false">+I22/I$16</f>
        <v>0.0839246105353275</v>
      </c>
      <c r="J23" s="54" t="n">
        <f aca="false">+J22/J$16</f>
        <v>0.0835695311209121</v>
      </c>
      <c r="K23" s="54" t="n">
        <f aca="false">+K22/K$16</f>
        <v>0.0899372647427854</v>
      </c>
      <c r="L23" s="54" t="n">
        <f aca="false">+L22/L$16</f>
        <v>0.083621451104101</v>
      </c>
      <c r="M23" s="54" t="n">
        <f aca="false">+M22/M$16</f>
        <v>0.085825267447784</v>
      </c>
      <c r="N23" s="54" t="n">
        <f aca="false">+N22/N$16</f>
        <v>0.0842002082950438</v>
      </c>
      <c r="O23" s="54" t="n">
        <f aca="false">+O22/O$16</f>
        <v>0.0802491755221693</v>
      </c>
      <c r="P23" s="54" t="n">
        <f aca="false">+P22/P$16</f>
        <v>0.0769140716459845</v>
      </c>
      <c r="Q23" s="54" t="n">
        <f aca="false">+Q22/Q$16</f>
        <v>0.0762001811594203</v>
      </c>
      <c r="R23" s="54" t="n">
        <f aca="false">+R22/R$16</f>
        <v>0.0749199573105656</v>
      </c>
      <c r="S23" s="54" t="n">
        <f aca="false">+S22/S$16</f>
        <v>0.0743801652892562</v>
      </c>
      <c r="T23" s="54" t="n">
        <f aca="false">+T22/T$16</f>
        <v>0.0748167752442997</v>
      </c>
      <c r="U23" s="54" t="n">
        <f aca="false">+U22/U$16</f>
        <v>0.0757294817995511</v>
      </c>
      <c r="V23" s="54" t="n">
        <f aca="false">+V22/V$16</f>
        <v>0.0779664232191976</v>
      </c>
      <c r="W23" s="54" t="n">
        <f aca="false">+W22/W$16</f>
        <v>0.0743749435869663</v>
      </c>
      <c r="X23" s="54" t="n">
        <f aca="false">+X22/X$16</f>
        <v>0.0741094700260643</v>
      </c>
      <c r="Y23" s="54" t="n">
        <f aca="false">+Y22/Y$16</f>
        <v>0.0738795256707079</v>
      </c>
      <c r="Z23" s="54" t="n">
        <f aca="false">+Z22/Z$16</f>
        <v>0.078344084703068</v>
      </c>
      <c r="AA23" s="54" t="n">
        <f aca="false">+AA22/AA$16</f>
        <v>0.0802292973102256</v>
      </c>
      <c r="AB23" s="54" t="n">
        <f aca="false">+AB22/AB$16</f>
        <v>0.0725053689432491</v>
      </c>
      <c r="AC23" s="54" t="n">
        <f aca="false">+AC22/AC$16</f>
        <v>0.0722804017384415</v>
      </c>
      <c r="AI23" s="54" t="n">
        <f aca="false">+AI22/AI$16</f>
        <v>0.0731955473295467</v>
      </c>
      <c r="AJ23" s="54" t="n">
        <f aca="false">+AJ22/AJ$16</f>
        <v>0.0765673427337015</v>
      </c>
      <c r="AK23" s="54" t="n">
        <f aca="false">+AK22/AK$16</f>
        <v>0.0857502399926619</v>
      </c>
      <c r="AL23" s="54" t="n">
        <f aca="false">+AL22/AL$16</f>
        <v>0.0793444958836617</v>
      </c>
      <c r="AM23" s="54" t="n">
        <f aca="false">+AM22/AM$16</f>
        <v>0.0750056485736928</v>
      </c>
      <c r="AN23" s="54" t="n">
        <f aca="false">+AN22/AN$16</f>
        <v>0.0750594807304566</v>
      </c>
      <c r="AO23" s="54" t="n">
        <f aca="false">+AO22/AO$16</f>
        <v>0.073</v>
      </c>
      <c r="AP23" s="54" t="n">
        <f aca="false">+AP22/AP$16</f>
        <v>0.073</v>
      </c>
      <c r="AQ23" s="54" t="n">
        <f aca="false">+AQ22/AQ$16</f>
        <v>0.073</v>
      </c>
      <c r="AR23" s="54" t="n">
        <f aca="false">+AR22/AR$16</f>
        <v>0.073</v>
      </c>
      <c r="AS23" s="54" t="n">
        <f aca="false">+AS22/AS$16</f>
        <v>0.07</v>
      </c>
      <c r="DI23" s="37"/>
      <c r="XEX23" s="37"/>
      <c r="XEY23" s="37"/>
      <c r="XEZ23" s="37"/>
      <c r="XFA23" s="37"/>
      <c r="XFB23" s="37"/>
      <c r="XFC23" s="37"/>
    </row>
    <row r="24" s="57" customFormat="true" ht="12.8" hidden="false" customHeight="true" outlineLevel="0" collapsed="false">
      <c r="A24" s="59" t="s">
        <v>88</v>
      </c>
      <c r="B24" s="59" t="n">
        <v>503.8</v>
      </c>
      <c r="C24" s="59" t="n">
        <v>434.3</v>
      </c>
      <c r="D24" s="59" t="n">
        <v>527.5</v>
      </c>
      <c r="E24" s="59" t="n">
        <v>762.5</v>
      </c>
      <c r="F24" s="59" t="n">
        <v>512.5</v>
      </c>
      <c r="G24" s="59" t="n">
        <v>603.9</v>
      </c>
      <c r="H24" s="59" t="n">
        <v>635.9</v>
      </c>
      <c r="I24" s="59" t="n">
        <v>792</v>
      </c>
      <c r="J24" s="59" t="n">
        <v>555.9</v>
      </c>
      <c r="K24" s="59" t="n">
        <v>574.9</v>
      </c>
      <c r="L24" s="59" t="n">
        <v>567.9</v>
      </c>
      <c r="M24" s="59" t="n">
        <v>831.6</v>
      </c>
      <c r="N24" s="59" t="n">
        <v>555.3</v>
      </c>
      <c r="O24" s="59" t="n">
        <v>627</v>
      </c>
      <c r="P24" s="59" t="n">
        <v>558</v>
      </c>
      <c r="Q24" s="59" t="n">
        <v>916</v>
      </c>
      <c r="R24" s="59" t="n">
        <v>654</v>
      </c>
      <c r="S24" s="59" t="n">
        <v>688</v>
      </c>
      <c r="T24" s="59" t="n">
        <v>642</v>
      </c>
      <c r="U24" s="59" t="n">
        <v>976</v>
      </c>
      <c r="V24" s="59" t="n">
        <v>644</v>
      </c>
      <c r="W24" s="59" t="n">
        <v>713</v>
      </c>
      <c r="X24" s="59" t="n">
        <v>786</v>
      </c>
      <c r="Y24" s="59" t="n">
        <v>1113.376</v>
      </c>
      <c r="Z24" s="59" t="n">
        <v>842.217</v>
      </c>
      <c r="AA24" s="59" t="n">
        <v>823.838</v>
      </c>
      <c r="AB24" s="59" t="n">
        <f aca="false">X24*1.13</f>
        <v>888.18</v>
      </c>
      <c r="AC24" s="59" t="n">
        <f aca="false">Y24*1.13</f>
        <v>1258.11488</v>
      </c>
      <c r="AD24" s="59"/>
      <c r="AE24" s="59"/>
      <c r="AF24" s="59"/>
      <c r="AG24" s="59"/>
      <c r="AH24" s="59"/>
      <c r="AI24" s="60" t="n">
        <v>2228.362</v>
      </c>
      <c r="AJ24" s="60" t="n">
        <v>2545.146</v>
      </c>
      <c r="AK24" s="60" t="n">
        <v>2530.502</v>
      </c>
      <c r="AL24" s="60" t="n">
        <v>2657.883</v>
      </c>
      <c r="AM24" s="60" t="n">
        <v>2917.554</v>
      </c>
      <c r="AN24" s="60" t="n">
        <v>3301.306</v>
      </c>
      <c r="AO24" s="59" t="n">
        <f aca="false">+AO16*0.07</f>
        <v>3596.091093</v>
      </c>
      <c r="AP24" s="59" t="n">
        <f aca="false">+AP16*0.07</f>
        <v>4088.755572741</v>
      </c>
      <c r="AQ24" s="59" t="n">
        <f aca="false">+AQ16*0.067</f>
        <v>4422.28120588887</v>
      </c>
      <c r="AR24" s="59" t="n">
        <f aca="false">+AR16*0.067</f>
        <v>4997.17776265443</v>
      </c>
      <c r="AS24" s="59" t="n">
        <f aca="false">+AS16*0.065</f>
        <v>5429.76927046631</v>
      </c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DI24" s="37"/>
      <c r="XEX24" s="37"/>
      <c r="XEY24" s="37"/>
      <c r="XEZ24" s="37"/>
      <c r="XFA24" s="37"/>
      <c r="XFB24" s="37"/>
      <c r="XFC24" s="37"/>
    </row>
    <row r="25" s="54" customFormat="true" ht="10.5" hidden="false" customHeight="true" outlineLevel="0" collapsed="false">
      <c r="B25" s="54" t="n">
        <f aca="false">+B24/B$16</f>
        <v>0.087350024273528</v>
      </c>
      <c r="C25" s="54" t="n">
        <f aca="false">+C24/C$16</f>
        <v>0.070638560879607</v>
      </c>
      <c r="D25" s="54" t="n">
        <f aca="false">+D24/D$16</f>
        <v>0.0819659394617441</v>
      </c>
      <c r="E25" s="54" t="n">
        <f aca="false">+E24/E$16</f>
        <v>0.11475829269761</v>
      </c>
      <c r="F25" s="54" t="n">
        <f aca="false">+F24/F$16</f>
        <v>0.0715462363189636</v>
      </c>
      <c r="G25" s="54" t="n">
        <f aca="false">+G24/G$16</f>
        <v>0.0822552905107306</v>
      </c>
      <c r="H25" s="54" t="n">
        <f aca="false">+H24/H$16</f>
        <v>0.0849747441002753</v>
      </c>
      <c r="I25" s="54" t="n">
        <f aca="false">+I24/I$16</f>
        <v>0.102733062664574</v>
      </c>
      <c r="J25" s="54" t="n">
        <f aca="false">+J24/J$16</f>
        <v>0.0706559731560685</v>
      </c>
      <c r="K25" s="54" t="n">
        <f aca="false">+K24/K$16</f>
        <v>0.0721329987452949</v>
      </c>
      <c r="L25" s="54" t="n">
        <f aca="false">+L24/L$16</f>
        <v>0.0716593059936908</v>
      </c>
      <c r="M25" s="54" t="n">
        <f aca="false">+M24/M$16</f>
        <v>0.105909322465614</v>
      </c>
      <c r="N25" s="54" t="n">
        <f aca="false">+N24/N$16</f>
        <v>0.0680389634258408</v>
      </c>
      <c r="O25" s="54" t="n">
        <f aca="false">+O24/O$16</f>
        <v>0.076584829607915</v>
      </c>
      <c r="P25" s="54" t="n">
        <f aca="false">+P24/P$16</f>
        <v>0.0653242800280965</v>
      </c>
      <c r="Q25" s="54" t="n">
        <f aca="false">+Q24/Q$16</f>
        <v>0.103713768115942</v>
      </c>
      <c r="R25" s="54" t="n">
        <f aca="false">+R24/R$16</f>
        <v>0.0697972251867663</v>
      </c>
      <c r="S25" s="54" t="n">
        <f aca="false">+S24/S$16</f>
        <v>0.0719740558635841</v>
      </c>
      <c r="T25" s="54" t="n">
        <f aca="false">+T24/T$16</f>
        <v>0.0653501628664495</v>
      </c>
      <c r="U25" s="54" t="n">
        <f aca="false">+U24/U$16</f>
        <v>0.0952473894798478</v>
      </c>
      <c r="V25" s="54" t="n">
        <f aca="false">+V24/V$16</f>
        <v>0.0610831831546998</v>
      </c>
      <c r="W25" s="54" t="n">
        <f aca="false">+W24/W$16</f>
        <v>0.0643559888076541</v>
      </c>
      <c r="X25" s="54" t="n">
        <f aca="false">+X24/X$16</f>
        <v>0.0682884448305821</v>
      </c>
      <c r="Y25" s="54" t="n">
        <f aca="false">+Y24/Y$16</f>
        <v>0.092390981436763</v>
      </c>
      <c r="Z25" s="54" t="n">
        <f aca="false">+Z24/Z$16</f>
        <v>0.0687537720136</v>
      </c>
      <c r="AA25" s="54" t="n">
        <f aca="false">+AA24/AA$16</f>
        <v>0.0655925212369679</v>
      </c>
      <c r="AB25" s="54" t="n">
        <f aca="false">+AB24/AB$16</f>
        <v>0.0668103399641193</v>
      </c>
      <c r="AC25" s="54" t="n">
        <f aca="false">+AC24/AC$16</f>
        <v>0.0903911766437595</v>
      </c>
      <c r="AI25" s="54" t="n">
        <f aca="false">+AI24/AI$16</f>
        <v>0.0891485440743132</v>
      </c>
      <c r="AJ25" s="54" t="n">
        <f aca="false">+AJ24/AJ$16</f>
        <v>0.0857013727999918</v>
      </c>
      <c r="AK25" s="54" t="n">
        <f aca="false">+AK24/AK$16</f>
        <v>0.0800397905461079</v>
      </c>
      <c r="AL25" s="54" t="n">
        <f aca="false">+AL24/AL$16</f>
        <v>0.0788144468792598</v>
      </c>
      <c r="AM25" s="54" t="n">
        <f aca="false">+AM24/AM$16</f>
        <v>0.0748071664631334</v>
      </c>
      <c r="AN25" s="54" t="n">
        <f aca="false">+AN24/AN$16</f>
        <v>0.0730657087779172</v>
      </c>
      <c r="AO25" s="54" t="n">
        <f aca="false">+AO24/AO$16</f>
        <v>0.07</v>
      </c>
      <c r="AP25" s="54" t="n">
        <f aca="false">+AP24/AP$16</f>
        <v>0.07</v>
      </c>
      <c r="AQ25" s="54" t="n">
        <f aca="false">+AQ24/AQ$16</f>
        <v>0.067</v>
      </c>
      <c r="AR25" s="54" t="n">
        <f aca="false">+AR24/AR$16</f>
        <v>0.067</v>
      </c>
      <c r="AS25" s="54" t="n">
        <f aca="false">+AS24/AS$16</f>
        <v>0.065</v>
      </c>
      <c r="DI25" s="37"/>
      <c r="XEX25" s="37"/>
      <c r="XEY25" s="37"/>
      <c r="XEZ25" s="37"/>
      <c r="XFA25" s="37"/>
      <c r="XFB25" s="37"/>
      <c r="XFC25" s="37"/>
    </row>
    <row r="26" s="57" customFormat="true" ht="12.8" hidden="false" customHeight="true" outlineLevel="0" collapsed="false">
      <c r="A26" s="59" t="s">
        <v>89</v>
      </c>
      <c r="B26" s="59" t="n">
        <v>252</v>
      </c>
      <c r="C26" s="59" t="n">
        <v>277.2</v>
      </c>
      <c r="D26" s="59" t="n">
        <v>271.6</v>
      </c>
      <c r="E26" s="59" t="n">
        <v>275.5</v>
      </c>
      <c r="F26" s="59" t="n">
        <v>297.1</v>
      </c>
      <c r="G26" s="59" t="n">
        <v>334.8</v>
      </c>
      <c r="H26" s="59" t="n">
        <v>321.7</v>
      </c>
      <c r="I26" s="59" t="n">
        <v>397.7</v>
      </c>
      <c r="J26" s="59" t="n">
        <v>397.9</v>
      </c>
      <c r="K26" s="59" t="n">
        <v>409.2</v>
      </c>
      <c r="L26" s="59" t="n">
        <v>373</v>
      </c>
      <c r="M26" s="59" t="n">
        <v>392.4</v>
      </c>
      <c r="N26" s="59" t="n">
        <v>400.9</v>
      </c>
      <c r="O26" s="59" t="n">
        <v>401</v>
      </c>
      <c r="P26" s="59" t="n">
        <v>478</v>
      </c>
      <c r="Q26" s="59" t="n">
        <v>429</v>
      </c>
      <c r="R26" s="59" t="n">
        <v>404</v>
      </c>
      <c r="S26" s="59" t="n">
        <v>426</v>
      </c>
      <c r="T26" s="59" t="n">
        <v>417</v>
      </c>
      <c r="U26" s="59" t="n">
        <v>453</v>
      </c>
      <c r="V26" s="59" t="n">
        <v>421</v>
      </c>
      <c r="W26" s="59" t="n">
        <v>441</v>
      </c>
      <c r="X26" s="59" t="n">
        <v>457</v>
      </c>
      <c r="Y26" s="59" t="n">
        <v>567.802</v>
      </c>
      <c r="Z26" s="59" t="n">
        <v>602.609</v>
      </c>
      <c r="AA26" s="59" t="n">
        <v>498.85</v>
      </c>
      <c r="AB26" s="59" t="n">
        <f aca="false">X26*1.13</f>
        <v>516.41</v>
      </c>
      <c r="AC26" s="59" t="n">
        <f aca="false">Y26*1.13</f>
        <v>641.61626</v>
      </c>
      <c r="AD26" s="59"/>
      <c r="AE26" s="59"/>
      <c r="AF26" s="59"/>
      <c r="AG26" s="59"/>
      <c r="AH26" s="59"/>
      <c r="AI26" s="60" t="n">
        <v>1076.486</v>
      </c>
      <c r="AJ26" s="60" t="n">
        <v>1351.621</v>
      </c>
      <c r="AK26" s="60" t="n">
        <v>1572.891</v>
      </c>
      <c r="AL26" s="60" t="n">
        <v>1720.285</v>
      </c>
      <c r="AM26" s="60" t="n">
        <v>1702.039</v>
      </c>
      <c r="AN26" s="60" t="n">
        <v>1888.408</v>
      </c>
      <c r="AO26" s="59" t="n">
        <f aca="false">+AO16*0.042</f>
        <v>2157.6546558</v>
      </c>
      <c r="AP26" s="59" t="n">
        <f aca="false">+AP16*0.042</f>
        <v>2453.2533436446</v>
      </c>
      <c r="AQ26" s="59" t="n">
        <f aca="false">+AQ16*0.04</f>
        <v>2640.16788411276</v>
      </c>
      <c r="AR26" s="59" t="n">
        <f aca="false">+AR16*0.04</f>
        <v>2983.38970904742</v>
      </c>
      <c r="AS26" s="59" t="n">
        <f aca="false">+AS16*0.04</f>
        <v>3341.39647413311</v>
      </c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DI26" s="37"/>
      <c r="XEX26" s="37"/>
      <c r="XEY26" s="37"/>
      <c r="XEZ26" s="37"/>
      <c r="XFA26" s="37"/>
      <c r="XFB26" s="37"/>
      <c r="XFC26" s="37"/>
    </row>
    <row r="27" s="54" customFormat="true" ht="10.5" hidden="false" customHeight="true" outlineLevel="0" collapsed="false">
      <c r="B27" s="54" t="n">
        <f aca="false">+B26/B$16</f>
        <v>0.0436923503710382</v>
      </c>
      <c r="C27" s="54" t="n">
        <f aca="false">+C26/C$16</f>
        <v>0.0450863667414853</v>
      </c>
      <c r="D27" s="54" t="n">
        <f aca="false">+D26/D$16</f>
        <v>0.0422027472185966</v>
      </c>
      <c r="E27" s="54" t="n">
        <f aca="false">+E26/E$16</f>
        <v>0.0414634880500873</v>
      </c>
      <c r="F27" s="54" t="n">
        <f aca="false">+F26/F$16</f>
        <v>0.0414758767031494</v>
      </c>
      <c r="G27" s="54" t="n">
        <f aca="false">+G26/G$16</f>
        <v>0.0456020388524468</v>
      </c>
      <c r="H27" s="54" t="n">
        <f aca="false">+H26/H$16</f>
        <v>0.0429884811716599</v>
      </c>
      <c r="I27" s="54" t="n">
        <f aca="false">+I26/I$16</f>
        <v>0.0515870442193195</v>
      </c>
      <c r="J27" s="54" t="n">
        <f aca="false">+J26/J$16</f>
        <v>0.050573865297355</v>
      </c>
      <c r="K27" s="54" t="n">
        <f aca="false">+K26/K$16</f>
        <v>0.0513425345043915</v>
      </c>
      <c r="L27" s="54" t="n">
        <f aca="false">+L26/L$16</f>
        <v>0.0470662460567823</v>
      </c>
      <c r="M27" s="54" t="n">
        <f aca="false">+M26/M$16</f>
        <v>0.0499745287824758</v>
      </c>
      <c r="N27" s="54" t="n">
        <f aca="false">+N26/N$16</f>
        <v>0.049120872388654</v>
      </c>
      <c r="O27" s="54" t="n">
        <f aca="false">+O26/O$16</f>
        <v>0.0489800903871992</v>
      </c>
      <c r="P27" s="54" t="n">
        <f aca="false">+P26/P$16</f>
        <v>0.0559587918520253</v>
      </c>
      <c r="Q27" s="54" t="n">
        <f aca="false">+Q26/Q$16</f>
        <v>0.0485733695652174</v>
      </c>
      <c r="R27" s="54" t="n">
        <f aca="false">+R26/R$16</f>
        <v>0.0431163287086446</v>
      </c>
      <c r="S27" s="54" t="n">
        <f aca="false">+S26/S$16</f>
        <v>0.0445653311015797</v>
      </c>
      <c r="T27" s="54" t="n">
        <f aca="false">+T26/T$16</f>
        <v>0.0424470684039088</v>
      </c>
      <c r="U27" s="54" t="n">
        <f aca="false">+U26/U$16</f>
        <v>0.044208060895872</v>
      </c>
      <c r="V27" s="54" t="n">
        <f aca="false">+V26/V$16</f>
        <v>0.0399317082424357</v>
      </c>
      <c r="W27" s="54" t="n">
        <f aca="false">+W26/W$16</f>
        <v>0.0398050365556458</v>
      </c>
      <c r="X27" s="54" t="n">
        <f aca="false">+X26/X$16</f>
        <v>0.0397046046915726</v>
      </c>
      <c r="Y27" s="54" t="n">
        <f aca="false">+Y26/Y$16</f>
        <v>0.0471177607939788</v>
      </c>
      <c r="Z27" s="54" t="n">
        <f aca="false">+Z26/Z$16</f>
        <v>0.0491935472679172</v>
      </c>
      <c r="AA27" s="54" t="n">
        <f aca="false">+AA26/AA$16</f>
        <v>0.0397175527458814</v>
      </c>
      <c r="AB27" s="54" t="n">
        <f aca="false">+AB26/AB$16</f>
        <v>0.0388451976636164</v>
      </c>
      <c r="AC27" s="54" t="n">
        <f aca="false">+AC26/AC$16</f>
        <v>0.0460978958417282</v>
      </c>
      <c r="AI27" s="54" t="n">
        <f aca="false">+AI26/AI$16</f>
        <v>0.0430662341290962</v>
      </c>
      <c r="AJ27" s="54" t="n">
        <f aca="false">+AJ26/AJ$16</f>
        <v>0.0455124284443005</v>
      </c>
      <c r="AK27" s="54" t="n">
        <f aca="false">+AK26/AK$16</f>
        <v>0.0497505499667094</v>
      </c>
      <c r="AL27" s="54" t="n">
        <f aca="false">+AL26/AL$16</f>
        <v>0.0510117679181843</v>
      </c>
      <c r="AM27" s="54" t="n">
        <f aca="false">+AM26/AM$16</f>
        <v>0.0436409111192955</v>
      </c>
      <c r="AN27" s="54" t="n">
        <f aca="false">+AN26/AN$16</f>
        <v>0.0417949347869871</v>
      </c>
      <c r="AO27" s="54" t="n">
        <f aca="false">+AO26/AO$16</f>
        <v>0.042</v>
      </c>
      <c r="AP27" s="54" t="n">
        <f aca="false">+AP26/AP$16</f>
        <v>0.042</v>
      </c>
      <c r="AQ27" s="54" t="n">
        <f aca="false">+AQ26/AQ$16</f>
        <v>0.04</v>
      </c>
      <c r="AR27" s="54" t="n">
        <f aca="false">+AR26/AR$16</f>
        <v>0.04</v>
      </c>
      <c r="AS27" s="54" t="n">
        <f aca="false">+AS26/AS$16</f>
        <v>0.04</v>
      </c>
      <c r="DI27" s="37"/>
      <c r="XEX27" s="37"/>
      <c r="XEY27" s="37"/>
      <c r="XEZ27" s="37"/>
      <c r="XFA27" s="37"/>
      <c r="XFB27" s="37"/>
      <c r="XFC27" s="37"/>
    </row>
    <row r="28" s="57" customFormat="true" ht="12.8" hidden="false" customHeight="true" outlineLevel="0" collapsed="false">
      <c r="A28" s="59" t="s">
        <v>90</v>
      </c>
      <c r="B28" s="59" t="n">
        <f aca="false">SUM(B22:B26)</f>
        <v>1209.76603093141</v>
      </c>
      <c r="C28" s="59" t="n">
        <f aca="false">SUM(C22:C26)</f>
        <v>1146.64139097622</v>
      </c>
      <c r="D28" s="59" t="n">
        <f aca="false">SUM(D22:D26)</f>
        <v>1253.05247995525</v>
      </c>
      <c r="E28" s="59" t="n">
        <f aca="false">SUM(E22:E26)</f>
        <v>1525.08803804708</v>
      </c>
      <c r="F28" s="59" t="n">
        <f aca="false">SUM(F22:F26)</f>
        <v>1334.94486542327</v>
      </c>
      <c r="G28" s="59" t="n">
        <f aca="false">SUM(G22:G26)</f>
        <v>1476.1554392077</v>
      </c>
      <c r="H28" s="59" t="n">
        <f aca="false">SUM(H22:H26)</f>
        <v>1521.56031483016</v>
      </c>
      <c r="I28" s="59" t="n">
        <f aca="false">SUM(I22:I26)</f>
        <v>1836.8866576732</v>
      </c>
      <c r="J28" s="59" t="n">
        <f aca="false">SUM(J22:J26)</f>
        <v>1611.45422550428</v>
      </c>
      <c r="K28" s="59" t="n">
        <f aca="false">SUM(K22:K26)</f>
        <v>1701.06207026349</v>
      </c>
      <c r="L28" s="59" t="n">
        <f aca="false">SUM(L22:L26)</f>
        <v>1603.7552807571</v>
      </c>
      <c r="M28" s="59" t="n">
        <f aca="false">SUM(M22:M26)</f>
        <v>1898.09173458991</v>
      </c>
      <c r="N28" s="59" t="n">
        <f aca="false">SUM(N22:N26)</f>
        <v>1643.55223917172</v>
      </c>
      <c r="O28" s="59" t="n">
        <f aca="false">SUM(O22:O26)</f>
        <v>1685.15683400513</v>
      </c>
      <c r="P28" s="59" t="n">
        <f aca="false">SUM(P22:P26)</f>
        <v>1693.14223835167</v>
      </c>
      <c r="Q28" s="59" t="n">
        <f aca="false">SUM(Q22:Q26)</f>
        <v>2018.17991394928</v>
      </c>
      <c r="R28" s="59" t="n">
        <f aca="false">SUM(R22:R26)</f>
        <v>1760.1447171825</v>
      </c>
      <c r="S28" s="59" t="n">
        <f aca="false">SUM(S22:S26)</f>
        <v>1825.14635422115</v>
      </c>
      <c r="T28" s="59" t="n">
        <f aca="false">SUM(T22:T26)</f>
        <v>1794.14016693811</v>
      </c>
      <c r="U28" s="59" t="n">
        <f aca="false">SUM(U22:U26)</f>
        <v>2205.17097687128</v>
      </c>
      <c r="V28" s="59" t="n">
        <f aca="false">SUM(V22:V26)</f>
        <v>1887.13904960637</v>
      </c>
      <c r="W28" s="59" t="n">
        <f aca="false">SUM(W22:W26)</f>
        <v>1978.13873093239</v>
      </c>
      <c r="X28" s="59" t="n">
        <f aca="false">SUM(X22:X26)</f>
        <v>2096.14239791486</v>
      </c>
      <c r="Y28" s="59" t="n">
        <f aca="false">SUM(Y22:Y26)</f>
        <v>2571.64427050711</v>
      </c>
      <c r="Z28" s="59" t="n">
        <f aca="false">SUM(Z22:Z26)</f>
        <v>2404.66909785672</v>
      </c>
      <c r="AA28" s="59" t="n">
        <f aca="false">SUM(AA22:AA26)</f>
        <v>2330.50882181855</v>
      </c>
      <c r="AB28" s="59" t="n">
        <f aca="false">SUM(AB22:AB26)</f>
        <v>2368.61931570891</v>
      </c>
      <c r="AC28" s="59" t="n">
        <f aca="false">SUM(AC22:AC26)</f>
        <v>2905.93281157838</v>
      </c>
      <c r="AD28" s="59"/>
      <c r="AE28" s="59"/>
      <c r="AF28" s="59"/>
      <c r="AG28" s="59"/>
      <c r="AH28" s="59"/>
      <c r="AI28" s="60" t="n">
        <f aca="false">SUM(AI22:AI26)</f>
        <v>5134.6103440914</v>
      </c>
      <c r="AJ28" s="60" t="n">
        <f aca="false">SUM(AJ22:AJ26)</f>
        <v>6170.81426871553</v>
      </c>
      <c r="AK28" s="60" t="n">
        <f aca="false">SUM(AK22:AK26)</f>
        <v>6814.59979003054</v>
      </c>
      <c r="AL28" s="60" t="n">
        <f aca="false">SUM(AL22:AL26)</f>
        <v>7054.08415894276</v>
      </c>
      <c r="AM28" s="60" t="n">
        <f aca="false">SUM(AM22:AM26)</f>
        <v>7545.03781281504</v>
      </c>
      <c r="AN28" s="60" t="n">
        <f aca="false">SUM(AN22:AN26)</f>
        <v>8581.25212518951</v>
      </c>
      <c r="AO28" s="59" t="n">
        <f aca="false">SUM(AO22:AO26)</f>
        <v>9504.0980315</v>
      </c>
      <c r="AP28" s="59" t="n">
        <f aca="false">SUM(AP22:AP26)</f>
        <v>10806.1398708155</v>
      </c>
      <c r="AQ28" s="59" t="n">
        <f aca="false">SUM(AQ22:AQ26)</f>
        <v>11880.8954785074</v>
      </c>
      <c r="AR28" s="59" t="n">
        <f aca="false">SUM(AR22:AR26)</f>
        <v>13425.3936907134</v>
      </c>
      <c r="AS28" s="59" t="n">
        <f aca="false">SUM(AS22:AS26)</f>
        <v>14618.7445743324</v>
      </c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DI28" s="37"/>
      <c r="XEX28" s="37"/>
      <c r="XEY28" s="37"/>
      <c r="XEZ28" s="37"/>
      <c r="XFA28" s="37"/>
      <c r="XFB28" s="37"/>
      <c r="XFC28" s="37"/>
    </row>
    <row r="29" s="54" customFormat="true" ht="10.5" hidden="false" customHeight="true" outlineLevel="0" collapsed="false">
      <c r="B29" s="54" t="n">
        <f aca="false">+B28/B$16</f>
        <v>0.209752068612839</v>
      </c>
      <c r="C29" s="54" t="n">
        <f aca="false">+C28/C$16</f>
        <v>0.186500340095674</v>
      </c>
      <c r="D29" s="54" t="n">
        <f aca="false">+D28/D$16</f>
        <v>0.194706395667109</v>
      </c>
      <c r="E29" s="54" t="n">
        <f aca="false">+E28/E$16</f>
        <v>0.229529835357155</v>
      </c>
      <c r="F29" s="54" t="n">
        <f aca="false">+F28/F$16</f>
        <v>0.186361523540216</v>
      </c>
      <c r="G29" s="54" t="n">
        <f aca="false">+G28/G$16</f>
        <v>0.2010624184319</v>
      </c>
      <c r="H29" s="54" t="n">
        <f aca="false">+H28/H$16</f>
        <v>0.203324734055397</v>
      </c>
      <c r="I29" s="54" t="n">
        <f aca="false">+I28/I$16</f>
        <v>0.2382689294324</v>
      </c>
      <c r="J29" s="54" t="n">
        <f aca="false">+J28/J$16</f>
        <v>0.204818971936433</v>
      </c>
      <c r="K29" s="54" t="n">
        <f aca="false">+K28/K$16</f>
        <v>0.213433133031805</v>
      </c>
      <c r="L29" s="54" t="n">
        <f aca="false">+L28/L$16</f>
        <v>0.202366596940959</v>
      </c>
      <c r="M29" s="54" t="n">
        <f aca="false">+M28/M$16</f>
        <v>0.241733537263107</v>
      </c>
      <c r="N29" s="54" t="n">
        <f aca="false">+N28/N$16</f>
        <v>0.201378697441858</v>
      </c>
      <c r="O29" s="54" t="n">
        <f aca="false">+O28/O$16</f>
        <v>0.205833251985481</v>
      </c>
      <c r="P29" s="54" t="n">
        <f aca="false">+P28/P$16</f>
        <v>0.198213795171116</v>
      </c>
      <c r="Q29" s="54" t="n">
        <f aca="false">+Q28/Q$16</f>
        <v>0.2285076895323</v>
      </c>
      <c r="R29" s="54" t="n">
        <f aca="false">+R28/R$16</f>
        <v>0.187848955942636</v>
      </c>
      <c r="S29" s="54" t="n">
        <f aca="false">+S28/S$16</f>
        <v>0.190934862874898</v>
      </c>
      <c r="T29" s="54" t="n">
        <f aca="false">+T28/T$16</f>
        <v>0.182628274321876</v>
      </c>
      <c r="U29" s="54" t="n">
        <f aca="false">+U28/U$16</f>
        <v>0.215201617729216</v>
      </c>
      <c r="V29" s="54" t="n">
        <f aca="false">+V28/V$16</f>
        <v>0.178994503424677</v>
      </c>
      <c r="W29" s="54" t="n">
        <f aca="false">+W28/W$16</f>
        <v>0.178548490922682</v>
      </c>
      <c r="X29" s="54" t="n">
        <f aca="false">+X28/X$16</f>
        <v>0.182114891217624</v>
      </c>
      <c r="Y29" s="54" t="n">
        <f aca="false">+Y28/Y$16</f>
        <v>0.213402065482263</v>
      </c>
      <c r="Z29" s="54" t="n">
        <f aca="false">+Z28/Z$16</f>
        <v>0.196303412211093</v>
      </c>
      <c r="AA29" s="54" t="n">
        <f aca="false">+AA28/AA$16</f>
        <v>0.185550981367786</v>
      </c>
      <c r="AB29" s="54" t="n">
        <f aca="false">+AB28/AB$16</f>
        <v>0.178171386124537</v>
      </c>
      <c r="AC29" s="54" t="n">
        <f aca="false">+AC28/AC$16</f>
        <v>0.208781161610837</v>
      </c>
      <c r="AI29" s="54" t="n">
        <f aca="false">+AI28/AI$16</f>
        <v>0.20541682032123</v>
      </c>
      <c r="AJ29" s="54" t="n">
        <f aca="false">+AJ28/AJ$16</f>
        <v>0.207786607967755</v>
      </c>
      <c r="AK29" s="54" t="n">
        <f aca="false">+AK28/AK$16</f>
        <v>0.21554582444495</v>
      </c>
      <c r="AL29" s="54" t="n">
        <f aca="false">+AL28/AL$16</f>
        <v>0.209175400582653</v>
      </c>
      <c r="AM29" s="54" t="n">
        <f aca="false">+AM28/AM$16</f>
        <v>0.193457567412254</v>
      </c>
      <c r="AN29" s="54" t="n">
        <f aca="false">+AN28/AN$16</f>
        <v>0.189923402656094</v>
      </c>
      <c r="AO29" s="54" t="n">
        <f aca="false">+AO28/AO$16</f>
        <v>0.185002783577985</v>
      </c>
      <c r="AP29" s="54" t="n">
        <f aca="false">+AP28/AP$16</f>
        <v>0.185002448177648</v>
      </c>
      <c r="AQ29" s="54" t="n">
        <f aca="false">+AQ28/AQ$16</f>
        <v>0.180002121077237</v>
      </c>
      <c r="AR29" s="54" t="n">
        <f aca="false">+AR28/AR$16</f>
        <v>0.180001877059501</v>
      </c>
      <c r="AS29" s="54" t="n">
        <f aca="false">+AS28/AS$16</f>
        <v>0.17500161609077</v>
      </c>
      <c r="DI29" s="37"/>
      <c r="XEX29" s="37"/>
      <c r="XEY29" s="37"/>
      <c r="XEZ29" s="37"/>
      <c r="XFA29" s="37"/>
      <c r="XFB29" s="37"/>
      <c r="XFC29" s="37"/>
    </row>
    <row r="30" s="57" customFormat="true" ht="12.8" hidden="false" customHeight="true" outlineLevel="0" collapsed="false">
      <c r="A30" s="59" t="s">
        <v>91</v>
      </c>
      <c r="B30" s="59" t="n">
        <f aca="false">B20-B28</f>
        <v>958.13396906859</v>
      </c>
      <c r="C30" s="59" t="n">
        <f aca="false">C20-C28</f>
        <v>1357.85860902378</v>
      </c>
      <c r="D30" s="59" t="n">
        <f aca="false">D20-D28</f>
        <v>1314.84752004475</v>
      </c>
      <c r="E30" s="59" t="n">
        <f aca="false">E20-E28</f>
        <v>954.211961952923</v>
      </c>
      <c r="F30" s="59" t="n">
        <f aca="false">F20-F28</f>
        <v>1959.75513457673</v>
      </c>
      <c r="G30" s="59" t="n">
        <f aca="false">G20-G28</f>
        <v>1847.6215607923</v>
      </c>
      <c r="H30" s="59" t="n">
        <f aca="false">H20-H28</f>
        <v>1755.33968516984</v>
      </c>
      <c r="I30" s="59" t="n">
        <f aca="false">I20-I28</f>
        <v>632.9133423268</v>
      </c>
      <c r="J30" s="59" t="n">
        <f aca="false">J20-J28</f>
        <v>1971.54577449572</v>
      </c>
      <c r="K30" s="59" t="n">
        <f aca="false">K20-K28</f>
        <v>1578.23792973651</v>
      </c>
      <c r="L30" s="59" t="n">
        <f aca="false">L20-L28</f>
        <v>1533.2447192429</v>
      </c>
      <c r="M30" s="59" t="n">
        <f aca="false">M20-M28</f>
        <v>549.908265410087</v>
      </c>
      <c r="N30" s="59" t="n">
        <f aca="false">N20-N28</f>
        <v>1714.94776082828</v>
      </c>
      <c r="O30" s="59" t="n">
        <f aca="false">O20-O28</f>
        <v>1828.84316599487</v>
      </c>
      <c r="P30" s="59" t="n">
        <f aca="false">P20-P28</f>
        <v>1918.85776164833</v>
      </c>
      <c r="Q30" s="59" t="n">
        <f aca="false">Q20-Q28</f>
        <v>1506.82008605072</v>
      </c>
      <c r="R30" s="59" t="n">
        <f aca="false">R20-R28</f>
        <v>2632.8552828175</v>
      </c>
      <c r="S30" s="59" t="n">
        <f aca="false">S20-S28</f>
        <v>2559.85364577885</v>
      </c>
      <c r="T30" s="59" t="n">
        <f aca="false">T20-T28</f>
        <v>2910.85983306189</v>
      </c>
      <c r="U30" s="59" t="n">
        <f aca="false">U20-U28</f>
        <v>2274.82902312872</v>
      </c>
      <c r="V30" s="59" t="n">
        <f aca="false">V20-V28</f>
        <v>3392.86095039363</v>
      </c>
      <c r="W30" s="59" t="n">
        <f aca="false">W20-W28</f>
        <v>3775.86126906761</v>
      </c>
      <c r="X30" s="59" t="n">
        <f aca="false">X20-X28</f>
        <v>3249.85760208514</v>
      </c>
      <c r="Y30" s="59" t="n">
        <f aca="false">Y20-Y28</f>
        <v>2956.43472949289</v>
      </c>
      <c r="Z30" s="59" t="n">
        <f aca="false">Z20-Z28</f>
        <v>3956.84990214328</v>
      </c>
      <c r="AA30" s="59" t="n">
        <f aca="false">AA20-AA28</f>
        <v>4192.46417818145</v>
      </c>
      <c r="AB30" s="59" t="n">
        <f aca="false">AB20-AB28</f>
        <v>4411.34618429109</v>
      </c>
      <c r="AC30" s="59" t="n">
        <f aca="false">AC20-AC28</f>
        <v>4192.53202342162</v>
      </c>
      <c r="AD30" s="59"/>
      <c r="AE30" s="59"/>
      <c r="AF30" s="59"/>
      <c r="AG30" s="59"/>
      <c r="AH30" s="59"/>
      <c r="AI30" s="60" t="n">
        <f aca="false">AI20-AI28</f>
        <v>4585.1266559086</v>
      </c>
      <c r="AJ30" s="60" t="n">
        <f aca="false">AJ20-AJ28</f>
        <v>6194.34673128447</v>
      </c>
      <c r="AK30" s="60" t="n">
        <f aca="false">AK20-AK28</f>
        <v>5632.66520996946</v>
      </c>
      <c r="AL30" s="60" t="n">
        <f aca="false">AL20-AL28</f>
        <v>6953.84484105724</v>
      </c>
      <c r="AM30" s="60" t="n">
        <f aca="false">AM20-AM28</f>
        <v>10417.494187185</v>
      </c>
      <c r="AN30" s="60" t="n">
        <f aca="false">AN20-AN28</f>
        <v>13326.1188748105</v>
      </c>
      <c r="AO30" s="59" t="n">
        <f aca="false">AO20-AO28</f>
        <v>16182.2669185</v>
      </c>
      <c r="AP30" s="59" t="n">
        <f aca="false">AP20-AP28</f>
        <v>19275.418985779</v>
      </c>
      <c r="AQ30" s="59" t="n">
        <f aca="false">AQ20-AQ28</f>
        <v>22441.2870149585</v>
      </c>
      <c r="AR30" s="59" t="n">
        <f aca="false">AR20-AR28</f>
        <v>25731.596240534</v>
      </c>
      <c r="AS30" s="59" t="n">
        <f aca="false">AS20-AS28</f>
        <v>29654.7587079314</v>
      </c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DI30" s="37"/>
      <c r="XEX30" s="37"/>
      <c r="XEY30" s="37"/>
      <c r="XEZ30" s="37"/>
      <c r="XFA30" s="37"/>
      <c r="XFB30" s="37"/>
      <c r="XFC30" s="37"/>
    </row>
    <row r="31" s="54" customFormat="true" ht="10.5" hidden="false" customHeight="true" outlineLevel="0" collapsed="false">
      <c r="B31" s="54" t="n">
        <f aca="false">+B30/B$16</f>
        <v>0.166123512218009</v>
      </c>
      <c r="C31" s="54" t="n">
        <f aca="false">+C30/C$16</f>
        <v>0.220854658115185</v>
      </c>
      <c r="D31" s="54" t="n">
        <f aca="false">+D30/D$16</f>
        <v>0.204308459202677</v>
      </c>
      <c r="E31" s="54" t="n">
        <f aca="false">+E30/E$16</f>
        <v>0.143611456557842</v>
      </c>
      <c r="F31" s="54" t="n">
        <f aca="false">+F30/F$16</f>
        <v>0.273586544362397</v>
      </c>
      <c r="G31" s="54" t="n">
        <f aca="false">+G30/G$16</f>
        <v>0.251658632616095</v>
      </c>
      <c r="H31" s="54" t="n">
        <f aca="false">+H30/H$16</f>
        <v>0.234564460695652</v>
      </c>
      <c r="I31" s="54" t="n">
        <f aca="false">+I30/I$16</f>
        <v>0.0820973813870002</v>
      </c>
      <c r="J31" s="54" t="n">
        <f aca="false">+J30/J$16</f>
        <v>0.25058730944186</v>
      </c>
      <c r="K31" s="54" t="n">
        <f aca="false">+K30/K$16</f>
        <v>0.198022324935572</v>
      </c>
      <c r="L31" s="54" t="n">
        <f aca="false">+L30/L$16</f>
        <v>0.193469365204152</v>
      </c>
      <c r="M31" s="54" t="n">
        <f aca="false">+M30/M$16</f>
        <v>0.0700341652330727</v>
      </c>
      <c r="N31" s="54" t="n">
        <f aca="false">+N30/N$16</f>
        <v>0.210126540565862</v>
      </c>
      <c r="O31" s="54" t="n">
        <f aca="false">+O30/O$16</f>
        <v>0.223383799437507</v>
      </c>
      <c r="P31" s="54" t="n">
        <f aca="false">+P30/P$16</f>
        <v>0.224637995978498</v>
      </c>
      <c r="Q31" s="54" t="n">
        <f aca="false">+Q30/Q$16</f>
        <v>0.170609158293787</v>
      </c>
      <c r="R31" s="54" t="n">
        <f aca="false">+R30/R$16</f>
        <v>0.280987756970918</v>
      </c>
      <c r="S31" s="54" t="n">
        <f aca="false">+S30/S$16</f>
        <v>0.26779512980216</v>
      </c>
      <c r="T31" s="54" t="n">
        <f aca="false">+T30/T$16</f>
        <v>0.296300878772586</v>
      </c>
      <c r="U31" s="54" t="n">
        <f aca="false">+U30/U$16</f>
        <v>0.221999514309429</v>
      </c>
      <c r="V31" s="54" t="n">
        <f aca="false">+V30/V$16</f>
        <v>0.321811718713234</v>
      </c>
      <c r="W31" s="54" t="n">
        <f aca="false">+W30/W$16</f>
        <v>0.340812462231935</v>
      </c>
      <c r="X31" s="54" t="n">
        <f aca="false">+X30/X$16</f>
        <v>0.282350790798014</v>
      </c>
      <c r="Y31" s="54" t="n">
        <f aca="false">+Y30/Y$16</f>
        <v>0.245333028744628</v>
      </c>
      <c r="Z31" s="54" t="n">
        <f aca="false">+Z30/Z$16</f>
        <v>0.323014562831188</v>
      </c>
      <c r="AA31" s="54" t="n">
        <f aca="false">+AA30/AA$16</f>
        <v>0.333796566366924</v>
      </c>
      <c r="AB31" s="54" t="n">
        <f aca="false">+AB30/AB$16</f>
        <v>0.331828613875463</v>
      </c>
      <c r="AC31" s="54" t="n">
        <f aca="false">+AC30/AC$16</f>
        <v>0.301218838389164</v>
      </c>
      <c r="AI31" s="54" t="n">
        <f aca="false">+AI30/AI$16</f>
        <v>0.183434004784939</v>
      </c>
      <c r="AJ31" s="54" t="n">
        <f aca="false">+AJ30/AJ$16</f>
        <v>0.208579004296893</v>
      </c>
      <c r="AK31" s="54" t="n">
        <f aca="false">+AK30/AK$16</f>
        <v>0.178161227939083</v>
      </c>
      <c r="AL31" s="54" t="n">
        <f aca="false">+AL30/AL$16</f>
        <v>0.206202994952043</v>
      </c>
      <c r="AM31" s="54" t="n">
        <f aca="false">+AM30/AM$16</f>
        <v>0.267108414030887</v>
      </c>
      <c r="AN31" s="54" t="n">
        <f aca="false">+AN30/AN$16</f>
        <v>0.29493852458597</v>
      </c>
      <c r="AO31" s="54" t="n">
        <f aca="false">+AO30/AO$16</f>
        <v>0.314997216422015</v>
      </c>
      <c r="AP31" s="54" t="n">
        <f aca="false">+AP30/AP$16</f>
        <v>0.329997551822352</v>
      </c>
      <c r="AQ31" s="54" t="n">
        <f aca="false">+AQ30/AQ$16</f>
        <v>0.339997878922763</v>
      </c>
      <c r="AR31" s="54" t="n">
        <f aca="false">+AR30/AR$16</f>
        <v>0.344998122940499</v>
      </c>
      <c r="AS31" s="54" t="n">
        <f aca="false">+AS30/AS$16</f>
        <v>0.35499838390923</v>
      </c>
      <c r="DI31" s="37"/>
      <c r="XEX31" s="37"/>
      <c r="XEY31" s="37"/>
      <c r="XEZ31" s="37"/>
      <c r="XFA31" s="37"/>
      <c r="XFB31" s="37"/>
      <c r="XFC31" s="37"/>
    </row>
    <row r="32" s="57" customFormat="true" ht="12.8" hidden="false" customHeight="true" outlineLevel="0" collapsed="false">
      <c r="A32" s="59" t="s">
        <v>92</v>
      </c>
      <c r="B32" s="59" t="n">
        <v>-184</v>
      </c>
      <c r="C32" s="59" t="n">
        <v>-189.1</v>
      </c>
      <c r="D32" s="59" t="n">
        <v>-197</v>
      </c>
      <c r="E32" s="59" t="n">
        <v>-197.1</v>
      </c>
      <c r="F32" s="59" t="n">
        <v>-194.4</v>
      </c>
      <c r="G32" s="59" t="n">
        <v>-191.3</v>
      </c>
      <c r="H32" s="59" t="n">
        <v>-190</v>
      </c>
      <c r="I32" s="59" t="n">
        <v>-189.4</v>
      </c>
      <c r="J32" s="59" t="n">
        <v>-187.5</v>
      </c>
      <c r="K32" s="59" t="n">
        <v>-175.4</v>
      </c>
      <c r="L32" s="59" t="n">
        <v>-187.5</v>
      </c>
      <c r="M32" s="59" t="n">
        <v>-170.6</v>
      </c>
      <c r="N32" s="59" t="n">
        <v>-174.2</v>
      </c>
      <c r="O32" s="59" t="n">
        <v>-174.8</v>
      </c>
      <c r="P32" s="59" t="n">
        <v>-175.5</v>
      </c>
      <c r="Q32" s="59" t="n">
        <v>-175.2</v>
      </c>
      <c r="R32" s="59" t="n">
        <v>-173.3</v>
      </c>
      <c r="S32" s="59" t="n">
        <v>-167.9</v>
      </c>
      <c r="T32" s="59" t="n">
        <v>-184.8</v>
      </c>
      <c r="U32" s="59" t="n">
        <v>-192.6</v>
      </c>
      <c r="V32" s="59" t="n">
        <v>-184.1</v>
      </c>
      <c r="W32" s="59" t="n">
        <v>-182.6</v>
      </c>
      <c r="X32" s="59" t="n">
        <v>-175</v>
      </c>
      <c r="Y32" s="59" t="n">
        <v>-234.395</v>
      </c>
      <c r="Z32" s="59" t="n">
        <v>-262.077</v>
      </c>
      <c r="AA32" s="59" t="n">
        <v>-175.685</v>
      </c>
      <c r="AB32" s="59" t="n">
        <v>-175</v>
      </c>
      <c r="AC32" s="59" t="n">
        <v>-234.3</v>
      </c>
      <c r="AD32" s="59"/>
      <c r="AE32" s="59"/>
      <c r="AF32" s="59"/>
      <c r="AG32" s="59"/>
      <c r="AH32" s="59"/>
      <c r="AI32" s="60" t="n">
        <v>-767.499</v>
      </c>
      <c r="AJ32" s="60" t="n">
        <v>-765.62</v>
      </c>
      <c r="AK32" s="60" t="n">
        <v>-706.212</v>
      </c>
      <c r="AL32" s="60" t="n">
        <v>-699.826</v>
      </c>
      <c r="AM32" s="60" t="n">
        <v>-718.733</v>
      </c>
      <c r="AN32" s="60" t="n">
        <v>-776.51</v>
      </c>
      <c r="AO32" s="59" t="n">
        <f aca="false">SUM(Z32:AC32)</f>
        <v>-847.062</v>
      </c>
      <c r="AP32" s="59" t="n">
        <f aca="false">AO32*1.02</f>
        <v>-864.00324</v>
      </c>
      <c r="AQ32" s="59" t="n">
        <f aca="false">AP32*1.02</f>
        <v>-881.2833048</v>
      </c>
      <c r="AR32" s="59" t="n">
        <f aca="false">AQ32*1.02</f>
        <v>-898.908970896</v>
      </c>
      <c r="AS32" s="59" t="n">
        <f aca="false">AR32*1.02</f>
        <v>-916.88715031392</v>
      </c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DI32" s="37"/>
      <c r="XEX32" s="37"/>
      <c r="XEY32" s="37"/>
      <c r="XEZ32" s="37"/>
      <c r="XFA32" s="37"/>
      <c r="XFB32" s="37"/>
      <c r="XFC32" s="37"/>
    </row>
    <row r="33" s="54" customFormat="true" ht="10.5" hidden="false" customHeight="true" outlineLevel="0" collapsed="false">
      <c r="B33" s="54" t="n">
        <f aca="false">+B32/B$16</f>
        <v>-0.0319023510645676</v>
      </c>
      <c r="C33" s="54" t="n">
        <f aca="false">+C32/C$16</f>
        <v>-0.0307569695195342</v>
      </c>
      <c r="D33" s="54" t="n">
        <f aca="false">+D32/D$16</f>
        <v>-0.0306109764435328</v>
      </c>
      <c r="E33" s="54" t="n">
        <f aca="false">+E32/E$16</f>
        <v>-0.0296640780205888</v>
      </c>
      <c r="F33" s="54" t="n">
        <f aca="false">+F32/F$16</f>
        <v>-0.0271387089568908</v>
      </c>
      <c r="G33" s="54" t="n">
        <f aca="false">+G32/G$16</f>
        <v>-0.0260563621041609</v>
      </c>
      <c r="H33" s="54" t="n">
        <f aca="false">+H32/H$16</f>
        <v>-0.0253895288237967</v>
      </c>
      <c r="I33" s="54" t="n">
        <f aca="false">+I32/I$16</f>
        <v>-0.0245677298846847</v>
      </c>
      <c r="J33" s="54" t="n">
        <f aca="false">+J32/J$16</f>
        <v>-0.0238316153386631</v>
      </c>
      <c r="K33" s="54" t="n">
        <f aca="false">+K32/K$16</f>
        <v>-0.0220075282308658</v>
      </c>
      <c r="L33" s="54" t="n">
        <f aca="false">+L32/L$16</f>
        <v>-0.0236593059936909</v>
      </c>
      <c r="M33" s="54" t="n">
        <f aca="false">+M32/M$16</f>
        <v>-0.0217269485481406</v>
      </c>
      <c r="N33" s="54" t="n">
        <f aca="false">+N32/N$16</f>
        <v>-0.0213441156650126</v>
      </c>
      <c r="O33" s="54" t="n">
        <f aca="false">+O32/O$16</f>
        <v>-0.0213509221937218</v>
      </c>
      <c r="P33" s="54" t="n">
        <f aca="false">+P32/P$16</f>
        <v>-0.0205455396862561</v>
      </c>
      <c r="Q33" s="54" t="n">
        <f aca="false">+Q32/Q$16</f>
        <v>-0.0198369565217391</v>
      </c>
      <c r="R33" s="54" t="n">
        <f aca="false">+R32/R$16</f>
        <v>-0.0184951974386339</v>
      </c>
      <c r="S33" s="54" t="n">
        <f aca="false">+S32/S$16</f>
        <v>-0.0175645988074066</v>
      </c>
      <c r="T33" s="54" t="n">
        <f aca="false">+T32/T$16</f>
        <v>-0.0188110749185668</v>
      </c>
      <c r="U33" s="54" t="n">
        <f aca="false">+U32/U$16</f>
        <v>-0.0187957450961257</v>
      </c>
      <c r="V33" s="54" t="n">
        <f aca="false">+V32/V$16</f>
        <v>-0.0174618230105283</v>
      </c>
      <c r="W33" s="54" t="n">
        <f aca="false">+W32/W$16</f>
        <v>-0.0164816319162379</v>
      </c>
      <c r="X33" s="54" t="n">
        <f aca="false">+X32/X$16</f>
        <v>-0.0152041702867072</v>
      </c>
      <c r="Y33" s="54" t="n">
        <f aca="false">+Y32/Y$16</f>
        <v>-0.0194507373015675</v>
      </c>
      <c r="Z33" s="54" t="n">
        <f aca="false">+Z32/Z$16</f>
        <v>-0.0213944652126569</v>
      </c>
      <c r="AA33" s="54" t="n">
        <f aca="false">+AA32/AA$16</f>
        <v>-0.0139877282833721</v>
      </c>
      <c r="AB33" s="54" t="n">
        <f aca="false">+AB32/AB$16</f>
        <v>-0.0131637837980149</v>
      </c>
      <c r="AC33" s="54" t="n">
        <f aca="false">+AC32/AC$16</f>
        <v>-0.0168336397767053</v>
      </c>
      <c r="AI33" s="54" t="n">
        <f aca="false">+AI32/AI$16</f>
        <v>-0.0307048039898774</v>
      </c>
      <c r="AJ33" s="54" t="n">
        <f aca="false">+AJ32/AJ$16</f>
        <v>-0.0257803226389094</v>
      </c>
      <c r="AK33" s="54" t="n">
        <f aca="false">+AK32/AK$16</f>
        <v>-0.0223374889888046</v>
      </c>
      <c r="AL33" s="54" t="n">
        <f aca="false">+AL32/AL$16</f>
        <v>-0.0207520041708852</v>
      </c>
      <c r="AM33" s="54" t="n">
        <f aca="false">+AM32/AM$16</f>
        <v>-0.0184285806444533</v>
      </c>
      <c r="AN33" s="54" t="n">
        <f aca="false">+AN32/AN$16</f>
        <v>-0.0171860026071926</v>
      </c>
      <c r="AO33" s="54" t="n">
        <f aca="false">+AO32/AO$16</f>
        <v>-0.0164885533949404</v>
      </c>
      <c r="AP33" s="54" t="n">
        <f aca="false">+AP32/AP$16</f>
        <v>-0.0147918420957249</v>
      </c>
      <c r="AQ33" s="54" t="n">
        <f aca="false">+AQ32/AQ$16</f>
        <v>-0.0133519282633977</v>
      </c>
      <c r="AR33" s="54" t="n">
        <f aca="false">+AR32/AR$16</f>
        <v>-0.0120521830342174</v>
      </c>
      <c r="AS33" s="54" t="n">
        <f aca="false">+AS32/AS$16</f>
        <v>-0.0109760952633051</v>
      </c>
      <c r="DI33" s="37"/>
      <c r="XEX33" s="37"/>
      <c r="XEY33" s="37"/>
      <c r="XEZ33" s="37"/>
      <c r="XFA33" s="37"/>
      <c r="XFB33" s="37"/>
      <c r="XFC33" s="37"/>
    </row>
    <row r="34" s="57" customFormat="true" ht="12.8" hidden="false" customHeight="true" outlineLevel="0" collapsed="false">
      <c r="A34" s="59" t="s">
        <v>93</v>
      </c>
      <c r="B34" s="59" t="n">
        <v>21.6</v>
      </c>
      <c r="C34" s="59" t="n">
        <v>-133.1</v>
      </c>
      <c r="D34" s="59" t="n">
        <v>-256.3</v>
      </c>
      <c r="E34" s="59" t="n">
        <v>-250.6</v>
      </c>
      <c r="F34" s="59" t="n">
        <v>269</v>
      </c>
      <c r="G34" s="59" t="n">
        <v>-62.5</v>
      </c>
      <c r="H34" s="59" t="n">
        <v>96.1</v>
      </c>
      <c r="I34" s="59" t="n">
        <v>108.5</v>
      </c>
      <c r="J34" s="59" t="n">
        <v>195.6</v>
      </c>
      <c r="K34" s="59" t="n">
        <v>220.2</v>
      </c>
      <c r="L34" s="59" t="n">
        <v>195</v>
      </c>
      <c r="M34" s="59" t="n">
        <v>-339.9</v>
      </c>
      <c r="N34" s="59" t="n">
        <v>-71</v>
      </c>
      <c r="O34" s="59" t="n">
        <v>26.9</v>
      </c>
      <c r="P34" s="59" t="n">
        <v>168.2</v>
      </c>
      <c r="Q34" s="59" t="n">
        <v>-172.7</v>
      </c>
      <c r="R34" s="59" t="n">
        <v>155.3</v>
      </c>
      <c r="S34" s="59" t="n">
        <v>79</v>
      </c>
      <c r="T34" s="59" t="n">
        <v>-21.6</v>
      </c>
      <c r="U34" s="59" t="n">
        <v>54.1</v>
      </c>
      <c r="V34" s="59" t="n">
        <v>50</v>
      </c>
      <c r="W34" s="59" t="n">
        <v>39.6</v>
      </c>
      <c r="X34" s="59" t="n">
        <v>36.4</v>
      </c>
      <c r="Y34" s="59" t="n">
        <v>45.473</v>
      </c>
      <c r="Z34" s="59" t="n">
        <v>2852.166</v>
      </c>
      <c r="AA34" s="59" t="n">
        <v>51.661</v>
      </c>
      <c r="AB34" s="59" t="n">
        <f aca="false">AA34</f>
        <v>51.661</v>
      </c>
      <c r="AC34" s="59" t="n">
        <f aca="false">AB34</f>
        <v>51.661</v>
      </c>
      <c r="AD34" s="59"/>
      <c r="AE34" s="59"/>
      <c r="AF34" s="59"/>
      <c r="AG34" s="59"/>
      <c r="AH34" s="59"/>
      <c r="AI34" s="60" t="n">
        <v>-618.441</v>
      </c>
      <c r="AJ34" s="60" t="n">
        <v>411.214</v>
      </c>
      <c r="AK34" s="60" t="n">
        <v>337.31</v>
      </c>
      <c r="AL34" s="60" t="n">
        <v>-48.772</v>
      </c>
      <c r="AM34" s="60" t="n">
        <v>266.776</v>
      </c>
      <c r="AN34" s="60" t="n">
        <v>172.459</v>
      </c>
      <c r="AO34" s="59" t="n">
        <f aca="false">+AO16*0.003</f>
        <v>154.1181897</v>
      </c>
      <c r="AP34" s="59" t="n">
        <f aca="false">+AP16*0.003</f>
        <v>175.2323816889</v>
      </c>
      <c r="AQ34" s="59" t="n">
        <f aca="false">+AQ16*0.003</f>
        <v>198.012591308457</v>
      </c>
      <c r="AR34" s="59" t="n">
        <f aca="false">+AR16*0.003</f>
        <v>223.754228178557</v>
      </c>
      <c r="AS34" s="59" t="n">
        <f aca="false">+AS16*0.003</f>
        <v>250.604735559983</v>
      </c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DI34" s="37"/>
      <c r="XEX34" s="37"/>
      <c r="XEY34" s="37"/>
      <c r="XEZ34" s="37"/>
      <c r="XFA34" s="37"/>
      <c r="XFB34" s="37"/>
      <c r="XFC34" s="37"/>
    </row>
    <row r="35" s="54" customFormat="true" ht="10.5" hidden="false" customHeight="true" outlineLevel="0" collapsed="false">
      <c r="B35" s="54" t="n">
        <f aca="false">+B34/B$16</f>
        <v>0.00374505860323185</v>
      </c>
      <c r="C35" s="54" t="n">
        <f aca="false">+C34/C$16</f>
        <v>-0.0216486126020624</v>
      </c>
      <c r="D35" s="54" t="n">
        <f aca="false">+D34/D$16</f>
        <v>-0.0398253465100379</v>
      </c>
      <c r="E35" s="54" t="n">
        <f aca="false">+E34/E$16</f>
        <v>-0.0377159713442899</v>
      </c>
      <c r="F35" s="54" t="n">
        <f aca="false">+F34/F$16</f>
        <v>0.0375530489166853</v>
      </c>
      <c r="G35" s="54" t="n">
        <f aca="false">+G34/G$16</f>
        <v>-0.0085129254130165</v>
      </c>
      <c r="H35" s="54" t="n">
        <f aca="false">+H34/H$16</f>
        <v>0.0128417564208782</v>
      </c>
      <c r="I35" s="54" t="n">
        <f aca="false">+I34/I$16</f>
        <v>0.0140739107311948</v>
      </c>
      <c r="J35" s="54" t="n">
        <f aca="false">+J34/J$16</f>
        <v>0.0248611411212934</v>
      </c>
      <c r="K35" s="54" t="n">
        <f aca="false">+K34/K$16</f>
        <v>0.0276286072772898</v>
      </c>
      <c r="L35" s="54" t="n">
        <f aca="false">+L34/L$16</f>
        <v>0.0246056782334385</v>
      </c>
      <c r="M35" s="54" t="n">
        <f aca="false">+M34/M$16</f>
        <v>-0.0432883341823739</v>
      </c>
      <c r="N35" s="54" t="n">
        <f aca="false">+N34/N$16</f>
        <v>-0.00869938124119341</v>
      </c>
      <c r="O35" s="54" t="n">
        <f aca="false">+O34/O$16</f>
        <v>0.00328569683644803</v>
      </c>
      <c r="P35" s="54" t="n">
        <f aca="false">+P34/P$16</f>
        <v>0.0196909388901897</v>
      </c>
      <c r="Q35" s="54" t="n">
        <f aca="false">+Q34/Q$16</f>
        <v>-0.0195538949275362</v>
      </c>
      <c r="R35" s="54" t="n">
        <f aca="false">+R34/R$16</f>
        <v>0.0165741728922092</v>
      </c>
      <c r="S35" s="54" t="n">
        <f aca="false">+S34/S$16</f>
        <v>0.00826446280991736</v>
      </c>
      <c r="T35" s="54" t="n">
        <f aca="false">+T34/T$16</f>
        <v>-0.00219869706840391</v>
      </c>
      <c r="U35" s="54" t="n">
        <f aca="false">+U34/U$16</f>
        <v>0.00527959402752025</v>
      </c>
      <c r="V35" s="54" t="n">
        <f aca="false">+V34/V$16</f>
        <v>0.00474248316418477</v>
      </c>
      <c r="W35" s="54" t="n">
        <f aca="false">+W34/W$16</f>
        <v>0.00357432981316003</v>
      </c>
      <c r="X35" s="54" t="n">
        <f aca="false">+X34/X$16</f>
        <v>0.0031624674196351</v>
      </c>
      <c r="Y35" s="54" t="n">
        <f aca="false">+Y34/Y$16</f>
        <v>0.00377347374011468</v>
      </c>
      <c r="Z35" s="54" t="n">
        <f aca="false">+Z34/Z$16</f>
        <v>0.23283449622715</v>
      </c>
      <c r="AA35" s="54" t="n">
        <f aca="false">+AA34/AA$16</f>
        <v>0.00411315724647685</v>
      </c>
      <c r="AB35" s="54" t="n">
        <f aca="false">+AB34/AB$16</f>
        <v>0.0038860241987957</v>
      </c>
      <c r="AC35" s="54" t="n">
        <f aca="false">+AC34/AC$16</f>
        <v>0.00371166310074423</v>
      </c>
      <c r="AI35" s="54" t="n">
        <f aca="false">+AI34/AI$16</f>
        <v>-0.0247415432258593</v>
      </c>
      <c r="AJ35" s="54" t="n">
        <f aca="false">+AJ34/AJ$16</f>
        <v>0.0138465943857743</v>
      </c>
      <c r="AK35" s="54" t="n">
        <f aca="false">+AK34/AK$16</f>
        <v>0.0106691169377095</v>
      </c>
      <c r="AL35" s="54" t="n">
        <f aca="false">+AL34/AL$16</f>
        <v>-0.00144624056182882</v>
      </c>
      <c r="AM35" s="54" t="n">
        <f aca="false">+AM34/AM$16</f>
        <v>0.00684023556731731</v>
      </c>
      <c r="AN35" s="54" t="n">
        <f aca="false">+AN34/AN$16</f>
        <v>0.00381692550467325</v>
      </c>
      <c r="AO35" s="54" t="n">
        <f aca="false">+AO34/AO$16</f>
        <v>0.003</v>
      </c>
      <c r="AP35" s="54" t="n">
        <f aca="false">+AP34/AP$16</f>
        <v>0.003</v>
      </c>
      <c r="AQ35" s="54" t="n">
        <f aca="false">+AQ34/AQ$16</f>
        <v>0.003</v>
      </c>
      <c r="AR35" s="54" t="n">
        <f aca="false">+AR34/AR$16</f>
        <v>0.003</v>
      </c>
      <c r="AS35" s="54" t="n">
        <f aca="false">+AS34/AS$16</f>
        <v>0.003</v>
      </c>
      <c r="DI35" s="37"/>
      <c r="XEX35" s="37"/>
      <c r="XEY35" s="37"/>
      <c r="XEZ35" s="37"/>
      <c r="XFA35" s="37"/>
      <c r="XFB35" s="37"/>
      <c r="XFC35" s="37"/>
    </row>
    <row r="36" customFormat="false" ht="12.8" hidden="false" customHeight="true" outlineLevel="0" collapsed="false">
      <c r="A36" s="59" t="s">
        <v>94</v>
      </c>
      <c r="B36" s="59" t="n">
        <f aca="false">B30+B32+B34</f>
        <v>795.73396906859</v>
      </c>
      <c r="C36" s="59" t="n">
        <f aca="false">C30+C32+C34</f>
        <v>1035.65860902378</v>
      </c>
      <c r="D36" s="59" t="n">
        <f aca="false">D30+D32+D34</f>
        <v>861.547520044751</v>
      </c>
      <c r="E36" s="59" t="n">
        <f aca="false">E30+E32+E34</f>
        <v>506.511961952923</v>
      </c>
      <c r="F36" s="59" t="n">
        <f aca="false">F30+F32+F34</f>
        <v>2034.35513457673</v>
      </c>
      <c r="G36" s="59" t="n">
        <f aca="false">G30+G32+G34</f>
        <v>1593.8215607923</v>
      </c>
      <c r="H36" s="59" t="n">
        <f aca="false">H30+H32+H34</f>
        <v>1661.43968516984</v>
      </c>
      <c r="I36" s="59" t="n">
        <f aca="false">I30+I32+I34</f>
        <v>552.0133423268</v>
      </c>
      <c r="J36" s="59" t="n">
        <f aca="false">J30+J32+J34</f>
        <v>1979.64577449572</v>
      </c>
      <c r="K36" s="59" t="n">
        <f aca="false">K30+K32+K34</f>
        <v>1623.03792973651</v>
      </c>
      <c r="L36" s="59" t="n">
        <f aca="false">L30+L32+L34</f>
        <v>1540.7447192429</v>
      </c>
      <c r="M36" s="59" t="n">
        <f aca="false">M30+M32+M34</f>
        <v>39.4082654100866</v>
      </c>
      <c r="N36" s="59" t="n">
        <f aca="false">N30+N32+N34</f>
        <v>1469.74776082828</v>
      </c>
      <c r="O36" s="59" t="n">
        <f aca="false">O30+O32+O34</f>
        <v>1680.94316599487</v>
      </c>
      <c r="P36" s="59" t="n">
        <f aca="false">P30+P32+P34</f>
        <v>1911.55776164833</v>
      </c>
      <c r="Q36" s="59" t="n">
        <f aca="false">Q30+Q32+Q34</f>
        <v>1158.92008605072</v>
      </c>
      <c r="R36" s="59" t="n">
        <f aca="false">R30+R32+R34</f>
        <v>2614.8552828175</v>
      </c>
      <c r="S36" s="59" t="n">
        <f aca="false">S30+S32+S34</f>
        <v>2470.95364577885</v>
      </c>
      <c r="T36" s="59" t="n">
        <f aca="false">T30+T32+T34</f>
        <v>2704.45983306189</v>
      </c>
      <c r="U36" s="59" t="n">
        <f aca="false">U30+U32+U34</f>
        <v>2136.32902312872</v>
      </c>
      <c r="V36" s="59" t="n">
        <f aca="false">V30+V32+V34</f>
        <v>3258.76095039363</v>
      </c>
      <c r="W36" s="59" t="n">
        <f aca="false">W30+W32+W34</f>
        <v>3632.86126906761</v>
      </c>
      <c r="X36" s="59" t="n">
        <f aca="false">X30+X32+X34</f>
        <v>3111.25760208514</v>
      </c>
      <c r="Y36" s="59" t="n">
        <f aca="false">Y30+Y32+Y34</f>
        <v>2767.51272949289</v>
      </c>
      <c r="Z36" s="59" t="n">
        <f aca="false">Z30+Z32+Z34</f>
        <v>6546.93890214328</v>
      </c>
      <c r="AA36" s="59" t="n">
        <f aca="false">AA30+AA32+AA34</f>
        <v>4068.44017818145</v>
      </c>
      <c r="AB36" s="59" t="n">
        <f aca="false">AB30+AB32+AB34</f>
        <v>4288.00718429109</v>
      </c>
      <c r="AC36" s="59" t="n">
        <f aca="false">AC30+AC32+AC34</f>
        <v>4009.89302342162</v>
      </c>
      <c r="AD36" s="59"/>
      <c r="AE36" s="59"/>
      <c r="AF36" s="59"/>
      <c r="AG36" s="59"/>
      <c r="AH36" s="59"/>
      <c r="AI36" s="60" t="n">
        <f aca="false">AI30+AI32+AI34</f>
        <v>3199.1866559086</v>
      </c>
      <c r="AJ36" s="60" t="n">
        <f aca="false">AJ30+AJ32+AJ34</f>
        <v>5839.94073128447</v>
      </c>
      <c r="AK36" s="60" t="n">
        <f aca="false">AK30+AK32+AK34</f>
        <v>5263.76320996946</v>
      </c>
      <c r="AL36" s="60" t="n">
        <f aca="false">AL30+AL32+AL34</f>
        <v>6205.24684105724</v>
      </c>
      <c r="AM36" s="60" t="n">
        <f aca="false">AM30+AM32+AM34</f>
        <v>9965.53718718496</v>
      </c>
      <c r="AN36" s="60" t="n">
        <f aca="false">AN30+AN32+AN34</f>
        <v>12722.0678748105</v>
      </c>
      <c r="AO36" s="59" t="n">
        <f aca="false">AO30+AO32+AO34</f>
        <v>15489.3231082</v>
      </c>
      <c r="AP36" s="59" t="n">
        <f aca="false">AP30+AP32+AP34</f>
        <v>18586.6481274679</v>
      </c>
      <c r="AQ36" s="59" t="n">
        <f aca="false">AQ30+AQ32+AQ34</f>
        <v>21758.0163014669</v>
      </c>
      <c r="AR36" s="59" t="n">
        <f aca="false">AR30+AR32+AR34</f>
        <v>25056.4414978166</v>
      </c>
      <c r="AS36" s="59" t="n">
        <f aca="false">AS30+AS32+AS34</f>
        <v>28988.4762931774</v>
      </c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  <c r="DA36" s="57"/>
      <c r="DB36" s="57"/>
      <c r="DC36" s="57"/>
      <c r="DD36" s="57"/>
      <c r="DE36" s="57"/>
      <c r="DF36" s="57"/>
      <c r="DG36" s="57"/>
      <c r="DH36" s="57"/>
    </row>
    <row r="37" s="54" customFormat="true" ht="10.5" hidden="false" customHeight="true" outlineLevel="0" collapsed="false">
      <c r="B37" s="54" t="n">
        <f aca="false">+B36/B$16</f>
        <v>0.137966219756674</v>
      </c>
      <c r="C37" s="54" t="n">
        <f aca="false">+C36/C$16</f>
        <v>0.168449075993588</v>
      </c>
      <c r="D37" s="54" t="n">
        <f aca="false">+D36/D$16</f>
        <v>0.133872136249107</v>
      </c>
      <c r="E37" s="54" t="n">
        <f aca="false">+E36/E$16</f>
        <v>0.076231407192963</v>
      </c>
      <c r="F37" s="54" t="n">
        <f aca="false">+F36/F$16</f>
        <v>0.284000884322192</v>
      </c>
      <c r="G37" s="54" t="n">
        <f aca="false">+G36/G$16</f>
        <v>0.217089345098918</v>
      </c>
      <c r="H37" s="54" t="n">
        <f aca="false">+H36/H$16</f>
        <v>0.222016688292734</v>
      </c>
      <c r="I37" s="54" t="n">
        <f aca="false">+I36/I$16</f>
        <v>0.0716035622335102</v>
      </c>
      <c r="J37" s="54" t="n">
        <f aca="false">+J36/J$16</f>
        <v>0.25161683522449</v>
      </c>
      <c r="K37" s="54" t="n">
        <f aca="false">+K36/K$16</f>
        <v>0.203643403981996</v>
      </c>
      <c r="L37" s="54" t="n">
        <f aca="false">+L36/L$16</f>
        <v>0.194415737443899</v>
      </c>
      <c r="M37" s="54" t="n">
        <f aca="false">+M36/M$16</f>
        <v>0.00501888250255816</v>
      </c>
      <c r="N37" s="54" t="n">
        <f aca="false">+N36/N$16</f>
        <v>0.180083043659656</v>
      </c>
      <c r="O37" s="54" t="n">
        <f aca="false">+O36/O$16</f>
        <v>0.205318574080233</v>
      </c>
      <c r="P37" s="54" t="n">
        <f aca="false">+P36/P$16</f>
        <v>0.223783395182431</v>
      </c>
      <c r="Q37" s="54" t="n">
        <f aca="false">+Q36/Q$16</f>
        <v>0.131218306844511</v>
      </c>
      <c r="R37" s="54" t="n">
        <f aca="false">+R36/R$16</f>
        <v>0.279066732424493</v>
      </c>
      <c r="S37" s="54" t="n">
        <f aca="false">+S36/S$16</f>
        <v>0.258494993804671</v>
      </c>
      <c r="T37" s="54" t="n">
        <f aca="false">+T36/T$16</f>
        <v>0.275291106785616</v>
      </c>
      <c r="U37" s="54" t="n">
        <f aca="false">+U36/U$16</f>
        <v>0.208483363240824</v>
      </c>
      <c r="V37" s="54" t="n">
        <f aca="false">+V36/V$16</f>
        <v>0.30909237886689</v>
      </c>
      <c r="W37" s="54" t="n">
        <f aca="false">+W36/W$16</f>
        <v>0.327905160128857</v>
      </c>
      <c r="X37" s="54" t="n">
        <f aca="false">+X36/X$16</f>
        <v>0.270309087930942</v>
      </c>
      <c r="Y37" s="54" t="n">
        <f aca="false">+Y36/Y$16</f>
        <v>0.229655765183175</v>
      </c>
      <c r="Z37" s="54" t="n">
        <f aca="false">+Z36/Z$16</f>
        <v>0.534454593845681</v>
      </c>
      <c r="AA37" s="54" t="n">
        <f aca="false">+AA36/AA$16</f>
        <v>0.323921995330029</v>
      </c>
      <c r="AB37" s="54" t="n">
        <f aca="false">+AB36/AB$16</f>
        <v>0.322550854276243</v>
      </c>
      <c r="AC37" s="54" t="n">
        <f aca="false">+AC36/AC$16</f>
        <v>0.288096861713202</v>
      </c>
      <c r="AI37" s="54" t="n">
        <f aca="false">+AI36/AI$16</f>
        <v>0.127987657569202</v>
      </c>
      <c r="AJ37" s="54" t="n">
        <f aca="false">+AJ36/AJ$16</f>
        <v>0.196645276043758</v>
      </c>
      <c r="AK37" s="54" t="n">
        <f aca="false">+AK36/AK$16</f>
        <v>0.166492855887987</v>
      </c>
      <c r="AL37" s="54" t="n">
        <f aca="false">+AL36/AL$16</f>
        <v>0.184004750219329</v>
      </c>
      <c r="AM37" s="54" t="n">
        <f aca="false">+AM36/AM$16</f>
        <v>0.255520068953751</v>
      </c>
      <c r="AN37" s="54" t="n">
        <f aca="false">+AN36/AN$16</f>
        <v>0.28156944748345</v>
      </c>
      <c r="AO37" s="54" t="n">
        <f aca="false">+AO36/AO$16</f>
        <v>0.301508663027074</v>
      </c>
      <c r="AP37" s="54" t="n">
        <f aca="false">+AP36/AP$16</f>
        <v>0.318205709726627</v>
      </c>
      <c r="AQ37" s="54" t="n">
        <f aca="false">+AQ36/AQ$16</f>
        <v>0.329645950659366</v>
      </c>
      <c r="AR37" s="54" t="n">
        <f aca="false">+AR36/AR$16</f>
        <v>0.335945939906281</v>
      </c>
      <c r="AS37" s="54" t="n">
        <f aca="false">+AS36/AS$16</f>
        <v>0.347022288645925</v>
      </c>
      <c r="DI37" s="37"/>
      <c r="XEX37" s="37"/>
      <c r="XEY37" s="37"/>
      <c r="XEZ37" s="37"/>
      <c r="XFA37" s="37"/>
      <c r="XFB37" s="37"/>
      <c r="XFC37" s="37"/>
    </row>
    <row r="38" customFormat="false" ht="12.8" hidden="false" customHeight="true" outlineLevel="0" collapsed="false">
      <c r="A38" s="59" t="s">
        <v>95</v>
      </c>
      <c r="B38" s="59" t="n">
        <v>86.8</v>
      </c>
      <c r="C38" s="59" t="n">
        <v>315.4</v>
      </c>
      <c r="D38" s="59" t="n">
        <v>71.4</v>
      </c>
      <c r="E38" s="59" t="n">
        <v>-35.7</v>
      </c>
      <c r="F38" s="59" t="n">
        <v>327.7</v>
      </c>
      <c r="G38" s="59" t="n">
        <v>240.7</v>
      </c>
      <c r="H38" s="59" t="n">
        <v>211.8</v>
      </c>
      <c r="I38" s="59" t="n">
        <v>-56.5</v>
      </c>
      <c r="J38" s="59" t="n">
        <v>382.2</v>
      </c>
      <c r="K38" s="59" t="n">
        <v>182.1</v>
      </c>
      <c r="L38" s="59" t="n">
        <v>223.6</v>
      </c>
      <c r="M38" s="59" t="n">
        <v>-15.9</v>
      </c>
      <c r="N38" s="59" t="n">
        <v>163.7</v>
      </c>
      <c r="O38" s="59" t="n">
        <v>191.7</v>
      </c>
      <c r="P38" s="59" t="n">
        <v>191.7</v>
      </c>
      <c r="Q38" s="59" t="n">
        <v>210.3</v>
      </c>
      <c r="R38" s="59" t="n">
        <v>282</v>
      </c>
      <c r="S38" s="59" t="n">
        <v>323</v>
      </c>
      <c r="T38" s="59" t="n">
        <v>339</v>
      </c>
      <c r="U38" s="59" t="n">
        <v>265.6</v>
      </c>
      <c r="V38" s="59" t="n">
        <v>366</v>
      </c>
      <c r="W38" s="59" t="n">
        <v>506</v>
      </c>
      <c r="X38" s="59" t="n">
        <v>562.4</v>
      </c>
      <c r="Y38" s="59" t="n">
        <v>349.22</v>
      </c>
      <c r="Z38" s="59" t="n">
        <v>1264.295</v>
      </c>
      <c r="AA38" s="59" t="n">
        <v>667.172</v>
      </c>
      <c r="AB38" s="59" t="n">
        <f aca="false">AB36*X52</f>
        <v>775.112687174823</v>
      </c>
      <c r="AC38" s="59" t="n">
        <f aca="false">AC36*Y52</f>
        <v>505.990388667838</v>
      </c>
      <c r="AD38" s="59"/>
      <c r="AE38" s="59"/>
      <c r="AF38" s="59"/>
      <c r="AG38" s="59"/>
      <c r="AH38" s="59"/>
      <c r="AI38" s="60" t="n">
        <v>437.954</v>
      </c>
      <c r="AJ38" s="60" t="n">
        <v>723.875</v>
      </c>
      <c r="AK38" s="60" t="n">
        <v>772.005</v>
      </c>
      <c r="AL38" s="60" t="n">
        <v>797.415</v>
      </c>
      <c r="AM38" s="60" t="n">
        <v>1254.026</v>
      </c>
      <c r="AN38" s="60" t="n">
        <v>1741.351</v>
      </c>
      <c r="AO38" s="59" t="n">
        <f aca="false">AO36*0.15</f>
        <v>2323.39846623</v>
      </c>
      <c r="AP38" s="59" t="n">
        <f aca="false">AP36*0.15</f>
        <v>2787.99721912018</v>
      </c>
      <c r="AQ38" s="59" t="n">
        <f aca="false">AQ36*0.15</f>
        <v>3263.70244522004</v>
      </c>
      <c r="AR38" s="59" t="n">
        <f aca="false">AR36*0.15</f>
        <v>3758.46622467248</v>
      </c>
      <c r="AS38" s="59" t="n">
        <f aca="false">AS36*0.15</f>
        <v>4348.27144397661</v>
      </c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57"/>
      <c r="CX38" s="57"/>
      <c r="CY38" s="57"/>
      <c r="CZ38" s="57"/>
      <c r="DA38" s="57"/>
      <c r="DB38" s="57"/>
      <c r="DC38" s="57"/>
      <c r="DD38" s="57"/>
      <c r="DE38" s="57"/>
      <c r="DF38" s="57"/>
      <c r="DG38" s="57"/>
      <c r="DH38" s="57"/>
    </row>
    <row r="39" s="54" customFormat="true" ht="10.5" hidden="false" customHeight="true" outlineLevel="0" collapsed="false">
      <c r="B39" s="54" t="n">
        <f aca="false">+B38/B$16</f>
        <v>0.0150495873500243</v>
      </c>
      <c r="C39" s="54" t="n">
        <f aca="false">+C38/C$16</f>
        <v>0.0512995673530464</v>
      </c>
      <c r="D39" s="54" t="n">
        <f aca="false">+D38/D$16</f>
        <v>0.0110945366399403</v>
      </c>
      <c r="E39" s="54" t="n">
        <f aca="false">+E38/E$16</f>
        <v>-0.00537294563843237</v>
      </c>
      <c r="F39" s="54" t="n">
        <f aca="false">+F38/F$16</f>
        <v>0.0457477105204378</v>
      </c>
      <c r="G39" s="54" t="n">
        <f aca="false">+G38/G$16</f>
        <v>0.0327849783506091</v>
      </c>
      <c r="H39" s="54" t="n">
        <f aca="false">+H38/H$16</f>
        <v>0.0283026431835797</v>
      </c>
      <c r="I39" s="54" t="n">
        <f aca="false">+I38/I$16</f>
        <v>-0.00732881065725812</v>
      </c>
      <c r="J39" s="54" t="n">
        <f aca="false">+J38/J$16</f>
        <v>0.048578364706331</v>
      </c>
      <c r="K39" s="54" t="n">
        <f aca="false">+K38/K$16</f>
        <v>0.0228481806775408</v>
      </c>
      <c r="L39" s="54" t="n">
        <f aca="false">+L38/L$16</f>
        <v>0.0282145110410095</v>
      </c>
      <c r="M39" s="54" t="n">
        <f aca="false">+M38/M$16</f>
        <v>-0.00202496179317371</v>
      </c>
      <c r="N39" s="54" t="n">
        <f aca="false">+N38/N$16</f>
        <v>0.0200575874532868</v>
      </c>
      <c r="O39" s="54" t="n">
        <f aca="false">+O38/O$16</f>
        <v>0.023415170392085</v>
      </c>
      <c r="P39" s="54" t="n">
        <f aca="false">+P38/P$16</f>
        <v>0.0224420510419106</v>
      </c>
      <c r="Q39" s="54" t="n">
        <f aca="false">+Q38/Q$16</f>
        <v>0.0238111413043478</v>
      </c>
      <c r="R39" s="54" t="n">
        <f aca="false">+R38/R$16</f>
        <v>0.0300960512273212</v>
      </c>
      <c r="S39" s="54" t="n">
        <f aca="false">+S38/S$16</f>
        <v>0.0337901454127001</v>
      </c>
      <c r="T39" s="54" t="n">
        <f aca="false">+T38/T$16</f>
        <v>0.034507328990228</v>
      </c>
      <c r="U39" s="54" t="n">
        <f aca="false">+U38/U$16</f>
        <v>0.025919781399434</v>
      </c>
      <c r="V39" s="54" t="n">
        <f aca="false">+V38/V$16</f>
        <v>0.0347149767618325</v>
      </c>
      <c r="W39" s="54" t="n">
        <f aca="false">+W38/W$16</f>
        <v>0.0456719920570449</v>
      </c>
      <c r="X39" s="54" t="n">
        <f aca="false">+X38/X$16</f>
        <v>0.0488618592528236</v>
      </c>
      <c r="Y39" s="54" t="n">
        <f aca="false">+Y38/Y$16</f>
        <v>0.0289792294223572</v>
      </c>
      <c r="Z39" s="54" t="n">
        <f aca="false">+Z38/Z$16</f>
        <v>0.10320980244751</v>
      </c>
      <c r="AA39" s="54" t="n">
        <f aca="false">+AA38/AA$16</f>
        <v>0.0531190520207982</v>
      </c>
      <c r="AB39" s="54" t="n">
        <f aca="false">+AB38/AB$16</f>
        <v>0.0583052333318156</v>
      </c>
      <c r="AC39" s="54" t="n">
        <f aca="false">+AC38/AC$16</f>
        <v>0.0363536488830965</v>
      </c>
      <c r="AI39" s="54" t="n">
        <f aca="false">+AI38/AI$16</f>
        <v>0.0175209241009862</v>
      </c>
      <c r="AJ39" s="54" t="n">
        <f aca="false">+AJ38/AJ$16</f>
        <v>0.0243746650430247</v>
      </c>
      <c r="AK39" s="54" t="n">
        <f aca="false">+AK38/AK$16</f>
        <v>0.0244185218982431</v>
      </c>
      <c r="AL39" s="54" t="n">
        <f aca="false">+AL38/AL$16</f>
        <v>0.0236458196836448</v>
      </c>
      <c r="AM39" s="54" t="n">
        <f aca="false">+AM38/AM$16</f>
        <v>0.0321536916646949</v>
      </c>
      <c r="AN39" s="54" t="n">
        <f aca="false">+AN38/AN$16</f>
        <v>0.0385402156134981</v>
      </c>
      <c r="AO39" s="54" t="n">
        <f aca="false">+AO38/AO$16</f>
        <v>0.0452262994540611</v>
      </c>
      <c r="AP39" s="54" t="n">
        <f aca="false">+AP38/AP$16</f>
        <v>0.0477308564589941</v>
      </c>
      <c r="AQ39" s="54" t="n">
        <f aca="false">+AQ38/AQ$16</f>
        <v>0.0494468925989048</v>
      </c>
      <c r="AR39" s="54" t="n">
        <f aca="false">+AR38/AR$16</f>
        <v>0.0503918909859422</v>
      </c>
      <c r="AS39" s="54" t="n">
        <f aca="false">+AS38/AS$16</f>
        <v>0.0520533432968887</v>
      </c>
      <c r="DI39" s="37"/>
      <c r="XEX39" s="37"/>
      <c r="XEY39" s="37"/>
      <c r="XEZ39" s="37"/>
      <c r="XFA39" s="37"/>
      <c r="XFB39" s="37"/>
      <c r="XFC39" s="37"/>
    </row>
    <row r="40" customFormat="false" ht="12.8" hidden="false" customHeight="true" outlineLevel="0" collapsed="false">
      <c r="A40" s="56" t="s">
        <v>96</v>
      </c>
      <c r="B40" s="56" t="n">
        <f aca="false">B36-B38</f>
        <v>708.93396906859</v>
      </c>
      <c r="C40" s="56" t="n">
        <f aca="false">C36-C38</f>
        <v>720.25860902378</v>
      </c>
      <c r="D40" s="56" t="n">
        <f aca="false">D36-D38</f>
        <v>790.147520044751</v>
      </c>
      <c r="E40" s="56" t="n">
        <f aca="false">E36-E38</f>
        <v>542.211961952923</v>
      </c>
      <c r="F40" s="56" t="n">
        <f aca="false">F36-F38</f>
        <v>1706.65513457673</v>
      </c>
      <c r="G40" s="56" t="n">
        <f aca="false">G36-G38</f>
        <v>1353.1215607923</v>
      </c>
      <c r="H40" s="56" t="n">
        <f aca="false">H36-H38</f>
        <v>1449.63968516984</v>
      </c>
      <c r="I40" s="56" t="n">
        <f aca="false">I36-I38</f>
        <v>608.5133423268</v>
      </c>
      <c r="J40" s="56" t="n">
        <f aca="false">J36-J38</f>
        <v>1597.44577449572</v>
      </c>
      <c r="K40" s="56" t="n">
        <f aca="false">K36-K38</f>
        <v>1440.93792973651</v>
      </c>
      <c r="L40" s="56" t="n">
        <f aca="false">L36-L38</f>
        <v>1317.1447192429</v>
      </c>
      <c r="M40" s="56" t="n">
        <f aca="false">M36-M38</f>
        <v>55.3082654100866</v>
      </c>
      <c r="N40" s="56" t="n">
        <f aca="false">N36-N38</f>
        <v>1306.04776082828</v>
      </c>
      <c r="O40" s="56" t="n">
        <f aca="false">O36-O38</f>
        <v>1489.24316599487</v>
      </c>
      <c r="P40" s="56" t="n">
        <f aca="false">P36-P38</f>
        <v>1719.85776164833</v>
      </c>
      <c r="Q40" s="56" t="n">
        <f aca="false">Q36-Q38</f>
        <v>948.620086050725</v>
      </c>
      <c r="R40" s="56" t="n">
        <f aca="false">R36-R38</f>
        <v>2332.8552828175</v>
      </c>
      <c r="S40" s="56" t="n">
        <f aca="false">S36-S38</f>
        <v>2147.95364577885</v>
      </c>
      <c r="T40" s="56" t="n">
        <f aca="false">T36-T38</f>
        <v>2365.45983306189</v>
      </c>
      <c r="U40" s="56" t="n">
        <f aca="false">U36-U38</f>
        <v>1870.72902312872</v>
      </c>
      <c r="V40" s="56" t="n">
        <f aca="false">V36-V38</f>
        <v>2892.76095039363</v>
      </c>
      <c r="W40" s="56" t="n">
        <f aca="false">W36-W38</f>
        <v>3126.86126906761</v>
      </c>
      <c r="X40" s="56" t="n">
        <f aca="false">X36-X38</f>
        <v>2548.85760208514</v>
      </c>
      <c r="Y40" s="56" t="n">
        <f aca="false">Y36-Y38</f>
        <v>2418.29272949289</v>
      </c>
      <c r="Z40" s="56" t="n">
        <f aca="false">Z36-Z38</f>
        <v>5282.64390214328</v>
      </c>
      <c r="AA40" s="56" t="n">
        <f aca="false">AA36-AA38</f>
        <v>3401.26817818145</v>
      </c>
      <c r="AB40" s="56" t="n">
        <f aca="false">AB36-AB38</f>
        <v>3512.89449711627</v>
      </c>
      <c r="AC40" s="56" t="n">
        <f aca="false">AC36-AC38</f>
        <v>3503.90263475378</v>
      </c>
      <c r="AD40" s="56"/>
      <c r="AE40" s="56"/>
      <c r="AF40" s="56"/>
      <c r="AG40" s="56"/>
      <c r="AH40" s="56"/>
      <c r="AI40" s="58" t="n">
        <f aca="false">AI36-AI38</f>
        <v>2761.2326559086</v>
      </c>
      <c r="AJ40" s="58" t="n">
        <f aca="false">AJ36-AJ38</f>
        <v>5116.06573128447</v>
      </c>
      <c r="AK40" s="58" t="n">
        <f aca="false">AK36-AK38</f>
        <v>4491.75820996946</v>
      </c>
      <c r="AL40" s="58" t="n">
        <f aca="false">AL36-AL38</f>
        <v>5407.83184105724</v>
      </c>
      <c r="AM40" s="58" t="n">
        <f aca="false">AM36-AM38</f>
        <v>8711.51118718496</v>
      </c>
      <c r="AN40" s="58" t="n">
        <f aca="false">AN36-AN38</f>
        <v>10980.7168748105</v>
      </c>
      <c r="AO40" s="56" t="n">
        <f aca="false">AO36-AO38</f>
        <v>13165.92464197</v>
      </c>
      <c r="AP40" s="56" t="n">
        <f aca="false">AP36-AP38</f>
        <v>15798.6509083477</v>
      </c>
      <c r="AQ40" s="56" t="n">
        <f aca="false">AQ36-AQ38</f>
        <v>18494.3138562469</v>
      </c>
      <c r="AR40" s="56" t="n">
        <f aca="false">AR36-AR38</f>
        <v>21297.9752731441</v>
      </c>
      <c r="AS40" s="56" t="n">
        <f aca="false">AS36-AS38</f>
        <v>24640.2048492008</v>
      </c>
      <c r="AT40" s="56" t="n">
        <f aca="false">AS40*(1+$AX$49)</f>
        <v>25133.0089461848</v>
      </c>
      <c r="AU40" s="56" t="n">
        <f aca="false">AT40*(1+$AX$49)</f>
        <v>25635.6691251085</v>
      </c>
      <c r="AV40" s="56" t="n">
        <f aca="false">AU40*(1+$AX$49)</f>
        <v>26148.3825076107</v>
      </c>
      <c r="AW40" s="56" t="n">
        <f aca="false">AV40*(1+$AX$49)</f>
        <v>26671.3501577629</v>
      </c>
      <c r="AX40" s="56" t="n">
        <f aca="false">AW40*(1+$AX$49)</f>
        <v>27204.7771609181</v>
      </c>
      <c r="AY40" s="56" t="n">
        <f aca="false">AX40*(1+$AX$49)</f>
        <v>27748.8727041365</v>
      </c>
      <c r="AZ40" s="56" t="n">
        <f aca="false">AY40*(1+$AX$49)</f>
        <v>28303.8501582192</v>
      </c>
      <c r="BA40" s="56" t="n">
        <f aca="false">AZ40*(1+$AX$49)</f>
        <v>28869.9271613836</v>
      </c>
      <c r="BB40" s="56" t="n">
        <f aca="false">BA40*(1+$AX$49)</f>
        <v>29447.3257046113</v>
      </c>
      <c r="BC40" s="56" t="n">
        <f aca="false">BB40*(1+$AX$49)</f>
        <v>30036.2722187035</v>
      </c>
      <c r="BD40" s="56" t="n">
        <f aca="false">BC40*(1+$AX$49)</f>
        <v>30636.9976630776</v>
      </c>
      <c r="BE40" s="56" t="n">
        <f aca="false">BD40*(1+$AX$49)</f>
        <v>31249.7376163391</v>
      </c>
      <c r="BF40" s="56" t="n">
        <f aca="false">BE40*(1+$AX$49)</f>
        <v>31874.7323686659</v>
      </c>
      <c r="BG40" s="56" t="n">
        <f aca="false">BF40*(1+$AX$49)</f>
        <v>32512.2270160392</v>
      </c>
      <c r="BH40" s="56" t="n">
        <f aca="false">BG40*(1+$AX$49)</f>
        <v>33162.47155636</v>
      </c>
      <c r="BI40" s="56" t="n">
        <f aca="false">BH40*(1+$AX$49)</f>
        <v>33825.7209874872</v>
      </c>
      <c r="BJ40" s="56" t="n">
        <f aca="false">BI40*(1+$AX$49)</f>
        <v>34502.235407237</v>
      </c>
      <c r="BK40" s="56" t="n">
        <f aca="false">BJ40*(1+$AX$49)</f>
        <v>35192.2801153817</v>
      </c>
      <c r="BL40" s="56" t="n">
        <f aca="false">BK40*(1+$AX$49)</f>
        <v>35896.1257176894</v>
      </c>
      <c r="BM40" s="56" t="n">
        <f aca="false">BL40*(1+$AX$49)</f>
        <v>36614.0482320431</v>
      </c>
      <c r="BN40" s="56" t="n">
        <f aca="false">BM40*(1+$AX$49)</f>
        <v>37346.329196684</v>
      </c>
      <c r="BO40" s="56" t="n">
        <f aca="false">BN40*(1+$AX$49)</f>
        <v>38093.2557806177</v>
      </c>
      <c r="BP40" s="56" t="n">
        <f aca="false">BO40*(1+$AX$49)</f>
        <v>38855.12089623</v>
      </c>
      <c r="BQ40" s="56" t="n">
        <f aca="false">BP40*(1+$AX$49)</f>
        <v>39632.2233141546</v>
      </c>
      <c r="BR40" s="56" t="n">
        <f aca="false">BQ40*(1+$AX$49)</f>
        <v>40424.8677804377</v>
      </c>
      <c r="BS40" s="56" t="n">
        <f aca="false">BR40*(1+$AX$49)</f>
        <v>41233.3651360465</v>
      </c>
      <c r="BT40" s="56" t="n">
        <f aca="false">BS40*(1+$AX$49)</f>
        <v>42058.0324387674</v>
      </c>
      <c r="BU40" s="56" t="n">
        <f aca="false">BT40*(1+$AX$49)</f>
        <v>42899.1930875428</v>
      </c>
      <c r="BV40" s="56" t="n">
        <f aca="false">BU40*(1+$AX$49)</f>
        <v>43757.1769492936</v>
      </c>
      <c r="BW40" s="56" t="n">
        <f aca="false">BV40*(1+$AX$49)</f>
        <v>44632.3204882795</v>
      </c>
      <c r="BX40" s="56" t="n">
        <f aca="false">BW40*(1+$AX$49)</f>
        <v>45524.9668980451</v>
      </c>
      <c r="BY40" s="56" t="n">
        <f aca="false">BX40*(1+$AX$49)</f>
        <v>46435.466236006</v>
      </c>
      <c r="BZ40" s="56" t="n">
        <f aca="false">BY40*(1+$AX$49)</f>
        <v>47364.1755607261</v>
      </c>
      <c r="CA40" s="56" t="n">
        <f aca="false">BZ40*(1+$AX$49)</f>
        <v>48311.4590719406</v>
      </c>
      <c r="CB40" s="56" t="n">
        <f aca="false">CA40*(1+$AX$49)</f>
        <v>49277.6882533795</v>
      </c>
      <c r="CC40" s="56" t="n">
        <f aca="false">CB40*(1+$AX$49)</f>
        <v>50263.242018447</v>
      </c>
      <c r="CD40" s="56" t="n">
        <f aca="false">CC40*(1+$AX$49)</f>
        <v>51268.506858816</v>
      </c>
      <c r="CE40" s="56" t="n">
        <f aca="false">CD40*(1+$AX$49)</f>
        <v>52293.8769959923</v>
      </c>
      <c r="CF40" s="56" t="n">
        <f aca="false">CE40*(1+$AX$49)</f>
        <v>53339.7545359122</v>
      </c>
      <c r="CG40" s="56" t="n">
        <f aca="false">CF40*(1+$AX$49)</f>
        <v>54406.5496266304</v>
      </c>
      <c r="CH40" s="56" t="n">
        <f aca="false">CG40*(1+$AX$49)</f>
        <v>55494.680619163</v>
      </c>
      <c r="CI40" s="56" t="n">
        <f aca="false">CH40*(1+$AX$49)</f>
        <v>56604.5742315463</v>
      </c>
      <c r="CJ40" s="56" t="n">
        <f aca="false">CI40*(1+$AX$49)</f>
        <v>57736.6657161772</v>
      </c>
      <c r="CK40" s="56" t="n">
        <f aca="false">CJ40*(1+$AX$49)</f>
        <v>58891.3990305007</v>
      </c>
      <c r="CL40" s="56" t="n">
        <f aca="false">CK40*(1+$AX$49)</f>
        <v>60069.2270111108</v>
      </c>
      <c r="CM40" s="56" t="n">
        <f aca="false">CL40*(1+$AX$49)</f>
        <v>61270.611551333</v>
      </c>
      <c r="CN40" s="56" t="n">
        <f aca="false">CM40*(1+$AX$49)</f>
        <v>62496.0237823596</v>
      </c>
      <c r="CO40" s="56" t="n">
        <f aca="false">CN40*(1+$AX$49)</f>
        <v>63745.9442580068</v>
      </c>
      <c r="CP40" s="56" t="n">
        <f aca="false">CO40*(1+$AX$49)</f>
        <v>65020.863143167</v>
      </c>
      <c r="CQ40" s="56" t="n">
        <f aca="false">CP40*(1+$AX$49)</f>
        <v>66321.2804060303</v>
      </c>
      <c r="CR40" s="56" t="n">
        <f aca="false">CQ40*(1+$AX$49)</f>
        <v>67647.7060141509</v>
      </c>
      <c r="CS40" s="56" t="n">
        <f aca="false">CR40*(1+$AX$49)</f>
        <v>69000.6601344339</v>
      </c>
      <c r="CT40" s="56" t="n">
        <f aca="false">CS40*(1+$AX$49)</f>
        <v>70380.6733371226</v>
      </c>
      <c r="CU40" s="56" t="n">
        <f aca="false">CT40*(1+$AX$49)</f>
        <v>71788.2868038651</v>
      </c>
      <c r="CV40" s="56" t="n">
        <f aca="false">CU40*(1+$AX$49)</f>
        <v>73224.0525399424</v>
      </c>
      <c r="CW40" s="56" t="n">
        <f aca="false">CV40*(1+$AX$49)</f>
        <v>74688.5335907412</v>
      </c>
      <c r="CX40" s="56" t="n">
        <f aca="false">CW40*(1+$AX$49)</f>
        <v>76182.304262556</v>
      </c>
      <c r="CY40" s="56" t="n">
        <f aca="false">CX40*(1+$AX$49)</f>
        <v>77705.9503478072</v>
      </c>
      <c r="CZ40" s="56" t="n">
        <f aca="false">CY40*(1+$AX$49)</f>
        <v>79260.0693547633</v>
      </c>
      <c r="DA40" s="56" t="n">
        <f aca="false">CZ40*(1+$AX$49)</f>
        <v>80845.2707418586</v>
      </c>
      <c r="DB40" s="56" t="n">
        <f aca="false">DA40*(1+$AX$49)</f>
        <v>82462.1761566957</v>
      </c>
      <c r="DC40" s="56" t="n">
        <f aca="false">DB40*(1+$AX$49)</f>
        <v>84111.4196798297</v>
      </c>
      <c r="DD40" s="56" t="n">
        <f aca="false">DC40*(1+$AX$49)</f>
        <v>85793.6480734263</v>
      </c>
      <c r="DE40" s="56" t="n">
        <f aca="false">DD40*(1+$AX$49)</f>
        <v>87509.5210348948</v>
      </c>
      <c r="DF40" s="56" t="n">
        <f aca="false">DE40*(1+$AX$49)</f>
        <v>89259.7114555927</v>
      </c>
      <c r="DG40" s="56" t="n">
        <f aca="false">DF40*(1+$AX$49)</f>
        <v>91044.9056847045</v>
      </c>
      <c r="DH40" s="56" t="n">
        <f aca="false">DG40*(1+$AX$49)</f>
        <v>92865.8037983986</v>
      </c>
    </row>
    <row r="41" s="54" customFormat="true" ht="10.5" hidden="false" customHeight="true" outlineLevel="0" collapsed="false">
      <c r="A41" s="62"/>
      <c r="B41" s="54" t="n">
        <f aca="false">+B40/B$16</f>
        <v>0.122916632406649</v>
      </c>
      <c r="C41" s="54" t="n">
        <f aca="false">+C40/C$16</f>
        <v>0.117149508640542</v>
      </c>
      <c r="D41" s="54" t="n">
        <f aca="false">+D40/D$16</f>
        <v>0.122777599609166</v>
      </c>
      <c r="E41" s="54" t="n">
        <f aca="false">+E40/E$16</f>
        <v>0.0816043528313953</v>
      </c>
      <c r="F41" s="54" t="n">
        <f aca="false">+F40/F$16</f>
        <v>0.238253173801754</v>
      </c>
      <c r="G41" s="54" t="n">
        <f aca="false">+G40/G$16</f>
        <v>0.184304366748309</v>
      </c>
      <c r="H41" s="54" t="n">
        <f aca="false">+H40/H$16</f>
        <v>0.193714045109154</v>
      </c>
      <c r="I41" s="54" t="n">
        <f aca="false">+I40/I$16</f>
        <v>0.0789323728907684</v>
      </c>
      <c r="J41" s="54" t="n">
        <f aca="false">+J40/J$16</f>
        <v>0.203038470518159</v>
      </c>
      <c r="K41" s="54" t="n">
        <f aca="false">+K40/K$16</f>
        <v>0.180795223304456</v>
      </c>
      <c r="L41" s="54" t="n">
        <f aca="false">+L40/L$16</f>
        <v>0.16620122640289</v>
      </c>
      <c r="M41" s="54" t="n">
        <f aca="false">+M40/M$16</f>
        <v>0.00704384429573187</v>
      </c>
      <c r="N41" s="54" t="n">
        <f aca="false">+N40/N$16</f>
        <v>0.160025456206369</v>
      </c>
      <c r="O41" s="54" t="n">
        <f aca="false">+O40/O$16</f>
        <v>0.181903403688148</v>
      </c>
      <c r="P41" s="54" t="n">
        <f aca="false">+P40/P$16</f>
        <v>0.201341344140521</v>
      </c>
      <c r="Q41" s="54" t="n">
        <f aca="false">+Q40/Q$16</f>
        <v>0.107407165540164</v>
      </c>
      <c r="R41" s="54" t="n">
        <f aca="false">+R40/R$16</f>
        <v>0.248970681197172</v>
      </c>
      <c r="S41" s="54" t="n">
        <f aca="false">+S40/S$16</f>
        <v>0.224704848391971</v>
      </c>
      <c r="T41" s="54" t="n">
        <f aca="false">+T40/T$16</f>
        <v>0.240783777795388</v>
      </c>
      <c r="U41" s="54" t="n">
        <f aca="false">+U40/U$16</f>
        <v>0.18256358184139</v>
      </c>
      <c r="V41" s="54" t="n">
        <f aca="false">+V40/V$16</f>
        <v>0.274377402105058</v>
      </c>
      <c r="W41" s="54" t="n">
        <f aca="false">+W40/W$16</f>
        <v>0.282233168071812</v>
      </c>
      <c r="X41" s="54" t="n">
        <f aca="false">+X40/X$16</f>
        <v>0.221447228678118</v>
      </c>
      <c r="Y41" s="54" t="n">
        <f aca="false">+Y40/Y$16</f>
        <v>0.200676535760818</v>
      </c>
      <c r="Z41" s="54" t="n">
        <f aca="false">+Z40/Z$16</f>
        <v>0.431244791398171</v>
      </c>
      <c r="AA41" s="54" t="n">
        <f aca="false">+AA40/AA$16</f>
        <v>0.270802943309231</v>
      </c>
      <c r="AB41" s="54" t="n">
        <f aca="false">+AB40/AB$16</f>
        <v>0.264245620944428</v>
      </c>
      <c r="AC41" s="54" t="n">
        <f aca="false">+AC40/AC$16</f>
        <v>0.251743212830106</v>
      </c>
      <c r="AD41" s="62"/>
      <c r="AE41" s="62"/>
      <c r="AF41" s="62"/>
      <c r="AG41" s="62"/>
      <c r="AH41" s="62"/>
      <c r="AI41" s="54" t="n">
        <f aca="false">+AI40/AI$16</f>
        <v>0.110466733468216</v>
      </c>
      <c r="AJ41" s="54" t="n">
        <f aca="false">+AJ40/AJ$16</f>
        <v>0.172270611000733</v>
      </c>
      <c r="AK41" s="54" t="n">
        <f aca="false">+AK40/AK$16</f>
        <v>0.142074333989744</v>
      </c>
      <c r="AL41" s="54" t="n">
        <f aca="false">+AL40/AL$16</f>
        <v>0.160358930535684</v>
      </c>
      <c r="AM41" s="54" t="n">
        <f aca="false">+AM40/AM$16</f>
        <v>0.223366377289056</v>
      </c>
      <c r="AN41" s="54" t="n">
        <f aca="false">+AN40/AN$16</f>
        <v>0.243029231869952</v>
      </c>
      <c r="AO41" s="54" t="n">
        <f aca="false">+AO40/AO$16</f>
        <v>0.256282363573013</v>
      </c>
      <c r="AP41" s="54" t="n">
        <f aca="false">+AP40/AP$16</f>
        <v>0.270474853267633</v>
      </c>
      <c r="AQ41" s="54" t="n">
        <f aca="false">+AQ40/AQ$16</f>
        <v>0.280199058060461</v>
      </c>
      <c r="AR41" s="54" t="n">
        <f aca="false">+AR40/AR$16</f>
        <v>0.285554048920339</v>
      </c>
      <c r="AS41" s="54" t="n">
        <f aca="false">+AS40/AS$16</f>
        <v>0.294968945349036</v>
      </c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37"/>
      <c r="XEX41" s="37"/>
      <c r="XEY41" s="37"/>
      <c r="XEZ41" s="37"/>
      <c r="XFA41" s="37"/>
      <c r="XFB41" s="37"/>
      <c r="XFC41" s="37"/>
    </row>
    <row r="42" s="66" customFormat="true" ht="12.8" hidden="false" customHeight="true" outlineLevel="0" collapsed="false">
      <c r="A42" s="63" t="s">
        <v>97</v>
      </c>
      <c r="B42" s="63" t="n">
        <f aca="false">B40/B44</f>
        <v>1.56705121367947</v>
      </c>
      <c r="C42" s="63" t="n">
        <f aca="false">C40/C44</f>
        <v>1.58682222741524</v>
      </c>
      <c r="D42" s="63" t="n">
        <f aca="false">D40/D44</f>
        <v>1.73658795614231</v>
      </c>
      <c r="E42" s="63" t="n">
        <f aca="false">E40/E44</f>
        <v>1.19167464165478</v>
      </c>
      <c r="F42" s="63" t="n">
        <f aca="false">F40/F44</f>
        <v>3.74595069046691</v>
      </c>
      <c r="G42" s="63" t="n">
        <f aca="false">G40/G44</f>
        <v>2.97324008084443</v>
      </c>
      <c r="H42" s="63" t="n">
        <f aca="false">H40/H44</f>
        <v>3.18672166447536</v>
      </c>
      <c r="I42" s="63" t="n">
        <f aca="false">I40/I44</f>
        <v>1.33533759562607</v>
      </c>
      <c r="J42" s="63" t="n">
        <f aca="false">J40/J44</f>
        <v>3.52714898320981</v>
      </c>
      <c r="K42" s="63" t="n">
        <f aca="false">K40/K44</f>
        <v>3.20137287210956</v>
      </c>
      <c r="L42" s="63" t="n">
        <f aca="false">L40/L44</f>
        <v>2.92503823949123</v>
      </c>
      <c r="M42" s="63" t="n">
        <f aca="false">M40/M44</f>
        <v>0.122471801173797</v>
      </c>
      <c r="N42" s="63" t="n">
        <f aca="false">N40/N44</f>
        <v>2.88693138998293</v>
      </c>
      <c r="O42" s="63" t="n">
        <f aca="false">O40/O44</f>
        <v>3.29843447617911</v>
      </c>
      <c r="P42" s="63" t="n">
        <f aca="false">P40/P44</f>
        <v>3.82190613699628</v>
      </c>
      <c r="Q42" s="63" t="n">
        <f aca="false">Q40/Q44</f>
        <v>2.13556975698047</v>
      </c>
      <c r="R42" s="63" t="n">
        <f aca="false">R40/R44</f>
        <v>5.28273388319181</v>
      </c>
      <c r="S42" s="63" t="n">
        <f aca="false">S40/S44</f>
        <v>4.88504354282203</v>
      </c>
      <c r="T42" s="63" t="n">
        <f aca="false">T40/T44</f>
        <v>5.4018265198947</v>
      </c>
      <c r="U42" s="63" t="n">
        <f aca="false">U40/U44</f>
        <v>4.27302198065034</v>
      </c>
      <c r="V42" s="63" t="n">
        <f aca="false">V40/V44</f>
        <v>6.6211054025947</v>
      </c>
      <c r="W42" s="63" t="n">
        <f aca="false">W40/W44</f>
        <v>7.18983966214671</v>
      </c>
      <c r="X42" s="63" t="n">
        <f aca="false">X40/X44</f>
        <v>5.87294378360632</v>
      </c>
      <c r="Y42" s="63" t="n">
        <f aca="false">Y40/Y44</f>
        <v>0.560166021054155</v>
      </c>
      <c r="Z42" s="63" t="n">
        <f aca="false">Z40/Z44</f>
        <v>1.2289685534866</v>
      </c>
      <c r="AA42" s="63" t="n">
        <f aca="false">AA40/AA44</f>
        <v>0.798176185244281</v>
      </c>
      <c r="AB42" s="63" t="n">
        <f aca="false">AB40/AB44</f>
        <v>0.832698537984987</v>
      </c>
      <c r="AC42" s="63" t="n">
        <f aca="false">AC40/AC44</f>
        <v>0.838956668427969</v>
      </c>
      <c r="AD42" s="63"/>
      <c r="AE42" s="63"/>
      <c r="AF42" s="63"/>
      <c r="AG42" s="63"/>
      <c r="AH42" s="63"/>
      <c r="AI42" s="64" t="n">
        <f aca="false">AI40/AI44</f>
        <v>6.07922505968322</v>
      </c>
      <c r="AJ42" s="64" t="n">
        <f aca="false">AJ40/AJ44</f>
        <v>11.2349150393183</v>
      </c>
      <c r="AK42" s="64" t="n">
        <f aca="false">AK40/AK44</f>
        <v>9.95315254042735</v>
      </c>
      <c r="AL42" s="64" t="n">
        <f aca="false">AL40/AL44</f>
        <v>12.0308251450668</v>
      </c>
      <c r="AM42" s="64" t="n">
        <f aca="false">AM40/AM44</f>
        <v>1.98322071698293</v>
      </c>
      <c r="AN42" s="64" t="n">
        <f aca="false">AN40/AN44</f>
        <v>2.5278690591325</v>
      </c>
      <c r="AO42" s="63" t="n">
        <f aca="false">AO40/AO44</f>
        <v>3.06154079439607</v>
      </c>
      <c r="AP42" s="63" t="n">
        <f aca="false">AP40/AP44</f>
        <v>3.71085080627875</v>
      </c>
      <c r="AQ42" s="63" t="n">
        <f aca="false">AQ40/AQ44</f>
        <v>4.38789796476001</v>
      </c>
      <c r="AR42" s="63" t="n">
        <f aca="false">AR40/AR44</f>
        <v>5.10412639492162</v>
      </c>
      <c r="AS42" s="63" t="n">
        <f aca="false">AS40/AS44</f>
        <v>5.9647496640597</v>
      </c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5"/>
      <c r="DA42" s="65"/>
      <c r="DB42" s="65"/>
      <c r="DC42" s="65"/>
      <c r="DD42" s="65"/>
      <c r="DE42" s="65"/>
      <c r="DF42" s="65"/>
      <c r="DG42" s="65"/>
      <c r="DH42" s="65"/>
      <c r="XEX42" s="37"/>
      <c r="XEY42" s="37"/>
      <c r="XEZ42" s="37"/>
      <c r="XFA42" s="37"/>
      <c r="XFB42" s="37"/>
      <c r="XFC42" s="37"/>
    </row>
    <row r="43" s="54" customFormat="true" ht="10.5" hidden="false" customHeight="true" outlineLevel="0" collapsed="false">
      <c r="F43" s="54" t="n">
        <f aca="false">+F42/B42-1</f>
        <v>1.39044560749955</v>
      </c>
      <c r="G43" s="54" t="n">
        <f aca="false">+G42/C42-1</f>
        <v>0.873707104347474</v>
      </c>
      <c r="H43" s="54" t="n">
        <f aca="false">+H42/D42-1</f>
        <v>0.835047659523338</v>
      </c>
      <c r="I43" s="54" t="n">
        <f aca="false">+I42/E42-1</f>
        <v>0.120555518217458</v>
      </c>
      <c r="J43" s="54" t="n">
        <f aca="false">+J42/F42-1</f>
        <v>-0.0584101941902042</v>
      </c>
      <c r="K43" s="54" t="n">
        <f aca="false">+K42/G42-1</f>
        <v>0.0767286815265651</v>
      </c>
      <c r="L43" s="54" t="n">
        <f aca="false">+L42/H42-1</f>
        <v>-0.0821168123659184</v>
      </c>
      <c r="M43" s="54" t="n">
        <f aca="false">+M42/I42-1</f>
        <v>-0.908284016285503</v>
      </c>
      <c r="N43" s="54" t="n">
        <f aca="false">+N42/J42-1</f>
        <v>-0.181511355566347</v>
      </c>
      <c r="O43" s="54" t="n">
        <f aca="false">+O42/K42-1</f>
        <v>0.030318743847416</v>
      </c>
      <c r="P43" s="54" t="n">
        <f aca="false">+P42/L42-1</f>
        <v>0.306617494908731</v>
      </c>
      <c r="Q43" s="54" t="n">
        <f aca="false">+Q42/M42-1</f>
        <v>16.4372364618851</v>
      </c>
      <c r="R43" s="54" t="n">
        <f aca="false">+R42/N42-1</f>
        <v>0.829878569862042</v>
      </c>
      <c r="S43" s="54" t="n">
        <f aca="false">+S42/O42-1</f>
        <v>0.481018822141598</v>
      </c>
      <c r="T43" s="54" t="n">
        <f aca="false">+T42/P42-1</f>
        <v>0.413385448586687</v>
      </c>
      <c r="U43" s="54" t="n">
        <f aca="false">+U42/Q42-1</f>
        <v>1.0008814821821</v>
      </c>
      <c r="V43" s="54" t="n">
        <f aca="false">+V42/R42-1</f>
        <v>0.253348275532338</v>
      </c>
      <c r="W43" s="54" t="n">
        <f aca="false">+W42/S42-1</f>
        <v>0.471806668481246</v>
      </c>
      <c r="X43" s="54" t="n">
        <f aca="false">+X42/T42-1</f>
        <v>0.0872144379269706</v>
      </c>
      <c r="Y43" s="54" t="n">
        <f aca="false">+Y42/U42-1</f>
        <v>-0.868906356299881</v>
      </c>
      <c r="Z43" s="54" t="n">
        <f aca="false">+Z42/V42-1</f>
        <v>-0.814386197053292</v>
      </c>
      <c r="AA43" s="54" t="n">
        <f aca="false">+AA42/W42-1</f>
        <v>-0.888985537543133</v>
      </c>
      <c r="AB43" s="54" t="n">
        <f aca="false">+AB42/X42-1</f>
        <v>-0.858214454510977</v>
      </c>
      <c r="AC43" s="54" t="n">
        <f aca="false">+AC42/Y42-1</f>
        <v>0.497692892634167</v>
      </c>
      <c r="AI43" s="45"/>
      <c r="AJ43" s="45" t="n">
        <f aca="false">+AJ42/AI42-1</f>
        <v>0.848083420011393</v>
      </c>
      <c r="AK43" s="45" t="n">
        <f aca="false">+AK42/AJ42-1</f>
        <v>-0.114087422504331</v>
      </c>
      <c r="AL43" s="45" t="n">
        <f aca="false">+AL42/AK42-1</f>
        <v>0.208745178595469</v>
      </c>
      <c r="AM43" s="45" t="n">
        <f aca="false">+AM42/AL42-1</f>
        <v>-0.835155054364983</v>
      </c>
      <c r="AN43" s="45" t="n">
        <f aca="false">+AN42/AM42-1</f>
        <v>0.27462820324817</v>
      </c>
      <c r="AO43" s="45" t="n">
        <f aca="false">+AO42/AN42-1</f>
        <v>0.21111526063249</v>
      </c>
      <c r="AP43" s="45" t="n">
        <f aca="false">+AP42/AO42-1</f>
        <v>0.212086023178654</v>
      </c>
      <c r="AQ43" s="45" t="n">
        <f aca="false">+AQ42/AP42-1</f>
        <v>0.182450654533377</v>
      </c>
      <c r="AR43" s="45" t="n">
        <f aca="false">+AR42/AQ42-1</f>
        <v>0.163228141564312</v>
      </c>
      <c r="AS43" s="45" t="n">
        <f aca="false">+AS42/AR42-1</f>
        <v>0.168613236144457</v>
      </c>
      <c r="DI43" s="37"/>
      <c r="XEX43" s="37"/>
      <c r="XEY43" s="37"/>
      <c r="XEZ43" s="37"/>
      <c r="XFA43" s="37"/>
      <c r="XFB43" s="37"/>
      <c r="XFC43" s="37"/>
    </row>
    <row r="44" customFormat="false" ht="12.8" hidden="false" customHeight="true" outlineLevel="0" collapsed="false">
      <c r="A44" s="59" t="s">
        <v>98</v>
      </c>
      <c r="B44" s="59" t="n">
        <v>452.4</v>
      </c>
      <c r="C44" s="59" t="n">
        <v>453.9</v>
      </c>
      <c r="D44" s="59" t="n">
        <v>455</v>
      </c>
      <c r="E44" s="59" t="n">
        <v>455</v>
      </c>
      <c r="F44" s="59" t="n">
        <v>455.6</v>
      </c>
      <c r="G44" s="59" t="n">
        <v>455.1</v>
      </c>
      <c r="H44" s="59" t="n">
        <v>454.9</v>
      </c>
      <c r="I44" s="59" t="n">
        <v>455.7</v>
      </c>
      <c r="J44" s="59" t="n">
        <v>452.9</v>
      </c>
      <c r="K44" s="59" t="n">
        <v>450.1</v>
      </c>
      <c r="L44" s="59" t="n">
        <v>450.3</v>
      </c>
      <c r="M44" s="59" t="n">
        <v>451.6</v>
      </c>
      <c r="N44" s="59" t="n">
        <v>452.4</v>
      </c>
      <c r="O44" s="59" t="n">
        <v>451.5</v>
      </c>
      <c r="P44" s="59" t="n">
        <v>450</v>
      </c>
      <c r="Q44" s="59" t="n">
        <v>444.2</v>
      </c>
      <c r="R44" s="59" t="n">
        <v>441.6</v>
      </c>
      <c r="S44" s="59" t="n">
        <v>439.7</v>
      </c>
      <c r="T44" s="59" t="n">
        <v>437.9</v>
      </c>
      <c r="U44" s="59" t="n">
        <v>437.8</v>
      </c>
      <c r="V44" s="59" t="n">
        <v>436.9</v>
      </c>
      <c r="W44" s="59" t="n">
        <v>434.9</v>
      </c>
      <c r="X44" s="59" t="n">
        <v>434</v>
      </c>
      <c r="Y44" s="59" t="n">
        <f aca="false">4317.1</f>
        <v>4317.1</v>
      </c>
      <c r="Z44" s="59" t="n">
        <v>4298.437</v>
      </c>
      <c r="AA44" s="59" t="n">
        <v>4261.3</v>
      </c>
      <c r="AB44" s="59" t="n">
        <f aca="false">+AA44*0.99</f>
        <v>4218.687</v>
      </c>
      <c r="AC44" s="59" t="n">
        <f aca="false">+AB44*0.99</f>
        <v>4176.50013</v>
      </c>
      <c r="AD44" s="59"/>
      <c r="AE44" s="59"/>
      <c r="AF44" s="59"/>
      <c r="AG44" s="59"/>
      <c r="AH44" s="59"/>
      <c r="AI44" s="60" t="n">
        <v>454.208</v>
      </c>
      <c r="AJ44" s="60" t="n">
        <v>455.372</v>
      </c>
      <c r="AK44" s="60" t="n">
        <v>451.29</v>
      </c>
      <c r="AL44" s="60" t="n">
        <v>449.498</v>
      </c>
      <c r="AM44" s="60" t="n">
        <v>4392.608</v>
      </c>
      <c r="AN44" s="60" t="n">
        <v>4343.863</v>
      </c>
      <c r="AO44" s="59" t="n">
        <f aca="false">+AN44*0.99</f>
        <v>4300.42437</v>
      </c>
      <c r="AP44" s="59" t="n">
        <f aca="false">+AO44*0.99</f>
        <v>4257.4201263</v>
      </c>
      <c r="AQ44" s="59" t="n">
        <f aca="false">+AP44*0.99</f>
        <v>4214.845925037</v>
      </c>
      <c r="AR44" s="59" t="n">
        <f aca="false">+AQ44*0.99</f>
        <v>4172.69746578663</v>
      </c>
      <c r="AS44" s="59" t="n">
        <f aca="false">+AR44*0.99</f>
        <v>4130.97049112876</v>
      </c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  <c r="DG44" s="57"/>
      <c r="DH44" s="57"/>
    </row>
    <row r="45" s="62" customFormat="true" ht="10.5" hidden="false" customHeight="true" outlineLevel="0" collapsed="false">
      <c r="A45" s="54"/>
      <c r="B45" s="54"/>
      <c r="C45" s="54"/>
      <c r="D45" s="54"/>
      <c r="E45" s="54"/>
      <c r="F45" s="54" t="n">
        <f aca="false">+F44/E44-1</f>
        <v>0.0013186813186814</v>
      </c>
      <c r="G45" s="54" t="n">
        <f aca="false">+G44/F44-1</f>
        <v>-0.00109745390693594</v>
      </c>
      <c r="H45" s="54" t="n">
        <f aca="false">+H44/G44-1</f>
        <v>-0.000439463854098099</v>
      </c>
      <c r="I45" s="54" t="n">
        <f aca="false">+I44/H44-1</f>
        <v>0.00175862826994955</v>
      </c>
      <c r="J45" s="54" t="n">
        <f aca="false">+J44/I44-1</f>
        <v>-0.00614439324116745</v>
      </c>
      <c r="K45" s="54" t="n">
        <f aca="false">+K44/J44-1</f>
        <v>-0.00618238021638318</v>
      </c>
      <c r="L45" s="54" t="n">
        <f aca="false">+L44/K44-1</f>
        <v>0.000444345700955306</v>
      </c>
      <c r="M45" s="54" t="n">
        <f aca="false">+M44/L44-1</f>
        <v>0.00288696424605828</v>
      </c>
      <c r="N45" s="54" t="n">
        <f aca="false">+N44/M44-1</f>
        <v>0.00177147918511955</v>
      </c>
      <c r="O45" s="54" t="n">
        <f aca="false">+O44/N44-1</f>
        <v>-0.0019893899204243</v>
      </c>
      <c r="P45" s="54" t="n">
        <f aca="false">+P44/O44-1</f>
        <v>-0.00332225913621265</v>
      </c>
      <c r="Q45" s="54" t="n">
        <f aca="false">+Q44/P44-1</f>
        <v>-0.012888888888889</v>
      </c>
      <c r="R45" s="54" t="n">
        <f aca="false">+R44/Q44-1</f>
        <v>-0.00585321927059879</v>
      </c>
      <c r="S45" s="54" t="n">
        <f aca="false">+S44/R44-1</f>
        <v>-0.00430253623188415</v>
      </c>
      <c r="T45" s="54" t="n">
        <f aca="false">+T44/S44-1</f>
        <v>-0.00409370025017064</v>
      </c>
      <c r="U45" s="54" t="n">
        <f aca="false">+U44/T44-1</f>
        <v>-0.000228362639872026</v>
      </c>
      <c r="V45" s="54" t="n">
        <f aca="false">+V44/U44-1</f>
        <v>-0.0020557332115122</v>
      </c>
      <c r="W45" s="54" t="n">
        <f aca="false">+W44/V44-1</f>
        <v>-0.00457770656900891</v>
      </c>
      <c r="X45" s="54" t="n">
        <f aca="false">+X44/W44-1</f>
        <v>-0.00206944125086217</v>
      </c>
      <c r="Y45" s="54" t="n">
        <f aca="false">+Y44/X44-1</f>
        <v>8.94723502304148</v>
      </c>
      <c r="Z45" s="54" t="n">
        <f aca="false">+Z44/Y44-1</f>
        <v>-0.00432304093025426</v>
      </c>
      <c r="AA45" s="54" t="n">
        <f aca="false">+AA44/Z44-1</f>
        <v>-0.00863965204096273</v>
      </c>
      <c r="AB45" s="54" t="n">
        <f aca="false">+AB44/AA44-1</f>
        <v>-0.0100000000000001</v>
      </c>
      <c r="AC45" s="54" t="n">
        <f aca="false">+AC44/AB44-1</f>
        <v>-0.0100000000000001</v>
      </c>
      <c r="AD45" s="54"/>
      <c r="AE45" s="54"/>
      <c r="AF45" s="54"/>
      <c r="AG45" s="54"/>
      <c r="AH45" s="54"/>
      <c r="AI45" s="45"/>
      <c r="AJ45" s="45" t="n">
        <f aca="false">+AJ44/AI44-1</f>
        <v>0.00256270255037339</v>
      </c>
      <c r="AK45" s="45" t="n">
        <f aca="false">+AK44/AJ44-1</f>
        <v>-0.00896409968113976</v>
      </c>
      <c r="AL45" s="45" t="n">
        <f aca="false">+AL44/AK44-1</f>
        <v>-0.0039708391499923</v>
      </c>
      <c r="AM45" s="45" t="n">
        <f aca="false">+AM44/AL44-1</f>
        <v>8.77225260179133</v>
      </c>
      <c r="AN45" s="45" t="n">
        <f aca="false">+AN44/AM44-1</f>
        <v>-0.0110970521385018</v>
      </c>
      <c r="AO45" s="45" t="n">
        <f aca="false">+AO44/AN44-1</f>
        <v>-0.0100000000000001</v>
      </c>
      <c r="AP45" s="45" t="n">
        <f aca="false">+AP44/AO44-1</f>
        <v>-0.00999999999999979</v>
      </c>
      <c r="AQ45" s="45" t="n">
        <f aca="false">+AQ44/AP44-1</f>
        <v>-0.0100000000000002</v>
      </c>
      <c r="AR45" s="45" t="n">
        <f aca="false">+AR44/AQ44-1</f>
        <v>-0.0099999999999999</v>
      </c>
      <c r="AS45" s="45" t="n">
        <f aca="false">+AS44/AR44-1</f>
        <v>-0.010000000000001</v>
      </c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37"/>
      <c r="XEX45" s="37"/>
      <c r="XEY45" s="37"/>
      <c r="XEZ45" s="37"/>
      <c r="XFA45" s="37"/>
      <c r="XFB45" s="37"/>
      <c r="XFC45" s="37"/>
    </row>
    <row r="46" s="68" customFormat="true" ht="12.8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7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37"/>
      <c r="XEX46" s="37"/>
      <c r="XEY46" s="37"/>
      <c r="XEZ46" s="37"/>
      <c r="XFA46" s="37"/>
      <c r="XFB46" s="37"/>
      <c r="XFC46" s="37"/>
    </row>
    <row r="47" customFormat="false" ht="12.8" hidden="false" customHeight="true" outlineLevel="0" collapsed="false">
      <c r="A47" s="69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69"/>
      <c r="AE47" s="69"/>
      <c r="AF47" s="69"/>
      <c r="AG47" s="69"/>
      <c r="AH47" s="69"/>
      <c r="AI47" s="69"/>
      <c r="AJ47" s="69"/>
      <c r="AK47" s="69"/>
      <c r="AL47" s="70"/>
      <c r="AM47" s="70"/>
      <c r="AN47" s="70"/>
      <c r="AO47" s="70"/>
      <c r="AP47" s="70"/>
      <c r="AQ47" s="70"/>
      <c r="AR47" s="70"/>
      <c r="AS47" s="70"/>
      <c r="AT47" s="67"/>
      <c r="AU47" s="67"/>
      <c r="AV47" s="67"/>
      <c r="AW47" s="67"/>
      <c r="AX47" s="67"/>
      <c r="AY47" s="67"/>
      <c r="AZ47" s="67"/>
      <c r="BA47" s="67"/>
      <c r="BB47" s="67"/>
      <c r="BC47" s="71" t="s">
        <v>99</v>
      </c>
      <c r="BD47" s="71"/>
      <c r="BE47" s="67"/>
    </row>
    <row r="48" customFormat="false" ht="12.8" hidden="false" customHeight="true" outlineLevel="0" collapsed="false">
      <c r="A48" s="72" t="s">
        <v>100</v>
      </c>
      <c r="B48" s="73" t="n">
        <f aca="false">+B20/B16</f>
        <v>0.375875580830848</v>
      </c>
      <c r="C48" s="73" t="n">
        <f aca="false">+C20/C16</f>
        <v>0.407354998210858</v>
      </c>
      <c r="D48" s="73" t="n">
        <f aca="false">+D20/D16</f>
        <v>0.399014854869787</v>
      </c>
      <c r="E48" s="73" t="n">
        <f aca="false">+E20/E16</f>
        <v>0.373141291914996</v>
      </c>
      <c r="F48" s="73" t="n">
        <f aca="false">+F20/F16</f>
        <v>0.459948067902613</v>
      </c>
      <c r="G48" s="73" t="n">
        <f aca="false">+G20/G16</f>
        <v>0.452721051047996</v>
      </c>
      <c r="H48" s="73" t="n">
        <f aca="false">+H20/H16</f>
        <v>0.437889194751049</v>
      </c>
      <c r="I48" s="73" t="n">
        <f aca="false">+I20/I16</f>
        <v>0.3203663108194</v>
      </c>
      <c r="J48" s="73" t="n">
        <f aca="false">+J20/J16</f>
        <v>0.455406281378294</v>
      </c>
      <c r="K48" s="73" t="n">
        <f aca="false">+K20/K16</f>
        <v>0.411455457967378</v>
      </c>
      <c r="L48" s="73" t="n">
        <f aca="false">+L20/L16</f>
        <v>0.39583596214511</v>
      </c>
      <c r="M48" s="73" t="n">
        <f aca="false">+M20/M16</f>
        <v>0.311767702496179</v>
      </c>
      <c r="N48" s="73" t="n">
        <f aca="false">+N20/N16</f>
        <v>0.411505238007719</v>
      </c>
      <c r="O48" s="73" t="n">
        <f aca="false">+O20/O16</f>
        <v>0.429217051422988</v>
      </c>
      <c r="P48" s="73" t="n">
        <f aca="false">+P20/P16</f>
        <v>0.422851791149614</v>
      </c>
      <c r="Q48" s="73" t="n">
        <f aca="false">+Q20/Q16</f>
        <v>0.399116847826087</v>
      </c>
      <c r="R48" s="73" t="n">
        <f aca="false">+R20/R16</f>
        <v>0.468836712913554</v>
      </c>
      <c r="S48" s="73" t="n">
        <f aca="false">+S20/S16</f>
        <v>0.458729992677058</v>
      </c>
      <c r="T48" s="73" t="n">
        <f aca="false">+T20/T16</f>
        <v>0.478929153094463</v>
      </c>
      <c r="U48" s="73" t="n">
        <f aca="false">+U20/U16</f>
        <v>0.437201132038645</v>
      </c>
      <c r="V48" s="73" t="n">
        <f aca="false">+V20/V16</f>
        <v>0.500806222137911</v>
      </c>
      <c r="W48" s="73" t="n">
        <f aca="false">+W20/W16</f>
        <v>0.519360953154617</v>
      </c>
      <c r="X48" s="73" t="n">
        <f aca="false">+X20/X16</f>
        <v>0.464465682015639</v>
      </c>
      <c r="Y48" s="73" t="n">
        <f aca="false">+Y20/Y16</f>
        <v>0.458735094226891</v>
      </c>
      <c r="Z48" s="73" t="n">
        <f aca="false">+Z20/Z16</f>
        <v>0.51931797504228</v>
      </c>
      <c r="AA48" s="73" t="n">
        <f aca="false">+AA20/AA16</f>
        <v>0.51934754773471</v>
      </c>
      <c r="AB48" s="73" t="n">
        <f aca="false">+AB20/AB16</f>
        <v>0.51</v>
      </c>
      <c r="AC48" s="73" t="n">
        <f aca="false">+AC20/AC16</f>
        <v>0.51</v>
      </c>
      <c r="AD48" s="74"/>
      <c r="AE48" s="74"/>
      <c r="AF48" s="74"/>
      <c r="AG48" s="74"/>
      <c r="AH48" s="74"/>
      <c r="AI48" s="73" t="n">
        <f aca="false">+AI20/AI16</f>
        <v>0.388850825106169</v>
      </c>
      <c r="AJ48" s="73" t="n">
        <f aca="false">+AJ20/AJ16</f>
        <v>0.416365612264648</v>
      </c>
      <c r="AK48" s="73" t="n">
        <f aca="false">+AK20/AK16</f>
        <v>0.393707052384033</v>
      </c>
      <c r="AL48" s="73" t="n">
        <f aca="false">+AL20/AL16</f>
        <v>0.415378395534695</v>
      </c>
      <c r="AM48" s="73" t="n">
        <f aca="false">+AM20/AM16</f>
        <v>0.460565981443141</v>
      </c>
      <c r="AN48" s="73" t="n">
        <f aca="false">+AN20/AN16</f>
        <v>0.484861927242064</v>
      </c>
      <c r="AO48" s="73" t="n">
        <f aca="false">+AO20/AO16</f>
        <v>0.5</v>
      </c>
      <c r="AP48" s="73" t="n">
        <f aca="false">+AP20/AP16</f>
        <v>0.515</v>
      </c>
      <c r="AQ48" s="73" t="n">
        <f aca="false">+AQ20/AQ16</f>
        <v>0.52</v>
      </c>
      <c r="AR48" s="73" t="n">
        <f aca="false">+AR20/AR16</f>
        <v>0.525</v>
      </c>
      <c r="AS48" s="73" t="n">
        <f aca="false">+AS20/AS16</f>
        <v>0.53</v>
      </c>
      <c r="AW48" s="75" t="s">
        <v>101</v>
      </c>
      <c r="AX48" s="76" t="n">
        <v>0.02</v>
      </c>
      <c r="AZ48" s="6" t="s">
        <v>13</v>
      </c>
      <c r="BA48" s="77" t="n">
        <f aca="false">Main!G6</f>
        <v>329968.294728</v>
      </c>
      <c r="BC48" s="78" t="s">
        <v>102</v>
      </c>
      <c r="BD48" s="79" t="n">
        <f aca="false">+(SUM(X156:AA156)-SUM(X153:AA153))/SUM(X40:AA40)</f>
        <v>0.708065622172532</v>
      </c>
      <c r="BF48" s="6" t="s">
        <v>103</v>
      </c>
      <c r="BG48" s="80" t="n">
        <f aca="false">+BD50</f>
        <v>394524.408163265</v>
      </c>
    </row>
    <row r="49" s="87" customFormat="true" ht="12.8" hidden="false" customHeight="true" outlineLevel="0" collapsed="false">
      <c r="A49" s="72" t="s">
        <v>104</v>
      </c>
      <c r="B49" s="73" t="n">
        <f aca="false">+B30/B16</f>
        <v>0.166123512218009</v>
      </c>
      <c r="C49" s="73" t="n">
        <f aca="false">+C30/C16</f>
        <v>0.220854658115185</v>
      </c>
      <c r="D49" s="73" t="n">
        <f aca="false">+D30/D16</f>
        <v>0.204308459202677</v>
      </c>
      <c r="E49" s="73" t="n">
        <f aca="false">+E30/E16</f>
        <v>0.143611456557842</v>
      </c>
      <c r="F49" s="73" t="n">
        <f aca="false">+F30/F16</f>
        <v>0.273586544362397</v>
      </c>
      <c r="G49" s="73" t="n">
        <f aca="false">+G30/G16</f>
        <v>0.251658632616095</v>
      </c>
      <c r="H49" s="73" t="n">
        <f aca="false">+H30/H16</f>
        <v>0.234564460695652</v>
      </c>
      <c r="I49" s="73" t="n">
        <f aca="false">+I30/I16</f>
        <v>0.0820973813870002</v>
      </c>
      <c r="J49" s="73" t="n">
        <f aca="false">+J30/J16</f>
        <v>0.25058730944186</v>
      </c>
      <c r="K49" s="73" t="n">
        <f aca="false">+K30/K16</f>
        <v>0.198022324935572</v>
      </c>
      <c r="L49" s="73" t="n">
        <f aca="false">+L30/L16</f>
        <v>0.193469365204152</v>
      </c>
      <c r="M49" s="73" t="n">
        <f aca="false">+M30/M16</f>
        <v>0.0700341652330727</v>
      </c>
      <c r="N49" s="73" t="n">
        <f aca="false">+N30/N16</f>
        <v>0.210126540565862</v>
      </c>
      <c r="O49" s="73" t="n">
        <f aca="false">+O30/O16</f>
        <v>0.223383799437507</v>
      </c>
      <c r="P49" s="73" t="n">
        <f aca="false">+P30/P16</f>
        <v>0.224637995978498</v>
      </c>
      <c r="Q49" s="73" t="n">
        <f aca="false">+Q30/Q16</f>
        <v>0.170609158293787</v>
      </c>
      <c r="R49" s="73" t="n">
        <f aca="false">+R30/R16</f>
        <v>0.280987756970918</v>
      </c>
      <c r="S49" s="73" t="n">
        <f aca="false">+S30/S16</f>
        <v>0.26779512980216</v>
      </c>
      <c r="T49" s="73" t="n">
        <f aca="false">+T30/T16</f>
        <v>0.296300878772586</v>
      </c>
      <c r="U49" s="73" t="n">
        <f aca="false">+U30/U16</f>
        <v>0.221999514309429</v>
      </c>
      <c r="V49" s="73" t="n">
        <f aca="false">+V30/V16</f>
        <v>0.321811718713234</v>
      </c>
      <c r="W49" s="73" t="n">
        <f aca="false">+W30/W16</f>
        <v>0.340812462231935</v>
      </c>
      <c r="X49" s="73" t="n">
        <f aca="false">+X30/X16</f>
        <v>0.282350790798014</v>
      </c>
      <c r="Y49" s="73" t="n">
        <f aca="false">+Y30/Y16</f>
        <v>0.245333028744628</v>
      </c>
      <c r="Z49" s="73" t="n">
        <f aca="false">+Z30/Z16</f>
        <v>0.323014562831188</v>
      </c>
      <c r="AA49" s="73" t="n">
        <f aca="false">+AA30/AA16</f>
        <v>0.333796566366924</v>
      </c>
      <c r="AB49" s="73" t="n">
        <f aca="false">+AB30/AB16</f>
        <v>0.331828613875463</v>
      </c>
      <c r="AC49" s="73" t="n">
        <f aca="false">+AC30/AC16</f>
        <v>0.301218838389164</v>
      </c>
      <c r="AD49" s="74"/>
      <c r="AE49" s="74"/>
      <c r="AF49" s="74"/>
      <c r="AG49" s="74"/>
      <c r="AH49" s="74"/>
      <c r="AI49" s="73" t="n">
        <f aca="false">+AI30/AI16</f>
        <v>0.183434004784939</v>
      </c>
      <c r="AJ49" s="73" t="n">
        <f aca="false">+AJ30/AJ16</f>
        <v>0.208579004296893</v>
      </c>
      <c r="AK49" s="73" t="n">
        <f aca="false">+AK30/AK16</f>
        <v>0.178161227939083</v>
      </c>
      <c r="AL49" s="73" t="n">
        <f aca="false">+AL30/AL16</f>
        <v>0.206202994952043</v>
      </c>
      <c r="AM49" s="73" t="n">
        <f aca="false">+AM30/AM16</f>
        <v>0.267108414030887</v>
      </c>
      <c r="AN49" s="73" t="n">
        <f aca="false">+AN30/AN16</f>
        <v>0.29493852458597</v>
      </c>
      <c r="AO49" s="73" t="n">
        <f aca="false">+AO30/AO16</f>
        <v>0.314997216422015</v>
      </c>
      <c r="AP49" s="73" t="n">
        <f aca="false">+AP30/AP16</f>
        <v>0.329997551822352</v>
      </c>
      <c r="AQ49" s="73" t="n">
        <f aca="false">+AQ30/AQ16</f>
        <v>0.339997878922763</v>
      </c>
      <c r="AR49" s="73" t="n">
        <f aca="false">+AR30/AR16</f>
        <v>0.344998122940499</v>
      </c>
      <c r="AS49" s="73" t="n">
        <f aca="false">+AS30/AS16</f>
        <v>0.35499838390923</v>
      </c>
      <c r="AT49" s="6"/>
      <c r="AU49" s="6"/>
      <c r="AV49" s="6"/>
      <c r="AW49" s="81" t="s">
        <v>105</v>
      </c>
      <c r="AX49" s="82" t="n">
        <v>0.02</v>
      </c>
      <c r="AY49" s="6"/>
      <c r="AZ49" s="6" t="s">
        <v>106</v>
      </c>
      <c r="BA49" s="77" t="n">
        <f aca="false">AO40</f>
        <v>13165.92464197</v>
      </c>
      <c r="BB49" s="6"/>
      <c r="BC49" s="83" t="s">
        <v>107</v>
      </c>
      <c r="BD49" s="84" t="n">
        <f aca="false">+(1-BD48)*AN63</f>
        <v>0.1248327024988</v>
      </c>
      <c r="BE49" s="6"/>
      <c r="BF49" s="85" t="s">
        <v>108</v>
      </c>
      <c r="BG49" s="86" t="n">
        <f aca="false">+Main!G2</f>
        <v>4163.939676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37"/>
      <c r="XEX49" s="37"/>
      <c r="XEY49" s="37"/>
      <c r="XEZ49" s="37"/>
      <c r="XFA49" s="37"/>
      <c r="XFB49" s="37"/>
      <c r="XFC49" s="37"/>
    </row>
    <row r="50" s="87" customFormat="true" ht="12.8" hidden="false" customHeight="true" outlineLevel="0" collapsed="false">
      <c r="A50" s="68" t="s">
        <v>109</v>
      </c>
      <c r="B50" s="74" t="n">
        <f aca="false">+B40/B16</f>
        <v>0.122916632406649</v>
      </c>
      <c r="C50" s="74" t="n">
        <f aca="false">+C40/C16</f>
        <v>0.117149508640542</v>
      </c>
      <c r="D50" s="74" t="n">
        <f aca="false">+D40/D16</f>
        <v>0.122777599609166</v>
      </c>
      <c r="E50" s="74" t="n">
        <f aca="false">+E40/E16</f>
        <v>0.0816043528313953</v>
      </c>
      <c r="F50" s="74" t="n">
        <f aca="false">+F40/F16</f>
        <v>0.238253173801754</v>
      </c>
      <c r="G50" s="74" t="n">
        <f aca="false">+G40/G16</f>
        <v>0.184304366748309</v>
      </c>
      <c r="H50" s="74" t="n">
        <f aca="false">+H40/H16</f>
        <v>0.193714045109154</v>
      </c>
      <c r="I50" s="74" t="n">
        <f aca="false">+I40/I16</f>
        <v>0.0789323728907684</v>
      </c>
      <c r="J50" s="74" t="n">
        <f aca="false">+J40/J16</f>
        <v>0.203038470518159</v>
      </c>
      <c r="K50" s="74" t="n">
        <f aca="false">+K40/K16</f>
        <v>0.180795223304456</v>
      </c>
      <c r="L50" s="74" t="n">
        <f aca="false">+L40/L16</f>
        <v>0.16620122640289</v>
      </c>
      <c r="M50" s="74" t="n">
        <f aca="false">+M40/M16</f>
        <v>0.00704384429573187</v>
      </c>
      <c r="N50" s="74" t="n">
        <f aca="false">+N40/N16</f>
        <v>0.160025456206369</v>
      </c>
      <c r="O50" s="74" t="n">
        <f aca="false">+O40/O16</f>
        <v>0.181903403688148</v>
      </c>
      <c r="P50" s="74" t="n">
        <f aca="false">+P40/P16</f>
        <v>0.201341344140521</v>
      </c>
      <c r="Q50" s="74" t="n">
        <f aca="false">+Q40/Q16</f>
        <v>0.107407165540164</v>
      </c>
      <c r="R50" s="74" t="n">
        <f aca="false">+R40/R16</f>
        <v>0.248970681197172</v>
      </c>
      <c r="S50" s="74" t="n">
        <f aca="false">+S40/S16</f>
        <v>0.224704848391971</v>
      </c>
      <c r="T50" s="74" t="n">
        <f aca="false">+T40/T16</f>
        <v>0.240783777795388</v>
      </c>
      <c r="U50" s="74" t="n">
        <f aca="false">+U40/U16</f>
        <v>0.18256358184139</v>
      </c>
      <c r="V50" s="74" t="n">
        <f aca="false">+V40/V16</f>
        <v>0.274377402105058</v>
      </c>
      <c r="W50" s="74" t="n">
        <f aca="false">+W40/W16</f>
        <v>0.282233168071812</v>
      </c>
      <c r="X50" s="74" t="n">
        <f aca="false">+X40/X16</f>
        <v>0.221447228678118</v>
      </c>
      <c r="Y50" s="74" t="n">
        <f aca="false">+Y40/Y16</f>
        <v>0.200676535760818</v>
      </c>
      <c r="Z50" s="74" t="n">
        <f aca="false">+Z40/Z16</f>
        <v>0.431244791398171</v>
      </c>
      <c r="AA50" s="74" t="n">
        <f aca="false">+AA40/AA16</f>
        <v>0.270802943309231</v>
      </c>
      <c r="AB50" s="74" t="n">
        <f aca="false">+AB40/AB16</f>
        <v>0.264245620944428</v>
      </c>
      <c r="AC50" s="74" t="n">
        <f aca="false">+AC40/AC16</f>
        <v>0.251743212830106</v>
      </c>
      <c r="AD50" s="74"/>
      <c r="AE50" s="74"/>
      <c r="AF50" s="74"/>
      <c r="AG50" s="74"/>
      <c r="AH50" s="74"/>
      <c r="AI50" s="74" t="n">
        <f aca="false">+AI40/AI16</f>
        <v>0.110466733468216</v>
      </c>
      <c r="AJ50" s="74" t="n">
        <f aca="false">+AJ40/AJ16</f>
        <v>0.172270611000733</v>
      </c>
      <c r="AK50" s="74" t="n">
        <f aca="false">+AK40/AK16</f>
        <v>0.142074333989744</v>
      </c>
      <c r="AL50" s="74" t="n">
        <f aca="false">+AL40/AL16</f>
        <v>0.160358930535684</v>
      </c>
      <c r="AM50" s="74" t="n">
        <f aca="false">+AM40/AM16</f>
        <v>0.223366377289056</v>
      </c>
      <c r="AN50" s="74" t="n">
        <f aca="false">+AN40/AN16</f>
        <v>0.243029231869952</v>
      </c>
      <c r="AO50" s="74" t="n">
        <f aca="false">+AO40/AO16</f>
        <v>0.256282363573013</v>
      </c>
      <c r="AP50" s="74" t="n">
        <f aca="false">+AP40/AP16</f>
        <v>0.270474853267633</v>
      </c>
      <c r="AQ50" s="74" t="n">
        <f aca="false">+AQ40/AQ16</f>
        <v>0.280199058060461</v>
      </c>
      <c r="AR50" s="74" t="n">
        <f aca="false">+AR40/AR16</f>
        <v>0.285554048920339</v>
      </c>
      <c r="AS50" s="74" t="n">
        <f aca="false">+AS40/AS16</f>
        <v>0.294968945349036</v>
      </c>
      <c r="AT50" s="6"/>
      <c r="AU50" s="6"/>
      <c r="AV50" s="6"/>
      <c r="AW50" s="88" t="s">
        <v>110</v>
      </c>
      <c r="AX50" s="89" t="n">
        <f aca="false">+Main!E9</f>
        <v>0.121171220375731</v>
      </c>
      <c r="AY50" s="6"/>
      <c r="AZ50" s="6" t="s">
        <v>111</v>
      </c>
      <c r="BA50" s="90" t="n">
        <f aca="false">BA48/BA49</f>
        <v>25.0622955622984</v>
      </c>
      <c r="BB50" s="6"/>
      <c r="BC50" s="78" t="s">
        <v>112</v>
      </c>
      <c r="BD50" s="91" t="n">
        <f aca="false">+SUM(X160:AA160)/(Main!B10-0.1)</f>
        <v>394524.408163265</v>
      </c>
      <c r="BE50" s="6"/>
      <c r="BF50" s="92" t="s">
        <v>113</v>
      </c>
      <c r="BG50" s="80" t="n">
        <f aca="false">+BG48/BG49</f>
        <v>94.7478683318143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37"/>
      <c r="XEX50" s="37"/>
      <c r="XEY50" s="37"/>
      <c r="XEZ50" s="37"/>
      <c r="XFA50" s="37"/>
      <c r="XFB50" s="37"/>
      <c r="XFC50" s="37"/>
    </row>
    <row r="51" customFormat="false" ht="12.8" hidden="false" customHeight="true" outlineLevel="0" collapsed="false">
      <c r="A51" s="93" t="s">
        <v>114</v>
      </c>
      <c r="B51" s="94"/>
      <c r="C51" s="94"/>
      <c r="D51" s="94"/>
      <c r="E51" s="94"/>
      <c r="F51" s="94" t="n">
        <f aca="false">+F49+F17</f>
        <v>0.515558941893432</v>
      </c>
      <c r="G51" s="94" t="n">
        <f aca="false">+G49+G17</f>
        <v>0.445793013410474</v>
      </c>
      <c r="H51" s="94" t="n">
        <f aca="false">+H49+H17</f>
        <v>0.397377562815112</v>
      </c>
      <c r="I51" s="94" t="n">
        <f aca="false">+I49+I17</f>
        <v>0.24236768419839</v>
      </c>
      <c r="J51" s="94" t="n">
        <f aca="false">+J49+J17</f>
        <v>0.348937208928123</v>
      </c>
      <c r="K51" s="94" t="n">
        <f aca="false">+K49+K17</f>
        <v>0.283590573603436</v>
      </c>
      <c r="L51" s="94" t="n">
        <f aca="false">+L49+L17</f>
        <v>0.252479975354618</v>
      </c>
      <c r="M51" s="94" t="n">
        <f aca="false">+M49+M17</f>
        <v>0.0885442763975104</v>
      </c>
      <c r="N51" s="94" t="n">
        <f aca="false">+N49+N17</f>
        <v>0.247469093027191</v>
      </c>
      <c r="O51" s="94" t="n">
        <f aca="false">+O49+O17</f>
        <v>0.250610901068624</v>
      </c>
      <c r="P51" s="94" t="n">
        <f aca="false">+P49+P17</f>
        <v>0.302492885568403</v>
      </c>
      <c r="Q51" s="94" t="n">
        <f aca="false">+Q49+Q17</f>
        <v>0.295418124162355</v>
      </c>
      <c r="R51" s="94" t="n">
        <f aca="false">+R49+R17</f>
        <v>0.429061027815738</v>
      </c>
      <c r="S51" s="94" t="n">
        <f aca="false">+S49+S17</f>
        <v>0.43537788294739</v>
      </c>
      <c r="T51" s="94" t="n">
        <f aca="false">+T49+T17</f>
        <v>0.446382826794127</v>
      </c>
      <c r="U51" s="94" t="n">
        <f aca="false">+U49+U17</f>
        <v>0.38221237662827</v>
      </c>
      <c r="V51" s="94" t="n">
        <f aca="false">+V49+V17</f>
        <v>0.446998484988581</v>
      </c>
      <c r="W51" s="94" t="n">
        <f aca="false">+W49+W17</f>
        <v>0.499824911232876</v>
      </c>
      <c r="X51" s="94" t="n">
        <f aca="false">+X49+X17</f>
        <v>0.453971311970652</v>
      </c>
      <c r="Y51" s="94" t="n">
        <f aca="false">+Y49+Y17</f>
        <v>0.421355279159384</v>
      </c>
      <c r="Z51" s="94" t="n">
        <f aca="false">+Z49+Z17</f>
        <v>0.484899889588278</v>
      </c>
      <c r="AA51" s="94" t="n">
        <f aca="false">+AA49+AA17</f>
        <v>0.467467294772015</v>
      </c>
      <c r="AB51" s="94" t="n">
        <f aca="false">+AB49+AB17</f>
        <v>0.486828613875463</v>
      </c>
      <c r="AC51" s="94" t="n">
        <f aca="false">+AC49+AC17</f>
        <v>0.456218838389164</v>
      </c>
      <c r="AD51" s="94"/>
      <c r="AE51" s="94"/>
      <c r="AF51" s="94"/>
      <c r="AG51" s="94"/>
      <c r="AH51" s="94"/>
      <c r="AI51" s="94"/>
      <c r="AJ51" s="94" t="n">
        <f aca="false">+AJ49+AJ17</f>
        <v>0.396680199141392</v>
      </c>
      <c r="AK51" s="94" t="n">
        <f aca="false">+AK49+AK17</f>
        <v>0.242735141116079</v>
      </c>
      <c r="AL51" s="94" t="n">
        <f aca="false">+AL49+AL17</f>
        <v>0.272871042795588</v>
      </c>
      <c r="AM51" s="94" t="n">
        <f aca="false">+AM49+AM17</f>
        <v>0.423608503568396</v>
      </c>
      <c r="AN51" s="94" t="n">
        <f aca="false">+AN49+AN17</f>
        <v>0.453439707478838</v>
      </c>
      <c r="AO51" s="94" t="n">
        <f aca="false">+AO49+AO17</f>
        <v>0.451997216422015</v>
      </c>
      <c r="AP51" s="94" t="n">
        <f aca="false">+AP49+AP17</f>
        <v>0.466997551822352</v>
      </c>
      <c r="AQ51" s="94" t="n">
        <f aca="false">+AQ49+AQ17</f>
        <v>0.469997878922763</v>
      </c>
      <c r="AR51" s="94" t="n">
        <f aca="false">+AR49+AR17</f>
        <v>0.474998122940499</v>
      </c>
      <c r="AS51" s="94" t="n">
        <f aca="false">+AS49+AS17</f>
        <v>0.47499838390923</v>
      </c>
      <c r="AW51" s="95" t="s">
        <v>115</v>
      </c>
      <c r="AX51" s="96" t="n">
        <f aca="false">NPV(AX50,AO40:DH40)+(Main!G4)-(Main!G5)</f>
        <v>199617.822676601</v>
      </c>
      <c r="AY51" s="66"/>
      <c r="AZ51" s="66"/>
      <c r="BA51" s="97"/>
      <c r="BB51" s="66"/>
      <c r="BC51" s="83" t="s">
        <v>116</v>
      </c>
      <c r="BD51" s="98" t="n">
        <f aca="false">+BD48*(1+0.1)/(Main!B10-0.1)</f>
        <v>31.7907014036647</v>
      </c>
      <c r="BE51" s="66"/>
      <c r="BG51" s="22" t="n">
        <f aca="false">+BG50/Main!G1-1</f>
        <v>0.214716260664286</v>
      </c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  <c r="CC51" s="66"/>
      <c r="CD51" s="66"/>
      <c r="CE51" s="66"/>
      <c r="CF51" s="66"/>
      <c r="CG51" s="66"/>
      <c r="CH51" s="66"/>
      <c r="CI51" s="66"/>
      <c r="CJ51" s="66"/>
      <c r="CK51" s="66"/>
      <c r="CL51" s="66"/>
      <c r="CM51" s="66"/>
      <c r="CN51" s="66"/>
      <c r="CO51" s="66"/>
      <c r="CP51" s="66"/>
      <c r="CQ51" s="66"/>
      <c r="CR51" s="66"/>
      <c r="CS51" s="66"/>
      <c r="CT51" s="66"/>
      <c r="CU51" s="66"/>
      <c r="CV51" s="66"/>
      <c r="CW51" s="66"/>
      <c r="CX51" s="66"/>
      <c r="CY51" s="66"/>
      <c r="CZ51" s="66"/>
      <c r="DA51" s="66"/>
      <c r="DB51" s="66"/>
      <c r="DC51" s="66"/>
      <c r="DD51" s="66"/>
      <c r="DE51" s="66"/>
      <c r="DF51" s="66"/>
      <c r="DG51" s="66"/>
      <c r="DH51" s="66"/>
    </row>
    <row r="52" customFormat="false" ht="12.8" hidden="false" customHeight="true" outlineLevel="0" collapsed="false">
      <c r="A52" s="68" t="s">
        <v>117</v>
      </c>
      <c r="B52" s="74" t="n">
        <f aca="false">+B38/B36</f>
        <v>0.109081682288365</v>
      </c>
      <c r="C52" s="74" t="n">
        <f aca="false">+C38/C36</f>
        <v>0.304540509055681</v>
      </c>
      <c r="D52" s="74" t="n">
        <f aca="false">+D38/D36</f>
        <v>0.0828741286334285</v>
      </c>
      <c r="E52" s="74" t="n">
        <f aca="false">+E38/E36</f>
        <v>-0.0704820471807892</v>
      </c>
      <c r="F52" s="74" t="n">
        <f aca="false">+F38/F36</f>
        <v>0.161082986166121</v>
      </c>
      <c r="G52" s="74" t="n">
        <f aca="false">+G38/G36</f>
        <v>0.151020670018008</v>
      </c>
      <c r="H52" s="74" t="n">
        <f aca="false">+H38/H36</f>
        <v>0.127479800735799</v>
      </c>
      <c r="I52" s="74" t="n">
        <f aca="false">+I38/I36</f>
        <v>-0.102352598511199</v>
      </c>
      <c r="J52" s="74" t="n">
        <f aca="false">+J38/J36</f>
        <v>0.19306484267235</v>
      </c>
      <c r="K52" s="74" t="n">
        <f aca="false">+K38/K36</f>
        <v>0.112197008254491</v>
      </c>
      <c r="L52" s="74" t="n">
        <f aca="false">+L38/L36</f>
        <v>0.145124625259059</v>
      </c>
      <c r="M52" s="74" t="n">
        <f aca="false">+M38/M36</f>
        <v>-0.403468659037461</v>
      </c>
      <c r="N52" s="74" t="n">
        <f aca="false">+N38/N36</f>
        <v>0.111379655994677</v>
      </c>
      <c r="O52" s="74" t="n">
        <f aca="false">+O38/O36</f>
        <v>0.11404311810063</v>
      </c>
      <c r="P52" s="74" t="n">
        <f aca="false">+P38/P36</f>
        <v>0.100284701747489</v>
      </c>
      <c r="Q52" s="74" t="n">
        <f aca="false">+Q38/Q36</f>
        <v>0.181462037401253</v>
      </c>
      <c r="R52" s="74" t="n">
        <f aca="false">+R38/R36</f>
        <v>0.107845356434466</v>
      </c>
      <c r="S52" s="74" t="n">
        <f aca="false">+S38/S36</f>
        <v>0.130718761378541</v>
      </c>
      <c r="T52" s="74" t="n">
        <f aca="false">+T38/T36</f>
        <v>0.125348506143719</v>
      </c>
      <c r="U52" s="74" t="n">
        <f aca="false">+U38/U36</f>
        <v>0.12432541856826</v>
      </c>
      <c r="V52" s="74" t="n">
        <f aca="false">+V38/V36</f>
        <v>0.112312626047575</v>
      </c>
      <c r="W52" s="74" t="n">
        <f aca="false">+W38/W36</f>
        <v>0.139284151670859</v>
      </c>
      <c r="X52" s="74" t="n">
        <f aca="false">+X38/X36</f>
        <v>0.180762917099209</v>
      </c>
      <c r="Y52" s="74" t="n">
        <f aca="false">+Y38/Y36</f>
        <v>0.126185508120134</v>
      </c>
      <c r="Z52" s="74" t="n">
        <f aca="false">+Z38/Z36</f>
        <v>0.193112387162511</v>
      </c>
      <c r="AA52" s="74" t="n">
        <f aca="false">+AA38/AA36</f>
        <v>0.163987172179147</v>
      </c>
      <c r="AB52" s="74" t="n">
        <f aca="false">+AB38/AB36</f>
        <v>0.180762917099209</v>
      </c>
      <c r="AC52" s="74" t="n">
        <f aca="false">+AC38/AC36</f>
        <v>0.126185508120134</v>
      </c>
      <c r="AD52" s="74"/>
      <c r="AE52" s="74"/>
      <c r="AF52" s="74"/>
      <c r="AG52" s="74"/>
      <c r="AH52" s="74"/>
      <c r="AI52" s="74" t="n">
        <f aca="false">+AI38/AI36</f>
        <v>0.136895419712739</v>
      </c>
      <c r="AJ52" s="74" t="n">
        <f aca="false">+AJ38/AJ36</f>
        <v>0.123952456592961</v>
      </c>
      <c r="AK52" s="74" t="n">
        <f aca="false">+AK38/AK36</f>
        <v>0.146664082179426</v>
      </c>
      <c r="AL52" s="74" t="n">
        <f aca="false">+AL38/AL36</f>
        <v>0.128506572006753</v>
      </c>
      <c r="AM52" s="74" t="n">
        <f aca="false">+AM38/AM36</f>
        <v>0.125836267172089</v>
      </c>
      <c r="AN52" s="74" t="n">
        <f aca="false">+AN38/AN36</f>
        <v>0.136876411691518</v>
      </c>
      <c r="AO52" s="74" t="n">
        <f aca="false">+AO38/AO36</f>
        <v>0.15</v>
      </c>
      <c r="AP52" s="74" t="n">
        <f aca="false">+AP38/AP36</f>
        <v>0.15</v>
      </c>
      <c r="AQ52" s="74" t="n">
        <f aca="false">+AQ38/AQ36</f>
        <v>0.15</v>
      </c>
      <c r="AR52" s="74" t="n">
        <f aca="false">+AR38/AR36</f>
        <v>0.15</v>
      </c>
      <c r="AS52" s="74" t="n">
        <f aca="false">+AS38/AS36</f>
        <v>0.15</v>
      </c>
      <c r="AW52" s="88" t="s">
        <v>108</v>
      </c>
      <c r="AX52" s="99" t="n">
        <f aca="false">AX51/Main!G2</f>
        <v>47.9396528790156</v>
      </c>
      <c r="AY52" s="77"/>
      <c r="AZ52" s="77"/>
      <c r="BA52" s="77"/>
      <c r="BB52" s="100"/>
      <c r="BC52" s="101"/>
      <c r="BD52" s="102"/>
      <c r="BE52" s="100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77"/>
      <c r="BQ52" s="77"/>
      <c r="BR52" s="77"/>
      <c r="BS52" s="77"/>
      <c r="BT52" s="77"/>
      <c r="BU52" s="77"/>
      <c r="BV52" s="77"/>
      <c r="BW52" s="77"/>
      <c r="BX52" s="77"/>
      <c r="BY52" s="77"/>
      <c r="BZ52" s="77"/>
      <c r="CA52" s="77"/>
      <c r="CB52" s="77"/>
      <c r="CC52" s="77"/>
      <c r="CD52" s="77"/>
      <c r="CE52" s="77"/>
      <c r="CF52" s="77"/>
      <c r="CG52" s="77"/>
      <c r="CH52" s="77"/>
      <c r="CI52" s="77"/>
      <c r="CJ52" s="77"/>
      <c r="CK52" s="77"/>
      <c r="CL52" s="77"/>
      <c r="CM52" s="77"/>
      <c r="CN52" s="77"/>
      <c r="CO52" s="77"/>
      <c r="CP52" s="77"/>
      <c r="CQ52" s="77"/>
      <c r="CR52" s="77"/>
      <c r="CS52" s="77"/>
      <c r="CT52" s="77"/>
      <c r="CU52" s="77"/>
      <c r="CV52" s="77"/>
      <c r="CW52" s="77"/>
      <c r="CX52" s="77"/>
      <c r="CY52" s="77"/>
      <c r="CZ52" s="77"/>
      <c r="DA52" s="77"/>
      <c r="DB52" s="77"/>
      <c r="DC52" s="77"/>
      <c r="DD52" s="77"/>
      <c r="DE52" s="77"/>
      <c r="DF52" s="77"/>
      <c r="DG52" s="77"/>
      <c r="DH52" s="77"/>
    </row>
    <row r="53" s="108" customFormat="true" ht="12.8" hidden="false" customHeight="true" outlineLevel="0" collapsed="false">
      <c r="A53" s="69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  <c r="AO53" s="103"/>
      <c r="AP53" s="103"/>
      <c r="AQ53" s="103"/>
      <c r="AR53" s="103"/>
      <c r="AS53" s="103"/>
      <c r="AT53" s="6"/>
      <c r="AU53" s="6"/>
      <c r="AV53" s="6"/>
      <c r="AW53" s="104" t="s">
        <v>118</v>
      </c>
      <c r="AX53" s="105" t="n">
        <f aca="false">AX52/Main!G1-1</f>
        <v>-0.385389065653646</v>
      </c>
      <c r="AY53" s="6"/>
      <c r="AZ53" s="6" t="s">
        <v>119</v>
      </c>
      <c r="BA53" s="22" t="n">
        <f aca="false">BA49/BA48</f>
        <v>0.0399005748501472</v>
      </c>
      <c r="BB53" s="100"/>
      <c r="BC53" s="106" t="s">
        <v>120</v>
      </c>
      <c r="BD53" s="107" t="n">
        <f aca="false">+(-AA80-AA81+AA96+AA97)/SUM(X58:AA58)</f>
        <v>0.351807928163698</v>
      </c>
      <c r="BE53" s="100"/>
      <c r="BF53" s="100"/>
      <c r="BG53" s="100"/>
      <c r="BH53" s="100"/>
      <c r="BI53" s="100"/>
      <c r="BJ53" s="100"/>
      <c r="BK53" s="100"/>
      <c r="BL53" s="100"/>
      <c r="BM53" s="100"/>
      <c r="BN53" s="100"/>
      <c r="BO53" s="100"/>
      <c r="BP53" s="100"/>
      <c r="BQ53" s="100"/>
      <c r="BR53" s="100"/>
      <c r="BS53" s="100"/>
      <c r="BT53" s="100"/>
      <c r="BU53" s="100"/>
      <c r="BV53" s="100"/>
      <c r="BW53" s="100"/>
      <c r="BX53" s="100"/>
      <c r="BY53" s="100"/>
      <c r="BZ53" s="100"/>
      <c r="CA53" s="100"/>
      <c r="CB53" s="100"/>
      <c r="CC53" s="100"/>
      <c r="CD53" s="100"/>
      <c r="CE53" s="100"/>
      <c r="CF53" s="100"/>
      <c r="CG53" s="100"/>
      <c r="CH53" s="100"/>
      <c r="CI53" s="100"/>
      <c r="CJ53" s="100"/>
      <c r="CK53" s="100"/>
      <c r="CL53" s="100"/>
      <c r="CM53" s="100"/>
      <c r="CN53" s="100"/>
      <c r="CO53" s="100"/>
      <c r="CP53" s="100"/>
      <c r="CQ53" s="100"/>
      <c r="CR53" s="100"/>
      <c r="CS53" s="100"/>
      <c r="CT53" s="100"/>
      <c r="CU53" s="100"/>
      <c r="CV53" s="100"/>
      <c r="CW53" s="100"/>
      <c r="CX53" s="100"/>
      <c r="CY53" s="100"/>
      <c r="CZ53" s="100"/>
      <c r="DA53" s="100"/>
      <c r="DB53" s="100"/>
      <c r="DC53" s="100"/>
      <c r="DD53" s="100"/>
      <c r="DE53" s="100"/>
      <c r="DF53" s="100"/>
      <c r="DG53" s="100"/>
      <c r="DH53" s="100"/>
      <c r="DI53" s="37"/>
      <c r="XEX53" s="37"/>
      <c r="XEY53" s="37"/>
      <c r="XEZ53" s="37"/>
      <c r="XFA53" s="37"/>
      <c r="XFB53" s="37"/>
      <c r="XFC53" s="37"/>
    </row>
    <row r="54" customFormat="false" ht="12.8" hidden="false" customHeight="true" outlineLevel="0" collapsed="false">
      <c r="A54" s="38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10"/>
      <c r="AE54" s="110"/>
      <c r="AF54" s="110"/>
      <c r="AG54" s="110"/>
      <c r="AH54" s="110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Z54" s="6" t="s">
        <v>121</v>
      </c>
      <c r="BA54" s="22" t="n">
        <v>0.04722</v>
      </c>
      <c r="BB54" s="108"/>
      <c r="BC54" s="111" t="s">
        <v>122</v>
      </c>
      <c r="BD54" s="112" t="n">
        <v>0</v>
      </c>
      <c r="BE54" s="108"/>
      <c r="BF54" s="108"/>
      <c r="BG54" s="108"/>
      <c r="BH54" s="108"/>
      <c r="BI54" s="108"/>
      <c r="BJ54" s="108"/>
      <c r="BK54" s="108"/>
      <c r="BL54" s="108"/>
      <c r="BM54" s="108"/>
      <c r="BN54" s="108"/>
      <c r="BO54" s="108"/>
      <c r="BP54" s="108"/>
      <c r="BQ54" s="108"/>
      <c r="BR54" s="108"/>
      <c r="BS54" s="108"/>
      <c r="BT54" s="108"/>
      <c r="BU54" s="108"/>
      <c r="BV54" s="108"/>
      <c r="BW54" s="108"/>
      <c r="BX54" s="108"/>
      <c r="BY54" s="108"/>
      <c r="BZ54" s="108"/>
      <c r="CA54" s="108"/>
      <c r="CB54" s="108"/>
      <c r="CC54" s="108"/>
      <c r="CD54" s="108"/>
      <c r="CE54" s="108"/>
      <c r="CF54" s="108"/>
      <c r="CG54" s="108"/>
      <c r="CH54" s="108"/>
      <c r="CI54" s="108"/>
      <c r="CJ54" s="108"/>
      <c r="CK54" s="108"/>
      <c r="CL54" s="108"/>
      <c r="CM54" s="108"/>
      <c r="CN54" s="108"/>
      <c r="CO54" s="108"/>
      <c r="CP54" s="108"/>
      <c r="CQ54" s="108"/>
      <c r="CR54" s="108"/>
      <c r="CS54" s="108"/>
      <c r="CT54" s="108"/>
      <c r="CU54" s="108"/>
      <c r="CV54" s="108"/>
      <c r="CW54" s="108"/>
      <c r="CX54" s="108"/>
      <c r="CY54" s="108"/>
      <c r="CZ54" s="108"/>
      <c r="DA54" s="108"/>
      <c r="DB54" s="108"/>
      <c r="DC54" s="108"/>
      <c r="DD54" s="108"/>
      <c r="DE54" s="108"/>
      <c r="DF54" s="108"/>
      <c r="DG54" s="108"/>
      <c r="DH54" s="108"/>
    </row>
    <row r="55" s="116" customFormat="true" ht="12.8" hidden="false" customHeight="true" outlineLevel="0" collapsed="false">
      <c r="A55" s="113" t="s">
        <v>123</v>
      </c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4" t="n">
        <f aca="false">+Z48*(Z16-Y16)</f>
        <v>103.373878157991</v>
      </c>
      <c r="AA55" s="113"/>
      <c r="AB55" s="113"/>
      <c r="AC55" s="113"/>
      <c r="AD55" s="87"/>
      <c r="AE55" s="87"/>
      <c r="AF55" s="87"/>
      <c r="AG55" s="87"/>
      <c r="AH55" s="87"/>
      <c r="AI55" s="113"/>
      <c r="AJ55" s="113"/>
      <c r="AK55" s="113"/>
      <c r="AL55" s="113"/>
      <c r="AM55" s="113"/>
      <c r="AN55" s="113"/>
      <c r="AO55" s="113"/>
      <c r="AP55" s="113"/>
      <c r="AQ55" s="113"/>
      <c r="AR55" s="113"/>
      <c r="AS55" s="113"/>
      <c r="AT55" s="87"/>
      <c r="AU55" s="87"/>
      <c r="AV55" s="87"/>
      <c r="AW55" s="87"/>
      <c r="AX55" s="87"/>
      <c r="AY55" s="87"/>
      <c r="AZ55" s="87"/>
      <c r="BA55" s="87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  <c r="BP55" s="115"/>
      <c r="BQ55" s="115"/>
      <c r="BR55" s="115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115"/>
      <c r="CD55" s="115"/>
      <c r="CE55" s="115"/>
      <c r="CF55" s="115"/>
      <c r="CG55" s="115"/>
      <c r="CH55" s="115"/>
      <c r="CI55" s="115"/>
      <c r="CJ55" s="115"/>
      <c r="CK55" s="115"/>
      <c r="CL55" s="115"/>
      <c r="CM55" s="115"/>
      <c r="CN55" s="115"/>
      <c r="CO55" s="115"/>
      <c r="CP55" s="115"/>
      <c r="CQ55" s="115"/>
      <c r="CR55" s="115"/>
      <c r="CS55" s="115"/>
      <c r="CT55" s="115"/>
      <c r="CU55" s="115"/>
      <c r="CV55" s="115"/>
      <c r="CW55" s="115"/>
      <c r="CX55" s="115"/>
      <c r="CY55" s="115"/>
      <c r="CZ55" s="115"/>
      <c r="DA55" s="115"/>
      <c r="DB55" s="115"/>
      <c r="DC55" s="115"/>
      <c r="DD55" s="115"/>
      <c r="DE55" s="115"/>
      <c r="DF55" s="115"/>
      <c r="DG55" s="115"/>
      <c r="DH55" s="115"/>
      <c r="DI55" s="37"/>
      <c r="XEX55" s="37"/>
      <c r="XEY55" s="37"/>
      <c r="XEZ55" s="37"/>
      <c r="XFA55" s="37"/>
      <c r="XFB55" s="37"/>
      <c r="XFC55" s="37"/>
    </row>
    <row r="56" s="110" customFormat="true" ht="12.8" hidden="false" customHeight="true" outlineLevel="0" collapsed="false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 t="n">
        <f aca="false">+Y24/(Z55*12)</f>
        <v>0.897531707106236</v>
      </c>
      <c r="AA56" s="113"/>
      <c r="AB56" s="113"/>
      <c r="AC56" s="113"/>
      <c r="AD56" s="87"/>
      <c r="AE56" s="87"/>
      <c r="AF56" s="87"/>
      <c r="AG56" s="87"/>
      <c r="AH56" s="87"/>
      <c r="AI56" s="113"/>
      <c r="AJ56" s="113"/>
      <c r="AK56" s="113"/>
      <c r="AL56" s="113"/>
      <c r="AM56" s="113"/>
      <c r="AN56" s="113"/>
      <c r="AO56" s="113"/>
      <c r="AP56" s="113"/>
      <c r="AQ56" s="113"/>
      <c r="AR56" s="113"/>
      <c r="AS56" s="113"/>
      <c r="AT56" s="87"/>
      <c r="AU56" s="87"/>
      <c r="AV56" s="87"/>
      <c r="AW56" s="87"/>
      <c r="AX56" s="87"/>
      <c r="AY56" s="87"/>
      <c r="AZ56" s="87"/>
      <c r="BA56" s="87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  <c r="BP56" s="115"/>
      <c r="BQ56" s="115"/>
      <c r="BR56" s="115"/>
      <c r="BS56" s="115"/>
      <c r="BT56" s="115"/>
      <c r="BU56" s="115"/>
      <c r="BV56" s="115"/>
      <c r="BW56" s="115"/>
      <c r="BX56" s="115"/>
      <c r="BY56" s="115"/>
      <c r="BZ56" s="115"/>
      <c r="CA56" s="115"/>
      <c r="CB56" s="115"/>
      <c r="CC56" s="115"/>
      <c r="CD56" s="115"/>
      <c r="CE56" s="115"/>
      <c r="CF56" s="115"/>
      <c r="CG56" s="115"/>
      <c r="CH56" s="115"/>
      <c r="CI56" s="115"/>
      <c r="CJ56" s="115"/>
      <c r="CK56" s="115"/>
      <c r="CL56" s="115"/>
      <c r="CM56" s="115"/>
      <c r="CN56" s="115"/>
      <c r="CO56" s="115"/>
      <c r="CP56" s="115"/>
      <c r="CQ56" s="115"/>
      <c r="CR56" s="115"/>
      <c r="CS56" s="115"/>
      <c r="CT56" s="115"/>
      <c r="CU56" s="115"/>
      <c r="CV56" s="115"/>
      <c r="CW56" s="115"/>
      <c r="CX56" s="115"/>
      <c r="CY56" s="115"/>
      <c r="CZ56" s="115"/>
      <c r="DA56" s="115"/>
      <c r="DB56" s="115"/>
      <c r="DC56" s="115"/>
      <c r="DD56" s="115"/>
      <c r="DE56" s="115"/>
      <c r="DF56" s="115"/>
      <c r="DG56" s="115"/>
      <c r="DH56" s="115"/>
      <c r="DI56" s="37"/>
      <c r="XEX56" s="37"/>
      <c r="XEY56" s="37"/>
      <c r="XEZ56" s="37"/>
      <c r="XFA56" s="37"/>
      <c r="XFB56" s="37"/>
      <c r="XFC56" s="37"/>
    </row>
    <row r="57" s="110" customFormat="true" ht="12.8" hidden="false" customHeight="true" outlineLevel="0" collapsed="false">
      <c r="A57" s="38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6"/>
      <c r="AU57" s="6"/>
      <c r="AV57" s="6"/>
      <c r="AW57" s="6"/>
      <c r="AX57" s="6"/>
      <c r="AY57" s="6"/>
      <c r="AZ57" s="6"/>
      <c r="BA57" s="22"/>
      <c r="BB57" s="108"/>
      <c r="BC57" s="108"/>
      <c r="BD57" s="108"/>
      <c r="BE57" s="108"/>
      <c r="BF57" s="108"/>
      <c r="BG57" s="108"/>
      <c r="BH57" s="108"/>
      <c r="BI57" s="108"/>
      <c r="BJ57" s="108"/>
      <c r="BK57" s="108"/>
      <c r="BL57" s="108"/>
      <c r="BM57" s="108"/>
      <c r="BN57" s="108"/>
      <c r="BO57" s="108"/>
      <c r="BP57" s="108"/>
      <c r="BQ57" s="108"/>
      <c r="BR57" s="108"/>
      <c r="BS57" s="108"/>
      <c r="BT57" s="108"/>
      <c r="BU57" s="108"/>
      <c r="BV57" s="108"/>
      <c r="BW57" s="108"/>
      <c r="BX57" s="108"/>
      <c r="BY57" s="108"/>
      <c r="BZ57" s="108"/>
      <c r="CA57" s="108"/>
      <c r="CB57" s="108"/>
      <c r="CC57" s="108"/>
      <c r="CD57" s="108"/>
      <c r="CE57" s="108"/>
      <c r="CF57" s="108"/>
      <c r="CG57" s="108"/>
      <c r="CH57" s="108"/>
      <c r="CI57" s="108"/>
      <c r="CJ57" s="108"/>
      <c r="CK57" s="108"/>
      <c r="CL57" s="108"/>
      <c r="CM57" s="108"/>
      <c r="CN57" s="108"/>
      <c r="CO57" s="108"/>
      <c r="CP57" s="108"/>
      <c r="CQ57" s="108"/>
      <c r="CR57" s="108"/>
      <c r="CS57" s="108"/>
      <c r="CT57" s="108"/>
      <c r="CU57" s="108"/>
      <c r="CV57" s="108"/>
      <c r="CW57" s="108"/>
      <c r="CX57" s="108"/>
      <c r="CY57" s="108"/>
      <c r="CZ57" s="108"/>
      <c r="DA57" s="108"/>
      <c r="DB57" s="108"/>
      <c r="DC57" s="108"/>
      <c r="DD57" s="108"/>
      <c r="DE57" s="108"/>
      <c r="DF57" s="108"/>
      <c r="DG57" s="108"/>
      <c r="DH57" s="108"/>
      <c r="DI57" s="37"/>
      <c r="XEX57" s="37"/>
      <c r="XEY57" s="37"/>
      <c r="XEZ57" s="37"/>
      <c r="XFA57" s="37"/>
      <c r="XFB57" s="37"/>
      <c r="XFC57" s="37"/>
    </row>
    <row r="58" s="110" customFormat="true" ht="12.8" hidden="false" customHeight="true" outlineLevel="0" collapsed="false">
      <c r="A58" s="100" t="s">
        <v>124</v>
      </c>
      <c r="B58" s="100" t="n">
        <f aca="false">+B30+B120</f>
        <v>986.63396906859</v>
      </c>
      <c r="C58" s="100" t="n">
        <f aca="false">+C30+C120</f>
        <v>1384.45860902378</v>
      </c>
      <c r="D58" s="100" t="n">
        <f aca="false">+D30+D120</f>
        <v>1343.34752004475</v>
      </c>
      <c r="E58" s="100" t="n">
        <f aca="false">+E30+E120</f>
        <v>986.111961952923</v>
      </c>
      <c r="F58" s="100" t="n">
        <f aca="false">+F30+F120</f>
        <v>1995.45513457673</v>
      </c>
      <c r="G58" s="100" t="n">
        <f aca="false">+G30+G120</f>
        <v>1886.0215607923</v>
      </c>
      <c r="H58" s="100" t="n">
        <f aca="false">+H30+H120</f>
        <v>1825.53968516984</v>
      </c>
      <c r="I58" s="100" t="n">
        <f aca="false">+I30+I120</f>
        <v>696.8133423268</v>
      </c>
      <c r="J58" s="100" t="n">
        <f aca="false">+J30+J120</f>
        <v>2046.14577449572</v>
      </c>
      <c r="K58" s="100" t="n">
        <f aca="false">+K30+K120</f>
        <v>1661.73792973651</v>
      </c>
      <c r="L58" s="100" t="n">
        <f aca="false">+L30+L120</f>
        <v>1618.3447192429</v>
      </c>
      <c r="M58" s="100" t="n">
        <f aca="false">+M30+M120</f>
        <v>643.208265410087</v>
      </c>
      <c r="N58" s="100" t="n">
        <f aca="false">+N30+N120</f>
        <v>1805.24776082828</v>
      </c>
      <c r="O58" s="100" t="n">
        <f aca="false">+O30+O120</f>
        <v>1918.14316599487</v>
      </c>
      <c r="P58" s="100" t="n">
        <f aca="false">+P30+P120</f>
        <v>2009.45776164833</v>
      </c>
      <c r="Q58" s="100" t="n">
        <f aca="false">+Q30+Q120</f>
        <v>1593.32008605072</v>
      </c>
      <c r="R58" s="100" t="n">
        <f aca="false">+R30+R120</f>
        <v>2720.0552828175</v>
      </c>
      <c r="S58" s="100" t="n">
        <f aca="false">+S30+S120</f>
        <v>2641.05364577885</v>
      </c>
      <c r="T58" s="100" t="n">
        <f aca="false">+T30+T120</f>
        <v>2990.85983306189</v>
      </c>
      <c r="U58" s="100" t="n">
        <f aca="false">+U30+U120</f>
        <v>2354.32902312872</v>
      </c>
      <c r="V58" s="100" t="n">
        <f aca="false">+V30+V120</f>
        <v>3472.86095039363</v>
      </c>
      <c r="W58" s="100" t="n">
        <f aca="false">+W30+W120</f>
        <v>3855.86126906761</v>
      </c>
      <c r="X58" s="100" t="n">
        <f aca="false">+X30+X120</f>
        <v>3337.15760208514</v>
      </c>
      <c r="Y58" s="100" t="n">
        <f aca="false">+Y30+Y120</f>
        <v>3042.33472949289</v>
      </c>
      <c r="Z58" s="100" t="n">
        <f aca="false">+Z30+Z120</f>
        <v>4055.42490214328</v>
      </c>
      <c r="AA58" s="100" t="n">
        <f aca="false">+AA30+AA120</f>
        <v>4292.99417818145</v>
      </c>
      <c r="AB58" s="100" t="n">
        <f aca="false">+AB30+AB120</f>
        <v>4503.01118429109</v>
      </c>
      <c r="AC58" s="100" t="n">
        <f aca="false">+AC30+AC120</f>
        <v>4282.72702342162</v>
      </c>
      <c r="AD58" s="100"/>
      <c r="AE58" s="100"/>
      <c r="AF58" s="100"/>
      <c r="AG58" s="100"/>
      <c r="AH58" s="100"/>
      <c r="AI58" s="100" t="n">
        <f aca="false">AI30+AI120</f>
        <v>4700.6266559086</v>
      </c>
      <c r="AJ58" s="100" t="n">
        <f aca="false">AJ30+AJ120</f>
        <v>6402.54673128447</v>
      </c>
      <c r="AK58" s="100" t="n">
        <f aca="false">AK30+AK120</f>
        <v>5969.16520996946</v>
      </c>
      <c r="AL58" s="100" t="n">
        <f aca="false">AL30+AL120</f>
        <v>7310.54484105724</v>
      </c>
      <c r="AM58" s="100" t="n">
        <f aca="false">AM30+AM120</f>
        <v>10745.394187185</v>
      </c>
      <c r="AN58" s="100" t="n">
        <f aca="false">AN30+AN120</f>
        <v>13659.3188748105</v>
      </c>
      <c r="AO58" s="100" t="n">
        <f aca="false">AO30+AO120</f>
        <v>20035.221661</v>
      </c>
      <c r="AP58" s="100" t="n">
        <f aca="false">AP30+AP120</f>
        <v>23656.2285280015</v>
      </c>
      <c r="AQ58" s="100" t="n">
        <f aca="false">AQ30+AQ120</f>
        <v>27391.6017976699</v>
      </c>
      <c r="AR58" s="100" t="n">
        <f aca="false">AR30+AR120</f>
        <v>31325.4519449979</v>
      </c>
      <c r="AS58" s="100" t="n">
        <f aca="false">AS30+AS120</f>
        <v>35919.8770969309</v>
      </c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37"/>
      <c r="XEX58" s="37"/>
      <c r="XEY58" s="37"/>
      <c r="XEZ58" s="37"/>
      <c r="XFA58" s="37"/>
      <c r="XFB58" s="37"/>
      <c r="XFC58" s="37"/>
    </row>
    <row r="59" s="54" customFormat="true" ht="10.5" hidden="false" customHeight="true" outlineLevel="0" collapsed="false">
      <c r="F59" s="54" t="n">
        <f aca="false">+F58/B58-1</f>
        <v>1.02248776865091</v>
      </c>
      <c r="G59" s="54" t="n">
        <f aca="false">+G58/C58-1</f>
        <v>0.362280929526803</v>
      </c>
      <c r="H59" s="54" t="n">
        <f aca="false">+H58/D58-1</f>
        <v>0.35894819317419</v>
      </c>
      <c r="I59" s="54" t="n">
        <f aca="false">+I58/E58-1</f>
        <v>-0.29337299494186</v>
      </c>
      <c r="J59" s="54" t="n">
        <f aca="false">+J58/F58-1</f>
        <v>0.0254030466737356</v>
      </c>
      <c r="K59" s="54" t="n">
        <f aca="false">+K58/G58-1</f>
        <v>-0.118918911489839</v>
      </c>
      <c r="L59" s="54" t="n">
        <f aca="false">+L58/H58-1</f>
        <v>-0.113497924811021</v>
      </c>
      <c r="M59" s="54" t="n">
        <f aca="false">+M58/I58-1</f>
        <v>-0.0769288899344487</v>
      </c>
      <c r="N59" s="54" t="n">
        <f aca="false">+N58/J58-1</f>
        <v>-0.117732576373652</v>
      </c>
      <c r="O59" s="54" t="n">
        <f aca="false">+O58/K58-1</f>
        <v>0.154299442571557</v>
      </c>
      <c r="P59" s="54" t="n">
        <f aca="false">+P58/L58-1</f>
        <v>0.241674741947683</v>
      </c>
      <c r="Q59" s="54" t="n">
        <f aca="false">+Q58/M58-1</f>
        <v>1.47714491827135</v>
      </c>
      <c r="R59" s="54" t="n">
        <f aca="false">+R58/N58-1</f>
        <v>0.506749013536787</v>
      </c>
      <c r="S59" s="54" t="n">
        <f aca="false">+S58/O58-1</f>
        <v>0.376880356273631</v>
      </c>
      <c r="T59" s="54" t="n">
        <f aca="false">+T58/P58-1</f>
        <v>0.488391490552424</v>
      </c>
      <c r="U59" s="54" t="n">
        <f aca="false">+U58/Q58-1</f>
        <v>0.477624642870264</v>
      </c>
      <c r="V59" s="54" t="n">
        <f aca="false">+V58/R58-1</f>
        <v>0.276761164499697</v>
      </c>
      <c r="W59" s="54" t="n">
        <f aca="false">+W58/S58-1</f>
        <v>0.459970824610233</v>
      </c>
      <c r="X59" s="54" t="n">
        <f aca="false">+X58/T58-1</f>
        <v>0.115785355500506</v>
      </c>
      <c r="Y59" s="54" t="n">
        <f aca="false">+Y58/U58-1</f>
        <v>0.292230057738432</v>
      </c>
      <c r="Z59" s="54" t="n">
        <f aca="false">+Z58/V58-1</f>
        <v>0.167747560317273</v>
      </c>
      <c r="AA59" s="54" t="n">
        <f aca="false">+AA58/W58-1</f>
        <v>0.113368422412031</v>
      </c>
      <c r="AB59" s="54" t="n">
        <f aca="false">+AB58/X58-1</f>
        <v>0.349355266133518</v>
      </c>
      <c r="AC59" s="54" t="n">
        <f aca="false">+AC58/Y58-1</f>
        <v>0.407710657839244</v>
      </c>
      <c r="AJ59" s="54" t="n">
        <f aca="false">+AJ58/AI58-1</f>
        <v>0.362062380180011</v>
      </c>
      <c r="AK59" s="54" t="n">
        <f aca="false">+AK58/AJ58-1</f>
        <v>-0.0676889274696573</v>
      </c>
      <c r="AL59" s="54" t="n">
        <f aca="false">+AL58/AK58-1</f>
        <v>0.224718127896252</v>
      </c>
      <c r="AM59" s="54" t="n">
        <f aca="false">+AM58/AL58-1</f>
        <v>0.469848611944357</v>
      </c>
      <c r="AN59" s="54" t="n">
        <f aca="false">+AN58/AM58-1</f>
        <v>0.271178947636994</v>
      </c>
      <c r="AO59" s="54" t="n">
        <f aca="false">+AO58/AN58-1</f>
        <v>0.466780433535926</v>
      </c>
      <c r="AP59" s="54" t="n">
        <f aca="false">+AP58/AO58-1</f>
        <v>0.180732059184054</v>
      </c>
      <c r="AQ59" s="54" t="n">
        <f aca="false">+AQ58/AP58-1</f>
        <v>0.157902315884669</v>
      </c>
      <c r="AR59" s="54" t="n">
        <f aca="false">+AR58/AQ58-1</f>
        <v>0.143615191852805</v>
      </c>
      <c r="AS59" s="54" t="n">
        <f aca="false">+AS58/AR58-1</f>
        <v>0.146667481765308</v>
      </c>
      <c r="DI59" s="37"/>
      <c r="XEX59" s="37"/>
      <c r="XEY59" s="37"/>
      <c r="XEZ59" s="37"/>
      <c r="XFA59" s="37"/>
      <c r="XFB59" s="37"/>
      <c r="XFC59" s="37"/>
    </row>
    <row r="60" s="110" customFormat="true" ht="12.8" hidden="false" customHeight="true" outlineLevel="0" collapsed="false">
      <c r="A60" s="22" t="s">
        <v>125</v>
      </c>
      <c r="F60" s="110" t="n">
        <f aca="false">(F30-B30)/(F16-B16)</f>
        <v>0.717699316070604</v>
      </c>
      <c r="G60" s="110" t="n">
        <f aca="false">(G30-C30)/(G16-C16)</f>
        <v>0.410332095682574</v>
      </c>
      <c r="H60" s="110" t="n">
        <f aca="false">(H30-D30)/(H16-D16)</f>
        <v>0.420397179924692</v>
      </c>
      <c r="I60" s="110" t="n">
        <f aca="false">(I30-E30)/(I16-E16)</f>
        <v>-0.301717174970535</v>
      </c>
      <c r="J60" s="110" t="n">
        <f aca="false">(J30-F30)/(J16-F16)</f>
        <v>0.016736181574163</v>
      </c>
      <c r="K60" s="110" t="n">
        <f aca="false">(K30-G30)/(K16-G16)</f>
        <v>-0.428802560644527</v>
      </c>
      <c r="L60" s="110" t="n">
        <f aca="false">(L30-H30)/(L16-H16)</f>
        <v>-0.502932440957746</v>
      </c>
      <c r="M60" s="110" t="n">
        <f aca="false">(M30-I30)/(M16-I16)</f>
        <v>-0.581675381336467</v>
      </c>
      <c r="N60" s="110" t="n">
        <f aca="false">(N30-J30)/(N16-J16)</f>
        <v>-0.873376493081837</v>
      </c>
      <c r="O60" s="110" t="n">
        <f aca="false">(O30-K30)/(O16-K16)</f>
        <v>1.15486283990027</v>
      </c>
      <c r="P60" s="110" t="n">
        <f aca="false">(P30-L30)/(P16-L16)</f>
        <v>0.624980619781886</v>
      </c>
      <c r="Q60" s="110" t="n">
        <f aca="false">(Q30-M30)/(Q16-M16)</f>
        <v>0.976440633306774</v>
      </c>
      <c r="R60" s="110" t="n">
        <f aca="false">(R30-N30)/(R16-N16)</f>
        <v>0.759542839875237</v>
      </c>
      <c r="S60" s="110" t="n">
        <f aca="false">(S30-O30)/(S16-O16)</f>
        <v>0.532806472145756</v>
      </c>
      <c r="T60" s="110" t="n">
        <f aca="false">(T30-P30)/(T16-P16)</f>
        <v>0.773792567405276</v>
      </c>
      <c r="U60" s="110" t="n">
        <f aca="false">(U30-Q30)/(U16-Q16)</f>
        <v>0.542762499701764</v>
      </c>
      <c r="V60" s="110" t="n">
        <f aca="false">(V30-R30)/(V16-R16)</f>
        <v>0.647916170141623</v>
      </c>
      <c r="W60" s="110" t="n">
        <f aca="false">(W30-S30)/(W16-S16)</f>
        <v>0.800005015321552</v>
      </c>
      <c r="X60" s="110" t="n">
        <f aca="false">(X30-T30)/(X16-T16)</f>
        <v>0.201066292421859</v>
      </c>
      <c r="Y60" s="110" t="n">
        <f aca="false">(Y30-U30)/(Y16-U16)</f>
        <v>0.377893056696885</v>
      </c>
      <c r="Z60" s="110" t="n">
        <f aca="false">(Z30-V30)/(Z16-V16)</f>
        <v>0.330444786076552</v>
      </c>
      <c r="AA60" s="110" t="n">
        <f aca="false">(AA30-W30)/(AA16-W16)</f>
        <v>0.281310162284882</v>
      </c>
      <c r="AJ60" s="110" t="n">
        <f aca="false">(AJ30-AI30)/(AJ16-AI16)</f>
        <v>0.342257046760907</v>
      </c>
      <c r="AK60" s="110" t="n">
        <f aca="false">(AK30-AJ30)/(AK16-AJ16)</f>
        <v>-0.292892404422266</v>
      </c>
      <c r="AL60" s="110" t="n">
        <f aca="false">(AL30-AK30)/(AL16-AK16)</f>
        <v>0.626820785932931</v>
      </c>
      <c r="AM60" s="110" t="n">
        <f aca="false">(AM30-AL30)/(AM16-AL16)</f>
        <v>0.656280198269686</v>
      </c>
      <c r="AN60" s="110" t="n">
        <f aca="false">(AN30-AM30)/(AN16-AM16)</f>
        <v>0.470521507924923</v>
      </c>
      <c r="AO60" s="110" t="n">
        <f aca="false">(AO30-AN30)/(AO16-AN16)</f>
        <v>0.461411025444239</v>
      </c>
      <c r="AP60" s="110" t="n">
        <f aca="false">(AP30-AO30)/(AP16-AO16)</f>
        <v>0.439489051094891</v>
      </c>
      <c r="AQ60" s="110" t="n">
        <f aca="false">(AQ30-AP30)/(AQ16-AP16)</f>
        <v>0.416923472002848</v>
      </c>
      <c r="AR60" s="110" t="n">
        <f aca="false">(AR30-AQ30)/(AR16-AQ16)</f>
        <v>0.383461538461539</v>
      </c>
      <c r="AS60" s="110" t="n">
        <f aca="false">(AS30-AR30)/(AS16-AR16)</f>
        <v>0.438333891981994</v>
      </c>
      <c r="AT60" s="11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37"/>
      <c r="XEX60" s="37"/>
      <c r="XEY60" s="37"/>
      <c r="XEZ60" s="37"/>
      <c r="XFA60" s="37"/>
      <c r="XFB60" s="37"/>
      <c r="XFC60" s="37"/>
    </row>
    <row r="61" s="116" customFormat="true" ht="12.8" hidden="false" customHeight="true" outlineLevel="0" collapsed="false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6"/>
      <c r="DI61" s="37"/>
      <c r="XEX61" s="37"/>
      <c r="XEY61" s="37"/>
      <c r="XEZ61" s="37"/>
      <c r="XFA61" s="37"/>
      <c r="XFB61" s="37"/>
      <c r="XFC61" s="37"/>
    </row>
    <row r="62" s="116" customFormat="true" ht="12.8" hidden="false" customHeight="true" outlineLevel="0" collapsed="false">
      <c r="A62" s="74" t="s">
        <v>126</v>
      </c>
      <c r="B62" s="74"/>
      <c r="C62" s="74" t="n">
        <f aca="false">+SUM(C40)/AVERAGE(B87:C87)</f>
        <v>0.0202693621530654</v>
      </c>
      <c r="D62" s="74" t="n">
        <f aca="false">+SUM(D40)/AVERAGE(C87:D87)</f>
        <v>0.0208489621673793</v>
      </c>
      <c r="E62" s="74" t="n">
        <f aca="false">+SUM(E40)/AVERAGE(D87:E87)</f>
        <v>0.013920289027114</v>
      </c>
      <c r="F62" s="74" t="n">
        <f aca="false">+SUM(F40)/AVERAGE(E87:F87)</f>
        <v>0.0429872242594849</v>
      </c>
      <c r="G62" s="74" t="n">
        <f aca="false">+SUM(G40)/AVERAGE(F87:G87)</f>
        <v>0.0333718458865385</v>
      </c>
      <c r="H62" s="74" t="n">
        <f aca="false">+SUM(H40)/AVERAGE(G87:H87)</f>
        <v>0.0346345962613971</v>
      </c>
      <c r="I62" s="74" t="n">
        <f aca="false">+SUM(I40)/AVERAGE(H87:I87)</f>
        <v>0.01393687757407</v>
      </c>
      <c r="J62" s="74" t="n">
        <f aca="false">+SUM(J40)/AVERAGE(I87:J87)</f>
        <v>0.0355322742872334</v>
      </c>
      <c r="K62" s="74" t="n">
        <f aca="false">+SUM(K40)/AVERAGE(J87:K87)</f>
        <v>0.0314336963613332</v>
      </c>
      <c r="L62" s="74" t="n">
        <f aca="false">+SUM(L40)/AVERAGE(K87:L87)</f>
        <v>0.0280505561416494</v>
      </c>
      <c r="M62" s="74" t="n">
        <f aca="false">+SUM(M40)/AVERAGE(L87:M87)</f>
        <v>0.0011503825627668</v>
      </c>
      <c r="N62" s="74" t="n">
        <f aca="false">+SUM(N40)/AVERAGE(M87:N87)</f>
        <v>0.0266311005792619</v>
      </c>
      <c r="O62" s="74" t="n">
        <f aca="false">+SUM(O40)/AVERAGE(N87:O87)</f>
        <v>0.0296937924584274</v>
      </c>
      <c r="P62" s="74" t="n">
        <f aca="false">+SUM(P40)/AVERAGE(O87:P87)</f>
        <v>0.0342880164765218</v>
      </c>
      <c r="Q62" s="74" t="n">
        <f aca="false">+SUM(Q40)/AVERAGE(P87:Q87)</f>
        <v>0.0193136605839708</v>
      </c>
      <c r="R62" s="74" t="n">
        <f aca="false">+SUM(R40)/AVERAGE(Q87:R87)</f>
        <v>0.0478242713458264</v>
      </c>
      <c r="S62" s="74" t="n">
        <f aca="false">+SUM(S40)/AVERAGE(R87:S87)</f>
        <v>0.0438685110174803</v>
      </c>
      <c r="T62" s="74" t="n">
        <f aca="false">+SUM(T40)/AVERAGE(S87:T87)</f>
        <v>0.0466649865222975</v>
      </c>
      <c r="U62" s="74" t="n">
        <f aca="false">+SUM(U40)/AVERAGE(T87:U87)</f>
        <v>0.0353264115475128</v>
      </c>
      <c r="V62" s="74" t="n">
        <f aca="false">+SUM(V40)/AVERAGE(U87:V87)</f>
        <v>0.0547263131951471</v>
      </c>
      <c r="W62" s="74" t="n">
        <f aca="false">+SUM(W40)/AVERAGE(V87:W87)</f>
        <v>0.0594530960250525</v>
      </c>
      <c r="X62" s="74" t="n">
        <f aca="false">+SUM(X40)/AVERAGE(W87:X87)</f>
        <v>0.0471868232752918</v>
      </c>
      <c r="Y62" s="74" t="n">
        <f aca="false">+SUM(Y40)/AVERAGE(X87:Y87)</f>
        <v>0.0437582112167941</v>
      </c>
      <c r="Z62" s="74" t="n">
        <f aca="false">+SUM(Z40)/AVERAGE(Y87:Z87)</f>
        <v>0.0906014463926365</v>
      </c>
      <c r="AA62" s="74" t="n">
        <f aca="false">+SUM(AA40)/AVERAGE(Z87:AA87)</f>
        <v>0.0569410220673671</v>
      </c>
      <c r="AB62" s="74"/>
      <c r="AC62" s="74"/>
      <c r="AD62" s="74"/>
      <c r="AE62" s="74"/>
      <c r="AF62" s="74"/>
      <c r="AG62" s="74"/>
      <c r="AH62" s="74"/>
      <c r="AI62" s="74"/>
      <c r="AJ62" s="74" t="n">
        <f aca="false">+SUM(AJ40)/AVERAGE(AI87:AJ87)</f>
        <v>0.122007753719316</v>
      </c>
      <c r="AK62" s="74" t="n">
        <f aca="false">+SUM(AK40)/AVERAGE(AJ87:AK87)</f>
        <v>0.09641138475342</v>
      </c>
      <c r="AL62" s="74" t="n">
        <f aca="false">+SUM(AL40)/AVERAGE(AK87:AL87)</f>
        <v>0.111128125096539</v>
      </c>
      <c r="AM62" s="74" t="n">
        <f aca="false">+SUM(AM40)/AVERAGE(AL87:AM87)</f>
        <v>0.17021129673204</v>
      </c>
      <c r="AN62" s="74" t="n">
        <f aca="false">+SUM(AN40)/AVERAGE(AM87:AN87)</f>
        <v>0.201063329895103</v>
      </c>
      <c r="AO62" s="74"/>
      <c r="AP62" s="74"/>
      <c r="AQ62" s="74"/>
      <c r="AR62" s="74"/>
      <c r="AS62" s="74"/>
      <c r="AT62" s="6"/>
      <c r="AU62" s="6"/>
      <c r="AV62" s="6"/>
      <c r="AW62" s="117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37"/>
      <c r="XEX62" s="37"/>
      <c r="XEY62" s="37"/>
      <c r="XEZ62" s="37"/>
      <c r="XFA62" s="37"/>
      <c r="XFB62" s="37"/>
      <c r="XFC62" s="37"/>
    </row>
    <row r="63" customFormat="false" ht="12.8" hidden="false" customHeight="true" outlineLevel="0" collapsed="false">
      <c r="A63" s="74" t="s">
        <v>127</v>
      </c>
      <c r="B63" s="74"/>
      <c r="C63" s="74" t="n">
        <f aca="false">+C64*C65*C50</f>
        <v>0.0811828843417</v>
      </c>
      <c r="D63" s="74" t="n">
        <f aca="false">+D64*D65*D50</f>
        <v>0.0853194313868029</v>
      </c>
      <c r="E63" s="74" t="n">
        <f aca="false">+E64*E65*E50</f>
        <v>0.0535457169756446</v>
      </c>
      <c r="F63" s="74" t="n">
        <f aca="false">+F64*F65*F50</f>
        <v>0.142525315220531</v>
      </c>
      <c r="G63" s="74" t="n">
        <f aca="false">+G64*G65*G50</f>
        <v>0.101180070946229</v>
      </c>
      <c r="H63" s="74" t="n">
        <f aca="false">+H64*H65*H50</f>
        <v>0.0993666158402228</v>
      </c>
      <c r="I63" s="74" t="n">
        <f aca="false">+I64*I65*I50</f>
        <v>0.0390524512225235</v>
      </c>
      <c r="J63" s="74" t="n">
        <f aca="false">+J64*J65*J50</f>
        <v>0.0956743413067087</v>
      </c>
      <c r="K63" s="74" t="n">
        <f aca="false">+K64*K65*K50</f>
        <v>0.0786965589791678</v>
      </c>
      <c r="L63" s="74" t="n">
        <f aca="false">+L64*L65*L50</f>
        <v>0.0665154059035609</v>
      </c>
      <c r="M63" s="74" t="n">
        <f aca="false">+M64*M65*M50</f>
        <v>0.00267800324460057</v>
      </c>
      <c r="N63" s="74" t="n">
        <f aca="false">+N64*N65*N50</f>
        <v>0.0613087369185402</v>
      </c>
      <c r="O63" s="74" t="n">
        <f aca="false">+O64*O65*O50</f>
        <v>0.0666917372620042</v>
      </c>
      <c r="P63" s="74" t="n">
        <f aca="false">+P64*P65*P50</f>
        <v>0.0765401303229447</v>
      </c>
      <c r="Q63" s="74" t="n">
        <f aca="false">+Q64*Q65*Q50</f>
        <v>0.0444360927472414</v>
      </c>
      <c r="R63" s="74" t="n">
        <f aca="false">+R64*R65*R50</f>
        <v>0.111211208707596</v>
      </c>
      <c r="S63" s="74" t="n">
        <f aca="false">+S64*S65*S50</f>
        <v>0.0988062332888901</v>
      </c>
      <c r="T63" s="74" t="n">
        <f aca="false">+T64*T65*T50</f>
        <v>0.105522097142285</v>
      </c>
      <c r="U63" s="74" t="n">
        <f aca="false">+U64*U65*U50</f>
        <v>0.0788268654041187</v>
      </c>
      <c r="V63" s="74" t="n">
        <f aca="false">+V64*V65*V50</f>
        <v>0.118625055632639</v>
      </c>
      <c r="W63" s="74" t="n">
        <f aca="false">+W64*W65*W50</f>
        <v>0.127679365170921</v>
      </c>
      <c r="X63" s="74" t="n">
        <f aca="false">+X64*X65*X50</f>
        <v>0.100140381245599</v>
      </c>
      <c r="Y63" s="74" t="n">
        <f aca="false">+Y64*Y65*Y50</f>
        <v>0.0920038030290504</v>
      </c>
      <c r="Z63" s="74" t="n">
        <f aca="false">+Z64*Z65*Z50</f>
        <v>0.182973999752841</v>
      </c>
      <c r="AA63" s="74" t="n">
        <f aca="false">+AA64*AA65*AA50</f>
        <v>0.111010253120839</v>
      </c>
      <c r="AB63" s="74"/>
      <c r="AC63" s="74"/>
      <c r="AD63" s="74"/>
      <c r="AE63" s="74"/>
      <c r="AF63" s="74"/>
      <c r="AG63" s="74"/>
      <c r="AH63" s="74"/>
      <c r="AI63" s="74"/>
      <c r="AJ63" s="74" t="n">
        <f aca="false">+AJ64*AJ65*AJ50</f>
        <v>0.380174534079242</v>
      </c>
      <c r="AK63" s="74" t="n">
        <f aca="false">+AK64*AK65*AK50</f>
        <v>0.245272340121794</v>
      </c>
      <c r="AL63" s="74" t="n">
        <f aca="false">+AL64*AL65*AL50</f>
        <v>0.261465171111128</v>
      </c>
      <c r="AM63" s="74" t="n">
        <f aca="false">+AM64*AM65*AM50</f>
        <v>0.384345223637541</v>
      </c>
      <c r="AN63" s="74" t="n">
        <f aca="false">+AN64*AN65*AN50</f>
        <v>0.427605352366467</v>
      </c>
      <c r="AO63" s="74"/>
      <c r="AP63" s="74"/>
      <c r="AQ63" s="74"/>
      <c r="AR63" s="74"/>
      <c r="AS63" s="74"/>
      <c r="AT63" s="118"/>
      <c r="AW63" s="77"/>
    </row>
    <row r="64" customFormat="false" ht="12.8" hidden="false" customHeight="true" outlineLevel="0" collapsed="false">
      <c r="A64" s="74" t="s">
        <v>128</v>
      </c>
      <c r="B64" s="74"/>
      <c r="C64" s="74" t="n">
        <f aca="false">+SUM(C16)/AVERAGE(B87:C87)</f>
        <v>0.173021315994242</v>
      </c>
      <c r="D64" s="74" t="n">
        <f aca="false">+SUM(D16)/AVERAGE(C87:D87)</f>
        <v>0.169810798009956</v>
      </c>
      <c r="E64" s="74" t="n">
        <f aca="false">+SUM(E16)/AVERAGE(D87:E87)</f>
        <v>0.170582677812237</v>
      </c>
      <c r="F64" s="74" t="n">
        <f aca="false">+SUM(F16)/AVERAGE(E87:F87)</f>
        <v>0.180426659479692</v>
      </c>
      <c r="G64" s="74" t="n">
        <f aca="false">+SUM(G16)/AVERAGE(F87:G87)</f>
        <v>0.181069208914144</v>
      </c>
      <c r="H64" s="74" t="n">
        <f aca="false">+SUM(H16)/AVERAGE(G87:H87)</f>
        <v>0.178792385662492</v>
      </c>
      <c r="I64" s="74" t="n">
        <f aca="false">+SUM(I16)/AVERAGE(H87:I87)</f>
        <v>0.176567320399156</v>
      </c>
      <c r="J64" s="74" t="n">
        <f aca="false">+SUM(J16)/AVERAGE(I87:J87)</f>
        <v>0.175002669181629</v>
      </c>
      <c r="K64" s="74" t="n">
        <f aca="false">+SUM(K16)/AVERAGE(J87:K87)</f>
        <v>0.173863533487273</v>
      </c>
      <c r="L64" s="74" t="n">
        <f aca="false">+SUM(L16)/AVERAGE(K87:L87)</f>
        <v>0.168774663994667</v>
      </c>
      <c r="M64" s="74" t="n">
        <f aca="false">+SUM(M16)/AVERAGE(L87:M87)</f>
        <v>0.163317432139132</v>
      </c>
      <c r="N64" s="74" t="n">
        <f aca="false">+SUM(N16)/AVERAGE(M87:N87)</f>
        <v>0.166417901317641</v>
      </c>
      <c r="O64" s="74" t="n">
        <f aca="false">+SUM(O16)/AVERAGE(N87:O87)</f>
        <v>0.163239344929102</v>
      </c>
      <c r="P64" s="74" t="n">
        <f aca="false">+SUM(P16)/AVERAGE(O87:P87)</f>
        <v>0.170297941651723</v>
      </c>
      <c r="Q64" s="74" t="n">
        <f aca="false">+SUM(Q16)/AVERAGE(P87:Q87)</f>
        <v>0.179817244844328</v>
      </c>
      <c r="R64" s="74" t="n">
        <f aca="false">+SUM(R16)/AVERAGE(Q87:R87)</f>
        <v>0.192087964397511</v>
      </c>
      <c r="S64" s="74" t="n">
        <f aca="false">+SUM(S16)/AVERAGE(R87:S87)</f>
        <v>0.195227256249304</v>
      </c>
      <c r="T64" s="74" t="n">
        <f aca="false">+SUM(T16)/AVERAGE(S87:T87)</f>
        <v>0.193804528484275</v>
      </c>
      <c r="U64" s="74" t="n">
        <f aca="false">+SUM(U16)/AVERAGE(T87:U87)</f>
        <v>0.193501963486914</v>
      </c>
      <c r="V64" s="74" t="n">
        <f aca="false">+SUM(V16)/AVERAGE(U87:V87)</f>
        <v>0.199456342888591</v>
      </c>
      <c r="W64" s="74" t="n">
        <f aca="false">+SUM(W16)/AVERAGE(V87:W87)</f>
        <v>0.210652406417112</v>
      </c>
      <c r="X64" s="74" t="n">
        <f aca="false">+SUM(X16)/AVERAGE(W87:X87)</f>
        <v>0.213083828399946</v>
      </c>
      <c r="Y64" s="74" t="n">
        <f aca="false">+SUM(Y16)/AVERAGE(X87:Y87)</f>
        <v>0.218053451296112</v>
      </c>
      <c r="Z64" s="74" t="n">
        <f aca="false">+SUM(Z16)/AVERAGE(Y87:Z87)</f>
        <v>0.210092847959719</v>
      </c>
      <c r="AA64" s="74" t="n">
        <f aca="false">+SUM(AA16)/AVERAGE(Z87:AA87)</f>
        <v>0.210267367745505</v>
      </c>
      <c r="AB64" s="74"/>
      <c r="AC64" s="74"/>
      <c r="AD64" s="74"/>
      <c r="AE64" s="74"/>
      <c r="AF64" s="74"/>
      <c r="AG64" s="74"/>
      <c r="AH64" s="74"/>
      <c r="AI64" s="74"/>
      <c r="AJ64" s="74" t="n">
        <f aca="false">+SUM(AJ16)/AVERAGE(AI87:AJ87)</f>
        <v>0.708233128161346</v>
      </c>
      <c r="AK64" s="74" t="n">
        <f aca="false">+SUM(AK16)/AVERAGE(AJ87:AK87)</f>
        <v>0.678598181993797</v>
      </c>
      <c r="AL64" s="74" t="n">
        <f aca="false">+SUM(AL16)/AVERAGE(AK87:AL87)</f>
        <v>0.692996172556849</v>
      </c>
      <c r="AM64" s="74" t="n">
        <f aca="false">+SUM(AM16)/AVERAGE(AL87:AM87)</f>
        <v>0.762027386564862</v>
      </c>
      <c r="AN64" s="74" t="n">
        <f aca="false">+SUM(AN16)/AVERAGE(AM87:AN87)</f>
        <v>0.827321587399389</v>
      </c>
      <c r="AO64" s="74"/>
      <c r="AP64" s="74"/>
      <c r="AQ64" s="74"/>
      <c r="AR64" s="74"/>
      <c r="AS64" s="74"/>
      <c r="AT64" s="109"/>
      <c r="AU64" s="110"/>
      <c r="AV64" s="110"/>
      <c r="AW64" s="110"/>
      <c r="AX64" s="110"/>
      <c r="AY64" s="110"/>
      <c r="AZ64" s="110"/>
      <c r="BA64" s="110"/>
      <c r="BB64" s="110"/>
      <c r="BC64" s="110"/>
      <c r="BD64" s="110"/>
      <c r="BE64" s="110"/>
      <c r="BF64" s="110"/>
      <c r="BG64" s="110"/>
      <c r="BH64" s="110"/>
      <c r="BI64" s="110"/>
      <c r="BJ64" s="110"/>
      <c r="BK64" s="110"/>
      <c r="BL64" s="110"/>
      <c r="BM64" s="110"/>
      <c r="BN64" s="110"/>
      <c r="BO64" s="110"/>
      <c r="BP64" s="110"/>
      <c r="BQ64" s="110"/>
      <c r="BR64" s="110"/>
      <c r="BS64" s="110"/>
      <c r="BT64" s="110"/>
      <c r="BU64" s="110"/>
      <c r="BV64" s="110"/>
      <c r="BW64" s="110"/>
      <c r="BX64" s="110"/>
      <c r="BY64" s="110"/>
      <c r="BZ64" s="110"/>
      <c r="CA64" s="110"/>
      <c r="CB64" s="110"/>
      <c r="CC64" s="110"/>
      <c r="CD64" s="110"/>
      <c r="CE64" s="110"/>
      <c r="CF64" s="110"/>
      <c r="CG64" s="110"/>
      <c r="CH64" s="110"/>
      <c r="CI64" s="110"/>
      <c r="CJ64" s="110"/>
      <c r="CK64" s="110"/>
      <c r="CL64" s="110"/>
      <c r="CM64" s="110"/>
      <c r="CN64" s="110"/>
      <c r="CO64" s="110"/>
      <c r="CP64" s="110"/>
      <c r="CQ64" s="110"/>
      <c r="CR64" s="110"/>
      <c r="CS64" s="110"/>
      <c r="CT64" s="110"/>
      <c r="CU64" s="110"/>
      <c r="CV64" s="110"/>
      <c r="CW64" s="110"/>
      <c r="CX64" s="110"/>
      <c r="CY64" s="110"/>
      <c r="CZ64" s="110"/>
      <c r="DA64" s="110"/>
      <c r="DB64" s="110"/>
      <c r="DC64" s="110"/>
      <c r="DD64" s="110"/>
      <c r="DE64" s="110"/>
      <c r="DF64" s="110"/>
      <c r="DG64" s="110"/>
      <c r="DH64" s="110"/>
    </row>
    <row r="65" customFormat="false" ht="12.8" hidden="false" customHeight="true" outlineLevel="0" collapsed="false">
      <c r="A65" s="119" t="s">
        <v>129</v>
      </c>
      <c r="B65" s="119"/>
      <c r="C65" s="119" t="n">
        <f aca="false">+AVERAGE(B87:C87)/AVERAGE(B105:C105)</f>
        <v>4.00520172902542</v>
      </c>
      <c r="D65" s="119" t="n">
        <f aca="false">+AVERAGE(C87:D87)/AVERAGE(C105:D105)</f>
        <v>4.09226275638292</v>
      </c>
      <c r="E65" s="119" t="n">
        <f aca="false">+AVERAGE(D87:E87)/AVERAGE(D105:E105)</f>
        <v>3.84659520153267</v>
      </c>
      <c r="F65" s="119" t="n">
        <f aca="false">+AVERAGE(E87:F87)/AVERAGE(E105:F105)</f>
        <v>3.31552729155532</v>
      </c>
      <c r="G65" s="119" t="n">
        <f aca="false">+AVERAGE(F87:G87)/AVERAGE(F105:G105)</f>
        <v>3.03189914307506</v>
      </c>
      <c r="H65" s="119" t="n">
        <f aca="false">+AVERAGE(G87:H87)/AVERAGE(G105:H105)</f>
        <v>2.86899882101338</v>
      </c>
      <c r="I65" s="119" t="n">
        <f aca="false">+AVERAGE(H87:I87)/AVERAGE(H105:I105)</f>
        <v>2.80209473140396</v>
      </c>
      <c r="J65" s="119" t="n">
        <f aca="false">+AVERAGE(I87:J87)/AVERAGE(I105:J105)</f>
        <v>2.69260392772225</v>
      </c>
      <c r="K65" s="119" t="n">
        <f aca="false">+AVERAGE(J87:K87)/AVERAGE(J105:K105)</f>
        <v>2.50357317429499</v>
      </c>
      <c r="L65" s="119" t="n">
        <f aca="false">+AVERAGE(K87:L87)/AVERAGE(K105:L105)</f>
        <v>2.37126870382434</v>
      </c>
      <c r="M65" s="119" t="n">
        <f aca="false">+AVERAGE(L87:M87)/AVERAGE(L105:M105)</f>
        <v>2.32792405872327</v>
      </c>
      <c r="N65" s="119" t="n">
        <f aca="false">+AVERAGE(M87:N87)/AVERAGE(M105:N105)</f>
        <v>2.30214807443153</v>
      </c>
      <c r="O65" s="119" t="n">
        <f aca="false">+AVERAGE(N87:O87)/AVERAGE(N105:O105)</f>
        <v>2.24598246772875</v>
      </c>
      <c r="P65" s="119" t="n">
        <f aca="false">+AVERAGE(O87:P87)/AVERAGE(O105:P105)</f>
        <v>2.23227057696249</v>
      </c>
      <c r="Q65" s="119" t="n">
        <f aca="false">+AVERAGE(P87:Q87)/AVERAGE(P105:Q105)</f>
        <v>2.30075974225832</v>
      </c>
      <c r="R65" s="119" t="n">
        <f aca="false">+AVERAGE(Q87:R87)/AVERAGE(Q105:R105)</f>
        <v>2.32541355211472</v>
      </c>
      <c r="S65" s="119" t="n">
        <f aca="false">+AVERAGE(R87:S87)/AVERAGE(R105:S105)</f>
        <v>2.25232703361002</v>
      </c>
      <c r="T65" s="119" t="n">
        <f aca="false">+AVERAGE(S87:T87)/AVERAGE(S105:T105)</f>
        <v>2.26126920859314</v>
      </c>
      <c r="U65" s="119" t="n">
        <f aca="false">+AVERAGE(T87:U87)/AVERAGE(T105:U105)</f>
        <v>2.23138614852231</v>
      </c>
      <c r="V65" s="119" t="n">
        <f aca="false">+AVERAGE(U87:V87)/AVERAGE(U105:V105)</f>
        <v>2.16760546630717</v>
      </c>
      <c r="W65" s="119" t="n">
        <f aca="false">+AVERAGE(V87:W87)/AVERAGE(V105:W105)</f>
        <v>2.14756461323931</v>
      </c>
      <c r="X65" s="119" t="n">
        <f aca="false">+AVERAGE(W87:X87)/AVERAGE(W105:X105)</f>
        <v>2.1222106998255</v>
      </c>
      <c r="Y65" s="119" t="n">
        <f aca="false">+AVERAGE(X87:Y87)/AVERAGE(X105:Y105)</f>
        <v>2.10254945233547</v>
      </c>
      <c r="Z65" s="119" t="n">
        <f aca="false">+AVERAGE(Y87:Z87)/AVERAGE(Y105:Z105)</f>
        <v>2.0195483299449</v>
      </c>
      <c r="AA65" s="119" t="n">
        <f aca="false">+AVERAGE(Z87:AA87)/AVERAGE(Z105:AA105)</f>
        <v>1.94956551692209</v>
      </c>
      <c r="AB65" s="119"/>
      <c r="AC65" s="119"/>
      <c r="AD65" s="119"/>
      <c r="AE65" s="119"/>
      <c r="AF65" s="119"/>
      <c r="AG65" s="119"/>
      <c r="AH65" s="119"/>
      <c r="AI65" s="119"/>
      <c r="AJ65" s="119" t="n">
        <f aca="false">+AVERAGE(AI87:AJ87)/AVERAGE(AI105:AJ105)</f>
        <v>3.11598666879689</v>
      </c>
      <c r="AK65" s="119" t="n">
        <f aca="false">+AVERAGE(AJ87:AK87)/AVERAGE(AJ105:AK105)</f>
        <v>2.54401843463921</v>
      </c>
      <c r="AL65" s="119" t="n">
        <f aca="false">+AVERAGE(AK87:AL87)/AVERAGE(AK105:AL105)</f>
        <v>2.35282626143462</v>
      </c>
      <c r="AM65" s="119" t="n">
        <f aca="false">+AVERAGE(AL87:AM87)/AVERAGE(AL105:AM105)</f>
        <v>2.25804767965905</v>
      </c>
      <c r="AN65" s="119" t="n">
        <f aca="false">+AVERAGE(AM87:AN87)/AVERAGE(AM105:AN105)</f>
        <v>2.12671973845034</v>
      </c>
      <c r="AO65" s="119"/>
      <c r="AP65" s="119"/>
      <c r="AQ65" s="119"/>
      <c r="AR65" s="119"/>
      <c r="AS65" s="119"/>
      <c r="AT65" s="109"/>
      <c r="AU65" s="110"/>
      <c r="AV65" s="110"/>
      <c r="AW65" s="110"/>
      <c r="AX65" s="110"/>
      <c r="AY65" s="110"/>
      <c r="AZ65" s="110"/>
      <c r="BA65" s="110"/>
      <c r="BB65" s="110"/>
      <c r="BC65" s="110"/>
      <c r="BD65" s="110"/>
      <c r="BE65" s="110"/>
      <c r="BF65" s="110"/>
      <c r="BG65" s="110"/>
      <c r="BH65" s="110"/>
      <c r="BI65" s="110"/>
      <c r="BJ65" s="110"/>
      <c r="BK65" s="110"/>
      <c r="BL65" s="110"/>
      <c r="BM65" s="110"/>
      <c r="BN65" s="110"/>
      <c r="BO65" s="110"/>
      <c r="BP65" s="110"/>
      <c r="BQ65" s="110"/>
      <c r="BR65" s="110"/>
      <c r="BS65" s="110"/>
      <c r="BT65" s="110"/>
      <c r="BU65" s="110"/>
      <c r="BV65" s="110"/>
      <c r="BW65" s="110"/>
      <c r="BX65" s="110"/>
      <c r="BY65" s="110"/>
      <c r="BZ65" s="110"/>
      <c r="CA65" s="110"/>
      <c r="CB65" s="110"/>
      <c r="CC65" s="110"/>
      <c r="CD65" s="110"/>
      <c r="CE65" s="110"/>
      <c r="CF65" s="110"/>
      <c r="CG65" s="110"/>
      <c r="CH65" s="110"/>
      <c r="CI65" s="110"/>
      <c r="CJ65" s="110"/>
      <c r="CK65" s="110"/>
      <c r="CL65" s="110"/>
      <c r="CM65" s="110"/>
      <c r="CN65" s="110"/>
      <c r="CO65" s="110"/>
      <c r="CP65" s="110"/>
      <c r="CQ65" s="110"/>
      <c r="CR65" s="110"/>
      <c r="CS65" s="110"/>
      <c r="CT65" s="110"/>
      <c r="CU65" s="110"/>
      <c r="CV65" s="110"/>
      <c r="CW65" s="110"/>
      <c r="CX65" s="110"/>
      <c r="CY65" s="110"/>
      <c r="CZ65" s="110"/>
      <c r="DA65" s="110"/>
      <c r="DB65" s="110"/>
      <c r="DC65" s="110"/>
      <c r="DD65" s="110"/>
      <c r="DE65" s="110"/>
      <c r="DF65" s="110"/>
      <c r="DG65" s="110"/>
      <c r="DH65" s="110"/>
    </row>
    <row r="66" customFormat="false" ht="12.8" hidden="false" customHeight="true" outlineLevel="0" collapsed="false">
      <c r="A66" s="74" t="s">
        <v>130</v>
      </c>
      <c r="B66" s="74"/>
      <c r="C66" s="74" t="n">
        <f aca="false">+C63-C62</f>
        <v>0.0609135221886346</v>
      </c>
      <c r="D66" s="74" t="n">
        <f aca="false">+D63-D62</f>
        <v>0.0644704692194236</v>
      </c>
      <c r="E66" s="74" t="n">
        <f aca="false">+E63-E62</f>
        <v>0.0396254279485305</v>
      </c>
      <c r="F66" s="74" t="n">
        <f aca="false">+F63-F62</f>
        <v>0.099538090961046</v>
      </c>
      <c r="G66" s="74" t="n">
        <f aca="false">+G63-G62</f>
        <v>0.0678082250596905</v>
      </c>
      <c r="H66" s="74" t="n">
        <f aca="false">+H63-H62</f>
        <v>0.0647320195788257</v>
      </c>
      <c r="I66" s="74" t="n">
        <f aca="false">+I63-I62</f>
        <v>0.0251155736484536</v>
      </c>
      <c r="J66" s="74" t="n">
        <f aca="false">+J63-J62</f>
        <v>0.0601420670194753</v>
      </c>
      <c r="K66" s="74" t="n">
        <f aca="false">+K63-K62</f>
        <v>0.0472628626178346</v>
      </c>
      <c r="L66" s="74" t="n">
        <f aca="false">+L63-L62</f>
        <v>0.0384648497619115</v>
      </c>
      <c r="M66" s="74" t="n">
        <f aca="false">+M63-M62</f>
        <v>0.00152762068183377</v>
      </c>
      <c r="N66" s="74" t="n">
        <f aca="false">+N63-N62</f>
        <v>0.0346776363392783</v>
      </c>
      <c r="O66" s="74" t="n">
        <f aca="false">+O63-O62</f>
        <v>0.0369979448035768</v>
      </c>
      <c r="P66" s="74" t="n">
        <f aca="false">+P63-P62</f>
        <v>0.0422521138464229</v>
      </c>
      <c r="Q66" s="74" t="n">
        <f aca="false">+Q63-Q62</f>
        <v>0.0251224321632706</v>
      </c>
      <c r="R66" s="74" t="n">
        <f aca="false">+R63-R62</f>
        <v>0.0633869373617698</v>
      </c>
      <c r="S66" s="74" t="n">
        <f aca="false">+S63-S62</f>
        <v>0.0549377222714098</v>
      </c>
      <c r="T66" s="74" t="n">
        <f aca="false">+T63-T62</f>
        <v>0.0588571106199876</v>
      </c>
      <c r="U66" s="74" t="n">
        <f aca="false">+U63-U62</f>
        <v>0.0435004538566059</v>
      </c>
      <c r="V66" s="74" t="n">
        <f aca="false">+V63-V62</f>
        <v>0.0638987424374919</v>
      </c>
      <c r="W66" s="74" t="n">
        <f aca="false">+W63-W62</f>
        <v>0.0682262691458688</v>
      </c>
      <c r="X66" s="74" t="n">
        <f aca="false">+X63-X62</f>
        <v>0.0529535579703074</v>
      </c>
      <c r="Y66" s="74" t="n">
        <f aca="false">+Y63-Y62</f>
        <v>0.0482455918122563</v>
      </c>
      <c r="Z66" s="74" t="n">
        <f aca="false">+Z63-Z62</f>
        <v>0.0923725533602049</v>
      </c>
      <c r="AA66" s="74" t="n">
        <f aca="false">+AA63-AA62</f>
        <v>0.0540692310534715</v>
      </c>
      <c r="AB66" s="74"/>
      <c r="AC66" s="74"/>
      <c r="AD66" s="74"/>
      <c r="AE66" s="74"/>
      <c r="AF66" s="74"/>
      <c r="AG66" s="74"/>
      <c r="AH66" s="74"/>
      <c r="AI66" s="74"/>
      <c r="AJ66" s="74" t="n">
        <f aca="false">+AJ63-AJ62</f>
        <v>0.258166780359926</v>
      </c>
      <c r="AK66" s="74" t="n">
        <f aca="false">+AK63-AK62</f>
        <v>0.148860955368374</v>
      </c>
      <c r="AL66" s="74" t="n">
        <f aca="false">+AL63-AL62</f>
        <v>0.150337046014589</v>
      </c>
      <c r="AM66" s="74" t="n">
        <f aca="false">+AM63-AM62</f>
        <v>0.214133926905501</v>
      </c>
      <c r="AN66" s="74" t="n">
        <f aca="false">+AN63-AN62</f>
        <v>0.226542022471364</v>
      </c>
      <c r="AO66" s="74"/>
      <c r="AP66" s="74"/>
      <c r="AQ66" s="74"/>
      <c r="AR66" s="74"/>
      <c r="AS66" s="74"/>
      <c r="AT66" s="109"/>
      <c r="AU66" s="110"/>
      <c r="AV66" s="110"/>
      <c r="AW66" s="110"/>
      <c r="AX66" s="110"/>
      <c r="AY66" s="110"/>
      <c r="AZ66" s="110"/>
      <c r="BA66" s="110"/>
      <c r="BB66" s="110"/>
      <c r="BC66" s="110"/>
      <c r="BD66" s="110"/>
      <c r="BE66" s="110"/>
      <c r="BF66" s="110"/>
      <c r="BG66" s="110"/>
      <c r="BH66" s="110"/>
      <c r="BI66" s="110"/>
      <c r="BJ66" s="110"/>
      <c r="BK66" s="110"/>
      <c r="BL66" s="110"/>
      <c r="BM66" s="110"/>
      <c r="BN66" s="110"/>
      <c r="BO66" s="110"/>
      <c r="BP66" s="110"/>
      <c r="BQ66" s="110"/>
      <c r="BR66" s="110"/>
      <c r="BS66" s="110"/>
      <c r="BT66" s="110"/>
      <c r="BU66" s="110"/>
      <c r="BV66" s="110"/>
      <c r="BW66" s="110"/>
      <c r="BX66" s="110"/>
      <c r="BY66" s="110"/>
      <c r="BZ66" s="110"/>
      <c r="CA66" s="110"/>
      <c r="CB66" s="110"/>
      <c r="CC66" s="110"/>
      <c r="CD66" s="110"/>
      <c r="CE66" s="110"/>
      <c r="CF66" s="110"/>
      <c r="CG66" s="110"/>
      <c r="CH66" s="110"/>
      <c r="CI66" s="110"/>
      <c r="CJ66" s="110"/>
      <c r="CK66" s="110"/>
      <c r="CL66" s="110"/>
      <c r="CM66" s="110"/>
      <c r="CN66" s="110"/>
      <c r="CO66" s="110"/>
      <c r="CP66" s="110"/>
      <c r="CQ66" s="110"/>
      <c r="CR66" s="110"/>
      <c r="CS66" s="110"/>
      <c r="CT66" s="110"/>
      <c r="CU66" s="110"/>
      <c r="CV66" s="110"/>
      <c r="CW66" s="110"/>
      <c r="CX66" s="110"/>
      <c r="CY66" s="110"/>
      <c r="CZ66" s="110"/>
      <c r="DA66" s="110"/>
      <c r="DB66" s="110"/>
      <c r="DC66" s="110"/>
      <c r="DD66" s="110"/>
      <c r="DE66" s="110"/>
      <c r="DF66" s="110"/>
      <c r="DG66" s="110"/>
      <c r="DH66" s="110"/>
    </row>
    <row r="67" customFormat="false" ht="12.8" hidden="false" customHeight="true" outlineLevel="0" collapsed="false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14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0"/>
      <c r="CV67" s="80"/>
      <c r="CW67" s="80"/>
      <c r="CX67" s="80"/>
      <c r="CY67" s="80"/>
      <c r="CZ67" s="80"/>
      <c r="DA67" s="80"/>
      <c r="DB67" s="80"/>
      <c r="DC67" s="80"/>
      <c r="DD67" s="80"/>
      <c r="DE67" s="80"/>
      <c r="DF67" s="80"/>
      <c r="DG67" s="80"/>
      <c r="DH67" s="80"/>
    </row>
    <row r="68" customFormat="false" ht="12.8" hidden="false" customHeight="true" outlineLevel="0" collapsed="false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T68" s="109"/>
      <c r="AU68" s="110"/>
      <c r="AV68" s="110"/>
      <c r="AW68" s="110"/>
      <c r="AX68" s="110"/>
      <c r="AY68" s="110"/>
      <c r="AZ68" s="80" t="s">
        <v>103</v>
      </c>
      <c r="BA68" s="120" t="n">
        <f aca="false">+AX71</f>
        <v>258419.471744698</v>
      </c>
      <c r="BB68" s="110"/>
      <c r="BC68" s="110"/>
      <c r="BD68" s="110"/>
      <c r="BE68" s="110"/>
      <c r="BF68" s="110"/>
      <c r="BG68" s="110"/>
      <c r="BH68" s="110"/>
      <c r="BI68" s="110"/>
      <c r="BJ68" s="110"/>
      <c r="BK68" s="110"/>
      <c r="BL68" s="110"/>
      <c r="BM68" s="110"/>
      <c r="BN68" s="110"/>
      <c r="BO68" s="110"/>
      <c r="BP68" s="110"/>
      <c r="BQ68" s="110"/>
      <c r="BR68" s="110"/>
      <c r="BS68" s="110"/>
      <c r="BT68" s="110"/>
      <c r="BU68" s="110"/>
      <c r="BV68" s="110"/>
      <c r="BW68" s="110"/>
      <c r="BX68" s="110"/>
      <c r="BY68" s="110"/>
      <c r="BZ68" s="110"/>
      <c r="CA68" s="110"/>
      <c r="CB68" s="110"/>
      <c r="CC68" s="110"/>
      <c r="CD68" s="110"/>
      <c r="CE68" s="110"/>
      <c r="CF68" s="110"/>
      <c r="CG68" s="110"/>
      <c r="CH68" s="110"/>
      <c r="CI68" s="110"/>
      <c r="CJ68" s="110"/>
      <c r="CK68" s="110"/>
      <c r="CL68" s="110"/>
      <c r="CM68" s="110"/>
      <c r="CN68" s="110"/>
      <c r="CO68" s="110"/>
      <c r="CP68" s="110"/>
      <c r="CQ68" s="110"/>
      <c r="CR68" s="110"/>
      <c r="CS68" s="110"/>
      <c r="CT68" s="110"/>
      <c r="CU68" s="110"/>
      <c r="CV68" s="110"/>
      <c r="CW68" s="110"/>
      <c r="CX68" s="110"/>
      <c r="CY68" s="110"/>
      <c r="CZ68" s="110"/>
      <c r="DA68" s="110"/>
      <c r="DB68" s="110"/>
      <c r="DC68" s="110"/>
      <c r="DD68" s="110"/>
      <c r="DE68" s="110"/>
      <c r="DF68" s="110"/>
      <c r="DG68" s="110"/>
      <c r="DH68" s="110"/>
    </row>
    <row r="69" customFormat="false" ht="12.8" hidden="false" customHeight="true" outlineLevel="0" collapsed="false">
      <c r="A69" s="116" t="s">
        <v>131</v>
      </c>
      <c r="B69" s="116" t="n">
        <f aca="false">B30*(1-B52)</f>
        <v>853.61910386496</v>
      </c>
      <c r="C69" s="116" t="n">
        <f aca="false">C30*(1-C52)</f>
        <v>944.335657006039</v>
      </c>
      <c r="D69" s="116" t="n">
        <f aca="false">D30*(1-D52)</f>
        <v>1205.88067753522</v>
      </c>
      <c r="E69" s="116" t="n">
        <f aca="false">E30*(1-E52)</f>
        <v>1021.46677447576</v>
      </c>
      <c r="F69" s="116" t="n">
        <f aca="false">F30*(1-F52)</f>
        <v>1644.07192534472</v>
      </c>
      <c r="G69" s="116" t="n">
        <f aca="false">G30*(1-G52)</f>
        <v>1568.59251474173</v>
      </c>
      <c r="H69" s="116" t="n">
        <f aca="false">H30*(1-H52)</f>
        <v>1531.56933188075</v>
      </c>
      <c r="I69" s="116" t="n">
        <f aca="false">I30*(1-I52)</f>
        <v>697.693667546356</v>
      </c>
      <c r="J69" s="116" t="n">
        <f aca="false">J30*(1-J52)</f>
        <v>1590.90959972137</v>
      </c>
      <c r="K69" s="116" t="n">
        <f aca="false">K30*(1-K52)</f>
        <v>1401.16435570631</v>
      </c>
      <c r="L69" s="116" t="n">
        <f aca="false">L30*(1-L52)</f>
        <v>1310.73315393235</v>
      </c>
      <c r="M69" s="116" t="n">
        <f aca="false">M30*(1-M52)</f>
        <v>771.77901584871</v>
      </c>
      <c r="N69" s="116" t="n">
        <f aca="false">N30*(1-N52)</f>
        <v>1523.93746917838</v>
      </c>
      <c r="O69" s="116" t="n">
        <f aca="false">O30*(1-O52)</f>
        <v>1620.27618882779</v>
      </c>
      <c r="P69" s="116" t="n">
        <f aca="false">P30*(1-P52)</f>
        <v>1726.42568332557</v>
      </c>
      <c r="Q69" s="116" t="n">
        <f aca="false">Q30*(1-Q52)</f>
        <v>1233.38944323883</v>
      </c>
      <c r="R69" s="116" t="n">
        <f aca="false">R30*(1-R52)</f>
        <v>2348.91406640168</v>
      </c>
      <c r="S69" s="116" t="n">
        <f aca="false">S30*(1-S52)</f>
        <v>2225.2327478923</v>
      </c>
      <c r="T69" s="116" t="n">
        <f aca="false">T30*(1-T52)</f>
        <v>2545.98790139383</v>
      </c>
      <c r="U69" s="116" t="n">
        <f aca="false">U30*(1-U52)</f>
        <v>1992.00995265702</v>
      </c>
      <c r="V69" s="116" t="n">
        <f aca="false">V30*(1-V52)</f>
        <v>3011.79982724065</v>
      </c>
      <c r="W69" s="116" t="n">
        <f aca="false">W30*(1-W52)</f>
        <v>3249.94363537867</v>
      </c>
      <c r="X69" s="116" t="n">
        <f aca="false">X30*(1-X52)</f>
        <v>2662.40386177519</v>
      </c>
      <c r="Y69" s="116" t="n">
        <f aca="false">Y30*(1-Y52)</f>
        <v>2583.37551092782</v>
      </c>
      <c r="Z69" s="116" t="n">
        <f aca="false">Z30*(1-Z52)</f>
        <v>3192.73317189665</v>
      </c>
      <c r="AA69" s="116" t="n">
        <f aca="false">AA30*(1-AA52)</f>
        <v>3504.95383313911</v>
      </c>
      <c r="AB69" s="116" t="n">
        <f aca="false">AB30*(1-AB52)</f>
        <v>3613.93837968417</v>
      </c>
      <c r="AC69" s="116" t="n">
        <f aca="false">AC30*(1-AC52)</f>
        <v>3663.49523973623</v>
      </c>
      <c r="AD69" s="116"/>
      <c r="AE69" s="116"/>
      <c r="AF69" s="116"/>
      <c r="AG69" s="116"/>
      <c r="AH69" s="116"/>
      <c r="AI69" s="116" t="n">
        <f aca="false">AI30*(1-AI52)</f>
        <v>3957.44381791192</v>
      </c>
      <c r="AJ69" s="116" t="n">
        <f aca="false">AJ30*(1-AJ52)</f>
        <v>5426.54223695318</v>
      </c>
      <c r="AK69" s="116" t="n">
        <f aca="false">AK30*(1-AK52)</f>
        <v>4806.55553672531</v>
      </c>
      <c r="AL69" s="116" t="n">
        <f aca="false">AL30*(1-AL52)</f>
        <v>6060.23007826613</v>
      </c>
      <c r="AM69" s="116" t="n">
        <f aca="false">AM30*(1-AM52)</f>
        <v>9106.59560538267</v>
      </c>
      <c r="AN69" s="116" t="n">
        <f aca="false">AN30*(1-AN52)</f>
        <v>11502.0875414518</v>
      </c>
      <c r="AO69" s="116" t="n">
        <f aca="false">AO30*(1-AO52)</f>
        <v>13754.926880725</v>
      </c>
      <c r="AP69" s="116" t="n">
        <f aca="false">AP30*(1-AP52)</f>
        <v>16384.1061379122</v>
      </c>
      <c r="AQ69" s="116" t="n">
        <f aca="false">AQ30*(1-AQ52)</f>
        <v>19075.0939627147</v>
      </c>
      <c r="AR69" s="116" t="n">
        <f aca="false">AR30*(1-AR52)</f>
        <v>21871.8568044539</v>
      </c>
      <c r="AS69" s="116" t="n">
        <f aca="false">AS30*(1-AS52)</f>
        <v>25206.5449017417</v>
      </c>
      <c r="AT69" s="118"/>
      <c r="AW69" s="121" t="s">
        <v>105</v>
      </c>
      <c r="AX69" s="122" t="n">
        <v>0.02</v>
      </c>
      <c r="AZ69" s="80" t="s">
        <v>132</v>
      </c>
      <c r="BA69" s="120" t="n">
        <f aca="false">+Main!G5</f>
        <v>14309</v>
      </c>
    </row>
    <row r="70" customFormat="false" ht="12.8" hidden="false" customHeight="true" outlineLevel="0" collapsed="false">
      <c r="A70" s="116" t="s">
        <v>133</v>
      </c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 t="n">
        <f aca="false">(AI87-AI80)-(AI100-0)</f>
        <v>2859.93397803237</v>
      </c>
      <c r="AJ70" s="116" t="n">
        <f aca="false">(AJ87-AJ80)-(AJ100-0)</f>
        <v>9821.46592576888</v>
      </c>
      <c r="AK70" s="116" t="n">
        <f aca="false">(AK87-AK80)-(AK100-0)</f>
        <v>15630.1703883058</v>
      </c>
      <c r="AL70" s="116" t="n">
        <f aca="false">(AL87-AL80)-(AL100-0)</f>
        <v>13471.1412797773</v>
      </c>
      <c r="AM70" s="116" t="n">
        <f aca="false">(AM87-AM80)-(AM100-0)</f>
        <v>16938.1630591311</v>
      </c>
      <c r="AN70" s="116" t="n">
        <f aca="false">(AN87-AN80)-(AN100-0)</f>
        <v>17581.8990093554</v>
      </c>
      <c r="AO70" s="116"/>
      <c r="AP70" s="116"/>
      <c r="AQ70" s="116"/>
      <c r="AR70" s="116"/>
      <c r="AS70" s="116"/>
      <c r="AU70" s="123"/>
      <c r="AV70" s="123"/>
      <c r="AW70" s="88" t="s">
        <v>110</v>
      </c>
      <c r="AX70" s="89" t="n">
        <f aca="false">+Main!E9</f>
        <v>0.121171220375731</v>
      </c>
      <c r="AY70" s="123"/>
      <c r="AZ70" s="124" t="s">
        <v>134</v>
      </c>
      <c r="BA70" s="125" t="n">
        <f aca="false">+Main!G4</f>
        <v>9128</v>
      </c>
      <c r="BB70" s="123"/>
      <c r="BC70" s="123"/>
      <c r="BD70" s="123"/>
      <c r="BE70" s="123"/>
      <c r="BF70" s="123"/>
      <c r="BG70" s="123"/>
      <c r="BH70" s="123"/>
      <c r="BI70" s="123"/>
      <c r="BJ70" s="123"/>
      <c r="BK70" s="123"/>
      <c r="BL70" s="123"/>
      <c r="BM70" s="123"/>
      <c r="BN70" s="123"/>
      <c r="BO70" s="123"/>
      <c r="BP70" s="123"/>
      <c r="BQ70" s="123"/>
      <c r="BR70" s="123"/>
      <c r="BS70" s="123"/>
      <c r="BT70" s="123"/>
      <c r="BU70" s="123"/>
      <c r="BV70" s="123"/>
      <c r="BW70" s="123"/>
      <c r="BX70" s="123"/>
      <c r="BY70" s="123"/>
      <c r="BZ70" s="123"/>
      <c r="CA70" s="123"/>
      <c r="CB70" s="123"/>
      <c r="CC70" s="123"/>
      <c r="CD70" s="123"/>
      <c r="CE70" s="123"/>
      <c r="CF70" s="123"/>
      <c r="CG70" s="123"/>
      <c r="CH70" s="123"/>
      <c r="CI70" s="123"/>
      <c r="CJ70" s="123"/>
      <c r="CK70" s="123"/>
      <c r="CL70" s="123"/>
      <c r="CM70" s="123"/>
      <c r="CN70" s="123"/>
      <c r="CO70" s="123"/>
      <c r="CP70" s="123"/>
      <c r="CQ70" s="123"/>
      <c r="CR70" s="123"/>
      <c r="CS70" s="123"/>
      <c r="CT70" s="123"/>
      <c r="CU70" s="123"/>
      <c r="CV70" s="123"/>
      <c r="CW70" s="123"/>
      <c r="CX70" s="123"/>
      <c r="CY70" s="123"/>
      <c r="CZ70" s="123"/>
      <c r="DA70" s="123"/>
      <c r="DB70" s="123"/>
      <c r="DC70" s="123"/>
      <c r="DD70" s="123"/>
      <c r="DE70" s="123"/>
      <c r="DF70" s="123"/>
      <c r="DG70" s="123"/>
      <c r="DH70" s="123"/>
    </row>
    <row r="71" s="57" customFormat="true" ht="12.8" hidden="false" customHeight="true" outlineLevel="0" collapsed="false">
      <c r="A71" s="6" t="s">
        <v>101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22" t="n">
        <f aca="false">AI69/AI70</f>
        <v>1.38375355805753</v>
      </c>
      <c r="AJ71" s="22" t="n">
        <f aca="false">AJ69/AJ70</f>
        <v>0.552518562704107</v>
      </c>
      <c r="AK71" s="22" t="n">
        <f aca="false">AK69/AK70</f>
        <v>0.307517795220038</v>
      </c>
      <c r="AL71" s="22" t="n">
        <f aca="false">AL69/AL70</f>
        <v>0.449867606047875</v>
      </c>
      <c r="AM71" s="22" t="n">
        <f aca="false">AM69/AM70</f>
        <v>0.537637734008791</v>
      </c>
      <c r="AN71" s="22" t="n">
        <f aca="false">AN69/AN70</f>
        <v>0.654200523807556</v>
      </c>
      <c r="AO71" s="6"/>
      <c r="AP71" s="6"/>
      <c r="AQ71" s="6"/>
      <c r="AR71" s="6"/>
      <c r="AS71" s="6"/>
      <c r="AT71" s="6"/>
      <c r="AU71" s="6"/>
      <c r="AV71" s="6"/>
      <c r="AW71" s="95" t="s">
        <v>13</v>
      </c>
      <c r="AX71" s="96" t="n">
        <f aca="false">+NPV(AX70,AO74:AS74,AS74+AX72)</f>
        <v>258419.471744698</v>
      </c>
      <c r="AY71" s="6"/>
      <c r="AZ71" s="80" t="s">
        <v>112</v>
      </c>
      <c r="BA71" s="120" t="n">
        <f aca="false">+BA68-BA69+BA70</f>
        <v>253238.471744698</v>
      </c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37"/>
      <c r="XEX71" s="37"/>
      <c r="XEY71" s="37"/>
      <c r="XEZ71" s="37"/>
      <c r="XFA71" s="37"/>
      <c r="XFB71" s="37"/>
      <c r="XFC71" s="37"/>
    </row>
    <row r="72" s="57" customFormat="true" ht="12.8" hidden="false" customHeight="true" outlineLevel="0" collapsed="false">
      <c r="A72" s="38" t="s">
        <v>135</v>
      </c>
      <c r="B72" s="126" t="n">
        <f aca="false">B87/B100</f>
        <v>1.27174751994084</v>
      </c>
      <c r="C72" s="126" t="n">
        <f aca="false">C87/C100</f>
        <v>1.33525679456943</v>
      </c>
      <c r="D72" s="126" t="n">
        <f aca="false">D87/D100</f>
        <v>1.36522934746655</v>
      </c>
      <c r="E72" s="126" t="n">
        <f aca="false">E87/E100</f>
        <v>1.39215105692053</v>
      </c>
      <c r="F72" s="126" t="n">
        <f aca="false">F87/F100</f>
        <v>1.47296716530697</v>
      </c>
      <c r="G72" s="126" t="n">
        <f aca="false">G87/G100</f>
        <v>1.51142008554198</v>
      </c>
      <c r="H72" s="126" t="n">
        <f aca="false">H87/H100</f>
        <v>1.55840431742744</v>
      </c>
      <c r="I72" s="126" t="n">
        <f aca="false">I87/I100</f>
        <v>1.55152604781954</v>
      </c>
      <c r="J72" s="126" t="n">
        <f aca="false">J87/J100</f>
        <v>1.63133392432236</v>
      </c>
      <c r="K72" s="126" t="n">
        <f aca="false">K87/K100</f>
        <v>1.69996280383649</v>
      </c>
      <c r="L72" s="126" t="n">
        <f aca="false">L87/L100</f>
        <v>1.75929304566464</v>
      </c>
      <c r="M72" s="126" t="n">
        <f aca="false">M87/M100</f>
        <v>1.74687726871816</v>
      </c>
      <c r="N72" s="126" t="n">
        <f aca="false">N87/N100</f>
        <v>1.7891193758416</v>
      </c>
      <c r="O72" s="126" t="n">
        <f aca="false">O87/O100</f>
        <v>1.81580426794038</v>
      </c>
      <c r="P72" s="126" t="n">
        <f aca="false">P87/P100</f>
        <v>1.80697579930859</v>
      </c>
      <c r="Q72" s="126" t="n">
        <f aca="false">Q87/Q100</f>
        <v>1.73149765098864</v>
      </c>
      <c r="R72" s="126" t="n">
        <f aca="false">R87/R100</f>
        <v>1.77798832598125</v>
      </c>
      <c r="S72" s="126" t="n">
        <f aca="false">S87/S100</f>
        <v>1.81921522450286</v>
      </c>
      <c r="T72" s="126" t="n">
        <f aca="false">T87/T100</f>
        <v>1.76856607376716</v>
      </c>
      <c r="U72" s="126" t="n">
        <f aca="false">U87/U100</f>
        <v>1.85651109501431</v>
      </c>
      <c r="V72" s="126" t="n">
        <f aca="false">V87/V100</f>
        <v>1.85630289423527</v>
      </c>
      <c r="W72" s="126" t="n">
        <f aca="false">W87/W100</f>
        <v>1.88642988372135</v>
      </c>
      <c r="X72" s="126" t="n">
        <f aca="false">X87/X100</f>
        <v>1.89546170741619</v>
      </c>
      <c r="Y72" s="126" t="n">
        <f aca="false">Y87/Y100</f>
        <v>1.91833416814706</v>
      </c>
      <c r="Z72" s="126" t="n">
        <f aca="false">Z87/Z100</f>
        <v>2.04132479120322</v>
      </c>
      <c r="AA72" s="126" t="n">
        <f aca="false">AA87/AA100</f>
        <v>2.06545283702612</v>
      </c>
      <c r="AB72" s="6"/>
      <c r="AC72" s="6"/>
      <c r="AD72" s="6"/>
      <c r="AE72" s="6"/>
      <c r="AF72" s="6"/>
      <c r="AG72" s="6"/>
      <c r="AH72" s="6"/>
      <c r="AI72" s="126" t="n">
        <f aca="false">AI87/AI100</f>
        <v>1.39218731029518</v>
      </c>
      <c r="AJ72" s="126" t="n">
        <f aca="false">AJ87/AJ100</f>
        <v>1.55156209567759</v>
      </c>
      <c r="AK72" s="126" t="n">
        <f aca="false">AK87/AK100</f>
        <v>1.74692090759358</v>
      </c>
      <c r="AL72" s="126" t="n">
        <f aca="false">AL87/AL100</f>
        <v>1.73153730949821</v>
      </c>
      <c r="AM72" s="126" t="n">
        <f aca="false">AM87/AM100</f>
        <v>1.85654841549713</v>
      </c>
      <c r="AN72" s="126" t="n">
        <f aca="false">AN87/AN100</f>
        <v>1.91837074594916</v>
      </c>
      <c r="AO72" s="6"/>
      <c r="AP72" s="6"/>
      <c r="AQ72" s="6"/>
      <c r="AR72" s="6"/>
      <c r="AS72" s="6"/>
      <c r="AT72" s="116"/>
      <c r="AU72" s="6"/>
      <c r="AV72" s="6"/>
      <c r="AW72" s="127" t="s">
        <v>136</v>
      </c>
      <c r="AX72" s="128" t="n">
        <f aca="false">+AS74*(1+AX69)/(AX70-AX69)</f>
        <v>316493.763538391</v>
      </c>
      <c r="AY72" s="6"/>
      <c r="AZ72" s="124" t="s">
        <v>108</v>
      </c>
      <c r="BA72" s="125" t="n">
        <f aca="false">+Main!G2</f>
        <v>4163.939676</v>
      </c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37"/>
      <c r="XEX72" s="37"/>
      <c r="XEY72" s="37"/>
      <c r="XEZ72" s="37"/>
      <c r="XFA72" s="37"/>
      <c r="XFB72" s="37"/>
      <c r="XFC72" s="37"/>
    </row>
    <row r="73" s="57" customFormat="true" ht="12.8" hidden="false" customHeight="true" outlineLevel="0" collapsed="false">
      <c r="A73" s="129" t="s">
        <v>137</v>
      </c>
      <c r="B73" s="120" t="n">
        <f aca="false">+SUM(B84)-SUM(B89,B91,B92,B94)</f>
        <v>-7224.6</v>
      </c>
      <c r="C73" s="120" t="n">
        <f aca="false">+SUM(C84)-SUM(C89,C91,C92,C94)</f>
        <v>-5716.2</v>
      </c>
      <c r="D73" s="120" t="n">
        <f aca="false">+SUM(D84)-SUM(D89,D91,D92,D94)</f>
        <v>-6006.1</v>
      </c>
      <c r="E73" s="120" t="n">
        <f aca="false">+SUM(E84)-SUM(E89,E91,E92,E94)</f>
        <v>-5749.6</v>
      </c>
      <c r="F73" s="120" t="n">
        <f aca="false">+SUM(F84)-SUM(F89,F91,F92,F94)</f>
        <v>-5559</v>
      </c>
      <c r="G73" s="120" t="n">
        <f aca="false">+SUM(G84)-SUM(G89,G91,G92,G94)</f>
        <v>-5306.8</v>
      </c>
      <c r="H73" s="120" t="n">
        <f aca="false">+SUM(H84)-SUM(H89,H91,H92,H94)</f>
        <v>-5460.5</v>
      </c>
      <c r="I73" s="120" t="n">
        <f aca="false">+SUM(I84)-SUM(I89,I91,I92,I94)</f>
        <v>-5746.9</v>
      </c>
      <c r="J73" s="120" t="n">
        <f aca="false">+SUM(J84)-SUM(J89,J91,J92,J94)</f>
        <v>-5650.5</v>
      </c>
      <c r="K73" s="120" t="n">
        <f aca="false">+SUM(K84)-SUM(K89,K91,K92,K94)</f>
        <v>-5478.86</v>
      </c>
      <c r="L73" s="120" t="n">
        <f aca="false">+SUM(L84)-SUM(L89,L91,L92,L94)</f>
        <v>-5062.7</v>
      </c>
      <c r="M73" s="120" t="n">
        <f aca="false">+SUM(M84)-SUM(M89,M91,M92,M94)</f>
        <v>-4722.8</v>
      </c>
      <c r="N73" s="120" t="n">
        <f aca="false">+SUM(N84)-SUM(N89,N91,N92,N94)</f>
        <v>-5261.6</v>
      </c>
      <c r="O73" s="120" t="n">
        <f aca="false">+SUM(O84)-SUM(O89,O91,O92,O94)</f>
        <v>-5347.3</v>
      </c>
      <c r="P73" s="120" t="n">
        <f aca="false">+SUM(P84)-SUM(P89,P91,P92,P94)</f>
        <v>-5026.9</v>
      </c>
      <c r="Q73" s="120" t="n">
        <f aca="false">+SUM(Q84)-SUM(Q89,Q91,Q92,Q94)</f>
        <v>-5680.6</v>
      </c>
      <c r="R73" s="120" t="n">
        <f aca="false">+SUM(R84)-SUM(R89,R91,R92,R94)</f>
        <v>-5613.8</v>
      </c>
      <c r="S73" s="120" t="n">
        <f aca="false">+SUM(S84)-SUM(S89,S91,S92,S94)</f>
        <v>-5382.3</v>
      </c>
      <c r="T73" s="120" t="n">
        <f aca="false">+SUM(T84)-SUM(T89,T91,T92,T94)</f>
        <v>-5981.5</v>
      </c>
      <c r="U73" s="120" t="n">
        <f aca="false">+SUM(U84)-SUM(U89,U91,U92,U94)</f>
        <v>-5454.8</v>
      </c>
      <c r="V73" s="120" t="n">
        <f aca="false">+SUM(V84)-SUM(V89,V91,V92,V94)</f>
        <v>-5385.5</v>
      </c>
      <c r="W73" s="120" t="n">
        <f aca="false">+SUM(W84)-SUM(W89,W91,W92,W94)</f>
        <v>-5339.1</v>
      </c>
      <c r="X73" s="120" t="n">
        <f aca="false">+SUM(X84)-SUM(X89,X91,X92,X94)</f>
        <v>-6093.7</v>
      </c>
      <c r="Y73" s="120" t="n">
        <f aca="false">+SUM(Y84)-SUM(Y89,Y91,Y92,Y94)</f>
        <v>-6023.9</v>
      </c>
      <c r="Z73" s="120" t="n">
        <f aca="false">+SUM(Z84)-SUM(Z89,Z91,Z92,Z94)</f>
        <v>-6349.861</v>
      </c>
      <c r="AA73" s="120" t="n">
        <f aca="false">+SUM(AA84)-SUM(AA89,AA91,AA92,AA94)</f>
        <v>-4925.747</v>
      </c>
      <c r="AB73" s="120"/>
      <c r="AC73" s="120"/>
      <c r="AD73" s="120"/>
      <c r="AE73" s="120"/>
      <c r="AF73" s="120"/>
      <c r="AG73" s="120"/>
      <c r="AH73" s="120"/>
      <c r="AI73" s="120" t="n">
        <f aca="false">+SUM(AI84)-SUM(AI89,AI91,AI92,AI94)</f>
        <v>-5749.6</v>
      </c>
      <c r="AJ73" s="120" t="n">
        <f aca="false">+SUM(AJ84)-SUM(AJ89,AJ91,AJ92,AJ94)</f>
        <v>-5746.9</v>
      </c>
      <c r="AK73" s="120" t="n">
        <f aca="false">+SUM(AK84)-SUM(AK89,AK91,AK92,AK94)</f>
        <v>-4722.8</v>
      </c>
      <c r="AL73" s="120" t="n">
        <f aca="false">+SUM(AL84)-SUM(AL89,AL91,AL92,AL94)</f>
        <v>-5680.6</v>
      </c>
      <c r="AM73" s="120" t="n">
        <f aca="false">+SUM(AM84)-SUM(AM89,AM91,AM92,AM94)</f>
        <v>-5454.8</v>
      </c>
      <c r="AN73" s="120" t="n">
        <f aca="false">+SUM(AN84)-SUM(AN89,AN91,AN92,AN94)</f>
        <v>-6023.9</v>
      </c>
      <c r="AO73" s="120" t="n">
        <f aca="false">+SUM(AO84)-SUM(AO89,AO91,AO92,AO94)</f>
        <v>-5652.23724775456</v>
      </c>
      <c r="AP73" s="120" t="n">
        <f aca="false">+SUM(AP84)-SUM(AP89,AP91,AP92,AP94)</f>
        <v>-6430.3122529833</v>
      </c>
      <c r="AQ73" s="120" t="n">
        <f aca="false">+SUM(AQ84)-SUM(AQ89,AQ91,AQ92,AQ94)</f>
        <v>-7295.9840503518</v>
      </c>
      <c r="AR73" s="120" t="n">
        <f aca="false">+SUM(AR84)-SUM(AR89,AR91,AR92,AR94)</f>
        <v>-8277.03652915624</v>
      </c>
      <c r="AS73" s="120" t="n">
        <f aca="false">+SUM(AS84)-SUM(AS89,AS91,AS92,AS94)</f>
        <v>-9305.62009732372</v>
      </c>
      <c r="AT73" s="120"/>
      <c r="AU73" s="120"/>
      <c r="AV73" s="120"/>
      <c r="AW73" s="104" t="s">
        <v>118</v>
      </c>
      <c r="AX73" s="105" t="n">
        <f aca="false">+AX71/Main!G6-1</f>
        <v>-0.216835447909566</v>
      </c>
      <c r="AY73" s="120"/>
      <c r="AZ73" s="80" t="s">
        <v>113</v>
      </c>
      <c r="BA73" s="120" t="n">
        <f aca="false">+BA71/BA72</f>
        <v>60.8170366166223</v>
      </c>
      <c r="BB73" s="120"/>
      <c r="BC73" s="120"/>
      <c r="BD73" s="120"/>
      <c r="BE73" s="120"/>
      <c r="BF73" s="120"/>
      <c r="BG73" s="120"/>
      <c r="BH73" s="120"/>
      <c r="BI73" s="120"/>
      <c r="BJ73" s="120"/>
      <c r="BK73" s="120"/>
      <c r="BL73" s="120"/>
      <c r="BM73" s="120"/>
      <c r="BN73" s="120"/>
      <c r="BO73" s="120"/>
      <c r="BP73" s="120"/>
      <c r="BQ73" s="120"/>
      <c r="BR73" s="120"/>
      <c r="BS73" s="120"/>
      <c r="BT73" s="120"/>
      <c r="BU73" s="120"/>
      <c r="BV73" s="120"/>
      <c r="BW73" s="120"/>
      <c r="BX73" s="120"/>
      <c r="BY73" s="120"/>
      <c r="BZ73" s="120"/>
      <c r="CA73" s="120"/>
      <c r="CB73" s="120"/>
      <c r="CC73" s="120"/>
      <c r="CD73" s="120"/>
      <c r="CE73" s="120"/>
      <c r="CF73" s="120"/>
      <c r="CG73" s="120"/>
      <c r="CH73" s="120"/>
      <c r="CI73" s="120"/>
      <c r="CJ73" s="120"/>
      <c r="CK73" s="120"/>
      <c r="CL73" s="120"/>
      <c r="CM73" s="120"/>
      <c r="CN73" s="120"/>
      <c r="CO73" s="120"/>
      <c r="CP73" s="120"/>
      <c r="CQ73" s="120"/>
      <c r="CR73" s="120"/>
      <c r="CS73" s="120"/>
      <c r="CT73" s="120"/>
      <c r="CU73" s="120"/>
      <c r="CV73" s="120"/>
      <c r="CW73" s="120"/>
      <c r="CX73" s="120"/>
      <c r="CY73" s="120"/>
      <c r="CZ73" s="120"/>
      <c r="DA73" s="120"/>
      <c r="DB73" s="120"/>
      <c r="DC73" s="120"/>
      <c r="DD73" s="120"/>
      <c r="DE73" s="120"/>
      <c r="DF73" s="120"/>
      <c r="DG73" s="120"/>
      <c r="DH73" s="120"/>
      <c r="DI73" s="37"/>
      <c r="XEX73" s="37"/>
      <c r="XEY73" s="37"/>
      <c r="XEZ73" s="37"/>
      <c r="XFA73" s="37"/>
      <c r="XFB73" s="37"/>
      <c r="XFC73" s="37"/>
    </row>
    <row r="74" s="57" customFormat="true" ht="12.8" hidden="false" customHeight="true" outlineLevel="0" collapsed="false">
      <c r="A74" s="38" t="s">
        <v>138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6"/>
      <c r="AA74" s="6"/>
      <c r="AB74" s="6"/>
      <c r="AC74" s="6"/>
      <c r="AD74" s="6"/>
      <c r="AE74" s="6"/>
      <c r="AF74" s="6"/>
      <c r="AG74" s="6"/>
      <c r="AH74" s="6"/>
      <c r="AI74" s="126"/>
      <c r="AJ74" s="129" t="n">
        <f aca="false">+AJ69+AJ120-AJ133-(AJ73-AI73)</f>
        <v>5107.64223695318</v>
      </c>
      <c r="AK74" s="129" t="n">
        <f aca="false">+AK69+AK120-AK133-(AK73-AJ73)</f>
        <v>3554.45553672531</v>
      </c>
      <c r="AL74" s="129" t="n">
        <f aca="false">+AL69+AL120-AL133-(AL73-AK73)</f>
        <v>7026.33007826613</v>
      </c>
      <c r="AM74" s="129" t="n">
        <f aca="false">+AM69+AM120-AM133-(AM73-AL73)</f>
        <v>8769.39560538267</v>
      </c>
      <c r="AN74" s="129" t="n">
        <f aca="false">+AN69+AN120-AN133-(AN73-AM73)</f>
        <v>11716.3875414518</v>
      </c>
      <c r="AO74" s="129" t="n">
        <f aca="false">+AO69+AO120-AO133-(AO73-AN73)</f>
        <v>16479.4188709796</v>
      </c>
      <c r="AP74" s="129" t="n">
        <f aca="false">+AP69+AP120-AP133-(AP73-AO73)</f>
        <v>20710.5106853634</v>
      </c>
      <c r="AQ74" s="129" t="n">
        <f aca="false">+AQ69+AQ120-AQ133-(AQ73-AP73)</f>
        <v>23975.3525427946</v>
      </c>
      <c r="AR74" s="129" t="n">
        <f aca="false">+AR69+AR120-AR133-(AR73-AQ73)</f>
        <v>27439.4641877223</v>
      </c>
      <c r="AS74" s="129" t="n">
        <f aca="false">+AS69+AS120-AS133-(AS73-AR73)</f>
        <v>31392.2159789088</v>
      </c>
      <c r="AT74" s="116"/>
      <c r="AU74" s="6"/>
      <c r="AV74" s="6"/>
      <c r="AW74" s="6"/>
      <c r="AX74" s="6"/>
      <c r="AY74" s="6"/>
      <c r="AZ74" s="80"/>
      <c r="BA74" s="22" t="n">
        <f aca="false">+BA73/Main!G1-1</f>
        <v>-0.220294402350996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37"/>
      <c r="XEX74" s="37"/>
      <c r="XEY74" s="37"/>
      <c r="XEZ74" s="37"/>
      <c r="XFA74" s="37"/>
      <c r="XFB74" s="37"/>
      <c r="XFC74" s="37"/>
    </row>
    <row r="75" s="57" customFormat="true" ht="12.8" hidden="false" customHeight="true" outlineLevel="0" collapsed="false">
      <c r="A75" s="38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6"/>
      <c r="AA75" s="6"/>
      <c r="AB75" s="6"/>
      <c r="AC75" s="6"/>
      <c r="AD75" s="6"/>
      <c r="AE75" s="6"/>
      <c r="AF75" s="6"/>
      <c r="AG75" s="6"/>
      <c r="AH75" s="6"/>
      <c r="AI75" s="126"/>
      <c r="AJ75" s="126"/>
      <c r="AK75" s="126"/>
      <c r="AL75" s="126"/>
      <c r="AM75" s="126"/>
      <c r="AN75" s="126"/>
      <c r="AO75" s="6"/>
      <c r="AP75" s="6"/>
      <c r="AQ75" s="6"/>
      <c r="AR75" s="6"/>
      <c r="AS75" s="6"/>
      <c r="AT75" s="116"/>
      <c r="AU75" s="6"/>
      <c r="AV75" s="6"/>
      <c r="AW75" s="116"/>
      <c r="AX75" s="116"/>
      <c r="AY75" s="6"/>
      <c r="AZ75" s="80"/>
      <c r="BA75" s="120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37"/>
      <c r="XEX75" s="37"/>
      <c r="XEY75" s="37"/>
      <c r="XEZ75" s="37"/>
      <c r="XFA75" s="37"/>
      <c r="XFB75" s="37"/>
      <c r="XFC75" s="37"/>
    </row>
    <row r="76" s="57" customFormat="true" ht="12.8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116"/>
      <c r="AV76" s="116"/>
      <c r="AW76" s="6"/>
      <c r="AX76" s="6"/>
      <c r="AY76" s="116"/>
      <c r="AZ76" s="116"/>
      <c r="BA76" s="120"/>
      <c r="BB76" s="116"/>
      <c r="BC76" s="116"/>
      <c r="BD76" s="116"/>
      <c r="BE76" s="116"/>
      <c r="BF76" s="116"/>
      <c r="BG76" s="116"/>
      <c r="BH76" s="116"/>
      <c r="BI76" s="116"/>
      <c r="BJ76" s="116"/>
      <c r="BK76" s="116"/>
      <c r="BL76" s="116"/>
      <c r="BM76" s="116"/>
      <c r="BN76" s="116"/>
      <c r="BO76" s="116"/>
      <c r="BP76" s="116"/>
      <c r="BQ76" s="116"/>
      <c r="BR76" s="116"/>
      <c r="BS76" s="116"/>
      <c r="BT76" s="116"/>
      <c r="BU76" s="116"/>
      <c r="BV76" s="116"/>
      <c r="BW76" s="116"/>
      <c r="BX76" s="116"/>
      <c r="BY76" s="116"/>
      <c r="BZ76" s="116"/>
      <c r="CA76" s="116"/>
      <c r="CB76" s="116"/>
      <c r="CC76" s="116"/>
      <c r="CD76" s="116"/>
      <c r="CE76" s="116"/>
      <c r="CF76" s="116"/>
      <c r="CG76" s="116"/>
      <c r="CH76" s="116"/>
      <c r="CI76" s="116"/>
      <c r="CJ76" s="116"/>
      <c r="CK76" s="116"/>
      <c r="CL76" s="116"/>
      <c r="CM76" s="116"/>
      <c r="CN76" s="116"/>
      <c r="CO76" s="116"/>
      <c r="CP76" s="116"/>
      <c r="CQ76" s="116"/>
      <c r="CR76" s="116"/>
      <c r="CS76" s="116"/>
      <c r="CT76" s="116"/>
      <c r="CU76" s="116"/>
      <c r="CV76" s="116"/>
      <c r="CW76" s="116"/>
      <c r="CX76" s="116"/>
      <c r="CY76" s="116"/>
      <c r="CZ76" s="116"/>
      <c r="DA76" s="116"/>
      <c r="DB76" s="116"/>
      <c r="DC76" s="116"/>
      <c r="DD76" s="116"/>
      <c r="DE76" s="116"/>
      <c r="DF76" s="116"/>
      <c r="DG76" s="116"/>
      <c r="DH76" s="116"/>
      <c r="DI76" s="37"/>
      <c r="XEX76" s="37"/>
      <c r="XEY76" s="37"/>
      <c r="XEZ76" s="37"/>
      <c r="XFA76" s="37"/>
      <c r="XFB76" s="37"/>
      <c r="XFC76" s="37"/>
    </row>
    <row r="77" s="57" customFormat="true" ht="12.8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U77" s="6"/>
      <c r="AV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37"/>
      <c r="XEX77" s="37"/>
      <c r="XEY77" s="37"/>
      <c r="XEZ77" s="37"/>
      <c r="XFA77" s="37"/>
      <c r="XFB77" s="37"/>
      <c r="XFC77" s="37"/>
    </row>
    <row r="78" s="57" customFormat="true" ht="12.8" hidden="false" customHeight="true" outlineLevel="0" collapsed="false">
      <c r="A78" s="130" t="s">
        <v>139</v>
      </c>
      <c r="B78" s="130" t="n">
        <f aca="false">B80+B81-B97</f>
        <v>-9018.8</v>
      </c>
      <c r="C78" s="130" t="n">
        <f aca="false">C80+C81-C97</f>
        <v>-8141.7</v>
      </c>
      <c r="D78" s="130" t="n">
        <f aca="false">D80+D81-D97</f>
        <v>-7155.3</v>
      </c>
      <c r="E78" s="130" t="n">
        <f aca="false">E80+E81-E97</f>
        <v>-7603.5</v>
      </c>
      <c r="F78" s="130" t="n">
        <f aca="false">F80+F81-F97</f>
        <v>-6456.8</v>
      </c>
      <c r="G78" s="130" t="n">
        <f aca="false">G80+G81-G97</f>
        <v>-7149.3</v>
      </c>
      <c r="H78" s="130" t="n">
        <f aca="false">H80+H81-H97</f>
        <v>-7267</v>
      </c>
      <c r="I78" s="130" t="n">
        <f aca="false">I80+I81-I97</f>
        <v>-8665.2</v>
      </c>
      <c r="J78" s="130" t="n">
        <f aca="false">J80+J81-J97</f>
        <v>-8525.6</v>
      </c>
      <c r="K78" s="130" t="n">
        <f aca="false">K80+K81-K97</f>
        <v>-8403.9</v>
      </c>
      <c r="L78" s="130" t="n">
        <f aca="false">L80+L81-L97</f>
        <v>-7774.4</v>
      </c>
      <c r="M78" s="130" t="n">
        <f aca="false">M80+M81-M97</f>
        <v>-8294.7</v>
      </c>
      <c r="N78" s="130" t="n">
        <f aca="false">N80+N81-N97</f>
        <v>-6209.6</v>
      </c>
      <c r="O78" s="130" t="n">
        <f aca="false">O80+O81-O97</f>
        <v>-5493.2</v>
      </c>
      <c r="P78" s="130" t="n">
        <f aca="false">P80+P81-P97</f>
        <v>-6033.3</v>
      </c>
      <c r="Q78" s="130" t="n">
        <f aca="false">Q80+Q81-Q97</f>
        <v>-7005.53</v>
      </c>
      <c r="R78" s="130" t="n">
        <f aca="false">R80+R81-R97</f>
        <v>-6171.4</v>
      </c>
      <c r="S78" s="130" t="n">
        <f aca="false">S80+S81-S97</f>
        <v>-5524.2</v>
      </c>
      <c r="T78" s="130" t="n">
        <f aca="false">T80+T81-T97</f>
        <v>-4937</v>
      </c>
      <c r="U78" s="130" t="n">
        <f aca="false">U80+U81-U97</f>
        <v>-4214.6</v>
      </c>
      <c r="V78" s="130" t="n">
        <f aca="false">V80+V81-V97</f>
        <v>-5640.1</v>
      </c>
      <c r="W78" s="130" t="n">
        <f aca="false">W80+W81-W97</f>
        <v>-6062.8</v>
      </c>
      <c r="X78" s="130" t="n">
        <f aca="false">X80+X81-X97</f>
        <v>-5139</v>
      </c>
      <c r="Y78" s="130" t="n">
        <f aca="false">Y80+Y81-Y97</f>
        <v>-4401.62</v>
      </c>
      <c r="Z78" s="130" t="n">
        <f aca="false">Z80+Z81-Z97</f>
        <v>-1072.881</v>
      </c>
      <c r="AA78" s="130" t="n">
        <f aca="false">AA80+AA81-AA97</f>
        <v>-2697.638</v>
      </c>
      <c r="AB78" s="130" t="n">
        <f aca="false">AB80+AB81-AB97</f>
        <v>-13361.331</v>
      </c>
      <c r="AC78" s="130" t="n">
        <f aca="false">AC80+AC81-AC97</f>
        <v>-13361.331</v>
      </c>
      <c r="AD78" s="116"/>
      <c r="AE78" s="116"/>
      <c r="AF78" s="116"/>
      <c r="AG78" s="116"/>
      <c r="AH78" s="116"/>
      <c r="AI78" s="130" t="n">
        <f aca="false">AI80+AI81-AI97</f>
        <v>-7603.5</v>
      </c>
      <c r="AJ78" s="130" t="n">
        <f aca="false">AJ80+AJ81-AJ97</f>
        <v>-8665.2</v>
      </c>
      <c r="AK78" s="130" t="n">
        <f aca="false">AK80+AK81-AK97</f>
        <v>-8294.7</v>
      </c>
      <c r="AL78" s="130" t="n">
        <f aca="false">AL80+AL81-AL97</f>
        <v>-7005.53</v>
      </c>
      <c r="AM78" s="130" t="n">
        <f aca="false">AM80+AM81-AM97</f>
        <v>-4214.6</v>
      </c>
      <c r="AN78" s="130" t="n">
        <f aca="false">AN80+AN81-AN97</f>
        <v>-4401.62</v>
      </c>
      <c r="AO78" s="130" t="n">
        <f aca="false">AN78+AO40</f>
        <v>8764.30464197</v>
      </c>
      <c r="AP78" s="130" t="n">
        <f aca="false">AO78+AP40</f>
        <v>24562.9555503177</v>
      </c>
      <c r="AQ78" s="130" t="n">
        <f aca="false">AP78+AQ40</f>
        <v>43057.2694065646</v>
      </c>
      <c r="AR78" s="130" t="n">
        <f aca="false">AQ78+AR40</f>
        <v>64355.2446797087</v>
      </c>
      <c r="AS78" s="130" t="n">
        <f aca="false">AR78+AS40</f>
        <v>88995.4495289095</v>
      </c>
      <c r="DI78" s="37"/>
      <c r="XEX78" s="37"/>
      <c r="XEY78" s="37"/>
      <c r="XEZ78" s="37"/>
      <c r="XFA78" s="37"/>
      <c r="XFB78" s="37"/>
      <c r="XFC78" s="37"/>
    </row>
    <row r="79" s="57" customFormat="true" ht="12.8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131"/>
      <c r="X79" s="6"/>
      <c r="Y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77"/>
      <c r="AP79" s="77"/>
      <c r="AQ79" s="77"/>
      <c r="AR79" s="77"/>
      <c r="AS79" s="77"/>
      <c r="DI79" s="37"/>
      <c r="XEX79" s="37"/>
      <c r="XEY79" s="37"/>
      <c r="XEZ79" s="37"/>
      <c r="XFA79" s="37"/>
      <c r="XFB79" s="37"/>
      <c r="XFC79" s="37"/>
    </row>
    <row r="80" s="57" customFormat="true" ht="12.8" hidden="false" customHeight="true" outlineLevel="0" collapsed="false">
      <c r="A80" s="59" t="s">
        <v>140</v>
      </c>
      <c r="B80" s="57" t="n">
        <v>5151.8</v>
      </c>
      <c r="C80" s="57" t="n">
        <v>7153.2</v>
      </c>
      <c r="D80" s="57" t="n">
        <v>8392.3</v>
      </c>
      <c r="E80" s="57" t="n">
        <v>8205.5</v>
      </c>
      <c r="F80" s="57" t="n">
        <v>8403.7</v>
      </c>
      <c r="G80" s="57" t="n">
        <v>7777.5</v>
      </c>
      <c r="H80" s="57" t="n">
        <v>7526.6</v>
      </c>
      <c r="I80" s="59" t="n">
        <v>6027.8</v>
      </c>
      <c r="J80" s="59" t="n">
        <f aca="false">6008.9</f>
        <v>6008.9</v>
      </c>
      <c r="K80" s="59" t="n">
        <f aca="false">5819.4</f>
        <v>5819.4</v>
      </c>
      <c r="L80" s="59" t="n">
        <v>6113.7</v>
      </c>
      <c r="M80" s="59" t="n">
        <f aca="false">5147.1</f>
        <v>5147.1</v>
      </c>
      <c r="N80" s="59" t="n">
        <f aca="false">6714.5</f>
        <v>6714.5</v>
      </c>
      <c r="O80" s="59" t="n">
        <f aca="false">7662.7</f>
        <v>7662.7</v>
      </c>
      <c r="P80" s="59" t="n">
        <f aca="false">7353.2</f>
        <v>7353.2</v>
      </c>
      <c r="Q80" s="59" t="n">
        <f aca="false">7116.9</f>
        <v>7116.9</v>
      </c>
      <c r="R80" s="59" t="n">
        <f aca="false">7024.7</f>
        <v>7024.7</v>
      </c>
      <c r="S80" s="59" t="n">
        <f aca="false">6624.9</f>
        <v>6624.9</v>
      </c>
      <c r="T80" s="59" t="n">
        <f aca="false">7457</f>
        <v>7457</v>
      </c>
      <c r="U80" s="59" t="n">
        <f aca="false">7804.7</f>
        <v>7804.7</v>
      </c>
      <c r="V80" s="59" t="n">
        <f aca="false">7199.8</f>
        <v>7199.8</v>
      </c>
      <c r="W80" s="59" t="n">
        <f aca="false">8177.4</f>
        <v>8177.4</v>
      </c>
      <c r="X80" s="59" t="n">
        <f aca="false">9287</f>
        <v>9287</v>
      </c>
      <c r="Y80" s="59" t="n">
        <f aca="false">9033.68</f>
        <v>9033.68</v>
      </c>
      <c r="Z80" s="59" t="n">
        <v>12259.772</v>
      </c>
      <c r="AA80" s="59" t="n">
        <v>9099.232</v>
      </c>
      <c r="AB80" s="59"/>
      <c r="AC80" s="59"/>
      <c r="AI80" s="57" t="n">
        <v>8205.5</v>
      </c>
      <c r="AJ80" s="59" t="n">
        <v>6027.8</v>
      </c>
      <c r="AK80" s="59" t="n">
        <f aca="false">5147.1</f>
        <v>5147.1</v>
      </c>
      <c r="AL80" s="59" t="n">
        <f aca="false">7116.9</f>
        <v>7116.9</v>
      </c>
      <c r="AM80" s="59" t="n">
        <f aca="false">7804.7</f>
        <v>7804.7</v>
      </c>
      <c r="AN80" s="59" t="n">
        <f aca="false">9033.68</f>
        <v>9033.68</v>
      </c>
      <c r="DI80" s="37"/>
      <c r="XEX80" s="37"/>
      <c r="XEY80" s="37"/>
      <c r="XEZ80" s="37"/>
      <c r="XFA80" s="37"/>
      <c r="XFB80" s="37"/>
      <c r="XFC80" s="37"/>
    </row>
    <row r="81" s="57" customFormat="true" ht="12.8" hidden="false" customHeight="true" outlineLevel="0" collapsed="false">
      <c r="A81" s="59" t="s">
        <v>141</v>
      </c>
      <c r="B81" s="57" t="n">
        <v>0</v>
      </c>
      <c r="C81" s="57" t="n">
        <v>0</v>
      </c>
      <c r="D81" s="57" t="n">
        <v>0</v>
      </c>
      <c r="E81" s="57" t="n">
        <v>0</v>
      </c>
      <c r="F81" s="57" t="n">
        <v>0</v>
      </c>
      <c r="G81" s="57" t="n">
        <v>0</v>
      </c>
      <c r="H81" s="57" t="n">
        <v>0</v>
      </c>
      <c r="I81" s="59" t="n">
        <v>0</v>
      </c>
      <c r="J81" s="59" t="n">
        <v>0</v>
      </c>
      <c r="K81" s="59" t="n">
        <v>0</v>
      </c>
      <c r="L81" s="59" t="n">
        <v>0</v>
      </c>
      <c r="M81" s="59" t="n">
        <v>911.2</v>
      </c>
      <c r="N81" s="59" t="n">
        <v>1112.9</v>
      </c>
      <c r="O81" s="59" t="n">
        <v>914.2</v>
      </c>
      <c r="P81" s="59" t="n">
        <v>514.2</v>
      </c>
      <c r="Q81" s="59" t="n">
        <v>20.97</v>
      </c>
      <c r="R81" s="59" t="n">
        <v>20.9</v>
      </c>
      <c r="S81" s="59" t="n">
        <v>30.9</v>
      </c>
      <c r="T81" s="59" t="n">
        <v>1766.9</v>
      </c>
      <c r="U81" s="59" t="n">
        <v>1779</v>
      </c>
      <c r="V81" s="59" t="n">
        <v>1171.1</v>
      </c>
      <c r="W81" s="59" t="n">
        <v>213</v>
      </c>
      <c r="X81" s="59" t="n">
        <v>37</v>
      </c>
      <c r="Y81" s="59" t="n">
        <v>28.6</v>
      </c>
      <c r="Z81" s="59" t="n">
        <v>28.678</v>
      </c>
      <c r="AA81" s="59" t="n">
        <v>28.678</v>
      </c>
      <c r="AB81" s="59"/>
      <c r="AC81" s="59"/>
      <c r="AI81" s="57" t="n">
        <v>0</v>
      </c>
      <c r="AJ81" s="59" t="n">
        <v>0</v>
      </c>
      <c r="AK81" s="59" t="n">
        <v>911.2</v>
      </c>
      <c r="AL81" s="59" t="n">
        <v>20.97</v>
      </c>
      <c r="AM81" s="59" t="n">
        <v>1779</v>
      </c>
      <c r="AN81" s="59" t="n">
        <v>28.6</v>
      </c>
      <c r="DI81" s="37"/>
      <c r="XEX81" s="37"/>
      <c r="XEY81" s="37"/>
      <c r="XEZ81" s="37"/>
      <c r="XFA81" s="37"/>
      <c r="XFB81" s="37"/>
      <c r="XFC81" s="37"/>
    </row>
    <row r="82" s="57" customFormat="true" ht="12.8" hidden="false" customHeight="true" outlineLevel="0" collapsed="false">
      <c r="A82" s="59" t="s">
        <v>142</v>
      </c>
      <c r="B82" s="57" t="n">
        <v>25266.8</v>
      </c>
      <c r="C82" s="57" t="n">
        <v>25155.1</v>
      </c>
      <c r="D82" s="57" t="n">
        <v>25067.6</v>
      </c>
      <c r="E82" s="57" t="n">
        <v>25383.9</v>
      </c>
      <c r="F82" s="57" t="n">
        <v>26043.9</v>
      </c>
      <c r="G82" s="57" t="n">
        <v>27291.6</v>
      </c>
      <c r="H82" s="57" t="n">
        <v>28974</v>
      </c>
      <c r="I82" s="59" t="n">
        <v>30919.5</v>
      </c>
      <c r="J82" s="59" t="n">
        <v>31191.9</v>
      </c>
      <c r="K82" s="59" t="n">
        <v>32533.1</v>
      </c>
      <c r="L82" s="59" t="n">
        <v>32777.3</v>
      </c>
      <c r="M82" s="59" t="n">
        <v>32736.7</v>
      </c>
      <c r="N82" s="59" t="n">
        <v>32349.1</v>
      </c>
      <c r="O82" s="59" t="n">
        <v>32520.7</v>
      </c>
      <c r="P82" s="59" t="n">
        <v>31749.8</v>
      </c>
      <c r="Q82" s="59" t="n">
        <v>31658</v>
      </c>
      <c r="R82" s="59" t="n">
        <v>31662.1</v>
      </c>
      <c r="S82" s="59" t="n">
        <v>31927.3</v>
      </c>
      <c r="T82" s="59" t="n">
        <v>32175.3</v>
      </c>
      <c r="U82" s="59" t="n">
        <v>32452.4</v>
      </c>
      <c r="V82" s="59" t="n">
        <v>32040.8</v>
      </c>
      <c r="W82" s="59" t="n">
        <v>32089.3</v>
      </c>
      <c r="X82" s="59" t="n">
        <v>32639</v>
      </c>
      <c r="Y82" s="59" t="n">
        <v>32778.3</v>
      </c>
      <c r="Z82" s="59" t="n">
        <v>33376.295</v>
      </c>
      <c r="AA82" s="59" t="n">
        <v>33837.573</v>
      </c>
      <c r="AB82" s="59"/>
      <c r="AC82" s="59"/>
      <c r="AI82" s="57" t="n">
        <v>25383.9</v>
      </c>
      <c r="AJ82" s="59" t="n">
        <v>30919.5</v>
      </c>
      <c r="AK82" s="59" t="n">
        <v>32736.7</v>
      </c>
      <c r="AL82" s="59" t="n">
        <v>31658</v>
      </c>
      <c r="AM82" s="59" t="n">
        <v>32452.4</v>
      </c>
      <c r="AN82" s="59" t="n">
        <v>32778.3</v>
      </c>
      <c r="DI82" s="37"/>
      <c r="XEX82" s="37"/>
      <c r="XEY82" s="37"/>
      <c r="XEZ82" s="37"/>
      <c r="XFA82" s="37"/>
      <c r="XFB82" s="37"/>
      <c r="XFC82" s="37"/>
    </row>
    <row r="83" s="57" customFormat="true" ht="12.8" hidden="false" customHeight="true" outlineLevel="0" collapsed="false">
      <c r="A83" s="59" t="s">
        <v>143</v>
      </c>
      <c r="B83" s="57" t="n">
        <v>650.4</v>
      </c>
      <c r="C83" s="57" t="n">
        <v>751.9</v>
      </c>
      <c r="D83" s="57" t="n">
        <v>828.1</v>
      </c>
      <c r="E83" s="57" t="n">
        <v>960.1</v>
      </c>
      <c r="F83" s="57" t="n">
        <v>1015.4</v>
      </c>
      <c r="G83" s="57" t="n">
        <v>1107.4</v>
      </c>
      <c r="H83" s="57" t="n">
        <v>1220.1</v>
      </c>
      <c r="I83" s="59" t="n">
        <v>1323.4</v>
      </c>
      <c r="J83" s="59" t="n">
        <v>1383.7</v>
      </c>
      <c r="K83" s="59" t="n">
        <v>1361.9</v>
      </c>
      <c r="L83" s="59" t="n">
        <v>1372.7</v>
      </c>
      <c r="M83" s="59" t="n">
        <v>1398.2</v>
      </c>
      <c r="N83" s="59" t="n">
        <v>1413</v>
      </c>
      <c r="O83" s="59" t="n">
        <v>1471.9</v>
      </c>
      <c r="P83" s="59" t="n">
        <v>1498.3</v>
      </c>
      <c r="Q83" s="59" t="n">
        <v>1491.4</v>
      </c>
      <c r="R83" s="59" t="n">
        <v>1501.1</v>
      </c>
      <c r="S83" s="59" t="n">
        <v>1510.9</v>
      </c>
      <c r="T83" s="59" t="n">
        <v>1568.2</v>
      </c>
      <c r="U83" s="59" t="n">
        <v>1593.7</v>
      </c>
      <c r="V83" s="59" t="n">
        <v>1644.3</v>
      </c>
      <c r="W83" s="59" t="n">
        <v>1743.5</v>
      </c>
      <c r="X83" s="59" t="n">
        <v>1837.8</v>
      </c>
      <c r="Y83" s="59" t="n">
        <v>2004.3</v>
      </c>
      <c r="Z83" s="59" t="n">
        <v>2147.829</v>
      </c>
      <c r="AA83" s="59" t="n">
        <v>2398.848</v>
      </c>
      <c r="AB83" s="59"/>
      <c r="AC83" s="59"/>
      <c r="AI83" s="57" t="n">
        <v>960.1</v>
      </c>
      <c r="AJ83" s="59" t="n">
        <v>1323.4</v>
      </c>
      <c r="AK83" s="59" t="n">
        <v>1398.2</v>
      </c>
      <c r="AL83" s="59" t="n">
        <v>1491.4</v>
      </c>
      <c r="AM83" s="59" t="n">
        <v>1593.7</v>
      </c>
      <c r="AN83" s="59" t="n">
        <v>2004.3</v>
      </c>
      <c r="DI83" s="37"/>
      <c r="XEX83" s="37"/>
      <c r="XEY83" s="37"/>
      <c r="XEZ83" s="37"/>
      <c r="XFA83" s="37"/>
      <c r="XFB83" s="37"/>
      <c r="XFC83" s="37"/>
    </row>
    <row r="84" s="57" customFormat="true" ht="12.8" hidden="false" customHeight="true" outlineLevel="0" collapsed="false">
      <c r="A84" s="59" t="s">
        <v>144</v>
      </c>
      <c r="B84" s="57" t="n">
        <v>130</v>
      </c>
      <c r="C84" s="57" t="n">
        <v>1410.8</v>
      </c>
      <c r="D84" s="57" t="n">
        <v>1434</v>
      </c>
      <c r="E84" s="57" t="n">
        <v>1556</v>
      </c>
      <c r="F84" s="57" t="n">
        <v>1703.8</v>
      </c>
      <c r="G84" s="57" t="n">
        <v>1826.7</v>
      </c>
      <c r="H84" s="57" t="n">
        <v>1889.1</v>
      </c>
      <c r="I84" s="59" t="n">
        <v>2042</v>
      </c>
      <c r="J84" s="59" t="n">
        <f aca="false">+2089</f>
        <v>2089</v>
      </c>
      <c r="K84" s="59" t="n">
        <v>2021</v>
      </c>
      <c r="L84" s="59" t="n">
        <v>2703</v>
      </c>
      <c r="M84" s="59" t="n">
        <v>3208</v>
      </c>
      <c r="N84" s="59" t="n">
        <v>2655</v>
      </c>
      <c r="O84" s="59" t="n">
        <v>2929</v>
      </c>
      <c r="P84" s="59" t="n">
        <v>2912</v>
      </c>
      <c r="Q84" s="59" t="n">
        <v>2780</v>
      </c>
      <c r="R84" s="59" t="n">
        <v>2876</v>
      </c>
      <c r="S84" s="59" t="n">
        <v>2960</v>
      </c>
      <c r="T84" s="59" t="n">
        <v>2905</v>
      </c>
      <c r="U84" s="59" t="n">
        <v>3516</v>
      </c>
      <c r="V84" s="59" t="n">
        <v>3327</v>
      </c>
      <c r="W84" s="59" t="n">
        <v>3603</v>
      </c>
      <c r="X84" s="59" t="n">
        <v>3638</v>
      </c>
      <c r="Y84" s="59" t="n">
        <v>3958</v>
      </c>
      <c r="Z84" s="59" t="n">
        <v>4782.532</v>
      </c>
      <c r="AA84" s="59" t="n">
        <v>4725.393</v>
      </c>
      <c r="AB84" s="59"/>
      <c r="AC84" s="59"/>
      <c r="AI84" s="57" t="n">
        <v>1556</v>
      </c>
      <c r="AJ84" s="59" t="n">
        <v>2042</v>
      </c>
      <c r="AK84" s="59" t="n">
        <v>3208</v>
      </c>
      <c r="AL84" s="59" t="n">
        <v>2780</v>
      </c>
      <c r="AM84" s="59" t="n">
        <v>3516</v>
      </c>
      <c r="AN84" s="59" t="n">
        <v>3958</v>
      </c>
      <c r="AO84" s="132" t="n">
        <f aca="false">+AO16*0.085</f>
        <v>4366.6820415</v>
      </c>
      <c r="AP84" s="132" t="n">
        <f aca="false">+AP16*0.085</f>
        <v>4964.9174811855</v>
      </c>
      <c r="AQ84" s="132" t="n">
        <f aca="false">+AQ16*0.085</f>
        <v>5610.35675373962</v>
      </c>
      <c r="AR84" s="132" t="n">
        <f aca="false">+AR16*0.085</f>
        <v>6339.70313172577</v>
      </c>
      <c r="AS84" s="132" t="n">
        <f aca="false">+AS16*0.085</f>
        <v>7100.46750753286</v>
      </c>
      <c r="DI84" s="37"/>
      <c r="XEX84" s="37"/>
      <c r="XEY84" s="37"/>
      <c r="XEZ84" s="37"/>
      <c r="XFA84" s="37"/>
      <c r="XFB84" s="37"/>
      <c r="XFC84" s="37"/>
    </row>
    <row r="85" s="54" customFormat="true" ht="10.5" hidden="false" customHeight="true" outlineLevel="0" collapsed="false">
      <c r="B85" s="54" t="n">
        <f aca="false">+B84/B$16</f>
        <v>0.022539704556488</v>
      </c>
      <c r="C85" s="54" t="n">
        <f aca="false">+C84/C$16</f>
        <v>0.229465534628021</v>
      </c>
      <c r="D85" s="54" t="n">
        <f aca="false">+D84/D$16</f>
        <v>0.222823046802163</v>
      </c>
      <c r="E85" s="54" t="n">
        <f aca="false">+E84/E$16</f>
        <v>0.234182168442598</v>
      </c>
      <c r="F85" s="54" t="n">
        <f aca="false">+F84/F$16</f>
        <v>0.237854590127317</v>
      </c>
      <c r="G85" s="54" t="n">
        <f aca="false">+G84/G$16</f>
        <v>0.248808973631316</v>
      </c>
      <c r="H85" s="54" t="n">
        <f aca="false">+H84/H$16</f>
        <v>0.252438731058075</v>
      </c>
      <c r="I85" s="54" t="n">
        <f aca="false">+I84/I$16</f>
        <v>0.264874891364975</v>
      </c>
      <c r="J85" s="54" t="n">
        <f aca="false">+J84/J$16</f>
        <v>0.265515970359826</v>
      </c>
      <c r="K85" s="54" t="n">
        <f aca="false">+K84/K$16</f>
        <v>0.25357590966123</v>
      </c>
      <c r="L85" s="54" t="n">
        <f aca="false">+L84/L$16</f>
        <v>0.341072555205047</v>
      </c>
      <c r="M85" s="54" t="n">
        <f aca="false">+M84/M$16</f>
        <v>0.40855832908813</v>
      </c>
      <c r="N85" s="54" t="n">
        <f aca="false">+N84/N$16</f>
        <v>0.325307847822092</v>
      </c>
      <c r="O85" s="54" t="n">
        <f aca="false">+O84/O$16</f>
        <v>0.357762306095029</v>
      </c>
      <c r="P85" s="54" t="n">
        <f aca="false">+P84/P$16</f>
        <v>0.340903769608991</v>
      </c>
      <c r="Q85" s="54" t="n">
        <f aca="false">+Q84/Q$16</f>
        <v>0.314764492753623</v>
      </c>
      <c r="R85" s="54" t="n">
        <f aca="false">+R84/R$16</f>
        <v>0.306937033084312</v>
      </c>
      <c r="S85" s="54" t="n">
        <f aca="false">+S84/S$16</f>
        <v>0.309655821738676</v>
      </c>
      <c r="T85" s="54" t="n">
        <f aca="false">+T84/T$16</f>
        <v>0.295704397394137</v>
      </c>
      <c r="U85" s="54" t="n">
        <f aca="false">+U84/U$16</f>
        <v>0.343124817019616</v>
      </c>
      <c r="V85" s="54" t="n">
        <f aca="false">+V84/V$16</f>
        <v>0.315564829744854</v>
      </c>
      <c r="W85" s="54" t="n">
        <f aca="false">+W84/W$16</f>
        <v>0.325209856485242</v>
      </c>
      <c r="X85" s="54" t="n">
        <f aca="false">+X84/X$16</f>
        <v>0.316072980017376</v>
      </c>
      <c r="Y85" s="54" t="n">
        <f aca="false">+Y84/Y$16</f>
        <v>0.328445650460139</v>
      </c>
      <c r="Z85" s="54" t="n">
        <f aca="false">+Z84/Z$16</f>
        <v>0.390418520138808</v>
      </c>
      <c r="AA85" s="54" t="n">
        <f aca="false">+AA84/AA$16</f>
        <v>0.376227414498384</v>
      </c>
      <c r="AB85" s="54" t="n">
        <f aca="false">+AB84/AB$16</f>
        <v>0</v>
      </c>
      <c r="AC85" s="54" t="n">
        <f aca="false">+AC84/AC$16</f>
        <v>0</v>
      </c>
      <c r="AI85" s="54" t="n">
        <f aca="false">+AI84/AI$16</f>
        <v>0.0622498205316871</v>
      </c>
      <c r="AJ85" s="54" t="n">
        <f aca="false">+AJ84/AJ$16</f>
        <v>0.0687592001628132</v>
      </c>
      <c r="AK85" s="54" t="n">
        <f aca="false">+AK84/AK$16</f>
        <v>0.1014690555755</v>
      </c>
      <c r="AL85" s="54" t="n">
        <f aca="false">+AL84/AL$16</f>
        <v>0.0824355934118779</v>
      </c>
      <c r="AM85" s="54" t="n">
        <f aca="false">+AM84/AM$16</f>
        <v>0.0901515438221116</v>
      </c>
      <c r="AN85" s="54" t="n">
        <f aca="false">+AN84/AN$16</f>
        <v>0.087599899961711</v>
      </c>
      <c r="AO85" s="54" t="n">
        <f aca="false">+AO84/AO$16</f>
        <v>0.085</v>
      </c>
      <c r="AP85" s="54" t="n">
        <f aca="false">+AP84/AP$16</f>
        <v>0.085</v>
      </c>
      <c r="AQ85" s="54" t="n">
        <f aca="false">+AQ84/AQ$16</f>
        <v>0.085</v>
      </c>
      <c r="AR85" s="54" t="n">
        <f aca="false">+AR84/AR$16</f>
        <v>0.085</v>
      </c>
      <c r="AS85" s="54" t="n">
        <f aca="false">+AS84/AS$16</f>
        <v>0.085</v>
      </c>
      <c r="DI85" s="37"/>
      <c r="XEX85" s="37"/>
      <c r="XEY85" s="37"/>
      <c r="XEZ85" s="37"/>
      <c r="XFA85" s="37"/>
      <c r="XFB85" s="37"/>
      <c r="XFC85" s="37"/>
    </row>
    <row r="86" s="57" customFormat="true" ht="12.8" hidden="false" customHeight="true" outlineLevel="0" collapsed="false">
      <c r="A86" s="59" t="s">
        <v>145</v>
      </c>
      <c r="B86" s="57" t="n">
        <f aca="false">+2694.7</f>
        <v>2694.7</v>
      </c>
      <c r="C86" s="57" t="n">
        <f aca="false">+2704</f>
        <v>2704</v>
      </c>
      <c r="D86" s="57" t="n">
        <f aca="false">+2900.3</f>
        <v>2900.3</v>
      </c>
      <c r="E86" s="57" t="n">
        <f aca="false">+3174.6</f>
        <v>3174.6</v>
      </c>
      <c r="F86" s="57" t="n">
        <f aca="false">+2956</f>
        <v>2956</v>
      </c>
      <c r="G86" s="57" t="n">
        <f aca="false">+2967.6</f>
        <v>2967.6</v>
      </c>
      <c r="H86" s="57" t="n">
        <v>3129.9</v>
      </c>
      <c r="I86" s="59" t="n">
        <f aca="false">+4271.8</f>
        <v>4271.8</v>
      </c>
      <c r="J86" s="59" t="n">
        <v>4657.2</v>
      </c>
      <c r="K86" s="59" t="n">
        <f aca="false">++4615</f>
        <v>4615</v>
      </c>
      <c r="L86" s="59" t="n">
        <f aca="false">++4595.1</f>
        <v>4595.1</v>
      </c>
      <c r="M86" s="59" t="n">
        <f aca="false">++5193.3</f>
        <v>5193.3</v>
      </c>
      <c r="N86" s="59" t="n">
        <f aca="false">++5245.4</f>
        <v>5245.4</v>
      </c>
      <c r="O86" s="59" t="n">
        <f aca="false">++5318.3</f>
        <v>5318.3</v>
      </c>
      <c r="P86" s="59" t="n">
        <f aca="false">++5474</f>
        <v>5474</v>
      </c>
      <c r="Q86" s="59" t="n">
        <f aca="false">++5664.3</f>
        <v>5664.3</v>
      </c>
      <c r="R86" s="59" t="n">
        <f aca="false">+5743.1</f>
        <v>5743.1</v>
      </c>
      <c r="S86" s="59" t="n">
        <f aca="false">+6045</f>
        <v>6045</v>
      </c>
      <c r="T86" s="59" t="n">
        <f aca="false">+6409.1</f>
        <v>6409.1</v>
      </c>
      <c r="U86" s="59" t="n">
        <f aca="false">+6483.77</f>
        <v>6483.77</v>
      </c>
      <c r="V86" s="59" t="n">
        <f aca="false">+6704.8</f>
        <v>6704.8</v>
      </c>
      <c r="W86" s="59" t="n">
        <f aca="false">+7273.5</f>
        <v>7273.5</v>
      </c>
      <c r="X86" s="59" t="n">
        <f aca="false">+7494.1</f>
        <v>7494.1</v>
      </c>
      <c r="Y86" s="59" t="n">
        <f aca="false">+7794</f>
        <v>7794</v>
      </c>
      <c r="Z86" s="59" t="n">
        <f aca="false">+8420.808</f>
        <v>8420.808</v>
      </c>
      <c r="AA86" s="59" t="n">
        <v>8360.717</v>
      </c>
      <c r="AB86" s="59"/>
      <c r="AC86" s="59"/>
      <c r="AI86" s="57" t="n">
        <f aca="false">+3174.6</f>
        <v>3174.6</v>
      </c>
      <c r="AJ86" s="59" t="n">
        <f aca="false">++4271.8</f>
        <v>4271.8</v>
      </c>
      <c r="AK86" s="59" t="n">
        <f aca="false">++5193.3</f>
        <v>5193.3</v>
      </c>
      <c r="AL86" s="59" t="n">
        <f aca="false">++5664.3</f>
        <v>5664.3</v>
      </c>
      <c r="AM86" s="59" t="n">
        <f aca="false">++6483.77</f>
        <v>6483.77</v>
      </c>
      <c r="AN86" s="59" t="n">
        <f aca="false">++7794</f>
        <v>7794</v>
      </c>
      <c r="DI86" s="37"/>
      <c r="XEX86" s="37"/>
      <c r="XEY86" s="37"/>
      <c r="XEZ86" s="37"/>
      <c r="XFA86" s="37"/>
      <c r="XFB86" s="37"/>
      <c r="XFC86" s="37"/>
    </row>
    <row r="87" s="57" customFormat="true" ht="12.8" hidden="false" customHeight="true" outlineLevel="0" collapsed="false">
      <c r="A87" s="59" t="s">
        <v>146</v>
      </c>
      <c r="B87" s="59" t="n">
        <f aca="false">SUM(B80:B86)-B85</f>
        <v>33893.7</v>
      </c>
      <c r="C87" s="59" t="n">
        <f aca="false">SUM(C80:C86)-C85</f>
        <v>37175</v>
      </c>
      <c r="D87" s="59" t="n">
        <f aca="false">SUM(D80:D86)-D85</f>
        <v>38622.3</v>
      </c>
      <c r="E87" s="59" t="n">
        <f aca="false">SUM(E80:E86)-E85</f>
        <v>39280.1</v>
      </c>
      <c r="F87" s="59" t="n">
        <f aca="false">SUM(F80:F86)-F85</f>
        <v>40122.8</v>
      </c>
      <c r="G87" s="59" t="n">
        <f aca="false">SUM(G80:G86)-G85</f>
        <v>40970.8</v>
      </c>
      <c r="H87" s="59" t="n">
        <f aca="false">SUM(H80:H86)-H85</f>
        <v>42739.7</v>
      </c>
      <c r="I87" s="59" t="n">
        <f aca="false">SUM(I80:I86)-I85</f>
        <v>44584.5</v>
      </c>
      <c r="J87" s="59" t="n">
        <f aca="false">SUM(J80:J86)-J85</f>
        <v>45330.7</v>
      </c>
      <c r="K87" s="59" t="n">
        <f aca="false">SUM(K80:K86)-K85</f>
        <v>46350.4</v>
      </c>
      <c r="L87" s="59" t="n">
        <f aca="false">SUM(L80:L86)-L85</f>
        <v>47561.8</v>
      </c>
      <c r="M87" s="59" t="n">
        <f aca="false">SUM(M80:M86)-M85</f>
        <v>48594.5</v>
      </c>
      <c r="N87" s="59" t="n">
        <f aca="false">SUM(N80:N86)-N85</f>
        <v>49489.9</v>
      </c>
      <c r="O87" s="59" t="n">
        <f aca="false">SUM(O80:O86)-O85</f>
        <v>50816.8</v>
      </c>
      <c r="P87" s="59" t="n">
        <f aca="false">SUM(P80:P86)-P85</f>
        <v>49501.5</v>
      </c>
      <c r="Q87" s="59" t="n">
        <f aca="false">SUM(Q80:Q86)-Q85</f>
        <v>48731.57</v>
      </c>
      <c r="R87" s="59" t="n">
        <f aca="false">SUM(R80:R86)-R85</f>
        <v>48827.9</v>
      </c>
      <c r="S87" s="59" t="n">
        <f aca="false">SUM(S80:S86)-S85</f>
        <v>49099</v>
      </c>
      <c r="T87" s="59" t="n">
        <f aca="false">SUM(T80:T86)-T85</f>
        <v>52281.5</v>
      </c>
      <c r="U87" s="59" t="n">
        <f aca="false">SUM(U80:U86)-U85</f>
        <v>53629.57</v>
      </c>
      <c r="V87" s="59" t="n">
        <f aca="false">SUM(V80:V86)-V85</f>
        <v>52087.8</v>
      </c>
      <c r="W87" s="59" t="n">
        <f aca="false">SUM(W80:W86)-W85</f>
        <v>53099.7</v>
      </c>
      <c r="X87" s="59" t="n">
        <f aca="false">SUM(X80:X86)-X85</f>
        <v>54932.9</v>
      </c>
      <c r="Y87" s="59" t="n">
        <f aca="false">SUM(Y80:Y86)-Y85</f>
        <v>55596.88</v>
      </c>
      <c r="Z87" s="59" t="n">
        <f aca="false">SUM(Z80:Z86)-Z85</f>
        <v>61015.914</v>
      </c>
      <c r="AA87" s="59" t="n">
        <f aca="false">SUM(AA80:AA86)-AA85</f>
        <v>58450.441</v>
      </c>
      <c r="AB87" s="59" t="n">
        <f aca="false">SUM(AB80:AB86)-AB85</f>
        <v>0</v>
      </c>
      <c r="AC87" s="59" t="n">
        <f aca="false">SUM(AC80:AC86)-AC85</f>
        <v>0</v>
      </c>
      <c r="AI87" s="59" t="n">
        <f aca="false">SUM(AI80:AI86)-AI85</f>
        <v>39280.1</v>
      </c>
      <c r="AJ87" s="59" t="n">
        <f aca="false">SUM(AJ80:AJ86)-AJ85</f>
        <v>44584.5</v>
      </c>
      <c r="AK87" s="59" t="n">
        <f aca="false">SUM(AK80:AK86)-AK85</f>
        <v>48594.5</v>
      </c>
      <c r="AL87" s="59" t="n">
        <f aca="false">SUM(AL80:AL86)-AL85</f>
        <v>48731.57</v>
      </c>
      <c r="AM87" s="59" t="n">
        <f aca="false">SUM(AM80:AM86)-AM85</f>
        <v>53629.57</v>
      </c>
      <c r="AN87" s="59" t="n">
        <f aca="false">SUM(AN80:AN86)-AN85</f>
        <v>55596.88</v>
      </c>
      <c r="AO87" s="59"/>
      <c r="AP87" s="59"/>
      <c r="AQ87" s="59"/>
      <c r="AR87" s="59"/>
      <c r="AS87" s="59"/>
      <c r="DI87" s="37"/>
      <c r="XEX87" s="37"/>
      <c r="XEY87" s="37"/>
      <c r="XEZ87" s="37"/>
      <c r="XFA87" s="37"/>
      <c r="XFB87" s="37"/>
      <c r="XFC87" s="37"/>
    </row>
    <row r="88" s="57" customFormat="true" ht="12.8" hidden="false" customHeight="true" outlineLevel="0" collapsed="false">
      <c r="W88" s="59"/>
      <c r="DI88" s="37"/>
      <c r="XEX88" s="37"/>
      <c r="XEY88" s="37"/>
      <c r="XEZ88" s="37"/>
      <c r="XFA88" s="37"/>
      <c r="XFB88" s="37"/>
      <c r="XFC88" s="37"/>
    </row>
    <row r="89" s="57" customFormat="true" ht="12.8" hidden="false" customHeight="true" outlineLevel="0" collapsed="false">
      <c r="A89" s="59" t="s">
        <v>147</v>
      </c>
      <c r="B89" s="59" t="n">
        <v>4761.5</v>
      </c>
      <c r="C89" s="59" t="n">
        <v>4664.7</v>
      </c>
      <c r="D89" s="59" t="n">
        <v>4599.6</v>
      </c>
      <c r="E89" s="59" t="n">
        <v>4429.5</v>
      </c>
      <c r="F89" s="59" t="n">
        <v>4297.9</v>
      </c>
      <c r="G89" s="59" t="n">
        <v>4197.8</v>
      </c>
      <c r="H89" s="59" t="n">
        <v>4110.9</v>
      </c>
      <c r="I89" s="59" t="n">
        <v>4292.9</v>
      </c>
      <c r="J89" s="59" t="n">
        <v>4066.2</v>
      </c>
      <c r="K89" s="59" t="n">
        <v>4174.96</v>
      </c>
      <c r="L89" s="59" t="n">
        <v>4225.8</v>
      </c>
      <c r="M89" s="59" t="n">
        <v>4480.1</v>
      </c>
      <c r="N89" s="59" t="n">
        <v>4344.5</v>
      </c>
      <c r="O89" s="59" t="n">
        <v>4440.4</v>
      </c>
      <c r="P89" s="59" t="n">
        <v>4259.5</v>
      </c>
      <c r="Q89" s="59" t="n">
        <v>4466.4</v>
      </c>
      <c r="R89" s="59" t="n">
        <v>4436</v>
      </c>
      <c r="S89" s="59" t="n">
        <v>4391.4</v>
      </c>
      <c r="T89" s="59" t="n">
        <v>4489.9</v>
      </c>
      <c r="U89" s="59" t="n">
        <v>4393.6</v>
      </c>
      <c r="V89" s="59" t="n">
        <v>4128.9</v>
      </c>
      <c r="W89" s="59" t="n">
        <v>4091.7</v>
      </c>
      <c r="X89" s="59" t="n">
        <v>4102.6</v>
      </c>
      <c r="Y89" s="59" t="n">
        <v>4084.8</v>
      </c>
      <c r="Z89" s="57" t="n">
        <v>4052.278</v>
      </c>
      <c r="AA89" s="57" t="n">
        <v>3866.522</v>
      </c>
      <c r="AI89" s="59" t="n">
        <v>4429.5</v>
      </c>
      <c r="AJ89" s="59" t="n">
        <v>4292.9</v>
      </c>
      <c r="AK89" s="59" t="n">
        <v>4480.1</v>
      </c>
      <c r="AL89" s="59" t="n">
        <v>4466.4</v>
      </c>
      <c r="AM89" s="59" t="n">
        <v>4393.6</v>
      </c>
      <c r="AN89" s="59" t="n">
        <v>4084.8</v>
      </c>
      <c r="AO89" s="132" t="n">
        <f aca="false">+AO16*0.095</f>
        <v>4880.4093405</v>
      </c>
      <c r="AP89" s="132" t="n">
        <f aca="false">+AP16*0.095</f>
        <v>5549.0254201485</v>
      </c>
      <c r="AQ89" s="132" t="n">
        <f aca="false">+AQ16*0.095</f>
        <v>6270.39872476781</v>
      </c>
      <c r="AR89" s="132" t="n">
        <f aca="false">+AR16*0.095</f>
        <v>7085.55055898762</v>
      </c>
      <c r="AS89" s="132" t="n">
        <f aca="false">+AS16*0.095</f>
        <v>7935.81662606614</v>
      </c>
      <c r="DI89" s="37"/>
      <c r="XEX89" s="37"/>
      <c r="XEY89" s="37"/>
      <c r="XEZ89" s="37"/>
      <c r="XFA89" s="37"/>
      <c r="XFB89" s="37"/>
      <c r="XFC89" s="37"/>
    </row>
    <row r="90" s="54" customFormat="true" ht="10.5" hidden="false" customHeight="true" outlineLevel="0" collapsed="false">
      <c r="B90" s="54" t="n">
        <f aca="false">+B89/B$16</f>
        <v>0.825560024967057</v>
      </c>
      <c r="C90" s="54" t="n">
        <f aca="false">+C89/C$16</f>
        <v>0.758709866302332</v>
      </c>
      <c r="D90" s="54" t="n">
        <f aca="false">+D89/D$16</f>
        <v>0.714711914972963</v>
      </c>
      <c r="E90" s="54" t="n">
        <f aca="false">+E89/E$16</f>
        <v>0.666651616398772</v>
      </c>
      <c r="F90" s="54" t="n">
        <f aca="false">+F89/F$16</f>
        <v>0.599997207951753</v>
      </c>
      <c r="G90" s="54" t="n">
        <f aca="false">+G89/G$16</f>
        <v>0.57176893278017</v>
      </c>
      <c r="H90" s="54" t="n">
        <f aca="false">+H89/H$16</f>
        <v>0.549335863377609</v>
      </c>
      <c r="I90" s="54" t="n">
        <f aca="false">+I89/I$16</f>
        <v>0.55684692514236</v>
      </c>
      <c r="J90" s="54" t="n">
        <f aca="false">+J89/J$16</f>
        <v>0.516821942880384</v>
      </c>
      <c r="K90" s="54" t="n">
        <f aca="false">+K89/K$16</f>
        <v>0.523834378920954</v>
      </c>
      <c r="L90" s="54" t="n">
        <f aca="false">+L89/L$16</f>
        <v>0.533223974763407</v>
      </c>
      <c r="M90" s="54" t="n">
        <f aca="false">+M89/M$16</f>
        <v>0.57056800815079</v>
      </c>
      <c r="N90" s="54" t="n">
        <f aca="false">+N89/N$16</f>
        <v>0.532316363413588</v>
      </c>
      <c r="O90" s="54" t="n">
        <f aca="false">+O89/O$16</f>
        <v>0.542372053255161</v>
      </c>
      <c r="P90" s="54" t="n">
        <f aca="false">+P89/P$16</f>
        <v>0.49865371107469</v>
      </c>
      <c r="Q90" s="54" t="n">
        <f aca="false">+Q89/Q$16</f>
        <v>0.50570652173913</v>
      </c>
      <c r="R90" s="54" t="n">
        <f aca="false">+R89/R$16</f>
        <v>0.473425827107791</v>
      </c>
      <c r="S90" s="54" t="n">
        <f aca="false">+S89/S$16</f>
        <v>0.459399518778115</v>
      </c>
      <c r="T90" s="54" t="n">
        <f aca="false">+T89/T$16</f>
        <v>0.457033794788274</v>
      </c>
      <c r="U90" s="54" t="n">
        <f aca="false">+U89/U$16</f>
        <v>0.428769395920757</v>
      </c>
      <c r="V90" s="54" t="n">
        <f aca="false">+V89/V$16</f>
        <v>0.39162477473205</v>
      </c>
      <c r="W90" s="54" t="n">
        <f aca="false">+W89/W$16</f>
        <v>0.369320335770376</v>
      </c>
      <c r="X90" s="54" t="n">
        <f aca="false">+X89/X$16</f>
        <v>0.356437880104257</v>
      </c>
      <c r="Y90" s="54" t="n">
        <f aca="false">+Y89/Y$16</f>
        <v>0.33896786078817</v>
      </c>
      <c r="Z90" s="54" t="n">
        <f aca="false">+Z89/Z$16</f>
        <v>0.330804766168015</v>
      </c>
      <c r="AA90" s="54" t="n">
        <f aca="false">+AA89/AA$16</f>
        <v>0.307845627900393</v>
      </c>
      <c r="AB90" s="54" t="n">
        <f aca="false">+AB89/AB$16</f>
        <v>0</v>
      </c>
      <c r="AC90" s="54" t="n">
        <f aca="false">+AC89/AC$16</f>
        <v>0</v>
      </c>
      <c r="AI90" s="54" t="n">
        <f aca="false">+AI89/AI$16</f>
        <v>0.17720795632719</v>
      </c>
      <c r="AJ90" s="54" t="n">
        <f aca="false">+AJ89/AJ$16</f>
        <v>0.144552580988707</v>
      </c>
      <c r="AK90" s="54" t="n">
        <f aca="false">+AK89/AK$16</f>
        <v>0.141705584751807</v>
      </c>
      <c r="AL90" s="54" t="n">
        <f aca="false">+AL89/AL$16</f>
        <v>0.132442566336263</v>
      </c>
      <c r="AM90" s="54" t="n">
        <f aca="false">+AM89/AM$16</f>
        <v>0.112653533258484</v>
      </c>
      <c r="AN90" s="54" t="n">
        <f aca="false">+AN89/AN$16</f>
        <v>0.09040628382102</v>
      </c>
      <c r="AO90" s="54" t="n">
        <f aca="false">+AO89/AO$16</f>
        <v>0.095</v>
      </c>
      <c r="AP90" s="54" t="n">
        <f aca="false">+AP89/AP$16</f>
        <v>0.095</v>
      </c>
      <c r="AQ90" s="54" t="n">
        <f aca="false">+AQ89/AQ$16</f>
        <v>0.095</v>
      </c>
      <c r="AR90" s="54" t="n">
        <f aca="false">+AR89/AR$16</f>
        <v>0.095</v>
      </c>
      <c r="AS90" s="54" t="n">
        <f aca="false">+AS89/AS$16</f>
        <v>0.095</v>
      </c>
      <c r="XEX90" s="37"/>
      <c r="XEY90" s="37"/>
      <c r="XEZ90" s="37"/>
      <c r="XFA90" s="37"/>
      <c r="XFB90" s="37"/>
      <c r="XFC90" s="37"/>
    </row>
    <row r="91" s="57" customFormat="true" ht="12.8" hidden="false" customHeight="true" outlineLevel="0" collapsed="false">
      <c r="A91" s="59" t="s">
        <v>148</v>
      </c>
      <c r="B91" s="59" t="n">
        <v>545.4</v>
      </c>
      <c r="C91" s="59" t="n">
        <v>446.6</v>
      </c>
      <c r="D91" s="59" t="n">
        <v>541.2</v>
      </c>
      <c r="E91" s="59" t="n">
        <v>656.1</v>
      </c>
      <c r="F91" s="59" t="n">
        <v>532.9</v>
      </c>
      <c r="G91" s="59" t="n">
        <v>622.9</v>
      </c>
      <c r="H91" s="59" t="n">
        <v>643</v>
      </c>
      <c r="I91" s="59" t="n">
        <v>837.4</v>
      </c>
      <c r="J91" s="59" t="n">
        <v>617.2</v>
      </c>
      <c r="K91" s="59" t="n">
        <v>504.2</v>
      </c>
      <c r="L91" s="59" t="n">
        <v>560.1</v>
      </c>
      <c r="M91" s="59" t="n">
        <v>671.5</v>
      </c>
      <c r="N91" s="59" t="n">
        <v>591.9</v>
      </c>
      <c r="O91" s="59" t="n">
        <v>615.3</v>
      </c>
      <c r="P91" s="59" t="n">
        <v>534.4</v>
      </c>
      <c r="Q91" s="59" t="n">
        <v>747.4</v>
      </c>
      <c r="R91" s="59" t="n">
        <v>607</v>
      </c>
      <c r="S91" s="59" t="n">
        <v>598.5</v>
      </c>
      <c r="T91" s="59" t="n">
        <v>641.9</v>
      </c>
      <c r="U91" s="59" t="n">
        <v>899.9</v>
      </c>
      <c r="V91" s="59" t="n">
        <v>614.4</v>
      </c>
      <c r="W91" s="59" t="n">
        <v>632.7</v>
      </c>
      <c r="X91" s="59" t="n">
        <v>793.2</v>
      </c>
      <c r="Y91" s="59" t="n">
        <v>900.6</v>
      </c>
      <c r="Z91" s="57" t="n">
        <v>894.681</v>
      </c>
      <c r="AA91" s="57" t="n">
        <v>814.551</v>
      </c>
      <c r="AI91" s="59" t="n">
        <v>656.1</v>
      </c>
      <c r="AJ91" s="59" t="n">
        <v>837.4</v>
      </c>
      <c r="AK91" s="59" t="n">
        <v>671.5</v>
      </c>
      <c r="AL91" s="59" t="n">
        <v>747.4</v>
      </c>
      <c r="AM91" s="59" t="n">
        <v>899.9</v>
      </c>
      <c r="AN91" s="59" t="n">
        <v>900.6</v>
      </c>
      <c r="AO91" s="57" t="n">
        <f aca="false">+AO149*AO18/365</f>
        <v>1028.69155675456</v>
      </c>
      <c r="AP91" s="57" t="n">
        <f aca="false">+AP149*AP18/365</f>
        <v>1173.3408023163</v>
      </c>
      <c r="AQ91" s="57" t="n">
        <f aca="false">+AQ149*AQ18/365</f>
        <v>1355.60631109809</v>
      </c>
      <c r="AR91" s="57" t="n">
        <f aca="false">+AR149*AR18/365</f>
        <v>1564.40968379954</v>
      </c>
      <c r="AS91" s="57" t="n">
        <f aca="false">+AS149*AS18/365</f>
        <v>1787.47803052422</v>
      </c>
      <c r="DI91" s="37"/>
      <c r="XEX91" s="37"/>
      <c r="XEY91" s="37"/>
      <c r="XEZ91" s="37"/>
      <c r="XFA91" s="37"/>
      <c r="XFB91" s="37"/>
      <c r="XFC91" s="37"/>
    </row>
    <row r="92" s="57" customFormat="true" ht="12.8" hidden="false" customHeight="true" outlineLevel="0" collapsed="false">
      <c r="A92" s="59" t="s">
        <v>149</v>
      </c>
      <c r="B92" s="59" t="n">
        <v>1061</v>
      </c>
      <c r="C92" s="59" t="n">
        <v>986.5</v>
      </c>
      <c r="D92" s="59" t="n">
        <v>1259.1</v>
      </c>
      <c r="E92" s="59" t="n">
        <v>1102.1</v>
      </c>
      <c r="F92" s="59" t="n">
        <v>1291.8</v>
      </c>
      <c r="G92" s="59" t="n">
        <v>1125.5</v>
      </c>
      <c r="H92" s="59" t="n">
        <v>1413.1</v>
      </c>
      <c r="I92" s="59" t="n">
        <v>1449.3</v>
      </c>
      <c r="J92" s="59" t="n">
        <v>1817.1</v>
      </c>
      <c r="K92" s="59" t="n">
        <v>1596</v>
      </c>
      <c r="L92" s="59" t="n">
        <v>1803.5</v>
      </c>
      <c r="M92" s="59" t="n">
        <v>1514.6</v>
      </c>
      <c r="N92" s="59" t="n">
        <v>1718</v>
      </c>
      <c r="O92" s="59" t="n">
        <v>1908.7</v>
      </c>
      <c r="P92" s="59" t="n">
        <v>1838.9</v>
      </c>
      <c r="Q92" s="59" t="n">
        <v>1803.9</v>
      </c>
      <c r="R92" s="59" t="n">
        <v>1977.4</v>
      </c>
      <c r="S92" s="59" t="n">
        <v>1876.2</v>
      </c>
      <c r="T92" s="59" t="n">
        <v>2241.7</v>
      </c>
      <c r="U92" s="59" t="n">
        <v>2156.5</v>
      </c>
      <c r="V92" s="59" t="n">
        <v>2359.5</v>
      </c>
      <c r="W92" s="59" t="n">
        <v>2489.4</v>
      </c>
      <c r="X92" s="59" t="n">
        <v>3111.3</v>
      </c>
      <c r="Y92" s="59" t="n">
        <v>3220.8</v>
      </c>
      <c r="Z92" s="57" t="n">
        <v>4441.986</v>
      </c>
      <c r="AA92" s="57" t="n">
        <v>3172.611</v>
      </c>
      <c r="AI92" s="59" t="n">
        <v>1102.1</v>
      </c>
      <c r="AJ92" s="59" t="n">
        <v>1449.3</v>
      </c>
      <c r="AK92" s="59" t="n">
        <v>1514.6</v>
      </c>
      <c r="AL92" s="59" t="n">
        <v>1803.9</v>
      </c>
      <c r="AM92" s="59" t="n">
        <v>2156.5</v>
      </c>
      <c r="AN92" s="59" t="n">
        <v>3220.8</v>
      </c>
      <c r="AO92" s="132" t="n">
        <f aca="false">+AO16*0.05</f>
        <v>2568.636495</v>
      </c>
      <c r="AP92" s="132" t="n">
        <f aca="false">+AP16*0.05</f>
        <v>2920.539694815</v>
      </c>
      <c r="AQ92" s="132" t="n">
        <f aca="false">+AQ16*0.05</f>
        <v>3300.20985514095</v>
      </c>
      <c r="AR92" s="132" t="n">
        <f aca="false">+AR16*0.05</f>
        <v>3729.23713630928</v>
      </c>
      <c r="AS92" s="132" t="n">
        <f aca="false">+AS16*0.05</f>
        <v>4176.74559266639</v>
      </c>
      <c r="DI92" s="37"/>
      <c r="XEX92" s="37"/>
      <c r="XEY92" s="37"/>
      <c r="XEZ92" s="37"/>
      <c r="XFA92" s="37"/>
      <c r="XFB92" s="37"/>
      <c r="XFC92" s="37"/>
    </row>
    <row r="93" s="54" customFormat="true" ht="10.5" hidden="false" customHeight="true" outlineLevel="0" collapsed="false">
      <c r="B93" s="54" t="n">
        <f aca="false">+B92/B$16</f>
        <v>0.18395866564949</v>
      </c>
      <c r="C93" s="54" t="n">
        <f aca="false">+C92/C$16</f>
        <v>0.160453466055106</v>
      </c>
      <c r="D93" s="54" t="n">
        <f aca="false">+D92/D$16</f>
        <v>0.195646093604326</v>
      </c>
      <c r="E93" s="54" t="n">
        <f aca="false">+E92/E$16</f>
        <v>0.165869002468244</v>
      </c>
      <c r="F93" s="54" t="n">
        <f aca="false">+F92/F$16</f>
        <v>0.180338396247487</v>
      </c>
      <c r="G93" s="54" t="n">
        <f aca="false">+G92/G$16</f>
        <v>0.153300760837601</v>
      </c>
      <c r="H93" s="54" t="n">
        <f aca="false">+H92/H$16</f>
        <v>0.188831279899511</v>
      </c>
      <c r="I93" s="54" t="n">
        <f aca="false">+I92/I$16</f>
        <v>0.187993721868393</v>
      </c>
      <c r="J93" s="54" t="n">
        <f aca="false">+J92/J$16</f>
        <v>0.230956950570052</v>
      </c>
      <c r="K93" s="54" t="n">
        <f aca="false">+K92/K$16</f>
        <v>0.200250941028858</v>
      </c>
      <c r="L93" s="54" t="n">
        <f aca="false">+L92/L$16</f>
        <v>0.227570977917981</v>
      </c>
      <c r="M93" s="54" t="n">
        <f aca="false">+M92/M$16</f>
        <v>0.192893530310749</v>
      </c>
      <c r="N93" s="54" t="n">
        <f aca="false">+N92/N$16</f>
        <v>0.21050052073761</v>
      </c>
      <c r="O93" s="54" t="n">
        <f aca="false">+O92/O$16</f>
        <v>0.23313790155124</v>
      </c>
      <c r="P93" s="54" t="n">
        <f aca="false">+P92/P$16</f>
        <v>0.215277452587216</v>
      </c>
      <c r="Q93" s="54" t="n">
        <f aca="false">+Q92/Q$16</f>
        <v>0.204245923913044</v>
      </c>
      <c r="R93" s="54" t="n">
        <f aca="false">+R92/R$16</f>
        <v>0.211035218783351</v>
      </c>
      <c r="S93" s="54" t="n">
        <f aca="false">+S92/S$16</f>
        <v>0.196275761062873</v>
      </c>
      <c r="T93" s="54" t="n">
        <f aca="false">+T92/T$16</f>
        <v>0.228186074918567</v>
      </c>
      <c r="U93" s="54" t="n">
        <f aca="false">+U92/U$16</f>
        <v>0.210451839562799</v>
      </c>
      <c r="V93" s="54" t="n">
        <f aca="false">+V92/V$16</f>
        <v>0.223797780517879</v>
      </c>
      <c r="W93" s="54" t="n">
        <f aca="false">+W92/W$16</f>
        <v>0.224695369618197</v>
      </c>
      <c r="X93" s="54" t="n">
        <f aca="false">+X92/X$16</f>
        <v>0.270312771503041</v>
      </c>
      <c r="Y93" s="54" t="n">
        <f aca="false">+Y92/Y$16</f>
        <v>0.267270780950484</v>
      </c>
      <c r="Z93" s="54" t="n">
        <f aca="false">+Z92/Z$16</f>
        <v>0.362618295203733</v>
      </c>
      <c r="AA93" s="54" t="n">
        <f aca="false">+AA92/AA$16</f>
        <v>0.25259766409675</v>
      </c>
      <c r="AB93" s="54" t="n">
        <f aca="false">+AB92/AB$16</f>
        <v>0</v>
      </c>
      <c r="AC93" s="54" t="n">
        <f aca="false">+AC92/AC$16</f>
        <v>0</v>
      </c>
      <c r="AI93" s="54" t="n">
        <f aca="false">+AI92/AI$16</f>
        <v>0.0440909557891853</v>
      </c>
      <c r="AJ93" s="54" t="n">
        <f aca="false">+AJ92/AJ$16</f>
        <v>0.0488015224270152</v>
      </c>
      <c r="AK93" s="54" t="n">
        <f aca="false">+AK92/AK$16</f>
        <v>0.0479068053536946</v>
      </c>
      <c r="AL93" s="54" t="n">
        <f aca="false">+AL92/AL$16</f>
        <v>0.053491211135139</v>
      </c>
      <c r="AM93" s="54" t="n">
        <f aca="false">+AM92/AM$16</f>
        <v>0.0552934596849783</v>
      </c>
      <c r="AN93" s="54" t="n">
        <f aca="false">+AN92/AN$16</f>
        <v>0.0712839206156339</v>
      </c>
      <c r="AO93" s="54" t="n">
        <f aca="false">+AO92/AO$16</f>
        <v>0.05</v>
      </c>
      <c r="AP93" s="54" t="n">
        <f aca="false">+AP92/AP$16</f>
        <v>0.05</v>
      </c>
      <c r="AQ93" s="54" t="n">
        <f aca="false">+AQ92/AQ$16</f>
        <v>0.05</v>
      </c>
      <c r="AR93" s="54" t="n">
        <f aca="false">+AR92/AR$16</f>
        <v>0.05</v>
      </c>
      <c r="AS93" s="54" t="n">
        <f aca="false">+AS92/AS$16</f>
        <v>0.05</v>
      </c>
      <c r="XEX93" s="37"/>
      <c r="XEY93" s="37"/>
      <c r="XEZ93" s="37"/>
      <c r="XFA93" s="37"/>
      <c r="XFB93" s="37"/>
      <c r="XFC93" s="37"/>
    </row>
    <row r="94" s="57" customFormat="true" ht="12.8" hidden="false" customHeight="true" outlineLevel="0" collapsed="false">
      <c r="A94" s="59" t="s">
        <v>150</v>
      </c>
      <c r="B94" s="59" t="n">
        <v>986.7</v>
      </c>
      <c r="C94" s="59" t="n">
        <v>1029.2</v>
      </c>
      <c r="D94" s="59" t="n">
        <v>1040.2</v>
      </c>
      <c r="E94" s="59" t="n">
        <v>1117.9</v>
      </c>
      <c r="F94" s="59" t="n">
        <v>1140.2</v>
      </c>
      <c r="G94" s="59" t="n">
        <v>1187.3</v>
      </c>
      <c r="H94" s="59" t="n">
        <v>1182.6</v>
      </c>
      <c r="I94" s="59" t="n">
        <v>1209.3</v>
      </c>
      <c r="J94" s="59" t="n">
        <v>1239</v>
      </c>
      <c r="K94" s="59" t="n">
        <v>1224.7</v>
      </c>
      <c r="L94" s="59" t="n">
        <v>1176.3</v>
      </c>
      <c r="M94" s="59" t="n">
        <v>1264.6</v>
      </c>
      <c r="N94" s="59" t="n">
        <v>1262.2</v>
      </c>
      <c r="O94" s="59" t="n">
        <v>1311.9</v>
      </c>
      <c r="P94" s="59" t="n">
        <v>1306.1</v>
      </c>
      <c r="Q94" s="59" t="n">
        <v>1442.9</v>
      </c>
      <c r="R94" s="59" t="n">
        <v>1469.4</v>
      </c>
      <c r="S94" s="59" t="n">
        <v>1476.2</v>
      </c>
      <c r="T94" s="59" t="n">
        <v>1513</v>
      </c>
      <c r="U94" s="59" t="n">
        <v>1520.8</v>
      </c>
      <c r="V94" s="59" t="n">
        <v>1609.7</v>
      </c>
      <c r="W94" s="59" t="n">
        <v>1728.3</v>
      </c>
      <c r="X94" s="59" t="n">
        <v>1724.6</v>
      </c>
      <c r="Y94" s="59" t="n">
        <v>1775.7</v>
      </c>
      <c r="Z94" s="57" t="n">
        <v>1743.448</v>
      </c>
      <c r="AA94" s="57" t="n">
        <v>1797.456</v>
      </c>
      <c r="AI94" s="59" t="n">
        <v>1117.9</v>
      </c>
      <c r="AJ94" s="59" t="n">
        <v>1209.3</v>
      </c>
      <c r="AK94" s="59" t="n">
        <v>1264.6</v>
      </c>
      <c r="AL94" s="59" t="n">
        <v>1442.9</v>
      </c>
      <c r="AM94" s="59" t="n">
        <v>1520.8</v>
      </c>
      <c r="AN94" s="59" t="n">
        <v>1775.7</v>
      </c>
      <c r="AO94" s="132" t="n">
        <f aca="false">+AO16*0.03</f>
        <v>1541.181897</v>
      </c>
      <c r="AP94" s="132" t="n">
        <f aca="false">+AP16*0.03</f>
        <v>1752.323816889</v>
      </c>
      <c r="AQ94" s="132" t="n">
        <f aca="false">+AQ16*0.03</f>
        <v>1980.12591308457</v>
      </c>
      <c r="AR94" s="132" t="n">
        <f aca="false">+AR16*0.03</f>
        <v>2237.54228178557</v>
      </c>
      <c r="AS94" s="132" t="n">
        <f aca="false">+AS16*0.03</f>
        <v>2506.04735559983</v>
      </c>
      <c r="DI94" s="37"/>
      <c r="XEX94" s="37"/>
      <c r="XEY94" s="37"/>
      <c r="XEZ94" s="37"/>
      <c r="XFA94" s="37"/>
      <c r="XFB94" s="37"/>
      <c r="XFC94" s="37"/>
    </row>
    <row r="95" s="54" customFormat="true" ht="10.5" hidden="false" customHeight="true" outlineLevel="0" collapsed="false">
      <c r="B95" s="54" t="n">
        <f aca="false">+B94/B$16</f>
        <v>0.171076357583744</v>
      </c>
      <c r="C95" s="54" t="n">
        <f aca="false">+C94/C$16</f>
        <v>0.167398588204678</v>
      </c>
      <c r="D95" s="54" t="n">
        <f aca="false">+D94/D$16</f>
        <v>0.161632171048542</v>
      </c>
      <c r="E95" s="54" t="n">
        <f aca="false">+E94/E$16</f>
        <v>0.168246944795617</v>
      </c>
      <c r="F95" s="54" t="n">
        <f aca="false">+F94/F$16</f>
        <v>0.159174670538307</v>
      </c>
      <c r="G95" s="54" t="n">
        <f aca="false">+G94/G$16</f>
        <v>0.161718341485992</v>
      </c>
      <c r="H95" s="54" t="n">
        <f aca="false">+H94/H$16</f>
        <v>0.158029772563273</v>
      </c>
      <c r="I95" s="54" t="n">
        <f aca="false">+I94/I$16</f>
        <v>0.156862490757916</v>
      </c>
      <c r="J95" s="54" t="n">
        <f aca="false">+J94/J$16</f>
        <v>0.157479314157886</v>
      </c>
      <c r="K95" s="54" t="n">
        <f aca="false">+K94/K$16</f>
        <v>0.15366373902133</v>
      </c>
      <c r="L95" s="54" t="n">
        <f aca="false">+L94/L$16</f>
        <v>0.148429022082019</v>
      </c>
      <c r="M95" s="54" t="n">
        <f aca="false">+M94/M$16</f>
        <v>0.161054508405502</v>
      </c>
      <c r="N95" s="54" t="n">
        <f aca="false">+N94/N$16</f>
        <v>0.154652943699075</v>
      </c>
      <c r="O95" s="54" t="n">
        <f aca="false">+O94/O$16</f>
        <v>0.160241846830341</v>
      </c>
      <c r="P95" s="54" t="n">
        <f aca="false">+P94/P$16</f>
        <v>0.152903301334582</v>
      </c>
      <c r="Q95" s="54" t="n">
        <f aca="false">+Q94/Q$16</f>
        <v>0.163371829710145</v>
      </c>
      <c r="R95" s="54" t="n">
        <f aca="false">+R94/R$16</f>
        <v>0.156819637139808</v>
      </c>
      <c r="S95" s="54" t="n">
        <f aca="false">+S94/S$16</f>
        <v>0.154430379746835</v>
      </c>
      <c r="T95" s="54" t="n">
        <f aca="false">+T94/T$16</f>
        <v>0.154010586319218</v>
      </c>
      <c r="U95" s="54" t="n">
        <f aca="false">+U94/U$16</f>
        <v>0.148414170000976</v>
      </c>
      <c r="V95" s="54" t="n">
        <f aca="false">+V94/V$16</f>
        <v>0.152679502987764</v>
      </c>
      <c r="W95" s="54" t="n">
        <f aca="false">+W94/W$16</f>
        <v>0.155997833739507</v>
      </c>
      <c r="X95" s="54" t="n">
        <f aca="false">+X94/X$16</f>
        <v>0.149834926151173</v>
      </c>
      <c r="Y95" s="54" t="n">
        <f aca="false">+Y94/Y$16</f>
        <v>0.147352435958077</v>
      </c>
      <c r="Z95" s="54" t="n">
        <f aca="false">+Z94/Z$16</f>
        <v>0.142325108979713</v>
      </c>
      <c r="AA95" s="54" t="n">
        <f aca="false">+AA94/AA$16</f>
        <v>0.143110260576127</v>
      </c>
      <c r="AB95" s="54" t="n">
        <f aca="false">+AB94/AB$16</f>
        <v>0</v>
      </c>
      <c r="AC95" s="54" t="n">
        <f aca="false">+AC94/AC$16</f>
        <v>0</v>
      </c>
      <c r="AI95" s="54" t="n">
        <f aca="false">+AI94/AI$16</f>
        <v>0.0447230555092371</v>
      </c>
      <c r="AJ95" s="54" t="n">
        <f aca="false">+AJ94/AJ$16</f>
        <v>0.0407201276968119</v>
      </c>
      <c r="AK95" s="54" t="n">
        <f aca="false">+AK94/AK$16</f>
        <v>0.0399993041398932</v>
      </c>
      <c r="AL95" s="54" t="n">
        <f aca="false">+AL94/AL$16</f>
        <v>0.042786445228057</v>
      </c>
      <c r="AM95" s="54" t="n">
        <f aca="false">+AM94/AM$16</f>
        <v>0.0389938759512706</v>
      </c>
      <c r="AN95" s="54" t="n">
        <f aca="false">+AN94/AN$16</f>
        <v>0.0393004402127363</v>
      </c>
      <c r="AO95" s="54" t="n">
        <f aca="false">+AO94/AO$16</f>
        <v>0.03</v>
      </c>
      <c r="AP95" s="54" t="n">
        <f aca="false">+AP94/AP$16</f>
        <v>0.03</v>
      </c>
      <c r="AQ95" s="54" t="n">
        <f aca="false">+AQ94/AQ$16</f>
        <v>0.03</v>
      </c>
      <c r="AR95" s="54" t="n">
        <f aca="false">+AR94/AR$16</f>
        <v>0.03</v>
      </c>
      <c r="AS95" s="54" t="n">
        <f aca="false">+AS94/AS$16</f>
        <v>0.03</v>
      </c>
      <c r="XEX95" s="37"/>
      <c r="XEY95" s="37"/>
      <c r="XEZ95" s="37"/>
      <c r="XFA95" s="37"/>
      <c r="XFB95" s="37"/>
      <c r="XFC95" s="37"/>
    </row>
    <row r="96" s="57" customFormat="true" ht="12.8" hidden="false" customHeight="true" outlineLevel="0" collapsed="false">
      <c r="A96" s="59" t="s">
        <v>151</v>
      </c>
      <c r="B96" s="59" t="n">
        <v>498.8</v>
      </c>
      <c r="C96" s="59" t="n">
        <v>499.1</v>
      </c>
      <c r="D96" s="59" t="n">
        <v>499.5</v>
      </c>
      <c r="E96" s="59" t="n">
        <v>499.8</v>
      </c>
      <c r="F96" s="59" t="n">
        <v>698.7</v>
      </c>
      <c r="G96" s="59" t="n">
        <v>699.1</v>
      </c>
      <c r="H96" s="59" t="n">
        <v>699</v>
      </c>
      <c r="I96" s="59" t="n">
        <v>699.8</v>
      </c>
      <c r="J96" s="59" t="n">
        <v>0</v>
      </c>
      <c r="K96" s="59" t="n">
        <v>0</v>
      </c>
      <c r="L96" s="59" t="n">
        <v>0</v>
      </c>
      <c r="M96" s="59" t="n">
        <v>0</v>
      </c>
      <c r="N96" s="59" t="n">
        <v>399.1</v>
      </c>
      <c r="O96" s="59" t="n">
        <v>399.3</v>
      </c>
      <c r="P96" s="59" t="n">
        <v>399.6</v>
      </c>
      <c r="Q96" s="59" t="n">
        <v>399.8</v>
      </c>
      <c r="R96" s="59" t="n">
        <v>798.9</v>
      </c>
      <c r="S96" s="59" t="n">
        <v>1800</v>
      </c>
      <c r="T96" s="59" t="n">
        <v>1820.3</v>
      </c>
      <c r="U96" s="59" t="n">
        <v>1784.4</v>
      </c>
      <c r="V96" s="59" t="n">
        <v>1005.8</v>
      </c>
      <c r="W96" s="59" t="n">
        <v>0</v>
      </c>
      <c r="X96" s="59" t="n">
        <v>0</v>
      </c>
      <c r="Y96" s="59" t="n">
        <v>998.8</v>
      </c>
      <c r="Z96" s="57" t="n">
        <v>999.185</v>
      </c>
      <c r="AA96" s="57" t="n">
        <v>2483.758</v>
      </c>
      <c r="AB96" s="132" t="n">
        <v>999.185</v>
      </c>
      <c r="AC96" s="132" t="n">
        <v>999.185</v>
      </c>
      <c r="AI96" s="59" t="n">
        <v>499.8</v>
      </c>
      <c r="AJ96" s="59" t="n">
        <v>699.8</v>
      </c>
      <c r="AK96" s="59" t="n">
        <v>0</v>
      </c>
      <c r="AL96" s="59" t="n">
        <v>399.8</v>
      </c>
      <c r="AM96" s="59" t="n">
        <v>1784.4</v>
      </c>
      <c r="AN96" s="59" t="n">
        <v>998.8</v>
      </c>
      <c r="DI96" s="37"/>
      <c r="XEX96" s="37"/>
      <c r="XEY96" s="37"/>
      <c r="XEZ96" s="37"/>
      <c r="XFA96" s="37"/>
      <c r="XFB96" s="37"/>
      <c r="XFC96" s="37"/>
    </row>
    <row r="97" s="57" customFormat="true" ht="12.8" hidden="false" customHeight="true" outlineLevel="0" collapsed="false">
      <c r="A97" s="59" t="s">
        <v>152</v>
      </c>
      <c r="B97" s="59" t="n">
        <f aca="false">++14170.6</f>
        <v>14170.6</v>
      </c>
      <c r="C97" s="59" t="n">
        <f aca="false">++15294.9</f>
        <v>15294.9</v>
      </c>
      <c r="D97" s="59" t="n">
        <f aca="false">++15547.6</f>
        <v>15547.6</v>
      </c>
      <c r="E97" s="59" t="n">
        <f aca="false">++15809</f>
        <v>15809</v>
      </c>
      <c r="F97" s="59" t="n">
        <f aca="false">++14860.5</f>
        <v>14860.5</v>
      </c>
      <c r="G97" s="59" t="n">
        <f aca="false">+14926.8</f>
        <v>14926.8</v>
      </c>
      <c r="H97" s="59" t="n">
        <f aca="false">++14793.6</f>
        <v>14793.6</v>
      </c>
      <c r="I97" s="59" t="n">
        <f aca="false">++14693</f>
        <v>14693</v>
      </c>
      <c r="J97" s="59" t="n">
        <f aca="false">0+14534.5</f>
        <v>14534.5</v>
      </c>
      <c r="K97" s="59" t="n">
        <f aca="false">0+14223.3</f>
        <v>14223.3</v>
      </c>
      <c r="L97" s="59" t="n">
        <f aca="false">0+13888.1</f>
        <v>13888.1</v>
      </c>
      <c r="M97" s="59" t="n">
        <f aca="false">0+14353</f>
        <v>14353</v>
      </c>
      <c r="N97" s="59" t="n">
        <f aca="false">+14037</f>
        <v>14037</v>
      </c>
      <c r="O97" s="59" t="n">
        <f aca="false">+14070.1</f>
        <v>14070.1</v>
      </c>
      <c r="P97" s="59" t="n">
        <f aca="false">+13900.7</f>
        <v>13900.7</v>
      </c>
      <c r="Q97" s="59" t="n">
        <f aca="false">+14143.4</f>
        <v>14143.4</v>
      </c>
      <c r="R97" s="59" t="n">
        <f aca="false">+13217</f>
        <v>13217</v>
      </c>
      <c r="S97" s="59" t="n">
        <f aca="false">+12180</f>
        <v>12180</v>
      </c>
      <c r="T97" s="59" t="n">
        <f aca="false">+14160.9</f>
        <v>14160.9</v>
      </c>
      <c r="U97" s="59" t="n">
        <v>13798.3</v>
      </c>
      <c r="V97" s="59" t="n">
        <f aca="false">+14011</f>
        <v>14011</v>
      </c>
      <c r="W97" s="59" t="n">
        <f aca="false">0+14453.2</f>
        <v>14453.2</v>
      </c>
      <c r="X97" s="59" t="n">
        <f aca="false">0+14463</f>
        <v>14463</v>
      </c>
      <c r="Y97" s="59" t="n">
        <f aca="false">+13463.9</f>
        <v>13463.9</v>
      </c>
      <c r="Z97" s="57" t="n">
        <f aca="false">+13361.331</f>
        <v>13361.331</v>
      </c>
      <c r="AA97" s="57" t="n">
        <v>11825.548</v>
      </c>
      <c r="AB97" s="132" t="n">
        <f aca="false">+13361.331</f>
        <v>13361.331</v>
      </c>
      <c r="AC97" s="132" t="n">
        <f aca="false">+13361.331</f>
        <v>13361.331</v>
      </c>
      <c r="AI97" s="59" t="n">
        <f aca="false">+15809</f>
        <v>15809</v>
      </c>
      <c r="AJ97" s="59" t="n">
        <f aca="false">+14693</f>
        <v>14693</v>
      </c>
      <c r="AK97" s="59" t="n">
        <f aca="false">14353</f>
        <v>14353</v>
      </c>
      <c r="AL97" s="59" t="n">
        <f aca="false">+14143.4</f>
        <v>14143.4</v>
      </c>
      <c r="AM97" s="59" t="n">
        <f aca="false">+13798.3</f>
        <v>13798.3</v>
      </c>
      <c r="AN97" s="59" t="n">
        <f aca="false">+13463.9</f>
        <v>13463.9</v>
      </c>
      <c r="DI97" s="37"/>
      <c r="XEX97" s="37"/>
      <c r="XEY97" s="37"/>
      <c r="XEZ97" s="37"/>
      <c r="XFA97" s="37"/>
      <c r="XFB97" s="37"/>
      <c r="XFC97" s="37"/>
    </row>
    <row r="98" s="57" customFormat="true" ht="12.8" hidden="false" customHeight="true" outlineLevel="0" collapsed="false">
      <c r="A98" s="59" t="s">
        <v>153</v>
      </c>
      <c r="B98" s="59" t="n">
        <v>3206</v>
      </c>
      <c r="C98" s="59" t="n">
        <v>3208.1</v>
      </c>
      <c r="D98" s="59" t="n">
        <v>2926.5</v>
      </c>
      <c r="E98" s="59" t="n">
        <v>2618</v>
      </c>
      <c r="F98" s="59" t="n">
        <v>2465.6</v>
      </c>
      <c r="G98" s="59" t="n">
        <v>2265.2</v>
      </c>
      <c r="H98" s="59" t="n">
        <v>2301</v>
      </c>
      <c r="I98" s="59" t="n">
        <v>3094.2</v>
      </c>
      <c r="J98" s="59" t="n">
        <v>2945.2</v>
      </c>
      <c r="K98" s="59" t="n">
        <v>2989.9</v>
      </c>
      <c r="L98" s="59" t="n">
        <v>2955.3</v>
      </c>
      <c r="M98" s="59" t="n">
        <v>3081.2</v>
      </c>
      <c r="N98" s="59" t="n">
        <v>2908</v>
      </c>
      <c r="O98" s="59" t="n">
        <v>2849.3</v>
      </c>
      <c r="P98" s="59" t="n">
        <v>2668.4</v>
      </c>
      <c r="Q98" s="59" t="n">
        <v>2578.1</v>
      </c>
      <c r="R98" s="59" t="n">
        <v>2370.6</v>
      </c>
      <c r="S98" s="59" t="n">
        <v>2028.7</v>
      </c>
      <c r="T98" s="59" t="n">
        <v>1918.08</v>
      </c>
      <c r="U98" s="59" t="n">
        <v>1780.8</v>
      </c>
      <c r="V98" s="59" t="n">
        <v>1696.6</v>
      </c>
      <c r="W98" s="59" t="n">
        <v>1606.4</v>
      </c>
      <c r="X98" s="59" t="n">
        <v>1591.9</v>
      </c>
      <c r="Y98" s="59" t="n">
        <v>1579.4</v>
      </c>
      <c r="Z98" s="57" t="n">
        <v>1626.498</v>
      </c>
      <c r="AA98" s="57" t="n">
        <v>1625.6</v>
      </c>
      <c r="AI98" s="59" t="n">
        <v>2618</v>
      </c>
      <c r="AJ98" s="59" t="n">
        <v>3094.2</v>
      </c>
      <c r="AK98" s="59" t="n">
        <v>3081.2</v>
      </c>
      <c r="AL98" s="59" t="n">
        <v>2578.1</v>
      </c>
      <c r="AM98" s="59" t="n">
        <v>1780.8</v>
      </c>
      <c r="AN98" s="59" t="n">
        <v>1579.4</v>
      </c>
      <c r="DI98" s="37"/>
      <c r="XEX98" s="37"/>
      <c r="XEY98" s="37"/>
      <c r="XEZ98" s="37"/>
      <c r="XFA98" s="37"/>
      <c r="XFB98" s="37"/>
      <c r="XFC98" s="37"/>
    </row>
    <row r="99" s="133" customFormat="true" ht="12.8" hidden="false" customHeight="true" outlineLevel="0" collapsed="false">
      <c r="A99" s="59" t="s">
        <v>154</v>
      </c>
      <c r="B99" s="59" t="n">
        <v>1420.1</v>
      </c>
      <c r="C99" s="59" t="n">
        <v>1710.9</v>
      </c>
      <c r="D99" s="59" t="n">
        <v>1875.2</v>
      </c>
      <c r="E99" s="59" t="n">
        <v>1982</v>
      </c>
      <c r="F99" s="59" t="n">
        <v>1950.9</v>
      </c>
      <c r="G99" s="59" t="n">
        <v>2082</v>
      </c>
      <c r="H99" s="59" t="n">
        <v>2281.2</v>
      </c>
      <c r="I99" s="59" t="n">
        <v>2459.1</v>
      </c>
      <c r="J99" s="59" t="n">
        <v>2567.4</v>
      </c>
      <c r="K99" s="59" t="n">
        <v>2551.6</v>
      </c>
      <c r="L99" s="59" t="n">
        <v>2424.6</v>
      </c>
      <c r="M99" s="59" t="n">
        <v>2452</v>
      </c>
      <c r="N99" s="59" t="n">
        <v>2400</v>
      </c>
      <c r="O99" s="59" t="n">
        <v>2389.9</v>
      </c>
      <c r="P99" s="59" t="n">
        <v>2486.2</v>
      </c>
      <c r="Q99" s="59" t="n">
        <v>2561.4</v>
      </c>
      <c r="R99" s="59" t="n">
        <v>2585.3</v>
      </c>
      <c r="S99" s="59" t="n">
        <v>2637.3</v>
      </c>
      <c r="T99" s="59" t="n">
        <v>2774.9</v>
      </c>
      <c r="U99" s="59" t="n">
        <v>2552.2</v>
      </c>
      <c r="V99" s="59" t="n">
        <v>2633.3</v>
      </c>
      <c r="W99" s="59" t="n">
        <v>3145.8</v>
      </c>
      <c r="X99" s="59" t="n">
        <v>3193.9</v>
      </c>
      <c r="Y99" s="59" t="n">
        <v>2957.1</v>
      </c>
      <c r="Z99" s="57" t="n">
        <v>2770.108</v>
      </c>
      <c r="AA99" s="57" t="n">
        <v>2712.343</v>
      </c>
      <c r="AB99" s="57"/>
      <c r="AC99" s="57"/>
      <c r="AD99" s="57"/>
      <c r="AE99" s="57"/>
      <c r="AF99" s="57"/>
      <c r="AG99" s="57"/>
      <c r="AH99" s="57"/>
      <c r="AI99" s="59" t="n">
        <v>1982</v>
      </c>
      <c r="AJ99" s="59" t="n">
        <v>2459.1</v>
      </c>
      <c r="AK99" s="59" t="n">
        <v>2452</v>
      </c>
      <c r="AL99" s="59" t="n">
        <v>2561.4</v>
      </c>
      <c r="AM99" s="59" t="n">
        <v>2552.2</v>
      </c>
      <c r="AN99" s="59" t="n">
        <v>2957.1</v>
      </c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/>
      <c r="BR99" s="57"/>
      <c r="BS99" s="57"/>
      <c r="BT99" s="57"/>
      <c r="BU99" s="57"/>
      <c r="BV99" s="57"/>
      <c r="BW99" s="57"/>
      <c r="BX99" s="57"/>
      <c r="BY99" s="57"/>
      <c r="BZ99" s="57"/>
      <c r="CA99" s="57"/>
      <c r="CB99" s="57"/>
      <c r="CC99" s="57"/>
      <c r="CD99" s="57"/>
      <c r="CE99" s="57"/>
      <c r="CF99" s="57"/>
      <c r="CG99" s="57"/>
      <c r="CH99" s="57"/>
      <c r="CI99" s="57"/>
      <c r="CJ99" s="57"/>
      <c r="CK99" s="57"/>
      <c r="CL99" s="57"/>
      <c r="CM99" s="57"/>
      <c r="CN99" s="57"/>
      <c r="CO99" s="57"/>
      <c r="CP99" s="57"/>
      <c r="CQ99" s="57"/>
      <c r="CR99" s="57"/>
      <c r="CS99" s="57"/>
      <c r="CT99" s="57"/>
      <c r="CU99" s="57"/>
      <c r="CV99" s="57"/>
      <c r="CW99" s="57"/>
      <c r="CX99" s="57"/>
      <c r="CY99" s="57"/>
      <c r="CZ99" s="57"/>
      <c r="DA99" s="57"/>
      <c r="DB99" s="57"/>
      <c r="DC99" s="57"/>
      <c r="DD99" s="57"/>
      <c r="DE99" s="57"/>
      <c r="DF99" s="57"/>
      <c r="DG99" s="57"/>
      <c r="DH99" s="57"/>
      <c r="DI99" s="37"/>
      <c r="XEX99" s="37"/>
      <c r="XEY99" s="37"/>
      <c r="XEZ99" s="37"/>
      <c r="XFA99" s="37"/>
      <c r="XFB99" s="37"/>
      <c r="XFC99" s="37"/>
    </row>
    <row r="100" customFormat="false" ht="12.8" hidden="false" customHeight="true" outlineLevel="0" collapsed="false">
      <c r="A100" s="59" t="s">
        <v>155</v>
      </c>
      <c r="B100" s="59" t="n">
        <f aca="false">SUM(B89:B99)</f>
        <v>26651.2805950482</v>
      </c>
      <c r="C100" s="59" t="n">
        <f aca="false">SUM(C89:C99)</f>
        <v>27841.0865619206</v>
      </c>
      <c r="D100" s="59" t="n">
        <f aca="false">SUM(D89:D99)</f>
        <v>28289.9719901796</v>
      </c>
      <c r="E100" s="59" t="n">
        <f aca="false">SUM(E89:E99)</f>
        <v>28215.4007675637</v>
      </c>
      <c r="F100" s="59" t="n">
        <f aca="false">SUM(F89:F99)</f>
        <v>27239.4395102747</v>
      </c>
      <c r="G100" s="59" t="n">
        <f aca="false">SUM(G89:G99)</f>
        <v>27107.4867880351</v>
      </c>
      <c r="H100" s="59" t="n">
        <f aca="false">SUM(H89:H99)</f>
        <v>27425.2961969158</v>
      </c>
      <c r="I100" s="59" t="n">
        <f aca="false">SUM(I89:I99)</f>
        <v>28735.9017031378</v>
      </c>
      <c r="J100" s="59" t="n">
        <f aca="false">SUM(J89:J99)</f>
        <v>27787.5052582076</v>
      </c>
      <c r="K100" s="59" t="n">
        <f aca="false">SUM(K89:K99)</f>
        <v>27265.537749059</v>
      </c>
      <c r="L100" s="59" t="n">
        <f aca="false">SUM(L89:L99)</f>
        <v>27034.6092239748</v>
      </c>
      <c r="M100" s="59" t="n">
        <f aca="false">SUM(M89:M99)</f>
        <v>27817.9245160469</v>
      </c>
      <c r="N100" s="59" t="n">
        <f aca="false">SUM(N89:N99)</f>
        <v>27661.5974698279</v>
      </c>
      <c r="O100" s="59" t="n">
        <f aca="false">SUM(O89:O99)</f>
        <v>27985.8357518016</v>
      </c>
      <c r="P100" s="59" t="n">
        <f aca="false">SUM(P89:P99)</f>
        <v>27394.666834465</v>
      </c>
      <c r="Q100" s="59" t="n">
        <f aca="false">SUM(Q89:Q99)</f>
        <v>28144.1733242754</v>
      </c>
      <c r="R100" s="59" t="n">
        <f aca="false">SUM(R89:R99)</f>
        <v>27462.441280683</v>
      </c>
      <c r="S100" s="59" t="n">
        <f aca="false">SUM(S89:S99)</f>
        <v>26989.1101056596</v>
      </c>
      <c r="T100" s="59" t="n">
        <f aca="false">SUM(T89:T99)</f>
        <v>29561.519230456</v>
      </c>
      <c r="U100" s="59" t="n">
        <f aca="false">SUM(U89:U99)</f>
        <v>28887.2876354055</v>
      </c>
      <c r="V100" s="59" t="n">
        <f aca="false">SUM(V89:V99)</f>
        <v>28059.9681020582</v>
      </c>
      <c r="W100" s="59" t="n">
        <f aca="false">SUM(W89:W99)</f>
        <v>28148.2500135391</v>
      </c>
      <c r="X100" s="59" t="n">
        <f aca="false">SUM(X89:X99)</f>
        <v>28981.2765855778</v>
      </c>
      <c r="Y100" s="59" t="n">
        <f aca="false">SUM(Y89:Y99)</f>
        <v>28981.8535910777</v>
      </c>
      <c r="Z100" s="59" t="n">
        <f aca="false">SUM(Z89:Z99)</f>
        <v>29890.3507481704</v>
      </c>
      <c r="AA100" s="59" t="n">
        <f aca="false">SUM(AA89:AA99)</f>
        <v>28299.0925535526</v>
      </c>
      <c r="AB100" s="59" t="n">
        <f aca="false">SUM(AB89:AB99)</f>
        <v>14360.516</v>
      </c>
      <c r="AC100" s="59" t="n">
        <f aca="false">SUM(AC89:AC99)</f>
        <v>14360.516</v>
      </c>
      <c r="AD100" s="57"/>
      <c r="AE100" s="57"/>
      <c r="AF100" s="57"/>
      <c r="AG100" s="57"/>
      <c r="AH100" s="57"/>
      <c r="AI100" s="59" t="n">
        <f aca="false">SUM(AI89:AI99)</f>
        <v>28214.6660219676</v>
      </c>
      <c r="AJ100" s="59" t="n">
        <f aca="false">SUM(AJ89:AJ99)</f>
        <v>28735.2340742311</v>
      </c>
      <c r="AK100" s="59" t="n">
        <f aca="false">SUM(AK89:AK99)</f>
        <v>27817.2296116942</v>
      </c>
      <c r="AL100" s="59" t="n">
        <f aca="false">SUM(AL89:AL99)</f>
        <v>28143.5287202227</v>
      </c>
      <c r="AM100" s="59" t="n">
        <f aca="false">SUM(AM89:AM99)</f>
        <v>28886.7069408689</v>
      </c>
      <c r="AN100" s="59" t="n">
        <f aca="false">SUM(AN89:AN99)</f>
        <v>28981.3009906447</v>
      </c>
      <c r="AO100" s="59"/>
      <c r="AP100" s="59"/>
      <c r="AQ100" s="59"/>
      <c r="AR100" s="59"/>
      <c r="AS100" s="59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/>
      <c r="BR100" s="57"/>
      <c r="BS100" s="57"/>
      <c r="BT100" s="57"/>
      <c r="BU100" s="57"/>
      <c r="BV100" s="57"/>
      <c r="BW100" s="57"/>
      <c r="BX100" s="57"/>
      <c r="BY100" s="57"/>
      <c r="BZ100" s="57"/>
      <c r="CA100" s="57"/>
      <c r="CB100" s="57"/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  <c r="CM100" s="57"/>
      <c r="CN100" s="57"/>
      <c r="CO100" s="57"/>
      <c r="CP100" s="57"/>
      <c r="CQ100" s="57"/>
      <c r="CR100" s="57"/>
      <c r="CS100" s="57"/>
      <c r="CT100" s="57"/>
      <c r="CU100" s="57"/>
      <c r="CV100" s="57"/>
      <c r="CW100" s="57"/>
      <c r="CX100" s="57"/>
      <c r="CY100" s="57"/>
      <c r="CZ100" s="57"/>
      <c r="DA100" s="57"/>
      <c r="DB100" s="57"/>
      <c r="DC100" s="57"/>
      <c r="DD100" s="57"/>
      <c r="DE100" s="57"/>
      <c r="DF100" s="57"/>
      <c r="DG100" s="57"/>
      <c r="DH100" s="57"/>
    </row>
    <row r="101" customFormat="false" ht="12.8" hidden="false" customHeight="true" outlineLevel="0" collapsed="false">
      <c r="A101" s="59" t="s">
        <v>156</v>
      </c>
      <c r="B101" s="59" t="n">
        <v>2935.5</v>
      </c>
      <c r="C101" s="59" t="n">
        <v>3127.8</v>
      </c>
      <c r="D101" s="59" t="n">
        <v>3303.4</v>
      </c>
      <c r="E101" s="59" t="n">
        <v>3447.6</v>
      </c>
      <c r="F101" s="59" t="n">
        <v>3600</v>
      </c>
      <c r="G101" s="59" t="n">
        <v>3721.2</v>
      </c>
      <c r="H101" s="59" t="n">
        <v>3852.5</v>
      </c>
      <c r="I101" s="59" t="n">
        <v>4024.5</v>
      </c>
      <c r="J101" s="59" t="n">
        <v>4155.5</v>
      </c>
      <c r="K101" s="59" t="n">
        <v>4316.8</v>
      </c>
      <c r="L101" s="59" t="n">
        <v>4473.9</v>
      </c>
      <c r="M101" s="59" t="n">
        <v>4637.6</v>
      </c>
      <c r="N101" s="59" t="n">
        <v>4762.3</v>
      </c>
      <c r="O101" s="59" t="n">
        <v>4874.2</v>
      </c>
      <c r="P101" s="59" t="n">
        <v>5011.427</v>
      </c>
      <c r="Q101" s="59" t="n">
        <v>5145.1</v>
      </c>
      <c r="R101" s="59" t="n">
        <v>5489.8</v>
      </c>
      <c r="S101" s="59" t="n">
        <v>5680</v>
      </c>
      <c r="T101" s="59" t="n">
        <v>5887.9</v>
      </c>
      <c r="U101" s="59" t="n">
        <v>6252.1</v>
      </c>
      <c r="V101" s="59" t="n">
        <v>6677.4</v>
      </c>
      <c r="W101" s="59" t="n">
        <v>6932.8</v>
      </c>
      <c r="X101" s="59" t="n">
        <v>7080</v>
      </c>
      <c r="Y101" s="59" t="n">
        <v>7286.4</v>
      </c>
      <c r="Z101" s="57" t="n">
        <v>7478.495</v>
      </c>
      <c r="AA101" s="57" t="n">
        <v>7670.503</v>
      </c>
      <c r="AB101" s="57"/>
      <c r="AC101" s="57"/>
      <c r="AD101" s="57"/>
      <c r="AE101" s="57"/>
      <c r="AF101" s="57"/>
      <c r="AG101" s="57"/>
      <c r="AH101" s="57"/>
      <c r="AI101" s="59" t="n">
        <v>3447.6</v>
      </c>
      <c r="AJ101" s="59" t="n">
        <v>4024.5</v>
      </c>
      <c r="AK101" s="59" t="n">
        <v>4637.6</v>
      </c>
      <c r="AL101" s="59" t="n">
        <v>5145.1</v>
      </c>
      <c r="AM101" s="59" t="n">
        <v>6252.1</v>
      </c>
      <c r="AN101" s="59" t="n">
        <v>7286.4</v>
      </c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  <c r="BS101" s="57"/>
      <c r="BT101" s="57"/>
      <c r="BU101" s="57"/>
      <c r="BV101" s="57"/>
      <c r="BW101" s="57"/>
      <c r="BX101" s="57"/>
      <c r="BY101" s="57"/>
      <c r="BZ101" s="57"/>
      <c r="CA101" s="57"/>
      <c r="CB101" s="57"/>
      <c r="CC101" s="57"/>
      <c r="CD101" s="57"/>
      <c r="CE101" s="57"/>
      <c r="CF101" s="57"/>
      <c r="CG101" s="57"/>
      <c r="CH101" s="57"/>
      <c r="CI101" s="57"/>
      <c r="CJ101" s="57"/>
      <c r="CK101" s="57"/>
      <c r="CL101" s="57"/>
      <c r="CM101" s="57"/>
      <c r="CN101" s="57"/>
      <c r="CO101" s="57"/>
      <c r="CP101" s="57"/>
      <c r="CQ101" s="57"/>
      <c r="CR101" s="57"/>
      <c r="CS101" s="57"/>
      <c r="CT101" s="57"/>
      <c r="CU101" s="57"/>
      <c r="CV101" s="57"/>
      <c r="CW101" s="57"/>
      <c r="CX101" s="57"/>
      <c r="CY101" s="57"/>
      <c r="CZ101" s="57"/>
      <c r="DA101" s="57"/>
      <c r="DB101" s="57"/>
      <c r="DC101" s="57"/>
      <c r="DD101" s="57"/>
      <c r="DE101" s="57"/>
      <c r="DF101" s="57"/>
      <c r="DG101" s="57"/>
      <c r="DH101" s="57"/>
    </row>
    <row r="102" s="68" customFormat="true" ht="12.8" hidden="false" customHeight="true" outlineLevel="0" collapsed="false">
      <c r="A102" s="59" t="s">
        <v>157</v>
      </c>
      <c r="B102" s="59" t="n">
        <v>0</v>
      </c>
      <c r="C102" s="59" t="n">
        <v>0</v>
      </c>
      <c r="D102" s="59" t="n">
        <v>0</v>
      </c>
      <c r="E102" s="59" t="n">
        <v>0</v>
      </c>
      <c r="F102" s="59" t="n">
        <v>0</v>
      </c>
      <c r="G102" s="59" t="n">
        <v>-500</v>
      </c>
      <c r="H102" s="59" t="n">
        <v>-600</v>
      </c>
      <c r="I102" s="59" t="n">
        <v>-824.1</v>
      </c>
      <c r="J102" s="59" t="n">
        <v>-824.1</v>
      </c>
      <c r="K102" s="59" t="n">
        <v>-824.1</v>
      </c>
      <c r="L102" s="59" t="n">
        <v>-824.1</v>
      </c>
      <c r="M102" s="59" t="n">
        <v>-824.1</v>
      </c>
      <c r="N102" s="59" t="n">
        <v>-1228.9</v>
      </c>
      <c r="O102" s="59" t="n">
        <v>-1876.7</v>
      </c>
      <c r="P102" s="59" t="n">
        <v>-4399.6</v>
      </c>
      <c r="Q102" s="59" t="n">
        <v>-6922.2</v>
      </c>
      <c r="R102" s="59" t="n">
        <v>-8934</v>
      </c>
      <c r="S102" s="59" t="n">
        <v>-10547</v>
      </c>
      <c r="T102" s="59" t="n">
        <v>-12254.85</v>
      </c>
      <c r="U102" s="59" t="n">
        <v>-13171.6</v>
      </c>
      <c r="V102" s="59" t="n">
        <v>-16754.9</v>
      </c>
      <c r="W102" s="59" t="n">
        <v>-18392.9</v>
      </c>
      <c r="X102" s="59" t="n">
        <v>-20270.6</v>
      </c>
      <c r="Y102" s="59" t="n">
        <v>-22372.6</v>
      </c>
      <c r="Z102" s="57" t="n">
        <v>-23681.974</v>
      </c>
      <c r="AA102" s="57" t="n">
        <v>-28387.657</v>
      </c>
      <c r="AB102" s="57"/>
      <c r="AC102" s="57"/>
      <c r="AD102" s="57"/>
      <c r="AE102" s="57"/>
      <c r="AF102" s="57"/>
      <c r="AG102" s="57"/>
      <c r="AH102" s="57"/>
      <c r="AI102" s="59" t="n">
        <v>0</v>
      </c>
      <c r="AJ102" s="59" t="n">
        <v>-824.1</v>
      </c>
      <c r="AK102" s="59" t="n">
        <v>-824.1</v>
      </c>
      <c r="AL102" s="59" t="n">
        <v>-6922.2</v>
      </c>
      <c r="AM102" s="59" t="n">
        <v>-13171.6</v>
      </c>
      <c r="AN102" s="59" t="n">
        <v>-22372.6</v>
      </c>
      <c r="AO102" s="57"/>
      <c r="AP102" s="57"/>
      <c r="AQ102" s="57"/>
      <c r="AR102" s="57"/>
      <c r="AS102" s="57"/>
      <c r="AT102" s="6"/>
      <c r="AU102" s="57"/>
      <c r="AV102" s="57"/>
      <c r="AW102" s="6"/>
      <c r="AX102" s="6"/>
      <c r="AY102" s="57"/>
      <c r="AZ102" s="57"/>
      <c r="BA102" s="57"/>
      <c r="BB102" s="57"/>
      <c r="BC102" s="57"/>
      <c r="BD102" s="57"/>
      <c r="BE102" s="57"/>
      <c r="BF102" s="57"/>
      <c r="BG102" s="57"/>
      <c r="BH102" s="57"/>
      <c r="BI102" s="57"/>
      <c r="BJ102" s="57"/>
      <c r="BK102" s="57"/>
      <c r="BL102" s="57"/>
      <c r="BM102" s="57"/>
      <c r="BN102" s="57"/>
      <c r="BO102" s="57"/>
      <c r="BP102" s="57"/>
      <c r="BQ102" s="57"/>
      <c r="BR102" s="57"/>
      <c r="BS102" s="57"/>
      <c r="BT102" s="57"/>
      <c r="BU102" s="57"/>
      <c r="BV102" s="57"/>
      <c r="BW102" s="57"/>
      <c r="BX102" s="57"/>
      <c r="BY102" s="57"/>
      <c r="BZ102" s="57"/>
      <c r="CA102" s="57"/>
      <c r="CB102" s="57"/>
      <c r="CC102" s="57"/>
      <c r="CD102" s="57"/>
      <c r="CE102" s="57"/>
      <c r="CF102" s="57"/>
      <c r="CG102" s="57"/>
      <c r="CH102" s="57"/>
      <c r="CI102" s="57"/>
      <c r="CJ102" s="57"/>
      <c r="CK102" s="57"/>
      <c r="CL102" s="57"/>
      <c r="CM102" s="57"/>
      <c r="CN102" s="57"/>
      <c r="CO102" s="57"/>
      <c r="CP102" s="57"/>
      <c r="CQ102" s="57"/>
      <c r="CR102" s="57"/>
      <c r="CS102" s="57"/>
      <c r="CT102" s="57"/>
      <c r="CU102" s="57"/>
      <c r="CV102" s="57"/>
      <c r="CW102" s="57"/>
      <c r="CX102" s="57"/>
      <c r="CY102" s="57"/>
      <c r="CZ102" s="57"/>
      <c r="DA102" s="57"/>
      <c r="DB102" s="57"/>
      <c r="DC102" s="57"/>
      <c r="DD102" s="57"/>
      <c r="DE102" s="57"/>
      <c r="DF102" s="57"/>
      <c r="DG102" s="57"/>
      <c r="DH102" s="57"/>
      <c r="DI102" s="37"/>
      <c r="XEX102" s="37"/>
      <c r="XEY102" s="37"/>
      <c r="XEZ102" s="37"/>
      <c r="XFA102" s="37"/>
      <c r="XFB102" s="37"/>
      <c r="XFC102" s="37"/>
    </row>
    <row r="103" s="57" customFormat="true" ht="12.8" hidden="false" customHeight="true" outlineLevel="0" collapsed="false">
      <c r="A103" s="59" t="s">
        <v>158</v>
      </c>
      <c r="B103" s="59" t="n">
        <v>-47</v>
      </c>
      <c r="C103" s="59" t="n">
        <v>-34</v>
      </c>
      <c r="D103" s="59" t="n">
        <v>-1147</v>
      </c>
      <c r="E103" s="59" t="n">
        <v>44.3</v>
      </c>
      <c r="F103" s="59" t="n">
        <v>4</v>
      </c>
      <c r="G103" s="59" t="n">
        <v>9</v>
      </c>
      <c r="H103" s="59" t="n">
        <v>-19.8</v>
      </c>
      <c r="I103" s="59" t="n">
        <v>-40.4</v>
      </c>
      <c r="J103" s="59" t="n">
        <v>-74.1</v>
      </c>
      <c r="K103" s="59" t="n">
        <v>-144.4</v>
      </c>
      <c r="L103" s="59" t="n">
        <v>-247.6</v>
      </c>
      <c r="M103" s="59" t="n">
        <v>-217.3</v>
      </c>
      <c r="N103" s="59" t="n">
        <v>-191.6</v>
      </c>
      <c r="O103" s="59" t="n">
        <v>-139.2</v>
      </c>
      <c r="P103" s="59" t="n">
        <v>-155.5</v>
      </c>
      <c r="Q103" s="59" t="n">
        <v>-223.9</v>
      </c>
      <c r="R103" s="59" t="n">
        <v>-111.8</v>
      </c>
      <c r="S103" s="59" t="n">
        <v>-89.1</v>
      </c>
      <c r="T103" s="59" t="n">
        <v>-344.6</v>
      </c>
      <c r="U103" s="59" t="n">
        <v>362.1</v>
      </c>
      <c r="V103" s="59" t="n">
        <v>-85.7</v>
      </c>
      <c r="W103" s="59" t="n">
        <v>-904.6</v>
      </c>
      <c r="X103" s="59" t="n">
        <v>-719.2</v>
      </c>
      <c r="Y103" s="59" t="n">
        <v>-580.3</v>
      </c>
      <c r="Z103" s="57" t="n">
        <v>-235.031</v>
      </c>
      <c r="AA103" s="57" t="n">
        <v>-97.117</v>
      </c>
      <c r="AI103" s="59" t="n">
        <v>44.3</v>
      </c>
      <c r="AJ103" s="59" t="n">
        <v>-40.4</v>
      </c>
      <c r="AK103" s="59" t="n">
        <v>-217.3</v>
      </c>
      <c r="AL103" s="59" t="n">
        <v>-223.9</v>
      </c>
      <c r="AM103" s="59" t="n">
        <v>362.1</v>
      </c>
      <c r="AN103" s="59" t="n">
        <v>-580.3</v>
      </c>
      <c r="AT103" s="22"/>
      <c r="AU103" s="6"/>
      <c r="AV103" s="6"/>
      <c r="AW103" s="22"/>
      <c r="AX103" s="22"/>
      <c r="AY103" s="6"/>
      <c r="AZ103" s="6"/>
      <c r="BA103" s="6"/>
      <c r="BB103" s="6"/>
      <c r="BC103" s="6"/>
      <c r="BD103" s="6"/>
      <c r="BE103" s="6"/>
      <c r="BF103" s="77"/>
      <c r="BG103" s="77"/>
      <c r="BH103" s="77"/>
      <c r="BI103" s="77"/>
      <c r="BJ103" s="77"/>
      <c r="BK103" s="77"/>
      <c r="BL103" s="77"/>
      <c r="BM103" s="77"/>
      <c r="BN103" s="77"/>
      <c r="BO103" s="77"/>
      <c r="BP103" s="77"/>
      <c r="BQ103" s="77"/>
      <c r="BR103" s="77"/>
      <c r="BS103" s="77"/>
      <c r="BT103" s="77"/>
      <c r="BU103" s="77"/>
      <c r="BV103" s="77"/>
      <c r="BW103" s="77"/>
      <c r="BX103" s="77"/>
      <c r="BY103" s="77"/>
      <c r="BZ103" s="77"/>
      <c r="CA103" s="77"/>
      <c r="CB103" s="77"/>
      <c r="CC103" s="77"/>
      <c r="CD103" s="77"/>
      <c r="CE103" s="77"/>
      <c r="CF103" s="77"/>
      <c r="CG103" s="77"/>
      <c r="CH103" s="77"/>
      <c r="CI103" s="77"/>
      <c r="CJ103" s="77"/>
      <c r="CK103" s="77"/>
      <c r="CL103" s="77"/>
      <c r="CM103" s="77"/>
      <c r="CN103" s="77"/>
      <c r="CO103" s="77"/>
      <c r="CP103" s="77"/>
      <c r="CQ103" s="77"/>
      <c r="CR103" s="77"/>
      <c r="CS103" s="77"/>
      <c r="CT103" s="77"/>
      <c r="CU103" s="77"/>
      <c r="CV103" s="77"/>
      <c r="CW103" s="77"/>
      <c r="CX103" s="77"/>
      <c r="CY103" s="77"/>
      <c r="CZ103" s="77"/>
      <c r="DA103" s="77"/>
      <c r="DB103" s="77"/>
      <c r="DC103" s="77"/>
      <c r="DD103" s="77"/>
      <c r="DE103" s="77"/>
      <c r="DF103" s="77"/>
      <c r="DG103" s="77"/>
      <c r="DH103" s="77"/>
      <c r="DI103" s="37"/>
      <c r="XEX103" s="37"/>
      <c r="XEY103" s="37"/>
      <c r="XEZ103" s="37"/>
      <c r="XFA103" s="37"/>
      <c r="XFB103" s="37"/>
      <c r="XFC103" s="37"/>
    </row>
    <row r="104" s="57" customFormat="true" ht="12.8" hidden="false" customHeight="true" outlineLevel="0" collapsed="false">
      <c r="A104" s="59" t="s">
        <v>159</v>
      </c>
      <c r="B104" s="59" t="n">
        <v>5520.8</v>
      </c>
      <c r="C104" s="59" t="n">
        <v>6241</v>
      </c>
      <c r="D104" s="59" t="n">
        <v>7030.9</v>
      </c>
      <c r="E104" s="59" t="n">
        <v>7573.1</v>
      </c>
      <c r="F104" s="59" t="n">
        <v>9279.8</v>
      </c>
      <c r="G104" s="59" t="n">
        <v>10632.8</v>
      </c>
      <c r="H104" s="59" t="n">
        <v>12081.9</v>
      </c>
      <c r="I104" s="59" t="n">
        <v>12689.3</v>
      </c>
      <c r="J104" s="59" t="n">
        <v>14286.8</v>
      </c>
      <c r="K104" s="59" t="n">
        <v>15727.7</v>
      </c>
      <c r="L104" s="59" t="n">
        <v>17126</v>
      </c>
      <c r="M104" s="59" t="n">
        <v>17181.2</v>
      </c>
      <c r="N104" s="59" t="n">
        <v>18486.4</v>
      </c>
      <c r="O104" s="59" t="n">
        <v>19974</v>
      </c>
      <c r="P104" s="59" t="n">
        <v>21651.4</v>
      </c>
      <c r="Q104" s="59" t="n">
        <v>22589.2</v>
      </c>
      <c r="R104" s="59" t="n">
        <v>24921.4</v>
      </c>
      <c r="S104" s="59" t="n">
        <v>27068.8</v>
      </c>
      <c r="T104" s="59" t="n">
        <v>29432.3</v>
      </c>
      <c r="U104" s="59" t="n">
        <v>31300.9</v>
      </c>
      <c r="V104" s="59" t="n">
        <v>34191.2</v>
      </c>
      <c r="W104" s="59" t="n">
        <v>37316.6</v>
      </c>
      <c r="X104" s="59" t="n">
        <v>39863.59</v>
      </c>
      <c r="Y104" s="59" t="n">
        <v>42282.118</v>
      </c>
      <c r="Z104" s="57" t="n">
        <v>47564.909</v>
      </c>
      <c r="AA104" s="57" t="n">
        <v>50966.323</v>
      </c>
      <c r="AI104" s="59" t="n">
        <v>7573.1</v>
      </c>
      <c r="AJ104" s="59" t="n">
        <v>12689.3</v>
      </c>
      <c r="AK104" s="59" t="n">
        <v>17181.2</v>
      </c>
      <c r="AL104" s="59" t="n">
        <v>22589.2</v>
      </c>
      <c r="AM104" s="59" t="n">
        <v>31300.9</v>
      </c>
      <c r="AN104" s="59" t="n">
        <v>42282.118</v>
      </c>
      <c r="AU104" s="22"/>
      <c r="AV104" s="22"/>
      <c r="AY104" s="22"/>
      <c r="AZ104" s="22"/>
      <c r="BA104" s="22"/>
      <c r="BB104" s="22"/>
      <c r="BC104" s="22"/>
      <c r="BD104" s="22"/>
      <c r="BE104" s="22"/>
      <c r="BF104" s="77"/>
      <c r="BG104" s="77"/>
      <c r="BH104" s="77"/>
      <c r="BI104" s="77"/>
      <c r="BJ104" s="77"/>
      <c r="BK104" s="77"/>
      <c r="BL104" s="77"/>
      <c r="BM104" s="77"/>
      <c r="BN104" s="77"/>
      <c r="BO104" s="77"/>
      <c r="BP104" s="77"/>
      <c r="BQ104" s="77"/>
      <c r="BR104" s="77"/>
      <c r="BS104" s="77"/>
      <c r="BT104" s="77"/>
      <c r="BU104" s="77"/>
      <c r="BV104" s="77"/>
      <c r="BW104" s="77"/>
      <c r="BX104" s="77"/>
      <c r="BY104" s="77"/>
      <c r="BZ104" s="77"/>
      <c r="CA104" s="77"/>
      <c r="CB104" s="77"/>
      <c r="CC104" s="77"/>
      <c r="CD104" s="77"/>
      <c r="CE104" s="77"/>
      <c r="CF104" s="77"/>
      <c r="CG104" s="77"/>
      <c r="CH104" s="77"/>
      <c r="CI104" s="77"/>
      <c r="CJ104" s="77"/>
      <c r="CK104" s="77"/>
      <c r="CL104" s="77"/>
      <c r="CM104" s="77"/>
      <c r="CN104" s="77"/>
      <c r="CO104" s="77"/>
      <c r="CP104" s="77"/>
      <c r="CQ104" s="77"/>
      <c r="CR104" s="77"/>
      <c r="CS104" s="77"/>
      <c r="CT104" s="77"/>
      <c r="CU104" s="77"/>
      <c r="CV104" s="77"/>
      <c r="CW104" s="77"/>
      <c r="CX104" s="77"/>
      <c r="CY104" s="77"/>
      <c r="CZ104" s="77"/>
      <c r="DA104" s="77"/>
      <c r="DB104" s="77"/>
      <c r="DC104" s="77"/>
      <c r="DD104" s="77"/>
      <c r="DE104" s="77"/>
      <c r="DF104" s="77"/>
      <c r="DG104" s="77"/>
      <c r="DH104" s="77"/>
      <c r="DI104" s="37"/>
      <c r="XEX104" s="37"/>
      <c r="XEY104" s="37"/>
      <c r="XEZ104" s="37"/>
      <c r="XFA104" s="37"/>
      <c r="XFB104" s="37"/>
      <c r="XFC104" s="37"/>
    </row>
    <row r="105" s="57" customFormat="true" ht="12.8" hidden="false" customHeight="true" outlineLevel="0" collapsed="false">
      <c r="A105" s="59" t="s">
        <v>160</v>
      </c>
      <c r="B105" s="59" t="n">
        <f aca="false">SUM(B101:B104)</f>
        <v>8409.3</v>
      </c>
      <c r="C105" s="59" t="n">
        <f aca="false">SUM(C101:C104)</f>
        <v>9334.8</v>
      </c>
      <c r="D105" s="59" t="n">
        <f aca="false">SUM(D101:D104)</f>
        <v>9187.3</v>
      </c>
      <c r="E105" s="59" t="n">
        <f aca="false">SUM(E101:E104)</f>
        <v>11065</v>
      </c>
      <c r="F105" s="59" t="n">
        <f aca="false">SUM(F101:F104)</f>
        <v>12883.8</v>
      </c>
      <c r="G105" s="59" t="n">
        <f aca="false">SUM(G101:G104)</f>
        <v>13863</v>
      </c>
      <c r="H105" s="59" t="n">
        <f aca="false">SUM(H101:H104)</f>
        <v>15314.6</v>
      </c>
      <c r="I105" s="59" t="n">
        <f aca="false">SUM(I101:I104)</f>
        <v>15849.3</v>
      </c>
      <c r="J105" s="59" t="n">
        <f aca="false">SUM(J101:J104)</f>
        <v>17544.1</v>
      </c>
      <c r="K105" s="59" t="n">
        <f aca="false">SUM(K101:K104)</f>
        <v>19076</v>
      </c>
      <c r="L105" s="59" t="n">
        <f aca="false">SUM(L101:L104)</f>
        <v>20528.2</v>
      </c>
      <c r="M105" s="59" t="n">
        <f aca="false">SUM(M101:M104)</f>
        <v>20777.4</v>
      </c>
      <c r="N105" s="59" t="n">
        <f aca="false">SUM(N101:N104)</f>
        <v>21828.2</v>
      </c>
      <c r="O105" s="59" t="n">
        <f aca="false">SUM(O101:O104)</f>
        <v>22832.3</v>
      </c>
      <c r="P105" s="59" t="n">
        <f aca="false">SUM(P101:P104)</f>
        <v>22107.727</v>
      </c>
      <c r="Q105" s="59" t="n">
        <f aca="false">SUM(Q101:Q104)</f>
        <v>20588.2</v>
      </c>
      <c r="R105" s="59" t="n">
        <f aca="false">SUM(R101:R104)</f>
        <v>21365.4</v>
      </c>
      <c r="S105" s="59" t="n">
        <f aca="false">SUM(S101:S104)</f>
        <v>22112.7</v>
      </c>
      <c r="T105" s="59" t="n">
        <f aca="false">SUM(T101:T104)</f>
        <v>22720.75</v>
      </c>
      <c r="U105" s="59" t="n">
        <f aca="false">SUM(U101:U104)</f>
        <v>24743.5</v>
      </c>
      <c r="V105" s="59" t="n">
        <f aca="false">SUM(V101:V104)</f>
        <v>24028</v>
      </c>
      <c r="W105" s="59" t="n">
        <f aca="false">SUM(W101:W104)</f>
        <v>24951.9</v>
      </c>
      <c r="X105" s="59" t="n">
        <f aca="false">SUM(X101:X104)</f>
        <v>25953.79</v>
      </c>
      <c r="Y105" s="59" t="n">
        <f aca="false">SUM(Y101:Y104)</f>
        <v>26615.618</v>
      </c>
      <c r="Z105" s="59" t="n">
        <f aca="false">SUM(Z101:Z104)</f>
        <v>31126.399</v>
      </c>
      <c r="AA105" s="59" t="n">
        <f aca="false">SUM(AA101:AA104)</f>
        <v>30152.052</v>
      </c>
      <c r="AB105" s="59" t="n">
        <f aca="false">SUM(AB101:AB104)</f>
        <v>0</v>
      </c>
      <c r="AI105" s="59" t="n">
        <f aca="false">SUM(AI101:AI104)</f>
        <v>11065</v>
      </c>
      <c r="AJ105" s="59" t="n">
        <f aca="false">SUM(AJ101:AJ104)</f>
        <v>15849.3</v>
      </c>
      <c r="AK105" s="59" t="n">
        <f aca="false">SUM(AK101:AK104)</f>
        <v>20777.4</v>
      </c>
      <c r="AL105" s="59" t="n">
        <f aca="false">SUM(AL101:AL104)</f>
        <v>20588.2</v>
      </c>
      <c r="AM105" s="59" t="n">
        <f aca="false">SUM(AM101:AM104)</f>
        <v>24743.5</v>
      </c>
      <c r="AN105" s="59" t="n">
        <f aca="false">SUM(AN101:AN104)</f>
        <v>26615.618</v>
      </c>
      <c r="AO105" s="59"/>
      <c r="AP105" s="59"/>
      <c r="AQ105" s="59"/>
      <c r="AR105" s="59"/>
      <c r="AS105" s="59"/>
      <c r="DI105" s="37"/>
      <c r="XEX105" s="37"/>
      <c r="XEY105" s="37"/>
      <c r="XEZ105" s="37"/>
      <c r="XFA105" s="37"/>
      <c r="XFB105" s="37"/>
      <c r="XFC105" s="37"/>
    </row>
    <row r="106" s="57" customFormat="true" ht="12.8" hidden="false" customHeight="true" outlineLevel="0" collapsed="false">
      <c r="A106" s="59" t="s">
        <v>161</v>
      </c>
      <c r="B106" s="59" t="n">
        <f aca="false">B100+B105</f>
        <v>35060.5805950482</v>
      </c>
      <c r="C106" s="59" t="n">
        <f aca="false">C100+C105</f>
        <v>37175.8865619206</v>
      </c>
      <c r="D106" s="59" t="n">
        <f aca="false">D100+D105</f>
        <v>37477.2719901796</v>
      </c>
      <c r="E106" s="59" t="n">
        <f aca="false">E100+E105</f>
        <v>39280.4007675637</v>
      </c>
      <c r="F106" s="59" t="n">
        <f aca="false">F100+F105</f>
        <v>40123.2395102747</v>
      </c>
      <c r="G106" s="59" t="n">
        <f aca="false">G100+G105</f>
        <v>40970.4867880351</v>
      </c>
      <c r="H106" s="59" t="n">
        <f aca="false">H100+H105</f>
        <v>42739.8961969158</v>
      </c>
      <c r="I106" s="59" t="n">
        <f aca="false">I100+I105</f>
        <v>44585.2017031378</v>
      </c>
      <c r="J106" s="59" t="n">
        <f aca="false">J100+J105</f>
        <v>45331.6052582076</v>
      </c>
      <c r="K106" s="59" t="n">
        <f aca="false">K100+K105</f>
        <v>46341.537749059</v>
      </c>
      <c r="L106" s="59" t="n">
        <f aca="false">L100+L105</f>
        <v>47562.8092239748</v>
      </c>
      <c r="M106" s="59" t="n">
        <f aca="false">M100+M105</f>
        <v>48595.3245160469</v>
      </c>
      <c r="N106" s="59" t="n">
        <f aca="false">N100+N105</f>
        <v>49489.7974698279</v>
      </c>
      <c r="O106" s="59" t="n">
        <f aca="false">O100+O105</f>
        <v>50818.1357518016</v>
      </c>
      <c r="P106" s="59" t="n">
        <f aca="false">P100+P105</f>
        <v>49502.393834465</v>
      </c>
      <c r="Q106" s="59" t="n">
        <f aca="false">Q100+Q105</f>
        <v>48732.3733242754</v>
      </c>
      <c r="R106" s="59" t="n">
        <f aca="false">R100+R105</f>
        <v>48827.841280683</v>
      </c>
      <c r="S106" s="59" t="n">
        <f aca="false">S100+S105</f>
        <v>49101.8101056596</v>
      </c>
      <c r="T106" s="59" t="n">
        <f aca="false">T100+T105</f>
        <v>52282.269230456</v>
      </c>
      <c r="U106" s="59" t="n">
        <f aca="false">U100+U105</f>
        <v>53630.7876354055</v>
      </c>
      <c r="V106" s="59" t="n">
        <f aca="false">V100+V105</f>
        <v>52087.9681020582</v>
      </c>
      <c r="W106" s="59" t="n">
        <f aca="false">W105+W100</f>
        <v>53100.1500135391</v>
      </c>
      <c r="X106" s="59" t="n">
        <f aca="false">X105+X100</f>
        <v>54935.0665855778</v>
      </c>
      <c r="Y106" s="59" t="n">
        <f aca="false">Y100+Y105</f>
        <v>55597.4715910777</v>
      </c>
      <c r="Z106" s="59" t="n">
        <f aca="false">Z100+Z105</f>
        <v>61016.7497481704</v>
      </c>
      <c r="AA106" s="59" t="n">
        <f aca="false">AA100+AA105</f>
        <v>58451.1445535526</v>
      </c>
      <c r="AB106" s="59" t="n">
        <f aca="false">AB100+AB105</f>
        <v>14360.516</v>
      </c>
      <c r="AC106" s="59" t="n">
        <f aca="false">AC100+AC105</f>
        <v>14360.516</v>
      </c>
      <c r="AI106" s="59" t="n">
        <f aca="false">AI100+AI105</f>
        <v>39279.6660219676</v>
      </c>
      <c r="AJ106" s="59" t="n">
        <f aca="false">AJ100+AJ105</f>
        <v>44584.5340742311</v>
      </c>
      <c r="AK106" s="59" t="n">
        <f aca="false">AK100+AK105</f>
        <v>48594.6296116943</v>
      </c>
      <c r="AL106" s="59" t="n">
        <f aca="false">AL100+AL105</f>
        <v>48731.7287202227</v>
      </c>
      <c r="AM106" s="59" t="n">
        <f aca="false">AM100+AM105</f>
        <v>53630.2069408689</v>
      </c>
      <c r="AN106" s="59" t="n">
        <f aca="false">AN100+AN105</f>
        <v>55596.9189906447</v>
      </c>
      <c r="AO106" s="59"/>
      <c r="AP106" s="59"/>
      <c r="AQ106" s="59"/>
      <c r="AR106" s="59"/>
      <c r="AS106" s="59"/>
      <c r="DI106" s="37"/>
      <c r="XEX106" s="37"/>
      <c r="XEY106" s="37"/>
      <c r="XEZ106" s="37"/>
      <c r="XFA106" s="37"/>
      <c r="XFB106" s="37"/>
      <c r="XFC106" s="37"/>
    </row>
    <row r="107" s="57" customFormat="true" ht="12.8" hidden="false" customHeight="true" outlineLevel="0" collapsed="false">
      <c r="W107" s="59"/>
      <c r="X107" s="59"/>
      <c r="DI107" s="37"/>
      <c r="XEX107" s="37"/>
      <c r="XEY107" s="37"/>
      <c r="XEZ107" s="37"/>
      <c r="XFA107" s="37"/>
      <c r="XFB107" s="37"/>
      <c r="XFC107" s="37"/>
    </row>
    <row r="108" s="57" customFormat="true" ht="12.8" hidden="false" customHeight="true" outlineLevel="0" collapsed="false">
      <c r="A108" s="59" t="s">
        <v>162</v>
      </c>
      <c r="B108" s="134" t="s">
        <v>82</v>
      </c>
      <c r="C108" s="134" t="s">
        <v>82</v>
      </c>
      <c r="D108" s="134" t="s">
        <v>82</v>
      </c>
      <c r="E108" s="59" t="n">
        <v>19218.8</v>
      </c>
      <c r="F108" s="59" t="n">
        <v>20725.1</v>
      </c>
      <c r="G108" s="59" t="n">
        <v>21863.1</v>
      </c>
      <c r="H108" s="59" t="n">
        <v>22465</v>
      </c>
      <c r="I108" s="59" t="n">
        <v>23161.3</v>
      </c>
      <c r="J108" s="59" t="n">
        <v>22365.5</v>
      </c>
      <c r="K108" s="59" t="n">
        <v>22769.6</v>
      </c>
      <c r="L108" s="59" t="n">
        <v>21572</v>
      </c>
      <c r="M108" s="59" t="n">
        <v>21831.9</v>
      </c>
      <c r="N108" s="59" t="n">
        <v>21525.8</v>
      </c>
      <c r="O108" s="59" t="n">
        <v>20900.2</v>
      </c>
      <c r="P108" s="59" t="n">
        <v>19650</v>
      </c>
      <c r="Q108" s="59" t="n">
        <v>21713.3</v>
      </c>
      <c r="R108" s="59" t="n">
        <v>24195</v>
      </c>
      <c r="S108" s="59" t="n">
        <v>23309.6</v>
      </c>
      <c r="T108" s="59" t="n">
        <v>22698.8</v>
      </c>
      <c r="U108" s="59" t="n">
        <v>23248.9</v>
      </c>
      <c r="V108" s="59" t="n">
        <v>21790.6</v>
      </c>
      <c r="W108" s="59" t="n">
        <v>20967.2</v>
      </c>
      <c r="X108" s="59" t="n">
        <v>20940.9</v>
      </c>
      <c r="Y108" s="59" t="n">
        <v>24039.2</v>
      </c>
      <c r="Z108" s="57" t="n">
        <v>24139.431</v>
      </c>
      <c r="AA108" s="57" t="n">
        <v>25106.705</v>
      </c>
      <c r="AI108" s="59" t="n">
        <v>19218.8</v>
      </c>
      <c r="AJ108" s="59" t="n">
        <v>23161.3</v>
      </c>
      <c r="AK108" s="59" t="n">
        <v>21831.9</v>
      </c>
      <c r="AL108" s="59" t="n">
        <v>21713.3</v>
      </c>
      <c r="AM108" s="59" t="n">
        <v>23248.9</v>
      </c>
      <c r="AN108" s="59" t="n">
        <v>24039.2</v>
      </c>
      <c r="AW108" s="53"/>
      <c r="AX108" s="53"/>
      <c r="DI108" s="37"/>
      <c r="XEX108" s="37"/>
      <c r="XEY108" s="37"/>
      <c r="XEZ108" s="37"/>
      <c r="XFA108" s="37"/>
      <c r="XFB108" s="37"/>
      <c r="XFC108" s="37"/>
    </row>
    <row r="109" s="54" customFormat="true" ht="10.5" hidden="false" customHeight="true" outlineLevel="0" collapsed="false">
      <c r="B109" s="135"/>
      <c r="C109" s="135"/>
      <c r="D109" s="135"/>
      <c r="I109" s="54" t="n">
        <f aca="false">+I108/E108-1</f>
        <v>0.205137677690595</v>
      </c>
      <c r="J109" s="54" t="n">
        <f aca="false">+J108/F108-1</f>
        <v>0.0791504021693503</v>
      </c>
      <c r="K109" s="54" t="n">
        <f aca="false">+K108/G108-1</f>
        <v>0.0414625556302628</v>
      </c>
      <c r="L109" s="54" t="n">
        <f aca="false">+L108/H108-1</f>
        <v>-0.0397507233474294</v>
      </c>
      <c r="M109" s="54" t="n">
        <f aca="false">+M108/I108-1</f>
        <v>-0.0573974690539822</v>
      </c>
      <c r="N109" s="54" t="n">
        <f aca="false">+N108/J108-1</f>
        <v>-0.0375444322729204</v>
      </c>
      <c r="O109" s="54" t="n">
        <f aca="false">+O108/K108-1</f>
        <v>-0.0821006956643946</v>
      </c>
      <c r="P109" s="54" t="n">
        <f aca="false">+P108/L108-1</f>
        <v>-0.0890969775635082</v>
      </c>
      <c r="Q109" s="54" t="n">
        <f aca="false">+Q108/M108-1</f>
        <v>-0.00543241770070413</v>
      </c>
      <c r="R109" s="54" t="n">
        <f aca="false">+R108/N108-1</f>
        <v>0.124000037164705</v>
      </c>
      <c r="S109" s="54" t="n">
        <f aca="false">+S108/O108-1</f>
        <v>0.115281193481402</v>
      </c>
      <c r="T109" s="54" t="n">
        <f aca="false">+T108/P108-1</f>
        <v>0.155155216284987</v>
      </c>
      <c r="U109" s="54" t="n">
        <f aca="false">+U108/Q108-1</f>
        <v>0.0707216314424801</v>
      </c>
      <c r="V109" s="54" t="n">
        <f aca="false">+V108/R108-1</f>
        <v>-0.09937590411242</v>
      </c>
      <c r="W109" s="54" t="n">
        <f aca="false">+W108/S108-1</f>
        <v>-0.100490784912654</v>
      </c>
      <c r="X109" s="54" t="n">
        <f aca="false">+X108/T108-1</f>
        <v>-0.0774446226232223</v>
      </c>
      <c r="Y109" s="54" t="n">
        <f aca="false">+Y108/U108-1</f>
        <v>0.0339930061207197</v>
      </c>
      <c r="Z109" s="54" t="n">
        <f aca="false">+Z108/V108-1</f>
        <v>0.107791019981093</v>
      </c>
      <c r="AA109" s="54" t="n">
        <f aca="false">+AA108/W108-1</f>
        <v>0.197427648899233</v>
      </c>
      <c r="AJ109" s="54" t="n">
        <f aca="false">+AJ108/AI108-1</f>
        <v>0.205137677690595</v>
      </c>
      <c r="AK109" s="54" t="n">
        <f aca="false">+AK108/AJ108-1</f>
        <v>-0.0573974690539822</v>
      </c>
      <c r="AL109" s="54" t="n">
        <f aca="false">+AL108/AK108-1</f>
        <v>-0.00543241770070413</v>
      </c>
      <c r="AM109" s="54" t="n">
        <f aca="false">+AM108/AL108-1</f>
        <v>0.0707216314424801</v>
      </c>
      <c r="AN109" s="54" t="n">
        <f aca="false">+AN108/AM108-1</f>
        <v>0.0339930061207197</v>
      </c>
      <c r="DI109" s="37"/>
      <c r="XEX109" s="37"/>
      <c r="XEY109" s="37"/>
      <c r="XEZ109" s="37"/>
      <c r="XFA109" s="37"/>
      <c r="XFB109" s="37"/>
      <c r="XFC109" s="37"/>
    </row>
    <row r="110" s="57" customFormat="true" ht="12.8" hidden="false" customHeight="true" outlineLevel="0" collapsed="false">
      <c r="A110" s="38"/>
      <c r="B110" s="136"/>
      <c r="C110" s="136"/>
      <c r="D110" s="136"/>
      <c r="E110" s="137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DI110" s="37"/>
      <c r="XEX110" s="37"/>
      <c r="XEY110" s="37"/>
      <c r="XEZ110" s="37"/>
      <c r="XFA110" s="37"/>
      <c r="XFB110" s="37"/>
      <c r="XFC110" s="37"/>
    </row>
    <row r="111" s="57" customFormat="true" ht="12.8" hidden="false" customHeight="true" outlineLevel="0" collapsed="false">
      <c r="A111" s="67" t="s">
        <v>163</v>
      </c>
      <c r="B111" s="138"/>
      <c r="C111" s="138"/>
      <c r="D111" s="138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AD111" s="22"/>
      <c r="AE111" s="22"/>
      <c r="AF111" s="22"/>
      <c r="AG111" s="22"/>
      <c r="AH111" s="22"/>
      <c r="AI111" s="22" t="n">
        <f aca="false">AI30/(AI113+(AI97-AI80))</f>
        <v>0.245607662956777</v>
      </c>
      <c r="AJ111" s="22" t="n">
        <f aca="false">AJ30/(AJ113+(AJ97-AJ80))</f>
        <v>0.252680932969649</v>
      </c>
      <c r="AK111" s="22" t="n">
        <f aca="false">AK30/(AK113+(AK97-AK80))</f>
        <v>0.187860082444876</v>
      </c>
      <c r="AL111" s="22" t="n">
        <f aca="false">AL30/(AL113+(AL97-AL80))</f>
        <v>0.251816780231443</v>
      </c>
      <c r="AM111" s="22" t="n">
        <f aca="false">AM30/(AM113+(AM97-AM80))</f>
        <v>0.338922480884175</v>
      </c>
      <c r="AN111" s="22" t="n">
        <f aca="false">AN30/(AN113+(AN97-AN80))</f>
        <v>0.429240108603623</v>
      </c>
      <c r="AO111" s="22"/>
      <c r="AP111" s="22"/>
      <c r="AQ111" s="22"/>
      <c r="AR111" s="22"/>
      <c r="AS111" s="22"/>
      <c r="DI111" s="37"/>
      <c r="XEX111" s="37"/>
      <c r="XEY111" s="37"/>
      <c r="XEZ111" s="37"/>
      <c r="XFA111" s="37"/>
      <c r="XFB111" s="37"/>
      <c r="XFC111" s="37"/>
    </row>
    <row r="112" s="57" customFormat="true" ht="12.8" hidden="false" customHeight="true" outlineLevel="0" collapsed="false">
      <c r="A112" s="59" t="s">
        <v>164</v>
      </c>
      <c r="B112" s="134"/>
      <c r="C112" s="134"/>
      <c r="D112" s="134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AI112" s="57" t="n">
        <f aca="false">AI30+(AI97-AI80)</f>
        <v>12188.6266559086</v>
      </c>
      <c r="AJ112" s="57" t="n">
        <f aca="false">AJ30+(AJ97-AJ80)</f>
        <v>14859.5467312845</v>
      </c>
      <c r="AK112" s="57" t="n">
        <f aca="false">AK30+(AK97-AK80)</f>
        <v>14838.5652099695</v>
      </c>
      <c r="AL112" s="57" t="n">
        <f aca="false">AL30+(AL97-AL80)</f>
        <v>13980.3448410572</v>
      </c>
      <c r="AM112" s="57" t="n">
        <f aca="false">AM30+(AM97-AM80)</f>
        <v>16411.094187185</v>
      </c>
      <c r="AN112" s="57" t="n">
        <f aca="false">AN30+(AN97-AN80)</f>
        <v>17756.3388748105</v>
      </c>
      <c r="DI112" s="37"/>
      <c r="XEX112" s="37"/>
      <c r="XEY112" s="37"/>
      <c r="XEZ112" s="37"/>
      <c r="XFA112" s="37"/>
      <c r="XFB112" s="37"/>
      <c r="XFC112" s="37"/>
    </row>
    <row r="113" s="57" customFormat="true" ht="12.8" hidden="false" customHeight="true" outlineLevel="0" collapsed="false">
      <c r="A113" s="59" t="s">
        <v>165</v>
      </c>
      <c r="B113" s="57" t="n">
        <f aca="false">B105</f>
        <v>8409.3</v>
      </c>
      <c r="C113" s="57" t="n">
        <f aca="false">C105</f>
        <v>9334.8</v>
      </c>
      <c r="D113" s="57" t="n">
        <f aca="false">D105</f>
        <v>9187.3</v>
      </c>
      <c r="E113" s="57" t="n">
        <f aca="false">E105</f>
        <v>11065</v>
      </c>
      <c r="F113" s="57" t="n">
        <f aca="false">F105</f>
        <v>12883.8</v>
      </c>
      <c r="G113" s="57" t="n">
        <f aca="false">G105</f>
        <v>13863</v>
      </c>
      <c r="H113" s="57" t="n">
        <f aca="false">H105</f>
        <v>15314.6</v>
      </c>
      <c r="I113" s="57" t="n">
        <f aca="false">I105</f>
        <v>15849.3</v>
      </c>
      <c r="J113" s="57" t="n">
        <f aca="false">J105</f>
        <v>17544.1</v>
      </c>
      <c r="K113" s="57" t="n">
        <f aca="false">K105</f>
        <v>19076</v>
      </c>
      <c r="L113" s="57" t="n">
        <f aca="false">L105</f>
        <v>20528.2</v>
      </c>
      <c r="M113" s="57" t="n">
        <f aca="false">M105</f>
        <v>20777.4</v>
      </c>
      <c r="N113" s="57" t="n">
        <f aca="false">N105</f>
        <v>21828.2</v>
      </c>
      <c r="O113" s="57" t="n">
        <f aca="false">O105</f>
        <v>22832.3</v>
      </c>
      <c r="P113" s="57" t="n">
        <f aca="false">P105</f>
        <v>22107.727</v>
      </c>
      <c r="Q113" s="57" t="n">
        <f aca="false">Q105</f>
        <v>20588.2</v>
      </c>
      <c r="R113" s="57" t="n">
        <f aca="false">R105</f>
        <v>21365.4</v>
      </c>
      <c r="S113" s="57" t="n">
        <f aca="false">S105</f>
        <v>22112.7</v>
      </c>
      <c r="T113" s="57" t="n">
        <f aca="false">T105</f>
        <v>22720.75</v>
      </c>
      <c r="U113" s="57" t="n">
        <f aca="false">U105</f>
        <v>24743.5</v>
      </c>
      <c r="V113" s="57" t="n">
        <f aca="false">V105</f>
        <v>24028</v>
      </c>
      <c r="W113" s="57" t="n">
        <f aca="false">W105</f>
        <v>24951.9</v>
      </c>
      <c r="X113" s="57" t="n">
        <f aca="false">X105</f>
        <v>25953.79</v>
      </c>
      <c r="Y113" s="57" t="n">
        <f aca="false">Y105</f>
        <v>26615.618</v>
      </c>
      <c r="Z113" s="57" t="n">
        <f aca="false">Z105</f>
        <v>31126.399</v>
      </c>
      <c r="AA113" s="57" t="n">
        <f aca="false">AA105</f>
        <v>30152.052</v>
      </c>
      <c r="AI113" s="57" t="n">
        <f aca="false">AI105</f>
        <v>11065</v>
      </c>
      <c r="AJ113" s="57" t="n">
        <f aca="false">AJ105</f>
        <v>15849.3</v>
      </c>
      <c r="AK113" s="57" t="n">
        <f aca="false">AK105</f>
        <v>20777.4</v>
      </c>
      <c r="AL113" s="57" t="n">
        <f aca="false">AL105</f>
        <v>20588.2</v>
      </c>
      <c r="AM113" s="57" t="n">
        <f aca="false">AM105</f>
        <v>24743.5</v>
      </c>
      <c r="AN113" s="57" t="n">
        <f aca="false">AN105</f>
        <v>26615.618</v>
      </c>
      <c r="DI113" s="37"/>
      <c r="XEX113" s="37"/>
      <c r="XEY113" s="37"/>
      <c r="XEZ113" s="37"/>
      <c r="XFA113" s="37"/>
      <c r="XFB113" s="37"/>
      <c r="XFC113" s="37"/>
    </row>
    <row r="114" s="57" customFormat="true" ht="12.8" hidden="false" customHeight="true" outlineLevel="0" collapsed="false">
      <c r="DI114" s="37"/>
      <c r="XEX114" s="37"/>
      <c r="XEY114" s="37"/>
      <c r="XEZ114" s="37"/>
      <c r="XFA114" s="37"/>
      <c r="XFB114" s="37"/>
      <c r="XFC114" s="37"/>
    </row>
    <row r="115" s="57" customFormat="true" ht="12.8" hidden="false" customHeight="true" outlineLevel="0" collapsed="false">
      <c r="A115" s="59" t="s">
        <v>166</v>
      </c>
      <c r="B115" s="59" t="n">
        <f aca="false">B40</f>
        <v>708.93396906859</v>
      </c>
      <c r="C115" s="59" t="n">
        <f aca="false">C40</f>
        <v>720.25860902378</v>
      </c>
      <c r="D115" s="59" t="n">
        <f aca="false">D40</f>
        <v>790.147520044751</v>
      </c>
      <c r="E115" s="59" t="n">
        <f aca="false">E40</f>
        <v>542.211961952923</v>
      </c>
      <c r="F115" s="59" t="n">
        <f aca="false">F40</f>
        <v>1706.65513457673</v>
      </c>
      <c r="G115" s="59" t="n">
        <f aca="false">G40</f>
        <v>1353.1215607923</v>
      </c>
      <c r="H115" s="59" t="n">
        <f aca="false">H40</f>
        <v>1449.63968516984</v>
      </c>
      <c r="I115" s="59" t="n">
        <f aca="false">I40</f>
        <v>608.5133423268</v>
      </c>
      <c r="J115" s="59" t="n">
        <f aca="false">J40</f>
        <v>1597.44577449572</v>
      </c>
      <c r="K115" s="59" t="n">
        <f aca="false">K40</f>
        <v>1440.93792973651</v>
      </c>
      <c r="L115" s="59" t="n">
        <f aca="false">L40</f>
        <v>1317.1447192429</v>
      </c>
      <c r="M115" s="59" t="n">
        <f aca="false">M40</f>
        <v>55.3082654100866</v>
      </c>
      <c r="N115" s="59" t="n">
        <f aca="false">N40</f>
        <v>1306.04776082828</v>
      </c>
      <c r="O115" s="59" t="n">
        <f aca="false">O40</f>
        <v>1489.24316599487</v>
      </c>
      <c r="P115" s="59" t="n">
        <f aca="false">P40</f>
        <v>1719.85776164833</v>
      </c>
      <c r="Q115" s="59" t="n">
        <f aca="false">Q40</f>
        <v>948.620086050725</v>
      </c>
      <c r="R115" s="59" t="n">
        <f aca="false">R40</f>
        <v>2332.8552828175</v>
      </c>
      <c r="S115" s="59" t="n">
        <f aca="false">S40</f>
        <v>2147.95364577885</v>
      </c>
      <c r="T115" s="59" t="n">
        <f aca="false">T40</f>
        <v>2365.45983306189</v>
      </c>
      <c r="U115" s="59" t="n">
        <f aca="false">U40</f>
        <v>1870.72902312872</v>
      </c>
      <c r="V115" s="59" t="n">
        <f aca="false">V40</f>
        <v>2892.76095039363</v>
      </c>
      <c r="W115" s="59" t="n">
        <f aca="false">W40</f>
        <v>3126.86126906761</v>
      </c>
      <c r="X115" s="59" t="n">
        <f aca="false">X40</f>
        <v>2548.85760208514</v>
      </c>
      <c r="Y115" s="59" t="n">
        <f aca="false">Y40</f>
        <v>2418.29272949289</v>
      </c>
      <c r="Z115" s="59" t="n">
        <f aca="false">Z40</f>
        <v>5282.64390214328</v>
      </c>
      <c r="AA115" s="59" t="n">
        <f aca="false">AA40</f>
        <v>3401.26817818145</v>
      </c>
      <c r="AB115" s="59" t="n">
        <f aca="false">AB40</f>
        <v>3512.89449711627</v>
      </c>
      <c r="AC115" s="59" t="n">
        <f aca="false">AC40</f>
        <v>3503.90263475378</v>
      </c>
      <c r="AI115" s="59" t="n">
        <f aca="false">AI40</f>
        <v>2761.2326559086</v>
      </c>
      <c r="AJ115" s="59" t="n">
        <f aca="false">AJ40</f>
        <v>5116.06573128447</v>
      </c>
      <c r="AK115" s="59" t="n">
        <f aca="false">AK40</f>
        <v>4491.75820996946</v>
      </c>
      <c r="AL115" s="59" t="n">
        <f aca="false">AL40</f>
        <v>5407.83184105724</v>
      </c>
      <c r="AM115" s="59" t="n">
        <f aca="false">AM40</f>
        <v>8711.51118718496</v>
      </c>
      <c r="AN115" s="59" t="n">
        <f aca="false">AN40</f>
        <v>10980.7168748105</v>
      </c>
      <c r="AO115" s="59" t="n">
        <f aca="false">AO40</f>
        <v>13165.92464197</v>
      </c>
      <c r="AP115" s="59" t="n">
        <f aca="false">AP40</f>
        <v>15798.6509083477</v>
      </c>
      <c r="AQ115" s="59" t="n">
        <f aca="false">AQ40</f>
        <v>18494.3138562469</v>
      </c>
      <c r="AR115" s="59" t="n">
        <f aca="false">AR40</f>
        <v>21297.9752731441</v>
      </c>
      <c r="AS115" s="59" t="n">
        <f aca="false">AS40</f>
        <v>24640.2048492008</v>
      </c>
      <c r="DI115" s="37"/>
      <c r="XEX115" s="37"/>
      <c r="XEY115" s="37"/>
      <c r="XEZ115" s="37"/>
      <c r="XFA115" s="37"/>
      <c r="XFB115" s="37"/>
      <c r="XFC115" s="37"/>
    </row>
    <row r="116" s="57" customFormat="true" ht="12.8" hidden="false" customHeight="true" outlineLevel="0" collapsed="false">
      <c r="A116" s="59" t="s">
        <v>167</v>
      </c>
      <c r="B116" s="59" t="n">
        <v>709</v>
      </c>
      <c r="C116" s="59" t="n">
        <v>720.1</v>
      </c>
      <c r="D116" s="59" t="n">
        <v>789.9</v>
      </c>
      <c r="E116" s="59" t="n">
        <v>542.1</v>
      </c>
      <c r="F116" s="59" t="n">
        <v>1706.7</v>
      </c>
      <c r="G116" s="59" t="n">
        <v>1353</v>
      </c>
      <c r="H116" s="59" t="n">
        <v>1449</v>
      </c>
      <c r="I116" s="59" t="n">
        <v>607.4</v>
      </c>
      <c r="J116" s="59" t="n">
        <v>1597.4</v>
      </c>
      <c r="K116" s="59" t="n">
        <v>1440.9</v>
      </c>
      <c r="L116" s="59" t="n">
        <v>1398.2</v>
      </c>
      <c r="M116" s="59" t="n">
        <v>55.2</v>
      </c>
      <c r="N116" s="59" t="n">
        <v>1305.1</v>
      </c>
      <c r="O116" s="59" t="n">
        <v>1487.6</v>
      </c>
      <c r="P116" s="59" t="n">
        <v>1677.4</v>
      </c>
      <c r="Q116" s="59" t="n">
        <v>937.8</v>
      </c>
      <c r="R116" s="59" t="n">
        <v>2332.2</v>
      </c>
      <c r="S116" s="59" t="n">
        <v>2147.3</v>
      </c>
      <c r="T116" s="59" t="n">
        <v>2363</v>
      </c>
      <c r="U116" s="59" t="n">
        <v>1868.6</v>
      </c>
      <c r="V116" s="59" t="n">
        <v>2890</v>
      </c>
      <c r="W116" s="59" t="n">
        <v>3125.4</v>
      </c>
      <c r="X116" s="59" t="n">
        <v>2546.9</v>
      </c>
      <c r="Y116" s="59" t="n">
        <v>2418.5</v>
      </c>
      <c r="Z116" s="57" t="n">
        <v>5282.791</v>
      </c>
      <c r="AA116" s="57" t="n">
        <v>3401.414</v>
      </c>
      <c r="AI116" s="59" t="n">
        <f aca="false">SUM(B116:E116)</f>
        <v>2761.1</v>
      </c>
      <c r="AJ116" s="59" t="n">
        <f aca="false">SUM(F116:I116)</f>
        <v>5116.1</v>
      </c>
      <c r="AK116" s="59" t="n">
        <f aca="false">SUM(J116:M116)</f>
        <v>4491.7</v>
      </c>
      <c r="AL116" s="59" t="n">
        <f aca="false">SUM(N116:Q116)</f>
        <v>5407.9</v>
      </c>
      <c r="AM116" s="59" t="n">
        <v>8711.631</v>
      </c>
      <c r="AN116" s="59" t="n">
        <f aca="false">SUM(V116:Y116)</f>
        <v>10980.8</v>
      </c>
      <c r="DI116" s="37"/>
      <c r="XEX116" s="37"/>
      <c r="XEY116" s="37"/>
      <c r="XEZ116" s="37"/>
      <c r="XFA116" s="37"/>
      <c r="XFB116" s="37"/>
      <c r="XFC116" s="37"/>
    </row>
    <row r="117" s="57" customFormat="true" ht="12.8" hidden="false" customHeight="true" outlineLevel="0" collapsed="false">
      <c r="A117" s="59" t="s">
        <v>168</v>
      </c>
      <c r="B117" s="59" t="n">
        <v>-3294.2</v>
      </c>
      <c r="C117" s="59" t="n">
        <v>-2510.7</v>
      </c>
      <c r="D117" s="59" t="n">
        <v>-2653.88</v>
      </c>
      <c r="E117" s="59" t="n">
        <v>-3320.3</v>
      </c>
      <c r="F117" s="59" t="n">
        <v>-3284.5</v>
      </c>
      <c r="G117" s="59" t="n">
        <v>-4096.7</v>
      </c>
      <c r="H117" s="59" t="n">
        <v>-4666.2</v>
      </c>
      <c r="I117" s="59" t="n">
        <v>-5654.6</v>
      </c>
      <c r="J117" s="59" t="n">
        <v>-3584.1</v>
      </c>
      <c r="K117" s="59" t="n">
        <v>-4687</v>
      </c>
      <c r="L117" s="59" t="n">
        <v>-4582.6</v>
      </c>
      <c r="M117" s="59" t="n">
        <v>-3985.1</v>
      </c>
      <c r="N117" s="59" t="n">
        <v>-2458.6</v>
      </c>
      <c r="O117" s="59" t="n">
        <v>-3683</v>
      </c>
      <c r="P117" s="59" t="n">
        <v>-2883.8</v>
      </c>
      <c r="Q117" s="59" t="n">
        <v>-3529.1</v>
      </c>
      <c r="R117" s="59" t="n">
        <v>-3728.9</v>
      </c>
      <c r="S117" s="59" t="n">
        <v>-4048.8</v>
      </c>
      <c r="T117" s="59" t="n">
        <v>-4016.3</v>
      </c>
      <c r="U117" s="59" t="n">
        <v>-4429.4</v>
      </c>
      <c r="V117" s="59" t="n">
        <v>-3549.6</v>
      </c>
      <c r="W117" s="59" t="n">
        <v>-3835.8</v>
      </c>
      <c r="X117" s="59" t="n">
        <v>-4653.9</v>
      </c>
      <c r="Y117" s="59" t="n">
        <v>-5057.2</v>
      </c>
      <c r="Z117" s="57" t="n">
        <v>-4846.917</v>
      </c>
      <c r="AA117" s="57" t="n">
        <v>-4927.523</v>
      </c>
      <c r="AI117" s="59" t="n">
        <f aca="false">SUM(B117:E117)</f>
        <v>-11779.08</v>
      </c>
      <c r="AJ117" s="59" t="n">
        <f aca="false">SUM(F117:I117)</f>
        <v>-17702</v>
      </c>
      <c r="AK117" s="59" t="n">
        <f aca="false">SUM(J117:M117)</f>
        <v>-16838.8</v>
      </c>
      <c r="AL117" s="59" t="n">
        <f aca="false">SUM(N117:Q117)</f>
        <v>-12554.5</v>
      </c>
      <c r="AM117" s="59" t="n">
        <f aca="false">SUM(R117:U117)</f>
        <v>-16223.4</v>
      </c>
      <c r="AN117" s="59" t="n">
        <f aca="false">SUM(V117:Y117)</f>
        <v>-17096.5</v>
      </c>
      <c r="DI117" s="37"/>
      <c r="XEX117" s="37"/>
      <c r="XEY117" s="37"/>
      <c r="XEZ117" s="37"/>
      <c r="XFA117" s="37"/>
      <c r="XFB117" s="37"/>
      <c r="XFC117" s="37"/>
    </row>
    <row r="118" s="57" customFormat="true" ht="12.8" hidden="false" customHeight="true" outlineLevel="0" collapsed="false">
      <c r="A118" s="59" t="s">
        <v>169</v>
      </c>
      <c r="B118" s="59" t="n">
        <v>258.3</v>
      </c>
      <c r="C118" s="59" t="n">
        <v>-108.4</v>
      </c>
      <c r="D118" s="59" t="n">
        <v>-379.4</v>
      </c>
      <c r="E118" s="59" t="n">
        <v>-528.4</v>
      </c>
      <c r="F118" s="59" t="n">
        <v>-266</v>
      </c>
      <c r="G118" s="59" t="n">
        <v>-312.2</v>
      </c>
      <c r="H118" s="59" t="n">
        <v>-29.2</v>
      </c>
      <c r="I118" s="59" t="n">
        <v>840.3</v>
      </c>
      <c r="J118" s="59" t="n">
        <v>-347.1</v>
      </c>
      <c r="K118" s="59" t="n">
        <v>191.2</v>
      </c>
      <c r="L118" s="59" t="n">
        <v>60.8</v>
      </c>
      <c r="M118" s="59" t="n">
        <v>274</v>
      </c>
      <c r="N118" s="59" t="n">
        <v>-354.7</v>
      </c>
      <c r="O118" s="59" t="n">
        <v>46.119</v>
      </c>
      <c r="P118" s="59" t="n">
        <v>-325.9</v>
      </c>
      <c r="Q118" s="59" t="n">
        <v>49</v>
      </c>
      <c r="R118" s="59" t="n">
        <v>-189.4</v>
      </c>
      <c r="S118" s="59" t="n">
        <v>-366.5</v>
      </c>
      <c r="T118" s="59" t="n">
        <v>-83.5</v>
      </c>
      <c r="U118" s="59" t="n">
        <v>-139.5</v>
      </c>
      <c r="V118" s="59" t="n">
        <v>-411.2</v>
      </c>
      <c r="W118" s="59" t="n">
        <v>-214</v>
      </c>
      <c r="X118" s="59" t="n">
        <v>24.2</v>
      </c>
      <c r="Y118" s="59" t="n">
        <v>-9.7</v>
      </c>
      <c r="Z118" s="57" t="n">
        <v>45.216</v>
      </c>
      <c r="AA118" s="57" t="n">
        <v>-181.794</v>
      </c>
      <c r="AI118" s="59" t="n">
        <f aca="false">SUM(B118:E118)</f>
        <v>-757.9</v>
      </c>
      <c r="AJ118" s="59" t="n">
        <f aca="false">SUM(F118:I118)</f>
        <v>232.9</v>
      </c>
      <c r="AK118" s="59" t="n">
        <f aca="false">SUM(J118:M118)</f>
        <v>178.9</v>
      </c>
      <c r="AL118" s="59" t="n">
        <f aca="false">SUM(N118:Q118)</f>
        <v>-585.481</v>
      </c>
      <c r="AM118" s="59" t="n">
        <f aca="false">SUM(R118:U118)</f>
        <v>-778.9</v>
      </c>
      <c r="AN118" s="59" t="n">
        <f aca="false">SUM(V118:Y118)</f>
        <v>-610.7</v>
      </c>
      <c r="DI118" s="37"/>
      <c r="XEX118" s="37"/>
      <c r="XEY118" s="37"/>
      <c r="XEZ118" s="37"/>
      <c r="XFA118" s="37"/>
      <c r="XFB118" s="37"/>
      <c r="XFC118" s="37"/>
    </row>
    <row r="119" s="57" customFormat="true" ht="12.8" hidden="false" customHeight="true" outlineLevel="0" collapsed="false">
      <c r="A119" s="59" t="s">
        <v>170</v>
      </c>
      <c r="B119" s="57" t="n">
        <v>2483.3</v>
      </c>
      <c r="C119" s="59" t="n">
        <v>2607.1</v>
      </c>
      <c r="D119" s="59" t="n">
        <v>2733.7</v>
      </c>
      <c r="E119" s="59" t="n">
        <v>2982.6</v>
      </c>
      <c r="F119" s="59" t="n">
        <v>2719.1</v>
      </c>
      <c r="G119" s="59" t="n">
        <v>2806.8</v>
      </c>
      <c r="H119" s="59" t="n">
        <v>2963</v>
      </c>
      <c r="I119" s="59" t="n">
        <v>3741.3</v>
      </c>
      <c r="J119" s="59" t="n">
        <v>3166.3</v>
      </c>
      <c r="K119" s="59" t="n">
        <v>3261.3</v>
      </c>
      <c r="L119" s="59" t="n">
        <v>3653.5</v>
      </c>
      <c r="M119" s="59" t="n">
        <v>3944.8</v>
      </c>
      <c r="N119" s="59" t="n">
        <v>3459.9</v>
      </c>
      <c r="O119" s="59" t="n">
        <v>3410</v>
      </c>
      <c r="P119" s="59" t="n">
        <v>3573.3</v>
      </c>
      <c r="Q119" s="59" t="n">
        <v>3754</v>
      </c>
      <c r="R119" s="59" t="n">
        <v>3670.8</v>
      </c>
      <c r="S119" s="59" t="n">
        <v>3769.6</v>
      </c>
      <c r="T119" s="59" t="n">
        <v>3699.5</v>
      </c>
      <c r="U119" s="59" t="n">
        <v>4161.5</v>
      </c>
      <c r="V119" s="59" t="n">
        <v>3823</v>
      </c>
      <c r="W119" s="59" t="n">
        <v>3832</v>
      </c>
      <c r="X119" s="59" t="n">
        <v>4002.7</v>
      </c>
      <c r="Y119" s="59" t="n">
        <v>4764.2</v>
      </c>
      <c r="Z119" s="57" t="n">
        <v>4217.9</v>
      </c>
      <c r="AA119" s="57" t="n">
        <v>4311.309</v>
      </c>
      <c r="AI119" s="59" t="n">
        <f aca="false">SUM(B119:E119)</f>
        <v>10806.7</v>
      </c>
      <c r="AJ119" s="59" t="n">
        <f aca="false">SUM(F119:I119)</f>
        <v>12230.2</v>
      </c>
      <c r="AK119" s="59" t="n">
        <f aca="false">SUM(J119:M119)</f>
        <v>14025.9</v>
      </c>
      <c r="AL119" s="59" t="n">
        <f aca="false">SUM(N119:Q119)</f>
        <v>14197.2</v>
      </c>
      <c r="AM119" s="59" t="n">
        <f aca="false">SUM(R119:U119)</f>
        <v>15301.4</v>
      </c>
      <c r="AN119" s="59" t="n">
        <f aca="false">SUM(V119:Y119)</f>
        <v>16421.9</v>
      </c>
      <c r="DI119" s="37"/>
      <c r="XEX119" s="37"/>
      <c r="XEY119" s="37"/>
      <c r="XEZ119" s="37"/>
      <c r="XFA119" s="37"/>
      <c r="XFB119" s="37"/>
      <c r="XFC119" s="37"/>
    </row>
    <row r="120" s="57" customFormat="true" ht="12.8" hidden="false" customHeight="true" outlineLevel="0" collapsed="false">
      <c r="A120" s="59" t="s">
        <v>171</v>
      </c>
      <c r="B120" s="59" t="n">
        <v>28.5</v>
      </c>
      <c r="C120" s="59" t="n">
        <v>26.6</v>
      </c>
      <c r="D120" s="59" t="n">
        <v>28.5</v>
      </c>
      <c r="E120" s="59" t="n">
        <v>31.9</v>
      </c>
      <c r="F120" s="59" t="n">
        <v>35.7</v>
      </c>
      <c r="G120" s="59" t="n">
        <v>38.4</v>
      </c>
      <c r="H120" s="59" t="n">
        <v>70.2</v>
      </c>
      <c r="I120" s="59" t="n">
        <v>63.9</v>
      </c>
      <c r="J120" s="59" t="n">
        <v>74.6</v>
      </c>
      <c r="K120" s="59" t="n">
        <v>83.5</v>
      </c>
      <c r="L120" s="59" t="n">
        <v>85.1</v>
      </c>
      <c r="M120" s="59" t="n">
        <v>93.3</v>
      </c>
      <c r="N120" s="59" t="n">
        <v>90.3</v>
      </c>
      <c r="O120" s="59" t="n">
        <v>89.3</v>
      </c>
      <c r="P120" s="59" t="n">
        <v>90.6</v>
      </c>
      <c r="Q120" s="59" t="n">
        <v>86.5</v>
      </c>
      <c r="R120" s="59" t="n">
        <v>87.2</v>
      </c>
      <c r="S120" s="59" t="n">
        <v>81.2</v>
      </c>
      <c r="T120" s="59" t="n">
        <v>80</v>
      </c>
      <c r="U120" s="59" t="n">
        <v>79.5</v>
      </c>
      <c r="V120" s="59" t="n">
        <v>80</v>
      </c>
      <c r="W120" s="59" t="n">
        <v>80</v>
      </c>
      <c r="X120" s="59" t="n">
        <v>87.3</v>
      </c>
      <c r="Y120" s="59" t="n">
        <v>85.9</v>
      </c>
      <c r="Z120" s="57" t="n">
        <v>98.575</v>
      </c>
      <c r="AA120" s="57" t="n">
        <v>100.53</v>
      </c>
      <c r="AB120" s="57" t="n">
        <f aca="false">+X120*1.05</f>
        <v>91.665</v>
      </c>
      <c r="AC120" s="57" t="n">
        <f aca="false">+Y120*1.05</f>
        <v>90.195</v>
      </c>
      <c r="AI120" s="59" t="n">
        <f aca="false">SUM(B120:E120)</f>
        <v>115.5</v>
      </c>
      <c r="AJ120" s="59" t="n">
        <f aca="false">SUM(F120:I120)</f>
        <v>208.2</v>
      </c>
      <c r="AK120" s="59" t="n">
        <f aca="false">SUM(J120:M120)</f>
        <v>336.5</v>
      </c>
      <c r="AL120" s="59" t="n">
        <f aca="false">SUM(N120:Q120)</f>
        <v>356.7</v>
      </c>
      <c r="AM120" s="59" t="n">
        <f aca="false">SUM(R120:U120)</f>
        <v>327.9</v>
      </c>
      <c r="AN120" s="59" t="n">
        <f aca="false">SUM(V120:Y120)</f>
        <v>333.2</v>
      </c>
      <c r="AO120" s="57" t="n">
        <f aca="false">+AO16*0.075</f>
        <v>3852.9547425</v>
      </c>
      <c r="AP120" s="57" t="n">
        <f aca="false">+AP16*0.075</f>
        <v>4380.8095422225</v>
      </c>
      <c r="AQ120" s="57" t="n">
        <f aca="false">+AQ16*0.075</f>
        <v>4950.31478271143</v>
      </c>
      <c r="AR120" s="57" t="n">
        <f aca="false">+AR16*0.075</f>
        <v>5593.85570446391</v>
      </c>
      <c r="AS120" s="57" t="n">
        <f aca="false">+AS16*0.075</f>
        <v>6265.11838899958</v>
      </c>
      <c r="DI120" s="37"/>
      <c r="XEX120" s="37"/>
      <c r="XEY120" s="37"/>
      <c r="XEZ120" s="37"/>
      <c r="XFA120" s="37"/>
      <c r="XFB120" s="37"/>
      <c r="XFC120" s="37"/>
    </row>
    <row r="121" s="54" customFormat="true" ht="10.5" hidden="false" customHeight="true" outlineLevel="0" collapsed="false">
      <c r="B121" s="54" t="n">
        <f aca="false">+B120/B$16</f>
        <v>0.00494139676815313</v>
      </c>
      <c r="C121" s="54" t="n">
        <f aca="false">+C120/C$16</f>
        <v>0.0043264695357991</v>
      </c>
      <c r="D121" s="54" t="n">
        <f aca="false">+D120/D$16</f>
        <v>0.00442849151594257</v>
      </c>
      <c r="E121" s="54" t="n">
        <f aca="false">+E120/E$16</f>
        <v>0.00480103545843116</v>
      </c>
      <c r="F121" s="54" t="n">
        <f aca="false">+F120/F$16</f>
        <v>0.00498380612016976</v>
      </c>
      <c r="G121" s="54" t="n">
        <f aca="false">+G120/G$16</f>
        <v>0.00523034137375733</v>
      </c>
      <c r="H121" s="54" t="n">
        <f aca="false">+H120/H$16</f>
        <v>0.00938076275489751</v>
      </c>
      <c r="I121" s="54" t="n">
        <f aca="false">+I120/I$16</f>
        <v>0.00828869028316449</v>
      </c>
      <c r="J121" s="54" t="n">
        <f aca="false">+J120/J$16</f>
        <v>0.00948180535607611</v>
      </c>
      <c r="K121" s="54" t="n">
        <f aca="false">+K120/K$16</f>
        <v>0.0104767879548306</v>
      </c>
      <c r="L121" s="54" t="n">
        <f aca="false">+L120/L$16</f>
        <v>0.0107381703470032</v>
      </c>
      <c r="M121" s="54" t="n">
        <f aca="false">+M120/M$16</f>
        <v>0.0118823229750382</v>
      </c>
      <c r="N121" s="54" t="n">
        <f aca="false">+N120/N$16</f>
        <v>0.0110641426208418</v>
      </c>
      <c r="O121" s="54" t="n">
        <f aca="false">+O120/O$16</f>
        <v>0.010907536338097</v>
      </c>
      <c r="P121" s="54" t="n">
        <f aca="false">+P120/P$16</f>
        <v>0.0106064153594006</v>
      </c>
      <c r="Q121" s="54" t="n">
        <f aca="false">+Q120/Q$16</f>
        <v>0.00979393115942029</v>
      </c>
      <c r="R121" s="54" t="n">
        <f aca="false">+R120/R$16</f>
        <v>0.00930629669156884</v>
      </c>
      <c r="S121" s="54" t="n">
        <f aca="false">+S120/S$16</f>
        <v>0.00849461240715556</v>
      </c>
      <c r="T121" s="54" t="n">
        <f aca="false">+T120/T$16</f>
        <v>0.00814332247557003</v>
      </c>
      <c r="U121" s="54" t="n">
        <f aca="false">+U120/U$16</f>
        <v>0.00775836830291793</v>
      </c>
      <c r="V121" s="54" t="n">
        <f aca="false">+V120/V$16</f>
        <v>0.00758797306269563</v>
      </c>
      <c r="W121" s="54" t="n">
        <f aca="false">+W120/W$16</f>
        <v>0.00722086830941421</v>
      </c>
      <c r="X121" s="54" t="n">
        <f aca="false">+X120/X$16</f>
        <v>0.00758470894874023</v>
      </c>
      <c r="Y121" s="54" t="n">
        <f aca="false">+Y120/Y$16</f>
        <v>0.00712821661812177</v>
      </c>
      <c r="Z121" s="54" t="n">
        <f aca="false">+Z120/Z$16</f>
        <v>0.00804709840366629</v>
      </c>
      <c r="AA121" s="54" t="n">
        <f aca="false">+AA120/AA$16</f>
        <v>0.00800402040201154</v>
      </c>
      <c r="AB121" s="54" t="n">
        <f aca="false">+AB120/AB$16</f>
        <v>0.00689518995340021</v>
      </c>
      <c r="AC121" s="54" t="n">
        <f aca="false">+AC120/AC$16</f>
        <v>0.00648019692556524</v>
      </c>
      <c r="AI121" s="54" t="n">
        <f aca="false">+AI120/AI$16</f>
        <v>0.00462072896620171</v>
      </c>
      <c r="AJ121" s="54" t="n">
        <f aca="false">+AJ120/AJ$16</f>
        <v>0.00701060992845137</v>
      </c>
      <c r="AK121" s="54" t="n">
        <f aca="false">+AK120/AK$16</f>
        <v>0.0106434966337767</v>
      </c>
      <c r="AL121" s="54" t="n">
        <f aca="false">+AL120/AL$16</f>
        <v>0.010577257615114</v>
      </c>
      <c r="AM121" s="54" t="n">
        <f aca="false">+AM120/AM$16</f>
        <v>0.00840747759364915</v>
      </c>
      <c r="AN121" s="54" t="n">
        <f aca="false">+AN120/AN$16</f>
        <v>0.00737450395837345</v>
      </c>
      <c r="AO121" s="54" t="n">
        <f aca="false">+AO120/AO$16</f>
        <v>0.075</v>
      </c>
      <c r="AP121" s="54" t="n">
        <f aca="false">+AP120/AP$16</f>
        <v>0.075</v>
      </c>
      <c r="AQ121" s="54" t="n">
        <f aca="false">+AQ120/AQ$16</f>
        <v>0.075</v>
      </c>
      <c r="AR121" s="54" t="n">
        <f aca="false">+AR120/AR$16</f>
        <v>0.075</v>
      </c>
      <c r="AS121" s="54" t="n">
        <f aca="false">+AS120/AS$16</f>
        <v>0.075</v>
      </c>
      <c r="DI121" s="37"/>
      <c r="XEX121" s="37"/>
      <c r="XEY121" s="37"/>
      <c r="XEZ121" s="37"/>
      <c r="XFA121" s="37"/>
      <c r="XFB121" s="37"/>
      <c r="XFC121" s="37"/>
    </row>
    <row r="122" s="57" customFormat="true" ht="12.8" hidden="false" customHeight="true" outlineLevel="0" collapsed="false">
      <c r="A122" s="59" t="s">
        <v>172</v>
      </c>
      <c r="B122" s="59" t="n">
        <v>97</v>
      </c>
      <c r="C122" s="59" t="n">
        <v>104.2</v>
      </c>
      <c r="D122" s="59" t="n">
        <v>106.3</v>
      </c>
      <c r="E122" s="59" t="n">
        <v>107.5</v>
      </c>
      <c r="F122" s="59" t="n">
        <v>107.2</v>
      </c>
      <c r="G122" s="59" t="n">
        <v>101.5</v>
      </c>
      <c r="H122" s="59" t="n">
        <v>95</v>
      </c>
      <c r="I122" s="59" t="n">
        <v>99.3</v>
      </c>
      <c r="J122" s="59" t="n">
        <v>119.2</v>
      </c>
      <c r="K122" s="59" t="n">
        <v>150.3</v>
      </c>
      <c r="L122" s="59" t="n">
        <v>152</v>
      </c>
      <c r="M122" s="59" t="n">
        <v>153.7</v>
      </c>
      <c r="N122" s="59" t="n">
        <v>99</v>
      </c>
      <c r="O122" s="59" t="n">
        <v>78</v>
      </c>
      <c r="P122" s="59" t="n">
        <v>79.7</v>
      </c>
      <c r="Q122" s="59" t="n">
        <v>82.5</v>
      </c>
      <c r="R122" s="59" t="n">
        <v>76.3</v>
      </c>
      <c r="S122" s="59" t="n">
        <v>68.76</v>
      </c>
      <c r="T122" s="59" t="n">
        <v>65.6</v>
      </c>
      <c r="U122" s="59" t="n">
        <v>61.8</v>
      </c>
      <c r="V122" s="59" t="n">
        <v>71.9</v>
      </c>
      <c r="W122" s="59" t="n">
        <v>80.8</v>
      </c>
      <c r="X122" s="59" t="n">
        <v>80.9</v>
      </c>
      <c r="Y122" s="59" t="n">
        <v>134.6</v>
      </c>
      <c r="Z122" s="57" t="n">
        <v>140.405</v>
      </c>
      <c r="AA122" s="57" t="n">
        <v>131.312</v>
      </c>
      <c r="AI122" s="59" t="n">
        <f aca="false">SUM(B122:E122)</f>
        <v>415</v>
      </c>
      <c r="AJ122" s="59" t="n">
        <f aca="false">SUM(F122:I122)</f>
        <v>403</v>
      </c>
      <c r="AK122" s="59" t="n">
        <f aca="false">SUM(J122:M122)</f>
        <v>575.2</v>
      </c>
      <c r="AL122" s="59" t="n">
        <f aca="false">SUM(N122:Q122)</f>
        <v>339.2</v>
      </c>
      <c r="AM122" s="59" t="n">
        <f aca="false">SUM(R122:U122)</f>
        <v>272.46</v>
      </c>
      <c r="AN122" s="59" t="n">
        <f aca="false">SUM(V122:Y122)</f>
        <v>368.2</v>
      </c>
      <c r="DI122" s="37"/>
      <c r="XEX122" s="37"/>
      <c r="XEY122" s="37"/>
      <c r="XEZ122" s="37"/>
      <c r="XFA122" s="37"/>
      <c r="XFB122" s="37"/>
      <c r="XFC122" s="37"/>
    </row>
    <row r="123" s="57" customFormat="true" ht="12.8" hidden="false" customHeight="true" outlineLevel="0" collapsed="false">
      <c r="A123" s="59" t="s">
        <v>173</v>
      </c>
      <c r="B123" s="59" t="n">
        <v>65.4</v>
      </c>
      <c r="C123" s="59" t="n">
        <v>70.3</v>
      </c>
      <c r="D123" s="59" t="n">
        <v>249.1</v>
      </c>
      <c r="E123" s="59" t="n">
        <v>257.9</v>
      </c>
      <c r="F123" s="59" t="n">
        <v>-253.3</v>
      </c>
      <c r="G123" s="59" t="n">
        <v>63</v>
      </c>
      <c r="H123" s="59" t="n">
        <v>-136.4</v>
      </c>
      <c r="I123" s="59" t="n">
        <v>-103.9</v>
      </c>
      <c r="J123" s="59" t="n">
        <v>-161.8</v>
      </c>
      <c r="K123" s="59" t="n">
        <v>-304.5</v>
      </c>
      <c r="L123" s="59" t="n">
        <v>-348.4</v>
      </c>
      <c r="M123" s="59" t="n">
        <v>461.6</v>
      </c>
      <c r="N123" s="59" t="n">
        <v>80.6</v>
      </c>
      <c r="O123" s="59" t="n">
        <v>28.9</v>
      </c>
      <c r="P123" s="59" t="n">
        <v>-172.6</v>
      </c>
      <c r="Q123" s="59" t="n">
        <v>239.3</v>
      </c>
      <c r="R123" s="59" t="n">
        <v>-130.8</v>
      </c>
      <c r="S123" s="59" t="n">
        <v>-42.7</v>
      </c>
      <c r="T123" s="59" t="n">
        <v>104.8</v>
      </c>
      <c r="U123" s="59" t="n">
        <v>-52.8</v>
      </c>
      <c r="V123" s="59" t="n">
        <v>28.5</v>
      </c>
      <c r="W123" s="59" t="n">
        <v>55.2</v>
      </c>
      <c r="X123" s="59" t="n">
        <v>-1.7</v>
      </c>
      <c r="Y123" s="59" t="n">
        <v>-9.7</v>
      </c>
      <c r="Z123" s="57" t="n">
        <v>-10.11</v>
      </c>
      <c r="AA123" s="57" t="n">
        <v>-8.813</v>
      </c>
      <c r="AI123" s="59" t="n">
        <f aca="false">SUM(B123:E123)</f>
        <v>642.7</v>
      </c>
      <c r="AJ123" s="59" t="n">
        <f aca="false">SUM(F123:I123)</f>
        <v>-430.6</v>
      </c>
      <c r="AK123" s="59" t="n">
        <f aca="false">SUM(J123:M123)</f>
        <v>-353.1</v>
      </c>
      <c r="AL123" s="59" t="n">
        <f aca="false">SUM(N123:Q123)</f>
        <v>176.2</v>
      </c>
      <c r="AM123" s="59" t="n">
        <f aca="false">SUM(R123:U123)</f>
        <v>-121.5</v>
      </c>
      <c r="AN123" s="59" t="n">
        <f aca="false">SUM(V123:Y123)</f>
        <v>72.3</v>
      </c>
      <c r="DI123" s="37"/>
      <c r="XEX123" s="37"/>
      <c r="XEY123" s="37"/>
      <c r="XEZ123" s="37"/>
      <c r="XFA123" s="37"/>
      <c r="XFB123" s="37"/>
      <c r="XFC123" s="37"/>
    </row>
    <row r="124" s="57" customFormat="true" ht="12.8" hidden="false" customHeight="true" outlineLevel="0" collapsed="false">
      <c r="A124" s="59" t="s">
        <v>174</v>
      </c>
      <c r="B124" s="59" t="n">
        <v>-93</v>
      </c>
      <c r="C124" s="59" t="n">
        <v>119.1</v>
      </c>
      <c r="D124" s="59" t="n">
        <v>83.8</v>
      </c>
      <c r="E124" s="59" t="n">
        <v>73.5</v>
      </c>
      <c r="F124" s="59" t="n">
        <v>72.6</v>
      </c>
      <c r="G124" s="59" t="n">
        <v>108.1</v>
      </c>
      <c r="H124" s="59" t="n">
        <v>102.2</v>
      </c>
      <c r="I124" s="59" t="n">
        <v>93.8</v>
      </c>
      <c r="J124" s="59" t="n">
        <v>101.9</v>
      </c>
      <c r="K124" s="59" t="n">
        <v>205.3</v>
      </c>
      <c r="L124" s="59" t="n">
        <v>102.5</v>
      </c>
      <c r="M124" s="59" t="n">
        <v>123.6</v>
      </c>
      <c r="N124" s="59" t="n">
        <v>120</v>
      </c>
      <c r="O124" s="59" t="n">
        <v>121.4</v>
      </c>
      <c r="P124" s="59" t="n">
        <v>115.6</v>
      </c>
      <c r="Q124" s="59" t="n">
        <v>154.8</v>
      </c>
      <c r="R124" s="59" t="n">
        <v>97.1</v>
      </c>
      <c r="S124" s="59" t="n">
        <v>138.588</v>
      </c>
      <c r="T124" s="59" t="n">
        <v>128</v>
      </c>
      <c r="U124" s="59" t="n">
        <v>130.9</v>
      </c>
      <c r="V124" s="59" t="n">
        <v>114.7</v>
      </c>
      <c r="W124" s="59" t="n">
        <v>120</v>
      </c>
      <c r="X124" s="59" t="n">
        <v>142</v>
      </c>
      <c r="Y124" s="59" t="n">
        <v>200.2</v>
      </c>
      <c r="Z124" s="57" t="n">
        <v>198.227</v>
      </c>
      <c r="AA124" s="57" t="n">
        <v>141.356</v>
      </c>
      <c r="AI124" s="59" t="n">
        <f aca="false">SUM(B124:E124)</f>
        <v>183.4</v>
      </c>
      <c r="AJ124" s="59" t="n">
        <f aca="false">SUM(F124:I124)</f>
        <v>376.7</v>
      </c>
      <c r="AK124" s="59" t="n">
        <f aca="false">SUM(J124:M124)</f>
        <v>533.3</v>
      </c>
      <c r="AL124" s="59" t="n">
        <f aca="false">SUM(N124:Q124)</f>
        <v>511.8</v>
      </c>
      <c r="AM124" s="59" t="n">
        <f aca="false">SUM(R124:U124)</f>
        <v>494.588</v>
      </c>
      <c r="AN124" s="59" t="n">
        <f aca="false">SUM(V124:Y124)</f>
        <v>576.9</v>
      </c>
      <c r="DI124" s="37"/>
      <c r="XEX124" s="37"/>
      <c r="XEY124" s="37"/>
      <c r="XEZ124" s="37"/>
      <c r="XFA124" s="37"/>
      <c r="XFB124" s="37"/>
      <c r="XFC124" s="37"/>
    </row>
    <row r="125" s="57" customFormat="true" ht="12.8" hidden="false" customHeight="true" outlineLevel="0" collapsed="false">
      <c r="A125" s="59" t="s">
        <v>175</v>
      </c>
      <c r="B125" s="59" t="n">
        <v>46.6</v>
      </c>
      <c r="C125" s="59" t="n">
        <v>223.3</v>
      </c>
      <c r="D125" s="59" t="n">
        <v>-40.2</v>
      </c>
      <c r="E125" s="59" t="n">
        <v>-159.5</v>
      </c>
      <c r="F125" s="59" t="n">
        <v>159.7</v>
      </c>
      <c r="G125" s="59" t="n">
        <v>51.1</v>
      </c>
      <c r="H125" s="59" t="n">
        <v>50.9</v>
      </c>
      <c r="I125" s="59" t="n">
        <v>-62.2</v>
      </c>
      <c r="J125" s="59" t="n">
        <v>-68.9</v>
      </c>
      <c r="K125" s="59" t="n">
        <v>-115.8</v>
      </c>
      <c r="L125" s="59" t="n">
        <v>-57.7</v>
      </c>
      <c r="M125" s="59" t="n">
        <v>75.9</v>
      </c>
      <c r="N125" s="59" t="n">
        <v>-98.7</v>
      </c>
      <c r="O125" s="59" t="n">
        <v>-103.1</v>
      </c>
      <c r="P125" s="59" t="n">
        <v>-86.2</v>
      </c>
      <c r="Q125" s="59" t="n">
        <v>-171.1</v>
      </c>
      <c r="R125" s="59" t="n">
        <v>-107</v>
      </c>
      <c r="S125" s="59" t="n">
        <v>-209.3</v>
      </c>
      <c r="T125" s="59" t="n">
        <v>-200.9</v>
      </c>
      <c r="U125" s="59" t="n">
        <v>-73.2</v>
      </c>
      <c r="V125" s="59" t="n">
        <v>-163.9</v>
      </c>
      <c r="W125" s="59" t="n">
        <v>-135.7</v>
      </c>
      <c r="X125" s="59" t="n">
        <v>20.5</v>
      </c>
      <c r="Y125" s="59" t="n">
        <v>-162.9</v>
      </c>
      <c r="Z125" s="57" t="n">
        <v>58.819</v>
      </c>
      <c r="AA125" s="57" t="n">
        <v>81.26</v>
      </c>
      <c r="AI125" s="59" t="n">
        <f aca="false">SUM(B125:E125)</f>
        <v>70.2</v>
      </c>
      <c r="AJ125" s="59" t="n">
        <f aca="false">SUM(F125:I125)</f>
        <v>199.5</v>
      </c>
      <c r="AK125" s="59" t="n">
        <f aca="false">SUM(J125:M125)</f>
        <v>-166.5</v>
      </c>
      <c r="AL125" s="59" t="n">
        <f aca="false">SUM(N125:Q125)</f>
        <v>-459.1</v>
      </c>
      <c r="AM125" s="59" t="n">
        <f aca="false">SUM(R125:U125)</f>
        <v>-590.4</v>
      </c>
      <c r="AN125" s="59" t="n">
        <f aca="false">SUM(V125:Y125)</f>
        <v>-442</v>
      </c>
      <c r="DI125" s="37"/>
      <c r="XEX125" s="37"/>
      <c r="XEY125" s="37"/>
      <c r="XEZ125" s="37"/>
      <c r="XFA125" s="37"/>
      <c r="XFB125" s="37"/>
      <c r="XFC125" s="37"/>
    </row>
    <row r="126" s="57" customFormat="true" ht="12.8" hidden="false" customHeight="true" outlineLevel="0" collapsed="false">
      <c r="A126" s="59" t="s">
        <v>176</v>
      </c>
      <c r="B126" s="59" t="n">
        <v>-127.3</v>
      </c>
      <c r="C126" s="59" t="n">
        <v>3</v>
      </c>
      <c r="D126" s="59" t="n">
        <v>-22.9</v>
      </c>
      <c r="E126" s="59" t="n">
        <v>-40.3</v>
      </c>
      <c r="F126" s="59" t="n">
        <v>-221.5</v>
      </c>
      <c r="G126" s="59" t="n">
        <v>-52.3</v>
      </c>
      <c r="H126" s="59" t="n">
        <v>-95.1</v>
      </c>
      <c r="I126" s="59" t="n">
        <v>-0.608</v>
      </c>
      <c r="J126" s="59" t="n">
        <v>41.1</v>
      </c>
      <c r="K126" s="59" t="n">
        <v>123.39</v>
      </c>
      <c r="L126" s="59" t="n">
        <v>-120</v>
      </c>
      <c r="M126" s="59" t="n">
        <v>-398.3</v>
      </c>
      <c r="N126" s="59" t="n">
        <v>-88.5</v>
      </c>
      <c r="O126" s="59" t="n">
        <v>-183</v>
      </c>
      <c r="P126" s="59" t="n">
        <v>103.7</v>
      </c>
      <c r="Q126" s="59" t="n">
        <v>-13.1</v>
      </c>
      <c r="R126" s="59" t="n">
        <v>38</v>
      </c>
      <c r="S126" s="59" t="n">
        <v>-28.9</v>
      </c>
      <c r="T126" s="59" t="n">
        <v>54.9</v>
      </c>
      <c r="U126" s="59" t="n">
        <v>-41.8</v>
      </c>
      <c r="V126" s="59" t="n">
        <v>-131.3</v>
      </c>
      <c r="W126" s="59" t="n">
        <v>-176.6</v>
      </c>
      <c r="X126" s="59" t="n">
        <v>-169.5</v>
      </c>
      <c r="Y126" s="59" t="n">
        <v>-313</v>
      </c>
      <c r="Z126" s="57" t="n">
        <v>-704.64</v>
      </c>
      <c r="AA126" s="57" t="n">
        <v>111.713</v>
      </c>
      <c r="AI126" s="59" t="n">
        <f aca="false">SUM(B126:E126)</f>
        <v>-187.5</v>
      </c>
      <c r="AJ126" s="59" t="n">
        <f aca="false">SUM(F126:I126)</f>
        <v>-369.508</v>
      </c>
      <c r="AK126" s="59" t="n">
        <f aca="false">SUM(J126:M126)</f>
        <v>-353.81</v>
      </c>
      <c r="AL126" s="59" t="n">
        <f aca="false">SUM(N126:Q126)</f>
        <v>-180.9</v>
      </c>
      <c r="AM126" s="59" t="n">
        <f aca="false">SUM(R126:U126)</f>
        <v>22.2</v>
      </c>
      <c r="AN126" s="59" t="n">
        <f aca="false">SUM(V126:Y126)</f>
        <v>-790.4</v>
      </c>
      <c r="BF126" s="133"/>
      <c r="BG126" s="133"/>
      <c r="BH126" s="133"/>
      <c r="BI126" s="133"/>
      <c r="BJ126" s="133"/>
      <c r="BK126" s="133"/>
      <c r="BL126" s="133"/>
      <c r="BM126" s="133"/>
      <c r="BN126" s="133"/>
      <c r="BO126" s="133"/>
      <c r="BP126" s="133"/>
      <c r="BQ126" s="133"/>
      <c r="BR126" s="133"/>
      <c r="BS126" s="133"/>
      <c r="BT126" s="133"/>
      <c r="BU126" s="133"/>
      <c r="BV126" s="133"/>
      <c r="BW126" s="133"/>
      <c r="BX126" s="133"/>
      <c r="BY126" s="133"/>
      <c r="BZ126" s="133"/>
      <c r="CA126" s="133"/>
      <c r="CB126" s="133"/>
      <c r="CC126" s="133"/>
      <c r="CD126" s="133"/>
      <c r="CE126" s="133"/>
      <c r="CF126" s="133"/>
      <c r="CG126" s="133"/>
      <c r="CH126" s="133"/>
      <c r="CI126" s="133"/>
      <c r="CJ126" s="133"/>
      <c r="CK126" s="133"/>
      <c r="CL126" s="133"/>
      <c r="CM126" s="133"/>
      <c r="CN126" s="133"/>
      <c r="CO126" s="133"/>
      <c r="CP126" s="133"/>
      <c r="CQ126" s="133"/>
      <c r="CR126" s="133"/>
      <c r="CS126" s="133"/>
      <c r="CT126" s="133"/>
      <c r="CU126" s="133"/>
      <c r="CV126" s="133"/>
      <c r="CW126" s="133"/>
      <c r="CX126" s="133"/>
      <c r="CY126" s="133"/>
      <c r="CZ126" s="133"/>
      <c r="DA126" s="133"/>
      <c r="DB126" s="133"/>
      <c r="DC126" s="133"/>
      <c r="DD126" s="133"/>
      <c r="DE126" s="133"/>
      <c r="DF126" s="133"/>
      <c r="DG126" s="133"/>
      <c r="DH126" s="133"/>
      <c r="DI126" s="37"/>
      <c r="XEX126" s="37"/>
      <c r="XEY126" s="37"/>
      <c r="XEZ126" s="37"/>
      <c r="XFA126" s="37"/>
      <c r="XFB126" s="37"/>
      <c r="XFC126" s="37"/>
    </row>
    <row r="127" s="108" customFormat="true" ht="12.8" hidden="false" customHeight="true" outlineLevel="0" collapsed="false">
      <c r="A127" s="59" t="s">
        <v>148</v>
      </c>
      <c r="B127" s="59" t="n">
        <v>-149.1</v>
      </c>
      <c r="C127" s="59" t="n">
        <v>-112</v>
      </c>
      <c r="D127" s="59" t="n">
        <v>111.6</v>
      </c>
      <c r="E127" s="59" t="n">
        <v>107.8</v>
      </c>
      <c r="F127" s="59" t="n">
        <v>-137.3</v>
      </c>
      <c r="G127" s="59" t="n">
        <v>72.3</v>
      </c>
      <c r="H127" s="59" t="n">
        <v>24.8</v>
      </c>
      <c r="I127" s="59" t="n">
        <v>185.2</v>
      </c>
      <c r="J127" s="59" t="n">
        <v>-215.4</v>
      </c>
      <c r="K127" s="59" t="n">
        <v>-122</v>
      </c>
      <c r="L127" s="59" t="n">
        <v>53.8</v>
      </c>
      <c r="M127" s="59" t="n">
        <v>125</v>
      </c>
      <c r="N127" s="59" t="n">
        <v>-89.6</v>
      </c>
      <c r="O127" s="59" t="n">
        <v>38.3</v>
      </c>
      <c r="P127" s="59" t="n">
        <v>-68.3</v>
      </c>
      <c r="Q127" s="59" t="n">
        <v>213.2</v>
      </c>
      <c r="R127" s="59" t="n">
        <v>-145.2</v>
      </c>
      <c r="S127" s="59" t="n">
        <v>-19.3</v>
      </c>
      <c r="T127" s="59" t="n">
        <v>30.5</v>
      </c>
      <c r="U127" s="59" t="n">
        <v>255.3</v>
      </c>
      <c r="V127" s="59" t="n">
        <v>-276.4</v>
      </c>
      <c r="W127" s="59" t="n">
        <v>11</v>
      </c>
      <c r="X127" s="59" t="n">
        <v>139.4</v>
      </c>
      <c r="Y127" s="59" t="n">
        <v>117.8</v>
      </c>
      <c r="Z127" s="57" t="n">
        <v>0.154</v>
      </c>
      <c r="AA127" s="57" t="n">
        <v>-157.397</v>
      </c>
      <c r="AB127" s="57"/>
      <c r="AC127" s="57"/>
      <c r="AD127" s="57"/>
      <c r="AE127" s="57"/>
      <c r="AF127" s="57"/>
      <c r="AG127" s="57"/>
      <c r="AH127" s="57"/>
      <c r="AI127" s="59" t="n">
        <f aca="false">SUM(B127:E127)</f>
        <v>-41.7</v>
      </c>
      <c r="AJ127" s="59" t="n">
        <f aca="false">SUM(F127:I127)</f>
        <v>145</v>
      </c>
      <c r="AK127" s="59" t="n">
        <f aca="false">SUM(J127:M127)</f>
        <v>-158.6</v>
      </c>
      <c r="AL127" s="59" t="n">
        <f aca="false">SUM(N127:Q127)</f>
        <v>93.6</v>
      </c>
      <c r="AM127" s="59" t="n">
        <f aca="false">SUM(R127:U127)</f>
        <v>121.3</v>
      </c>
      <c r="AN127" s="59" t="n">
        <f aca="false">SUM(V127:Y127)</f>
        <v>-8.19999999999997</v>
      </c>
      <c r="AO127" s="57"/>
      <c r="AP127" s="57"/>
      <c r="AQ127" s="57"/>
      <c r="AR127" s="57"/>
      <c r="AS127" s="57"/>
      <c r="AT127" s="133"/>
      <c r="AU127" s="57"/>
      <c r="AV127" s="57"/>
      <c r="AW127" s="133"/>
      <c r="AX127" s="133"/>
      <c r="AY127" s="57"/>
      <c r="AZ127" s="57"/>
      <c r="BA127" s="57"/>
      <c r="BB127" s="57"/>
      <c r="BC127" s="57"/>
      <c r="BD127" s="57"/>
      <c r="BE127" s="57"/>
      <c r="BF127" s="57"/>
      <c r="BG127" s="57"/>
      <c r="BH127" s="57"/>
      <c r="BI127" s="57"/>
      <c r="BJ127" s="57"/>
      <c r="BK127" s="57"/>
      <c r="BL127" s="57"/>
      <c r="BM127" s="57"/>
      <c r="BN127" s="57"/>
      <c r="BO127" s="57"/>
      <c r="BP127" s="57"/>
      <c r="BQ127" s="57"/>
      <c r="BR127" s="57"/>
      <c r="BS127" s="57"/>
      <c r="BT127" s="57"/>
      <c r="BU127" s="57"/>
      <c r="BV127" s="57"/>
      <c r="BW127" s="57"/>
      <c r="BX127" s="57"/>
      <c r="BY127" s="57"/>
      <c r="BZ127" s="57"/>
      <c r="CA127" s="57"/>
      <c r="CB127" s="57"/>
      <c r="CC127" s="57"/>
      <c r="CD127" s="57"/>
      <c r="CE127" s="57"/>
      <c r="CF127" s="57"/>
      <c r="CG127" s="57"/>
      <c r="CH127" s="57"/>
      <c r="CI127" s="57"/>
      <c r="CJ127" s="57"/>
      <c r="CK127" s="57"/>
      <c r="CL127" s="57"/>
      <c r="CM127" s="57"/>
      <c r="CN127" s="57"/>
      <c r="CO127" s="57"/>
      <c r="CP127" s="57"/>
      <c r="CQ127" s="57"/>
      <c r="CR127" s="57"/>
      <c r="CS127" s="57"/>
      <c r="CT127" s="57"/>
      <c r="CU127" s="57"/>
      <c r="CV127" s="57"/>
      <c r="CW127" s="57"/>
      <c r="CX127" s="57"/>
      <c r="CY127" s="57"/>
      <c r="CZ127" s="57"/>
      <c r="DA127" s="57"/>
      <c r="DB127" s="57"/>
      <c r="DC127" s="57"/>
      <c r="DD127" s="57"/>
      <c r="DE127" s="57"/>
      <c r="DF127" s="57"/>
      <c r="DG127" s="57"/>
      <c r="DH127" s="57"/>
      <c r="DI127" s="37"/>
      <c r="XEX127" s="37"/>
      <c r="XEY127" s="37"/>
      <c r="XEZ127" s="37"/>
      <c r="XFA127" s="37"/>
      <c r="XFB127" s="37"/>
      <c r="XFC127" s="37"/>
    </row>
    <row r="128" s="57" customFormat="true" ht="12.8" hidden="false" customHeight="true" outlineLevel="0" collapsed="false">
      <c r="A128" s="59" t="s">
        <v>177</v>
      </c>
      <c r="B128" s="59" t="n">
        <v>214.1</v>
      </c>
      <c r="C128" s="59" t="n">
        <v>-105.4</v>
      </c>
      <c r="D128" s="59" t="n">
        <v>266</v>
      </c>
      <c r="E128" s="59" t="n">
        <v>-176.5</v>
      </c>
      <c r="F128" s="59" t="n">
        <v>177.8</v>
      </c>
      <c r="G128" s="59" t="n">
        <v>-171.4</v>
      </c>
      <c r="H128" s="59" t="n">
        <v>269.7</v>
      </c>
      <c r="I128" s="59" t="n">
        <v>-95.9</v>
      </c>
      <c r="J128" s="59" t="n">
        <v>350.7</v>
      </c>
      <c r="K128" s="59" t="n">
        <v>-238.7</v>
      </c>
      <c r="L128" s="59" t="n">
        <v>212</v>
      </c>
      <c r="M128" s="59" t="n">
        <v>-379.6</v>
      </c>
      <c r="N128" s="59" t="n">
        <v>185.29</v>
      </c>
      <c r="O128" s="59" t="n">
        <v>177.8</v>
      </c>
      <c r="P128" s="59" t="n">
        <v>-65</v>
      </c>
      <c r="Q128" s="59" t="n">
        <v>-194.5</v>
      </c>
      <c r="R128" s="59" t="n">
        <v>251.7</v>
      </c>
      <c r="S128" s="59" t="n">
        <v>-114.3</v>
      </c>
      <c r="T128" s="59" t="n">
        <v>179.011</v>
      </c>
      <c r="U128" s="59" t="n">
        <v>-124.5</v>
      </c>
      <c r="V128" s="59" t="n">
        <v>306.4</v>
      </c>
      <c r="W128" s="59" t="n">
        <v>-267.2</v>
      </c>
      <c r="X128" s="59" t="n">
        <v>707</v>
      </c>
      <c r="Y128" s="59" t="n">
        <v>134.88</v>
      </c>
      <c r="Z128" s="57" t="n">
        <v>1295.904</v>
      </c>
      <c r="AA128" s="57" t="n">
        <v>-1249.793</v>
      </c>
      <c r="AI128" s="59" t="n">
        <f aca="false">SUM(B128:E128)</f>
        <v>198.2</v>
      </c>
      <c r="AJ128" s="59" t="n">
        <f aca="false">SUM(F128:I128)</f>
        <v>180.2</v>
      </c>
      <c r="AK128" s="59" t="n">
        <f aca="false">SUM(J128:M128)</f>
        <v>-55.6</v>
      </c>
      <c r="AL128" s="59" t="n">
        <f aca="false">SUM(N128:Q128)</f>
        <v>103.59</v>
      </c>
      <c r="AM128" s="59" t="n">
        <f aca="false">SUM(R128:U128)</f>
        <v>191.911</v>
      </c>
      <c r="AN128" s="59" t="n">
        <f aca="false">SUM(V128:Y128)</f>
        <v>881.08</v>
      </c>
      <c r="AU128" s="133"/>
      <c r="AV128" s="133"/>
      <c r="AY128" s="133"/>
      <c r="AZ128" s="133"/>
      <c r="BA128" s="133"/>
      <c r="BB128" s="133"/>
      <c r="BC128" s="133"/>
      <c r="BD128" s="133"/>
      <c r="BE128" s="133"/>
      <c r="DI128" s="37"/>
      <c r="XEX128" s="37"/>
      <c r="XEY128" s="37"/>
      <c r="XEZ128" s="37"/>
      <c r="XFA128" s="37"/>
      <c r="XFB128" s="37"/>
      <c r="XFC128" s="37"/>
    </row>
    <row r="129" s="53" customFormat="true" ht="12.8" hidden="false" customHeight="true" outlineLevel="0" collapsed="false">
      <c r="A129" s="59" t="s">
        <v>150</v>
      </c>
      <c r="B129" s="59" t="n">
        <v>62</v>
      </c>
      <c r="C129" s="59" t="n">
        <v>42.5</v>
      </c>
      <c r="D129" s="59" t="n">
        <v>10.9</v>
      </c>
      <c r="E129" s="59" t="n">
        <v>77.7</v>
      </c>
      <c r="F129" s="59" t="n">
        <v>22.2</v>
      </c>
      <c r="G129" s="59" t="n">
        <v>47</v>
      </c>
      <c r="H129" s="59" t="n">
        <v>-4.7</v>
      </c>
      <c r="I129" s="59" t="n">
        <v>26.7</v>
      </c>
      <c r="J129" s="59" t="n">
        <v>16.7</v>
      </c>
      <c r="K129" s="59" t="n">
        <v>-10.3</v>
      </c>
      <c r="L129" s="59" t="n">
        <v>-48.4</v>
      </c>
      <c r="M129" s="59" t="n">
        <v>69.4</v>
      </c>
      <c r="N129" s="59" t="n">
        <v>-2.3</v>
      </c>
      <c r="O129" s="59" t="n">
        <v>49.6</v>
      </c>
      <c r="P129" s="59" t="n">
        <v>-5.7</v>
      </c>
      <c r="Q129" s="59" t="n">
        <v>137.1</v>
      </c>
      <c r="R129" s="59" t="n">
        <v>26.5</v>
      </c>
      <c r="S129" s="59" t="n">
        <v>4.2</v>
      </c>
      <c r="T129" s="59" t="n">
        <v>39.3</v>
      </c>
      <c r="U129" s="59" t="n">
        <v>7.7</v>
      </c>
      <c r="V129" s="59" t="n">
        <v>88.9</v>
      </c>
      <c r="W129" s="59" t="n">
        <v>118.6</v>
      </c>
      <c r="X129" s="59" t="n">
        <v>-3.6</v>
      </c>
      <c r="Y129" s="59" t="n">
        <v>51</v>
      </c>
      <c r="Z129" s="57" t="n">
        <v>-32.282</v>
      </c>
      <c r="AA129" s="57" t="n">
        <v>54.008</v>
      </c>
      <c r="AB129" s="57"/>
      <c r="AC129" s="57"/>
      <c r="AD129" s="57"/>
      <c r="AE129" s="57"/>
      <c r="AF129" s="57"/>
      <c r="AG129" s="57"/>
      <c r="AH129" s="57"/>
      <c r="AI129" s="59" t="n">
        <f aca="false">SUM(B129:E129)</f>
        <v>193.1</v>
      </c>
      <c r="AJ129" s="59" t="n">
        <f aca="false">SUM(F129:I129)</f>
        <v>91.2</v>
      </c>
      <c r="AK129" s="59" t="n">
        <f aca="false">SUM(J129:M129)</f>
        <v>27.4</v>
      </c>
      <c r="AL129" s="59" t="n">
        <f aca="false">SUM(N129:Q129)</f>
        <v>178.7</v>
      </c>
      <c r="AM129" s="59" t="n">
        <f aca="false">SUM(R129:U129)</f>
        <v>77.7</v>
      </c>
      <c r="AN129" s="59" t="n">
        <f aca="false">SUM(V129:Y129)</f>
        <v>254.9</v>
      </c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  <c r="BD129" s="57"/>
      <c r="BE129" s="57"/>
      <c r="BF129" s="57"/>
      <c r="BG129" s="57"/>
      <c r="BH129" s="57"/>
      <c r="BI129" s="57"/>
      <c r="BJ129" s="57"/>
      <c r="BK129" s="57"/>
      <c r="BL129" s="57"/>
      <c r="BM129" s="57"/>
      <c r="BN129" s="57"/>
      <c r="BO129" s="57"/>
      <c r="BP129" s="57"/>
      <c r="BQ129" s="57"/>
      <c r="BR129" s="57"/>
      <c r="BS129" s="57"/>
      <c r="BT129" s="57"/>
      <c r="BU129" s="57"/>
      <c r="BV129" s="57"/>
      <c r="BW129" s="57"/>
      <c r="BX129" s="57"/>
      <c r="BY129" s="57"/>
      <c r="BZ129" s="57"/>
      <c r="CA129" s="57"/>
      <c r="CB129" s="57"/>
      <c r="CC129" s="57"/>
      <c r="CD129" s="57"/>
      <c r="CE129" s="57"/>
      <c r="CF129" s="57"/>
      <c r="CG129" s="57"/>
      <c r="CH129" s="57"/>
      <c r="CI129" s="57"/>
      <c r="CJ129" s="57"/>
      <c r="CK129" s="57"/>
      <c r="CL129" s="57"/>
      <c r="CM129" s="57"/>
      <c r="CN129" s="57"/>
      <c r="CO129" s="57"/>
      <c r="CP129" s="57"/>
      <c r="CQ129" s="57"/>
      <c r="CR129" s="57"/>
      <c r="CS129" s="57"/>
      <c r="CT129" s="57"/>
      <c r="CU129" s="57"/>
      <c r="CV129" s="57"/>
      <c r="CW129" s="57"/>
      <c r="CX129" s="57"/>
      <c r="CY129" s="57"/>
      <c r="CZ129" s="57"/>
      <c r="DA129" s="57"/>
      <c r="DB129" s="57"/>
      <c r="DC129" s="57"/>
      <c r="DD129" s="57"/>
      <c r="DE129" s="57"/>
      <c r="DF129" s="57"/>
      <c r="DG129" s="57"/>
      <c r="DH129" s="57"/>
      <c r="DI129" s="37"/>
      <c r="XEX129" s="37"/>
      <c r="XEY129" s="37"/>
      <c r="XEZ129" s="37"/>
      <c r="XFA129" s="37"/>
      <c r="XFB129" s="37"/>
      <c r="XFC129" s="37"/>
    </row>
    <row r="130" customFormat="false" ht="12.8" hidden="false" customHeight="true" outlineLevel="0" collapsed="false">
      <c r="A130" s="59" t="s">
        <v>178</v>
      </c>
      <c r="B130" s="59" t="n">
        <v>-41.4</v>
      </c>
      <c r="C130" s="59" t="n">
        <v>-38.8</v>
      </c>
      <c r="D130" s="59" t="n">
        <v>-19.99</v>
      </c>
      <c r="E130" s="59" t="n">
        <v>-93.8</v>
      </c>
      <c r="F130" s="59" t="n">
        <v>-61.3</v>
      </c>
      <c r="G130" s="59" t="n">
        <v>-72.5</v>
      </c>
      <c r="H130" s="59" t="n">
        <v>-11</v>
      </c>
      <c r="I130" s="59" t="n">
        <v>-144.1</v>
      </c>
      <c r="J130" s="59" t="n">
        <v>-167.9</v>
      </c>
      <c r="K130" s="59" t="n">
        <v>125</v>
      </c>
      <c r="L130" s="59" t="n">
        <v>-4.1</v>
      </c>
      <c r="M130" s="59" t="n">
        <v>-170.4</v>
      </c>
      <c r="N130" s="59" t="n">
        <v>-68.9</v>
      </c>
      <c r="O130" s="59" t="n">
        <v>-117.9</v>
      </c>
      <c r="P130" s="59" t="n">
        <v>-40.3</v>
      </c>
      <c r="Q130" s="59" t="n">
        <v>-83.6</v>
      </c>
      <c r="R130" s="59" t="n">
        <v>-66</v>
      </c>
      <c r="S130" s="59" t="n">
        <v>-88.8</v>
      </c>
      <c r="T130" s="59" t="n">
        <v>-124.3</v>
      </c>
      <c r="U130" s="59" t="n">
        <v>-167.1</v>
      </c>
      <c r="V130" s="59" t="n">
        <v>-82.2</v>
      </c>
      <c r="W130" s="59" t="n">
        <v>-370.6</v>
      </c>
      <c r="X130" s="59" t="n">
        <v>-97.5</v>
      </c>
      <c r="Y130" s="59" t="n">
        <v>-243.1</v>
      </c>
      <c r="Z130" s="57" t="n">
        <v>-453.837</v>
      </c>
      <c r="AA130" s="57" t="n">
        <v>-63.77</v>
      </c>
      <c r="AB130" s="57"/>
      <c r="AC130" s="57"/>
      <c r="AD130" s="57"/>
      <c r="AE130" s="57"/>
      <c r="AF130" s="57"/>
      <c r="AG130" s="57"/>
      <c r="AH130" s="57"/>
      <c r="AI130" s="59" t="n">
        <f aca="false">SUM(B130:E130)</f>
        <v>-193.99</v>
      </c>
      <c r="AJ130" s="59" t="n">
        <f aca="false">SUM(F130:I130)</f>
        <v>-288.9</v>
      </c>
      <c r="AK130" s="59" t="n">
        <f aca="false">SUM(J130:M130)</f>
        <v>-217.4</v>
      </c>
      <c r="AL130" s="59" t="n">
        <f aca="false">SUM(N130:Q130)</f>
        <v>-310.7</v>
      </c>
      <c r="AM130" s="59" t="n">
        <f aca="false">SUM(R130:U130)</f>
        <v>-446.2</v>
      </c>
      <c r="AN130" s="59" t="n">
        <f aca="false">SUM(V130:Y130)</f>
        <v>-793.4</v>
      </c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  <c r="BD130" s="57"/>
      <c r="BE130" s="57"/>
      <c r="BF130" s="57"/>
      <c r="BG130" s="57"/>
      <c r="BH130" s="57"/>
      <c r="BI130" s="57"/>
      <c r="BJ130" s="57"/>
      <c r="BK130" s="57"/>
      <c r="BL130" s="57"/>
      <c r="BM130" s="57"/>
      <c r="BN130" s="57"/>
      <c r="BO130" s="57"/>
      <c r="BP130" s="57"/>
      <c r="BQ130" s="57"/>
      <c r="BR130" s="57"/>
      <c r="BS130" s="57"/>
      <c r="BT130" s="57"/>
      <c r="BU130" s="57"/>
      <c r="BV130" s="57"/>
      <c r="BW130" s="57"/>
      <c r="BX130" s="57"/>
      <c r="BY130" s="57"/>
      <c r="BZ130" s="57"/>
      <c r="CA130" s="57"/>
      <c r="CB130" s="57"/>
      <c r="CC130" s="57"/>
      <c r="CD130" s="57"/>
      <c r="CE130" s="57"/>
      <c r="CF130" s="57"/>
      <c r="CG130" s="57"/>
      <c r="CH130" s="57"/>
      <c r="CI130" s="57"/>
      <c r="CJ130" s="57"/>
      <c r="CK130" s="57"/>
      <c r="CL130" s="57"/>
      <c r="CM130" s="57"/>
      <c r="CN130" s="57"/>
      <c r="CO130" s="57"/>
      <c r="CP130" s="57"/>
      <c r="CQ130" s="57"/>
      <c r="CR130" s="57"/>
      <c r="CS130" s="57"/>
      <c r="CT130" s="57"/>
      <c r="CU130" s="57"/>
      <c r="CV130" s="57"/>
      <c r="CW130" s="57"/>
      <c r="CX130" s="57"/>
      <c r="CY130" s="57"/>
      <c r="CZ130" s="57"/>
      <c r="DA130" s="57"/>
      <c r="DB130" s="57"/>
      <c r="DC130" s="57"/>
      <c r="DD130" s="57"/>
      <c r="DE130" s="57"/>
      <c r="DF130" s="57"/>
      <c r="DG130" s="57"/>
      <c r="DH130" s="57"/>
    </row>
    <row r="131" customFormat="false" ht="12.8" hidden="false" customHeight="true" outlineLevel="0" collapsed="false">
      <c r="A131" s="59" t="s">
        <v>179</v>
      </c>
      <c r="B131" s="59" t="n">
        <f aca="false">SUM(B116:B130)</f>
        <v>259.204941396769</v>
      </c>
      <c r="C131" s="59" t="n">
        <f aca="false">SUM(C116:C130)</f>
        <v>1040.90432646954</v>
      </c>
      <c r="D131" s="59" t="n">
        <f aca="false">SUM(D116:D130)</f>
        <v>1263.43442849152</v>
      </c>
      <c r="E131" s="59" t="n">
        <f aca="false">SUM(E116:E130)</f>
        <v>-137.795198964542</v>
      </c>
      <c r="F131" s="59" t="n">
        <f aca="false">SUM(F116:F130)</f>
        <v>777.10498380612</v>
      </c>
      <c r="G131" s="59" t="n">
        <f aca="false">SUM(G116:G130)</f>
        <v>-63.8947696586259</v>
      </c>
      <c r="H131" s="59" t="n">
        <f aca="false">SUM(H116:H130)</f>
        <v>82.2093807627551</v>
      </c>
      <c r="I131" s="59" t="n">
        <f aca="false">SUM(I116:I130)</f>
        <v>-403.399711309717</v>
      </c>
      <c r="J131" s="59" t="n">
        <f aca="false">SUM(J116:J130)</f>
        <v>922.709481805356</v>
      </c>
      <c r="K131" s="59" t="n">
        <f aca="false">SUM(K116:K130)</f>
        <v>102.600476787955</v>
      </c>
      <c r="L131" s="59" t="n">
        <f aca="false">SUM(L116:L130)</f>
        <v>556.710738170347</v>
      </c>
      <c r="M131" s="59" t="n">
        <f aca="false">SUM(M116:M130)</f>
        <v>443.111882322975</v>
      </c>
      <c r="N131" s="59" t="n">
        <f aca="false">SUM(N116:N130)</f>
        <v>2178.90106414262</v>
      </c>
      <c r="O131" s="59" t="n">
        <f aca="false">SUM(O116:O130)</f>
        <v>1440.02990753634</v>
      </c>
      <c r="P131" s="59" t="n">
        <f aca="false">SUM(P116:P130)</f>
        <v>1992.51060641536</v>
      </c>
      <c r="Q131" s="59" t="n">
        <f aca="false">SUM(Q116:Q130)</f>
        <v>1662.80979393116</v>
      </c>
      <c r="R131" s="59" t="n">
        <f aca="false">SUM(R116:R130)</f>
        <v>2212.50930629669</v>
      </c>
      <c r="S131" s="59" t="n">
        <f aca="false">SUM(S116:S130)</f>
        <v>1291.05649461241</v>
      </c>
      <c r="T131" s="59" t="n">
        <f aca="false">SUM(T116:T130)</f>
        <v>2319.61914332248</v>
      </c>
      <c r="U131" s="59" t="n">
        <f aca="false">SUM(U116:U130)</f>
        <v>1537.0077583683</v>
      </c>
      <c r="V131" s="59" t="n">
        <f aca="false">SUM(V116:V130)</f>
        <v>2788.80758797306</v>
      </c>
      <c r="W131" s="59" t="n">
        <f aca="false">SUM(W116:W130)</f>
        <v>2423.10722086831</v>
      </c>
      <c r="X131" s="59" t="n">
        <f aca="false">SUM(X116:X130)</f>
        <v>2824.70758470895</v>
      </c>
      <c r="Y131" s="59" t="n">
        <f aca="false">SUM(Y116:Y130)</f>
        <v>2111.48712821662</v>
      </c>
      <c r="Z131" s="59" t="n">
        <f aca="false">SUM(Z116:Z130)</f>
        <v>5290.2130470984</v>
      </c>
      <c r="AA131" s="59" t="n">
        <f aca="false">SUM(AA116:AA130)</f>
        <v>1743.8200040204</v>
      </c>
      <c r="AB131" s="59" t="n">
        <f aca="false">SUM(AB116:AB130)</f>
        <v>91.6718951899534</v>
      </c>
      <c r="AC131" s="59" t="n">
        <f aca="false">SUM(AC116:AC130)</f>
        <v>90.2014801969256</v>
      </c>
      <c r="AD131" s="57"/>
      <c r="AE131" s="57"/>
      <c r="AF131" s="57"/>
      <c r="AG131" s="57"/>
      <c r="AH131" s="57"/>
      <c r="AI131" s="59" t="n">
        <f aca="false">SUM(AI116:AI130)</f>
        <v>2425.73462072897</v>
      </c>
      <c r="AJ131" s="59" t="n">
        <f aca="false">SUM(AJ116:AJ130)</f>
        <v>391.99901060993</v>
      </c>
      <c r="AK131" s="59" t="n">
        <f aca="false">SUM(AK116:AK130)</f>
        <v>2025.10064349663</v>
      </c>
      <c r="AL131" s="59" t="n">
        <f aca="false">SUM(AL116:AL130)</f>
        <v>7274.21957725762</v>
      </c>
      <c r="AM131" s="59" t="n">
        <f aca="false">SUM(AM116:AM130)</f>
        <v>7360.69840747759</v>
      </c>
      <c r="AN131" s="59" t="n">
        <f aca="false">SUM(AN116:AN130)</f>
        <v>10148.087374504</v>
      </c>
      <c r="AO131" s="59"/>
      <c r="AP131" s="59"/>
      <c r="AQ131" s="59"/>
      <c r="AR131" s="59"/>
      <c r="AS131" s="59"/>
      <c r="AU131" s="57"/>
      <c r="AV131" s="57"/>
      <c r="AY131" s="57"/>
      <c r="AZ131" s="57"/>
      <c r="BA131" s="57"/>
      <c r="BB131" s="57"/>
      <c r="BC131" s="57"/>
      <c r="BD131" s="57"/>
      <c r="BE131" s="57"/>
      <c r="BF131" s="57"/>
      <c r="BG131" s="57"/>
      <c r="BH131" s="57"/>
      <c r="BI131" s="57"/>
      <c r="BJ131" s="57"/>
      <c r="BK131" s="57"/>
      <c r="BL131" s="57"/>
      <c r="BM131" s="57"/>
      <c r="BN131" s="57"/>
      <c r="BO131" s="57"/>
      <c r="BP131" s="57"/>
      <c r="BQ131" s="57"/>
      <c r="BR131" s="57"/>
      <c r="BS131" s="57"/>
      <c r="BT131" s="57"/>
      <c r="BU131" s="57"/>
      <c r="BV131" s="57"/>
      <c r="BW131" s="57"/>
      <c r="BX131" s="57"/>
      <c r="BY131" s="57"/>
      <c r="BZ131" s="57"/>
      <c r="CA131" s="57"/>
      <c r="CB131" s="57"/>
      <c r="CC131" s="57"/>
      <c r="CD131" s="57"/>
      <c r="CE131" s="57"/>
      <c r="CF131" s="57"/>
      <c r="CG131" s="57"/>
      <c r="CH131" s="57"/>
      <c r="CI131" s="57"/>
      <c r="CJ131" s="57"/>
      <c r="CK131" s="57"/>
      <c r="CL131" s="57"/>
      <c r="CM131" s="57"/>
      <c r="CN131" s="57"/>
      <c r="CO131" s="57"/>
      <c r="CP131" s="57"/>
      <c r="CQ131" s="57"/>
      <c r="CR131" s="57"/>
      <c r="CS131" s="57"/>
      <c r="CT131" s="57"/>
      <c r="CU131" s="57"/>
      <c r="CV131" s="57"/>
      <c r="CW131" s="57"/>
      <c r="CX131" s="57"/>
      <c r="CY131" s="57"/>
      <c r="CZ131" s="57"/>
      <c r="DA131" s="57"/>
      <c r="DB131" s="57"/>
      <c r="DC131" s="57"/>
      <c r="DD131" s="57"/>
      <c r="DE131" s="57"/>
      <c r="DF131" s="57"/>
      <c r="DG131" s="57"/>
      <c r="DH131" s="57"/>
    </row>
    <row r="132" s="120" customFormat="true" ht="12.8" hidden="false" customHeight="true" outlineLevel="0" collapsed="false">
      <c r="A132" s="57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37"/>
      <c r="XEX132" s="37"/>
      <c r="XEY132" s="37"/>
      <c r="XEZ132" s="37"/>
      <c r="XFA132" s="37"/>
      <c r="XFB132" s="37"/>
      <c r="XFC132" s="37"/>
    </row>
    <row r="133" s="57" customFormat="true" ht="12.8" hidden="false" customHeight="true" outlineLevel="0" collapsed="false">
      <c r="A133" s="59" t="s">
        <v>180</v>
      </c>
      <c r="B133" s="59" t="n">
        <v>98</v>
      </c>
      <c r="C133" s="59" t="n">
        <v>141.7</v>
      </c>
      <c r="D133" s="59" t="n">
        <v>109.8</v>
      </c>
      <c r="E133" s="59" t="n">
        <v>148.3</v>
      </c>
      <c r="F133" s="59" t="n">
        <v>81</v>
      </c>
      <c r="G133" s="59" t="n">
        <v>110.2</v>
      </c>
      <c r="H133" s="59" t="n">
        <v>167.3</v>
      </c>
      <c r="I133" s="59" t="n">
        <v>165.9</v>
      </c>
      <c r="J133" s="59" t="n">
        <v>121.1</v>
      </c>
      <c r="K133" s="59" t="n">
        <v>90</v>
      </c>
      <c r="L133" s="59" t="n">
        <v>84.9</v>
      </c>
      <c r="M133" s="59" t="n">
        <v>111.5</v>
      </c>
      <c r="N133" s="59" t="n">
        <v>62</v>
      </c>
      <c r="O133" s="59" t="n">
        <v>100.9</v>
      </c>
      <c r="P133" s="59" t="n">
        <v>103.9</v>
      </c>
      <c r="Q133" s="59" t="n">
        <v>81.6</v>
      </c>
      <c r="R133" s="59" t="n">
        <v>75.7</v>
      </c>
      <c r="S133" s="59" t="n">
        <v>78.2</v>
      </c>
      <c r="T133" s="59" t="n">
        <v>126.8</v>
      </c>
      <c r="U133" s="59" t="n">
        <v>158.6</v>
      </c>
      <c r="V133" s="59" t="n">
        <v>128.2</v>
      </c>
      <c r="W133" s="59" t="n">
        <v>155.8</v>
      </c>
      <c r="X133" s="59" t="n">
        <v>164.7</v>
      </c>
      <c r="Y133" s="59" t="n">
        <v>239.3</v>
      </c>
      <c r="Z133" s="57" t="n">
        <v>196.13</v>
      </c>
      <c r="AA133" s="57" t="n">
        <v>218.644</v>
      </c>
      <c r="AI133" s="59" t="n">
        <f aca="false">SUM(B133:E133)</f>
        <v>497.8</v>
      </c>
      <c r="AJ133" s="59" t="n">
        <f aca="false">SUM(F133:I133)</f>
        <v>524.4</v>
      </c>
      <c r="AK133" s="59" t="n">
        <f aca="false">SUM(G133:J133)</f>
        <v>564.5</v>
      </c>
      <c r="AL133" s="59" t="n">
        <f aca="false">SUM(N133:Q133)</f>
        <v>348.4</v>
      </c>
      <c r="AM133" s="59" t="n">
        <f aca="false">SUM(R133:U133)</f>
        <v>439.3</v>
      </c>
      <c r="AN133" s="59" t="n">
        <f aca="false">SUM(V133:Y133)</f>
        <v>688</v>
      </c>
      <c r="AO133" s="57" t="n">
        <f aca="false">+AN133*1.1</f>
        <v>756.8</v>
      </c>
      <c r="AP133" s="57" t="n">
        <f aca="false">+AO133*1.1</f>
        <v>832.48</v>
      </c>
      <c r="AQ133" s="57" t="n">
        <f aca="false">+AP133*1.1</f>
        <v>915.728</v>
      </c>
      <c r="AR133" s="57" t="n">
        <f aca="false">+AQ133*1.1</f>
        <v>1007.3008</v>
      </c>
      <c r="AS133" s="57" t="n">
        <f aca="false">+AR133*1.1</f>
        <v>1108.03088</v>
      </c>
      <c r="AT133" s="6"/>
      <c r="AU133" s="6"/>
      <c r="AV133" s="6"/>
      <c r="AW133" s="108"/>
      <c r="AX133" s="108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37"/>
      <c r="XEX133" s="37"/>
      <c r="XEY133" s="37"/>
      <c r="XEZ133" s="37"/>
      <c r="XFA133" s="37"/>
      <c r="XFB133" s="37"/>
      <c r="XFC133" s="37"/>
    </row>
    <row r="134" s="54" customFormat="true" ht="10.5" hidden="false" customHeight="true" outlineLevel="0" collapsed="false">
      <c r="B134" s="54" t="n">
        <f aca="false">+B133/B$16</f>
        <v>0.0169914695887371</v>
      </c>
      <c r="C134" s="54" t="n">
        <f aca="false">+C133/C$16</f>
        <v>0.023047395985817</v>
      </c>
      <c r="D134" s="54" t="n">
        <f aca="false">+D133/D$16</f>
        <v>0.0170613462614208</v>
      </c>
      <c r="E134" s="54" t="n">
        <f aca="false">+E133/E$16</f>
        <v>0.0223195472879417</v>
      </c>
      <c r="F134" s="54" t="n">
        <f aca="false">+F133/F$16</f>
        <v>0.0113077953987045</v>
      </c>
      <c r="G134" s="54" t="n">
        <f aca="false">+G133/G$16</f>
        <v>0.0150099900882307</v>
      </c>
      <c r="H134" s="54" t="n">
        <f aca="false">+H133/H$16</f>
        <v>0.0223561482748483</v>
      </c>
      <c r="I134" s="54" t="n">
        <f aca="false">+I133/I$16</f>
        <v>0.0215194635051172</v>
      </c>
      <c r="J134" s="54" t="n">
        <f aca="false">+J133/J$16</f>
        <v>0.0153920459600646</v>
      </c>
      <c r="K134" s="54" t="n">
        <f aca="false">+K133/K$16</f>
        <v>0.0112923462986198</v>
      </c>
      <c r="L134" s="54" t="n">
        <f aca="false">+L133/L$16</f>
        <v>0.0107129337539432</v>
      </c>
      <c r="M134" s="54" t="n">
        <f aca="false">+M133/M$16</f>
        <v>0.0142002037697402</v>
      </c>
      <c r="N134" s="54" t="n">
        <f aca="false">+N133/N$16</f>
        <v>0.00759664277399988</v>
      </c>
      <c r="O134" s="54" t="n">
        <f aca="false">+O133/O$16</f>
        <v>0.0123244167582753</v>
      </c>
      <c r="P134" s="54" t="n">
        <f aca="false">+P133/P$16</f>
        <v>0.0121634277686724</v>
      </c>
      <c r="Q134" s="54" t="n">
        <f aca="false">+Q133/Q$16</f>
        <v>0.00923913043478261</v>
      </c>
      <c r="R134" s="54" t="n">
        <f aca="false">+R133/R$16</f>
        <v>0.00807897545357524</v>
      </c>
      <c r="S134" s="54" t="n">
        <f aca="false">+S133/S$16</f>
        <v>0.00818077204728528</v>
      </c>
      <c r="T134" s="54" t="n">
        <f aca="false">+T133/T$16</f>
        <v>0.0129071661237785</v>
      </c>
      <c r="U134" s="54" t="n">
        <f aca="false">+U133/U$16</f>
        <v>0.0154777007904753</v>
      </c>
      <c r="V134" s="54" t="n">
        <f aca="false">+V133/V$16</f>
        <v>0.0121597268329697</v>
      </c>
      <c r="W134" s="54" t="n">
        <f aca="false">+W133/W$16</f>
        <v>0.0140626410325842</v>
      </c>
      <c r="X134" s="54" t="n">
        <f aca="false">+X133/X$16</f>
        <v>0.0143092962641182</v>
      </c>
      <c r="Y134" s="54" t="n">
        <f aca="false">+Y133/Y$16</f>
        <v>0.0198577675985627</v>
      </c>
      <c r="Z134" s="54" t="n">
        <f aca="false">+Z133/Z$16</f>
        <v>0.0160109298494656</v>
      </c>
      <c r="AA134" s="54" t="n">
        <f aca="false">+AA133/AA$16</f>
        <v>0.0174080477148852</v>
      </c>
      <c r="AB134" s="54" t="n">
        <f aca="false">+AB133/AB$16</f>
        <v>0</v>
      </c>
      <c r="AC134" s="54" t="n">
        <f aca="false">+AC133/AC$16</f>
        <v>0</v>
      </c>
      <c r="AI134" s="54" t="n">
        <f aca="false">+AI133/AI$16</f>
        <v>0.0199151418127724</v>
      </c>
      <c r="AJ134" s="54" t="n">
        <f aca="false">+AJ133/AJ$16</f>
        <v>0.0176578474854942</v>
      </c>
      <c r="AK134" s="54" t="n">
        <f aca="false">+AK133/AK$16</f>
        <v>0.0178551377407636</v>
      </c>
      <c r="AL134" s="54" t="n">
        <f aca="false">+AL133/AL$16</f>
        <v>0.0103311369585245</v>
      </c>
      <c r="AM134" s="54" t="n">
        <f aca="false">+AM133/AM$16</f>
        <v>0.0112638149035989</v>
      </c>
      <c r="AN134" s="54" t="n">
        <f aca="false">+AN133/AN$16</f>
        <v>0.0152270669968816</v>
      </c>
      <c r="AO134" s="54" t="n">
        <f aca="false">+AO133/AO$16</f>
        <v>0.0147315511843181</v>
      </c>
      <c r="AP134" s="54" t="n">
        <f aca="false">+AP133/AP$16</f>
        <v>0.0142521603366314</v>
      </c>
      <c r="AQ134" s="54" t="n">
        <f aca="false">+AQ133/AQ$16</f>
        <v>0.0138737843984908</v>
      </c>
      <c r="AR134" s="54" t="n">
        <f aca="false">+AR133/AR$16</f>
        <v>0.0135054538392388</v>
      </c>
      <c r="AS134" s="54" t="n">
        <f aca="false">+AS133/AS$16</f>
        <v>0.013264285020681</v>
      </c>
      <c r="DI134" s="37"/>
      <c r="XEX134" s="37"/>
      <c r="XEY134" s="37"/>
      <c r="XEZ134" s="37"/>
      <c r="XFA134" s="37"/>
      <c r="XFB134" s="37"/>
      <c r="XFC134" s="37"/>
    </row>
    <row r="135" s="116" customFormat="true" ht="12.8" hidden="false" customHeight="true" outlineLevel="0" collapsed="false">
      <c r="A135" s="56" t="s">
        <v>181</v>
      </c>
      <c r="B135" s="56" t="n">
        <f aca="false">B131-B133</f>
        <v>161.204941396769</v>
      </c>
      <c r="C135" s="56" t="n">
        <f aca="false">C131-C133</f>
        <v>899.204326469536</v>
      </c>
      <c r="D135" s="56" t="n">
        <f aca="false">D131-D133</f>
        <v>1153.63442849152</v>
      </c>
      <c r="E135" s="56" t="n">
        <f aca="false">E131-E133</f>
        <v>-286.095198964542</v>
      </c>
      <c r="F135" s="56" t="n">
        <f aca="false">F131-F133</f>
        <v>696.10498380612</v>
      </c>
      <c r="G135" s="56" t="n">
        <f aca="false">G131-G133</f>
        <v>-174.094769658626</v>
      </c>
      <c r="H135" s="56" t="n">
        <f aca="false">H131-H133</f>
        <v>-85.0906192372449</v>
      </c>
      <c r="I135" s="56" t="n">
        <f aca="false">I131-I133</f>
        <v>-569.299711309717</v>
      </c>
      <c r="J135" s="56" t="n">
        <f aca="false">J131-J133</f>
        <v>801.609481805356</v>
      </c>
      <c r="K135" s="56" t="n">
        <f aca="false">K131-K133</f>
        <v>12.6004767879551</v>
      </c>
      <c r="L135" s="56" t="n">
        <f aca="false">L131-L133</f>
        <v>471.810738170347</v>
      </c>
      <c r="M135" s="56" t="n">
        <f aca="false">M131-M133</f>
        <v>331.611882322975</v>
      </c>
      <c r="N135" s="56" t="n">
        <f aca="false">N131-N133</f>
        <v>2116.90106414262</v>
      </c>
      <c r="O135" s="56" t="n">
        <f aca="false">O131-O133</f>
        <v>1339.12990753634</v>
      </c>
      <c r="P135" s="56" t="n">
        <f aca="false">P131-P133</f>
        <v>1888.61060641536</v>
      </c>
      <c r="Q135" s="56" t="n">
        <f aca="false">Q131-Q133</f>
        <v>1581.20979393116</v>
      </c>
      <c r="R135" s="56" t="n">
        <f aca="false">R131-R133</f>
        <v>2136.80930629669</v>
      </c>
      <c r="S135" s="56" t="n">
        <f aca="false">S131-S133</f>
        <v>1212.85649461241</v>
      </c>
      <c r="T135" s="56" t="n">
        <f aca="false">T131-T133</f>
        <v>2192.81914332248</v>
      </c>
      <c r="U135" s="56" t="n">
        <f aca="false">U131-U133</f>
        <v>1378.4077583683</v>
      </c>
      <c r="V135" s="56" t="n">
        <f aca="false">V131-V133</f>
        <v>2660.60758797306</v>
      </c>
      <c r="W135" s="56" t="n">
        <f aca="false">W131-W133</f>
        <v>2267.30722086831</v>
      </c>
      <c r="X135" s="56" t="n">
        <f aca="false">X131-X133</f>
        <v>2660.00758470895</v>
      </c>
      <c r="Y135" s="56" t="n">
        <f aca="false">Y131-Y133</f>
        <v>1872.18712821662</v>
      </c>
      <c r="Z135" s="56" t="n">
        <f aca="false">Z131-Z133</f>
        <v>5094.0830470984</v>
      </c>
      <c r="AA135" s="56" t="n">
        <f aca="false">AA131-AA133</f>
        <v>1525.1760040204</v>
      </c>
      <c r="AB135" s="56" t="n">
        <f aca="false">AB131-AB133</f>
        <v>91.6718951899534</v>
      </c>
      <c r="AC135" s="133"/>
      <c r="AD135" s="133"/>
      <c r="AE135" s="133"/>
      <c r="AF135" s="133"/>
      <c r="AG135" s="133"/>
      <c r="AH135" s="133"/>
      <c r="AI135" s="56" t="n">
        <f aca="false">SUM(B135:E135)</f>
        <v>1927.94849739328</v>
      </c>
      <c r="AJ135" s="56" t="n">
        <f aca="false">SUM(F135:I135)</f>
        <v>-132.380116399468</v>
      </c>
      <c r="AK135" s="56" t="n">
        <f aca="false">SUM(J135:M135)</f>
        <v>1617.63257908663</v>
      </c>
      <c r="AL135" s="56" t="n">
        <f aca="false">SUM(N135:Q135)</f>
        <v>6925.85137202548</v>
      </c>
      <c r="AM135" s="56" t="n">
        <f aca="false">SUM(R135:U135)</f>
        <v>6920.89270259988</v>
      </c>
      <c r="AN135" s="56" t="n">
        <f aca="false">SUM(V135:Y135)</f>
        <v>9460.10952176694</v>
      </c>
      <c r="AO135" s="133"/>
      <c r="AP135" s="133"/>
      <c r="AQ135" s="133"/>
      <c r="AR135" s="133"/>
      <c r="AS135" s="133"/>
      <c r="AU135" s="6"/>
      <c r="AV135" s="6"/>
      <c r="AW135" s="68"/>
      <c r="AX135" s="68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37"/>
      <c r="XEX135" s="37"/>
      <c r="XEY135" s="37"/>
      <c r="XEZ135" s="37"/>
      <c r="XFA135" s="37"/>
      <c r="XFB135" s="37"/>
      <c r="XFC135" s="37"/>
    </row>
    <row r="136" s="54" customFormat="true" ht="10.5" hidden="false" customHeight="true" outlineLevel="0" collapsed="false">
      <c r="A136" s="62"/>
      <c r="B136" s="62"/>
      <c r="C136" s="62"/>
      <c r="D136" s="62"/>
      <c r="E136" s="62"/>
      <c r="F136" s="54" t="n">
        <f aca="false">+F135/B135-1</f>
        <v>3.31813676289748</v>
      </c>
      <c r="G136" s="54" t="n">
        <f aca="false">+G135/C135-1</f>
        <v>-1.1936097998351</v>
      </c>
      <c r="H136" s="54" t="n">
        <f aca="false">+H135/D135-1</f>
        <v>-1.07375873772119</v>
      </c>
      <c r="I136" s="54" t="n">
        <f aca="false">+I135/E135-1</f>
        <v>0.989896067358597</v>
      </c>
      <c r="J136" s="54" t="n">
        <f aca="false">+J135/F135-1</f>
        <v>0.151564060671374</v>
      </c>
      <c r="K136" s="55" t="s">
        <v>83</v>
      </c>
      <c r="L136" s="55" t="s">
        <v>83</v>
      </c>
      <c r="M136" s="55" t="s">
        <v>83</v>
      </c>
      <c r="N136" s="54" t="n">
        <f aca="false">+N135/J135-1</f>
        <v>1.64081340377239</v>
      </c>
      <c r="O136" s="54" t="n">
        <f aca="false">+O135/K135-1</f>
        <v>105.276129869659</v>
      </c>
      <c r="P136" s="54" t="n">
        <f aca="false">+P135/L135-1</f>
        <v>3.00289873380008</v>
      </c>
      <c r="Q136" s="54" t="n">
        <f aca="false">+Q135/M135-1</f>
        <v>3.76825433049812</v>
      </c>
      <c r="R136" s="54" t="n">
        <f aca="false">+R135/N135-1</f>
        <v>0.00940442729766122</v>
      </c>
      <c r="S136" s="54" t="n">
        <f aca="false">+S135/O135-1</f>
        <v>-0.0942951182057028</v>
      </c>
      <c r="T136" s="54" t="n">
        <f aca="false">+T135/P135-1</f>
        <v>0.161075308946037</v>
      </c>
      <c r="U136" s="54" t="n">
        <f aca="false">+U135/Q135-1</f>
        <v>-0.128257512912727</v>
      </c>
      <c r="V136" s="54" t="n">
        <f aca="false">+V135/R135-1</f>
        <v>0.245131037258616</v>
      </c>
      <c r="W136" s="54" t="n">
        <f aca="false">+W135/S135-1</f>
        <v>0.869394467473972</v>
      </c>
      <c r="X136" s="54" t="n">
        <f aca="false">+X135/T135-1</f>
        <v>0.213053795525794</v>
      </c>
      <c r="Y136" s="54" t="n">
        <f aca="false">+Y135/U135-1</f>
        <v>0.35822445633419</v>
      </c>
      <c r="Z136" s="54" t="n">
        <f aca="false">+Z135/V135-1</f>
        <v>0.914631481217131</v>
      </c>
      <c r="AA136" s="54" t="n">
        <f aca="false">+AA135/W135-1</f>
        <v>-0.327318331639103</v>
      </c>
      <c r="AB136" s="62"/>
      <c r="AC136" s="62"/>
      <c r="AD136" s="62"/>
      <c r="AE136" s="62"/>
      <c r="AF136" s="62"/>
      <c r="AG136" s="62"/>
      <c r="AH136" s="62"/>
      <c r="AI136" s="62"/>
      <c r="AJ136" s="54" t="n">
        <f aca="false">+AJ135/AI135-1</f>
        <v>-1.06866372031123</v>
      </c>
      <c r="AK136" s="55" t="s">
        <v>83</v>
      </c>
      <c r="AL136" s="54" t="n">
        <f aca="false">+AL135/AK135-1</f>
        <v>3.28147371755831</v>
      </c>
      <c r="AM136" s="54" t="n">
        <f aca="false">+AM135/AL135-1</f>
        <v>-0.000715965324585066</v>
      </c>
      <c r="AN136" s="54" t="n">
        <f aca="false">+AN135/AM135-1</f>
        <v>0.366891516496591</v>
      </c>
      <c r="AO136" s="62"/>
      <c r="AP136" s="62"/>
      <c r="AQ136" s="62"/>
      <c r="AR136" s="62"/>
      <c r="AS136" s="62"/>
      <c r="DI136" s="37"/>
      <c r="XEX136" s="37"/>
      <c r="XEY136" s="37"/>
      <c r="XEZ136" s="37"/>
      <c r="XFA136" s="37"/>
      <c r="XFB136" s="37"/>
      <c r="XFC136" s="37"/>
    </row>
    <row r="137" customFormat="false" ht="12.8" hidden="false" customHeight="true" outlineLevel="0" collapsed="false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U137" s="116"/>
      <c r="AV137" s="116"/>
      <c r="AY137" s="116"/>
      <c r="AZ137" s="116"/>
      <c r="BA137" s="116"/>
      <c r="BB137" s="116"/>
      <c r="BC137" s="116"/>
      <c r="BD137" s="116"/>
      <c r="BE137" s="116"/>
      <c r="BF137" s="116"/>
      <c r="BG137" s="116"/>
      <c r="BH137" s="116"/>
      <c r="BI137" s="116"/>
      <c r="BJ137" s="116"/>
      <c r="BK137" s="116"/>
      <c r="BL137" s="116"/>
      <c r="BM137" s="116"/>
      <c r="BN137" s="116"/>
      <c r="BO137" s="116"/>
      <c r="BP137" s="116"/>
      <c r="BQ137" s="116"/>
      <c r="BR137" s="116"/>
      <c r="BS137" s="116"/>
      <c r="BT137" s="116"/>
      <c r="BU137" s="116"/>
      <c r="BV137" s="116"/>
      <c r="BW137" s="116"/>
      <c r="BX137" s="116"/>
      <c r="BY137" s="116"/>
      <c r="BZ137" s="116"/>
      <c r="CA137" s="116"/>
      <c r="CB137" s="116"/>
      <c r="CC137" s="116"/>
      <c r="CD137" s="116"/>
      <c r="CE137" s="116"/>
      <c r="CF137" s="116"/>
      <c r="CG137" s="116"/>
      <c r="CH137" s="116"/>
      <c r="CI137" s="116"/>
      <c r="CJ137" s="116"/>
      <c r="CK137" s="116"/>
      <c r="CL137" s="116"/>
      <c r="CM137" s="116"/>
      <c r="CN137" s="116"/>
      <c r="CO137" s="116"/>
      <c r="CP137" s="116"/>
      <c r="CQ137" s="116"/>
      <c r="CR137" s="116"/>
      <c r="CS137" s="116"/>
      <c r="CT137" s="116"/>
      <c r="CU137" s="116"/>
      <c r="CV137" s="116"/>
      <c r="CW137" s="116"/>
      <c r="CX137" s="116"/>
      <c r="CY137" s="116"/>
      <c r="CZ137" s="116"/>
      <c r="DA137" s="116"/>
      <c r="DB137" s="116"/>
      <c r="DC137" s="116"/>
      <c r="DD137" s="116"/>
      <c r="DE137" s="116"/>
      <c r="DF137" s="116"/>
      <c r="DG137" s="116"/>
      <c r="DH137" s="116"/>
    </row>
    <row r="138" customFormat="false" ht="12.8" hidden="false" customHeight="true" outlineLevel="0" collapsed="false">
      <c r="A138" s="57" t="s">
        <v>182</v>
      </c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 t="n">
        <v>9400</v>
      </c>
      <c r="AJ138" s="57" t="n">
        <v>11300</v>
      </c>
      <c r="AK138" s="57" t="n">
        <v>12800</v>
      </c>
      <c r="AL138" s="57" t="n">
        <v>13000</v>
      </c>
      <c r="AM138" s="57" t="n">
        <v>14000</v>
      </c>
      <c r="AN138" s="57" t="n">
        <v>16000</v>
      </c>
      <c r="AO138" s="57"/>
      <c r="AP138" s="57"/>
      <c r="AQ138" s="57"/>
      <c r="AR138" s="57"/>
      <c r="AS138" s="57"/>
    </row>
    <row r="139" s="77" customFormat="true" ht="12.8" hidden="false" customHeight="true" outlineLevel="0" collapsed="false">
      <c r="A139" s="120" t="s">
        <v>183</v>
      </c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G139" s="120"/>
      <c r="AH139" s="120"/>
      <c r="AI139" s="120" t="n">
        <f aca="false">+(AI16*1000000)/AI138</f>
        <v>2659154.89361702</v>
      </c>
      <c r="AJ139" s="120" t="n">
        <f aca="false">+(AJ16*1000000)/AJ138</f>
        <v>2628127.78761062</v>
      </c>
      <c r="AK139" s="120" t="n">
        <f aca="false">+(AK16*1000000)/AK138</f>
        <v>2469964.84375</v>
      </c>
      <c r="AL139" s="120" t="n">
        <f aca="false">+(AL16*1000000)/AL138</f>
        <v>2594099.76923077</v>
      </c>
      <c r="AM139" s="120" t="n">
        <f aca="false">+(AM16*1000000)/AM138</f>
        <v>2785785.42857143</v>
      </c>
      <c r="AN139" s="120" t="n">
        <f aca="false">+(AN16*1000000)/AN138</f>
        <v>2823918.75</v>
      </c>
      <c r="AO139" s="120"/>
      <c r="AP139" s="120"/>
      <c r="AQ139" s="120"/>
      <c r="AR139" s="120"/>
      <c r="AS139" s="120"/>
      <c r="AT139" s="68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37"/>
      <c r="XEX139" s="37"/>
      <c r="XEY139" s="37"/>
      <c r="XEZ139" s="37"/>
      <c r="XFA139" s="37"/>
      <c r="XFB139" s="37"/>
      <c r="XFC139" s="37"/>
    </row>
    <row r="140" customFormat="false" ht="12.8" hidden="false" customHeight="true" outlineLevel="0" collapsed="false">
      <c r="AT140" s="68"/>
      <c r="AW140" s="120"/>
      <c r="AX140" s="120"/>
    </row>
    <row r="141" customFormat="false" ht="12.8" hidden="false" customHeight="true" outlineLevel="0" collapsed="false">
      <c r="A141" s="57" t="s">
        <v>184</v>
      </c>
      <c r="B141" s="57" t="n">
        <f aca="false">+B115-B131</f>
        <v>449.729027671822</v>
      </c>
      <c r="C141" s="57" t="n">
        <f aca="false">+C115-C131</f>
        <v>-320.645717445756</v>
      </c>
      <c r="D141" s="57" t="n">
        <f aca="false">+D115-D131</f>
        <v>-473.286908446765</v>
      </c>
      <c r="E141" s="57" t="n">
        <f aca="false">+E115-E131</f>
        <v>680.007160917465</v>
      </c>
      <c r="F141" s="57" t="n">
        <f aca="false">+F115-F131</f>
        <v>929.550150770605</v>
      </c>
      <c r="G141" s="57" t="n">
        <f aca="false">+G115-G131</f>
        <v>1417.01633045092</v>
      </c>
      <c r="H141" s="57" t="n">
        <f aca="false">+H115-H131</f>
        <v>1367.43030440709</v>
      </c>
      <c r="I141" s="57" t="n">
        <f aca="false">+I115-I131</f>
        <v>1011.91305363652</v>
      </c>
      <c r="J141" s="57" t="n">
        <f aca="false">+J115-J131</f>
        <v>674.736292690366</v>
      </c>
      <c r="K141" s="57" t="n">
        <f aca="false">+K115-K131</f>
        <v>1338.33745294856</v>
      </c>
      <c r="L141" s="57" t="n">
        <f aca="false">+L115-L131</f>
        <v>760.433981072556</v>
      </c>
      <c r="M141" s="57" t="n">
        <f aca="false">+M115-M131</f>
        <v>-387.803616912889</v>
      </c>
      <c r="N141" s="57" t="n">
        <f aca="false">+N115-N131</f>
        <v>-872.853303314342</v>
      </c>
      <c r="O141" s="57" t="n">
        <f aca="false">+O115-O131</f>
        <v>49.213258458532</v>
      </c>
      <c r="P141" s="57" t="n">
        <f aca="false">+P115-P131</f>
        <v>-272.652844767033</v>
      </c>
      <c r="Q141" s="57" t="n">
        <f aca="false">+Q115-Q131</f>
        <v>-714.189707880435</v>
      </c>
      <c r="R141" s="57" t="n">
        <f aca="false">+R115-R131</f>
        <v>120.345976520811</v>
      </c>
      <c r="S141" s="57" t="n">
        <f aca="false">+S115-S131</f>
        <v>856.89715116644</v>
      </c>
      <c r="T141" s="57" t="n">
        <f aca="false">+T115-T131</f>
        <v>45.8406897394139</v>
      </c>
      <c r="U141" s="57" t="n">
        <f aca="false">+U115-U131</f>
        <v>333.721264760417</v>
      </c>
      <c r="V141" s="57" t="n">
        <f aca="false">+V115-V131</f>
        <v>103.953362420563</v>
      </c>
      <c r="W141" s="57" t="n">
        <f aca="false">+W115-W131</f>
        <v>703.754048199296</v>
      </c>
      <c r="X141" s="57" t="n">
        <f aca="false">+X115-X131</f>
        <v>-275.849982623806</v>
      </c>
      <c r="Y141" s="57" t="n">
        <f aca="false">+Y115-Y131</f>
        <v>306.805601276274</v>
      </c>
      <c r="Z141" s="57" t="n">
        <f aca="false">+Z115-Z131</f>
        <v>-7.56914495511956</v>
      </c>
      <c r="AA141" s="57" t="n">
        <f aca="false">+AA115-AA131</f>
        <v>1657.44817416105</v>
      </c>
      <c r="AB141" s="57"/>
      <c r="AC141" s="57"/>
      <c r="AD141" s="57"/>
      <c r="AE141" s="57"/>
      <c r="AF141" s="57"/>
      <c r="AG141" s="57"/>
      <c r="AH141" s="57"/>
      <c r="AI141" s="57" t="n">
        <f aca="false">+AI115-AI131</f>
        <v>335.498035179628</v>
      </c>
      <c r="AJ141" s="57" t="n">
        <f aca="false">+AJ115-AJ131</f>
        <v>4724.06672067454</v>
      </c>
      <c r="AK141" s="57" t="n">
        <f aca="false">+AK115-AK131</f>
        <v>2466.65756647283</v>
      </c>
      <c r="AL141" s="57" t="n">
        <f aca="false">+AL115-AL131</f>
        <v>-1866.38773620038</v>
      </c>
      <c r="AM141" s="57" t="n">
        <f aca="false">+AM115-AM131</f>
        <v>1350.81277970737</v>
      </c>
      <c r="AN141" s="57" t="n">
        <f aca="false">+AN115-AN131</f>
        <v>832.629500306532</v>
      </c>
      <c r="AO141" s="57"/>
      <c r="AP141" s="57"/>
      <c r="AQ141" s="57"/>
      <c r="AR141" s="57"/>
      <c r="AS141" s="57"/>
      <c r="AT141" s="120"/>
      <c r="AU141" s="120"/>
      <c r="AV141" s="120"/>
      <c r="AY141" s="120"/>
      <c r="AZ141" s="120"/>
      <c r="BA141" s="120"/>
      <c r="BB141" s="120"/>
      <c r="BC141" s="120"/>
      <c r="BD141" s="120"/>
      <c r="BE141" s="120"/>
      <c r="BF141" s="120"/>
      <c r="BG141" s="120"/>
      <c r="BH141" s="120"/>
      <c r="BI141" s="120"/>
      <c r="BJ141" s="120"/>
      <c r="BK141" s="120"/>
      <c r="BL141" s="120"/>
      <c r="BM141" s="120"/>
      <c r="BN141" s="120"/>
      <c r="BO141" s="120"/>
      <c r="BP141" s="120"/>
      <c r="BQ141" s="120"/>
      <c r="BR141" s="120"/>
      <c r="BS141" s="120"/>
      <c r="BT141" s="120"/>
      <c r="BU141" s="120"/>
      <c r="BV141" s="120"/>
      <c r="BW141" s="120"/>
      <c r="BX141" s="120"/>
      <c r="BY141" s="120"/>
      <c r="BZ141" s="120"/>
      <c r="CA141" s="120"/>
      <c r="CB141" s="120"/>
      <c r="CC141" s="120"/>
      <c r="CD141" s="120"/>
      <c r="CE141" s="120"/>
      <c r="CF141" s="120"/>
      <c r="CG141" s="120"/>
      <c r="CH141" s="120"/>
      <c r="CI141" s="120"/>
      <c r="CJ141" s="120"/>
      <c r="CK141" s="120"/>
      <c r="CL141" s="120"/>
      <c r="CM141" s="120"/>
      <c r="CN141" s="120"/>
      <c r="CO141" s="120"/>
      <c r="CP141" s="120"/>
      <c r="CQ141" s="120"/>
      <c r="CR141" s="120"/>
      <c r="CS141" s="120"/>
      <c r="CT141" s="120"/>
      <c r="CU141" s="120"/>
      <c r="CV141" s="120"/>
      <c r="CW141" s="120"/>
      <c r="CX141" s="120"/>
      <c r="CY141" s="120"/>
      <c r="CZ141" s="120"/>
      <c r="DA141" s="120"/>
      <c r="DB141" s="120"/>
      <c r="DC141" s="120"/>
      <c r="DD141" s="120"/>
      <c r="DE141" s="120"/>
      <c r="DF141" s="120"/>
      <c r="DG141" s="120"/>
      <c r="DH141" s="120"/>
    </row>
    <row r="142" customFormat="false" ht="12.8" hidden="false" customHeight="true" outlineLevel="0" collapsed="false">
      <c r="A142" s="74" t="s">
        <v>185</v>
      </c>
      <c r="B142" s="74"/>
      <c r="C142" s="74"/>
      <c r="D142" s="74"/>
      <c r="E142" s="74"/>
      <c r="F142" s="74" t="n">
        <f aca="false">+F141/((F87+E87)/2)</f>
        <v>0.0234135063271141</v>
      </c>
      <c r="G142" s="74" t="n">
        <f aca="false">+G141/((G87+F87)/2)</f>
        <v>0.0349476735636579</v>
      </c>
      <c r="H142" s="74" t="n">
        <f aca="false">+H141/((H87+G87)/2)</f>
        <v>0.0326704608001885</v>
      </c>
      <c r="I142" s="74" t="n">
        <f aca="false">+I141/((I87+H87)/2)</f>
        <v>0.0231760051311439</v>
      </c>
      <c r="J142" s="74" t="n">
        <f aca="false">+J141/((J87+I87)/2)</f>
        <v>0.0150082809734142</v>
      </c>
      <c r="K142" s="74" t="n">
        <f aca="false">+K141/((K87+J87)/2)</f>
        <v>0.029195492919447</v>
      </c>
      <c r="L142" s="74" t="n">
        <f aca="false">+L141/((L87+K87)/2)</f>
        <v>0.0161945728259493</v>
      </c>
      <c r="M142" s="74" t="n">
        <f aca="false">+M141/((M87+L87)/2)</f>
        <v>-0.00806610938467659</v>
      </c>
      <c r="N142" s="74" t="n">
        <f aca="false">+N141/((N87+M87)/2)</f>
        <v>-0.0177980046432326</v>
      </c>
      <c r="O142" s="74" t="n">
        <f aca="false">+O141/((O87+N87)/2)</f>
        <v>0.000981255658067347</v>
      </c>
      <c r="P142" s="74" t="n">
        <f aca="false">+P141/((P87+O87)/2)</f>
        <v>-0.00543575488753365</v>
      </c>
      <c r="Q142" s="74" t="n">
        <f aca="false">+Q141/((Q87+P87)/2)</f>
        <v>-0.0145407184745511</v>
      </c>
      <c r="R142" s="74" t="n">
        <f aca="false">+R141/((R87+Q87)/2)</f>
        <v>0.00246713059266949</v>
      </c>
      <c r="S142" s="74" t="n">
        <f aca="false">+S141/((S87+R87)/2)</f>
        <v>0.017500751094264</v>
      </c>
      <c r="T142" s="74" t="n">
        <f aca="false">+T141/((T87+S87)/2)</f>
        <v>0.000904329525686179</v>
      </c>
      <c r="U142" s="74" t="n">
        <f aca="false">+U141/((U87+T87)/2)</f>
        <v>0.00630191470561892</v>
      </c>
      <c r="V142" s="74" t="n">
        <f aca="false">+V141/((V87+U87)/2)</f>
        <v>0.00196662785728709</v>
      </c>
      <c r="W142" s="74" t="n">
        <f aca="false">+W141/((W87+V87)/2)</f>
        <v>0.0133809444696242</v>
      </c>
      <c r="X142" s="74" t="n">
        <f aca="false">+X141/((X87+W87)/2)</f>
        <v>-0.00510679151707551</v>
      </c>
      <c r="Y142" s="74" t="n">
        <f aca="false">+Y141/((Y87+X87)/2)</f>
        <v>0.00555154640272104</v>
      </c>
      <c r="Z142" s="74" t="n">
        <f aca="false">+Z141/((Z87+Y87)/2)</f>
        <v>-0.000129816715567583</v>
      </c>
      <c r="AA142" s="74" t="n">
        <f aca="false">+AA141/((AA87+Z87)/2)</f>
        <v>0.0277475306610142</v>
      </c>
      <c r="AB142" s="74"/>
      <c r="AC142" s="74"/>
      <c r="AD142" s="74"/>
      <c r="AE142" s="74"/>
      <c r="AF142" s="74"/>
      <c r="AG142" s="74"/>
      <c r="AH142" s="74"/>
      <c r="AI142" s="74"/>
      <c r="AJ142" s="74" t="n">
        <f aca="false">+AJ141/((AJ87+AI87)/2)</f>
        <v>0.112659375247113</v>
      </c>
      <c r="AK142" s="74" t="n">
        <f aca="false">+AK141/((AK87+AJ87)/2)</f>
        <v>0.052944495357813</v>
      </c>
      <c r="AL142" s="74" t="n">
        <f aca="false">+AL141/((AL87+AK87)/2)</f>
        <v>-0.038353294984589</v>
      </c>
      <c r="AM142" s="74" t="n">
        <f aca="false">+AM141/((AM87+AL87)/2)</f>
        <v>0.0263930780705914</v>
      </c>
      <c r="AN142" s="74" t="n">
        <f aca="false">+AN141/((AN87+AM87)/2)</f>
        <v>0.0152459317373499</v>
      </c>
      <c r="AO142" s="74"/>
      <c r="AP142" s="74"/>
      <c r="AQ142" s="74"/>
      <c r="AR142" s="74"/>
      <c r="AS142" s="74"/>
      <c r="AT142" s="57"/>
      <c r="AW142" s="57"/>
      <c r="AX142" s="57"/>
    </row>
    <row r="143" customFormat="false" ht="12.8" hidden="false" customHeight="true" outlineLevel="0" collapsed="false">
      <c r="AT143" s="74"/>
      <c r="AU143" s="57"/>
      <c r="AV143" s="57"/>
      <c r="AW143" s="74"/>
      <c r="AX143" s="74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57"/>
      <c r="CJ143" s="57"/>
      <c r="CK143" s="57"/>
      <c r="CL143" s="57"/>
      <c r="CM143" s="57"/>
      <c r="CN143" s="57"/>
      <c r="CO143" s="57"/>
      <c r="CP143" s="57"/>
      <c r="CQ143" s="57"/>
      <c r="CR143" s="57"/>
      <c r="CS143" s="57"/>
      <c r="CT143" s="57"/>
      <c r="CU143" s="57"/>
      <c r="CV143" s="57"/>
      <c r="CW143" s="57"/>
      <c r="CX143" s="57"/>
      <c r="CY143" s="57"/>
      <c r="CZ143" s="57"/>
      <c r="DA143" s="57"/>
      <c r="DB143" s="57"/>
      <c r="DC143" s="57"/>
      <c r="DD143" s="57"/>
      <c r="DE143" s="57"/>
      <c r="DF143" s="57"/>
      <c r="DG143" s="57"/>
      <c r="DH143" s="57"/>
    </row>
    <row r="144" customFormat="false" ht="12.8" hidden="false" customHeight="true" outlineLevel="0" collapsed="false">
      <c r="A144" s="57" t="s">
        <v>186</v>
      </c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 t="n">
        <v>0</v>
      </c>
      <c r="AJ144" s="57" t="n">
        <v>0</v>
      </c>
      <c r="AK144" s="57" t="n">
        <v>0</v>
      </c>
      <c r="AL144" s="57" t="n">
        <v>0</v>
      </c>
      <c r="AM144" s="57" t="n">
        <v>750</v>
      </c>
      <c r="AN144" s="57" t="n">
        <v>1500</v>
      </c>
      <c r="AO144" s="57" t="n">
        <v>3000</v>
      </c>
      <c r="AP144" s="57"/>
      <c r="AQ144" s="57"/>
      <c r="AR144" s="57"/>
      <c r="AS144" s="57"/>
      <c r="AU144" s="74"/>
      <c r="AV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4"/>
      <c r="BP144" s="74"/>
      <c r="BQ144" s="74"/>
      <c r="BR144" s="74"/>
      <c r="BS144" s="74"/>
      <c r="BT144" s="74"/>
      <c r="BU144" s="74"/>
      <c r="BV144" s="74"/>
      <c r="BW144" s="74"/>
      <c r="BX144" s="74"/>
      <c r="BY144" s="74"/>
      <c r="BZ144" s="74"/>
      <c r="CA144" s="74"/>
      <c r="CB144" s="74"/>
      <c r="CC144" s="74"/>
      <c r="CD144" s="74"/>
      <c r="CE144" s="74"/>
      <c r="CF144" s="74"/>
      <c r="CG144" s="74"/>
      <c r="CH144" s="74"/>
      <c r="CI144" s="74"/>
      <c r="CJ144" s="74"/>
      <c r="CK144" s="74"/>
      <c r="CL144" s="74"/>
      <c r="CM144" s="74"/>
      <c r="CN144" s="74"/>
      <c r="CO144" s="74"/>
      <c r="CP144" s="74"/>
      <c r="CQ144" s="74"/>
      <c r="CR144" s="74"/>
      <c r="CS144" s="74"/>
      <c r="CT144" s="74"/>
      <c r="CU144" s="74"/>
      <c r="CV144" s="74"/>
      <c r="CW144" s="74"/>
      <c r="CX144" s="74"/>
      <c r="CY144" s="74"/>
      <c r="CZ144" s="74"/>
      <c r="DA144" s="74"/>
      <c r="DB144" s="74"/>
      <c r="DC144" s="74"/>
      <c r="DD144" s="74"/>
      <c r="DE144" s="74"/>
      <c r="DF144" s="74"/>
      <c r="DG144" s="74"/>
      <c r="DH144" s="74"/>
    </row>
    <row r="145" s="54" customFormat="true" ht="10.5" hidden="false" customHeight="true" outlineLevel="0" collapsed="false">
      <c r="DI145" s="37"/>
      <c r="XEX145" s="37"/>
      <c r="XEY145" s="37"/>
      <c r="XEZ145" s="37"/>
      <c r="XFA145" s="37"/>
      <c r="XFB145" s="37"/>
      <c r="XFC145" s="37"/>
    </row>
    <row r="146" s="80" customFormat="true" ht="12.8" hidden="false" customHeight="true" outlineLevel="0" collapsed="false">
      <c r="A146" s="80" t="s">
        <v>187</v>
      </c>
      <c r="B146" s="80" t="n">
        <f aca="false">+B30/(-B32)</f>
        <v>5.20724983189451</v>
      </c>
      <c r="C146" s="80" t="n">
        <f aca="false">+C30/(-C32)</f>
        <v>7.18063780551972</v>
      </c>
      <c r="D146" s="80" t="n">
        <f aca="false">+D30/(-D32)</f>
        <v>6.67435289362818</v>
      </c>
      <c r="E146" s="80" t="n">
        <f aca="false">+E30/(-E32)</f>
        <v>4.84125805151153</v>
      </c>
      <c r="F146" s="80" t="n">
        <f aca="false">+F30/(-F32)</f>
        <v>10.0810449309502</v>
      </c>
      <c r="G146" s="80" t="n">
        <f aca="false">+G30/(-G32)</f>
        <v>9.65824130053476</v>
      </c>
      <c r="H146" s="80" t="n">
        <f aca="false">+H30/(-H32)</f>
        <v>9.23862992194654</v>
      </c>
      <c r="I146" s="80" t="n">
        <f aca="false">+I30/(-I32)</f>
        <v>3.34167551386906</v>
      </c>
      <c r="J146" s="80" t="n">
        <f aca="false">+J30/(-J32)</f>
        <v>10.5149107973105</v>
      </c>
      <c r="K146" s="80" t="n">
        <f aca="false">+K30/(-K32)</f>
        <v>8.9979357453621</v>
      </c>
      <c r="L146" s="80" t="n">
        <f aca="false">+L30/(-L32)</f>
        <v>8.17730516929548</v>
      </c>
      <c r="M146" s="80" t="n">
        <f aca="false">+M30/(-M32)</f>
        <v>3.2233778746195</v>
      </c>
      <c r="N146" s="80" t="n">
        <f aca="false">+N30/(-N32)</f>
        <v>9.84470586009345</v>
      </c>
      <c r="O146" s="80" t="n">
        <f aca="false">+O30/(-O32)</f>
        <v>10.4624895079798</v>
      </c>
      <c r="P146" s="80" t="n">
        <f aca="false">+P30/(-P32)</f>
        <v>10.9336624595346</v>
      </c>
      <c r="Q146" s="80" t="n">
        <f aca="false">+Q30/(-Q32)</f>
        <v>8.60057126741281</v>
      </c>
      <c r="R146" s="80" t="n">
        <f aca="false">+R30/(-R32)</f>
        <v>15.1924713376659</v>
      </c>
      <c r="S146" s="80" t="n">
        <f aca="false">+S30/(-S32)</f>
        <v>15.246299260148</v>
      </c>
      <c r="T146" s="80" t="n">
        <f aca="false">+T30/(-T32)</f>
        <v>15.7514060230622</v>
      </c>
      <c r="U146" s="80" t="n">
        <f aca="false">+U30/(-U32)</f>
        <v>11.8111579601699</v>
      </c>
      <c r="V146" s="80" t="n">
        <f aca="false">+V30/(-V32)</f>
        <v>18.4294456838328</v>
      </c>
      <c r="W146" s="80" t="n">
        <f aca="false">+W30/(-W32)</f>
        <v>20.6783202029989</v>
      </c>
      <c r="X146" s="80" t="n">
        <f aca="false">+X30/(-X32)</f>
        <v>18.570614869058</v>
      </c>
      <c r="Y146" s="80" t="n">
        <f aca="false">+Y30/(-Y32)</f>
        <v>12.6130451993127</v>
      </c>
      <c r="Z146" s="80" t="n">
        <f aca="false">+Z30/(-Z32)</f>
        <v>15.0980433313236</v>
      </c>
      <c r="AA146" s="80" t="n">
        <f aca="false">+AA30/(-AA32)</f>
        <v>23.8635294884677</v>
      </c>
      <c r="DI146" s="139"/>
      <c r="XEX146" s="37"/>
      <c r="XEY146" s="37"/>
      <c r="XEZ146" s="37"/>
      <c r="XFA146" s="37"/>
      <c r="XFB146" s="37"/>
      <c r="XFC146" s="37"/>
    </row>
    <row r="147" customFormat="false" ht="12.8" hidden="false" customHeight="true" outlineLevel="0" collapsed="false">
      <c r="AW147" s="77"/>
      <c r="AX147" s="77"/>
    </row>
    <row r="148" customFormat="false" ht="12.8" hidden="false" customHeight="true" outlineLevel="0" collapsed="false">
      <c r="AT148" s="77"/>
      <c r="AU148" s="77"/>
      <c r="AV148" s="77"/>
      <c r="AY148" s="77"/>
      <c r="AZ148" s="77"/>
      <c r="BA148" s="77"/>
      <c r="BB148" s="77"/>
      <c r="BC148" s="77"/>
      <c r="BD148" s="77"/>
      <c r="BE148" s="77"/>
      <c r="BF148" s="77"/>
      <c r="BG148" s="77"/>
      <c r="BH148" s="77"/>
      <c r="BI148" s="77"/>
      <c r="BJ148" s="77"/>
      <c r="BK148" s="77"/>
      <c r="BL148" s="77"/>
      <c r="BM148" s="77"/>
      <c r="BN148" s="77"/>
      <c r="BO148" s="77"/>
      <c r="BP148" s="77"/>
      <c r="BQ148" s="77"/>
      <c r="BR148" s="77"/>
      <c r="BS148" s="77"/>
      <c r="BT148" s="77"/>
      <c r="BU148" s="77"/>
      <c r="BV148" s="77"/>
      <c r="BW148" s="77"/>
      <c r="BX148" s="77"/>
      <c r="BY148" s="77"/>
      <c r="BZ148" s="77"/>
      <c r="CA148" s="77"/>
      <c r="CB148" s="77"/>
      <c r="CC148" s="77"/>
      <c r="CD148" s="77"/>
      <c r="CE148" s="77"/>
      <c r="CF148" s="77"/>
      <c r="CG148" s="77"/>
      <c r="CH148" s="77"/>
      <c r="CI148" s="77"/>
      <c r="CJ148" s="77"/>
      <c r="CK148" s="77"/>
      <c r="CL148" s="77"/>
      <c r="CM148" s="77"/>
      <c r="CN148" s="77"/>
      <c r="CO148" s="77"/>
      <c r="CP148" s="77"/>
      <c r="CQ148" s="77"/>
      <c r="CR148" s="77"/>
      <c r="CS148" s="77"/>
      <c r="CT148" s="77"/>
      <c r="CU148" s="77"/>
      <c r="CV148" s="77"/>
      <c r="CW148" s="77"/>
      <c r="CX148" s="77"/>
      <c r="CY148" s="77"/>
      <c r="CZ148" s="77"/>
      <c r="DA148" s="77"/>
      <c r="DB148" s="77"/>
      <c r="DC148" s="77"/>
      <c r="DD148" s="77"/>
      <c r="DE148" s="77"/>
      <c r="DF148" s="77"/>
      <c r="DG148" s="77"/>
      <c r="DH148" s="77"/>
    </row>
    <row r="149" s="77" customFormat="true" ht="12.8" hidden="false" customHeight="true" outlineLevel="0" collapsed="false">
      <c r="A149" s="77" t="s">
        <v>188</v>
      </c>
      <c r="C149" s="77" t="n">
        <f aca="false">+AVERAGE(B91:C91)/C18*90</f>
        <v>12.2512830364739</v>
      </c>
      <c r="D149" s="77" t="n">
        <f aca="false">+AVERAGE(C91:D91)/D18*90</f>
        <v>11.4928769035861</v>
      </c>
      <c r="E149" s="77" t="n">
        <f aca="false">+AVERAGE(D91:E91)/E18*90</f>
        <v>12.9357038246381</v>
      </c>
      <c r="F149" s="77" t="n">
        <f aca="false">+AVERAGE(E91:F91)/F18*90</f>
        <v>13.8309422256689</v>
      </c>
      <c r="G149" s="77" t="n">
        <f aca="false">+AVERAGE(F91:G91)/G18*90</f>
        <v>12.94449975112</v>
      </c>
      <c r="H149" s="77" t="n">
        <f aca="false">+AVERAGE(G91:H91)/H18*90</f>
        <v>13.5422560323309</v>
      </c>
      <c r="I149" s="77" t="n">
        <f aca="false">+AVERAGE(H91:I91)/I18*90</f>
        <v>12.7145720011451</v>
      </c>
      <c r="J149" s="77" t="n">
        <f aca="false">+AVERAGE(I91:J91)/J18*90</f>
        <v>15.276915536677</v>
      </c>
      <c r="K149" s="77" t="n">
        <f aca="false">+AVERAGE(J91:K91)/K18*90</f>
        <v>10.758095806596</v>
      </c>
      <c r="L149" s="77" t="n">
        <f aca="false">+AVERAGE(K91:L91)/L18*90</f>
        <v>10.0028195488722</v>
      </c>
      <c r="M149" s="77" t="n">
        <f aca="false">+AVERAGE(L91:M91)/M18*90</f>
        <v>10.2557364914878</v>
      </c>
      <c r="N149" s="77" t="n">
        <f aca="false">+AVERAGE(M91:N91)/N18*90</f>
        <v>11.8369768894441</v>
      </c>
      <c r="O149" s="77" t="n">
        <f aca="false">+AVERAGE(N91:O91)/O18*90</f>
        <v>11.6250802482345</v>
      </c>
      <c r="P149" s="77" t="n">
        <f aca="false">+AVERAGE(O91:P91)/P18*90</f>
        <v>10.4942190669371</v>
      </c>
      <c r="Q149" s="77" t="n">
        <f aca="false">+AVERAGE(P91:Q91)/Q18*90</f>
        <v>10.8688524590164</v>
      </c>
      <c r="R149" s="77" t="n">
        <f aca="false">+AVERAGE(Q91:R91)/R18*90</f>
        <v>12.245931283906</v>
      </c>
      <c r="S149" s="77" t="n">
        <f aca="false">+AVERAGE(R91:S91)/S18*90</f>
        <v>10.4846347120216</v>
      </c>
      <c r="T149" s="77" t="n">
        <f aca="false">+AVERAGE(S91:T91)/T18*90</f>
        <v>10.9040828286775</v>
      </c>
      <c r="U149" s="77" t="n">
        <f aca="false">+AVERAGE(T91:U91)/U18*90</f>
        <v>12.0306918675221</v>
      </c>
      <c r="V149" s="77" t="n">
        <f aca="false">+AVERAGE(U91:V91)/V18*90</f>
        <v>12.9476534296029</v>
      </c>
      <c r="W149" s="77" t="n">
        <f aca="false">+AVERAGE(V91:W91)/W18*90</f>
        <v>10.5388732394366</v>
      </c>
      <c r="X149" s="77" t="n">
        <f aca="false">+AVERAGE(W91:X91)/X18*90</f>
        <v>10.409717715769</v>
      </c>
      <c r="Y149" s="77" t="n">
        <f aca="false">+AVERAGE(X91:Y91)/Y18*90</f>
        <v>11.6856398677771</v>
      </c>
      <c r="Z149" s="77" t="n">
        <f aca="false">+AVERAGE(Y91:Z91)/Z18*90</f>
        <v>13.7201731655548</v>
      </c>
      <c r="AA149" s="77" t="n">
        <f aca="false">+AVERAGE(Z91:AA91)/AA18*90</f>
        <v>12.7407463849799</v>
      </c>
      <c r="AJ149" s="77" t="n">
        <f aca="false">+AVERAGE(AI91:AJ91)/AJ18*365</f>
        <v>15.7254217364963</v>
      </c>
      <c r="AK149" s="77" t="n">
        <f aca="false">+AVERAGE(AJ91:AK91)/AK18*365</f>
        <v>14.3661391720751</v>
      </c>
      <c r="AL149" s="77" t="n">
        <f aca="false">+AVERAGE(AK91:AL91)/AL18*365</f>
        <v>13.1343858253115</v>
      </c>
      <c r="AM149" s="77" t="n">
        <f aca="false">+AVERAGE(AL91:AM91)/AM18*365</f>
        <v>14.2896482366774</v>
      </c>
      <c r="AN149" s="77" t="n">
        <f aca="false">+AVERAGE(AM91:AN91)/AN18*365</f>
        <v>14.11757702759</v>
      </c>
      <c r="AO149" s="140" t="n">
        <f aca="false">+AN149+0.5</f>
        <v>14.61757702759</v>
      </c>
      <c r="AP149" s="140" t="n">
        <f aca="false">+AO149+0.5</f>
        <v>15.11757702759</v>
      </c>
      <c r="AQ149" s="140" t="n">
        <f aca="false">+AP149+0.5</f>
        <v>15.61757702759</v>
      </c>
      <c r="AR149" s="140" t="n">
        <f aca="false">+AQ149+0.5</f>
        <v>16.11757702759</v>
      </c>
      <c r="AS149" s="140" t="n">
        <f aca="false">+AR149+0.5</f>
        <v>16.61757702759</v>
      </c>
      <c r="DI149" s="141"/>
      <c r="XEX149" s="37"/>
      <c r="XEY149" s="37"/>
      <c r="XEZ149" s="37"/>
      <c r="XFA149" s="37"/>
      <c r="XFB149" s="37"/>
      <c r="XFC149" s="37"/>
    </row>
    <row r="153" s="120" customFormat="true" ht="12.8" hidden="false" customHeight="true" outlineLevel="0" collapsed="false">
      <c r="A153" s="120" t="s">
        <v>189</v>
      </c>
      <c r="B153" s="120" t="n">
        <v>43.694</v>
      </c>
      <c r="C153" s="120" t="n">
        <v>89.06</v>
      </c>
      <c r="D153" s="120" t="n">
        <v>68.665</v>
      </c>
      <c r="E153" s="120" t="n">
        <v>33.987</v>
      </c>
      <c r="F153" s="120" t="n">
        <v>48.071</v>
      </c>
      <c r="G153" s="120" t="n">
        <v>19.479</v>
      </c>
      <c r="H153" s="120" t="n">
        <v>18.445</v>
      </c>
      <c r="I153" s="120" t="n">
        <v>88.149</v>
      </c>
      <c r="J153" s="120" t="n">
        <v>13.678</v>
      </c>
      <c r="K153" s="120" t="n">
        <v>11.25</v>
      </c>
      <c r="L153" s="120" t="n">
        <v>4.113</v>
      </c>
      <c r="M153" s="120" t="n">
        <v>6.705</v>
      </c>
      <c r="N153" s="120" t="n">
        <v>26.028</v>
      </c>
      <c r="O153" s="120" t="n">
        <v>34.717</v>
      </c>
      <c r="P153" s="120" t="n">
        <v>57.818</v>
      </c>
      <c r="Q153" s="120" t="n">
        <v>51.427</v>
      </c>
      <c r="R153" s="120" t="n">
        <v>268.881</v>
      </c>
      <c r="S153" s="120" t="n">
        <v>118.75</v>
      </c>
      <c r="T153" s="120" t="n">
        <v>143.244</v>
      </c>
      <c r="U153" s="120" t="n">
        <v>302.012</v>
      </c>
      <c r="V153" s="120" t="n">
        <v>351.602</v>
      </c>
      <c r="W153" s="120" t="n">
        <v>169.022</v>
      </c>
      <c r="X153" s="120" t="n">
        <v>70.215</v>
      </c>
      <c r="Y153" s="120" t="n">
        <v>76.082</v>
      </c>
      <c r="Z153" s="120" t="n">
        <v>49.31</v>
      </c>
      <c r="AA153" s="120" t="n">
        <v>59.98</v>
      </c>
      <c r="AI153" s="120" t="n">
        <v>235.406</v>
      </c>
      <c r="AJ153" s="120" t="n">
        <v>174.414</v>
      </c>
      <c r="AK153" s="120" t="n">
        <v>35.746</v>
      </c>
      <c r="AL153" s="120" t="n">
        <v>169.99</v>
      </c>
      <c r="AM153" s="120" t="n">
        <v>832.887</v>
      </c>
      <c r="AN153" s="120" t="n">
        <v>666.965</v>
      </c>
      <c r="DI153" s="142"/>
      <c r="XEX153" s="37"/>
      <c r="XEY153" s="37"/>
      <c r="XEZ153" s="37"/>
      <c r="XFA153" s="37"/>
      <c r="XFB153" s="37"/>
      <c r="XFC153" s="37"/>
    </row>
    <row r="154" s="54" customFormat="true" ht="10.5" hidden="false" customHeight="true" outlineLevel="0" collapsed="false">
      <c r="B154" s="54" t="n">
        <f aca="false">+B153/B$16</f>
        <v>0.00757576808377835</v>
      </c>
      <c r="C154" s="54" t="n">
        <f aca="false">+C153/C$16</f>
        <v>0.0144855404833935</v>
      </c>
      <c r="D154" s="54" t="n">
        <f aca="false">+D153/D$16</f>
        <v>0.0106695568400771</v>
      </c>
      <c r="E154" s="54" t="n">
        <f aca="false">+E153/E$16</f>
        <v>0.00511513454939498</v>
      </c>
      <c r="F154" s="54" t="n">
        <f aca="false">+F153/F$16</f>
        <v>0.00671082756310029</v>
      </c>
      <c r="G154" s="54" t="n">
        <f aca="false">+G153/G$16</f>
        <v>0.00265317238592237</v>
      </c>
      <c r="H154" s="54" t="n">
        <f aca="false">+H153/H$16</f>
        <v>0.00246478873239437</v>
      </c>
      <c r="I154" s="54" t="n">
        <f aca="false">+I153/I$16</f>
        <v>0.0114341120464893</v>
      </c>
      <c r="J154" s="54" t="n">
        <f aca="false">+J153/J$16</f>
        <v>0.00173850045121192</v>
      </c>
      <c r="K154" s="54" t="n">
        <f aca="false">+K153/K$16</f>
        <v>0.00141154328732748</v>
      </c>
      <c r="L154" s="54" t="n">
        <f aca="false">+L153/L$16</f>
        <v>0.000518990536277603</v>
      </c>
      <c r="M154" s="54" t="n">
        <f aca="false">+M153/M$16</f>
        <v>0.000853922567498726</v>
      </c>
      <c r="N154" s="54" t="n">
        <f aca="false">+N153/N$16</f>
        <v>0.00318911964712369</v>
      </c>
      <c r="O154" s="54" t="n">
        <f aca="false">+O153/O$16</f>
        <v>0.00424050323683889</v>
      </c>
      <c r="P154" s="54" t="n">
        <f aca="false">+P153/P$16</f>
        <v>0.00676867244205104</v>
      </c>
      <c r="Q154" s="54" t="n">
        <f aca="false">+Q153/Q$16</f>
        <v>0.00582280344202899</v>
      </c>
      <c r="R154" s="54" t="n">
        <f aca="false">+R153/R$16</f>
        <v>0.0286959445037353</v>
      </c>
      <c r="S154" s="54" t="n">
        <f aca="false">+S153/S$16</f>
        <v>0.0124228475781986</v>
      </c>
      <c r="T154" s="54" t="n">
        <f aca="false">+T153/T$16</f>
        <v>0.0145810260586319</v>
      </c>
      <c r="U154" s="54" t="n">
        <f aca="false">+U153/U$16</f>
        <v>0.0294732116717088</v>
      </c>
      <c r="V154" s="54" t="n">
        <f aca="false">+V153/V$16</f>
        <v>0.0333493313098738</v>
      </c>
      <c r="W154" s="54" t="n">
        <f aca="false">+W153/W$16</f>
        <v>0.0152560700424226</v>
      </c>
      <c r="X154" s="54" t="n">
        <f aca="false">+X153/X$16</f>
        <v>0.00610034752389227</v>
      </c>
      <c r="Y154" s="54" t="n">
        <f aca="false">+Y153/Y$16</f>
        <v>0.00631349216228103</v>
      </c>
      <c r="Z154" s="54" t="n">
        <f aca="false">+Z153/Z$16</f>
        <v>0.00402538597296257</v>
      </c>
      <c r="AA154" s="54" t="n">
        <f aca="false">+AA153/AA$16</f>
        <v>0.00477550128034072</v>
      </c>
      <c r="AI154" s="54" t="n">
        <f aca="false">+AI153/AI$16</f>
        <v>0.00941772574041281</v>
      </c>
      <c r="AJ154" s="54" t="n">
        <f aca="false">+AJ153/AJ$16</f>
        <v>0.005872951585307</v>
      </c>
      <c r="AK154" s="54" t="n">
        <f aca="false">+AK153/AK$16</f>
        <v>0.00113064615355418</v>
      </c>
      <c r="AL154" s="54" t="n">
        <f aca="false">+AL153/AL$16</f>
        <v>0.00504072896549824</v>
      </c>
      <c r="AM154" s="54" t="n">
        <f aca="false">+AM153/AM$16</f>
        <v>0.0213555315356562</v>
      </c>
      <c r="AN154" s="54" t="n">
        <f aca="false">+AN153/AN$16</f>
        <v>0.0147615127028708</v>
      </c>
      <c r="XEX154" s="37"/>
      <c r="XEY154" s="37"/>
      <c r="XEZ154" s="37"/>
      <c r="XFA154" s="37"/>
      <c r="XFB154" s="37"/>
      <c r="XFC154" s="37"/>
    </row>
    <row r="155" s="54" customFormat="true" ht="10.5" hidden="false" customHeight="true" outlineLevel="0" collapsed="false">
      <c r="G155" s="54" t="n">
        <f aca="false">+G153/C153-1</f>
        <v>-0.781282281607905</v>
      </c>
      <c r="H155" s="54" t="n">
        <f aca="false">+H153/D153-1</f>
        <v>-0.7313769751693</v>
      </c>
      <c r="I155" s="54" t="n">
        <f aca="false">+I153/E153-1</f>
        <v>1.59360932121105</v>
      </c>
      <c r="J155" s="54" t="n">
        <f aca="false">+J153/F153-1</f>
        <v>-0.715462544985542</v>
      </c>
      <c r="K155" s="54" t="n">
        <f aca="false">+K153/G153-1</f>
        <v>-0.422454951486216</v>
      </c>
      <c r="L155" s="54" t="n">
        <f aca="false">+L153/H153-1</f>
        <v>-0.777012740580103</v>
      </c>
      <c r="M155" s="54" t="n">
        <f aca="false">+M153/I153-1</f>
        <v>-0.923935609025627</v>
      </c>
      <c r="N155" s="54" t="n">
        <f aca="false">+N153/J153-1</f>
        <v>0.90290978213189</v>
      </c>
      <c r="O155" s="54" t="n">
        <f aca="false">+O153/K153-1</f>
        <v>2.08595555555556</v>
      </c>
      <c r="P155" s="54" t="n">
        <f aca="false">+P153/L153-1</f>
        <v>13.0573790420618</v>
      </c>
      <c r="Q155" s="54" t="n">
        <f aca="false">+Q153/M153-1</f>
        <v>6.66994780014914</v>
      </c>
      <c r="R155" s="54" t="n">
        <f aca="false">+R153/N153-1</f>
        <v>9.33045182111572</v>
      </c>
      <c r="S155" s="54" t="n">
        <f aca="false">+S153/O153-1</f>
        <v>2.42051444537258</v>
      </c>
      <c r="T155" s="54" t="n">
        <f aca="false">+T153/P153-1</f>
        <v>1.47749835691307</v>
      </c>
      <c r="U155" s="54" t="n">
        <f aca="false">+U153/Q153-1</f>
        <v>4.87263499718047</v>
      </c>
      <c r="V155" s="54" t="n">
        <f aca="false">+V153/R153-1</f>
        <v>0.30764910871352</v>
      </c>
      <c r="W155" s="54" t="n">
        <f aca="false">+W153/S153-1</f>
        <v>0.423343157894737</v>
      </c>
      <c r="X155" s="54" t="n">
        <f aca="false">+X153/T153-1</f>
        <v>-0.509822400938259</v>
      </c>
      <c r="Y155" s="54" t="n">
        <f aca="false">+Y153/U153-1</f>
        <v>-0.748082857634796</v>
      </c>
      <c r="Z155" s="54" t="n">
        <f aca="false">+Z153/V153-1</f>
        <v>-0.859756201614325</v>
      </c>
      <c r="AA155" s="54" t="n">
        <f aca="false">+AA153/W153-1</f>
        <v>-0.645134952846375</v>
      </c>
      <c r="AJ155" s="54" t="n">
        <f aca="false">+AJ153/AI153-1</f>
        <v>-0.259092801372947</v>
      </c>
      <c r="AK155" s="54" t="n">
        <f aca="false">+AK153/AJ153-1</f>
        <v>-0.795050856009265</v>
      </c>
      <c r="AL155" s="54" t="n">
        <f aca="false">+AL153/AK153-1</f>
        <v>3.75549711855872</v>
      </c>
      <c r="AM155" s="54" t="n">
        <f aca="false">+AM153/AL153-1</f>
        <v>3.89962350726513</v>
      </c>
      <c r="AN155" s="54" t="n">
        <f aca="false">+AN153/AM153-1</f>
        <v>-0.199213098535576</v>
      </c>
      <c r="XEX155" s="37"/>
      <c r="XEY155" s="37"/>
      <c r="XEZ155" s="37"/>
      <c r="XFA155" s="37"/>
      <c r="XFB155" s="37"/>
      <c r="XFC155" s="37"/>
    </row>
    <row r="156" s="120" customFormat="true" ht="12.8" hidden="false" customHeight="true" outlineLevel="0" collapsed="false">
      <c r="A156" s="120" t="s">
        <v>190</v>
      </c>
      <c r="B156" s="120" t="n">
        <v>0</v>
      </c>
      <c r="C156" s="120" t="n">
        <v>0</v>
      </c>
      <c r="D156" s="120" t="n">
        <v>0</v>
      </c>
      <c r="E156" s="120" t="n">
        <v>0</v>
      </c>
      <c r="F156" s="120" t="n">
        <v>0</v>
      </c>
      <c r="G156" s="120" t="n">
        <v>500.022</v>
      </c>
      <c r="H156" s="120" t="n">
        <v>100</v>
      </c>
      <c r="I156" s="120" t="n">
        <v>0</v>
      </c>
      <c r="J156" s="120" t="n">
        <v>0</v>
      </c>
      <c r="K156" s="120" t="n">
        <v>0</v>
      </c>
      <c r="L156" s="120" t="n">
        <v>0</v>
      </c>
      <c r="M156" s="120" t="n">
        <v>0</v>
      </c>
      <c r="N156" s="120" t="n">
        <v>400.101</v>
      </c>
      <c r="O156" s="120" t="n">
        <v>645.146</v>
      </c>
      <c r="P156" s="120" t="n">
        <v>2500.1</v>
      </c>
      <c r="Q156" s="120" t="n">
        <v>2500</v>
      </c>
      <c r="R156" s="120" t="n">
        <v>2000</v>
      </c>
      <c r="S156" s="120" t="n">
        <v>1599.998</v>
      </c>
      <c r="T156" s="120" t="n">
        <v>1700</v>
      </c>
      <c r="U156" s="120" t="n">
        <v>963.748</v>
      </c>
      <c r="V156" s="120" t="n">
        <v>3536.396</v>
      </c>
      <c r="W156" s="120" t="n">
        <v>1654.327</v>
      </c>
      <c r="X156" s="120" t="n">
        <v>1856.885</v>
      </c>
      <c r="Y156" s="120" t="n">
        <v>2079.559</v>
      </c>
      <c r="Z156" s="120" t="n">
        <v>1270.588</v>
      </c>
      <c r="AA156" s="120" t="n">
        <v>4714.403</v>
      </c>
      <c r="AI156" s="120" t="n">
        <v>0</v>
      </c>
      <c r="AJ156" s="120" t="n">
        <v>600.022</v>
      </c>
      <c r="AK156" s="120" t="n">
        <v>0</v>
      </c>
      <c r="AL156" s="120" t="n">
        <v>6045.347</v>
      </c>
      <c r="AM156" s="120" t="n">
        <v>6263.746</v>
      </c>
      <c r="AN156" s="120" t="n">
        <v>9127.167</v>
      </c>
      <c r="DI156" s="142"/>
      <c r="XEX156" s="37"/>
      <c r="XEY156" s="37"/>
      <c r="XEZ156" s="37"/>
      <c r="XFA156" s="37"/>
      <c r="XFB156" s="37"/>
      <c r="XFC156" s="37"/>
    </row>
    <row r="157" s="54" customFormat="true" ht="10.5" hidden="false" customHeight="true" outlineLevel="0" collapsed="false">
      <c r="B157" s="54" t="n">
        <f aca="false">+B156/B$16</f>
        <v>0</v>
      </c>
      <c r="C157" s="54" t="n">
        <f aca="false">+C156/C$16</f>
        <v>0</v>
      </c>
      <c r="D157" s="54" t="n">
        <f aca="false">+D156/D$16</f>
        <v>0</v>
      </c>
      <c r="E157" s="54" t="n">
        <f aca="false">+E156/E$16</f>
        <v>0</v>
      </c>
      <c r="F157" s="54" t="n">
        <f aca="false">+F156/F$16</f>
        <v>0</v>
      </c>
      <c r="G157" s="54" t="n">
        <f aca="false">+G156/G$16</f>
        <v>0.0681063998538773</v>
      </c>
      <c r="H157" s="54" t="n">
        <f aca="false">+H156/H$16</f>
        <v>0.0133629099072614</v>
      </c>
      <c r="I157" s="54" t="n">
        <f aca="false">+I156/I$16</f>
        <v>0</v>
      </c>
      <c r="J157" s="54" t="n">
        <f aca="false">+J156/J$16</f>
        <v>0</v>
      </c>
      <c r="K157" s="54" t="n">
        <f aca="false">+K156/K$16</f>
        <v>0</v>
      </c>
      <c r="L157" s="54" t="n">
        <f aca="false">+L156/L$16</f>
        <v>0</v>
      </c>
      <c r="M157" s="54" t="n">
        <f aca="false">+M156/M$16</f>
        <v>0</v>
      </c>
      <c r="N157" s="54" t="n">
        <f aca="false">+N156/N$16</f>
        <v>0.0490229737180665</v>
      </c>
      <c r="O157" s="54" t="n">
        <f aca="false">+O156/O$16</f>
        <v>0.0788012703065836</v>
      </c>
      <c r="P157" s="54" t="n">
        <f aca="false">+P156/P$16</f>
        <v>0.292683212362444</v>
      </c>
      <c r="Q157" s="54" t="n">
        <f aca="false">+Q156/Q$16</f>
        <v>0.283061594202899</v>
      </c>
      <c r="R157" s="54" t="n">
        <f aca="false">+R156/R$16</f>
        <v>0.213447171824973</v>
      </c>
      <c r="S157" s="54" t="n">
        <f aca="false">+S156/S$16</f>
        <v>0.167381316037242</v>
      </c>
      <c r="T157" s="54" t="n">
        <f aca="false">+T156/T$16</f>
        <v>0.173045602605863</v>
      </c>
      <c r="U157" s="54" t="n">
        <f aca="false">+U156/U$16</f>
        <v>0.0940517224553528</v>
      </c>
      <c r="V157" s="54" t="n">
        <f aca="false">+V156/V$16</f>
        <v>0.335425969837807</v>
      </c>
      <c r="W157" s="54" t="n">
        <f aca="false">+W156/W$16</f>
        <v>0.149320967596353</v>
      </c>
      <c r="X157" s="54" t="n">
        <f aca="false">+X156/X$16</f>
        <v>0.161327975673328</v>
      </c>
      <c r="Y157" s="54" t="n">
        <f aca="false">+Y156/Y$16</f>
        <v>0.172567485706225</v>
      </c>
      <c r="Z157" s="54" t="n">
        <f aca="false">+Z156/Z$16</f>
        <v>0.10372352692384</v>
      </c>
      <c r="AA157" s="54" t="n">
        <f aca="false">+AA156/AA$16</f>
        <v>0.375352410179095</v>
      </c>
      <c r="AI157" s="54" t="n">
        <f aca="false">+AI156/AI$16</f>
        <v>0</v>
      </c>
      <c r="AJ157" s="54" t="n">
        <f aca="false">+AJ156/AJ$16</f>
        <v>0.0202042276200252</v>
      </c>
      <c r="AK157" s="54" t="n">
        <f aca="false">+AK156/AK$16</f>
        <v>0</v>
      </c>
      <c r="AL157" s="54" t="n">
        <f aca="false">+AL156/AL$16</f>
        <v>0.179263225656732</v>
      </c>
      <c r="AM157" s="54" t="n">
        <f aca="false">+AM156/AM$16</f>
        <v>0.160604770196125</v>
      </c>
      <c r="AN157" s="54" t="n">
        <f aca="false">+AN156/AN$16</f>
        <v>0.202005789826637</v>
      </c>
      <c r="XEX157" s="37"/>
      <c r="XEY157" s="37"/>
      <c r="XEZ157" s="37"/>
      <c r="XFA157" s="37"/>
      <c r="XFB157" s="37"/>
      <c r="XFC157" s="37"/>
    </row>
    <row r="158" s="54" customFormat="true" ht="10.5" hidden="false" customHeight="true" outlineLevel="0" collapsed="false">
      <c r="G158" s="54" t="e">
        <f aca="false">+G156/C156-1</f>
        <v>#DIV/0!</v>
      </c>
      <c r="H158" s="54" t="e">
        <f aca="false">+H156/D156-1</f>
        <v>#DIV/0!</v>
      </c>
      <c r="I158" s="54" t="e">
        <f aca="false">+I156/E156-1</f>
        <v>#DIV/0!</v>
      </c>
      <c r="J158" s="54" t="e">
        <f aca="false">+J156/F156-1</f>
        <v>#DIV/0!</v>
      </c>
      <c r="K158" s="54" t="n">
        <f aca="false">+K156/G156-1</f>
        <v>-1</v>
      </c>
      <c r="L158" s="54" t="n">
        <f aca="false">+L156/H156-1</f>
        <v>-1</v>
      </c>
      <c r="M158" s="54" t="e">
        <f aca="false">+M156/I156-1</f>
        <v>#DIV/0!</v>
      </c>
      <c r="N158" s="54" t="e">
        <f aca="false">+N156/J156-1</f>
        <v>#DIV/0!</v>
      </c>
      <c r="O158" s="54" t="e">
        <f aca="false">+O156/K156-1</f>
        <v>#DIV/0!</v>
      </c>
      <c r="P158" s="54" t="e">
        <f aca="false">+P156/L156-1</f>
        <v>#DIV/0!</v>
      </c>
      <c r="Q158" s="54" t="e">
        <f aca="false">+Q156/M156-1</f>
        <v>#DIV/0!</v>
      </c>
      <c r="R158" s="54" t="n">
        <f aca="false">+R156/N156-1</f>
        <v>3.99873781870078</v>
      </c>
      <c r="S158" s="54" t="n">
        <f aca="false">+S156/O156-1</f>
        <v>1.48005567731955</v>
      </c>
      <c r="T158" s="54" t="n">
        <f aca="false">+T156/P156-1</f>
        <v>-0.320027198912043</v>
      </c>
      <c r="U158" s="54" t="n">
        <f aca="false">+U156/Q156-1</f>
        <v>-0.6145008</v>
      </c>
      <c r="V158" s="54" t="n">
        <f aca="false">+V156/R156-1</f>
        <v>0.768198</v>
      </c>
      <c r="W158" s="54" t="n">
        <f aca="false">+W156/S156-1</f>
        <v>0.0339556674445842</v>
      </c>
      <c r="X158" s="54" t="n">
        <f aca="false">+X156/T156-1</f>
        <v>0.0922852941176471</v>
      </c>
      <c r="Y158" s="54" t="n">
        <f aca="false">+Y156/U156-1</f>
        <v>1.15778294740949</v>
      </c>
      <c r="Z158" s="54" t="n">
        <f aca="false">+Z156/V156-1</f>
        <v>-0.640711051590376</v>
      </c>
      <c r="AA158" s="54" t="n">
        <f aca="false">+AA156/W156-1</f>
        <v>1.8497407102707</v>
      </c>
      <c r="AJ158" s="54" t="e">
        <f aca="false">+AJ156/AI156-1</f>
        <v>#DIV/0!</v>
      </c>
      <c r="AK158" s="54" t="n">
        <f aca="false">+AK156/AJ156-1</f>
        <v>-1</v>
      </c>
      <c r="AL158" s="54" t="e">
        <f aca="false">+AL156/AK156-1</f>
        <v>#DIV/0!</v>
      </c>
      <c r="AM158" s="54" t="n">
        <f aca="false">+AM156/AL156-1</f>
        <v>0.0361267930525742</v>
      </c>
      <c r="AN158" s="54" t="n">
        <f aca="false">+AN156/AM156-1</f>
        <v>0.457141940302177</v>
      </c>
      <c r="XEX158" s="37"/>
      <c r="XEY158" s="37"/>
      <c r="XEZ158" s="37"/>
      <c r="XFA158" s="37"/>
      <c r="XFB158" s="37"/>
      <c r="XFC158" s="37"/>
    </row>
    <row r="160" s="120" customFormat="true" ht="12.8" hidden="false" customHeight="true" outlineLevel="0" collapsed="false">
      <c r="A160" s="120" t="s">
        <v>191</v>
      </c>
      <c r="B160" s="120" t="n">
        <f aca="false">+B156-B153</f>
        <v>-43.694</v>
      </c>
      <c r="C160" s="120" t="n">
        <f aca="false">+C156-C153</f>
        <v>-89.06</v>
      </c>
      <c r="D160" s="120" t="n">
        <f aca="false">+D156-D153</f>
        <v>-68.665</v>
      </c>
      <c r="E160" s="120" t="n">
        <f aca="false">+E156-E153</f>
        <v>-33.987</v>
      </c>
      <c r="F160" s="120" t="n">
        <f aca="false">+F156-F153</f>
        <v>-48.071</v>
      </c>
      <c r="G160" s="120" t="n">
        <f aca="false">+G156-G153</f>
        <v>480.543</v>
      </c>
      <c r="H160" s="120" t="n">
        <f aca="false">+H156-H153</f>
        <v>81.555</v>
      </c>
      <c r="I160" s="120" t="n">
        <f aca="false">+I156-I153</f>
        <v>-88.149</v>
      </c>
      <c r="J160" s="120" t="n">
        <f aca="false">+J156-J153</f>
        <v>-13.678</v>
      </c>
      <c r="K160" s="120" t="n">
        <f aca="false">+K156-K153</f>
        <v>-11.25</v>
      </c>
      <c r="L160" s="120" t="n">
        <f aca="false">+L156-L153</f>
        <v>-4.113</v>
      </c>
      <c r="M160" s="120" t="n">
        <f aca="false">+M156-M153</f>
        <v>-6.705</v>
      </c>
      <c r="N160" s="120" t="n">
        <f aca="false">+N156-N153</f>
        <v>374.073</v>
      </c>
      <c r="O160" s="120" t="n">
        <f aca="false">+O156-O153</f>
        <v>610.429</v>
      </c>
      <c r="P160" s="120" t="n">
        <f aca="false">+P156-P153</f>
        <v>2442.282</v>
      </c>
      <c r="Q160" s="120" t="n">
        <f aca="false">+Q156-Q153</f>
        <v>2448.573</v>
      </c>
      <c r="R160" s="120" t="n">
        <f aca="false">+R156-R153</f>
        <v>1731.119</v>
      </c>
      <c r="S160" s="120" t="n">
        <f aca="false">+S156-S153</f>
        <v>1481.248</v>
      </c>
      <c r="T160" s="120" t="n">
        <f aca="false">+T156-T153</f>
        <v>1556.756</v>
      </c>
      <c r="U160" s="120" t="n">
        <f aca="false">+U156-U153</f>
        <v>661.736</v>
      </c>
      <c r="V160" s="120" t="n">
        <f aca="false">+V156-V153</f>
        <v>3184.794</v>
      </c>
      <c r="W160" s="120" t="n">
        <f aca="false">+W156-W153</f>
        <v>1485.305</v>
      </c>
      <c r="X160" s="120" t="n">
        <f aca="false">+X156-X153</f>
        <v>1786.67</v>
      </c>
      <c r="Y160" s="120" t="n">
        <f aca="false">+Y156-Y153</f>
        <v>2003.477</v>
      </c>
      <c r="Z160" s="120" t="n">
        <f aca="false">+Z156-Z153</f>
        <v>1221.278</v>
      </c>
      <c r="AA160" s="120" t="n">
        <f aca="false">+AA156-AA153</f>
        <v>4654.423</v>
      </c>
      <c r="AI160" s="120" t="n">
        <f aca="false">+AI156-AI153</f>
        <v>-235.406</v>
      </c>
      <c r="AJ160" s="120" t="n">
        <f aca="false">+AJ156-AJ153</f>
        <v>425.608</v>
      </c>
      <c r="AK160" s="120" t="n">
        <f aca="false">+AK156-AK153</f>
        <v>-35.746</v>
      </c>
      <c r="AL160" s="120" t="n">
        <f aca="false">+AL156-AL153</f>
        <v>5875.357</v>
      </c>
      <c r="AM160" s="120" t="n">
        <f aca="false">+AM156-AM153</f>
        <v>5430.859</v>
      </c>
      <c r="AN160" s="120" t="n">
        <f aca="false">+AN156-AN153</f>
        <v>8460.202</v>
      </c>
      <c r="DI160" s="142"/>
      <c r="XEX160" s="37"/>
      <c r="XEY160" s="37"/>
      <c r="XEZ160" s="37"/>
      <c r="XFA160" s="37"/>
      <c r="XFB160" s="37"/>
      <c r="XFC160" s="37"/>
    </row>
    <row r="161" s="54" customFormat="true" ht="10.5" hidden="false" customHeight="true" outlineLevel="0" collapsed="false">
      <c r="AJ161" s="54" t="n">
        <f aca="false">+AJ160/AI160-1</f>
        <v>-2.80797430821644</v>
      </c>
      <c r="AK161" s="54" t="n">
        <f aca="false">+AK160/AJ160-1</f>
        <v>-1.08398808293077</v>
      </c>
      <c r="AL161" s="54" t="n">
        <f aca="false">+AL160/AK160-1</f>
        <v>-165.36404073183</v>
      </c>
      <c r="AM161" s="54" t="n">
        <f aca="false">+AM160/AL160-1</f>
        <v>-0.0756546368161117</v>
      </c>
      <c r="AN161" s="54" t="n">
        <f aca="false">+AN160/AM160-1</f>
        <v>0.55780181367257</v>
      </c>
      <c r="XEX161" s="37"/>
      <c r="XEY161" s="37"/>
      <c r="XEZ161" s="37"/>
      <c r="XFA161" s="37"/>
      <c r="XFB161" s="37"/>
      <c r="XFC161" s="37"/>
    </row>
  </sheetData>
  <mergeCells count="1">
    <mergeCell ref="BC47:BD47"/>
  </mergeCells>
  <hyperlinks>
    <hyperlink ref="A1" r:id="rId2" location="Main" display="Main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22" activeCellId="0" sqref="B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6" width="17.28"/>
    <col collapsed="false" customWidth="true" hidden="false" outlineLevel="0" max="2" min="2" style="6" width="12.98"/>
    <col collapsed="false" customWidth="true" hidden="false" outlineLevel="0" max="3" min="3" style="1" width="12.85"/>
    <col collapsed="false" customWidth="false" hidden="false" outlineLevel="0" max="16384" min="4" style="1" width="11.53"/>
  </cols>
  <sheetData>
    <row r="1" customFormat="false" ht="12.8" hidden="false" customHeight="false" outlineLevel="0" collapsed="false">
      <c r="A1" s="1" t="s">
        <v>49</v>
      </c>
    </row>
    <row r="3" customFormat="false" ht="12.8" hidden="false" customHeight="false" outlineLevel="0" collapsed="false">
      <c r="B3" s="1" t="s">
        <v>119</v>
      </c>
    </row>
    <row r="4" customFormat="false" ht="13.8" hidden="false" customHeight="false" outlineLevel="0" collapsed="false">
      <c r="A4" s="143" t="s">
        <v>192</v>
      </c>
      <c r="B4" s="144" t="n">
        <v>4375</v>
      </c>
      <c r="C4" s="143" t="s">
        <v>193</v>
      </c>
      <c r="D4" s="143" t="s">
        <v>194</v>
      </c>
      <c r="E4" s="145" t="n">
        <v>1</v>
      </c>
      <c r="F4" s="143" t="s">
        <v>195</v>
      </c>
      <c r="G4" s="143" t="s">
        <v>196</v>
      </c>
    </row>
    <row r="5" customFormat="false" ht="13.8" hidden="false" customHeight="false" outlineLevel="0" collapsed="false">
      <c r="A5" s="143" t="s">
        <v>197</v>
      </c>
      <c r="B5" s="144" t="n">
        <v>3625</v>
      </c>
      <c r="C5" s="143" t="s">
        <v>193</v>
      </c>
      <c r="D5" s="143" t="s">
        <v>198</v>
      </c>
      <c r="E5" s="145" t="n">
        <v>1</v>
      </c>
      <c r="F5" s="143" t="s">
        <v>199</v>
      </c>
      <c r="G5" s="143" t="s">
        <v>196</v>
      </c>
    </row>
    <row r="6" customFormat="false" ht="13.8" hidden="false" customHeight="false" outlineLevel="0" collapsed="false">
      <c r="A6" s="143" t="s">
        <v>200</v>
      </c>
      <c r="B6" s="144" t="n">
        <v>4875</v>
      </c>
      <c r="C6" s="143" t="s">
        <v>193</v>
      </c>
      <c r="D6" s="143" t="s">
        <v>201</v>
      </c>
      <c r="E6" s="145" t="n">
        <v>1</v>
      </c>
      <c r="F6" s="143" t="s">
        <v>195</v>
      </c>
      <c r="G6" s="143" t="s">
        <v>196</v>
      </c>
    </row>
    <row r="7" customFormat="false" ht="13.8" hidden="false" customHeight="false" outlineLevel="0" collapsed="false">
      <c r="A7" s="143" t="s">
        <v>202</v>
      </c>
      <c r="B7" s="144" t="n">
        <v>5875</v>
      </c>
      <c r="C7" s="143" t="s">
        <v>193</v>
      </c>
      <c r="D7" s="143" t="s">
        <v>203</v>
      </c>
      <c r="E7" s="145" t="n">
        <v>1</v>
      </c>
      <c r="F7" s="143" t="s">
        <v>195</v>
      </c>
      <c r="G7" s="143" t="s">
        <v>196</v>
      </c>
    </row>
    <row r="8" customFormat="false" ht="13.8" hidden="false" customHeight="false" outlineLevel="0" collapsed="false">
      <c r="A8" s="143" t="s">
        <v>204</v>
      </c>
      <c r="B8" s="144" t="n">
        <v>6375</v>
      </c>
      <c r="C8" s="143" t="s">
        <v>193</v>
      </c>
      <c r="D8" s="143" t="s">
        <v>205</v>
      </c>
      <c r="E8" s="145" t="n">
        <v>1</v>
      </c>
      <c r="F8" s="143" t="s">
        <v>195</v>
      </c>
      <c r="G8" s="143" t="s">
        <v>196</v>
      </c>
    </row>
    <row r="9" customFormat="false" ht="13.8" hidden="false" customHeight="false" outlineLevel="0" collapsed="false">
      <c r="A9" s="143" t="s">
        <v>206</v>
      </c>
      <c r="B9" s="144" t="n">
        <v>4625</v>
      </c>
      <c r="C9" s="143" t="s">
        <v>193</v>
      </c>
      <c r="D9" s="143" t="s">
        <v>205</v>
      </c>
      <c r="E9" s="145" t="n">
        <v>1</v>
      </c>
      <c r="F9" s="143" t="s">
        <v>199</v>
      </c>
      <c r="G9" s="143" t="s">
        <v>196</v>
      </c>
    </row>
    <row r="10" customFormat="false" ht="13.8" hidden="false" customHeight="false" outlineLevel="0" collapsed="false">
      <c r="A10" s="143" t="s">
        <v>207</v>
      </c>
      <c r="B10" s="144" t="n">
        <v>5375</v>
      </c>
      <c r="C10" s="143" t="s">
        <v>193</v>
      </c>
      <c r="D10" s="143" t="s">
        <v>208</v>
      </c>
      <c r="E10" s="145" t="n">
        <v>1</v>
      </c>
      <c r="F10" s="143" t="s">
        <v>195</v>
      </c>
      <c r="G10" s="143" t="s">
        <v>196</v>
      </c>
    </row>
    <row r="11" customFormat="false" ht="13.8" hidden="false" customHeight="false" outlineLevel="0" collapsed="false">
      <c r="A11" s="143" t="s">
        <v>209</v>
      </c>
      <c r="B11" s="144" t="n">
        <v>5375</v>
      </c>
      <c r="C11" s="143" t="s">
        <v>193</v>
      </c>
      <c r="D11" s="143" t="s">
        <v>208</v>
      </c>
      <c r="E11" s="145" t="n">
        <v>1</v>
      </c>
      <c r="F11" s="143" t="s">
        <v>195</v>
      </c>
      <c r="G11" s="143" t="s">
        <v>196</v>
      </c>
    </row>
    <row r="12" customFormat="false" ht="13.8" hidden="false" customHeight="false" outlineLevel="0" collapsed="false">
      <c r="A12" s="143" t="s">
        <v>210</v>
      </c>
      <c r="B12" s="144" t="n">
        <v>3875</v>
      </c>
      <c r="C12" s="143" t="s">
        <v>193</v>
      </c>
      <c r="D12" s="143" t="s">
        <v>208</v>
      </c>
      <c r="E12" s="145" t="n">
        <v>1</v>
      </c>
      <c r="F12" s="143" t="s">
        <v>199</v>
      </c>
      <c r="G12" s="143" t="s">
        <v>196</v>
      </c>
    </row>
    <row r="13" customFormat="false" ht="13.8" hidden="false" customHeight="false" outlineLevel="0" collapsed="false">
      <c r="A13" s="143" t="s">
        <v>211</v>
      </c>
      <c r="B13" s="144" t="n">
        <v>3875</v>
      </c>
      <c r="C13" s="143" t="s">
        <v>193</v>
      </c>
      <c r="D13" s="143" t="s">
        <v>208</v>
      </c>
      <c r="E13" s="145" t="n">
        <v>1</v>
      </c>
      <c r="F13" s="143" t="s">
        <v>199</v>
      </c>
      <c r="G13" s="143" t="s">
        <v>196</v>
      </c>
    </row>
    <row r="14" customFormat="false" ht="13.8" hidden="false" customHeight="false" outlineLevel="0" collapsed="false">
      <c r="A14" s="143" t="s">
        <v>212</v>
      </c>
      <c r="B14" s="144" t="n">
        <v>4875</v>
      </c>
      <c r="C14" s="143" t="s">
        <v>193</v>
      </c>
      <c r="D14" s="143" t="s">
        <v>213</v>
      </c>
      <c r="E14" s="145" t="n">
        <v>1</v>
      </c>
      <c r="F14" s="143" t="s">
        <v>195</v>
      </c>
      <c r="G14" s="143" t="s">
        <v>196</v>
      </c>
    </row>
    <row r="15" customFormat="false" ht="13.8" hidden="false" customHeight="false" outlineLevel="0" collapsed="false">
      <c r="A15" s="143" t="s">
        <v>214</v>
      </c>
      <c r="B15" s="144" t="n">
        <v>4875</v>
      </c>
      <c r="C15" s="143" t="s">
        <v>193</v>
      </c>
      <c r="D15" s="143" t="s">
        <v>213</v>
      </c>
      <c r="E15" s="145" t="n">
        <v>1</v>
      </c>
      <c r="F15" s="143" t="s">
        <v>195</v>
      </c>
      <c r="G15" s="143" t="s">
        <v>196</v>
      </c>
    </row>
    <row r="16" customFormat="false" ht="13.8" hidden="false" customHeight="false" outlineLevel="0" collapsed="false">
      <c r="A16" s="143" t="s">
        <v>215</v>
      </c>
      <c r="B16" s="144" t="n">
        <v>3625</v>
      </c>
      <c r="C16" s="143" t="s">
        <v>193</v>
      </c>
      <c r="D16" s="143" t="s">
        <v>213</v>
      </c>
      <c r="E16" s="145" t="n">
        <v>1</v>
      </c>
      <c r="F16" s="143" t="s">
        <v>199</v>
      </c>
      <c r="G16" s="143" t="s">
        <v>196</v>
      </c>
    </row>
    <row r="17" customFormat="false" ht="13.8" hidden="false" customHeight="false" outlineLevel="0" collapsed="false">
      <c r="A17" s="143" t="s">
        <v>216</v>
      </c>
      <c r="B17" s="144" t="n">
        <v>3625</v>
      </c>
      <c r="C17" s="143" t="s">
        <v>193</v>
      </c>
      <c r="D17" s="143" t="s">
        <v>213</v>
      </c>
      <c r="E17" s="145" t="n">
        <v>1</v>
      </c>
      <c r="F17" s="143" t="s">
        <v>199</v>
      </c>
      <c r="G17" s="143" t="s">
        <v>196</v>
      </c>
    </row>
    <row r="18" customFormat="false" ht="13.8" hidden="false" customHeight="false" outlineLevel="0" collapsed="false">
      <c r="A18" s="143" t="s">
        <v>217</v>
      </c>
      <c r="B18" s="144" t="n">
        <v>4900</v>
      </c>
      <c r="C18" s="143" t="s">
        <v>193</v>
      </c>
      <c r="D18" s="143" t="s">
        <v>218</v>
      </c>
      <c r="E18" s="145" t="n">
        <v>1</v>
      </c>
      <c r="F18" s="143" t="s">
        <v>195</v>
      </c>
      <c r="G18" s="143" t="s">
        <v>196</v>
      </c>
    </row>
    <row r="19" customFormat="false" ht="13.8" hidden="false" customHeight="false" outlineLevel="0" collapsed="false">
      <c r="A19" s="143" t="s">
        <v>219</v>
      </c>
      <c r="B19" s="144" t="n">
        <v>5400</v>
      </c>
      <c r="C19" s="143" t="s">
        <v>193</v>
      </c>
      <c r="D19" s="143" t="s">
        <v>220</v>
      </c>
      <c r="E19" s="145" t="n">
        <v>1</v>
      </c>
      <c r="F19" s="143" t="s">
        <v>195</v>
      </c>
      <c r="G19" s="143" t="s">
        <v>196</v>
      </c>
    </row>
    <row r="22" customFormat="false" ht="12.8" hidden="false" customHeight="false" outlineLevel="0" collapsed="false">
      <c r="A22" s="1" t="s">
        <v>221</v>
      </c>
      <c r="B22" s="2" t="n">
        <f aca="false">AVERAGE(B4:B19)</f>
        <v>4721.875</v>
      </c>
    </row>
  </sheetData>
  <hyperlinks>
    <hyperlink ref="A1" r:id="rId1" location="Main" display="Main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&amp;C&amp;Kffffff&amp;A</oddHeader>
    <oddFooter>&amp;C&amp;KffffffPage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10660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2026-02-07T00:52:13Z</cp:lastPrinted>
  <dcterms:modified xsi:type="dcterms:W3CDTF">2026-09-17T10:26:11Z</dcterms:modified>
  <cp:revision>283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