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sheetId="1" state="visible" r:id="rId3"/>
    <sheet name="Model" sheetId="2" state="visible" r:id="rId4"/>
    <sheet name="Bond" sheetId="3" state="visible" r:id="rId5"/>
    <sheet name="Board" sheetId="4" state="visible" r:id="rId6"/>
  </sheets>
  <externalReferences>
    <externalReference r:id="rId7"/>
  </externalReference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70" authorId="0">
      <text>
        <r>
          <rPr>
            <sz val="10"/>
            <rFont val="Arial"/>
            <family val="2"/>
          </rPr>
          <t xml:space="preserve">The 9,600 TPUS are maximised to maximised the throughput (outut per second) for training. The objective is to maximise FLOP/second
</t>
        </r>
      </text>
      <mc:AlternateContent>
        <mc:Choice Requires="v2">
          <commentPr autoFill="true" autoScale="false" colHidden="false" locked="false" rowHidden="false" textHAlign="justify" textVAlign="top">
            <anchor moveWithCells="false" sizeWithCells="false">
              <xdr:from>
                <xdr:col>4</xdr:col>
                <xdr:colOff>10</xdr:colOff>
                <xdr:row>65</xdr:row>
                <xdr:rowOff>5</xdr:rowOff>
              </xdr:from>
              <xdr:to>
                <xdr:col>5</xdr:col>
                <xdr:colOff>19</xdr:colOff>
                <xdr:row>74</xdr:row>
                <xdr:rowOff>6</xdr:rowOff>
              </xdr:to>
            </anchor>
          </commentPr>
        </mc:Choice>
        <mc:Fallback/>
      </mc:AlternateContent>
    </comment>
    <comment ref="D71" authorId="0">
      <text>
        <r>
          <rPr>
            <sz val="10"/>
            <rFont val="Arial"/>
            <family val="2"/>
          </rPr>
          <t xml:space="preserve">In token generation latency is the main issue instead of total FLOPs. The issue amplifies as the model uses the MoE (mixture of experts) where maybe one TPU has to communicate with multiple TPUs</t>
        </r>
      </text>
      <mc:AlternateContent>
        <mc:Choice Requires="v2">
          <commentPr autoFill="true" autoScale="false" colHidden="false" locked="false" rowHidden="false" textHAlign="justify" textVAlign="top">
            <anchor moveWithCells="false" sizeWithCells="false">
              <xdr:from>
                <xdr:col>4</xdr:col>
                <xdr:colOff>10</xdr:colOff>
                <xdr:row>66</xdr:row>
                <xdr:rowOff>5</xdr:rowOff>
              </xdr:from>
              <xdr:to>
                <xdr:col>5</xdr:col>
                <xdr:colOff>19</xdr:colOff>
                <xdr:row>81</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R91" authorId="0">
      <text>
        <r>
          <rPr>
            <sz val="10"/>
            <rFont val="Arial"/>
            <family val="2"/>
          </rPr>
          <t xml:space="preserve">6% of Space X and 14% of Anthropic</t>
        </r>
      </text>
      <mc:AlternateContent>
        <mc:Choice Requires="v2">
          <commentPr autoFill="true" autoScale="false" colHidden="false" locked="false" rowHidden="false" textHAlign="justify" textVAlign="top">
            <anchor moveWithCells="false" sizeWithCells="false">
              <xdr:from>
                <xdr:col>18</xdr:col>
                <xdr:colOff>1</xdr:colOff>
                <xdr:row>86</xdr:row>
                <xdr:rowOff>1</xdr:rowOff>
              </xdr:from>
              <xdr:to>
                <xdr:col>19</xdr:col>
                <xdr:colOff>2</xdr:colOff>
                <xdr:row>90</xdr:row>
                <xdr:rowOff>1</xdr:rowOff>
              </xdr:to>
            </anchor>
          </commentPr>
        </mc:Choice>
        <mc:Fallback/>
      </mc:AlternateContent>
    </comment>
    <comment ref="AI2" authorId="0">
      <text>
        <r>
          <rPr>
            <sz val="10"/>
            <rFont val="Arial"/>
            <family val="2"/>
          </rPr>
          <t xml:space="preserve">06/03 470.220</t>
        </r>
      </text>
      <mc:AlternateContent>
        <mc:Choice Requires="v2">
          <commentPr autoFill="true" autoScale="false" colHidden="false" locked="false" rowHidden="false" textHAlign="justify" textVAlign="top">
            <anchor moveWithCells="false" sizeWithCells="false">
              <xdr:from>
                <xdr:col>35</xdr:col>
                <xdr:colOff>1</xdr:colOff>
                <xdr:row>0</xdr:row>
                <xdr:rowOff>0</xdr:rowOff>
              </xdr:from>
              <xdr:to>
                <xdr:col>36</xdr:col>
                <xdr:colOff>2</xdr:colOff>
                <xdr:row>4</xdr:row>
                <xdr:rowOff>1</xdr:rowOff>
              </xdr:to>
            </anchor>
          </commentPr>
        </mc:Choice>
        <mc:Fallback/>
      </mc:AlternateContent>
    </comment>
    <comment ref="AI137" authorId="0">
      <text>
        <r>
          <rPr>
            <sz val="10"/>
            <rFont val="Arial"/>
            <family val="2"/>
          </rPr>
          <t xml:space="preserve">Guidance 180 – 190 B$</t>
        </r>
      </text>
      <mc:AlternateContent>
        <mc:Choice Requires="v2">
          <commentPr autoFill="true" autoScale="false" colHidden="false" locked="false" rowHidden="false" textHAlign="justify" textVAlign="top">
            <anchor moveWithCells="false" sizeWithCells="false">
              <xdr:from>
                <xdr:col>35</xdr:col>
                <xdr:colOff>1</xdr:colOff>
                <xdr:row>132</xdr:row>
                <xdr:rowOff>1</xdr:rowOff>
              </xdr:from>
              <xdr:to>
                <xdr:col>36</xdr:col>
                <xdr:colOff>2</xdr:colOff>
                <xdr:row>136</xdr:row>
                <xdr:rowOff>1</xdr:rowOff>
              </xdr:to>
            </anchor>
          </commentPr>
        </mc:Choice>
        <mc:Fallback/>
      </mc:AlternateContent>
    </comment>
    <comment ref="AJ2" authorId="0">
      <text>
        <r>
          <rPr>
            <sz val="10"/>
            <rFont val="Arial"/>
            <family val="2"/>
          </rPr>
          <t xml:space="preserve">06/03 540760</t>
        </r>
      </text>
      <mc:AlternateContent>
        <mc:Choice Requires="v2">
          <commentPr autoFill="true" autoScale="false" colHidden="false" locked="false" rowHidden="false" textHAlign="justify" textVAlign="top">
            <anchor moveWithCells="false" sizeWithCells="false">
              <xdr:from>
                <xdr:col>36</xdr:col>
                <xdr:colOff>1</xdr:colOff>
                <xdr:row>0</xdr:row>
                <xdr:rowOff>0</xdr:rowOff>
              </xdr:from>
              <xdr:to>
                <xdr:col>37</xdr:col>
                <xdr:colOff>2</xdr:colOff>
                <xdr:row>4</xdr:row>
                <xdr:rowOff>1</xdr:rowOff>
              </xdr:to>
            </anchor>
          </commentPr>
        </mc:Choice>
        <mc:Fallback/>
      </mc:AlternateContent>
    </comment>
    <comment ref="AK2" authorId="0">
      <text>
        <r>
          <rPr>
            <sz val="10"/>
            <rFont val="Arial"/>
            <family val="2"/>
          </rPr>
          <t xml:space="preserve">06/03 615060</t>
        </r>
      </text>
      <mc:AlternateContent>
        <mc:Choice Requires="v2">
          <commentPr autoFill="true" autoScale="false" colHidden="false" locked="false" rowHidden="false" textHAlign="justify" textVAlign="top">
            <anchor moveWithCells="false" sizeWithCells="false">
              <xdr:from>
                <xdr:col>37</xdr:col>
                <xdr:colOff>1</xdr:colOff>
                <xdr:row>0</xdr:row>
                <xdr:rowOff>0</xdr:rowOff>
              </xdr:from>
              <xdr:to>
                <xdr:col>38</xdr:col>
                <xdr:colOff>2</xdr:colOff>
                <xdr:row>4</xdr:row>
                <xdr:rowOff>1</xdr:rowOff>
              </xdr:to>
            </anchor>
          </commentPr>
        </mc:Choice>
        <mc:Fallback/>
      </mc:AlternateContent>
    </comment>
    <comment ref="AR84" authorId="0">
      <text>
        <r>
          <rPr>
            <sz val="10"/>
            <rFont val="Arial"/>
            <family val="2"/>
          </rPr>
          <t xml:space="preserve">META: 18x
AAPL: 28x
NVDA: 28x
ORCL: 15x
NFLX: 9x</t>
        </r>
      </text>
      <mc:AlternateContent>
        <mc:Choice Requires="v2">
          <commentPr autoFill="true" autoScale="false" colHidden="false" locked="false" rowHidden="false" textHAlign="justify" textVAlign="top">
            <anchor moveWithCells="false" sizeWithCells="false">
              <xdr:from>
                <xdr:col>44</xdr:col>
                <xdr:colOff>23</xdr:colOff>
                <xdr:row>79</xdr:row>
                <xdr:rowOff>12</xdr:rowOff>
              </xdr:from>
              <xdr:to>
                <xdr:col>45</xdr:col>
                <xdr:colOff>47</xdr:colOff>
                <xdr:row>84</xdr:row>
                <xdr:rowOff>8</xdr:rowOff>
              </xdr:to>
            </anchor>
          </commentPr>
        </mc:Choice>
        <mc:Fallback/>
      </mc:AlternateContent>
    </comment>
    <comment ref="AR85" authorId="0">
      <text>
        <r>
          <rPr>
            <sz val="10"/>
            <rFont val="Arial"/>
            <family val="2"/>
          </rPr>
          <t xml:space="preserve">Yahoo – Right Media: 47x
MSFT – aQuantive: 46x
GOOGL – DoubleClick: 31x</t>
        </r>
      </text>
      <mc:AlternateContent>
        <mc:Choice Requires="v2">
          <commentPr autoFill="true" autoScale="false" colHidden="false" locked="false" rowHidden="false" textHAlign="justify" textVAlign="top">
            <anchor moveWithCells="false" sizeWithCells="false">
              <xdr:from>
                <xdr:col>44</xdr:col>
                <xdr:colOff>23</xdr:colOff>
                <xdr:row>80</xdr:row>
                <xdr:rowOff>12</xdr:rowOff>
              </xdr:from>
              <xdr:to>
                <xdr:col>45</xdr:col>
                <xdr:colOff>47</xdr:colOff>
                <xdr:row>86</xdr:row>
                <xdr:rowOff>6</xdr:rowOff>
              </xdr:to>
            </anchor>
          </commentPr>
        </mc:Choice>
        <mc:Fallback/>
      </mc:AlternateContent>
    </comment>
  </commentList>
</comments>
</file>

<file path=xl/sharedStrings.xml><?xml version="1.0" encoding="utf-8"?>
<sst xmlns="http://schemas.openxmlformats.org/spreadsheetml/2006/main" count="642" uniqueCount="352">
  <si>
    <t xml:space="preserve">Alphabeth Inc.</t>
  </si>
  <si>
    <t xml:space="preserve">Share A</t>
  </si>
  <si>
    <t xml:space="preserve">Share B</t>
  </si>
  <si>
    <t xml:space="preserve">-&gt;</t>
  </si>
  <si>
    <t xml:space="preserve">Increasing growth of Google cloud</t>
  </si>
  <si>
    <t xml:space="preserve">Share C</t>
  </si>
  <si>
    <t xml:space="preserve">+74% CapEx in AI (?)</t>
  </si>
  <si>
    <t xml:space="preserve">Shares A</t>
  </si>
  <si>
    <t xml:space="preserve">Q226</t>
  </si>
  <si>
    <t xml:space="preserve">Waymo more than 500.000 drives a week</t>
  </si>
  <si>
    <t xml:space="preserve">Shares B</t>
  </si>
  <si>
    <t xml:space="preserve">350 M paid users between Google One and YT Premium</t>
  </si>
  <si>
    <t xml:space="preserve">Shares C</t>
  </si>
  <si>
    <t xml:space="preserve">MC</t>
  </si>
  <si>
    <t xml:space="preserve">Cash</t>
  </si>
  <si>
    <t xml:space="preserve">Debt</t>
  </si>
  <si>
    <t xml:space="preserve">Preferred</t>
  </si>
  <si>
    <t xml:space="preserve">Ev</t>
  </si>
  <si>
    <t xml:space="preserve">IPO </t>
  </si>
  <si>
    <t xml:space="preserve">HQ</t>
  </si>
  <si>
    <t xml:space="preserve">1600 Amphitheatre Parkway, Mountain View, CA 94043, US</t>
  </si>
  <si>
    <t xml:space="preserve">CEO</t>
  </si>
  <si>
    <t xml:space="preserve">Sundar Pichai</t>
  </si>
  <si>
    <t xml:space="preserve">P/FCF</t>
  </si>
  <si>
    <t xml:space="preserve">WACC</t>
  </si>
  <si>
    <t xml:space="preserve">P/E</t>
  </si>
  <si>
    <t xml:space="preserve">EV/EBITDA</t>
  </si>
  <si>
    <t xml:space="preserve">EV/FCF</t>
  </si>
  <si>
    <t xml:space="preserve">Inc Margin</t>
  </si>
  <si>
    <t xml:space="preserve">BETA</t>
  </si>
  <si>
    <t xml:space="preserve">CAPM</t>
  </si>
  <si>
    <t xml:space="preserve">Cost of Debt</t>
  </si>
  <si>
    <t xml:space="preserve">Cr. Spread</t>
  </si>
  <si>
    <t xml:space="preserve">Rating</t>
  </si>
  <si>
    <t xml:space="preserve">AA+</t>
  </si>
  <si>
    <t xml:space="preserve">AA1</t>
  </si>
  <si>
    <t xml:space="preserve">S&amp;P</t>
  </si>
  <si>
    <t xml:space="preserve">Moody’s</t>
  </si>
  <si>
    <t xml:space="preserve">Google Search and Other</t>
  </si>
  <si>
    <t xml:space="preserve">Google Search Advertising</t>
  </si>
  <si>
    <t xml:space="preserve">Revenues from properties like Gmail, Maps and Google Play</t>
  </si>
  <si>
    <t xml:space="preserve">YT Ads</t>
  </si>
  <si>
    <t xml:space="preserve">Advertising on Youtube</t>
  </si>
  <si>
    <t xml:space="preserve">Long form video</t>
  </si>
  <si>
    <t xml:space="preserve">Short form video</t>
  </si>
  <si>
    <t xml:space="preserve">Connected-TV / living room viewers</t>
  </si>
  <si>
    <t xml:space="preserve">Music</t>
  </si>
  <si>
    <t xml:space="preserve">Live Streams</t>
  </si>
  <si>
    <t xml:space="preserve">Google Network</t>
  </si>
  <si>
    <t xml:space="preserve">Google’s revenue on third party websites</t>
  </si>
  <si>
    <t xml:space="preserve">AdSense</t>
  </si>
  <si>
    <t xml:space="preserve">AdMob</t>
  </si>
  <si>
    <t xml:space="preserve">Google Ad Manager</t>
  </si>
  <si>
    <t xml:space="preserve">Google Subscriptions, Platforms &amp; Devices</t>
  </si>
  <si>
    <t xml:space="preserve">Subscriptions</t>
  </si>
  <si>
    <t xml:space="preserve">YT Premium/Music (consumer target)</t>
  </si>
  <si>
    <t xml:space="preserve">YT TV (live TV market)</t>
  </si>
  <si>
    <t xml:space="preserve">NFL Sunday Ticket (sport subscription)</t>
  </si>
  <si>
    <t xml:space="preserve">Google One (storage and AI related)</t>
  </si>
  <si>
    <t xml:space="preserve">Google Play Pass (consumer target)</t>
  </si>
  <si>
    <t xml:space="preserve">Platforms</t>
  </si>
  <si>
    <t xml:space="preserve">Google Play (marketplace fee)</t>
  </si>
  <si>
    <t xml:space="preserve">Devices</t>
  </si>
  <si>
    <t xml:space="preserve">Pixel Phone family</t>
  </si>
  <si>
    <t xml:space="preserve">Google Cloud (enterprise IT target)</t>
  </si>
  <si>
    <t xml:space="preserve">Cloud Infrastructure</t>
  </si>
  <si>
    <t xml:space="preserve">Compute</t>
  </si>
  <si>
    <t xml:space="preserve">GOOGL is a huge Nvidia customer serving (A100, H100, B200, …)</t>
  </si>
  <si>
    <t xml:space="preserve">GOOGL also deploys their inhouse made TPUs (AI accellerators)</t>
  </si>
  <si>
    <t xml:space="preserve">TPU v7 (Ironwood) with a high-speed domain (single superpod) of up to 9,216 TPUs</t>
  </si>
  <si>
    <t xml:space="preserve">TPU 8t (mainly for training) with a single superpod up to 9,600 TPUs</t>
  </si>
  <si>
    <t xml:space="preserve">TPR 8i (mainly for inference) single superpod up to 1,152 TPUs with much more efficient token generation</t>
  </si>
  <si>
    <t xml:space="preserve">Storage</t>
  </si>
  <si>
    <t xml:space="preserve">Databases</t>
  </si>
  <si>
    <t xml:space="preserve">Networking</t>
  </si>
  <si>
    <t xml:space="preserve">Data Analytics</t>
  </si>
  <si>
    <t xml:space="preserve">Cybersecurity</t>
  </si>
  <si>
    <t xml:space="preserve">AI Infrastructure</t>
  </si>
  <si>
    <t xml:space="preserve">Vertex AI</t>
  </si>
  <si>
    <t xml:space="preserve">Gemini Enterprise</t>
  </si>
  <si>
    <t xml:space="preserve">Workspace (all with enterprise feature)</t>
  </si>
  <si>
    <t xml:space="preserve">Gmail</t>
  </si>
  <si>
    <t xml:space="preserve">Docs</t>
  </si>
  <si>
    <t xml:space="preserve">Drive</t>
  </si>
  <si>
    <t xml:space="preserve">…</t>
  </si>
  <si>
    <t xml:space="preserve">AI services</t>
  </si>
  <si>
    <t xml:space="preserve">Hedging Gains</t>
  </si>
  <si>
    <t xml:space="preserve">FX hedge accounting</t>
  </si>
  <si>
    <t xml:space="preserve">Other Bets</t>
  </si>
  <si>
    <t xml:space="preserve">Waymo (AV)</t>
  </si>
  <si>
    <t xml:space="preserve">Google Fiber (High Speed Internet)</t>
  </si>
  <si>
    <t xml:space="preserve">Verily (health tech company)</t>
  </si>
  <si>
    <t xml:space="preserve">Wing (drone delivery)</t>
  </si>
  <si>
    <t xml:space="preserve">Intrinsic (Robotic Company) – after selling Boston Dynamics</t>
  </si>
  <si>
    <t xml:space="preserve">Isomorphic Labs (AI drug discovery)</t>
  </si>
  <si>
    <t xml:space="preserve">Moonshot Factory (general R&amp;D, no major revenue provider)</t>
  </si>
  <si>
    <t xml:space="preserve">Main</t>
  </si>
  <si>
    <t xml:space="preserve">03/22</t>
  </si>
  <si>
    <t xml:space="preserve">06/22</t>
  </si>
  <si>
    <t xml:space="preserve">09/22</t>
  </si>
  <si>
    <t xml:space="preserve">12/22</t>
  </si>
  <si>
    <t xml:space="preserve">03/23</t>
  </si>
  <si>
    <t xml:space="preserve">06/23</t>
  </si>
  <si>
    <t xml:space="preserve">09/23</t>
  </si>
  <si>
    <t xml:space="preserve">12/23</t>
  </si>
  <si>
    <t xml:space="preserve">03/24</t>
  </si>
  <si>
    <t xml:space="preserve">06/24</t>
  </si>
  <si>
    <t xml:space="preserve">09/24</t>
  </si>
  <si>
    <t xml:space="preserve">12/24</t>
  </si>
  <si>
    <t xml:space="preserve">03/25</t>
  </si>
  <si>
    <t xml:space="preserve">06/25</t>
  </si>
  <si>
    <t xml:space="preserve">09/25</t>
  </si>
  <si>
    <t xml:space="preserve">12/25</t>
  </si>
  <si>
    <t xml:space="preserve">03/26</t>
  </si>
  <si>
    <t xml:space="preserve">06/26</t>
  </si>
  <si>
    <t xml:space="preserve">09/26</t>
  </si>
  <si>
    <t xml:space="preserve">12/26</t>
  </si>
  <si>
    <t xml:space="preserve">12/20</t>
  </si>
  <si>
    <t xml:space="preserve">12/21</t>
  </si>
  <si>
    <t xml:space="preserve">12/27</t>
  </si>
  <si>
    <t xml:space="preserve">12/28</t>
  </si>
  <si>
    <t xml:space="preserve">12/29</t>
  </si>
  <si>
    <t xml:space="preserve">12/30</t>
  </si>
  <si>
    <t xml:space="preserve">in Millions</t>
  </si>
  <si>
    <t xml:space="preserve">Q122</t>
  </si>
  <si>
    <t xml:space="preserve">Q222</t>
  </si>
  <si>
    <t xml:space="preserve">Q322</t>
  </si>
  <si>
    <t xml:space="preserve">Q422</t>
  </si>
  <si>
    <t xml:space="preserve">Q123</t>
  </si>
  <si>
    <t xml:space="preserve">Q223</t>
  </si>
  <si>
    <t xml:space="preserve">Q323</t>
  </si>
  <si>
    <t xml:space="preserve">Q423</t>
  </si>
  <si>
    <t xml:space="preserve">Q124</t>
  </si>
  <si>
    <t xml:space="preserve">Q224</t>
  </si>
  <si>
    <t xml:space="preserve">Q324</t>
  </si>
  <si>
    <t xml:space="preserve">Q424</t>
  </si>
  <si>
    <t xml:space="preserve">Q125</t>
  </si>
  <si>
    <t xml:space="preserve">Q225</t>
  </si>
  <si>
    <t xml:space="preserve">Q325</t>
  </si>
  <si>
    <t xml:space="preserve">Q425</t>
  </si>
  <si>
    <t xml:space="preserve">Q126</t>
  </si>
  <si>
    <t xml:space="preserve">Q326</t>
  </si>
  <si>
    <t xml:space="preserve">Q426</t>
  </si>
  <si>
    <t xml:space="preserve">Google Search &amp; Other</t>
  </si>
  <si>
    <t xml:space="preserve">Google Subscriptions</t>
  </si>
  <si>
    <t xml:space="preserve">Total Google Services</t>
  </si>
  <si>
    <t xml:space="preserve">Google Cloud</t>
  </si>
  <si>
    <t xml:space="preserve">Hedging gains</t>
  </si>
  <si>
    <t xml:space="preserve">Revenues</t>
  </si>
  <si>
    <t xml:space="preserve">COGS</t>
  </si>
  <si>
    <t xml:space="preserve">Gross Margin</t>
  </si>
  <si>
    <t xml:space="preserve">R&amp;D</t>
  </si>
  <si>
    <t xml:space="preserve">S&amp;M</t>
  </si>
  <si>
    <t xml:space="preserve">G&amp;A</t>
  </si>
  <si>
    <t xml:space="preserve">Op Exp</t>
  </si>
  <si>
    <t xml:space="preserve">EBIT</t>
  </si>
  <si>
    <t xml:space="preserve">Other Income</t>
  </si>
  <si>
    <t xml:space="preserve">EBT</t>
  </si>
  <si>
    <t xml:space="preserve">Taxes</t>
  </si>
  <si>
    <t xml:space="preserve">Net Income</t>
  </si>
  <si>
    <t xml:space="preserve">Preferred Stock Dividend</t>
  </si>
  <si>
    <t xml:space="preserve">NI Common Shareholder</t>
  </si>
  <si>
    <t xml:space="preserve">EPS</t>
  </si>
  <si>
    <t xml:space="preserve">Shares</t>
  </si>
  <si>
    <t xml:space="preserve">Preferred Dividends</t>
  </si>
  <si>
    <t xml:space="preserve">Revenue Y/Y</t>
  </si>
  <si>
    <t xml:space="preserve">Op Margin</t>
  </si>
  <si>
    <t xml:space="preserve">Terminal</t>
  </si>
  <si>
    <t xml:space="preserve">NI Margin</t>
  </si>
  <si>
    <t xml:space="preserve">Discount</t>
  </si>
  <si>
    <t xml:space="preserve">Tax Margin</t>
  </si>
  <si>
    <t xml:space="preserve">ROIC</t>
  </si>
  <si>
    <t xml:space="preserve">Rule of 40</t>
  </si>
  <si>
    <t xml:space="preserve">NPV</t>
  </si>
  <si>
    <t xml:space="preserve">CFFO Margin</t>
  </si>
  <si>
    <t xml:space="preserve">Inc. Margin</t>
  </si>
  <si>
    <t xml:space="preserve">Diff</t>
  </si>
  <si>
    <t xml:space="preserve">ROA</t>
  </si>
  <si>
    <t xml:space="preserve">ROE</t>
  </si>
  <si>
    <t xml:space="preserve">A. Turnover</t>
  </si>
  <si>
    <t xml:space="preserve">Financial Leverage</t>
  </si>
  <si>
    <t xml:space="preserve">Financial Leverage %</t>
  </si>
  <si>
    <t xml:space="preserve">EBITDA</t>
  </si>
  <si>
    <t xml:space="preserve">Adj. EBITDA</t>
  </si>
  <si>
    <t xml:space="preserve">Backlog (B)</t>
  </si>
  <si>
    <t xml:space="preserve">Y/Y</t>
  </si>
  <si>
    <t xml:space="preserve">q/q</t>
  </si>
  <si>
    <t xml:space="preserve">TAC</t>
  </si>
  <si>
    <t xml:space="preserve">EV</t>
  </si>
  <si>
    <t xml:space="preserve">NOPAT</t>
  </si>
  <si>
    <t xml:space="preserve">NWC</t>
  </si>
  <si>
    <t xml:space="preserve">UFCF</t>
  </si>
  <si>
    <t xml:space="preserve">Pr. Shares</t>
  </si>
  <si>
    <t xml:space="preserve">TV</t>
  </si>
  <si>
    <t xml:space="preserve">Equity Value</t>
  </si>
  <si>
    <t xml:space="preserve">Net Cash</t>
  </si>
  <si>
    <t xml:space="preserve">Price</t>
  </si>
  <si>
    <t xml:space="preserve">Mrk. Securities</t>
  </si>
  <si>
    <t xml:space="preserve">A/R</t>
  </si>
  <si>
    <t xml:space="preserve">Non Mrk. Sec.</t>
  </si>
  <si>
    <t xml:space="preserve">D/T</t>
  </si>
  <si>
    <t xml:space="preserve">PP&amp;E</t>
  </si>
  <si>
    <t xml:space="preserve">Op Lease</t>
  </si>
  <si>
    <t xml:space="preserve">Goodwill and Int</t>
  </si>
  <si>
    <t xml:space="preserve">Other Assets</t>
  </si>
  <si>
    <t xml:space="preserve">A</t>
  </si>
  <si>
    <t xml:space="preserve">A/P</t>
  </si>
  <si>
    <t xml:space="preserve">Accr. Compensations</t>
  </si>
  <si>
    <t xml:space="preserve">Accr. Exp</t>
  </si>
  <si>
    <t xml:space="preserve">Accr. Revenue share</t>
  </si>
  <si>
    <t xml:space="preserve">D/R</t>
  </si>
  <si>
    <t xml:space="preserve">Income taxes payable</t>
  </si>
  <si>
    <t xml:space="preserve">Other Liabilities</t>
  </si>
  <si>
    <t xml:space="preserve">L</t>
  </si>
  <si>
    <t xml:space="preserve">Preferred Stock</t>
  </si>
  <si>
    <t xml:space="preserve">Stock A,B,C</t>
  </si>
  <si>
    <t xml:space="preserve">Accumulated Income</t>
  </si>
  <si>
    <t xml:space="preserve">Retained Earnings</t>
  </si>
  <si>
    <t xml:space="preserve">SE</t>
  </si>
  <si>
    <t xml:space="preserve">L+SE</t>
  </si>
  <si>
    <t xml:space="preserve">Model NI</t>
  </si>
  <si>
    <t xml:space="preserve">Net Inc</t>
  </si>
  <si>
    <t xml:space="preserve">D&amp;A</t>
  </si>
  <si>
    <t xml:space="preserve">SBC</t>
  </si>
  <si>
    <t xml:space="preserve">Loss on debt</t>
  </si>
  <si>
    <t xml:space="preserve">Other </t>
  </si>
  <si>
    <t xml:space="preserve">Income taxes</t>
  </si>
  <si>
    <t xml:space="preserve">Accr/E</t>
  </si>
  <si>
    <t xml:space="preserve">Accr/R</t>
  </si>
  <si>
    <t xml:space="preserve">CFFO</t>
  </si>
  <si>
    <t xml:space="preserve">Cap Ex</t>
  </si>
  <si>
    <t xml:space="preserve">FCF</t>
  </si>
  <si>
    <t xml:space="preserve">DSO</t>
  </si>
  <si>
    <t xml:space="preserve">DPO</t>
  </si>
  <si>
    <t xml:space="preserve">CCC</t>
  </si>
  <si>
    <t xml:space="preserve">Employees</t>
  </si>
  <si>
    <t xml:space="preserve">Revenue / employee</t>
  </si>
  <si>
    <t xml:space="preserve">Accruals</t>
  </si>
  <si>
    <t xml:space="preserve">Accruals Ratio</t>
  </si>
  <si>
    <t xml:space="preserve">Stock Issuance</t>
  </si>
  <si>
    <t xml:space="preserve">Stock Repurchase</t>
  </si>
  <si>
    <t xml:space="preserve">Dividends</t>
  </si>
  <si>
    <t xml:space="preserve">Total SH return</t>
  </si>
  <si>
    <t xml:space="preserve">isin</t>
  </si>
  <si>
    <t xml:space="preserve">bondType</t>
  </si>
  <si>
    <t xml:space="preserve">coupon</t>
  </si>
  <si>
    <t xml:space="preserve">couponType</t>
  </si>
  <si>
    <t xml:space="preserve">maturityDate</t>
  </si>
  <si>
    <t xml:space="preserve">callable</t>
  </si>
  <si>
    <t xml:space="preserve">currency</t>
  </si>
  <si>
    <t xml:space="preserve">seniorityLevel</t>
  </si>
  <si>
    <t xml:space="preserve">US02079KAC18</t>
  </si>
  <si>
    <t xml:space="preserve">—</t>
  </si>
  <si>
    <t xml:space="preserve">Fixed Listing</t>
  </si>
  <si>
    <t xml:space="preserve">15/08/2026</t>
  </si>
  <si>
    <t xml:space="preserve">Y</t>
  </si>
  <si>
    <t xml:space="preserve">USD</t>
  </si>
  <si>
    <t xml:space="preserve">Senior</t>
  </si>
  <si>
    <t xml:space="preserve">US02079KAJ60</t>
  </si>
  <si>
    <t xml:space="preserve">15/08/2027</t>
  </si>
  <si>
    <t xml:space="preserve">XS3226478918</t>
  </si>
  <si>
    <t xml:space="preserve">06/11/2028</t>
  </si>
  <si>
    <t xml:space="preserve">EUR</t>
  </si>
  <si>
    <t xml:space="preserve">US02079KAU16</t>
  </si>
  <si>
    <t xml:space="preserve">Floating Rate</t>
  </si>
  <si>
    <t xml:space="preserve">15/11/2028</t>
  </si>
  <si>
    <t xml:space="preserve">US02079KAV98</t>
  </si>
  <si>
    <t xml:space="preserve">XS3285554096</t>
  </si>
  <si>
    <t xml:space="preserve">13/02/2029</t>
  </si>
  <si>
    <t xml:space="preserve">GBP</t>
  </si>
  <si>
    <t xml:space="preserve">US02079KBJ51</t>
  </si>
  <si>
    <t xml:space="preserve">15/02/2029</t>
  </si>
  <si>
    <t xml:space="preserve">CH1504033700</t>
  </si>
  <si>
    <t xml:space="preserve">01/03/2029</t>
  </si>
  <si>
    <t xml:space="preserve">CHF</t>
  </si>
  <si>
    <t xml:space="preserve">XS3064418687</t>
  </si>
  <si>
    <t xml:space="preserve">06/05/2029</t>
  </si>
  <si>
    <t xml:space="preserve">US02079KAK34</t>
  </si>
  <si>
    <t xml:space="preserve">15/05/2030</t>
  </si>
  <si>
    <t xml:space="preserve">US02079KAD90</t>
  </si>
  <si>
    <t xml:space="preserve">Sustainable</t>
  </si>
  <si>
    <t xml:space="preserve">15/08/2030</t>
  </si>
  <si>
    <t xml:space="preserve">US02079KAW71</t>
  </si>
  <si>
    <t xml:space="preserve">15/11/2030</t>
  </si>
  <si>
    <t xml:space="preserve">US02079KBK25</t>
  </si>
  <si>
    <t xml:space="preserve">15/02/2031</t>
  </si>
  <si>
    <t xml:space="preserve">XS3224609290</t>
  </si>
  <si>
    <t xml:space="preserve">06/11/2031</t>
  </si>
  <si>
    <t xml:space="preserve">CH1504033718</t>
  </si>
  <si>
    <t xml:space="preserve">03/03/2032</t>
  </si>
  <si>
    <t xml:space="preserve">XS3285560903</t>
  </si>
  <si>
    <t xml:space="preserve">13/11/2032</t>
  </si>
  <si>
    <t xml:space="preserve">US02079KAX54</t>
  </si>
  <si>
    <t xml:space="preserve">15/11/2032</t>
  </si>
  <si>
    <t xml:space="preserve">US02079KBL08</t>
  </si>
  <si>
    <t xml:space="preserve">15/02/2033</t>
  </si>
  <si>
    <t xml:space="preserve">XS3064423174</t>
  </si>
  <si>
    <t xml:space="preserve">06/05/2033</t>
  </si>
  <si>
    <t xml:space="preserve">XS3224609373</t>
  </si>
  <si>
    <t xml:space="preserve">06/11/2034</t>
  </si>
  <si>
    <t xml:space="preserve">US02079KAL17</t>
  </si>
  <si>
    <t xml:space="preserve">15/05/2035</t>
  </si>
  <si>
    <t xml:space="preserve">US02079KAY38</t>
  </si>
  <si>
    <t xml:space="preserve">15/11/2035</t>
  </si>
  <si>
    <t xml:space="preserve">US02079KBM80</t>
  </si>
  <si>
    <t xml:space="preserve">15/02/2036</t>
  </si>
  <si>
    <t xml:space="preserve">CH1523561939</t>
  </si>
  <si>
    <t xml:space="preserve">03/03/2036</t>
  </si>
  <si>
    <t xml:space="preserve">XS3064425468</t>
  </si>
  <si>
    <t xml:space="preserve">06/05/2037</t>
  </si>
  <si>
    <t xml:space="preserve">XS3224609456</t>
  </si>
  <si>
    <t xml:space="preserve">06/11/2038</t>
  </si>
  <si>
    <t xml:space="preserve">US02079KAE73</t>
  </si>
  <si>
    <t xml:space="preserve">15/08/2040</t>
  </si>
  <si>
    <t xml:space="preserve">CH1523561947</t>
  </si>
  <si>
    <t xml:space="preserve">01/03/2041</t>
  </si>
  <si>
    <t xml:space="preserve">XS3285562271</t>
  </si>
  <si>
    <t xml:space="preserve">13/11/2041</t>
  </si>
  <si>
    <t xml:space="preserve">XS3224609530</t>
  </si>
  <si>
    <t xml:space="preserve">06/11/2044</t>
  </si>
  <si>
    <t xml:space="preserve">XS3064427837</t>
  </si>
  <si>
    <t xml:space="preserve">06/05/2045</t>
  </si>
  <si>
    <t xml:space="preserve">US02079KAZ03</t>
  </si>
  <si>
    <t xml:space="preserve">15/11/2045</t>
  </si>
  <si>
    <t xml:space="preserve">US02079KBN63</t>
  </si>
  <si>
    <t xml:space="preserve">15/02/2046</t>
  </si>
  <si>
    <t xml:space="preserve">US02079KAF49</t>
  </si>
  <si>
    <t xml:space="preserve">15/08/2050</t>
  </si>
  <si>
    <t xml:space="preserve">CH1523561954</t>
  </si>
  <si>
    <t xml:space="preserve">03/03/2051</t>
  </si>
  <si>
    <t xml:space="preserve">XS3064430385</t>
  </si>
  <si>
    <t xml:space="preserve">06/05/2054</t>
  </si>
  <si>
    <t xml:space="preserve">US02079KAM99</t>
  </si>
  <si>
    <t xml:space="preserve">15/05/2055</t>
  </si>
  <si>
    <t xml:space="preserve">US02079KBA43</t>
  </si>
  <si>
    <t xml:space="preserve">15/11/2055</t>
  </si>
  <si>
    <t xml:space="preserve">US02079KBP12</t>
  </si>
  <si>
    <t xml:space="preserve">15/02/2056</t>
  </si>
  <si>
    <t xml:space="preserve">XS3285562511</t>
  </si>
  <si>
    <t xml:space="preserve">13/02/2058</t>
  </si>
  <si>
    <t xml:space="preserve">US02079KAG22</t>
  </si>
  <si>
    <t xml:space="preserve">15/08/2060</t>
  </si>
  <si>
    <t xml:space="preserve">XS3224609613</t>
  </si>
  <si>
    <t xml:space="preserve">06/11/2064</t>
  </si>
  <si>
    <t xml:space="preserve">US02079KAN72</t>
  </si>
  <si>
    <t xml:space="preserve">15/05/2065</t>
  </si>
  <si>
    <t xml:space="preserve">US02079KBQ94</t>
  </si>
  <si>
    <t xml:space="preserve">15/02/2066</t>
  </si>
  <si>
    <t xml:space="preserve">US02079KBB26</t>
  </si>
  <si>
    <t xml:space="preserve">15/11/2075</t>
  </si>
  <si>
    <t xml:space="preserve">XS3285675040</t>
  </si>
  <si>
    <t xml:space="preserve">13/02/2126</t>
  </si>
</sst>
</file>

<file path=xl/styles.xml><?xml version="1.0" encoding="utf-8"?>
<styleSheet xmlns="http://schemas.openxmlformats.org/spreadsheetml/2006/main">
  <numFmts count="13">
    <numFmt numFmtId="164" formatCode="General"/>
    <numFmt numFmtId="165" formatCode="#,##0;\(#,##0\);\-"/>
    <numFmt numFmtId="166" formatCode="#,##0\x"/>
    <numFmt numFmtId="167" formatCode="0.00%"/>
    <numFmt numFmtId="168" formatCode="#,##0.00&quot;bp&quot;"/>
    <numFmt numFmtId="169" formatCode="mm/dd"/>
    <numFmt numFmtId="170" formatCode="#,##0.00;\(#,##0.00\);\-"/>
    <numFmt numFmtId="171" formatCode="0.00%;\(0.00%\);\-"/>
    <numFmt numFmtId="172" formatCode="#,##0.00"/>
    <numFmt numFmtId="173" formatCode="0%"/>
    <numFmt numFmtId="174" formatCode="0.00"/>
    <numFmt numFmtId="175" formatCode="#,##0.00;[RED]\-#,##0.00"/>
    <numFmt numFmtId="176" formatCode="#,##0"/>
  </numFmts>
  <fonts count="17">
    <font>
      <sz val="10"/>
      <name val="Arial"/>
      <family val="2"/>
      <charset val="1"/>
    </font>
    <font>
      <sz val="10"/>
      <name val="Arial"/>
      <family val="0"/>
    </font>
    <font>
      <sz val="10"/>
      <name val="Arial"/>
      <family val="0"/>
    </font>
    <font>
      <sz val="10"/>
      <name val="Arial"/>
      <family val="0"/>
    </font>
    <font>
      <b val="true"/>
      <i val="true"/>
      <sz val="10"/>
      <name val="Arial"/>
      <family val="2"/>
      <charset val="1"/>
    </font>
    <font>
      <i val="true"/>
      <sz val="10"/>
      <name val="Arial"/>
      <family val="2"/>
      <charset val="1"/>
    </font>
    <font>
      <b val="true"/>
      <sz val="13"/>
      <name val="Arial"/>
      <family val="2"/>
      <charset val="1"/>
    </font>
    <font>
      <sz val="10"/>
      <name val="Arial"/>
      <family val="2"/>
    </font>
    <font>
      <sz val="10"/>
      <color rgb="FF0000FF"/>
      <name val="Arial"/>
      <family val="2"/>
      <charset val="1"/>
    </font>
    <font>
      <i val="true"/>
      <sz val="8"/>
      <color rgb="FF808080"/>
      <name val="Arial"/>
      <family val="2"/>
      <charset val="1"/>
    </font>
    <font>
      <b val="true"/>
      <sz val="10"/>
      <name val="Arial"/>
      <family val="2"/>
      <charset val="1"/>
    </font>
    <font>
      <b val="true"/>
      <i val="true"/>
      <sz val="8"/>
      <color rgb="FF808080"/>
      <name val="Arial"/>
      <family val="2"/>
      <charset val="1"/>
    </font>
    <font>
      <sz val="8"/>
      <color rgb="FF808080"/>
      <name val="Arial"/>
      <family val="2"/>
      <charset val="1"/>
    </font>
    <font>
      <sz val="13"/>
      <color rgb="FF000000"/>
      <name val="Arial"/>
      <family val="2"/>
    </font>
    <font>
      <sz val="10"/>
      <color rgb="FF000000"/>
      <name val="Arial"/>
      <family val="2"/>
    </font>
    <font>
      <b val="true"/>
      <sz val="11"/>
      <color rgb="FF4B4B4B"/>
      <name val="Arial"/>
      <family val="0"/>
      <charset val="1"/>
    </font>
    <font>
      <sz val="11"/>
      <color rgb="FF4B4B4B"/>
      <name val="Arial"/>
      <family val="0"/>
      <charset val="1"/>
    </font>
  </fonts>
  <fills count="7">
    <fill>
      <patternFill patternType="none"/>
    </fill>
    <fill>
      <patternFill patternType="gray125"/>
    </fill>
    <fill>
      <patternFill patternType="solid">
        <fgColor rgb="FFDDDDDD"/>
        <bgColor rgb="FFE1E1E1"/>
      </patternFill>
    </fill>
    <fill>
      <patternFill patternType="solid">
        <fgColor rgb="FFB2B2B2"/>
        <bgColor rgb="FFB3B3B3"/>
      </patternFill>
    </fill>
    <fill>
      <patternFill patternType="solid">
        <fgColor rgb="FFE1E1E1"/>
        <bgColor rgb="FFDDDDDD"/>
      </patternFill>
    </fill>
    <fill>
      <patternFill patternType="solid">
        <fgColor rgb="FFF5F5F5"/>
        <bgColor rgb="FFFFFFFF"/>
      </patternFill>
    </fill>
    <fill>
      <patternFill patternType="solid">
        <fgColor rgb="FFFFFFFF"/>
        <bgColor rgb="FFF5F5F5"/>
      </patternFill>
    </fill>
  </fills>
  <borders count="8">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1" fontId="10"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tru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2" fontId="10" fillId="0" borderId="0" xfId="0" applyFont="true" applyBorder="fals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71" fontId="0" fillId="3" borderId="1" xfId="0" applyFont="true" applyBorder="true" applyAlignment="true" applyProtection="true">
      <alignment horizontal="general" vertical="bottom" textRotation="0" wrapText="false" indent="0" shrinkToFit="false"/>
      <protection locked="true" hidden="false"/>
    </xf>
    <xf numFmtId="173" fontId="0" fillId="3" borderId="2" xfId="0" applyFont="true" applyBorder="true" applyAlignment="true" applyProtection="true">
      <alignment horizontal="general" vertical="bottom" textRotation="0" wrapText="false" indent="0" shrinkToFit="false"/>
      <protection locked="true" hidden="false"/>
    </xf>
    <xf numFmtId="171" fontId="0" fillId="2" borderId="3" xfId="0" applyFont="true" applyBorder="true" applyAlignment="true" applyProtection="true">
      <alignment horizontal="general" vertical="bottom" textRotation="0" wrapText="false" indent="0" shrinkToFit="false"/>
      <protection locked="true" hidden="false"/>
    </xf>
    <xf numFmtId="173" fontId="0" fillId="2" borderId="4" xfId="0" applyFont="true" applyBorder="true" applyAlignment="true" applyProtection="true">
      <alignment horizontal="general" vertical="bottom" textRotation="0" wrapText="false" indent="0" shrinkToFit="false"/>
      <protection locked="true" hidden="false"/>
    </xf>
    <xf numFmtId="171" fontId="0" fillId="3" borderId="3" xfId="0" applyFont="true" applyBorder="true" applyAlignment="true" applyProtection="true">
      <alignment horizontal="general" vertical="bottom" textRotation="0" wrapText="false" indent="0" shrinkToFit="false"/>
      <protection locked="true" hidden="false"/>
    </xf>
    <xf numFmtId="173" fontId="0" fillId="3" borderId="4" xfId="0" applyFont="true" applyBorder="true" applyAlignment="true" applyProtection="true">
      <alignment horizontal="general" vertical="bottom" textRotation="0" wrapText="false" indent="0" shrinkToFit="false"/>
      <protection locked="true" hidden="false"/>
    </xf>
    <xf numFmtId="171" fontId="4" fillId="0" borderId="0" xfId="0" applyFont="true" applyBorder="false" applyAlignment="true" applyProtection="true">
      <alignment horizontal="general" vertical="bottom" textRotation="0" wrapText="false" indent="0" shrinkToFit="false"/>
      <protection locked="true" hidden="false"/>
    </xf>
    <xf numFmtId="165" fontId="0" fillId="2" borderId="4" xfId="0" applyFont="true" applyBorder="true" applyAlignment="true" applyProtection="true">
      <alignment horizontal="general" vertical="bottom" textRotation="0" wrapText="false" indent="0" shrinkToFit="false"/>
      <protection locked="true" hidden="false"/>
    </xf>
    <xf numFmtId="165" fontId="0" fillId="3" borderId="4" xfId="0" applyFont="true" applyBorder="true" applyAlignment="true" applyProtection="true">
      <alignment horizontal="general"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72" fontId="10" fillId="2" borderId="5" xfId="0" applyFont="true" applyBorder="true" applyAlignment="true" applyProtection="true">
      <alignment horizontal="general" vertical="bottom" textRotation="0" wrapText="false" indent="0" shrinkToFit="false"/>
      <protection locked="true" hidden="false"/>
    </xf>
    <xf numFmtId="167" fontId="10" fillId="2" borderId="6"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74" fontId="0" fillId="0" borderId="0" xfId="0" applyFont="true" applyBorder="false" applyAlignment="true" applyProtection="true">
      <alignment horizontal="general" vertical="bottom" textRotation="0" wrapText="false" indent="0" shrinkToFit="false"/>
      <protection locked="true" hidden="false"/>
    </xf>
    <xf numFmtId="171" fontId="0" fillId="2" borderId="1" xfId="0" applyFont="true" applyBorder="true" applyAlignment="true" applyProtection="true">
      <alignment horizontal="general" vertical="bottom" textRotation="0" wrapText="false" indent="0" shrinkToFit="false"/>
      <protection locked="true" hidden="false"/>
    </xf>
    <xf numFmtId="173" fontId="0" fillId="2" borderId="2" xfId="0" applyFont="true" applyBorder="true" applyAlignment="true" applyProtection="true">
      <alignment horizontal="general" vertical="bottom" textRotation="0" wrapText="false" indent="0" shrinkToFit="false"/>
      <protection locked="true" hidden="false"/>
    </xf>
    <xf numFmtId="165" fontId="0" fillId="0" borderId="7" xfId="0" applyFont="true" applyBorder="true" applyAlignment="true" applyProtection="true">
      <alignment horizontal="general" vertical="bottom" textRotation="0" wrapText="false" indent="0" shrinkToFit="false"/>
      <protection locked="true" hidden="false"/>
    </xf>
    <xf numFmtId="171" fontId="10" fillId="2" borderId="5" xfId="0" applyFont="true" applyBorder="true" applyAlignment="true" applyProtection="true">
      <alignment horizontal="general" vertical="bottom" textRotation="0" wrapText="false" indent="0" shrinkToFit="false"/>
      <protection locked="true" hidden="false"/>
    </xf>
    <xf numFmtId="171" fontId="10" fillId="2" borderId="6" xfId="0" applyFont="true" applyBorder="tru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7" fontId="12" fillId="0" borderId="0" xfId="0" applyFont="true" applyBorder="false" applyAlignment="true" applyProtection="true">
      <alignment horizontal="general" vertical="bottom" textRotation="0" wrapText="false" indent="0" shrinkToFit="false"/>
      <protection locked="true" hidden="false"/>
    </xf>
    <xf numFmtId="170"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center" textRotation="0" wrapText="true" indent="0" shrinkToFit="false"/>
      <protection locked="true" hidden="false"/>
    </xf>
    <xf numFmtId="164" fontId="15" fillId="4" borderId="0" xfId="0" applyFont="true" applyBorder="false" applyAlignment="true" applyProtection="true">
      <alignment horizontal="right" vertical="bottom" textRotation="0" wrapText="false" indent="0" shrinkToFit="false"/>
      <protection locked="true" hidden="false"/>
    </xf>
    <xf numFmtId="164" fontId="16" fillId="5" borderId="0" xfId="0" applyFont="true" applyBorder="false" applyAlignment="true" applyProtection="true">
      <alignment horizontal="left" vertical="bottom" textRotation="0" wrapText="false" indent="0" shrinkToFit="false"/>
      <protection locked="true" hidden="false"/>
    </xf>
    <xf numFmtId="175" fontId="16" fillId="5" borderId="0" xfId="0" applyFont="true" applyBorder="false" applyAlignment="true" applyProtection="true">
      <alignment horizontal="right" vertical="bottom" textRotation="0" wrapText="false" indent="0" shrinkToFit="false"/>
      <protection locked="true" hidden="false"/>
    </xf>
    <xf numFmtId="175" fontId="16" fillId="5" borderId="0" xfId="0" applyFont="true" applyBorder="false" applyAlignment="true" applyProtection="true">
      <alignment horizontal="center" vertical="bottom" textRotation="0" wrapText="false" indent="0" shrinkToFit="false"/>
      <protection locked="true" hidden="false"/>
    </xf>
    <xf numFmtId="164" fontId="16" fillId="6" borderId="0" xfId="0" applyFont="true" applyBorder="false" applyAlignment="true" applyProtection="true">
      <alignment horizontal="left" vertical="bottom" textRotation="0" wrapText="false" indent="0" shrinkToFit="false"/>
      <protection locked="true" hidden="false"/>
    </xf>
    <xf numFmtId="175" fontId="16" fillId="6" borderId="0" xfId="0" applyFont="true" applyBorder="false" applyAlignment="true" applyProtection="true">
      <alignment horizontal="right"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5F5F5"/>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E1E1E1"/>
      <rgbColor rgb="FFFFFF99"/>
      <rgbColor rgb="FF99CCFF"/>
      <rgbColor rgb="FFFF99CC"/>
      <rgbColor rgb="FFCC99FF"/>
      <rgbColor rgb="FFFFCC99"/>
      <rgbColor rgb="FF3366FF"/>
      <rgbColor rgb="FF33CCCC"/>
      <rgbColor rgb="FF99CC00"/>
      <rgbColor rgb="FFFFCC00"/>
      <rgbColor rgb="FFFF9900"/>
      <rgbColor rgb="FFFF6600"/>
      <rgbColor rgb="FF666699"/>
      <rgbColor rgb="FFB2B2B2"/>
      <rgbColor rgb="FF004586"/>
      <rgbColor rgb="FF339966"/>
      <rgbColor rgb="FF003300"/>
      <rgbColor rgb="FF333300"/>
      <rgbColor rgb="FF993300"/>
      <rgbColor rgb="FF993366"/>
      <rgbColor rgb="FF333399"/>
      <rgbColor rgb="FF4B4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Employees</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Model!$AC$2:$AH$2</c:f>
              <c:strCache>
                <c:ptCount val="6"/>
                <c:pt idx="0">
                  <c:v>2020</c:v>
                </c:pt>
                <c:pt idx="1">
                  <c:v>2021</c:v>
                </c:pt>
                <c:pt idx="2">
                  <c:v>2022</c:v>
                </c:pt>
                <c:pt idx="3">
                  <c:v>2023</c:v>
                </c:pt>
                <c:pt idx="4">
                  <c:v>2024</c:v>
                </c:pt>
                <c:pt idx="5">
                  <c:v>2025</c:v>
                </c:pt>
              </c:strCache>
            </c:strRef>
          </c:cat>
          <c:val>
            <c:numRef>
              <c:f>Model!$AC$149:$AH$149</c:f>
              <c:numCache>
                <c:formatCode>#,##0;\(#,##0\);\-</c:formatCode>
                <c:ptCount val="6"/>
                <c:pt idx="0">
                  <c:v>135301</c:v>
                </c:pt>
                <c:pt idx="1">
                  <c:v>156500</c:v>
                </c:pt>
                <c:pt idx="2">
                  <c:v>190234</c:v>
                </c:pt>
                <c:pt idx="3">
                  <c:v>182502</c:v>
                </c:pt>
                <c:pt idx="4">
                  <c:v>183323</c:v>
                </c:pt>
                <c:pt idx="5">
                  <c:v>190820</c:v>
                </c:pt>
              </c:numCache>
            </c:numRef>
          </c:val>
        </c:ser>
        <c:gapWidth val="100"/>
        <c:overlap val="0"/>
        <c:axId val="9642083"/>
        <c:axId val="44249659"/>
      </c:barChart>
      <c:catAx>
        <c:axId val="9642083"/>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44249659"/>
        <c:crosses val="autoZero"/>
        <c:auto val="1"/>
        <c:lblAlgn val="ctr"/>
        <c:lblOffset val="100"/>
        <c:noMultiLvlLbl val="0"/>
      </c:catAx>
      <c:valAx>
        <c:axId val="44249659"/>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9642083"/>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110160</xdr:colOff>
      <xdr:row>1</xdr:row>
      <xdr:rowOff>68760</xdr:rowOff>
    </xdr:from>
    <xdr:to>
      <xdr:col>19</xdr:col>
      <xdr:colOff>111240</xdr:colOff>
      <xdr:row>151</xdr:row>
      <xdr:rowOff>127800</xdr:rowOff>
    </xdr:to>
    <xdr:sp>
      <xdr:nvSpPr>
        <xdr:cNvPr id="1" name="Vertical line 1"/>
        <xdr:cNvSpPr/>
      </xdr:nvSpPr>
      <xdr:spPr>
        <a:xfrm>
          <a:off x="16265880" y="231480"/>
          <a:ext cx="1080" cy="23449680"/>
        </a:xfrm>
        <a:prstGeom prst="line">
          <a:avLst/>
        </a:prstGeom>
        <a:ln w="0">
          <a:solidFill>
            <a:srgbClr val="3465A4"/>
          </a:solidFill>
        </a:ln>
      </xdr:spPr>
      <xdr:style>
        <a:lnRef idx="0"/>
        <a:fillRef idx="0"/>
        <a:effectRef idx="0"/>
        <a:fontRef idx="minor"/>
      </xdr:style>
    </xdr:sp>
    <xdr:clientData/>
  </xdr:twoCellAnchor>
  <xdr:twoCellAnchor editAs="oneCell">
    <xdr:from>
      <xdr:col>34</xdr:col>
      <xdr:colOff>84960</xdr:colOff>
      <xdr:row>0</xdr:row>
      <xdr:rowOff>154440</xdr:rowOff>
    </xdr:from>
    <xdr:to>
      <xdr:col>34</xdr:col>
      <xdr:colOff>86400</xdr:colOff>
      <xdr:row>136</xdr:row>
      <xdr:rowOff>50760</xdr:rowOff>
    </xdr:to>
    <xdr:sp>
      <xdr:nvSpPr>
        <xdr:cNvPr id="2" name="Vertical line 2"/>
        <xdr:cNvSpPr/>
      </xdr:nvSpPr>
      <xdr:spPr>
        <a:xfrm flipH="1">
          <a:off x="28432800" y="154440"/>
          <a:ext cx="1440" cy="21069720"/>
        </a:xfrm>
        <a:prstGeom prst="line">
          <a:avLst/>
        </a:prstGeom>
        <a:ln w="0">
          <a:solidFill>
            <a:srgbClr val="3465A4"/>
          </a:solidFill>
        </a:ln>
      </xdr:spPr>
      <xdr:style>
        <a:lnRef idx="0"/>
        <a:fillRef idx="0"/>
        <a:effectRef idx="0"/>
        <a:fontRef idx="minor"/>
      </xdr:style>
    </xdr:sp>
    <xdr:clientData/>
  </xdr:twoCellAnchor>
  <xdr:twoCellAnchor editAs="oneCell">
    <xdr:from>
      <xdr:col>27</xdr:col>
      <xdr:colOff>289080</xdr:colOff>
      <xdr:row>161</xdr:row>
      <xdr:rowOff>57240</xdr:rowOff>
    </xdr:from>
    <xdr:to>
      <xdr:col>34</xdr:col>
      <xdr:colOff>356400</xdr:colOff>
      <xdr:row>181</xdr:row>
      <xdr:rowOff>43200</xdr:rowOff>
    </xdr:to>
    <xdr:graphicFrame>
      <xdr:nvGraphicFramePr>
        <xdr:cNvPr id="3" name=""/>
        <xdr:cNvGraphicFramePr/>
      </xdr:nvGraphicFramePr>
      <xdr:xfrm>
        <a:off x="22947120" y="25236360"/>
        <a:ext cx="5757120" cy="323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Bond%20Analysi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in"/>
      <sheetName val="Zero-rate curve US"/>
      <sheetName val="Credit Spread US"/>
      <sheetName val="Zero-rate curve ECB"/>
      <sheetName val="Zero-rate curve BoE"/>
    </sheetNames>
    <sheetDataSet>
      <sheetData sheetId="0"/>
      <sheetData sheetId="1"/>
      <sheetData sheetId="2">
        <row r="6">
          <cell r="J6">
            <v>0.803478260869565</v>
          </cell>
        </row>
      </sheetData>
      <sheetData sheetId="3"/>
      <sheetData sheetId="4"/>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GOOGL.ods" TargetMode="External"/><Relationship Id="rId3" Type="http://schemas.openxmlformats.org/officeDocument/2006/relationships/drawing" Target="../drawings/drawing1.xml"/><Relationship Id="rId4"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hyperlink" Target="GOOGL.ods" TargetMode="External"/>
</Relationships>
</file>

<file path=xl/worksheets/_rels/sheet4.xml.rels><?xml version="1.0" encoding="UTF-8"?>
<Relationships xmlns="http://schemas.openxmlformats.org/package/2006/relationships"><Relationship Id="rId1" Type="http://schemas.openxmlformats.org/officeDocument/2006/relationships/hyperlink" Target="GOOGL.od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3"/>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22" activeCellId="0" sqref="B22"/>
    </sheetView>
  </sheetViews>
  <sheetFormatPr defaultColWidth="11.53515625" defaultRowHeight="12.8" customHeight="false" zeroHeight="false" outlineLevelRow="0" outlineLevelCol="0"/>
  <cols>
    <col collapsed="false" customWidth="true" hidden="false" outlineLevel="0" max="1" min="1" style="1" width="14.81"/>
    <col collapsed="false" customWidth="true" hidden="false" outlineLevel="0" max="2" min="2" style="1" width="12.42"/>
    <col collapsed="false" customWidth="false" hidden="false" outlineLevel="0" max="16384" min="3" style="1" width="11.53"/>
  </cols>
  <sheetData>
    <row r="1" customFormat="false" ht="12.8" hidden="false" customHeight="false" outlineLevel="0" collapsed="false">
      <c r="A1" s="2" t="s">
        <v>0</v>
      </c>
      <c r="D1" s="1" t="s">
        <v>1</v>
      </c>
      <c r="E1" s="3" t="n">
        <v>344</v>
      </c>
    </row>
    <row r="2" customFormat="false" ht="12.8" hidden="false" customHeight="false" outlineLevel="0" collapsed="false">
      <c r="A2" s="2"/>
      <c r="D2" s="1" t="s">
        <v>2</v>
      </c>
      <c r="E2" s="3" t="n">
        <v>0</v>
      </c>
      <c r="I2" s="4" t="s">
        <v>3</v>
      </c>
      <c r="J2" s="1" t="s">
        <v>4</v>
      </c>
    </row>
    <row r="3" customFormat="false" ht="12.8" hidden="false" customHeight="false" outlineLevel="0" collapsed="false">
      <c r="D3" s="1" t="s">
        <v>5</v>
      </c>
      <c r="E3" s="3" t="n">
        <v>340</v>
      </c>
      <c r="I3" s="4" t="s">
        <v>3</v>
      </c>
      <c r="J3" s="1" t="s">
        <v>6</v>
      </c>
    </row>
    <row r="4" customFormat="false" ht="12.8" hidden="false" customHeight="false" outlineLevel="0" collapsed="false">
      <c r="D4" s="1" t="s">
        <v>7</v>
      </c>
      <c r="E4" s="3" t="n">
        <v>5868</v>
      </c>
      <c r="F4" s="5" t="s">
        <v>8</v>
      </c>
      <c r="I4" s="4" t="s">
        <v>3</v>
      </c>
      <c r="J4" s="1" t="s">
        <v>9</v>
      </c>
    </row>
    <row r="5" customFormat="false" ht="12.8" hidden="false" customHeight="false" outlineLevel="0" collapsed="false">
      <c r="D5" s="1" t="s">
        <v>10</v>
      </c>
      <c r="E5" s="3" t="n">
        <v>835</v>
      </c>
      <c r="F5" s="5" t="s">
        <v>8</v>
      </c>
      <c r="I5" s="4" t="s">
        <v>3</v>
      </c>
      <c r="J5" s="6" t="s">
        <v>11</v>
      </c>
    </row>
    <row r="6" customFormat="false" ht="12.8" hidden="false" customHeight="false" outlineLevel="0" collapsed="false">
      <c r="D6" s="1" t="s">
        <v>12</v>
      </c>
      <c r="E6" s="3" t="n">
        <v>5527</v>
      </c>
      <c r="F6" s="5" t="s">
        <v>8</v>
      </c>
    </row>
    <row r="7" customFormat="false" ht="12.8" hidden="false" customHeight="false" outlineLevel="0" collapsed="false">
      <c r="D7" s="1" t="s">
        <v>13</v>
      </c>
      <c r="E7" s="3" t="n">
        <f aca="false">+E4*E1+E6*E3</f>
        <v>3897772</v>
      </c>
    </row>
    <row r="8" customFormat="false" ht="12.8" hidden="false" customHeight="false" outlineLevel="0" collapsed="false">
      <c r="D8" s="1" t="s">
        <v>14</v>
      </c>
      <c r="E8" s="3" t="n">
        <v>242474</v>
      </c>
      <c r="F8" s="5" t="s">
        <v>8</v>
      </c>
    </row>
    <row r="9" customFormat="false" ht="12.8" hidden="false" customHeight="false" outlineLevel="0" collapsed="false">
      <c r="D9" s="1" t="s">
        <v>15</v>
      </c>
      <c r="E9" s="3" t="n">
        <v>98165</v>
      </c>
      <c r="F9" s="5" t="s">
        <v>8</v>
      </c>
    </row>
    <row r="10" customFormat="false" ht="12.8" hidden="false" customHeight="false" outlineLevel="0" collapsed="false">
      <c r="D10" s="1" t="s">
        <v>16</v>
      </c>
      <c r="E10" s="3" t="n">
        <v>18023</v>
      </c>
      <c r="F10" s="5" t="s">
        <v>8</v>
      </c>
    </row>
    <row r="11" customFormat="false" ht="12.8" hidden="false" customHeight="false" outlineLevel="0" collapsed="false">
      <c r="D11" s="1" t="s">
        <v>17</v>
      </c>
      <c r="E11" s="7" t="n">
        <f aca="false">+E7-E8+E9+E10</f>
        <v>3771486</v>
      </c>
    </row>
    <row r="13" customFormat="false" ht="12.8" hidden="false" customHeight="false" outlineLevel="0" collapsed="false">
      <c r="D13" s="1" t="s">
        <v>18</v>
      </c>
      <c r="E13" s="1" t="n">
        <v>2004</v>
      </c>
    </row>
    <row r="15" customFormat="false" ht="12.8" hidden="false" customHeight="false" outlineLevel="0" collapsed="false">
      <c r="A15" s="1" t="s">
        <v>19</v>
      </c>
      <c r="B15" s="8" t="s">
        <v>20</v>
      </c>
    </row>
    <row r="16" customFormat="false" ht="13.1" hidden="false" customHeight="false" outlineLevel="0" collapsed="false">
      <c r="A16" s="1" t="s">
        <v>21</v>
      </c>
      <c r="B16" s="9" t="s">
        <v>22</v>
      </c>
    </row>
    <row r="18" customFormat="false" ht="16.15" hidden="false" customHeight="false" outlineLevel="0" collapsed="false">
      <c r="A18" s="10" t="s">
        <v>23</v>
      </c>
      <c r="B18" s="11" t="n">
        <f aca="false">+E7/SUM(Model!P139:S139)</f>
        <v>73.1659940307473</v>
      </c>
      <c r="C18" s="11"/>
      <c r="D18" s="10" t="s">
        <v>24</v>
      </c>
      <c r="E18" s="12" t="n">
        <f aca="false">+(E7/(E7+E9+E10))*B24+(E10/(E10+E9+E7))*B25*(1-Model!AH59)</f>
        <v>0.109460489536139</v>
      </c>
    </row>
    <row r="19" customFormat="false" ht="16.15" hidden="false" customHeight="false" outlineLevel="0" collapsed="false">
      <c r="A19" s="10" t="s">
        <v>25</v>
      </c>
      <c r="B19" s="11" t="n">
        <f aca="false">+E7/SUM(Model!P41:S41)</f>
        <v>15.9610654982494</v>
      </c>
      <c r="C19" s="10"/>
      <c r="D19" s="10"/>
      <c r="E19" s="10"/>
    </row>
    <row r="20" customFormat="false" ht="16.15" hidden="false" customHeight="false" outlineLevel="0" collapsed="false">
      <c r="A20" s="10" t="s">
        <v>26</v>
      </c>
      <c r="B20" s="11" t="n">
        <f aca="false">+E11/SUM(Model!P71:S71)</f>
        <v>17.7085023664638</v>
      </c>
      <c r="C20" s="10"/>
      <c r="D20" s="10"/>
      <c r="E20" s="10"/>
    </row>
    <row r="21" customFormat="false" ht="16.15" hidden="false" customHeight="false" outlineLevel="0" collapsed="false">
      <c r="A21" s="10" t="s">
        <v>27</v>
      </c>
      <c r="B21" s="11" t="n">
        <f aca="false">+E11/SUM(Model!O139:R139)</f>
        <v>58.5370873364479</v>
      </c>
      <c r="C21" s="10"/>
      <c r="D21" s="10"/>
      <c r="E21" s="10"/>
    </row>
    <row r="22" customFormat="false" ht="16.15" hidden="false" customHeight="false" outlineLevel="0" collapsed="false">
      <c r="A22" s="10" t="s">
        <v>28</v>
      </c>
      <c r="B22" s="12" t="n">
        <f aca="false">+((Model!S33+Model!R33+Model!Q33+Model!P33)-(Model!O33+Model!N33+Model!M33+Model!L33))/((Model!S19+Model!R19+Model!Q19+Model!P19)-(Model!O19+Model!N19+Model!M19+Model!L19))</f>
        <v>0.352612566640257</v>
      </c>
      <c r="C22" s="10"/>
      <c r="D22" s="10"/>
      <c r="E22" s="10"/>
    </row>
    <row r="23" customFormat="false" ht="16.15" hidden="false" customHeight="false" outlineLevel="0" collapsed="false">
      <c r="A23" s="10" t="s">
        <v>29</v>
      </c>
      <c r="B23" s="10" t="n">
        <v>1.25</v>
      </c>
      <c r="C23" s="10"/>
      <c r="D23" s="10"/>
      <c r="E23" s="10"/>
    </row>
    <row r="24" customFormat="false" ht="16.15" hidden="false" customHeight="false" outlineLevel="0" collapsed="false">
      <c r="A24" s="10" t="s">
        <v>30</v>
      </c>
      <c r="B24" s="12" t="n">
        <f aca="false">+0.05+B23*(0.1-0.05)</f>
        <v>0.1125</v>
      </c>
      <c r="C24" s="10"/>
      <c r="D24" s="10"/>
      <c r="E24" s="10"/>
    </row>
    <row r="25" customFormat="false" ht="16.15" hidden="false" customHeight="false" outlineLevel="0" collapsed="false">
      <c r="A25" s="10" t="s">
        <v>31</v>
      </c>
      <c r="B25" s="12" t="n">
        <f aca="false">+0.05+(B26/100)</f>
        <v>0.0580521739130435</v>
      </c>
      <c r="C25" s="12" t="n">
        <f aca="false">+Bond!D50/100000</f>
        <v>0.0369671739130435</v>
      </c>
      <c r="D25" s="10"/>
      <c r="E25" s="10"/>
    </row>
    <row r="26" customFormat="false" ht="16.15" hidden="false" customHeight="false" outlineLevel="0" collapsed="false">
      <c r="A26" s="10" t="s">
        <v>32</v>
      </c>
      <c r="B26" s="13" t="n">
        <f aca="false">+'[1]Credit Spread US'!J6</f>
        <v>0.805217391304348</v>
      </c>
      <c r="C26" s="10"/>
      <c r="D26" s="10"/>
      <c r="E26" s="10"/>
    </row>
    <row r="27" customFormat="false" ht="16.15" hidden="false" customHeight="false" outlineLevel="0" collapsed="false">
      <c r="A27" s="10" t="s">
        <v>33</v>
      </c>
      <c r="B27" s="14" t="s">
        <v>34</v>
      </c>
      <c r="C27" s="14" t="s">
        <v>35</v>
      </c>
      <c r="D27" s="10"/>
      <c r="E27" s="10"/>
    </row>
    <row r="28" customFormat="false" ht="16.15" hidden="false" customHeight="false" outlineLevel="0" collapsed="false">
      <c r="A28" s="10"/>
      <c r="B28" s="14" t="s">
        <v>36</v>
      </c>
      <c r="C28" s="14" t="s">
        <v>37</v>
      </c>
      <c r="D28" s="10"/>
      <c r="E28" s="10"/>
    </row>
    <row r="30" customFormat="false" ht="12.8" hidden="false" customHeight="false" outlineLevel="0" collapsed="false">
      <c r="A30" s="1" t="s">
        <v>38</v>
      </c>
    </row>
    <row r="31" customFormat="false" ht="12.8" hidden="false" customHeight="false" outlineLevel="0" collapsed="false">
      <c r="B31" s="1" t="s">
        <v>39</v>
      </c>
    </row>
    <row r="32" customFormat="false" ht="12.8" hidden="false" customHeight="false" outlineLevel="0" collapsed="false">
      <c r="B32" s="1" t="s">
        <v>40</v>
      </c>
    </row>
    <row r="34" customFormat="false" ht="12.8" hidden="false" customHeight="false" outlineLevel="0" collapsed="false">
      <c r="A34" s="1" t="s">
        <v>41</v>
      </c>
    </row>
    <row r="35" customFormat="false" ht="12.8" hidden="false" customHeight="false" outlineLevel="0" collapsed="false">
      <c r="B35" s="1" t="s">
        <v>42</v>
      </c>
    </row>
    <row r="36" customFormat="false" ht="12.8" hidden="false" customHeight="false" outlineLevel="0" collapsed="false">
      <c r="B36" s="5" t="s">
        <v>3</v>
      </c>
      <c r="C36" s="1" t="s">
        <v>43</v>
      </c>
    </row>
    <row r="37" customFormat="false" ht="12.8" hidden="false" customHeight="false" outlineLevel="0" collapsed="false">
      <c r="B37" s="5" t="s">
        <v>3</v>
      </c>
      <c r="C37" s="1" t="s">
        <v>44</v>
      </c>
    </row>
    <row r="38" customFormat="false" ht="12.8" hidden="false" customHeight="false" outlineLevel="0" collapsed="false">
      <c r="B38" s="5" t="s">
        <v>3</v>
      </c>
      <c r="C38" s="1" t="s">
        <v>45</v>
      </c>
    </row>
    <row r="39" customFormat="false" ht="12.8" hidden="false" customHeight="false" outlineLevel="0" collapsed="false">
      <c r="B39" s="5" t="s">
        <v>3</v>
      </c>
      <c r="C39" s="1" t="s">
        <v>46</v>
      </c>
    </row>
    <row r="40" customFormat="false" ht="12.8" hidden="false" customHeight="false" outlineLevel="0" collapsed="false">
      <c r="B40" s="5" t="s">
        <v>3</v>
      </c>
      <c r="C40" s="1" t="s">
        <v>47</v>
      </c>
    </row>
    <row r="42" customFormat="false" ht="12.8" hidden="false" customHeight="false" outlineLevel="0" collapsed="false">
      <c r="A42" s="1" t="s">
        <v>48</v>
      </c>
    </row>
    <row r="43" customFormat="false" ht="12.8" hidden="false" customHeight="false" outlineLevel="0" collapsed="false">
      <c r="B43" s="1" t="s">
        <v>49</v>
      </c>
    </row>
    <row r="44" customFormat="false" ht="12.8" hidden="false" customHeight="false" outlineLevel="0" collapsed="false">
      <c r="B44" s="5" t="s">
        <v>3</v>
      </c>
      <c r="C44" s="1" t="s">
        <v>50</v>
      </c>
    </row>
    <row r="45" customFormat="false" ht="12.8" hidden="false" customHeight="false" outlineLevel="0" collapsed="false">
      <c r="B45" s="5" t="s">
        <v>3</v>
      </c>
      <c r="C45" s="1" t="s">
        <v>51</v>
      </c>
    </row>
    <row r="46" customFormat="false" ht="12.8" hidden="false" customHeight="false" outlineLevel="0" collapsed="false">
      <c r="B46" s="5" t="s">
        <v>3</v>
      </c>
      <c r="C46" s="1" t="s">
        <v>52</v>
      </c>
    </row>
    <row r="49" customFormat="false" ht="12.8" hidden="false" customHeight="false" outlineLevel="0" collapsed="false">
      <c r="A49" s="1" t="s">
        <v>53</v>
      </c>
    </row>
    <row r="50" customFormat="false" ht="12.8" hidden="false" customHeight="false" outlineLevel="0" collapsed="false">
      <c r="B50" s="1" t="s">
        <v>54</v>
      </c>
    </row>
    <row r="51" customFormat="false" ht="12.8" hidden="false" customHeight="false" outlineLevel="0" collapsed="false">
      <c r="B51" s="5" t="s">
        <v>3</v>
      </c>
      <c r="C51" s="1" t="s">
        <v>55</v>
      </c>
    </row>
    <row r="52" customFormat="false" ht="12.8" hidden="false" customHeight="false" outlineLevel="0" collapsed="false">
      <c r="B52" s="5" t="s">
        <v>3</v>
      </c>
      <c r="C52" s="1" t="s">
        <v>56</v>
      </c>
    </row>
    <row r="53" customFormat="false" ht="12.8" hidden="false" customHeight="false" outlineLevel="0" collapsed="false">
      <c r="B53" s="5" t="s">
        <v>3</v>
      </c>
      <c r="C53" s="1" t="s">
        <v>57</v>
      </c>
    </row>
    <row r="54" customFormat="false" ht="12.8" hidden="false" customHeight="false" outlineLevel="0" collapsed="false">
      <c r="B54" s="5" t="s">
        <v>3</v>
      </c>
      <c r="C54" s="1" t="s">
        <v>58</v>
      </c>
    </row>
    <row r="55" customFormat="false" ht="12.8" hidden="false" customHeight="false" outlineLevel="0" collapsed="false">
      <c r="B55" s="5" t="s">
        <v>3</v>
      </c>
      <c r="C55" s="1" t="s">
        <v>59</v>
      </c>
    </row>
    <row r="56" customFormat="false" ht="12.8" hidden="false" customHeight="false" outlineLevel="0" collapsed="false">
      <c r="B56" s="5"/>
    </row>
    <row r="57" customFormat="false" ht="12.8" hidden="false" customHeight="false" outlineLevel="0" collapsed="false">
      <c r="B57" s="6" t="s">
        <v>60</v>
      </c>
    </row>
    <row r="58" customFormat="false" ht="12.8" hidden="false" customHeight="false" outlineLevel="0" collapsed="false">
      <c r="B58" s="5" t="s">
        <v>3</v>
      </c>
      <c r="C58" s="1" t="s">
        <v>61</v>
      </c>
    </row>
    <row r="59" customFormat="false" ht="12.8" hidden="false" customHeight="false" outlineLevel="0" collapsed="false">
      <c r="B59" s="5"/>
    </row>
    <row r="60" customFormat="false" ht="12.8" hidden="false" customHeight="false" outlineLevel="0" collapsed="false">
      <c r="B60" s="6" t="s">
        <v>62</v>
      </c>
    </row>
    <row r="61" customFormat="false" ht="12.8" hidden="false" customHeight="false" outlineLevel="0" collapsed="false">
      <c r="B61" s="5" t="s">
        <v>3</v>
      </c>
      <c r="C61" s="1" t="s">
        <v>63</v>
      </c>
    </row>
    <row r="64" customFormat="false" ht="12.8" hidden="false" customHeight="false" outlineLevel="0" collapsed="false">
      <c r="A64" s="1" t="s">
        <v>64</v>
      </c>
    </row>
    <row r="65" customFormat="false" ht="12.8" hidden="false" customHeight="false" outlineLevel="0" collapsed="false">
      <c r="B65" s="1" t="s">
        <v>65</v>
      </c>
    </row>
    <row r="66" customFormat="false" ht="12.8" hidden="false" customHeight="false" outlineLevel="0" collapsed="false">
      <c r="B66" s="5" t="s">
        <v>3</v>
      </c>
      <c r="C66" s="1" t="s">
        <v>66</v>
      </c>
    </row>
    <row r="67" customFormat="false" ht="12.8" hidden="false" customHeight="false" outlineLevel="0" collapsed="false">
      <c r="B67" s="5"/>
      <c r="C67" s="1" t="s">
        <v>67</v>
      </c>
    </row>
    <row r="68" customFormat="false" ht="12.8" hidden="false" customHeight="false" outlineLevel="0" collapsed="false">
      <c r="B68" s="5"/>
      <c r="C68" s="1" t="s">
        <v>68</v>
      </c>
    </row>
    <row r="69" customFormat="false" ht="12.8" hidden="false" customHeight="false" outlineLevel="0" collapsed="false">
      <c r="B69" s="5"/>
      <c r="C69" s="5" t="s">
        <v>3</v>
      </c>
      <c r="D69" s="1" t="s">
        <v>69</v>
      </c>
    </row>
    <row r="70" customFormat="false" ht="12.8" hidden="false" customHeight="false" outlineLevel="0" collapsed="false">
      <c r="B70" s="5"/>
      <c r="C70" s="5" t="s">
        <v>3</v>
      </c>
      <c r="D70" s="1" t="s">
        <v>70</v>
      </c>
    </row>
    <row r="71" customFormat="false" ht="12.8" hidden="false" customHeight="false" outlineLevel="0" collapsed="false">
      <c r="B71" s="5"/>
      <c r="C71" s="5" t="s">
        <v>3</v>
      </c>
      <c r="D71" s="1" t="s">
        <v>71</v>
      </c>
    </row>
    <row r="72" customFormat="false" ht="12.8" hidden="false" customHeight="false" outlineLevel="0" collapsed="false">
      <c r="B72" s="5"/>
      <c r="C72" s="5"/>
    </row>
    <row r="73" customFormat="false" ht="12.8" hidden="false" customHeight="false" outlineLevel="0" collapsed="false">
      <c r="B73" s="5"/>
      <c r="C73" s="5"/>
    </row>
    <row r="74" customFormat="false" ht="12.8" hidden="false" customHeight="false" outlineLevel="0" collapsed="false">
      <c r="B74" s="5"/>
      <c r="C74" s="5"/>
    </row>
    <row r="75" customFormat="false" ht="12.8" hidden="false" customHeight="false" outlineLevel="0" collapsed="false">
      <c r="B75" s="5" t="s">
        <v>3</v>
      </c>
      <c r="C75" s="1" t="s">
        <v>72</v>
      </c>
    </row>
    <row r="76" customFormat="false" ht="12.8" hidden="false" customHeight="false" outlineLevel="0" collapsed="false">
      <c r="B76" s="5" t="s">
        <v>3</v>
      </c>
      <c r="C76" s="1" t="s">
        <v>73</v>
      </c>
    </row>
    <row r="77" customFormat="false" ht="12.8" hidden="false" customHeight="false" outlineLevel="0" collapsed="false">
      <c r="B77" s="5" t="s">
        <v>3</v>
      </c>
      <c r="C77" s="1" t="s">
        <v>74</v>
      </c>
    </row>
    <row r="78" customFormat="false" ht="12.8" hidden="false" customHeight="false" outlineLevel="0" collapsed="false">
      <c r="B78" s="5" t="s">
        <v>3</v>
      </c>
      <c r="C78" s="1" t="s">
        <v>75</v>
      </c>
    </row>
    <row r="79" customFormat="false" ht="12.8" hidden="false" customHeight="false" outlineLevel="0" collapsed="false">
      <c r="B79" s="5" t="s">
        <v>3</v>
      </c>
      <c r="C79" s="1" t="s">
        <v>76</v>
      </c>
    </row>
    <row r="80" customFormat="false" ht="12.8" hidden="false" customHeight="false" outlineLevel="0" collapsed="false">
      <c r="B80" s="5" t="s">
        <v>3</v>
      </c>
      <c r="C80" s="1" t="s">
        <v>77</v>
      </c>
    </row>
    <row r="81" customFormat="false" ht="12.8" hidden="false" customHeight="false" outlineLevel="0" collapsed="false">
      <c r="B81" s="5" t="s">
        <v>3</v>
      </c>
      <c r="C81" s="1" t="s">
        <v>78</v>
      </c>
    </row>
    <row r="82" customFormat="false" ht="12.8" hidden="false" customHeight="false" outlineLevel="0" collapsed="false">
      <c r="B82" s="5" t="s">
        <v>3</v>
      </c>
      <c r="C82" s="1" t="s">
        <v>79</v>
      </c>
    </row>
    <row r="83" customFormat="false" ht="12.8" hidden="false" customHeight="false" outlineLevel="0" collapsed="false">
      <c r="B83" s="1" t="s">
        <v>80</v>
      </c>
    </row>
    <row r="84" customFormat="false" ht="12.8" hidden="false" customHeight="false" outlineLevel="0" collapsed="false">
      <c r="B84" s="5" t="s">
        <v>3</v>
      </c>
      <c r="C84" s="1" t="s">
        <v>81</v>
      </c>
    </row>
    <row r="85" customFormat="false" ht="12.8" hidden="false" customHeight="false" outlineLevel="0" collapsed="false">
      <c r="B85" s="5" t="s">
        <v>3</v>
      </c>
      <c r="C85" s="1" t="s">
        <v>82</v>
      </c>
    </row>
    <row r="86" customFormat="false" ht="12.8" hidden="false" customHeight="false" outlineLevel="0" collapsed="false">
      <c r="B86" s="5" t="s">
        <v>3</v>
      </c>
      <c r="C86" s="1" t="s">
        <v>83</v>
      </c>
    </row>
    <row r="87" customFormat="false" ht="12.8" hidden="false" customHeight="false" outlineLevel="0" collapsed="false">
      <c r="B87" s="5" t="s">
        <v>3</v>
      </c>
      <c r="C87" s="1" t="s">
        <v>84</v>
      </c>
    </row>
    <row r="88" customFormat="false" ht="12.8" hidden="false" customHeight="false" outlineLevel="0" collapsed="false">
      <c r="B88" s="1" t="s">
        <v>85</v>
      </c>
    </row>
    <row r="89" customFormat="false" ht="12.8" hidden="false" customHeight="false" outlineLevel="0" collapsed="false">
      <c r="B89" s="5" t="s">
        <v>3</v>
      </c>
      <c r="C89" s="1" t="s">
        <v>79</v>
      </c>
    </row>
    <row r="91" customFormat="false" ht="12.8" hidden="false" customHeight="false" outlineLevel="0" collapsed="false">
      <c r="A91" s="1" t="s">
        <v>86</v>
      </c>
    </row>
    <row r="92" customFormat="false" ht="12.8" hidden="false" customHeight="false" outlineLevel="0" collapsed="false">
      <c r="B92" s="1" t="s">
        <v>87</v>
      </c>
    </row>
    <row r="96" customFormat="false" ht="12.8" hidden="false" customHeight="false" outlineLevel="0" collapsed="false">
      <c r="A96" s="1" t="s">
        <v>88</v>
      </c>
    </row>
    <row r="97" customFormat="false" ht="12.8" hidden="false" customHeight="false" outlineLevel="0" collapsed="false">
      <c r="B97" s="1" t="s">
        <v>89</v>
      </c>
    </row>
    <row r="98" customFormat="false" ht="12.8" hidden="false" customHeight="false" outlineLevel="0" collapsed="false">
      <c r="B98" s="1" t="s">
        <v>90</v>
      </c>
    </row>
    <row r="99" customFormat="false" ht="12.8" hidden="false" customHeight="false" outlineLevel="0" collapsed="false">
      <c r="B99" s="1" t="s">
        <v>91</v>
      </c>
    </row>
    <row r="100" customFormat="false" ht="12.8" hidden="false" customHeight="false" outlineLevel="0" collapsed="false">
      <c r="B100" s="1" t="s">
        <v>92</v>
      </c>
    </row>
    <row r="101" customFormat="false" ht="12.8" hidden="false" customHeight="false" outlineLevel="0" collapsed="false">
      <c r="B101" s="1" t="s">
        <v>93</v>
      </c>
    </row>
    <row r="102" customFormat="false" ht="12.8" hidden="false" customHeight="false" outlineLevel="0" collapsed="false">
      <c r="B102" s="1" t="s">
        <v>94</v>
      </c>
    </row>
    <row r="103" customFormat="false" ht="12.8" hidden="false" customHeight="false" outlineLevel="0" collapsed="false">
      <c r="B103" s="1" t="s">
        <v>95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N169"/>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1" ySplit="2" topLeftCell="K3" activePane="bottomRight" state="frozen"/>
      <selection pane="topLeft" activeCell="A1" activeCellId="0" sqref="A1"/>
      <selection pane="topRight" activeCell="K1" activeCellId="0" sqref="K1"/>
      <selection pane="bottomLeft" activeCell="A3" activeCellId="0" sqref="A3"/>
      <selection pane="bottomRight" activeCell="S62" activeCellId="0" sqref="S62"/>
    </sheetView>
  </sheetViews>
  <sheetFormatPr defaultColWidth="11.53515625" defaultRowHeight="12.8" customHeight="false" zeroHeight="false" outlineLevelRow="0" outlineLevelCol="0"/>
  <cols>
    <col collapsed="false" customWidth="true" hidden="false" outlineLevel="0" max="1" min="1" style="3" width="21.64"/>
    <col collapsed="false" customWidth="false" hidden="false" outlineLevel="0" max="39" min="2" style="3" width="11.53"/>
    <col collapsed="false" customWidth="false" hidden="false" outlineLevel="0" max="42" min="40" style="1" width="11.53"/>
    <col collapsed="false" customWidth="true" hidden="false" outlineLevel="0" max="43" min="43" style="1" width="15.89"/>
    <col collapsed="false" customWidth="false" hidden="false" outlineLevel="0" max="112" min="44" style="3" width="11.53"/>
    <col collapsed="false" customWidth="false" hidden="false" outlineLevel="0" max="16384" min="119" style="3" width="11.53"/>
  </cols>
  <sheetData>
    <row r="1" s="15" customFormat="true" ht="12.8" hidden="false" customHeight="false" outlineLevel="0" collapsed="false">
      <c r="A1" s="15" t="s">
        <v>96</v>
      </c>
      <c r="B1" s="16" t="s">
        <v>97</v>
      </c>
      <c r="C1" s="16" t="s">
        <v>98</v>
      </c>
      <c r="D1" s="16" t="s">
        <v>99</v>
      </c>
      <c r="E1" s="16" t="s">
        <v>100</v>
      </c>
      <c r="F1" s="16" t="s">
        <v>101</v>
      </c>
      <c r="G1" s="16" t="s">
        <v>102</v>
      </c>
      <c r="H1" s="16" t="s">
        <v>103</v>
      </c>
      <c r="I1" s="16" t="s">
        <v>104</v>
      </c>
      <c r="J1" s="16" t="s">
        <v>105</v>
      </c>
      <c r="K1" s="16" t="s">
        <v>106</v>
      </c>
      <c r="L1" s="16" t="s">
        <v>107</v>
      </c>
      <c r="M1" s="16" t="s">
        <v>108</v>
      </c>
      <c r="N1" s="16" t="s">
        <v>109</v>
      </c>
      <c r="O1" s="16" t="s">
        <v>110</v>
      </c>
      <c r="P1" s="16" t="s">
        <v>111</v>
      </c>
      <c r="Q1" s="16" t="s">
        <v>112</v>
      </c>
      <c r="R1" s="16" t="s">
        <v>113</v>
      </c>
      <c r="S1" s="16" t="s">
        <v>114</v>
      </c>
      <c r="T1" s="16" t="s">
        <v>115</v>
      </c>
      <c r="U1" s="16" t="s">
        <v>116</v>
      </c>
      <c r="V1" s="16"/>
      <c r="W1" s="16"/>
      <c r="X1" s="16"/>
      <c r="Y1" s="16"/>
      <c r="Z1" s="16"/>
      <c r="AA1" s="16"/>
      <c r="AB1" s="16"/>
      <c r="AC1" s="16" t="s">
        <v>117</v>
      </c>
      <c r="AD1" s="16" t="s">
        <v>118</v>
      </c>
      <c r="AE1" s="16" t="s">
        <v>100</v>
      </c>
      <c r="AF1" s="16" t="s">
        <v>104</v>
      </c>
      <c r="AG1" s="16" t="s">
        <v>108</v>
      </c>
      <c r="AH1" s="16" t="s">
        <v>112</v>
      </c>
      <c r="AI1" s="16" t="s">
        <v>116</v>
      </c>
      <c r="AJ1" s="16" t="s">
        <v>119</v>
      </c>
      <c r="AK1" s="16" t="s">
        <v>120</v>
      </c>
      <c r="AL1" s="16" t="s">
        <v>121</v>
      </c>
      <c r="AM1" s="16" t="s">
        <v>122</v>
      </c>
      <c r="DI1" s="17"/>
      <c r="DJ1" s="17"/>
      <c r="DK1" s="17"/>
      <c r="DL1" s="17"/>
      <c r="DM1" s="17"/>
      <c r="DN1" s="17"/>
    </row>
    <row r="2" s="5" customFormat="true" ht="12.8" hidden="false" customHeight="false" outlineLevel="0" collapsed="false">
      <c r="A2" s="18" t="s">
        <v>123</v>
      </c>
      <c r="B2" s="5" t="s">
        <v>124</v>
      </c>
      <c r="C2" s="5" t="s">
        <v>125</v>
      </c>
      <c r="D2" s="5" t="s">
        <v>126</v>
      </c>
      <c r="E2" s="5" t="s">
        <v>127</v>
      </c>
      <c r="F2" s="5" t="s">
        <v>128</v>
      </c>
      <c r="G2" s="5" t="s">
        <v>129</v>
      </c>
      <c r="H2" s="5" t="s">
        <v>130</v>
      </c>
      <c r="I2" s="5" t="s">
        <v>131</v>
      </c>
      <c r="J2" s="5" t="s">
        <v>132</v>
      </c>
      <c r="K2" s="5" t="s">
        <v>133</v>
      </c>
      <c r="L2" s="5" t="s">
        <v>134</v>
      </c>
      <c r="M2" s="5" t="s">
        <v>135</v>
      </c>
      <c r="N2" s="5" t="s">
        <v>136</v>
      </c>
      <c r="O2" s="5" t="s">
        <v>137</v>
      </c>
      <c r="P2" s="5" t="s">
        <v>138</v>
      </c>
      <c r="Q2" s="5" t="s">
        <v>139</v>
      </c>
      <c r="R2" s="5" t="s">
        <v>140</v>
      </c>
      <c r="S2" s="5" t="s">
        <v>8</v>
      </c>
      <c r="T2" s="5" t="s">
        <v>141</v>
      </c>
      <c r="U2" s="5" t="s">
        <v>142</v>
      </c>
      <c r="AC2" s="5" t="n">
        <v>2020</v>
      </c>
      <c r="AD2" s="5" t="n">
        <f aca="false">+AC2+1</f>
        <v>2021</v>
      </c>
      <c r="AE2" s="5" t="n">
        <f aca="false">+AD2+1</f>
        <v>2022</v>
      </c>
      <c r="AF2" s="5" t="n">
        <f aca="false">+AE2+1</f>
        <v>2023</v>
      </c>
      <c r="AG2" s="5" t="n">
        <f aca="false">+AF2+1</f>
        <v>2024</v>
      </c>
      <c r="AH2" s="5" t="n">
        <f aca="false">+AG2+1</f>
        <v>2025</v>
      </c>
      <c r="AI2" s="5" t="n">
        <f aca="false">+AH2+1</f>
        <v>2026</v>
      </c>
      <c r="AJ2" s="5" t="n">
        <f aca="false">+AI2+1</f>
        <v>2027</v>
      </c>
      <c r="AK2" s="5" t="n">
        <f aca="false">+AJ2+1</f>
        <v>2028</v>
      </c>
      <c r="AL2" s="5" t="n">
        <f aca="false">+AK2+1</f>
        <v>2029</v>
      </c>
      <c r="AM2" s="5" t="n">
        <f aca="false">+AL2+1</f>
        <v>2030</v>
      </c>
      <c r="DI2" s="17"/>
      <c r="DJ2" s="17"/>
      <c r="DK2" s="17"/>
      <c r="DL2" s="17"/>
      <c r="DM2" s="17"/>
      <c r="DN2" s="17"/>
    </row>
    <row r="3" customFormat="false" ht="12.8" hidden="false" customHeight="false" outlineLevel="0" collapsed="false">
      <c r="A3" s="3" t="s">
        <v>143</v>
      </c>
      <c r="B3" s="3" t="n">
        <v>39618</v>
      </c>
      <c r="C3" s="3" t="n">
        <v>40689</v>
      </c>
      <c r="D3" s="3" t="n">
        <v>39539</v>
      </c>
      <c r="E3" s="3" t="n">
        <v>42604</v>
      </c>
      <c r="F3" s="3" t="n">
        <v>40359</v>
      </c>
      <c r="G3" s="3" t="n">
        <v>42628</v>
      </c>
      <c r="H3" s="3" t="n">
        <v>44026</v>
      </c>
      <c r="I3" s="3" t="n">
        <v>48020</v>
      </c>
      <c r="J3" s="3" t="n">
        <v>46156</v>
      </c>
      <c r="K3" s="3" t="n">
        <v>48509</v>
      </c>
      <c r="L3" s="3" t="n">
        <v>49385</v>
      </c>
      <c r="M3" s="3" t="n">
        <v>54034</v>
      </c>
      <c r="N3" s="3" t="n">
        <v>50702</v>
      </c>
      <c r="O3" s="3" t="n">
        <v>54190</v>
      </c>
      <c r="P3" s="3" t="n">
        <v>56567</v>
      </c>
      <c r="Q3" s="3" t="n">
        <v>63073</v>
      </c>
      <c r="R3" s="3" t="n">
        <v>60399</v>
      </c>
      <c r="S3" s="3" t="n">
        <v>63271</v>
      </c>
      <c r="T3" s="3" t="n">
        <f aca="false">+P3*1.13</f>
        <v>63920.71</v>
      </c>
      <c r="U3" s="3" t="n">
        <f aca="false">+Q3*1.13</f>
        <v>71272.49</v>
      </c>
      <c r="AC3" s="3" t="n">
        <v>104062</v>
      </c>
      <c r="AD3" s="3" t="n">
        <v>148951</v>
      </c>
      <c r="AE3" s="3" t="n">
        <f aca="false">SUM(B3:E3)</f>
        <v>162450</v>
      </c>
      <c r="AF3" s="3" t="n">
        <f aca="false">SUM(F3:I3)</f>
        <v>175033</v>
      </c>
      <c r="AG3" s="3" t="n">
        <f aca="false">SUM(J3:M3)</f>
        <v>198084</v>
      </c>
      <c r="AH3" s="3" t="n">
        <f aca="false">SUM(N3:Q3)</f>
        <v>224532</v>
      </c>
    </row>
    <row r="4" s="19" customFormat="true" ht="10.5" hidden="false" customHeight="true" outlineLevel="0" collapsed="false">
      <c r="F4" s="19" t="n">
        <f aca="false">F3/B3-1</f>
        <v>0.0187036195668635</v>
      </c>
      <c r="G4" s="19" t="n">
        <f aca="false">G3/C3-1</f>
        <v>0.0476541571432083</v>
      </c>
      <c r="H4" s="19" t="n">
        <f aca="false">H3/D3-1</f>
        <v>0.113482890310832</v>
      </c>
      <c r="I4" s="19" t="n">
        <f aca="false">I3/E3-1</f>
        <v>0.127124213688856</v>
      </c>
      <c r="J4" s="19" t="n">
        <f aca="false">J3/F3-1</f>
        <v>0.143635868083947</v>
      </c>
      <c r="K4" s="19" t="n">
        <f aca="false">K3/G3-1</f>
        <v>0.137960964624191</v>
      </c>
      <c r="L4" s="19" t="n">
        <f aca="false">L3/H3-1</f>
        <v>0.121723527006769</v>
      </c>
      <c r="M4" s="19" t="n">
        <f aca="false">M3/I3-1</f>
        <v>0.125239483548522</v>
      </c>
      <c r="N4" s="19" t="n">
        <f aca="false">N3/J3-1</f>
        <v>0.0984920703700494</v>
      </c>
      <c r="O4" s="19" t="n">
        <f aca="false">O3/K3-1</f>
        <v>0.11711228844132</v>
      </c>
      <c r="P4" s="19" t="n">
        <f aca="false">P3/L3-1</f>
        <v>0.145428773919206</v>
      </c>
      <c r="Q4" s="19" t="n">
        <f aca="false">Q3/M3-1</f>
        <v>0.167283562201577</v>
      </c>
      <c r="R4" s="19" t="n">
        <f aca="false">R3/N3-1</f>
        <v>0.191254782848803</v>
      </c>
      <c r="S4" s="19" t="n">
        <f aca="false">S3/O3-1</f>
        <v>0.167577043735006</v>
      </c>
      <c r="T4" s="19" t="n">
        <f aca="false">T3/P3-1</f>
        <v>0.13</v>
      </c>
      <c r="U4" s="19" t="n">
        <f aca="false">U3/Q3-1</f>
        <v>0.13</v>
      </c>
      <c r="AD4" s="19" t="n">
        <f aca="false">+AD3/AC3-1</f>
        <v>0.431367838404028</v>
      </c>
      <c r="AE4" s="19" t="n">
        <f aca="false">+AE3/AD3-1</f>
        <v>0.0906271189854382</v>
      </c>
      <c r="AF4" s="19" t="n">
        <f aca="false">+AF3/AE3-1</f>
        <v>0.0774576792859341</v>
      </c>
      <c r="AG4" s="19" t="n">
        <f aca="false">+AG3/AF3-1</f>
        <v>0.131695166054401</v>
      </c>
      <c r="AH4" s="19" t="n">
        <f aca="false">+AH3/AG3-1</f>
        <v>0.133519113103532</v>
      </c>
      <c r="DI4" s="17"/>
      <c r="DJ4" s="17"/>
      <c r="DK4" s="17"/>
      <c r="DL4" s="17"/>
      <c r="DM4" s="17"/>
      <c r="DN4" s="17"/>
    </row>
    <row r="5" customFormat="false" ht="12.8" hidden="false" customHeight="false" outlineLevel="0" collapsed="false">
      <c r="A5" s="3" t="s">
        <v>41</v>
      </c>
      <c r="B5" s="3" t="n">
        <v>6869</v>
      </c>
      <c r="C5" s="3" t="n">
        <v>7340</v>
      </c>
      <c r="D5" s="3" t="n">
        <v>7071</v>
      </c>
      <c r="E5" s="3" t="n">
        <v>7963</v>
      </c>
      <c r="F5" s="3" t="n">
        <v>6693</v>
      </c>
      <c r="G5" s="3" t="n">
        <v>7665</v>
      </c>
      <c r="H5" s="3" t="n">
        <v>7952</v>
      </c>
      <c r="I5" s="3" t="n">
        <v>9200</v>
      </c>
      <c r="J5" s="3" t="n">
        <v>8090</v>
      </c>
      <c r="K5" s="3" t="n">
        <v>8663</v>
      </c>
      <c r="L5" s="3" t="n">
        <v>8921</v>
      </c>
      <c r="M5" s="3" t="n">
        <v>10473</v>
      </c>
      <c r="N5" s="3" t="n">
        <v>8927</v>
      </c>
      <c r="O5" s="3" t="n">
        <v>9796</v>
      </c>
      <c r="P5" s="3" t="n">
        <v>10261</v>
      </c>
      <c r="Q5" s="3" t="n">
        <v>11383</v>
      </c>
      <c r="R5" s="3" t="n">
        <v>9883</v>
      </c>
      <c r="S5" s="3" t="n">
        <v>11055</v>
      </c>
      <c r="T5" s="3" t="n">
        <f aca="false">+P5*1.1</f>
        <v>11287.1</v>
      </c>
      <c r="U5" s="3" t="n">
        <f aca="false">+Q5*1.1</f>
        <v>12521.3</v>
      </c>
      <c r="AC5" s="3" t="n">
        <v>19772</v>
      </c>
      <c r="AD5" s="3" t="n">
        <v>28845</v>
      </c>
      <c r="AE5" s="3" t="n">
        <f aca="false">SUM(B5:E5)</f>
        <v>29243</v>
      </c>
      <c r="AF5" s="3" t="n">
        <f aca="false">SUM(F5:I5)</f>
        <v>31510</v>
      </c>
      <c r="AG5" s="3" t="n">
        <f aca="false">SUM(J5:M5)</f>
        <v>36147</v>
      </c>
      <c r="AH5" s="3" t="n">
        <f aca="false">SUM(N5:Q5)</f>
        <v>40367</v>
      </c>
    </row>
    <row r="6" s="19" customFormat="true" ht="10.5" hidden="false" customHeight="true" outlineLevel="0" collapsed="false">
      <c r="F6" s="19" t="n">
        <f aca="false">F5/B5-1</f>
        <v>-0.0256223613335275</v>
      </c>
      <c r="G6" s="19" t="n">
        <f aca="false">G5/C5-1</f>
        <v>0.0442779291553133</v>
      </c>
      <c r="H6" s="19" t="n">
        <f aca="false">H5/D5-1</f>
        <v>0.124593409701598</v>
      </c>
      <c r="I6" s="19" t="n">
        <f aca="false">I5/E5-1</f>
        <v>0.155343463518774</v>
      </c>
      <c r="J6" s="19" t="n">
        <f aca="false">J5/F5-1</f>
        <v>0.208725534140146</v>
      </c>
      <c r="K6" s="19" t="n">
        <f aca="false">K5/G5-1</f>
        <v>0.130202217873451</v>
      </c>
      <c r="L6" s="19" t="n">
        <f aca="false">L5/H5-1</f>
        <v>0.121856136820925</v>
      </c>
      <c r="M6" s="19" t="n">
        <f aca="false">M5/I5-1</f>
        <v>0.138369565217391</v>
      </c>
      <c r="N6" s="19" t="n">
        <f aca="false">N5/J5-1</f>
        <v>0.103461063040791</v>
      </c>
      <c r="O6" s="19" t="n">
        <f aca="false">O5/K5-1</f>
        <v>0.130786101812305</v>
      </c>
      <c r="P6" s="19" t="n">
        <f aca="false">P5/L5-1</f>
        <v>0.150207375854725</v>
      </c>
      <c r="Q6" s="19" t="n">
        <f aca="false">Q5/M5-1</f>
        <v>0.0868900983481333</v>
      </c>
      <c r="R6" s="19" t="n">
        <f aca="false">R5/N5-1</f>
        <v>0.107090847989246</v>
      </c>
      <c r="S6" s="19" t="n">
        <f aca="false">S5/O5-1</f>
        <v>0.128521845651286</v>
      </c>
      <c r="T6" s="19" t="n">
        <f aca="false">T5/P5-1</f>
        <v>0.1</v>
      </c>
      <c r="U6" s="19" t="n">
        <f aca="false">U5/Q5-1</f>
        <v>0.0999999999999999</v>
      </c>
      <c r="AD6" s="19" t="n">
        <f aca="false">+AD5/AC5-1</f>
        <v>0.458881246206757</v>
      </c>
      <c r="AE6" s="19" t="n">
        <f aca="false">+AE5/AD5-1</f>
        <v>0.0137978852487433</v>
      </c>
      <c r="AF6" s="19" t="n">
        <f aca="false">+AF5/AE5-1</f>
        <v>0.077522825975447</v>
      </c>
      <c r="AG6" s="19" t="n">
        <f aca="false">+AG5/AF5-1</f>
        <v>0.147159631862901</v>
      </c>
      <c r="AH6" s="19" t="n">
        <f aca="false">+AH5/AG5-1</f>
        <v>0.116745511384071</v>
      </c>
      <c r="DI6" s="17"/>
      <c r="DJ6" s="17"/>
      <c r="DK6" s="17"/>
      <c r="DL6" s="17"/>
      <c r="DM6" s="17"/>
      <c r="DN6" s="17"/>
    </row>
    <row r="7" customFormat="false" ht="12.8" hidden="false" customHeight="false" outlineLevel="0" collapsed="false">
      <c r="A7" s="3" t="s">
        <v>48</v>
      </c>
      <c r="B7" s="3" t="n">
        <v>8174</v>
      </c>
      <c r="C7" s="3" t="n">
        <v>8259</v>
      </c>
      <c r="D7" s="3" t="n">
        <v>7872</v>
      </c>
      <c r="E7" s="3" t="n">
        <v>8475</v>
      </c>
      <c r="F7" s="3" t="n">
        <v>7496</v>
      </c>
      <c r="G7" s="3" t="n">
        <v>7850</v>
      </c>
      <c r="H7" s="3" t="n">
        <v>7669</v>
      </c>
      <c r="I7" s="3" t="n">
        <v>8297</v>
      </c>
      <c r="J7" s="3" t="n">
        <v>7413</v>
      </c>
      <c r="K7" s="3" t="n">
        <v>7444</v>
      </c>
      <c r="L7" s="3" t="n">
        <v>7548</v>
      </c>
      <c r="M7" s="3" t="n">
        <v>7954</v>
      </c>
      <c r="N7" s="3" t="n">
        <v>7256</v>
      </c>
      <c r="O7" s="3" t="n">
        <v>7354</v>
      </c>
      <c r="P7" s="3" t="n">
        <v>7354</v>
      </c>
      <c r="Q7" s="3" t="n">
        <v>7828</v>
      </c>
      <c r="R7" s="3" t="n">
        <v>6971</v>
      </c>
      <c r="S7" s="3" t="n">
        <v>7303</v>
      </c>
      <c r="T7" s="3" t="n">
        <f aca="false">+S7*0.99</f>
        <v>7229.97</v>
      </c>
      <c r="U7" s="3" t="n">
        <f aca="false">+T7*0.99</f>
        <v>7157.6703</v>
      </c>
      <c r="AC7" s="3" t="n">
        <v>23090</v>
      </c>
      <c r="AD7" s="3" t="n">
        <v>31701</v>
      </c>
      <c r="AE7" s="3" t="n">
        <f aca="false">SUM(B7:E7)</f>
        <v>32780</v>
      </c>
      <c r="AF7" s="3" t="n">
        <f aca="false">SUM(F7:I7)</f>
        <v>31312</v>
      </c>
      <c r="AG7" s="3" t="n">
        <f aca="false">SUM(J7:M7)</f>
        <v>30359</v>
      </c>
      <c r="AH7" s="3" t="n">
        <f aca="false">SUM(N7:Q7)</f>
        <v>29792</v>
      </c>
    </row>
    <row r="8" s="19" customFormat="true" ht="10.5" hidden="false" customHeight="true" outlineLevel="0" collapsed="false">
      <c r="F8" s="19" t="n">
        <f aca="false">F7/B7-1</f>
        <v>-0.0829459261071691</v>
      </c>
      <c r="G8" s="19" t="n">
        <f aca="false">G7/C7-1</f>
        <v>-0.0495217338660855</v>
      </c>
      <c r="H8" s="19" t="n">
        <f aca="false">H7/D7-1</f>
        <v>-0.0257876016260162</v>
      </c>
      <c r="I8" s="19" t="n">
        <f aca="false">I7/E7-1</f>
        <v>-0.0210029498525074</v>
      </c>
      <c r="J8" s="19" t="n">
        <f aca="false">J7/F7-1</f>
        <v>-0.0110725720384205</v>
      </c>
      <c r="K8" s="19" t="n">
        <f aca="false">K7/G7-1</f>
        <v>-0.05171974522293</v>
      </c>
      <c r="L8" s="19" t="n">
        <f aca="false">L7/H7-1</f>
        <v>-0.0157778067544661</v>
      </c>
      <c r="M8" s="19" t="n">
        <f aca="false">M7/I7-1</f>
        <v>-0.0413402434614921</v>
      </c>
      <c r="N8" s="19" t="n">
        <f aca="false">N7/J7-1</f>
        <v>-0.021179009847565</v>
      </c>
      <c r="O8" s="19" t="n">
        <f aca="false">O7/K7-1</f>
        <v>-0.0120902740462118</v>
      </c>
      <c r="P8" s="19" t="n">
        <f aca="false">P7/L7-1</f>
        <v>-0.0257021727609963</v>
      </c>
      <c r="Q8" s="19" t="n">
        <f aca="false">Q7/M7-1</f>
        <v>-0.015841086245914</v>
      </c>
      <c r="R8" s="19" t="n">
        <f aca="false">R7/N7-1</f>
        <v>-0.0392778390297685</v>
      </c>
      <c r="S8" s="19" t="n">
        <f aca="false">S7/O7-1</f>
        <v>-0.00693500135980418</v>
      </c>
      <c r="T8" s="19" t="n">
        <f aca="false">T7/P7-1</f>
        <v>-0.0168656513462061</v>
      </c>
      <c r="U8" s="19" t="n">
        <f aca="false">U7/Q7-1</f>
        <v>-0.0856323071027083</v>
      </c>
      <c r="AD8" s="19" t="n">
        <f aca="false">+AD7/AC7-1</f>
        <v>0.372932005197055</v>
      </c>
      <c r="AE8" s="19" t="n">
        <f aca="false">+AE7/AD7-1</f>
        <v>0.0340367811740954</v>
      </c>
      <c r="AF8" s="19" t="n">
        <f aca="false">+AF7/AE7-1</f>
        <v>-0.0447834045149481</v>
      </c>
      <c r="AG8" s="19" t="n">
        <f aca="false">+AG7/AF7-1</f>
        <v>-0.0304356157383751</v>
      </c>
      <c r="AH8" s="19" t="n">
        <f aca="false">+AH7/AG7-1</f>
        <v>-0.0186765044961955</v>
      </c>
      <c r="DI8" s="17"/>
      <c r="DJ8" s="17"/>
      <c r="DK8" s="17"/>
      <c r="DL8" s="17"/>
      <c r="DM8" s="17"/>
      <c r="DN8" s="17"/>
    </row>
    <row r="9" customFormat="false" ht="12.8" hidden="false" customHeight="false" outlineLevel="0" collapsed="false">
      <c r="A9" s="3" t="s">
        <v>144</v>
      </c>
      <c r="B9" s="3" t="n">
        <v>6811</v>
      </c>
      <c r="C9" s="3" t="n">
        <v>6553</v>
      </c>
      <c r="D9" s="3" t="n">
        <v>6895</v>
      </c>
      <c r="E9" s="3" t="n">
        <v>8796</v>
      </c>
      <c r="F9" s="3" t="n">
        <v>7413</v>
      </c>
      <c r="G9" s="3" t="n">
        <v>8142</v>
      </c>
      <c r="H9" s="3" t="n">
        <v>8339</v>
      </c>
      <c r="I9" s="3" t="n">
        <v>10794</v>
      </c>
      <c r="J9" s="3" t="n">
        <v>8739</v>
      </c>
      <c r="K9" s="3" t="n">
        <v>9312</v>
      </c>
      <c r="L9" s="3" t="n">
        <v>10656</v>
      </c>
      <c r="M9" s="3" t="n">
        <v>11633</v>
      </c>
      <c r="N9" s="3" t="n">
        <v>10379</v>
      </c>
      <c r="O9" s="3" t="n">
        <v>11203</v>
      </c>
      <c r="P9" s="3" t="n">
        <v>12870</v>
      </c>
      <c r="Q9" s="3" t="n">
        <v>13578</v>
      </c>
      <c r="R9" s="3" t="n">
        <v>12384</v>
      </c>
      <c r="S9" s="3" t="n">
        <v>12911</v>
      </c>
      <c r="T9" s="3" t="n">
        <f aca="false">+P9*1.15</f>
        <v>14800.5</v>
      </c>
      <c r="U9" s="3" t="n">
        <f aca="false">+Q9*1.15</f>
        <v>15614.7</v>
      </c>
      <c r="AC9" s="3" t="n">
        <v>21711</v>
      </c>
      <c r="AD9" s="3" t="n">
        <v>28032</v>
      </c>
      <c r="AE9" s="3" t="n">
        <f aca="false">SUM(B9:E9)</f>
        <v>29055</v>
      </c>
      <c r="AF9" s="3" t="n">
        <f aca="false">SUM(F9:I9)</f>
        <v>34688</v>
      </c>
      <c r="AG9" s="3" t="n">
        <f aca="false">SUM(J9:M9)</f>
        <v>40340</v>
      </c>
      <c r="AH9" s="3" t="n">
        <f aca="false">SUM(N9:Q9)</f>
        <v>48030</v>
      </c>
    </row>
    <row r="10" s="19" customFormat="true" ht="10.5" hidden="false" customHeight="true" outlineLevel="0" collapsed="false">
      <c r="F10" s="19" t="n">
        <f aca="false">F9/B9-1</f>
        <v>0.0883864337101747</v>
      </c>
      <c r="G10" s="19" t="n">
        <f aca="false">G9/C9-1</f>
        <v>0.242484358309171</v>
      </c>
      <c r="H10" s="19" t="n">
        <f aca="false">H9/D9-1</f>
        <v>0.209427121102248</v>
      </c>
      <c r="I10" s="19" t="n">
        <f aca="false">I9/E9-1</f>
        <v>0.227148703956344</v>
      </c>
      <c r="J10" s="19" t="n">
        <f aca="false">J9/F9-1</f>
        <v>0.178874949413193</v>
      </c>
      <c r="K10" s="19" t="n">
        <f aca="false">K9/G9-1</f>
        <v>0.143699336772292</v>
      </c>
      <c r="L10" s="19" t="n">
        <f aca="false">L9/H9-1</f>
        <v>0.277851061278331</v>
      </c>
      <c r="M10" s="19" t="n">
        <f aca="false">M9/I9-1</f>
        <v>0.077728367611636</v>
      </c>
      <c r="N10" s="19" t="n">
        <f aca="false">N9/J9-1</f>
        <v>0.187664492504863</v>
      </c>
      <c r="O10" s="19" t="n">
        <f aca="false">O9/K9-1</f>
        <v>0.203071305841924</v>
      </c>
      <c r="P10" s="19" t="n">
        <f aca="false">P9/L9-1</f>
        <v>0.20777027027027</v>
      </c>
      <c r="Q10" s="19" t="n">
        <f aca="false">Q9/M9-1</f>
        <v>0.167196767815697</v>
      </c>
      <c r="R10" s="19" t="n">
        <f aca="false">R9/N9-1</f>
        <v>0.193178533577416</v>
      </c>
      <c r="S10" s="19" t="n">
        <f aca="false">S9/O9-1</f>
        <v>0.15245916272427</v>
      </c>
      <c r="T10" s="19" t="n">
        <f aca="false">T9/P9-1</f>
        <v>0.15</v>
      </c>
      <c r="U10" s="19" t="n">
        <f aca="false">U9/Q9-1</f>
        <v>0.15</v>
      </c>
      <c r="AD10" s="19" t="n">
        <f aca="false">+AD9/AC9-1</f>
        <v>0.291142738703883</v>
      </c>
      <c r="AE10" s="19" t="n">
        <f aca="false">+AE9/AD9-1</f>
        <v>0.0364940068493151</v>
      </c>
      <c r="AF10" s="19" t="n">
        <f aca="false">+AF9/AE9-1</f>
        <v>0.193873687833419</v>
      </c>
      <c r="AG10" s="19" t="n">
        <f aca="false">+AG9/AF9-1</f>
        <v>0.162938191881919</v>
      </c>
      <c r="AH10" s="19" t="n">
        <f aca="false">+AH9/AG9-1</f>
        <v>0.190629647992068</v>
      </c>
      <c r="DI10" s="17"/>
      <c r="DJ10" s="17"/>
      <c r="DK10" s="17"/>
      <c r="DL10" s="17"/>
      <c r="DM10" s="17"/>
      <c r="DN10" s="17"/>
    </row>
    <row r="11" customFormat="false" ht="12.8" hidden="false" customHeight="false" outlineLevel="0" collapsed="false">
      <c r="A11" s="3" t="s">
        <v>145</v>
      </c>
      <c r="B11" s="3" t="n">
        <f aca="false">+B9+B7+B5+B3</f>
        <v>61472</v>
      </c>
      <c r="C11" s="3" t="n">
        <f aca="false">+C9+C7+C5+C3</f>
        <v>62841</v>
      </c>
      <c r="D11" s="3" t="n">
        <f aca="false">+D9+D7+D5+D3</f>
        <v>61377</v>
      </c>
      <c r="E11" s="3" t="n">
        <f aca="false">+E9+E7+E5+E3</f>
        <v>67838</v>
      </c>
      <c r="F11" s="3" t="n">
        <f aca="false">+F9+F7+F5+F3</f>
        <v>61961</v>
      </c>
      <c r="G11" s="3" t="n">
        <f aca="false">+G9+G7+G5+G3</f>
        <v>66285</v>
      </c>
      <c r="H11" s="3" t="n">
        <f aca="false">+H9+H7+H5+H3</f>
        <v>67986</v>
      </c>
      <c r="I11" s="3" t="n">
        <f aca="false">+I9+I7+I5+I3</f>
        <v>76311</v>
      </c>
      <c r="J11" s="3" t="n">
        <f aca="false">+J9+J7+J5+J3</f>
        <v>70398</v>
      </c>
      <c r="K11" s="3" t="n">
        <f aca="false">+K9+K7+K5+K3</f>
        <v>73928</v>
      </c>
      <c r="L11" s="3" t="n">
        <f aca="false">+L9+L7+L5+L3</f>
        <v>76510</v>
      </c>
      <c r="M11" s="3" t="n">
        <f aca="false">+M9+M7+M5+M3</f>
        <v>84094</v>
      </c>
      <c r="N11" s="3" t="n">
        <f aca="false">+N9+N7+N5+N3</f>
        <v>77264</v>
      </c>
      <c r="O11" s="3" t="n">
        <f aca="false">+O9+O7+O5+O3</f>
        <v>82543</v>
      </c>
      <c r="P11" s="3" t="n">
        <f aca="false">+P9+P7+P5+P3</f>
        <v>87052</v>
      </c>
      <c r="Q11" s="3" t="n">
        <f aca="false">+Q9+Q7+Q5+Q3</f>
        <v>95862</v>
      </c>
      <c r="R11" s="3" t="n">
        <f aca="false">+R9+R7+R5+R3</f>
        <v>89637</v>
      </c>
      <c r="S11" s="3" t="n">
        <f aca="false">+S9+S7+S5+S3</f>
        <v>94540</v>
      </c>
      <c r="T11" s="3" t="n">
        <f aca="false">+T9+T7+T5+T3</f>
        <v>97238.28</v>
      </c>
      <c r="U11" s="3" t="n">
        <f aca="false">+U9+U7+U5+U3</f>
        <v>106566.1603</v>
      </c>
      <c r="AC11" s="3" t="n">
        <f aca="false">+AC9+AC7+AC5+AC3</f>
        <v>168635</v>
      </c>
      <c r="AD11" s="3" t="n">
        <f aca="false">+AD9+AD7+AD5+AD3</f>
        <v>237529</v>
      </c>
      <c r="AE11" s="3" t="n">
        <f aca="false">+AE9+AE7+AE5+AE3</f>
        <v>253528</v>
      </c>
      <c r="AF11" s="3" t="n">
        <f aca="false">+AF9+AF7+AF5+AF3</f>
        <v>272543</v>
      </c>
      <c r="AG11" s="3" t="n">
        <f aca="false">+AG9+AG7+AG5+AG3</f>
        <v>304930</v>
      </c>
      <c r="AH11" s="3" t="n">
        <f aca="false">+AH9+AH7+AH5+AH3</f>
        <v>342721</v>
      </c>
    </row>
    <row r="12" s="19" customFormat="true" ht="10.5" hidden="false" customHeight="true" outlineLevel="0" collapsed="false">
      <c r="F12" s="19" t="n">
        <f aca="false">F11/B11-1</f>
        <v>0.00795484122852685</v>
      </c>
      <c r="G12" s="19" t="n">
        <f aca="false">G11/C11-1</f>
        <v>0.0548049840072564</v>
      </c>
      <c r="H12" s="19" t="n">
        <f aca="false">H11/D11-1</f>
        <v>0.107678772178503</v>
      </c>
      <c r="I12" s="19" t="n">
        <f aca="false">I11/E11-1</f>
        <v>0.124900498245821</v>
      </c>
      <c r="J12" s="19" t="n">
        <f aca="false">J11/F11-1</f>
        <v>0.136166298155291</v>
      </c>
      <c r="K12" s="19" t="n">
        <f aca="false">K11/G11-1</f>
        <v>0.115305121822433</v>
      </c>
      <c r="L12" s="19" t="n">
        <f aca="false">L11/H11-1</f>
        <v>0.125378754449446</v>
      </c>
      <c r="M12" s="19" t="n">
        <f aca="false">M11/I11-1</f>
        <v>0.101990538716568</v>
      </c>
      <c r="N12" s="19" t="n">
        <f aca="false">N11/J11-1</f>
        <v>0.0975311798630643</v>
      </c>
      <c r="O12" s="19" t="n">
        <f aca="false">O11/K11-1</f>
        <v>0.11653230169895</v>
      </c>
      <c r="P12" s="19" t="n">
        <f aca="false">P11/L11-1</f>
        <v>0.137785910338518</v>
      </c>
      <c r="Q12" s="19" t="n">
        <f aca="false">Q11/M11-1</f>
        <v>0.139938640093229</v>
      </c>
      <c r="R12" s="19" t="n">
        <f aca="false">R11/N11-1</f>
        <v>0.160139262787327</v>
      </c>
      <c r="S12" s="19" t="n">
        <f aca="false">S11/O11-1</f>
        <v>0.145342427583199</v>
      </c>
      <c r="T12" s="19" t="n">
        <f aca="false">T11/P11-1</f>
        <v>0.117013738914672</v>
      </c>
      <c r="U12" s="19" t="n">
        <f aca="false">U11/Q11-1</f>
        <v>0.111662184181428</v>
      </c>
      <c r="AD12" s="19" t="n">
        <f aca="false">+AD11/AC11-1</f>
        <v>0.408539152607703</v>
      </c>
      <c r="AE12" s="19" t="n">
        <f aca="false">+AE11/AD11-1</f>
        <v>0.0673559860059192</v>
      </c>
      <c r="AF12" s="19" t="n">
        <f aca="false">+AF11/AE11-1</f>
        <v>0.0750015777350037</v>
      </c>
      <c r="AG12" s="19" t="n">
        <f aca="false">+AG11/AF11-1</f>
        <v>0.118832624576672</v>
      </c>
      <c r="AH12" s="19" t="n">
        <f aca="false">+AH11/AG11-1</f>
        <v>0.123933361755157</v>
      </c>
      <c r="DI12" s="17"/>
      <c r="DJ12" s="17"/>
      <c r="DK12" s="17"/>
      <c r="DL12" s="17"/>
      <c r="DM12" s="17"/>
      <c r="DN12" s="17"/>
    </row>
    <row r="13" customFormat="false" ht="12.8" hidden="false" customHeight="false" outlineLevel="0" collapsed="false">
      <c r="A13" s="3" t="s">
        <v>146</v>
      </c>
      <c r="B13" s="3" t="n">
        <v>5821</v>
      </c>
      <c r="C13" s="3" t="n">
        <v>6276</v>
      </c>
      <c r="D13" s="3" t="n">
        <v>6868</v>
      </c>
      <c r="E13" s="3" t="n">
        <v>7315</v>
      </c>
      <c r="F13" s="3" t="n">
        <v>7454</v>
      </c>
      <c r="G13" s="3" t="n">
        <v>8031</v>
      </c>
      <c r="H13" s="3" t="n">
        <v>8411</v>
      </c>
      <c r="I13" s="3" t="n">
        <v>9192</v>
      </c>
      <c r="J13" s="3" t="n">
        <v>9574</v>
      </c>
      <c r="K13" s="3" t="n">
        <v>10347</v>
      </c>
      <c r="L13" s="3" t="n">
        <v>11353</v>
      </c>
      <c r="M13" s="3" t="n">
        <v>11955</v>
      </c>
      <c r="N13" s="3" t="n">
        <v>12260</v>
      </c>
      <c r="O13" s="3" t="n">
        <v>13624</v>
      </c>
      <c r="P13" s="3" t="n">
        <v>15157</v>
      </c>
      <c r="Q13" s="3" t="n">
        <v>17664</v>
      </c>
      <c r="R13" s="3" t="n">
        <v>20028</v>
      </c>
      <c r="S13" s="3" t="n">
        <v>24768</v>
      </c>
      <c r="T13" s="3" t="n">
        <f aca="false">+P13*1.35</f>
        <v>20461.95</v>
      </c>
      <c r="U13" s="3" t="n">
        <f aca="false">+Q13*1.35</f>
        <v>23846.4</v>
      </c>
      <c r="AC13" s="3" t="n">
        <v>13059</v>
      </c>
      <c r="AD13" s="3" t="n">
        <v>19206</v>
      </c>
      <c r="AE13" s="3" t="n">
        <f aca="false">SUM(B13:E13)</f>
        <v>26280</v>
      </c>
      <c r="AF13" s="3" t="n">
        <f aca="false">SUM(F13:I13)</f>
        <v>33088</v>
      </c>
      <c r="AG13" s="3" t="n">
        <f aca="false">SUM(J13:M13)</f>
        <v>43229</v>
      </c>
      <c r="AH13" s="3" t="n">
        <f aca="false">SUM(N13:Q13)</f>
        <v>58705</v>
      </c>
    </row>
    <row r="14" s="19" customFormat="true" ht="10.5" hidden="false" customHeight="true" outlineLevel="0" collapsed="false">
      <c r="F14" s="19" t="n">
        <f aca="false">F13/B13-1</f>
        <v>0.28053599037966</v>
      </c>
      <c r="G14" s="19" t="n">
        <f aca="false">G13/C13-1</f>
        <v>0.279636711281071</v>
      </c>
      <c r="H14" s="19" t="n">
        <f aca="false">H13/D13-1</f>
        <v>0.22466511357018</v>
      </c>
      <c r="I14" s="19" t="n">
        <f aca="false">I13/E13-1</f>
        <v>0.256596035543404</v>
      </c>
      <c r="J14" s="19" t="n">
        <f aca="false">J13/F13-1</f>
        <v>0.2844110544674</v>
      </c>
      <c r="K14" s="19" t="n">
        <f aca="false">K13/G13-1</f>
        <v>0.288382517743743</v>
      </c>
      <c r="L14" s="19" t="n">
        <f aca="false">L13/H13-1</f>
        <v>0.34978004993461</v>
      </c>
      <c r="M14" s="19" t="n">
        <f aca="false">M13/I13-1</f>
        <v>0.300587467362924</v>
      </c>
      <c r="N14" s="19" t="n">
        <f aca="false">N13/J13-1</f>
        <v>0.280551493628577</v>
      </c>
      <c r="O14" s="19" t="n">
        <f aca="false">O13/K13-1</f>
        <v>0.316710157533585</v>
      </c>
      <c r="P14" s="19" t="n">
        <f aca="false">P13/L13-1</f>
        <v>0.335065621421651</v>
      </c>
      <c r="Q14" s="19" t="n">
        <f aca="false">Q13/M13-1</f>
        <v>0.477540777917189</v>
      </c>
      <c r="R14" s="19" t="n">
        <f aca="false">R13/N13-1</f>
        <v>0.633605220228385</v>
      </c>
      <c r="S14" s="19" t="n">
        <f aca="false">S13/O13-1</f>
        <v>0.817968291250734</v>
      </c>
      <c r="T14" s="19" t="n">
        <f aca="false">T13/P13-1</f>
        <v>0.35</v>
      </c>
      <c r="U14" s="19" t="n">
        <f aca="false">U13/Q13-1</f>
        <v>0.35</v>
      </c>
      <c r="AD14" s="19" t="n">
        <f aca="false">+AD13/AC13-1</f>
        <v>0.470709855272226</v>
      </c>
      <c r="AE14" s="19" t="n">
        <f aca="false">+AE13/AD13-1</f>
        <v>0.368322399250234</v>
      </c>
      <c r="AF14" s="19" t="n">
        <f aca="false">+AF13/AE13-1</f>
        <v>0.259056316590563</v>
      </c>
      <c r="AG14" s="19" t="n">
        <f aca="false">+AG13/AF13-1</f>
        <v>0.306485735009671</v>
      </c>
      <c r="AH14" s="19" t="n">
        <f aca="false">+AH13/AG13-1</f>
        <v>0.358000416387148</v>
      </c>
      <c r="DI14" s="17"/>
      <c r="DJ14" s="17"/>
      <c r="DK14" s="17"/>
      <c r="DL14" s="17"/>
      <c r="DM14" s="17"/>
      <c r="DN14" s="17"/>
    </row>
    <row r="15" customFormat="false" ht="12.8" hidden="false" customHeight="false" outlineLevel="0" collapsed="false">
      <c r="A15" s="3" t="s">
        <v>88</v>
      </c>
      <c r="B15" s="3" t="n">
        <v>440</v>
      </c>
      <c r="C15" s="3" t="n">
        <v>193</v>
      </c>
      <c r="D15" s="3" t="n">
        <v>209</v>
      </c>
      <c r="E15" s="3" t="n">
        <v>226</v>
      </c>
      <c r="F15" s="3" t="n">
        <v>288</v>
      </c>
      <c r="G15" s="3" t="n">
        <v>285</v>
      </c>
      <c r="H15" s="3" t="n">
        <v>297</v>
      </c>
      <c r="I15" s="3" t="n">
        <v>657</v>
      </c>
      <c r="J15" s="3" t="n">
        <v>495</v>
      </c>
      <c r="K15" s="3" t="n">
        <v>365</v>
      </c>
      <c r="L15" s="3" t="n">
        <v>388</v>
      </c>
      <c r="M15" s="3" t="n">
        <v>400</v>
      </c>
      <c r="N15" s="3" t="n">
        <v>450</v>
      </c>
      <c r="O15" s="3" t="n">
        <v>373</v>
      </c>
      <c r="P15" s="3" t="n">
        <v>344</v>
      </c>
      <c r="Q15" s="3" t="n">
        <v>370</v>
      </c>
      <c r="R15" s="3" t="n">
        <v>411</v>
      </c>
      <c r="S15" s="3" t="n">
        <v>382</v>
      </c>
      <c r="T15" s="3" t="n">
        <f aca="false">+P15*0.93</f>
        <v>319.92</v>
      </c>
      <c r="U15" s="3" t="n">
        <f aca="false">+Q15*0.93</f>
        <v>344.1</v>
      </c>
      <c r="AC15" s="3" t="n">
        <v>657</v>
      </c>
      <c r="AD15" s="3" t="n">
        <v>753</v>
      </c>
      <c r="AE15" s="3" t="n">
        <f aca="false">SUM(B15:E15)</f>
        <v>1068</v>
      </c>
      <c r="AF15" s="3" t="n">
        <f aca="false">SUM(F15:I15)</f>
        <v>1527</v>
      </c>
      <c r="AG15" s="3" t="n">
        <f aca="false">SUM(J15:M15)</f>
        <v>1648</v>
      </c>
      <c r="AH15" s="3" t="n">
        <f aca="false">SUM(N15:Q15)</f>
        <v>1537</v>
      </c>
    </row>
    <row r="16" s="19" customFormat="true" ht="10.5" hidden="false" customHeight="true" outlineLevel="0" collapsed="false">
      <c r="F16" s="19" t="n">
        <f aca="false">F15/B15-1</f>
        <v>-0.345454545454545</v>
      </c>
      <c r="G16" s="19" t="n">
        <f aca="false">G15/C15-1</f>
        <v>0.476683937823834</v>
      </c>
      <c r="H16" s="19" t="n">
        <f aca="false">H15/D15-1</f>
        <v>0.421052631578947</v>
      </c>
      <c r="I16" s="19" t="n">
        <f aca="false">I15/E15-1</f>
        <v>1.9070796460177</v>
      </c>
      <c r="J16" s="19" t="n">
        <f aca="false">J15/F15-1</f>
        <v>0.71875</v>
      </c>
      <c r="K16" s="19" t="n">
        <f aca="false">K15/G15-1</f>
        <v>0.280701754385965</v>
      </c>
      <c r="L16" s="19" t="n">
        <f aca="false">L15/H15-1</f>
        <v>0.306397306397306</v>
      </c>
      <c r="M16" s="19" t="n">
        <f aca="false">M15/I15-1</f>
        <v>-0.39117199391172</v>
      </c>
      <c r="N16" s="19" t="n">
        <f aca="false">N15/J15-1</f>
        <v>-0.0909090909090909</v>
      </c>
      <c r="O16" s="19" t="n">
        <f aca="false">O15/K15-1</f>
        <v>0.021917808219178</v>
      </c>
      <c r="P16" s="19" t="n">
        <f aca="false">P15/L15-1</f>
        <v>-0.11340206185567</v>
      </c>
      <c r="Q16" s="19" t="n">
        <f aca="false">Q15/M15-1</f>
        <v>-0.075</v>
      </c>
      <c r="R16" s="19" t="n">
        <f aca="false">R15/N15-1</f>
        <v>-0.0866666666666667</v>
      </c>
      <c r="S16" s="19" t="n">
        <f aca="false">S15/O15-1</f>
        <v>0.0241286863270778</v>
      </c>
      <c r="T16" s="19" t="n">
        <f aca="false">T15/P15-1</f>
        <v>-0.07</v>
      </c>
      <c r="U16" s="19" t="n">
        <f aca="false">U15/Q15-1</f>
        <v>-0.07</v>
      </c>
      <c r="AD16" s="19" t="n">
        <f aca="false">+AD15/AC15-1</f>
        <v>0.146118721461187</v>
      </c>
      <c r="AE16" s="19" t="n">
        <f aca="false">+AE15/AD15-1</f>
        <v>0.418326693227092</v>
      </c>
      <c r="AF16" s="19" t="n">
        <f aca="false">+AF15/AE15-1</f>
        <v>0.429775280898876</v>
      </c>
      <c r="AG16" s="19" t="n">
        <f aca="false">+AG15/AF15-1</f>
        <v>0.0792403405370006</v>
      </c>
      <c r="AH16" s="19" t="n">
        <f aca="false">+AH15/AG15-1</f>
        <v>-0.0673543689320388</v>
      </c>
      <c r="DI16" s="17"/>
      <c r="DJ16" s="17"/>
      <c r="DK16" s="17"/>
      <c r="DL16" s="17"/>
      <c r="DM16" s="17"/>
      <c r="DN16" s="17"/>
    </row>
    <row r="17" customFormat="false" ht="12.8" hidden="false" customHeight="false" outlineLevel="0" collapsed="false">
      <c r="A17" s="3" t="s">
        <v>147</v>
      </c>
      <c r="B17" s="3" t="n">
        <v>278</v>
      </c>
      <c r="C17" s="3" t="n">
        <v>375</v>
      </c>
      <c r="D17" s="3" t="n">
        <v>638</v>
      </c>
      <c r="E17" s="3" t="n">
        <v>669</v>
      </c>
      <c r="F17" s="3" t="n">
        <v>84</v>
      </c>
      <c r="G17" s="3" t="n">
        <v>3</v>
      </c>
      <c r="H17" s="3" t="n">
        <v>-1</v>
      </c>
      <c r="I17" s="3" t="n">
        <v>150</v>
      </c>
      <c r="J17" s="3" t="n">
        <v>72</v>
      </c>
      <c r="K17" s="3" t="n">
        <v>102</v>
      </c>
      <c r="L17" s="3" t="n">
        <v>17</v>
      </c>
      <c r="M17" s="3" t="n">
        <v>20</v>
      </c>
      <c r="N17" s="3" t="n">
        <v>260</v>
      </c>
      <c r="O17" s="3" t="n">
        <v>-112</v>
      </c>
      <c r="P17" s="3" t="n">
        <v>-207</v>
      </c>
      <c r="Q17" s="3" t="n">
        <v>-68</v>
      </c>
      <c r="R17" s="3" t="n">
        <v>-180</v>
      </c>
      <c r="S17" s="3" t="n">
        <v>106</v>
      </c>
      <c r="T17" s="3" t="n">
        <v>-100</v>
      </c>
      <c r="U17" s="3" t="n">
        <v>-100</v>
      </c>
      <c r="AC17" s="3" t="n">
        <v>176</v>
      </c>
      <c r="AD17" s="3" t="n">
        <v>149</v>
      </c>
      <c r="AE17" s="3" t="n">
        <f aca="false">SUM(B17:E17)</f>
        <v>1960</v>
      </c>
      <c r="AF17" s="3" t="n">
        <f aca="false">SUM(F17:I17)</f>
        <v>236</v>
      </c>
      <c r="AG17" s="3" t="n">
        <f aca="false">SUM(J17:M17)</f>
        <v>211</v>
      </c>
      <c r="AH17" s="3" t="n">
        <f aca="false">SUM(N17:Q17)</f>
        <v>-127</v>
      </c>
    </row>
    <row r="18" s="19" customFormat="true" ht="10.5" hidden="false" customHeight="true" outlineLevel="0" collapsed="false">
      <c r="F18" s="19" t="n">
        <f aca="false">F17/B17-1</f>
        <v>-0.697841726618705</v>
      </c>
      <c r="G18" s="19" t="n">
        <f aca="false">G17/C17-1</f>
        <v>-0.992</v>
      </c>
      <c r="H18" s="19" t="n">
        <f aca="false">H17/D17-1</f>
        <v>-1.00156739811912</v>
      </c>
      <c r="I18" s="19" t="n">
        <f aca="false">I17/E17-1</f>
        <v>-0.775784753363229</v>
      </c>
      <c r="J18" s="19" t="n">
        <f aca="false">J17/F17-1</f>
        <v>-0.142857142857143</v>
      </c>
      <c r="K18" s="19" t="n">
        <f aca="false">K17/G17-1</f>
        <v>33</v>
      </c>
      <c r="L18" s="19" t="n">
        <f aca="false">L17/H17-1</f>
        <v>-18</v>
      </c>
      <c r="M18" s="19" t="n">
        <f aca="false">M17/I17-1</f>
        <v>-0.866666666666667</v>
      </c>
      <c r="N18" s="19" t="n">
        <f aca="false">N17/J17-1</f>
        <v>2.61111111111111</v>
      </c>
      <c r="O18" s="19" t="n">
        <f aca="false">O17/K17-1</f>
        <v>-2.09803921568627</v>
      </c>
      <c r="P18" s="19" t="n">
        <f aca="false">P17/L17-1</f>
        <v>-13.1764705882353</v>
      </c>
      <c r="Q18" s="19" t="n">
        <f aca="false">Q17/M17-1</f>
        <v>-4.4</v>
      </c>
      <c r="R18" s="19" t="n">
        <f aca="false">R17/N17-1</f>
        <v>-1.69230769230769</v>
      </c>
      <c r="S18" s="19" t="n">
        <f aca="false">S17/O17-1</f>
        <v>-1.94642857142857</v>
      </c>
      <c r="T18" s="19" t="n">
        <f aca="false">T17/P17-1</f>
        <v>-0.516908212560387</v>
      </c>
      <c r="U18" s="19" t="n">
        <f aca="false">U17/Q17-1</f>
        <v>0.470588235294118</v>
      </c>
      <c r="AD18" s="19" t="n">
        <f aca="false">+AD17/AC17-1</f>
        <v>-0.153409090909091</v>
      </c>
      <c r="AE18" s="19" t="n">
        <f aca="false">+AE17/AD17-1</f>
        <v>12.1543624161074</v>
      </c>
      <c r="AF18" s="19" t="n">
        <f aca="false">+AF17/AE17-1</f>
        <v>-0.879591836734694</v>
      </c>
      <c r="AG18" s="19" t="n">
        <f aca="false">+AG17/AF17-1</f>
        <v>-0.105932203389831</v>
      </c>
      <c r="AH18" s="19" t="n">
        <f aca="false">+AH17/AG17-1</f>
        <v>-1.60189573459716</v>
      </c>
      <c r="DI18" s="17"/>
      <c r="DJ18" s="17"/>
      <c r="DK18" s="17"/>
      <c r="DL18" s="17"/>
      <c r="DM18" s="17"/>
      <c r="DN18" s="17"/>
    </row>
    <row r="19" s="20" customFormat="true" ht="12.8" hidden="false" customHeight="false" outlineLevel="0" collapsed="false">
      <c r="A19" s="20" t="s">
        <v>148</v>
      </c>
      <c r="B19" s="20" t="n">
        <f aca="false">+B17+B15+B13+B11</f>
        <v>68011</v>
      </c>
      <c r="C19" s="20" t="n">
        <f aca="false">+C17+C15+C13+C11</f>
        <v>69685</v>
      </c>
      <c r="D19" s="20" t="n">
        <f aca="false">+D17+D15+D13+D11</f>
        <v>69092</v>
      </c>
      <c r="E19" s="20" t="n">
        <f aca="false">+E17+E15+E13+E11</f>
        <v>76048</v>
      </c>
      <c r="F19" s="20" t="n">
        <f aca="false">+F17+F15+F13+F11</f>
        <v>69787</v>
      </c>
      <c r="G19" s="20" t="n">
        <f aca="false">+G17+G15+G13+G11</f>
        <v>74604</v>
      </c>
      <c r="H19" s="20" t="n">
        <f aca="false">+H17+H15+H13+H11</f>
        <v>76693</v>
      </c>
      <c r="I19" s="20" t="n">
        <f aca="false">+I17+I15+I13+I11</f>
        <v>86310</v>
      </c>
      <c r="J19" s="20" t="n">
        <f aca="false">+J17+J15+J13+J11</f>
        <v>80539</v>
      </c>
      <c r="K19" s="20" t="n">
        <f aca="false">+K17+K15+K13+K11</f>
        <v>84742</v>
      </c>
      <c r="L19" s="20" t="n">
        <f aca="false">+L17+L15+L13+L11</f>
        <v>88268</v>
      </c>
      <c r="M19" s="20" t="n">
        <f aca="false">+M17+M15+M13+M11</f>
        <v>96469</v>
      </c>
      <c r="N19" s="20" t="n">
        <f aca="false">+N17+N15+N13+N11</f>
        <v>90234</v>
      </c>
      <c r="O19" s="20" t="n">
        <f aca="false">+O17+O15+O13+O11</f>
        <v>96428</v>
      </c>
      <c r="P19" s="20" t="n">
        <f aca="false">+P17+P15+P13+P11</f>
        <v>102346</v>
      </c>
      <c r="Q19" s="20" t="n">
        <f aca="false">+Q17+Q15+Q13+Q11</f>
        <v>113828</v>
      </c>
      <c r="R19" s="20" t="n">
        <f aca="false">+R17+R15+R13+R11</f>
        <v>109896</v>
      </c>
      <c r="S19" s="20" t="n">
        <f aca="false">+S17+S15+S13+S11</f>
        <v>119796</v>
      </c>
      <c r="T19" s="20" t="n">
        <f aca="false">+P19*1.17</f>
        <v>119744.82</v>
      </c>
      <c r="U19" s="20" t="n">
        <f aca="false">+Q19*1.16</f>
        <v>132040.48</v>
      </c>
      <c r="AC19" s="20" t="n">
        <f aca="false">+AC17+AC15+AC13+AC11</f>
        <v>182527</v>
      </c>
      <c r="AD19" s="20" t="n">
        <f aca="false">+AD17+AD15+AD13+AD11</f>
        <v>257637</v>
      </c>
      <c r="AE19" s="20" t="n">
        <f aca="false">+AE17+AE15+AE13+AE11</f>
        <v>282836</v>
      </c>
      <c r="AF19" s="20" t="n">
        <f aca="false">+AF17+AF15+AF13+AF11</f>
        <v>307394</v>
      </c>
      <c r="AG19" s="20" t="n">
        <f aca="false">+AG17+AG15+AG13+AG11</f>
        <v>350018</v>
      </c>
      <c r="AH19" s="20" t="n">
        <f aca="false">+AH17+AH15+AH13+AH11</f>
        <v>402836</v>
      </c>
      <c r="AI19" s="20" t="n">
        <f aca="false">+AH19*1.2</f>
        <v>483403.2</v>
      </c>
      <c r="AJ19" s="20" t="n">
        <f aca="false">+AI19*1.18</f>
        <v>570415.776</v>
      </c>
      <c r="AK19" s="20" t="n">
        <f aca="false">+AJ19*1.16</f>
        <v>661682.30016</v>
      </c>
      <c r="AL19" s="20" t="n">
        <f aca="false">+AK19*1.15</f>
        <v>760934.645184</v>
      </c>
      <c r="AM19" s="20" t="n">
        <f aca="false">+AL19*1.14</f>
        <v>867465.49550976</v>
      </c>
      <c r="AN19" s="1"/>
      <c r="AO19" s="1"/>
      <c r="AP19" s="1"/>
      <c r="AQ19" s="1"/>
      <c r="DI19" s="17"/>
      <c r="DJ19" s="17"/>
      <c r="DK19" s="17"/>
      <c r="DL19" s="17"/>
      <c r="DM19" s="17"/>
      <c r="DN19" s="17"/>
    </row>
    <row r="20" s="21" customFormat="true" ht="10.5" hidden="false" customHeight="true" outlineLevel="0" collapsed="false">
      <c r="F20" s="19"/>
      <c r="G20" s="19"/>
      <c r="H20" s="19"/>
      <c r="I20" s="19"/>
      <c r="J20" s="19"/>
      <c r="K20" s="19"/>
      <c r="L20" s="19"/>
      <c r="M20" s="19"/>
      <c r="N20" s="19"/>
      <c r="O20" s="19"/>
      <c r="P20" s="19"/>
      <c r="Q20" s="19"/>
      <c r="R20" s="19"/>
      <c r="S20" s="19"/>
      <c r="T20" s="19"/>
      <c r="U20" s="19"/>
      <c r="AD20" s="19" t="n">
        <f aca="false">+AD19/AC19-1</f>
        <v>0.411500764270492</v>
      </c>
      <c r="AE20" s="19" t="n">
        <f aca="false">+AE19/AD19-1</f>
        <v>0.0978081564371578</v>
      </c>
      <c r="AF20" s="19" t="n">
        <f aca="false">+AF19/AE19-1</f>
        <v>0.0868277022726951</v>
      </c>
      <c r="AG20" s="19" t="n">
        <f aca="false">+AG19/AF19-1</f>
        <v>0.138662433229016</v>
      </c>
      <c r="AH20" s="19" t="n">
        <f aca="false">+AH19/AG19-1</f>
        <v>0.150900810815444</v>
      </c>
      <c r="AI20" s="19" t="n">
        <f aca="false">+AI19/AH19-1</f>
        <v>0.2</v>
      </c>
      <c r="AJ20" s="19" t="n">
        <f aca="false">+AJ19/AI19-1</f>
        <v>0.18</v>
      </c>
      <c r="AK20" s="19" t="n">
        <f aca="false">+AK19/AJ19-1</f>
        <v>0.16</v>
      </c>
      <c r="AL20" s="19" t="n">
        <f aca="false">+AL19/AK19-1</f>
        <v>0.15</v>
      </c>
      <c r="AM20" s="19" t="n">
        <f aca="false">+AM19/AL19-1</f>
        <v>0.14</v>
      </c>
      <c r="AN20" s="19"/>
      <c r="AO20" s="19"/>
      <c r="AP20" s="19"/>
      <c r="AQ20" s="19"/>
      <c r="DI20" s="17"/>
      <c r="DJ20" s="17"/>
      <c r="DK20" s="17"/>
      <c r="DL20" s="17"/>
      <c r="DM20" s="17"/>
      <c r="DN20" s="17"/>
    </row>
    <row r="21" customFormat="false" ht="12.8" hidden="false" customHeight="false" outlineLevel="0" collapsed="false">
      <c r="A21" s="3" t="s">
        <v>149</v>
      </c>
      <c r="B21" s="3" t="n">
        <v>29599</v>
      </c>
      <c r="C21" s="3" t="n">
        <v>30104</v>
      </c>
      <c r="D21" s="3" t="n">
        <v>31158</v>
      </c>
      <c r="E21" s="3" t="n">
        <v>35342</v>
      </c>
      <c r="F21" s="3" t="n">
        <v>30612</v>
      </c>
      <c r="G21" s="3" t="n">
        <v>31916</v>
      </c>
      <c r="H21" s="3" t="n">
        <v>33229</v>
      </c>
      <c r="I21" s="3" t="n">
        <v>37575</v>
      </c>
      <c r="J21" s="3" t="n">
        <v>33712</v>
      </c>
      <c r="K21" s="3" t="n">
        <v>35507</v>
      </c>
      <c r="L21" s="3" t="n">
        <v>36474</v>
      </c>
      <c r="M21" s="3" t="n">
        <v>40613</v>
      </c>
      <c r="N21" s="3" t="n">
        <v>36361</v>
      </c>
      <c r="O21" s="3" t="n">
        <v>39039</v>
      </c>
      <c r="P21" s="3" t="n">
        <v>41369</v>
      </c>
      <c r="Q21" s="3" t="n">
        <v>45766</v>
      </c>
      <c r="R21" s="3" t="n">
        <v>41271</v>
      </c>
      <c r="S21" s="3" t="n">
        <v>45943</v>
      </c>
      <c r="T21" s="3" t="n">
        <f aca="false">+T19-T23</f>
        <v>46700.4798</v>
      </c>
      <c r="U21" s="3" t="n">
        <f aca="false">+U19-U23</f>
        <v>51495.7872</v>
      </c>
      <c r="AC21" s="3" t="n">
        <v>84732</v>
      </c>
      <c r="AD21" s="3" t="n">
        <v>110939</v>
      </c>
      <c r="AE21" s="3" t="n">
        <f aca="false">SUM(B21:E21)</f>
        <v>126203</v>
      </c>
      <c r="AF21" s="3" t="n">
        <f aca="false">SUM(F21:I21)</f>
        <v>133332</v>
      </c>
      <c r="AG21" s="3" t="n">
        <f aca="false">SUM(J21:M21)</f>
        <v>146306</v>
      </c>
      <c r="AH21" s="3" t="n">
        <f aca="false">SUM(N21:Q21)</f>
        <v>162535</v>
      </c>
      <c r="AI21" s="3" t="n">
        <f aca="false">+AI19-AI23</f>
        <v>188527.248</v>
      </c>
      <c r="AJ21" s="3" t="n">
        <f aca="false">+AJ19-AJ23</f>
        <v>219610.07376</v>
      </c>
      <c r="AK21" s="3" t="n">
        <f aca="false">+AK19-AK23</f>
        <v>251439.2740608</v>
      </c>
      <c r="AL21" s="3" t="n">
        <f aca="false">+AL19-AL23</f>
        <v>285350.491944</v>
      </c>
      <c r="AM21" s="3" t="n">
        <f aca="false">+AM19-AM23</f>
        <v>320962.233338611</v>
      </c>
    </row>
    <row r="22" s="19" customFormat="true" ht="10.5" hidden="false" customHeight="true" outlineLevel="0" collapsed="false">
      <c r="B22" s="19" t="n">
        <f aca="false">+B21/B$19</f>
        <v>0.435209010307156</v>
      </c>
      <c r="C22" s="19" t="n">
        <f aca="false">+C21/C$19</f>
        <v>0.432001148023247</v>
      </c>
      <c r="D22" s="19" t="n">
        <f aca="false">+D21/D$19</f>
        <v>0.45096393214844</v>
      </c>
      <c r="E22" s="19" t="n">
        <f aca="false">+E21/E$19</f>
        <v>0.46473280033663</v>
      </c>
      <c r="F22" s="19" t="n">
        <f aca="false">+F21/F$19</f>
        <v>0.438649032054681</v>
      </c>
      <c r="G22" s="19" t="n">
        <f aca="false">+G21/G$19</f>
        <v>0.427805479598949</v>
      </c>
      <c r="H22" s="19" t="n">
        <f aca="false">+H21/H$19</f>
        <v>0.433272919301631</v>
      </c>
      <c r="I22" s="19" t="n">
        <f aca="false">+I21/I$19</f>
        <v>0.435349322210636</v>
      </c>
      <c r="J22" s="19" t="n">
        <f aca="false">+J21/J$19</f>
        <v>0.418579818473038</v>
      </c>
      <c r="K22" s="19" t="n">
        <f aca="false">+K21/K$19</f>
        <v>0.419001203653442</v>
      </c>
      <c r="L22" s="19" t="n">
        <f aca="false">+L21/L$19</f>
        <v>0.413218833552363</v>
      </c>
      <c r="M22" s="19" t="n">
        <f aca="false">+M21/M$19</f>
        <v>0.420995345655081</v>
      </c>
      <c r="N22" s="19" t="n">
        <f aca="false">+N21/N$19</f>
        <v>0.402963406254849</v>
      </c>
      <c r="O22" s="19" t="n">
        <f aca="false">+O21/O$19</f>
        <v>0.404851288007633</v>
      </c>
      <c r="P22" s="19" t="n">
        <f aca="false">+P21/P$19</f>
        <v>0.404207296816681</v>
      </c>
      <c r="Q22" s="19" t="n">
        <f aca="false">+Q21/Q$19</f>
        <v>0.402062761359244</v>
      </c>
      <c r="R22" s="19" t="n">
        <f aca="false">+R21/R$19</f>
        <v>0.375545970735969</v>
      </c>
      <c r="S22" s="19" t="n">
        <f aca="false">+S21/S$19</f>
        <v>0.383510300844769</v>
      </c>
      <c r="T22" s="19" t="n">
        <f aca="false">+T21/T$19</f>
        <v>0.39</v>
      </c>
      <c r="U22" s="19" t="n">
        <f aca="false">+U21/U$19</f>
        <v>0.39</v>
      </c>
      <c r="AC22" s="19" t="n">
        <f aca="false">+AC21/AC$19</f>
        <v>0.464216252937922</v>
      </c>
      <c r="AD22" s="19" t="n">
        <f aca="false">+AD21/AD$19</f>
        <v>0.430601970990192</v>
      </c>
      <c r="AE22" s="19" t="n">
        <f aca="false">+AE21/AE$19</f>
        <v>0.446205574962169</v>
      </c>
      <c r="AF22" s="19" t="n">
        <f aca="false">+AF21/AF$19</f>
        <v>0.433749520159795</v>
      </c>
      <c r="AG22" s="19" t="n">
        <f aca="false">+AG21/AG$19</f>
        <v>0.417995645938209</v>
      </c>
      <c r="AH22" s="19" t="n">
        <f aca="false">+AH21/AH$19</f>
        <v>0.4034768491396</v>
      </c>
      <c r="AI22" s="19" t="n">
        <f aca="false">+AI21/AI$19</f>
        <v>0.39</v>
      </c>
      <c r="AJ22" s="19" t="n">
        <f aca="false">+AJ21/AJ$19</f>
        <v>0.385</v>
      </c>
      <c r="AK22" s="19" t="n">
        <f aca="false">+AK21/AK$19</f>
        <v>0.38</v>
      </c>
      <c r="AL22" s="19" t="n">
        <f aca="false">+AL21/AL$19</f>
        <v>0.375</v>
      </c>
      <c r="AM22" s="19" t="n">
        <f aca="false">+AM21/AM$19</f>
        <v>0.37</v>
      </c>
      <c r="DI22" s="17"/>
      <c r="DJ22" s="17"/>
      <c r="DK22" s="17"/>
      <c r="DL22" s="17"/>
      <c r="DM22" s="17"/>
      <c r="DN22" s="17"/>
    </row>
    <row r="23" s="22" customFormat="true" ht="12.8" hidden="false" customHeight="false" outlineLevel="0" collapsed="false">
      <c r="A23" s="22" t="s">
        <v>150</v>
      </c>
      <c r="B23" s="22" t="n">
        <f aca="false">+B19-B21</f>
        <v>38412</v>
      </c>
      <c r="C23" s="22" t="n">
        <f aca="false">+C19-C21</f>
        <v>39581</v>
      </c>
      <c r="D23" s="22" t="n">
        <f aca="false">+D19-D21</f>
        <v>37934</v>
      </c>
      <c r="E23" s="22" t="n">
        <f aca="false">+E19-E21</f>
        <v>40706</v>
      </c>
      <c r="F23" s="22" t="n">
        <f aca="false">+F19-F21</f>
        <v>39175</v>
      </c>
      <c r="G23" s="22" t="n">
        <f aca="false">+G19-G21</f>
        <v>42688</v>
      </c>
      <c r="H23" s="22" t="n">
        <f aca="false">+H19-H21</f>
        <v>43464</v>
      </c>
      <c r="I23" s="22" t="n">
        <f aca="false">+I19-I21</f>
        <v>48735</v>
      </c>
      <c r="J23" s="22" t="n">
        <f aca="false">+J19-J21</f>
        <v>46827</v>
      </c>
      <c r="K23" s="22" t="n">
        <f aca="false">+K19-K21</f>
        <v>49235</v>
      </c>
      <c r="L23" s="22" t="n">
        <f aca="false">+L19-L21</f>
        <v>51794</v>
      </c>
      <c r="M23" s="22" t="n">
        <f aca="false">+M19-M21</f>
        <v>55856</v>
      </c>
      <c r="N23" s="22" t="n">
        <f aca="false">+N19-N21</f>
        <v>53873</v>
      </c>
      <c r="O23" s="22" t="n">
        <f aca="false">+O19-O21</f>
        <v>57389</v>
      </c>
      <c r="P23" s="22" t="n">
        <f aca="false">+P19-P21</f>
        <v>60977</v>
      </c>
      <c r="Q23" s="22" t="n">
        <f aca="false">+Q19-Q21</f>
        <v>68062</v>
      </c>
      <c r="R23" s="22" t="n">
        <f aca="false">+R19-R21</f>
        <v>68625</v>
      </c>
      <c r="S23" s="22" t="n">
        <f aca="false">+S19-S21</f>
        <v>73853</v>
      </c>
      <c r="T23" s="22" t="n">
        <f aca="false">+T19*0.61</f>
        <v>73044.3402</v>
      </c>
      <c r="U23" s="22" t="n">
        <f aca="false">+U19*0.61</f>
        <v>80544.6928</v>
      </c>
      <c r="AC23" s="22" t="n">
        <f aca="false">+AC19-AC21</f>
        <v>97795</v>
      </c>
      <c r="AD23" s="22" t="n">
        <f aca="false">+AD19-AD21</f>
        <v>146698</v>
      </c>
      <c r="AE23" s="22" t="n">
        <f aca="false">+AE19-AE21</f>
        <v>156633</v>
      </c>
      <c r="AF23" s="22" t="n">
        <f aca="false">+AF19-AF21</f>
        <v>174062</v>
      </c>
      <c r="AG23" s="22" t="n">
        <f aca="false">+AG19-AG21</f>
        <v>203712</v>
      </c>
      <c r="AH23" s="22" t="n">
        <f aca="false">+AH19-AH21</f>
        <v>240301</v>
      </c>
      <c r="AI23" s="22" t="n">
        <f aca="false">+AI19*0.61</f>
        <v>294875.952</v>
      </c>
      <c r="AJ23" s="22" t="n">
        <f aca="false">+AJ19*0.615</f>
        <v>350805.70224</v>
      </c>
      <c r="AK23" s="22" t="n">
        <f aca="false">+AK19*0.62</f>
        <v>410243.0260992</v>
      </c>
      <c r="AL23" s="22" t="n">
        <f aca="false">+AL19*0.625</f>
        <v>475584.15324</v>
      </c>
      <c r="AM23" s="22" t="n">
        <f aca="false">+AM19*0.63</f>
        <v>546503.262171149</v>
      </c>
      <c r="AN23" s="1"/>
      <c r="AO23" s="1"/>
      <c r="AP23" s="1"/>
      <c r="AQ23" s="1"/>
      <c r="DI23" s="17"/>
      <c r="DJ23" s="17"/>
      <c r="DK23" s="17"/>
      <c r="DL23" s="17"/>
      <c r="DM23" s="17"/>
      <c r="DN23" s="17"/>
    </row>
    <row r="24" s="19" customFormat="true" ht="10.5" hidden="false" customHeight="true" outlineLevel="0" collapsed="false">
      <c r="B24" s="19" t="n">
        <f aca="false">+B23/B$19</f>
        <v>0.564790989692844</v>
      </c>
      <c r="C24" s="19" t="n">
        <f aca="false">+C23/C$19</f>
        <v>0.567998851976753</v>
      </c>
      <c r="D24" s="19" t="n">
        <f aca="false">+D23/D$19</f>
        <v>0.54903606785156</v>
      </c>
      <c r="E24" s="19" t="n">
        <f aca="false">+E23/E$19</f>
        <v>0.535267199663371</v>
      </c>
      <c r="F24" s="19" t="n">
        <f aca="false">+F23/F$19</f>
        <v>0.561350967945319</v>
      </c>
      <c r="G24" s="19" t="n">
        <f aca="false">+G23/G$19</f>
        <v>0.572194520401051</v>
      </c>
      <c r="H24" s="19" t="n">
        <f aca="false">+H23/H$19</f>
        <v>0.566727080698369</v>
      </c>
      <c r="I24" s="19" t="n">
        <f aca="false">+I23/I$19</f>
        <v>0.564650677789364</v>
      </c>
      <c r="J24" s="19" t="n">
        <f aca="false">+J23/J$19</f>
        <v>0.581420181526962</v>
      </c>
      <c r="K24" s="19" t="n">
        <f aca="false">+K23/K$19</f>
        <v>0.580998796346558</v>
      </c>
      <c r="L24" s="19" t="n">
        <f aca="false">+L23/L$19</f>
        <v>0.586781166447637</v>
      </c>
      <c r="M24" s="19" t="n">
        <f aca="false">+M23/M$19</f>
        <v>0.579004654344919</v>
      </c>
      <c r="N24" s="19" t="n">
        <f aca="false">+N23/N$19</f>
        <v>0.597036593745152</v>
      </c>
      <c r="O24" s="19" t="n">
        <f aca="false">+O23/O$19</f>
        <v>0.595148711992367</v>
      </c>
      <c r="P24" s="19" t="n">
        <f aca="false">+P23/P$19</f>
        <v>0.595792703183319</v>
      </c>
      <c r="Q24" s="19" t="n">
        <f aca="false">+Q23/Q$19</f>
        <v>0.597937238640756</v>
      </c>
      <c r="R24" s="19" t="n">
        <f aca="false">+R23/R$19</f>
        <v>0.624454029264032</v>
      </c>
      <c r="S24" s="19" t="n">
        <f aca="false">+S23/S$19</f>
        <v>0.616489699155231</v>
      </c>
      <c r="T24" s="19" t="n">
        <f aca="false">+T23/T$19</f>
        <v>0.61</v>
      </c>
      <c r="U24" s="19" t="n">
        <f aca="false">+U23/U$19</f>
        <v>0.61</v>
      </c>
      <c r="AC24" s="19" t="n">
        <f aca="false">+AC23/AC$19</f>
        <v>0.535783747062079</v>
      </c>
      <c r="AD24" s="19" t="n">
        <f aca="false">+AD23/AD$19</f>
        <v>0.569398029009808</v>
      </c>
      <c r="AE24" s="19" t="n">
        <f aca="false">+AE23/AE$19</f>
        <v>0.553794425037831</v>
      </c>
      <c r="AF24" s="19" t="n">
        <f aca="false">+AF23/AF$19</f>
        <v>0.566250479840205</v>
      </c>
      <c r="AG24" s="19" t="n">
        <f aca="false">+AG23/AG$19</f>
        <v>0.582004354061791</v>
      </c>
      <c r="AH24" s="19" t="n">
        <f aca="false">+AH23/AH$19</f>
        <v>0.5965231508604</v>
      </c>
      <c r="AI24" s="19" t="n">
        <f aca="false">+AI23/AI$19</f>
        <v>0.61</v>
      </c>
      <c r="AJ24" s="19" t="n">
        <f aca="false">+AJ23/AJ$19</f>
        <v>0.615</v>
      </c>
      <c r="AK24" s="19" t="n">
        <f aca="false">+AK23/AK$19</f>
        <v>0.62</v>
      </c>
      <c r="AL24" s="19" t="n">
        <f aca="false">+AL23/AL$19</f>
        <v>0.625</v>
      </c>
      <c r="AM24" s="19" t="n">
        <f aca="false">+AM23/AM$19</f>
        <v>0.63</v>
      </c>
      <c r="DI24" s="17"/>
      <c r="DJ24" s="17"/>
      <c r="DK24" s="17"/>
      <c r="DL24" s="17"/>
      <c r="DM24" s="17"/>
      <c r="DN24" s="17"/>
    </row>
    <row r="25" customFormat="false" ht="12.8" hidden="false" customHeight="false" outlineLevel="0" collapsed="false">
      <c r="A25" s="3" t="s">
        <v>151</v>
      </c>
      <c r="B25" s="3" t="n">
        <v>9119</v>
      </c>
      <c r="C25" s="3" t="n">
        <v>9841</v>
      </c>
      <c r="D25" s="3" t="n">
        <v>10273</v>
      </c>
      <c r="E25" s="3" t="n">
        <v>10267</v>
      </c>
      <c r="F25" s="3" t="n">
        <v>11468</v>
      </c>
      <c r="G25" s="3" t="n">
        <v>10588</v>
      </c>
      <c r="H25" s="3" t="n">
        <v>11258</v>
      </c>
      <c r="I25" s="3" t="n">
        <v>12113</v>
      </c>
      <c r="J25" s="3" t="n">
        <v>11903</v>
      </c>
      <c r="K25" s="3" t="n">
        <v>11860</v>
      </c>
      <c r="L25" s="3" t="n">
        <v>12447</v>
      </c>
      <c r="M25" s="3" t="n">
        <v>13116</v>
      </c>
      <c r="N25" s="3" t="n">
        <v>13556</v>
      </c>
      <c r="O25" s="3" t="n">
        <v>13808</v>
      </c>
      <c r="P25" s="3" t="n">
        <v>15151</v>
      </c>
      <c r="Q25" s="3" t="n">
        <v>18572</v>
      </c>
      <c r="R25" s="3" t="n">
        <v>17032</v>
      </c>
      <c r="S25" s="3" t="n">
        <v>18219</v>
      </c>
      <c r="T25" s="3" t="n">
        <f aca="false">+S25*1.1</f>
        <v>20040.9</v>
      </c>
      <c r="U25" s="3" t="n">
        <f aca="false">+T25*1.1</f>
        <v>22044.99</v>
      </c>
      <c r="AC25" s="3" t="n">
        <v>27573</v>
      </c>
      <c r="AD25" s="3" t="n">
        <v>31562</v>
      </c>
      <c r="AE25" s="3" t="n">
        <f aca="false">SUM(B25:E25)</f>
        <v>39500</v>
      </c>
      <c r="AF25" s="3" t="n">
        <f aca="false">SUM(F25:I25)</f>
        <v>45427</v>
      </c>
      <c r="AG25" s="3" t="n">
        <f aca="false">SUM(J25:M25)</f>
        <v>49326</v>
      </c>
      <c r="AH25" s="3" t="n">
        <f aca="false">SUM(N25:Q25)</f>
        <v>61087</v>
      </c>
      <c r="AI25" s="3" t="n">
        <f aca="false">+AH25*1.12</f>
        <v>68417.44</v>
      </c>
      <c r="AJ25" s="3" t="n">
        <f aca="false">+AI25*1.12</f>
        <v>76627.5328</v>
      </c>
      <c r="AK25" s="3" t="n">
        <f aca="false">+AJ25*1.12</f>
        <v>85822.836736</v>
      </c>
      <c r="AL25" s="3" t="n">
        <f aca="false">+AK25*1.12</f>
        <v>96121.57714432</v>
      </c>
      <c r="AM25" s="3" t="n">
        <f aca="false">+AL25*1.12</f>
        <v>107656.166401638</v>
      </c>
    </row>
    <row r="26" s="19" customFormat="true" ht="10.5" hidden="false" customHeight="true" outlineLevel="0" collapsed="false">
      <c r="B26" s="19" t="n">
        <f aca="false">+B25/B$19</f>
        <v>0.134081251562247</v>
      </c>
      <c r="C26" s="19" t="n">
        <f aca="false">+C25/C$19</f>
        <v>0.141221209729497</v>
      </c>
      <c r="D26" s="19" t="n">
        <f aca="false">+D25/D$19</f>
        <v>0.148685810224049</v>
      </c>
      <c r="E26" s="19" t="n">
        <f aca="false">+E25/E$19</f>
        <v>0.135006837786661</v>
      </c>
      <c r="F26" s="19" t="n">
        <f aca="false">+F25/F$19</f>
        <v>0.1643285998825</v>
      </c>
      <c r="G26" s="19" t="n">
        <f aca="false">+G25/G$19</f>
        <v>0.141922685110718</v>
      </c>
      <c r="H26" s="19" t="n">
        <f aca="false">+H25/H$19</f>
        <v>0.146793058036587</v>
      </c>
      <c r="I26" s="19" t="n">
        <f aca="false">+I25/I$19</f>
        <v>0.140342949832001</v>
      </c>
      <c r="J26" s="19" t="n">
        <f aca="false">+J25/J$19</f>
        <v>0.147791753063733</v>
      </c>
      <c r="K26" s="19" t="n">
        <f aca="false">+K25/K$19</f>
        <v>0.1399542139671</v>
      </c>
      <c r="L26" s="19" t="n">
        <f aca="false">+L25/L$19</f>
        <v>0.141013730910409</v>
      </c>
      <c r="M26" s="19" t="n">
        <f aca="false">+M25/M$19</f>
        <v>0.135960774963978</v>
      </c>
      <c r="N26" s="19" t="n">
        <f aca="false">+N25/N$19</f>
        <v>0.150231620010196</v>
      </c>
      <c r="O26" s="19" t="n">
        <f aca="false">+O25/O$19</f>
        <v>0.143194922636579</v>
      </c>
      <c r="P26" s="19" t="n">
        <f aca="false">+P25/P$19</f>
        <v>0.148037050788502</v>
      </c>
      <c r="Q26" s="19" t="n">
        <f aca="false">+Q25/Q$19</f>
        <v>0.16315844959061</v>
      </c>
      <c r="R26" s="19" t="n">
        <f aca="false">+R25/R$19</f>
        <v>0.15498289291694</v>
      </c>
      <c r="S26" s="19" t="n">
        <f aca="false">+S25/S$19</f>
        <v>0.152083542021436</v>
      </c>
      <c r="T26" s="19" t="n">
        <f aca="false">+T25/T$19</f>
        <v>0.167363398266414</v>
      </c>
      <c r="U26" s="19" t="n">
        <f aca="false">+U25/U$19</f>
        <v>0.166956300067979</v>
      </c>
      <c r="AC26" s="19" t="n">
        <f aca="false">+AC25/AC$19</f>
        <v>0.151062582522038</v>
      </c>
      <c r="AD26" s="19" t="n">
        <f aca="false">+AD25/AD$19</f>
        <v>0.122505695998634</v>
      </c>
      <c r="AE26" s="19" t="n">
        <f aca="false">+AE25/AE$19</f>
        <v>0.139656903647343</v>
      </c>
      <c r="AF26" s="19" t="n">
        <f aca="false">+AF25/AF$19</f>
        <v>0.14778102370248</v>
      </c>
      <c r="AG26" s="19" t="n">
        <f aca="false">+AG25/AG$19</f>
        <v>0.140924181042118</v>
      </c>
      <c r="AH26" s="19" t="n">
        <f aca="false">+AH25/AH$19</f>
        <v>0.1516423556981</v>
      </c>
      <c r="AI26" s="19" t="n">
        <f aca="false">+AI25/AI$19</f>
        <v>0.141532865318227</v>
      </c>
      <c r="AJ26" s="19" t="n">
        <f aca="false">+AJ25/AJ$19</f>
        <v>0.134336278946114</v>
      </c>
      <c r="AK26" s="19" t="n">
        <f aca="false">+AK25/AK$19</f>
        <v>0.129703993465213</v>
      </c>
      <c r="AL26" s="19" t="n">
        <f aca="false">+AL25/AL$19</f>
        <v>0.12632041102699</v>
      </c>
      <c r="AM26" s="19" t="n">
        <f aca="false">+AM25/AM$19</f>
        <v>0.124104263465113</v>
      </c>
      <c r="DI26" s="17"/>
      <c r="DJ26" s="17"/>
      <c r="DK26" s="17"/>
      <c r="DL26" s="17"/>
      <c r="DM26" s="17"/>
      <c r="DN26" s="17"/>
    </row>
    <row r="27" customFormat="false" ht="12.8" hidden="false" customHeight="false" outlineLevel="0" collapsed="false">
      <c r="A27" s="3" t="s">
        <v>152</v>
      </c>
      <c r="B27" s="3" t="n">
        <v>5825</v>
      </c>
      <c r="C27" s="3" t="n">
        <v>6630</v>
      </c>
      <c r="D27" s="3" t="n">
        <v>6929</v>
      </c>
      <c r="E27" s="3" t="n">
        <v>7183</v>
      </c>
      <c r="F27" s="3" t="n">
        <v>6533</v>
      </c>
      <c r="G27" s="3" t="n">
        <v>6781</v>
      </c>
      <c r="H27" s="3" t="n">
        <v>6884</v>
      </c>
      <c r="I27" s="3" t="n">
        <v>7719</v>
      </c>
      <c r="J27" s="3" t="n">
        <v>6426</v>
      </c>
      <c r="K27" s="3" t="n">
        <v>6792</v>
      </c>
      <c r="L27" s="3" t="n">
        <v>7227</v>
      </c>
      <c r="M27" s="3" t="n">
        <v>7363</v>
      </c>
      <c r="N27" s="3" t="n">
        <v>6172</v>
      </c>
      <c r="O27" s="3" t="n">
        <v>7101</v>
      </c>
      <c r="P27" s="3" t="n">
        <v>7205</v>
      </c>
      <c r="Q27" s="3" t="n">
        <v>8215</v>
      </c>
      <c r="R27" s="3" t="n">
        <v>7606</v>
      </c>
      <c r="S27" s="3" t="n">
        <v>8403</v>
      </c>
      <c r="T27" s="3" t="n">
        <f aca="false">+S27*1.1</f>
        <v>9243.3</v>
      </c>
      <c r="U27" s="3" t="n">
        <f aca="false">+T27*1.1</f>
        <v>10167.63</v>
      </c>
      <c r="AC27" s="3" t="n">
        <v>17946</v>
      </c>
      <c r="AD27" s="3" t="n">
        <v>22912</v>
      </c>
      <c r="AE27" s="3" t="n">
        <f aca="false">SUM(B27:E27)</f>
        <v>26567</v>
      </c>
      <c r="AF27" s="3" t="n">
        <f aca="false">SUM(F27:I27)</f>
        <v>27917</v>
      </c>
      <c r="AG27" s="3" t="n">
        <f aca="false">SUM(J27:M27)</f>
        <v>27808</v>
      </c>
      <c r="AH27" s="3" t="n">
        <f aca="false">SUM(N27:Q27)</f>
        <v>28693</v>
      </c>
      <c r="AI27" s="3" t="n">
        <f aca="false">+AH27*1.12</f>
        <v>32136.16</v>
      </c>
      <c r="AJ27" s="3" t="n">
        <f aca="false">+AI27*1.12</f>
        <v>35992.4992</v>
      </c>
      <c r="AK27" s="3" t="n">
        <f aca="false">+AJ27*1.12</f>
        <v>40311.599104</v>
      </c>
      <c r="AL27" s="3" t="n">
        <f aca="false">+AK27*1.12</f>
        <v>45148.99099648</v>
      </c>
      <c r="AM27" s="3" t="n">
        <f aca="false">+AL27*1.12</f>
        <v>50566.8699160576</v>
      </c>
    </row>
    <row r="28" s="19" customFormat="true" ht="10.5" hidden="false" customHeight="true" outlineLevel="0" collapsed="false">
      <c r="B28" s="19" t="n">
        <f aca="false">+B27/B$19</f>
        <v>0.0856479098969284</v>
      </c>
      <c r="C28" s="19" t="n">
        <f aca="false">+C27/C$19</f>
        <v>0.0951424266341393</v>
      </c>
      <c r="D28" s="19" t="n">
        <f aca="false">+D27/D$19</f>
        <v>0.100286574422509</v>
      </c>
      <c r="E28" s="19" t="n">
        <f aca="false">+E27/E$19</f>
        <v>0.0944535030507048</v>
      </c>
      <c r="F28" s="19" t="n">
        <f aca="false">+F27/F$19</f>
        <v>0.0936134237035551</v>
      </c>
      <c r="G28" s="19" t="n">
        <f aca="false">+G27/G$19</f>
        <v>0.0908932496917055</v>
      </c>
      <c r="H28" s="19" t="n">
        <f aca="false">+H27/H$19</f>
        <v>0.0897604735764672</v>
      </c>
      <c r="I28" s="19" t="n">
        <f aca="false">+I27/I$19</f>
        <v>0.0894334376086201</v>
      </c>
      <c r="J28" s="19" t="n">
        <f aca="false">+J27/J$19</f>
        <v>0.0797874321757161</v>
      </c>
      <c r="K28" s="19" t="n">
        <f aca="false">+K27/K$19</f>
        <v>0.0801491586226429</v>
      </c>
      <c r="L28" s="19" t="n">
        <f aca="false">+L27/L$19</f>
        <v>0.0818756514252051</v>
      </c>
      <c r="M28" s="19" t="n">
        <f aca="false">+M27/M$19</f>
        <v>0.0763250370585369</v>
      </c>
      <c r="N28" s="19" t="n">
        <f aca="false">+N27/N$19</f>
        <v>0.068399937939136</v>
      </c>
      <c r="O28" s="19" t="n">
        <f aca="false">+O27/O$19</f>
        <v>0.0736404363877712</v>
      </c>
      <c r="P28" s="19" t="n">
        <f aca="false">+P27/P$19</f>
        <v>0.0703984523088347</v>
      </c>
      <c r="Q28" s="19" t="n">
        <f aca="false">+Q27/Q$19</f>
        <v>0.0721702920195383</v>
      </c>
      <c r="R28" s="19" t="n">
        <f aca="false">+R27/R$19</f>
        <v>0.0692108902962801</v>
      </c>
      <c r="S28" s="19" t="n">
        <f aca="false">+S27/S$19</f>
        <v>0.0701442452168687</v>
      </c>
      <c r="T28" s="19" t="n">
        <f aca="false">+T27/T$19</f>
        <v>0.0771916480395561</v>
      </c>
      <c r="U28" s="19" t="n">
        <f aca="false">+U27/U$19</f>
        <v>0.077003885475121</v>
      </c>
      <c r="AC28" s="19" t="n">
        <f aca="false">+AC27/AC$19</f>
        <v>0.0983197006470276</v>
      </c>
      <c r="AD28" s="19" t="n">
        <f aca="false">+AD27/AD$19</f>
        <v>0.088931325857699</v>
      </c>
      <c r="AE28" s="19" t="n">
        <f aca="false">+AE27/AE$19</f>
        <v>0.0939307584607334</v>
      </c>
      <c r="AF28" s="19" t="n">
        <f aca="false">+AF27/AF$19</f>
        <v>0.0908182983402409</v>
      </c>
      <c r="AG28" s="19" t="n">
        <f aca="false">+AG27/AG$19</f>
        <v>0.0794473427080893</v>
      </c>
      <c r="AH28" s="19" t="n">
        <f aca="false">+AH27/AH$19</f>
        <v>0.0712274970459443</v>
      </c>
      <c r="AI28" s="19" t="n">
        <f aca="false">+AI27/AI$19</f>
        <v>0.0664789972428813</v>
      </c>
      <c r="AJ28" s="19" t="n">
        <f aca="false">+AJ27/AJ$19</f>
        <v>0.0630987092474806</v>
      </c>
      <c r="AK28" s="19" t="n">
        <f aca="false">+AK27/AK$19</f>
        <v>0.0609228916872226</v>
      </c>
      <c r="AL28" s="19" t="n">
        <f aca="false">+AL27/AL$19</f>
        <v>0.0593335988605994</v>
      </c>
      <c r="AM28" s="19" t="n">
        <f aca="false">+AM27/AM$19</f>
        <v>0.0582926585297117</v>
      </c>
      <c r="DI28" s="17"/>
      <c r="DJ28" s="17"/>
      <c r="DK28" s="17"/>
      <c r="DL28" s="17"/>
      <c r="DM28" s="17"/>
      <c r="DN28" s="17"/>
    </row>
    <row r="29" customFormat="false" ht="12.8" hidden="false" customHeight="false" outlineLevel="0" collapsed="false">
      <c r="A29" s="3" t="s">
        <v>153</v>
      </c>
      <c r="B29" s="3" t="n">
        <v>3374</v>
      </c>
      <c r="C29" s="3" t="n">
        <v>3657</v>
      </c>
      <c r="D29" s="3" t="n">
        <v>3597</v>
      </c>
      <c r="E29" s="3" t="n">
        <v>5096</v>
      </c>
      <c r="F29" s="3" t="n">
        <v>3759</v>
      </c>
      <c r="G29" s="3" t="n">
        <v>3481</v>
      </c>
      <c r="H29" s="3" t="n">
        <v>3979</v>
      </c>
      <c r="I29" s="3" t="n">
        <v>5206</v>
      </c>
      <c r="J29" s="3" t="n">
        <v>3026</v>
      </c>
      <c r="K29" s="3" t="n">
        <v>3158</v>
      </c>
      <c r="L29" s="3" t="n">
        <v>3599</v>
      </c>
      <c r="M29" s="3" t="n">
        <v>4405</v>
      </c>
      <c r="N29" s="3" t="n">
        <v>3539</v>
      </c>
      <c r="O29" s="3" t="n">
        <v>5209</v>
      </c>
      <c r="P29" s="3" t="n">
        <v>7393</v>
      </c>
      <c r="Q29" s="3" t="n">
        <v>5341</v>
      </c>
      <c r="R29" s="3" t="n">
        <v>4291</v>
      </c>
      <c r="S29" s="3" t="n">
        <v>6461</v>
      </c>
      <c r="T29" s="3" t="n">
        <f aca="false">+S29*1.1</f>
        <v>7107.1</v>
      </c>
      <c r="U29" s="3" t="n">
        <f aca="false">+T29*1.1</f>
        <v>7817.81</v>
      </c>
      <c r="AC29" s="3" t="n">
        <v>11052</v>
      </c>
      <c r="AD29" s="3" t="n">
        <v>13510</v>
      </c>
      <c r="AE29" s="3" t="n">
        <f aca="false">SUM(B29:E29)</f>
        <v>15724</v>
      </c>
      <c r="AF29" s="3" t="n">
        <f aca="false">SUM(F29:I29)</f>
        <v>16425</v>
      </c>
      <c r="AG29" s="3" t="n">
        <f aca="false">SUM(J29:M29)</f>
        <v>14188</v>
      </c>
      <c r="AH29" s="3" t="n">
        <f aca="false">SUM(N29:Q29)</f>
        <v>21482</v>
      </c>
      <c r="AI29" s="3" t="n">
        <f aca="false">+AH29*1.12</f>
        <v>24059.84</v>
      </c>
      <c r="AJ29" s="3" t="n">
        <f aca="false">+AI29*1.12</f>
        <v>26947.0208</v>
      </c>
      <c r="AK29" s="3" t="n">
        <f aca="false">+AJ29*1.12</f>
        <v>30180.663296</v>
      </c>
      <c r="AL29" s="3" t="n">
        <f aca="false">+AK29*1.12</f>
        <v>33802.34289152</v>
      </c>
      <c r="AM29" s="3" t="n">
        <f aca="false">+AL29*1.12</f>
        <v>37858.6240385024</v>
      </c>
    </row>
    <row r="30" s="19" customFormat="true" ht="10.5" hidden="false" customHeight="true" outlineLevel="0" collapsed="false">
      <c r="B30" s="19" t="n">
        <f aca="false">+B29/B$19</f>
        <v>0.0496096219729161</v>
      </c>
      <c r="C30" s="19" t="n">
        <f aca="false">+C29/C$19</f>
        <v>0.0524790127000072</v>
      </c>
      <c r="D30" s="19" t="n">
        <f aca="false">+D29/D$19</f>
        <v>0.0520610200891565</v>
      </c>
      <c r="E30" s="19" t="n">
        <f aca="false">+E29/E$19</f>
        <v>0.0670103092783505</v>
      </c>
      <c r="F30" s="19" t="n">
        <f aca="false">+F29/F$19</f>
        <v>0.0538639001533237</v>
      </c>
      <c r="G30" s="19" t="n">
        <f aca="false">+G29/G$19</f>
        <v>0.0466596965310171</v>
      </c>
      <c r="H30" s="19" t="n">
        <f aca="false">+H29/H$19</f>
        <v>0.0518821795991812</v>
      </c>
      <c r="I30" s="19" t="n">
        <f aca="false">+I29/I$19</f>
        <v>0.0603174603174603</v>
      </c>
      <c r="J30" s="19" t="n">
        <f aca="false">+J29/J$19</f>
        <v>0.0375718595959721</v>
      </c>
      <c r="K30" s="19" t="n">
        <f aca="false">+K29/K$19</f>
        <v>0.0372660546128248</v>
      </c>
      <c r="L30" s="19" t="n">
        <f aca="false">+L29/L$19</f>
        <v>0.0407735532695881</v>
      </c>
      <c r="M30" s="19" t="n">
        <f aca="false">+M29/M$19</f>
        <v>0.0456623371238429</v>
      </c>
      <c r="N30" s="19" t="n">
        <f aca="false">+N29/N$19</f>
        <v>0.0392202495733316</v>
      </c>
      <c r="O30" s="19" t="n">
        <f aca="false">+O29/O$19</f>
        <v>0.0540195793752852</v>
      </c>
      <c r="P30" s="19" t="n">
        <f aca="false">+P29/P$19</f>
        <v>0.0722353584898286</v>
      </c>
      <c r="Q30" s="19" t="n">
        <f aca="false">+Q29/Q$19</f>
        <v>0.0469216712935306</v>
      </c>
      <c r="R30" s="19" t="n">
        <f aca="false">+R29/R$19</f>
        <v>0.0390460071340176</v>
      </c>
      <c r="S30" s="19" t="n">
        <f aca="false">+S29/S$19</f>
        <v>0.0539333533673912</v>
      </c>
      <c r="T30" s="19" t="n">
        <f aca="false">+T29/T$19</f>
        <v>0.0593520454579998</v>
      </c>
      <c r="U30" s="19" t="n">
        <f aca="false">+U29/U$19</f>
        <v>0.0592076763125975</v>
      </c>
      <c r="AC30" s="19" t="n">
        <f aca="false">+AC29/AC$19</f>
        <v>0.0605499460353811</v>
      </c>
      <c r="AD30" s="19" t="n">
        <f aca="false">+AD29/AD$19</f>
        <v>0.0524381203010437</v>
      </c>
      <c r="AE30" s="19" t="n">
        <f aca="false">+AE29/AE$19</f>
        <v>0.0555940545050842</v>
      </c>
      <c r="AF30" s="19" t="n">
        <f aca="false">+AF29/AF$19</f>
        <v>0.0534330533452182</v>
      </c>
      <c r="AG30" s="19" t="n">
        <f aca="false">+AG29/AG$19</f>
        <v>0.040535058197007</v>
      </c>
      <c r="AH30" s="19" t="n">
        <f aca="false">+AH29/AH$19</f>
        <v>0.0533269121925548</v>
      </c>
      <c r="AI30" s="19" t="n">
        <f aca="false">+AI29/AI$19</f>
        <v>0.0497717847130511</v>
      </c>
      <c r="AJ30" s="19" t="n">
        <f aca="false">+AJ29/AJ$19</f>
        <v>0.0472410159988282</v>
      </c>
      <c r="AK30" s="19" t="n">
        <f aca="false">+AK29/AK$19</f>
        <v>0.0456120154471445</v>
      </c>
      <c r="AL30" s="19" t="n">
        <f aca="false">+AL29/AL$19</f>
        <v>0.0444221367833059</v>
      </c>
      <c r="AM30" s="19" t="n">
        <f aca="false">+AM29/AM$19</f>
        <v>0.0436428010502655</v>
      </c>
      <c r="DI30" s="17"/>
      <c r="DJ30" s="17"/>
      <c r="DK30" s="17"/>
      <c r="DL30" s="17"/>
      <c r="DM30" s="17"/>
      <c r="DN30" s="17"/>
    </row>
    <row r="31" customFormat="false" ht="12.8" hidden="false" customHeight="false" outlineLevel="0" collapsed="false">
      <c r="A31" s="3" t="s">
        <v>154</v>
      </c>
      <c r="B31" s="3" t="n">
        <f aca="false">+B29+B27+B25</f>
        <v>18318</v>
      </c>
      <c r="C31" s="3" t="n">
        <f aca="false">+C29+C27+C25</f>
        <v>20128</v>
      </c>
      <c r="D31" s="3" t="n">
        <f aca="false">+D29+D27+D25</f>
        <v>20799</v>
      </c>
      <c r="E31" s="3" t="n">
        <f aca="false">+E29+E27+E25</f>
        <v>22546</v>
      </c>
      <c r="F31" s="3" t="n">
        <f aca="false">+F29+F27+F25</f>
        <v>21760</v>
      </c>
      <c r="G31" s="3" t="n">
        <f aca="false">+G29+G27+G25</f>
        <v>20850</v>
      </c>
      <c r="H31" s="3" t="n">
        <f aca="false">+H29+H27+H25</f>
        <v>22121</v>
      </c>
      <c r="I31" s="3" t="n">
        <f aca="false">+I29+I27+I25</f>
        <v>25038</v>
      </c>
      <c r="J31" s="3" t="n">
        <f aca="false">+J29+J27+J25</f>
        <v>21355</v>
      </c>
      <c r="K31" s="3" t="n">
        <f aca="false">+K29+K27+K25</f>
        <v>21810</v>
      </c>
      <c r="L31" s="3" t="n">
        <f aca="false">+L29+L27+L25</f>
        <v>23273</v>
      </c>
      <c r="M31" s="3" t="n">
        <f aca="false">+M29+M27+M25</f>
        <v>24884</v>
      </c>
      <c r="N31" s="3" t="n">
        <f aca="false">+N29+N27+N25</f>
        <v>23267</v>
      </c>
      <c r="O31" s="3" t="n">
        <f aca="false">+O29+O27+O25</f>
        <v>26118</v>
      </c>
      <c r="P31" s="3" t="n">
        <f aca="false">+P29+P27+P25</f>
        <v>29749</v>
      </c>
      <c r="Q31" s="3" t="n">
        <f aca="false">+Q29+Q27+Q25</f>
        <v>32128</v>
      </c>
      <c r="R31" s="3" t="n">
        <f aca="false">+R29+R27+R25</f>
        <v>28929</v>
      </c>
      <c r="S31" s="3" t="n">
        <f aca="false">+S29+S27+S25</f>
        <v>33083</v>
      </c>
      <c r="T31" s="3" t="n">
        <f aca="false">+T29+T27+T25</f>
        <v>36391.3</v>
      </c>
      <c r="U31" s="3" t="n">
        <f aca="false">+U29+U27+U25</f>
        <v>40030.43</v>
      </c>
      <c r="AC31" s="3" t="n">
        <f aca="false">+AC29+AC27+AC25</f>
        <v>56571</v>
      </c>
      <c r="AD31" s="3" t="n">
        <f aca="false">+AD29+AD27+AD25</f>
        <v>67984</v>
      </c>
      <c r="AE31" s="3" t="n">
        <f aca="false">+AE29+AE27+AE25</f>
        <v>81791</v>
      </c>
      <c r="AF31" s="3" t="n">
        <f aca="false">+AF29+AF27+AF25</f>
        <v>89769</v>
      </c>
      <c r="AG31" s="3" t="n">
        <f aca="false">+AG29+AG27+AG25</f>
        <v>91322</v>
      </c>
      <c r="AH31" s="3" t="n">
        <f aca="false">+AH29+AH27+AH25</f>
        <v>111262</v>
      </c>
      <c r="AI31" s="3" t="n">
        <f aca="false">+AI29+AI27+AI25</f>
        <v>124613.44</v>
      </c>
      <c r="AJ31" s="3" t="n">
        <f aca="false">+AJ29+AJ27+AJ25</f>
        <v>139567.0528</v>
      </c>
      <c r="AK31" s="3" t="n">
        <f aca="false">+AK29+AK27+AK25</f>
        <v>156315.099136</v>
      </c>
      <c r="AL31" s="3" t="n">
        <f aca="false">+AL29+AL27+AL25</f>
        <v>175072.91103232</v>
      </c>
      <c r="AM31" s="3" t="n">
        <f aca="false">+AM29+AM27+AM25</f>
        <v>196081.660356199</v>
      </c>
    </row>
    <row r="32" s="19" customFormat="true" ht="10.5" hidden="false" customHeight="true" outlineLevel="0" collapsed="false">
      <c r="B32" s="19" t="n">
        <f aca="false">+B31/B$19</f>
        <v>0.269338783432092</v>
      </c>
      <c r="C32" s="19" t="n">
        <f aca="false">+C31/C$19</f>
        <v>0.288842649063644</v>
      </c>
      <c r="D32" s="19" t="n">
        <f aca="false">+D31/D$19</f>
        <v>0.301033404735715</v>
      </c>
      <c r="E32" s="19" t="n">
        <f aca="false">+E31/E$19</f>
        <v>0.296470650115716</v>
      </c>
      <c r="F32" s="19" t="n">
        <f aca="false">+F31/F$19</f>
        <v>0.311805923739378</v>
      </c>
      <c r="G32" s="19" t="n">
        <f aca="false">+G31/G$19</f>
        <v>0.279475631333441</v>
      </c>
      <c r="H32" s="19" t="n">
        <f aca="false">+H31/H$19</f>
        <v>0.288435711212236</v>
      </c>
      <c r="I32" s="19" t="n">
        <f aca="false">+I31/I$19</f>
        <v>0.290093847758081</v>
      </c>
      <c r="J32" s="19" t="n">
        <f aca="false">+J31/J$19</f>
        <v>0.265151044835421</v>
      </c>
      <c r="K32" s="19" t="n">
        <f aca="false">+K31/K$19</f>
        <v>0.257369427202568</v>
      </c>
      <c r="L32" s="19" t="n">
        <f aca="false">+L31/L$19</f>
        <v>0.263662935605202</v>
      </c>
      <c r="M32" s="19" t="n">
        <f aca="false">+M31/M$19</f>
        <v>0.257948149146358</v>
      </c>
      <c r="N32" s="19" t="n">
        <f aca="false">+N31/N$19</f>
        <v>0.257851807522663</v>
      </c>
      <c r="O32" s="19" t="n">
        <f aca="false">+O31/O$19</f>
        <v>0.270854938399635</v>
      </c>
      <c r="P32" s="19" t="n">
        <f aca="false">+P31/P$19</f>
        <v>0.290670861587165</v>
      </c>
      <c r="Q32" s="19" t="n">
        <f aca="false">+Q31/Q$19</f>
        <v>0.282250412903679</v>
      </c>
      <c r="R32" s="19" t="n">
        <f aca="false">+R31/R$19</f>
        <v>0.263239790347237</v>
      </c>
      <c r="S32" s="19" t="n">
        <f aca="false">+S31/S$19</f>
        <v>0.276161140605696</v>
      </c>
      <c r="T32" s="19" t="n">
        <f aca="false">+T31/T$19</f>
        <v>0.303907091763969</v>
      </c>
      <c r="U32" s="19" t="n">
        <f aca="false">+U31/U$19</f>
        <v>0.303167861855698</v>
      </c>
      <c r="AC32" s="19" t="n">
        <f aca="false">+AC31/AC$19</f>
        <v>0.309932229204446</v>
      </c>
      <c r="AD32" s="19" t="n">
        <f aca="false">+AD31/AD$19</f>
        <v>0.263875142157376</v>
      </c>
      <c r="AE32" s="19" t="n">
        <f aca="false">+AE31/AE$19</f>
        <v>0.289181716613161</v>
      </c>
      <c r="AF32" s="19" t="n">
        <f aca="false">+AF31/AF$19</f>
        <v>0.292032375387939</v>
      </c>
      <c r="AG32" s="19" t="n">
        <f aca="false">+AG31/AG$19</f>
        <v>0.260906581947214</v>
      </c>
      <c r="AH32" s="19" t="n">
        <f aca="false">+AH31/AH$19</f>
        <v>0.2761967649366</v>
      </c>
      <c r="AI32" s="19" t="n">
        <f aca="false">+AI31/AI$19</f>
        <v>0.25778364727416</v>
      </c>
      <c r="AJ32" s="19" t="n">
        <f aca="false">+AJ31/AJ$19</f>
        <v>0.244676004192423</v>
      </c>
      <c r="AK32" s="19" t="n">
        <f aca="false">+AK31/AK$19</f>
        <v>0.236238900599581</v>
      </c>
      <c r="AL32" s="19" t="n">
        <f aca="false">+AL31/AL$19</f>
        <v>0.230076146670896</v>
      </c>
      <c r="AM32" s="19" t="n">
        <f aca="false">+AM31/AM$19</f>
        <v>0.226039723045091</v>
      </c>
      <c r="DI32" s="17"/>
      <c r="DJ32" s="17"/>
      <c r="DK32" s="17"/>
      <c r="DL32" s="17"/>
      <c r="DM32" s="17"/>
      <c r="DN32" s="17"/>
    </row>
    <row r="33" customFormat="false" ht="12.8" hidden="false" customHeight="true" outlineLevel="0" collapsed="false">
      <c r="A33" s="3" t="s">
        <v>155</v>
      </c>
      <c r="B33" s="3" t="n">
        <f aca="false">+B23-B31</f>
        <v>20094</v>
      </c>
      <c r="C33" s="3" t="n">
        <f aca="false">+C23-C31</f>
        <v>19453</v>
      </c>
      <c r="D33" s="3" t="n">
        <f aca="false">+D23-D31</f>
        <v>17135</v>
      </c>
      <c r="E33" s="3" t="n">
        <f aca="false">+E23-E31</f>
        <v>18160</v>
      </c>
      <c r="F33" s="3" t="n">
        <f aca="false">+F23-F31</f>
        <v>17415</v>
      </c>
      <c r="G33" s="3" t="n">
        <f aca="false">+G23-G31</f>
        <v>21838</v>
      </c>
      <c r="H33" s="3" t="n">
        <f aca="false">+H23-H31</f>
        <v>21343</v>
      </c>
      <c r="I33" s="3" t="n">
        <f aca="false">+I23-I31</f>
        <v>23697</v>
      </c>
      <c r="J33" s="3" t="n">
        <f aca="false">+J23-J31</f>
        <v>25472</v>
      </c>
      <c r="K33" s="3" t="n">
        <f aca="false">+K23-K31</f>
        <v>27425</v>
      </c>
      <c r="L33" s="3" t="n">
        <f aca="false">+L23-L31</f>
        <v>28521</v>
      </c>
      <c r="M33" s="3" t="n">
        <f aca="false">+M23-M31</f>
        <v>30972</v>
      </c>
      <c r="N33" s="3" t="n">
        <f aca="false">+N23-N31</f>
        <v>30606</v>
      </c>
      <c r="O33" s="3" t="n">
        <f aca="false">+O23-O31</f>
        <v>31271</v>
      </c>
      <c r="P33" s="3" t="n">
        <f aca="false">+P23-P31</f>
        <v>31228</v>
      </c>
      <c r="Q33" s="3" t="n">
        <f aca="false">+Q23-Q31</f>
        <v>35934</v>
      </c>
      <c r="R33" s="3" t="n">
        <f aca="false">+R23-R31</f>
        <v>39696</v>
      </c>
      <c r="S33" s="3" t="n">
        <f aca="false">+S23-S31</f>
        <v>40770</v>
      </c>
      <c r="T33" s="3" t="n">
        <f aca="false">+T23-T31</f>
        <v>36653.0402</v>
      </c>
      <c r="U33" s="3" t="n">
        <f aca="false">+U23-U31</f>
        <v>40514.2628</v>
      </c>
      <c r="AC33" s="3" t="n">
        <f aca="false">+AC23-AC31</f>
        <v>41224</v>
      </c>
      <c r="AD33" s="3" t="n">
        <f aca="false">+AD23-AD31</f>
        <v>78714</v>
      </c>
      <c r="AE33" s="3" t="n">
        <f aca="false">+AE23-AE31</f>
        <v>74842</v>
      </c>
      <c r="AF33" s="3" t="n">
        <f aca="false">+AF23-AF31</f>
        <v>84293</v>
      </c>
      <c r="AG33" s="3" t="n">
        <f aca="false">+AG23-AG31</f>
        <v>112390</v>
      </c>
      <c r="AH33" s="3" t="n">
        <f aca="false">+AH23-AH31</f>
        <v>129039</v>
      </c>
      <c r="AI33" s="3" t="n">
        <f aca="false">+AI23-AI31</f>
        <v>170262.512</v>
      </c>
      <c r="AJ33" s="3" t="n">
        <f aca="false">+AJ23-AJ31</f>
        <v>211238.64944</v>
      </c>
      <c r="AK33" s="3" t="n">
        <f aca="false">+AK23-AK31</f>
        <v>253927.9269632</v>
      </c>
      <c r="AL33" s="3" t="n">
        <f aca="false">+AL23-AL31</f>
        <v>300511.24220768</v>
      </c>
      <c r="AM33" s="3" t="n">
        <f aca="false">+AM23-AM31</f>
        <v>350421.60181495</v>
      </c>
    </row>
    <row r="34" s="19" customFormat="true" ht="10.5" hidden="false" customHeight="true" outlineLevel="0" collapsed="false">
      <c r="B34" s="19" t="n">
        <f aca="false">+B33/B$19</f>
        <v>0.295452206260752</v>
      </c>
      <c r="C34" s="19" t="n">
        <f aca="false">+C33/C$19</f>
        <v>0.279156202913109</v>
      </c>
      <c r="D34" s="19" t="n">
        <f aca="false">+D33/D$19</f>
        <v>0.248002663115846</v>
      </c>
      <c r="E34" s="19" t="n">
        <f aca="false">+E33/E$19</f>
        <v>0.238796549547654</v>
      </c>
      <c r="F34" s="19" t="n">
        <f aca="false">+F33/F$19</f>
        <v>0.249545044205941</v>
      </c>
      <c r="G34" s="19" t="n">
        <f aca="false">+G33/G$19</f>
        <v>0.29271888906761</v>
      </c>
      <c r="H34" s="19" t="n">
        <f aca="false">+H33/H$19</f>
        <v>0.278291369486133</v>
      </c>
      <c r="I34" s="19" t="n">
        <f aca="false">+I33/I$19</f>
        <v>0.274556830031283</v>
      </c>
      <c r="J34" s="19" t="n">
        <f aca="false">+J33/J$19</f>
        <v>0.316269136691541</v>
      </c>
      <c r="K34" s="19" t="n">
        <f aca="false">+K33/K$19</f>
        <v>0.32362936914399</v>
      </c>
      <c r="L34" s="19" t="n">
        <f aca="false">+L33/L$19</f>
        <v>0.323118230842434</v>
      </c>
      <c r="M34" s="19" t="n">
        <f aca="false">+M33/M$19</f>
        <v>0.321056505198561</v>
      </c>
      <c r="N34" s="19" t="n">
        <f aca="false">+N33/N$19</f>
        <v>0.339184786222488</v>
      </c>
      <c r="O34" s="19" t="n">
        <f aca="false">+O33/O$19</f>
        <v>0.324293773592732</v>
      </c>
      <c r="P34" s="19" t="n">
        <f aca="false">+P33/P$19</f>
        <v>0.305121841596154</v>
      </c>
      <c r="Q34" s="19" t="n">
        <f aca="false">+Q33/Q$19</f>
        <v>0.315686825737077</v>
      </c>
      <c r="R34" s="19" t="n">
        <f aca="false">+R33/R$19</f>
        <v>0.361214238916794</v>
      </c>
      <c r="S34" s="19" t="n">
        <f aca="false">+S33/S$19</f>
        <v>0.340328558549534</v>
      </c>
      <c r="T34" s="19" t="n">
        <f aca="false">+T33/T$19</f>
        <v>0.306092908236031</v>
      </c>
      <c r="U34" s="19" t="n">
        <f aca="false">+U33/U$19</f>
        <v>0.306832138144302</v>
      </c>
      <c r="AC34" s="19" t="n">
        <f aca="false">+AC33/AC$19</f>
        <v>0.225851517857632</v>
      </c>
      <c r="AD34" s="19" t="n">
        <f aca="false">+AD33/AD$19</f>
        <v>0.305522886852432</v>
      </c>
      <c r="AE34" s="19" t="n">
        <f aca="false">+AE33/AE$19</f>
        <v>0.26461270842467</v>
      </c>
      <c r="AF34" s="19" t="n">
        <f aca="false">+AF33/AF$19</f>
        <v>0.274218104452266</v>
      </c>
      <c r="AG34" s="19" t="n">
        <f aca="false">+AG33/AG$19</f>
        <v>0.321097772114577</v>
      </c>
      <c r="AH34" s="19" t="n">
        <f aca="false">+AH33/AH$19</f>
        <v>0.3203263859238</v>
      </c>
      <c r="AI34" s="19" t="n">
        <f aca="false">+AI33/AI$19</f>
        <v>0.35221635272584</v>
      </c>
      <c r="AJ34" s="19" t="n">
        <f aca="false">+AJ33/AJ$19</f>
        <v>0.370323995807577</v>
      </c>
      <c r="AK34" s="19" t="n">
        <f aca="false">+AK33/AK$19</f>
        <v>0.383761099400419</v>
      </c>
      <c r="AL34" s="19" t="n">
        <f aca="false">+AL33/AL$19</f>
        <v>0.394923853329104</v>
      </c>
      <c r="AM34" s="19" t="n">
        <f aca="false">+AM33/AM$19</f>
        <v>0.403960276954909</v>
      </c>
      <c r="DI34" s="17"/>
      <c r="DJ34" s="17"/>
      <c r="DK34" s="17"/>
      <c r="DL34" s="17"/>
      <c r="DM34" s="17"/>
      <c r="DN34" s="17"/>
    </row>
    <row r="35" customFormat="false" ht="12.8" hidden="false" customHeight="true" outlineLevel="0" collapsed="false">
      <c r="A35" s="3" t="s">
        <v>156</v>
      </c>
      <c r="B35" s="3" t="n">
        <v>-1160</v>
      </c>
      <c r="C35" s="3" t="n">
        <v>-439</v>
      </c>
      <c r="D35" s="3" t="n">
        <v>-902</v>
      </c>
      <c r="E35" s="3" t="n">
        <v>-1013</v>
      </c>
      <c r="F35" s="3" t="n">
        <v>790</v>
      </c>
      <c r="G35" s="3" t="n">
        <v>65</v>
      </c>
      <c r="H35" s="3" t="n">
        <v>-146</v>
      </c>
      <c r="I35" s="3" t="n">
        <v>715</v>
      </c>
      <c r="J35" s="3" t="n">
        <v>2843</v>
      </c>
      <c r="K35" s="3" t="n">
        <v>126</v>
      </c>
      <c r="L35" s="3" t="n">
        <v>3185</v>
      </c>
      <c r="M35" s="3" t="n">
        <v>1271</v>
      </c>
      <c r="N35" s="3" t="n">
        <v>11183</v>
      </c>
      <c r="O35" s="3" t="n">
        <v>2662</v>
      </c>
      <c r="P35" s="3" t="n">
        <v>12759</v>
      </c>
      <c r="Q35" s="3" t="n">
        <v>3183</v>
      </c>
      <c r="R35" s="3" t="n">
        <v>37716</v>
      </c>
      <c r="S35" s="3" t="n">
        <v>97983</v>
      </c>
      <c r="T35" s="3" t="n">
        <v>3000</v>
      </c>
      <c r="U35" s="3" t="n">
        <v>3000</v>
      </c>
      <c r="AC35" s="3" t="n">
        <v>6858</v>
      </c>
      <c r="AD35" s="3" t="n">
        <v>12020</v>
      </c>
      <c r="AE35" s="3" t="n">
        <f aca="false">SUM(B35:E35)</f>
        <v>-3514</v>
      </c>
      <c r="AF35" s="3" t="n">
        <f aca="false">SUM(F35:I35)</f>
        <v>1424</v>
      </c>
      <c r="AG35" s="3" t="n">
        <f aca="false">SUM(J35:M35)</f>
        <v>7425</v>
      </c>
      <c r="AH35" s="3" t="n">
        <f aca="false">SUM(N35:Q35)</f>
        <v>29787</v>
      </c>
      <c r="AI35" s="3" t="n">
        <f aca="false">+AH86*$AQ$59</f>
        <v>1605.92</v>
      </c>
      <c r="AJ35" s="3" t="n">
        <f aca="false">+AI86*$AQ$59</f>
        <v>4527.683344</v>
      </c>
      <c r="AK35" s="3" t="n">
        <f aca="false">+AJ86*$AQ$59</f>
        <v>8195.711001328</v>
      </c>
      <c r="AL35" s="3" t="n">
        <f aca="false">+AK86*$AQ$59</f>
        <v>12651.812846725</v>
      </c>
      <c r="AM35" s="3" t="n">
        <f aca="false">+AL86*$AQ$59</f>
        <v>17975.5847826499</v>
      </c>
    </row>
    <row r="36" s="19" customFormat="true" ht="10.5" hidden="false" customHeight="true" outlineLevel="0" collapsed="false">
      <c r="B36" s="19" t="n">
        <f aca="false">+B35/B$19</f>
        <v>-0.0170560644601609</v>
      </c>
      <c r="C36" s="19" t="n">
        <f aca="false">+C35/C$19</f>
        <v>-0.0062997775704958</v>
      </c>
      <c r="D36" s="19" t="n">
        <f aca="false">+D35/D$19</f>
        <v>-0.0130550570254154</v>
      </c>
      <c r="E36" s="19" t="n">
        <f aca="false">+E35/E$19</f>
        <v>-0.0133205343993267</v>
      </c>
      <c r="F36" s="19" t="n">
        <f aca="false">+F35/F$19</f>
        <v>0.0113201599151704</v>
      </c>
      <c r="G36" s="19" t="n">
        <f aca="false">+G35/G$19</f>
        <v>0.000871266956195378</v>
      </c>
      <c r="H36" s="19" t="n">
        <f aca="false">+H35/H$19</f>
        <v>-0.00190369394860026</v>
      </c>
      <c r="I36" s="19" t="n">
        <f aca="false">+I35/I$19</f>
        <v>0.00828409222569806</v>
      </c>
      <c r="J36" s="19" t="n">
        <f aca="false">+J35/J$19</f>
        <v>0.0352996684835918</v>
      </c>
      <c r="K36" s="19" t="n">
        <f aca="false">+K35/K$19</f>
        <v>0.00148686601685115</v>
      </c>
      <c r="L36" s="19" t="n">
        <f aca="false">+L35/L$19</f>
        <v>0.0360832917931753</v>
      </c>
      <c r="M36" s="19" t="n">
        <f aca="false">+M35/M$19</f>
        <v>0.0131752169090589</v>
      </c>
      <c r="N36" s="19" t="n">
        <f aca="false">+N35/N$19</f>
        <v>0.123933328900414</v>
      </c>
      <c r="O36" s="19" t="n">
        <f aca="false">+O35/O$19</f>
        <v>0.0276060895175675</v>
      </c>
      <c r="P36" s="19" t="n">
        <f aca="false">+P35/P$19</f>
        <v>0.124665350868622</v>
      </c>
      <c r="Q36" s="19" t="n">
        <f aca="false">+Q35/Q$19</f>
        <v>0.0279632427873634</v>
      </c>
      <c r="R36" s="19" t="n">
        <f aca="false">+R35/R$19</f>
        <v>0.343197204629832</v>
      </c>
      <c r="S36" s="19" t="n">
        <f aca="false">+S35/S$19</f>
        <v>0.817915456275669</v>
      </c>
      <c r="T36" s="19" t="n">
        <f aca="false">+T35/T$19</f>
        <v>0.0250532757909695</v>
      </c>
      <c r="U36" s="19" t="n">
        <f aca="false">+U35/U$19</f>
        <v>0.0227203051670215</v>
      </c>
      <c r="AC36" s="19" t="n">
        <f aca="false">+AC35/AC$19</f>
        <v>0.0375725235170687</v>
      </c>
      <c r="AD36" s="19" t="n">
        <f aca="false">+AD35/AD$19</f>
        <v>0.0466547894906399</v>
      </c>
      <c r="AE36" s="19" t="n">
        <f aca="false">+AE35/AE$19</f>
        <v>-0.0124241609978928</v>
      </c>
      <c r="AF36" s="19" t="n">
        <f aca="false">+AF35/AF$19</f>
        <v>0.00463249120021861</v>
      </c>
      <c r="AG36" s="19" t="n">
        <f aca="false">+AG35/AG$19</f>
        <v>0.0212131947499843</v>
      </c>
      <c r="AH36" s="19" t="n">
        <f aca="false">+AH35/AH$19</f>
        <v>0.0739432424113039</v>
      </c>
      <c r="AI36" s="19" t="n">
        <f aca="false">+AI35/AI$19</f>
        <v>0.00332211288630278</v>
      </c>
      <c r="AJ36" s="19" t="n">
        <f aca="false">+AJ35/AJ$19</f>
        <v>0.00793751423873662</v>
      </c>
      <c r="AK36" s="19" t="n">
        <f aca="false">+AK35/AK$19</f>
        <v>0.0123861723357965</v>
      </c>
      <c r="AL36" s="19" t="n">
        <f aca="false">+AL35/AL$19</f>
        <v>0.0166266747437497</v>
      </c>
      <c r="AM36" s="19" t="n">
        <f aca="false">+AM35/AM$19</f>
        <v>0.0207219594043757</v>
      </c>
      <c r="DI36" s="17"/>
      <c r="DJ36" s="17"/>
      <c r="DK36" s="17"/>
      <c r="DL36" s="17"/>
      <c r="DM36" s="17"/>
      <c r="DN36" s="17"/>
    </row>
    <row r="37" s="20" customFormat="true" ht="12.8" hidden="false" customHeight="false" outlineLevel="0" collapsed="false">
      <c r="A37" s="3" t="s">
        <v>157</v>
      </c>
      <c r="B37" s="3" t="n">
        <f aca="false">+B33+B35</f>
        <v>18934</v>
      </c>
      <c r="C37" s="3" t="n">
        <f aca="false">+C33+C35</f>
        <v>19014</v>
      </c>
      <c r="D37" s="3" t="n">
        <f aca="false">+D33+D35</f>
        <v>16233</v>
      </c>
      <c r="E37" s="3" t="n">
        <f aca="false">+E33+E35</f>
        <v>17147</v>
      </c>
      <c r="F37" s="3" t="n">
        <f aca="false">+F33+F35</f>
        <v>18205</v>
      </c>
      <c r="G37" s="3" t="n">
        <f aca="false">+G33+G35</f>
        <v>21903</v>
      </c>
      <c r="H37" s="3" t="n">
        <f aca="false">+H33+H35</f>
        <v>21197</v>
      </c>
      <c r="I37" s="3" t="n">
        <f aca="false">+I33+I35</f>
        <v>24412</v>
      </c>
      <c r="J37" s="3" t="n">
        <f aca="false">+J33+J35</f>
        <v>28315</v>
      </c>
      <c r="K37" s="3" t="n">
        <f aca="false">+K33+K35</f>
        <v>27551</v>
      </c>
      <c r="L37" s="3" t="n">
        <f aca="false">+L33+L35</f>
        <v>31706</v>
      </c>
      <c r="M37" s="3" t="n">
        <f aca="false">+M33+M35</f>
        <v>32243</v>
      </c>
      <c r="N37" s="3" t="n">
        <f aca="false">+N33+N35</f>
        <v>41789</v>
      </c>
      <c r="O37" s="3" t="n">
        <f aca="false">+O33+O35</f>
        <v>33933</v>
      </c>
      <c r="P37" s="3" t="n">
        <f aca="false">+P33+P35</f>
        <v>43987</v>
      </c>
      <c r="Q37" s="3" t="n">
        <f aca="false">+Q33+Q35</f>
        <v>39117</v>
      </c>
      <c r="R37" s="3" t="n">
        <f aca="false">+R33+R35</f>
        <v>77412</v>
      </c>
      <c r="S37" s="3" t="n">
        <f aca="false">+S33+S35</f>
        <v>138753</v>
      </c>
      <c r="T37" s="3" t="n">
        <f aca="false">+T33+T35</f>
        <v>39653.0402</v>
      </c>
      <c r="U37" s="3" t="n">
        <f aca="false">+U33+U35</f>
        <v>43514.2628</v>
      </c>
      <c r="V37" s="3"/>
      <c r="W37" s="3"/>
      <c r="X37" s="3"/>
      <c r="Y37" s="3"/>
      <c r="Z37" s="3"/>
      <c r="AA37" s="3"/>
      <c r="AB37" s="3"/>
      <c r="AC37" s="3" t="n">
        <f aca="false">+AC33+AC35</f>
        <v>48082</v>
      </c>
      <c r="AD37" s="3" t="n">
        <f aca="false">+AD33+AD35</f>
        <v>90734</v>
      </c>
      <c r="AE37" s="3" t="n">
        <f aca="false">+AE33+AE35</f>
        <v>71328</v>
      </c>
      <c r="AF37" s="3" t="n">
        <f aca="false">+AF33+AF35</f>
        <v>85717</v>
      </c>
      <c r="AG37" s="3" t="n">
        <f aca="false">+AG33+AG35</f>
        <v>119815</v>
      </c>
      <c r="AH37" s="3" t="n">
        <f aca="false">+AH33+AH35</f>
        <v>158826</v>
      </c>
      <c r="AI37" s="3" t="n">
        <f aca="false">+AI33+AI35</f>
        <v>171868.432</v>
      </c>
      <c r="AJ37" s="3" t="n">
        <f aca="false">+AJ33+AJ35</f>
        <v>215766.332784</v>
      </c>
      <c r="AK37" s="3" t="n">
        <f aca="false">+AK33+AK35</f>
        <v>262123.637964528</v>
      </c>
      <c r="AL37" s="3" t="n">
        <f aca="false">+AL33+AL35</f>
        <v>313163.055054405</v>
      </c>
      <c r="AM37" s="3" t="n">
        <f aca="false">+AM33+AM35</f>
        <v>368397.186597599</v>
      </c>
      <c r="AN37" s="1"/>
      <c r="AO37" s="1"/>
      <c r="AP37" s="1"/>
      <c r="AQ37" s="1"/>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17"/>
      <c r="DJ37" s="17"/>
      <c r="DK37" s="17"/>
      <c r="DL37" s="17"/>
      <c r="DM37" s="17"/>
      <c r="DN37" s="17"/>
    </row>
    <row r="38" s="21" customFormat="true" ht="10.5" hidden="false" customHeight="true" outlineLevel="0" collapsed="false">
      <c r="A38" s="19"/>
      <c r="B38" s="19" t="n">
        <f aca="false">+B37/B$19</f>
        <v>0.278396141800591</v>
      </c>
      <c r="C38" s="19" t="n">
        <f aca="false">+C37/C$19</f>
        <v>0.272856425342613</v>
      </c>
      <c r="D38" s="19" t="n">
        <f aca="false">+D37/D$19</f>
        <v>0.23494760609043</v>
      </c>
      <c r="E38" s="19" t="n">
        <f aca="false">+E37/E$19</f>
        <v>0.225476015148327</v>
      </c>
      <c r="F38" s="19" t="n">
        <f aca="false">+F37/F$19</f>
        <v>0.260865204121111</v>
      </c>
      <c r="G38" s="19" t="n">
        <f aca="false">+G37/G$19</f>
        <v>0.293590156023806</v>
      </c>
      <c r="H38" s="19" t="n">
        <f aca="false">+H37/H$19</f>
        <v>0.276387675537533</v>
      </c>
      <c r="I38" s="19" t="n">
        <f aca="false">+I37/I$19</f>
        <v>0.282840922256981</v>
      </c>
      <c r="J38" s="19" t="n">
        <f aca="false">+J37/J$19</f>
        <v>0.351568805175133</v>
      </c>
      <c r="K38" s="19" t="n">
        <f aca="false">+K37/K$19</f>
        <v>0.325116235160841</v>
      </c>
      <c r="L38" s="19" t="n">
        <f aca="false">+L37/L$19</f>
        <v>0.35920152263561</v>
      </c>
      <c r="M38" s="19" t="n">
        <f aca="false">+M37/M$19</f>
        <v>0.33423172210762</v>
      </c>
      <c r="N38" s="19" t="n">
        <f aca="false">+N37/N$19</f>
        <v>0.463118115122903</v>
      </c>
      <c r="O38" s="19" t="n">
        <f aca="false">+O37/O$19</f>
        <v>0.3518998631103</v>
      </c>
      <c r="P38" s="19" t="n">
        <f aca="false">+P37/P$19</f>
        <v>0.429787192464776</v>
      </c>
      <c r="Q38" s="19" t="n">
        <f aca="false">+Q37/Q$19</f>
        <v>0.34365006852444</v>
      </c>
      <c r="R38" s="19" t="n">
        <f aca="false">+R37/R$19</f>
        <v>0.704411443546626</v>
      </c>
      <c r="S38" s="19" t="n">
        <f aca="false">+S37/S$19</f>
        <v>1.1582440148252</v>
      </c>
      <c r="T38" s="19" t="n">
        <f aca="false">+T37/T$19</f>
        <v>0.331146184027</v>
      </c>
      <c r="U38" s="19" t="n">
        <f aca="false">+U37/U$19</f>
        <v>0.329552443311324</v>
      </c>
      <c r="V38" s="19"/>
      <c r="W38" s="19"/>
      <c r="X38" s="19"/>
      <c r="Y38" s="19"/>
      <c r="Z38" s="19"/>
      <c r="AA38" s="19"/>
      <c r="AB38" s="19"/>
      <c r="AC38" s="19" t="n">
        <f aca="false">+AC37/AC$19</f>
        <v>0.263424041374701</v>
      </c>
      <c r="AD38" s="19" t="n">
        <f aca="false">+AD37/AD$19</f>
        <v>0.352177676343072</v>
      </c>
      <c r="AE38" s="19" t="n">
        <f aca="false">+AE37/AE$19</f>
        <v>0.252188547426777</v>
      </c>
      <c r="AF38" s="19" t="n">
        <f aca="false">+AF37/AF$19</f>
        <v>0.278850595652485</v>
      </c>
      <c r="AG38" s="19" t="n">
        <f aca="false">+AG37/AG$19</f>
        <v>0.342310966864561</v>
      </c>
      <c r="AH38" s="19" t="n">
        <f aca="false">+AH37/AH$19</f>
        <v>0.394269628335104</v>
      </c>
      <c r="AI38" s="19" t="n">
        <f aca="false">+AI37/AI$19</f>
        <v>0.355538465612143</v>
      </c>
      <c r="AJ38" s="19" t="n">
        <f aca="false">+AJ37/AJ$19</f>
        <v>0.378261510046314</v>
      </c>
      <c r="AK38" s="19" t="n">
        <f aca="false">+AK37/AK$19</f>
        <v>0.396147271736216</v>
      </c>
      <c r="AL38" s="19" t="n">
        <f aca="false">+AL37/AL$19</f>
        <v>0.411550528072854</v>
      </c>
      <c r="AM38" s="19" t="n">
        <f aca="false">+AM37/AM$19</f>
        <v>0.424682236359284</v>
      </c>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7"/>
      <c r="DJ38" s="17"/>
      <c r="DK38" s="17"/>
      <c r="DL38" s="17"/>
      <c r="DM38" s="17"/>
      <c r="DN38" s="17"/>
    </row>
    <row r="39" s="23" customFormat="true" ht="12.8" hidden="false" customHeight="false" outlineLevel="0" collapsed="false">
      <c r="A39" s="3" t="s">
        <v>158</v>
      </c>
      <c r="B39" s="3" t="n">
        <v>2498</v>
      </c>
      <c r="C39" s="3" t="n">
        <v>3012</v>
      </c>
      <c r="D39" s="3" t="n">
        <v>2323</v>
      </c>
      <c r="E39" s="3" t="n">
        <v>3523</v>
      </c>
      <c r="F39" s="3" t="n">
        <v>3154</v>
      </c>
      <c r="G39" s="3" t="n">
        <v>3535</v>
      </c>
      <c r="H39" s="3" t="n">
        <v>1508</v>
      </c>
      <c r="I39" s="3" t="n">
        <v>3725</v>
      </c>
      <c r="J39" s="3" t="n">
        <v>4653</v>
      </c>
      <c r="K39" s="3" t="n">
        <v>3932</v>
      </c>
      <c r="L39" s="3" t="n">
        <v>5405</v>
      </c>
      <c r="M39" s="3" t="n">
        <v>5707</v>
      </c>
      <c r="N39" s="3" t="n">
        <v>7249</v>
      </c>
      <c r="O39" s="3" t="n">
        <v>5737</v>
      </c>
      <c r="P39" s="3" t="n">
        <v>9008</v>
      </c>
      <c r="Q39" s="3" t="n">
        <v>4662</v>
      </c>
      <c r="R39" s="3" t="n">
        <v>14834</v>
      </c>
      <c r="S39" s="3" t="n">
        <v>26560</v>
      </c>
      <c r="T39" s="3" t="n">
        <f aca="false">+T37*P59</f>
        <v>8120.45800171869</v>
      </c>
      <c r="U39" s="3" t="n">
        <f aca="false">+U37*Q59</f>
        <v>5186.06982063041</v>
      </c>
      <c r="V39" s="3"/>
      <c r="W39" s="3"/>
      <c r="X39" s="3"/>
      <c r="Y39" s="3"/>
      <c r="Z39" s="3"/>
      <c r="AA39" s="3"/>
      <c r="AB39" s="3"/>
      <c r="AC39" s="3" t="n">
        <v>7813</v>
      </c>
      <c r="AD39" s="3" t="n">
        <v>14701</v>
      </c>
      <c r="AE39" s="3" t="n">
        <f aca="false">SUM(B39:E39)</f>
        <v>11356</v>
      </c>
      <c r="AF39" s="3" t="n">
        <f aca="false">SUM(F39:I39)</f>
        <v>11922</v>
      </c>
      <c r="AG39" s="3" t="n">
        <f aca="false">SUM(J39:M39)</f>
        <v>19697</v>
      </c>
      <c r="AH39" s="3" t="n">
        <f aca="false">SUM(N39:Q39)</f>
        <v>26656</v>
      </c>
      <c r="AI39" s="3" t="n">
        <f aca="false">+AI37*0.15</f>
        <v>25780.2648</v>
      </c>
      <c r="AJ39" s="3" t="n">
        <f aca="false">+AJ37*0.15</f>
        <v>32364.9499176</v>
      </c>
      <c r="AK39" s="3" t="n">
        <f aca="false">+AK37*0.15</f>
        <v>39318.5456946792</v>
      </c>
      <c r="AL39" s="3" t="n">
        <f aca="false">+AL37*0.15</f>
        <v>46974.4582581607</v>
      </c>
      <c r="AM39" s="3" t="n">
        <f aca="false">+AM37*0.15</f>
        <v>55259.5779896399</v>
      </c>
      <c r="AN39" s="1"/>
      <c r="AO39" s="1"/>
      <c r="AP39" s="1"/>
      <c r="AQ39" s="1"/>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17"/>
      <c r="DJ39" s="17"/>
      <c r="DK39" s="17"/>
      <c r="DL39" s="17"/>
      <c r="DM39" s="17"/>
      <c r="DN39" s="17"/>
    </row>
    <row r="40" s="21" customFormat="true" ht="10.5" hidden="false" customHeight="true" outlineLevel="0" collapsed="false">
      <c r="A40" s="19"/>
      <c r="B40" s="19" t="n">
        <f aca="false">+B39/B$19</f>
        <v>0.0367293526047257</v>
      </c>
      <c r="C40" s="19" t="n">
        <f aca="false">+C39/C$19</f>
        <v>0.0432230752672742</v>
      </c>
      <c r="D40" s="19" t="n">
        <f aca="false">+D39/D$19</f>
        <v>0.0336218375499334</v>
      </c>
      <c r="E40" s="19" t="n">
        <f aca="false">+E39/E$19</f>
        <v>0.0463260046286556</v>
      </c>
      <c r="F40" s="19" t="n">
        <f aca="false">+F39/F$19</f>
        <v>0.0451946637625919</v>
      </c>
      <c r="G40" s="19" t="n">
        <f aca="false">+G39/G$19</f>
        <v>0.0473835183100102</v>
      </c>
      <c r="H40" s="19" t="n">
        <f aca="false">+H39/H$19</f>
        <v>0.0196628114691041</v>
      </c>
      <c r="I40" s="19" t="n">
        <f aca="false">+I39/I$19</f>
        <v>0.043158382574441</v>
      </c>
      <c r="J40" s="19" t="n">
        <f aca="false">+J39/J$19</f>
        <v>0.0577732527098673</v>
      </c>
      <c r="K40" s="19" t="n">
        <f aca="false">+K39/K$19</f>
        <v>0.0463996601449104</v>
      </c>
      <c r="L40" s="19" t="n">
        <f aca="false">+L39/L$19</f>
        <v>0.0612339692753886</v>
      </c>
      <c r="M40" s="19" t="n">
        <f aca="false">+M39/M$19</f>
        <v>0.0591589007867812</v>
      </c>
      <c r="N40" s="19" t="n">
        <f aca="false">+N39/N$19</f>
        <v>0.0803355719573553</v>
      </c>
      <c r="O40" s="19" t="n">
        <f aca="false">+O39/O$19</f>
        <v>0.0594951673787697</v>
      </c>
      <c r="P40" s="19" t="n">
        <f aca="false">+P39/P$19</f>
        <v>0.0880151642467708</v>
      </c>
      <c r="Q40" s="19" t="n">
        <f aca="false">+Q39/Q$19</f>
        <v>0.0409565309062797</v>
      </c>
      <c r="R40" s="19" t="n">
        <f aca="false">+R39/R$19</f>
        <v>0.134982164955958</v>
      </c>
      <c r="S40" s="19" t="n">
        <f aca="false">+S39/S$19</f>
        <v>0.221710240742596</v>
      </c>
      <c r="T40" s="19" t="n">
        <f aca="false">+T39/T$19</f>
        <v>0.0678146912886811</v>
      </c>
      <c r="U40" s="19" t="n">
        <f aca="false">+U39/U$19</f>
        <v>0.0392763629807345</v>
      </c>
      <c r="V40" s="19"/>
      <c r="W40" s="19"/>
      <c r="X40" s="19"/>
      <c r="Y40" s="19"/>
      <c r="Z40" s="19"/>
      <c r="AA40" s="19"/>
      <c r="AB40" s="19"/>
      <c r="AC40" s="19" t="n">
        <f aca="false">+AC39/AC$19</f>
        <v>0.0428046261648962</v>
      </c>
      <c r="AD40" s="19" t="n">
        <f aca="false">+AD39/AD$19</f>
        <v>0.0570609035192927</v>
      </c>
      <c r="AE40" s="19" t="n">
        <f aca="false">+AE39/AE$19</f>
        <v>0.0401504758941577</v>
      </c>
      <c r="AF40" s="19" t="n">
        <f aca="false">+AF39/AF$19</f>
        <v>0.0387841011860999</v>
      </c>
      <c r="AG40" s="19" t="n">
        <f aca="false">+AG39/AG$19</f>
        <v>0.0562742487529213</v>
      </c>
      <c r="AH40" s="19" t="n">
        <f aca="false">+AH39/AH$19</f>
        <v>0.0661708486828387</v>
      </c>
      <c r="AI40" s="19" t="n">
        <f aca="false">+AI39/AI$19</f>
        <v>0.0533307698418215</v>
      </c>
      <c r="AJ40" s="19" t="n">
        <f aca="false">+AJ39/AJ$19</f>
        <v>0.0567392265069471</v>
      </c>
      <c r="AK40" s="19" t="n">
        <f aca="false">+AK39/AK$19</f>
        <v>0.0594220907604324</v>
      </c>
      <c r="AL40" s="19" t="n">
        <f aca="false">+AL39/AL$19</f>
        <v>0.0617325792109281</v>
      </c>
      <c r="AM40" s="19" t="n">
        <f aca="false">+AM39/AM$19</f>
        <v>0.0637023354538926</v>
      </c>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7"/>
      <c r="DJ40" s="17"/>
      <c r="DK40" s="17"/>
      <c r="DL40" s="17"/>
      <c r="DM40" s="17"/>
      <c r="DN40" s="17"/>
    </row>
    <row r="41" customFormat="false" ht="12.8" hidden="false" customHeight="false" outlineLevel="0" collapsed="false">
      <c r="A41" s="20" t="s">
        <v>159</v>
      </c>
      <c r="B41" s="20" t="n">
        <f aca="false">+B37-B39</f>
        <v>16436</v>
      </c>
      <c r="C41" s="20" t="n">
        <f aca="false">+C37-C39</f>
        <v>16002</v>
      </c>
      <c r="D41" s="20" t="n">
        <f aca="false">+D37-D39</f>
        <v>13910</v>
      </c>
      <c r="E41" s="20" t="n">
        <f aca="false">+E37-E39</f>
        <v>13624</v>
      </c>
      <c r="F41" s="20" t="n">
        <f aca="false">+F37-F39</f>
        <v>15051</v>
      </c>
      <c r="G41" s="20" t="n">
        <f aca="false">+G37-G39</f>
        <v>18368</v>
      </c>
      <c r="H41" s="20" t="n">
        <f aca="false">+H37-H39</f>
        <v>19689</v>
      </c>
      <c r="I41" s="20" t="n">
        <f aca="false">+I37-I39</f>
        <v>20687</v>
      </c>
      <c r="J41" s="20" t="n">
        <f aca="false">+J37-J39</f>
        <v>23662</v>
      </c>
      <c r="K41" s="20" t="n">
        <f aca="false">+K37-K39</f>
        <v>23619</v>
      </c>
      <c r="L41" s="20" t="n">
        <f aca="false">+L37-L39</f>
        <v>26301</v>
      </c>
      <c r="M41" s="20" t="n">
        <f aca="false">+M37-M39</f>
        <v>26536</v>
      </c>
      <c r="N41" s="20" t="n">
        <f aca="false">+N37-N39</f>
        <v>34540</v>
      </c>
      <c r="O41" s="20" t="n">
        <f aca="false">+O37-O39</f>
        <v>28196</v>
      </c>
      <c r="P41" s="20" t="n">
        <f aca="false">+P37-P39</f>
        <v>34979</v>
      </c>
      <c r="Q41" s="20" t="n">
        <f aca="false">+Q37-Q39</f>
        <v>34455</v>
      </c>
      <c r="R41" s="20" t="n">
        <f aca="false">+R37-R39</f>
        <v>62578</v>
      </c>
      <c r="S41" s="20" t="n">
        <f aca="false">+S37-S39</f>
        <v>112193</v>
      </c>
      <c r="T41" s="20" t="n">
        <f aca="false">+T37-T39</f>
        <v>31532.5821982813</v>
      </c>
      <c r="U41" s="20" t="n">
        <f aca="false">+U37-U39</f>
        <v>38328.1929793696</v>
      </c>
      <c r="V41" s="20"/>
      <c r="W41" s="20"/>
      <c r="X41" s="20"/>
      <c r="Y41" s="20"/>
      <c r="Z41" s="20"/>
      <c r="AA41" s="20"/>
      <c r="AB41" s="20"/>
      <c r="AC41" s="20" t="n">
        <f aca="false">+AC37-AC39</f>
        <v>40269</v>
      </c>
      <c r="AD41" s="20" t="n">
        <f aca="false">+AD37-AD39</f>
        <v>76033</v>
      </c>
      <c r="AE41" s="20" t="n">
        <f aca="false">+AE37-AE39</f>
        <v>59972</v>
      </c>
      <c r="AF41" s="20" t="n">
        <f aca="false">+AF37-AF39</f>
        <v>73795</v>
      </c>
      <c r="AG41" s="20" t="n">
        <f aca="false">+AG37-AG39</f>
        <v>100118</v>
      </c>
      <c r="AH41" s="20" t="n">
        <f aca="false">+AH37-AH39</f>
        <v>132170</v>
      </c>
      <c r="AI41" s="20" t="n">
        <f aca="false">+AI37-AI39</f>
        <v>146088.1672</v>
      </c>
      <c r="AJ41" s="20" t="n">
        <f aca="false">+AJ37-AJ39</f>
        <v>183401.3828664</v>
      </c>
      <c r="AK41" s="20" t="n">
        <f aca="false">+AK37-AK39</f>
        <v>222805.092269849</v>
      </c>
      <c r="AL41" s="20" t="n">
        <f aca="false">+AL37-AL39</f>
        <v>266188.596796244</v>
      </c>
      <c r="AM41" s="20" t="n">
        <f aca="false">+AM37-AM39</f>
        <v>313137.60860796</v>
      </c>
      <c r="AN41" s="20" t="n">
        <f aca="false">+AM41*(1+$AQ$57)</f>
        <v>319400.360780119</v>
      </c>
      <c r="AO41" s="20" t="n">
        <f aca="false">+AN41*(1+$AQ$57)</f>
        <v>325788.367995722</v>
      </c>
      <c r="AP41" s="20" t="n">
        <f aca="false">+AO41*(1+$AQ$57)</f>
        <v>332304.135355636</v>
      </c>
      <c r="AQ41" s="20" t="n">
        <f aca="false">+AP41*(1+$AQ$57)</f>
        <v>338950.218062749</v>
      </c>
      <c r="AR41" s="20" t="n">
        <f aca="false">+AQ41*(1+$AQ$57)</f>
        <v>345729.222424004</v>
      </c>
      <c r="AS41" s="20" t="n">
        <f aca="false">+AR41*(1+$AQ$57)</f>
        <v>352643.806872484</v>
      </c>
      <c r="AT41" s="20" t="n">
        <f aca="false">+AS41*(1+$AQ$57)</f>
        <v>359696.683009934</v>
      </c>
      <c r="AU41" s="20" t="n">
        <f aca="false">+AT41*(1+$AQ$57)</f>
        <v>366890.616670132</v>
      </c>
      <c r="AV41" s="20" t="n">
        <f aca="false">+AU41*(1+$AQ$57)</f>
        <v>374228.429003535</v>
      </c>
      <c r="AW41" s="20" t="n">
        <f aca="false">+AV41*(1+$AQ$57)</f>
        <v>381712.997583606</v>
      </c>
      <c r="AX41" s="20" t="n">
        <f aca="false">+AW41*(1+$AQ$57)</f>
        <v>389347.257535278</v>
      </c>
      <c r="AY41" s="20" t="n">
        <f aca="false">+AX41*(1+$AQ$57)</f>
        <v>397134.202685983</v>
      </c>
      <c r="AZ41" s="20" t="n">
        <f aca="false">+AY41*(1+$AQ$57)</f>
        <v>405076.886739703</v>
      </c>
      <c r="BA41" s="20" t="n">
        <f aca="false">+AZ41*(1+$AQ$57)</f>
        <v>413178.424474497</v>
      </c>
      <c r="BB41" s="20" t="n">
        <f aca="false">+BA41*(1+$AQ$57)</f>
        <v>421441.992963987</v>
      </c>
      <c r="BC41" s="20" t="n">
        <f aca="false">+BB41*(1+$AQ$57)</f>
        <v>429870.832823267</v>
      </c>
      <c r="BD41" s="20" t="n">
        <f aca="false">+BC41*(1+$AQ$57)</f>
        <v>438468.249479732</v>
      </c>
      <c r="BE41" s="20" t="n">
        <f aca="false">+BD41*(1+$AQ$57)</f>
        <v>447237.614469327</v>
      </c>
      <c r="BF41" s="20" t="n">
        <f aca="false">+BE41*(1+$AQ$57)</f>
        <v>456182.366758713</v>
      </c>
      <c r="BG41" s="20" t="n">
        <f aca="false">+BF41*(1+$AQ$57)</f>
        <v>465306.014093887</v>
      </c>
      <c r="BH41" s="20" t="n">
        <f aca="false">+BG41*(1+$AQ$57)</f>
        <v>474612.134375765</v>
      </c>
      <c r="BI41" s="20" t="n">
        <f aca="false">+BH41*(1+$AQ$57)</f>
        <v>484104.377063281</v>
      </c>
      <c r="BJ41" s="20" t="n">
        <f aca="false">+BI41*(1+$AQ$57)</f>
        <v>493786.464604546</v>
      </c>
      <c r="BK41" s="20" t="n">
        <f aca="false">+BJ41*(1+$AQ$57)</f>
        <v>503662.193896637</v>
      </c>
      <c r="BL41" s="20" t="n">
        <f aca="false">+BK41*(1+$AQ$57)</f>
        <v>513735.43777457</v>
      </c>
      <c r="BM41" s="20" t="n">
        <f aca="false">+BL41*(1+$AQ$57)</f>
        <v>524010.146530061</v>
      </c>
      <c r="BN41" s="20" t="n">
        <f aca="false">+BM41*(1+$AQ$57)</f>
        <v>534490.349460663</v>
      </c>
      <c r="BO41" s="20" t="n">
        <f aca="false">+BN41*(1+$AQ$57)</f>
        <v>545180.156449876</v>
      </c>
      <c r="BP41" s="20" t="n">
        <f aca="false">+BO41*(1+$AQ$57)</f>
        <v>556083.759578873</v>
      </c>
      <c r="BQ41" s="20" t="n">
        <f aca="false">+BP41*(1+$AQ$57)</f>
        <v>567205.434770451</v>
      </c>
      <c r="BR41" s="20" t="n">
        <f aca="false">+BQ41*(1+$AQ$57)</f>
        <v>578549.54346586</v>
      </c>
      <c r="BS41" s="20" t="n">
        <f aca="false">+BR41*(1+$AQ$57)</f>
        <v>590120.534335177</v>
      </c>
      <c r="BT41" s="20" t="n">
        <f aca="false">+BS41*(1+$AQ$57)</f>
        <v>601922.945021881</v>
      </c>
      <c r="BU41" s="20" t="n">
        <f aca="false">+BT41*(1+$AQ$57)</f>
        <v>613961.403922318</v>
      </c>
      <c r="BV41" s="20" t="n">
        <f aca="false">+BU41*(1+$AQ$57)</f>
        <v>626240.632000765</v>
      </c>
      <c r="BW41" s="20" t="n">
        <f aca="false">+BV41*(1+$AQ$57)</f>
        <v>638765.44464078</v>
      </c>
      <c r="BX41" s="20" t="n">
        <f aca="false">+BW41*(1+$AQ$57)</f>
        <v>651540.753533595</v>
      </c>
      <c r="BY41" s="20" t="n">
        <f aca="false">+BX41*(1+$AQ$57)</f>
        <v>664571.568604267</v>
      </c>
      <c r="BZ41" s="20" t="n">
        <f aca="false">+BY41*(1+$AQ$57)</f>
        <v>677862.999976353</v>
      </c>
      <c r="CA41" s="20" t="n">
        <f aca="false">+BZ41*(1+$AQ$57)</f>
        <v>691420.25997588</v>
      </c>
      <c r="CB41" s="20" t="n">
        <f aca="false">+CA41*(1+$AQ$57)</f>
        <v>705248.665175397</v>
      </c>
      <c r="CC41" s="20" t="n">
        <f aca="false">+CB41*(1+$AQ$57)</f>
        <v>719353.638478905</v>
      </c>
      <c r="CD41" s="20" t="n">
        <f aca="false">+CC41*(1+$AQ$57)</f>
        <v>733740.711248483</v>
      </c>
      <c r="CE41" s="20" t="n">
        <f aca="false">+CD41*(1+$AQ$57)</f>
        <v>748415.525473453</v>
      </c>
      <c r="CF41" s="20" t="n">
        <f aca="false">+CE41*(1+$AQ$57)</f>
        <v>763383.835982922</v>
      </c>
      <c r="CG41" s="20" t="n">
        <f aca="false">+CF41*(1+$AQ$57)</f>
        <v>778651.512702581</v>
      </c>
      <c r="CH41" s="20" t="n">
        <f aca="false">+CG41*(1+$AQ$57)</f>
        <v>794224.542956632</v>
      </c>
      <c r="CI41" s="20" t="n">
        <f aca="false">+CH41*(1+$AQ$57)</f>
        <v>810109.033815765</v>
      </c>
      <c r="CJ41" s="20" t="n">
        <f aca="false">+CI41*(1+$AQ$57)</f>
        <v>826311.21449208</v>
      </c>
      <c r="CK41" s="20" t="n">
        <f aca="false">+CJ41*(1+$AQ$57)</f>
        <v>842837.438781922</v>
      </c>
      <c r="CL41" s="20" t="n">
        <f aca="false">+CK41*(1+$AQ$57)</f>
        <v>859694.18755756</v>
      </c>
      <c r="CM41" s="20" t="n">
        <f aca="false">+CL41*(1+$AQ$57)</f>
        <v>876888.071308712</v>
      </c>
      <c r="CN41" s="20" t="n">
        <f aca="false">+CM41*(1+$AQ$57)</f>
        <v>894425.832734886</v>
      </c>
      <c r="CO41" s="20" t="n">
        <f aca="false">+CN41*(1+$AQ$57)</f>
        <v>912314.349389584</v>
      </c>
      <c r="CP41" s="20" t="n">
        <f aca="false">+CO41*(1+$AQ$57)</f>
        <v>930560.636377375</v>
      </c>
      <c r="CQ41" s="20" t="n">
        <f aca="false">+CP41*(1+$AQ$57)</f>
        <v>949171.849104923</v>
      </c>
      <c r="CR41" s="20" t="n">
        <f aca="false">+CQ41*(1+$AQ$57)</f>
        <v>968155.286087021</v>
      </c>
      <c r="CS41" s="20" t="n">
        <f aca="false">+CR41*(1+$AQ$57)</f>
        <v>987518.391808762</v>
      </c>
      <c r="CT41" s="20" t="n">
        <f aca="false">+CS41*(1+$AQ$57)</f>
        <v>1007268.75964494</v>
      </c>
      <c r="CU41" s="20" t="n">
        <f aca="false">+CT41*(1+$AQ$57)</f>
        <v>1027414.13483784</v>
      </c>
      <c r="CV41" s="20" t="n">
        <f aca="false">+CU41*(1+$AQ$57)</f>
        <v>1047962.41753459</v>
      </c>
      <c r="CW41" s="20" t="n">
        <f aca="false">+CV41*(1+$AQ$57)</f>
        <v>1068921.66588528</v>
      </c>
      <c r="CX41" s="20" t="n">
        <f aca="false">+CW41*(1+$AQ$57)</f>
        <v>1090300.09920299</v>
      </c>
      <c r="CY41" s="20" t="n">
        <f aca="false">+CX41*(1+$AQ$57)</f>
        <v>1112106.10118705</v>
      </c>
      <c r="CZ41" s="20" t="n">
        <f aca="false">+CY41*(1+$AQ$57)</f>
        <v>1134348.22321079</v>
      </c>
      <c r="DA41" s="20" t="n">
        <f aca="false">+CZ41*(1+$AQ$57)</f>
        <v>1157035.18767501</v>
      </c>
      <c r="DB41" s="20" t="n">
        <f aca="false">+DA41*(1+$AQ$57)</f>
        <v>1180175.89142851</v>
      </c>
      <c r="DC41" s="20" t="n">
        <f aca="false">+DB41*(1+$AQ$57)</f>
        <v>1203779.40925708</v>
      </c>
      <c r="DD41" s="20" t="n">
        <f aca="false">+DC41*(1+$AQ$57)</f>
        <v>1227854.99744222</v>
      </c>
      <c r="DE41" s="20" t="n">
        <f aca="false">+DD41*(1+$AQ$57)</f>
        <v>1252412.09739106</v>
      </c>
      <c r="DF41" s="20" t="n">
        <f aca="false">+DE41*(1+$AQ$57)</f>
        <v>1277460.33933888</v>
      </c>
      <c r="DG41" s="20" t="n">
        <f aca="false">+DF41*(1+$AQ$57)</f>
        <v>1303009.54612566</v>
      </c>
      <c r="DH41" s="20" t="n">
        <f aca="false">+DG41*(1+$AQ$57)</f>
        <v>1329069.73704818</v>
      </c>
    </row>
    <row r="42" s="19" customFormat="true" ht="10.5" hidden="false" customHeight="true" outlineLevel="0" collapsed="false">
      <c r="A42" s="21"/>
      <c r="B42" s="19" t="n">
        <f aca="false">+B41/B$19</f>
        <v>0.241666789195865</v>
      </c>
      <c r="C42" s="19" t="n">
        <f aca="false">+C41/C$19</f>
        <v>0.229633350075339</v>
      </c>
      <c r="D42" s="19" t="n">
        <f aca="false">+D41/D$19</f>
        <v>0.201325768540497</v>
      </c>
      <c r="E42" s="19" t="n">
        <f aca="false">+E41/E$19</f>
        <v>0.179150010519672</v>
      </c>
      <c r="F42" s="19" t="n">
        <f aca="false">+F41/F$19</f>
        <v>0.215670540358519</v>
      </c>
      <c r="G42" s="19" t="n">
        <f aca="false">+G41/G$19</f>
        <v>0.246206637713796</v>
      </c>
      <c r="H42" s="19" t="n">
        <f aca="false">+H41/H$19</f>
        <v>0.256724864068429</v>
      </c>
      <c r="I42" s="19" t="n">
        <f aca="false">+I41/I$19</f>
        <v>0.23968253968254</v>
      </c>
      <c r="J42" s="19" t="n">
        <f aca="false">+J41/J$19</f>
        <v>0.293795552465265</v>
      </c>
      <c r="K42" s="19" t="n">
        <f aca="false">+K41/K$19</f>
        <v>0.278716575015931</v>
      </c>
      <c r="L42" s="19" t="n">
        <f aca="false">+L41/L$19</f>
        <v>0.297967553360221</v>
      </c>
      <c r="M42" s="19" t="n">
        <f aca="false">+M41/M$19</f>
        <v>0.275072821320839</v>
      </c>
      <c r="N42" s="19" t="n">
        <f aca="false">+N41/N$19</f>
        <v>0.382782543165547</v>
      </c>
      <c r="O42" s="19" t="n">
        <f aca="false">+O41/O$19</f>
        <v>0.29240469573153</v>
      </c>
      <c r="P42" s="19" t="n">
        <f aca="false">+P41/P$19</f>
        <v>0.341772028218006</v>
      </c>
      <c r="Q42" s="19" t="n">
        <f aca="false">+Q41/Q$19</f>
        <v>0.302693537618161</v>
      </c>
      <c r="R42" s="19" t="n">
        <f aca="false">+R41/R$19</f>
        <v>0.569429278590668</v>
      </c>
      <c r="S42" s="19" t="n">
        <f aca="false">+S41/S$19</f>
        <v>0.936533774082607</v>
      </c>
      <c r="T42" s="19" t="n">
        <f aca="false">+T41/T$19</f>
        <v>0.263331492738319</v>
      </c>
      <c r="U42" s="19" t="n">
        <f aca="false">+U41/U$19</f>
        <v>0.29027608033059</v>
      </c>
      <c r="V42" s="21"/>
      <c r="W42" s="21"/>
      <c r="X42" s="21"/>
      <c r="Y42" s="21"/>
      <c r="Z42" s="21"/>
      <c r="AA42" s="21"/>
      <c r="AB42" s="21"/>
      <c r="AC42" s="19" t="n">
        <f aca="false">+AC41/AC$19</f>
        <v>0.220619415209805</v>
      </c>
      <c r="AD42" s="19" t="n">
        <f aca="false">+AD41/AD$19</f>
        <v>0.295116772823779</v>
      </c>
      <c r="AE42" s="19" t="n">
        <f aca="false">+AE41/AE$19</f>
        <v>0.21203807153262</v>
      </c>
      <c r="AF42" s="19" t="n">
        <f aca="false">+AF41/AF$19</f>
        <v>0.240066494466385</v>
      </c>
      <c r="AG42" s="19" t="n">
        <f aca="false">+AG41/AG$19</f>
        <v>0.28603671811164</v>
      </c>
      <c r="AH42" s="19" t="n">
        <f aca="false">+AH41/AH$19</f>
        <v>0.328098779652265</v>
      </c>
      <c r="AI42" s="19" t="n">
        <f aca="false">+AI41/AI$19</f>
        <v>0.302207695770322</v>
      </c>
      <c r="AJ42" s="19" t="n">
        <f aca="false">+AJ41/AJ$19</f>
        <v>0.321522283539367</v>
      </c>
      <c r="AK42" s="19" t="n">
        <f aca="false">+AK41/AK$19</f>
        <v>0.336725180975784</v>
      </c>
      <c r="AL42" s="19" t="n">
        <f aca="false">+AL41/AL$19</f>
        <v>0.349817948861926</v>
      </c>
      <c r="AM42" s="19" t="n">
        <f aca="false">+AM41/AM$19</f>
        <v>0.360979900905392</v>
      </c>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17"/>
      <c r="DJ42" s="17"/>
      <c r="DK42" s="17"/>
      <c r="DL42" s="17"/>
      <c r="DM42" s="17"/>
      <c r="DN42" s="17"/>
    </row>
    <row r="43" customFormat="false" ht="12.8" hidden="false" customHeight="false" outlineLevel="0" collapsed="false">
      <c r="A43" s="3" t="s">
        <v>160</v>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86</v>
      </c>
      <c r="AC43" s="3" t="n">
        <v>0</v>
      </c>
      <c r="AD43" s="3" t="n">
        <v>0</v>
      </c>
      <c r="AE43" s="3" t="n">
        <v>0</v>
      </c>
      <c r="AF43" s="3" t="n">
        <v>0</v>
      </c>
      <c r="AG43" s="3" t="n">
        <v>0</v>
      </c>
      <c r="AH43" s="3" t="n">
        <v>0</v>
      </c>
      <c r="AN43" s="3"/>
      <c r="AO43" s="3"/>
      <c r="AP43" s="3"/>
      <c r="AQ43" s="3"/>
    </row>
    <row r="44" s="19" customFormat="true" ht="10.5" hidden="false" customHeight="true" outlineLevel="0" collapsed="false">
      <c r="DI44" s="17"/>
      <c r="DJ44" s="17"/>
      <c r="DK44" s="17"/>
      <c r="DL44" s="17"/>
      <c r="DM44" s="17"/>
      <c r="DN44" s="17"/>
    </row>
    <row r="45" customFormat="false" ht="12.8" hidden="false" customHeight="false" outlineLevel="0" collapsed="false">
      <c r="A45" s="3" t="s">
        <v>161</v>
      </c>
      <c r="B45" s="3" t="n">
        <f aca="false">+B41-B43</f>
        <v>16436</v>
      </c>
      <c r="C45" s="3" t="n">
        <f aca="false">+C41-C43</f>
        <v>16002</v>
      </c>
      <c r="D45" s="3" t="n">
        <f aca="false">+D41-D43</f>
        <v>13910</v>
      </c>
      <c r="E45" s="3" t="n">
        <f aca="false">+E41-E43</f>
        <v>13624</v>
      </c>
      <c r="F45" s="3" t="n">
        <f aca="false">+F41-F43</f>
        <v>15051</v>
      </c>
      <c r="G45" s="3" t="n">
        <f aca="false">+G41-G43</f>
        <v>18368</v>
      </c>
      <c r="H45" s="3" t="n">
        <f aca="false">+H41-H43</f>
        <v>19689</v>
      </c>
      <c r="I45" s="3" t="n">
        <f aca="false">+I41-I43</f>
        <v>20687</v>
      </c>
      <c r="J45" s="3" t="n">
        <f aca="false">+J41-J43</f>
        <v>23662</v>
      </c>
      <c r="K45" s="3" t="n">
        <f aca="false">+K41-K43</f>
        <v>23619</v>
      </c>
      <c r="L45" s="3" t="n">
        <f aca="false">+L41-L43</f>
        <v>26301</v>
      </c>
      <c r="M45" s="3" t="n">
        <f aca="false">+M41-M43</f>
        <v>26536</v>
      </c>
      <c r="N45" s="3" t="n">
        <f aca="false">+N41-N43</f>
        <v>34540</v>
      </c>
      <c r="O45" s="3" t="n">
        <f aca="false">+O41-O43</f>
        <v>28196</v>
      </c>
      <c r="P45" s="3" t="n">
        <f aca="false">+P41-P43</f>
        <v>34979</v>
      </c>
      <c r="Q45" s="3" t="n">
        <f aca="false">+Q41-Q43</f>
        <v>34455</v>
      </c>
      <c r="R45" s="3" t="n">
        <f aca="false">+R41-R43</f>
        <v>62578</v>
      </c>
      <c r="S45" s="3" t="n">
        <f aca="false">+S41-S43</f>
        <v>112107</v>
      </c>
      <c r="T45" s="3" t="n">
        <f aca="false">+T41-T43</f>
        <v>31532.5821982813</v>
      </c>
      <c r="U45" s="3" t="n">
        <f aca="false">+U41-U43</f>
        <v>38328.1929793696</v>
      </c>
      <c r="AC45" s="3" t="n">
        <f aca="false">+AC41-AC43</f>
        <v>40269</v>
      </c>
      <c r="AD45" s="3" t="n">
        <f aca="false">+AD41-AD43</f>
        <v>76033</v>
      </c>
      <c r="AE45" s="3" t="n">
        <f aca="false">+AE41-AE43</f>
        <v>59972</v>
      </c>
      <c r="AF45" s="3" t="n">
        <f aca="false">+AF41-AF43</f>
        <v>73795</v>
      </c>
      <c r="AG45" s="3" t="n">
        <f aca="false">+AG41-AG43</f>
        <v>100118</v>
      </c>
      <c r="AH45" s="3" t="n">
        <f aca="false">+AH41-AH43</f>
        <v>132170</v>
      </c>
      <c r="AI45" s="3" t="n">
        <f aca="false">+AI41-AI43</f>
        <v>146088.1672</v>
      </c>
      <c r="AJ45" s="3" t="n">
        <f aca="false">+AJ41-AJ43</f>
        <v>183401.3828664</v>
      </c>
      <c r="AK45" s="3" t="n">
        <f aca="false">+AK41-AK43</f>
        <v>222805.092269849</v>
      </c>
      <c r="AL45" s="3" t="n">
        <f aca="false">+AL41-AL43</f>
        <v>266188.596796244</v>
      </c>
      <c r="AM45" s="3" t="n">
        <f aca="false">+AM41-AM43</f>
        <v>313137.60860796</v>
      </c>
      <c r="AN45" s="3"/>
      <c r="AO45" s="3"/>
      <c r="AP45" s="3"/>
      <c r="AQ45" s="3"/>
    </row>
    <row r="46" s="19" customFormat="true" ht="10.5" hidden="false" customHeight="true" outlineLevel="0" collapsed="false">
      <c r="F46" s="19" t="n">
        <f aca="false">F45/B45-1</f>
        <v>-0.0842662448284254</v>
      </c>
      <c r="G46" s="19" t="n">
        <f aca="false">G45/C45-1</f>
        <v>0.147856517935258</v>
      </c>
      <c r="H46" s="19" t="n">
        <f aca="false">H45/D45-1</f>
        <v>0.415456506110712</v>
      </c>
      <c r="I46" s="19" t="n">
        <f aca="false">I45/E45-1</f>
        <v>0.518423370522607</v>
      </c>
      <c r="J46" s="19" t="n">
        <f aca="false">J45/F45-1</f>
        <v>0.572121453724005</v>
      </c>
      <c r="K46" s="19" t="n">
        <f aca="false">K45/G45-1</f>
        <v>0.285877613240418</v>
      </c>
      <c r="L46" s="19" t="n">
        <f aca="false">L45/H45-1</f>
        <v>0.335822032607039</v>
      </c>
      <c r="M46" s="19" t="n">
        <f aca="false">M45/I45-1</f>
        <v>0.282737951370426</v>
      </c>
      <c r="N46" s="19" t="n">
        <f aca="false">N45/J45-1</f>
        <v>0.459724452708985</v>
      </c>
      <c r="O46" s="19" t="n">
        <f aca="false">O45/K45-1</f>
        <v>0.193784664888437</v>
      </c>
      <c r="P46" s="19" t="n">
        <f aca="false">P45/L45-1</f>
        <v>0.329949431580548</v>
      </c>
      <c r="Q46" s="19" t="n">
        <f aca="false">Q45/M45-1</f>
        <v>0.298424781429002</v>
      </c>
      <c r="R46" s="19" t="n">
        <f aca="false">R45/N45-1</f>
        <v>0.811754487550666</v>
      </c>
      <c r="S46" s="19" t="n">
        <f aca="false">S45/O45-1</f>
        <v>2.97598950205703</v>
      </c>
      <c r="T46" s="19" t="n">
        <f aca="false">T45/P45-1</f>
        <v>-0.098528196967286</v>
      </c>
      <c r="U46" s="19" t="n">
        <f aca="false">U45/Q45-1</f>
        <v>0.112413088938313</v>
      </c>
      <c r="DI46" s="17"/>
      <c r="DJ46" s="17"/>
      <c r="DK46" s="17"/>
      <c r="DL46" s="17"/>
      <c r="DM46" s="17"/>
      <c r="DN46" s="17"/>
    </row>
    <row r="47" customFormat="false" ht="12.8" hidden="false" customHeight="false" outlineLevel="0" collapsed="false">
      <c r="A47" s="23" t="s">
        <v>162</v>
      </c>
      <c r="B47" s="23" t="n">
        <f aca="false">B41/B49</f>
        <v>1.23106883379522</v>
      </c>
      <c r="C47" s="23" t="n">
        <f aca="false">C41/C49</f>
        <v>1.2087015635622</v>
      </c>
      <c r="D47" s="23" t="n">
        <f aca="false">D41/D49</f>
        <v>1.06207528441628</v>
      </c>
      <c r="E47" s="23" t="n">
        <f aca="false">E41/E49</f>
        <v>1.05229010581602</v>
      </c>
      <c r="F47" s="23" t="n">
        <f aca="false">F41/F49</f>
        <v>1.17375029244327</v>
      </c>
      <c r="G47" s="23" t="n">
        <f aca="false">G41/G49</f>
        <v>1.43904732058916</v>
      </c>
      <c r="H47" s="23" t="n">
        <f aca="false">H41/H49</f>
        <v>1.5508034026465</v>
      </c>
      <c r="I47" s="23" t="n">
        <f aca="false">I41/I49</f>
        <v>1.64156483097921</v>
      </c>
      <c r="J47" s="23" t="n">
        <f aca="false">J41/J49</f>
        <v>1.88888001915862</v>
      </c>
      <c r="K47" s="23" t="n">
        <f aca="false">K41/K49</f>
        <v>1.89027611044418</v>
      </c>
      <c r="L47" s="23" t="n">
        <f aca="false">L41/L49</f>
        <v>2.11780336581045</v>
      </c>
      <c r="M47" s="23" t="n">
        <f aca="false">M41/M49</f>
        <v>2.14901198574668</v>
      </c>
      <c r="N47" s="23" t="n">
        <f aca="false">N41/N49</f>
        <v>2.81018631518998</v>
      </c>
      <c r="O47" s="23" t="n">
        <f aca="false">O41/O49</f>
        <v>2.31152647975078</v>
      </c>
      <c r="P47" s="23" t="n">
        <f aca="false">P41/P49</f>
        <v>2.86642628861755</v>
      </c>
      <c r="Q47" s="23" t="n">
        <f aca="false">Q41/Q49</f>
        <v>2.81771344455348</v>
      </c>
      <c r="R47" s="23" t="n">
        <f aca="false">R41/R49</f>
        <v>5.11341722503677</v>
      </c>
      <c r="S47" s="23" t="n">
        <f aca="false">S41/S49</f>
        <v>9.11471281176375</v>
      </c>
      <c r="T47" s="23" t="n">
        <f aca="false">T41/T49</f>
        <v>2.57871951245349</v>
      </c>
      <c r="U47" s="23" t="n">
        <f aca="false">U41/U49</f>
        <v>3.13446131659875</v>
      </c>
      <c r="V47" s="23"/>
      <c r="W47" s="23"/>
      <c r="X47" s="23"/>
      <c r="Y47" s="23"/>
      <c r="Z47" s="23"/>
      <c r="AA47" s="23"/>
      <c r="AB47" s="23"/>
      <c r="AC47" s="23" t="n">
        <f aca="false">AC41/AC49</f>
        <v>58.6133316254942</v>
      </c>
      <c r="AD47" s="23" t="n">
        <f aca="false">AD41/AD49</f>
        <v>112.197015083949</v>
      </c>
      <c r="AE47" s="23" t="n">
        <f aca="false">AE41/AE49</f>
        <v>4.55766234753201</v>
      </c>
      <c r="AF47" s="23" t="n">
        <f aca="false">AF41/AF49</f>
        <v>5.80092365137074</v>
      </c>
      <c r="AG47" s="23" t="n">
        <f aca="false">AG41/AG49</f>
        <v>8.04338307658318</v>
      </c>
      <c r="AH47" s="23" t="n">
        <f aca="false">AH41/AH49</f>
        <v>10.807031888798</v>
      </c>
      <c r="AI47" s="23" t="n">
        <f aca="false">AI41/AI49</f>
        <v>12.0657240598958</v>
      </c>
      <c r="AJ47" s="23" t="n">
        <f aca="false">AJ41/AJ49</f>
        <v>15.3005048099369</v>
      </c>
      <c r="AK47" s="23" t="n">
        <f aca="false">AK41/AK49</f>
        <v>18.7755674602783</v>
      </c>
      <c r="AL47" s="23" t="n">
        <f aca="false">AL41/AL49</f>
        <v>22.6580333373814</v>
      </c>
      <c r="AM47" s="23" t="n">
        <f aca="false">AM41/AM49</f>
        <v>26.923579597403</v>
      </c>
      <c r="AN47" s="24"/>
      <c r="AO47" s="24"/>
      <c r="AP47" s="24"/>
      <c r="AQ47" s="24"/>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row>
    <row r="48" s="19" customFormat="true" ht="10.5" hidden="false" customHeight="true" outlineLevel="0" collapsed="false">
      <c r="A48" s="21"/>
      <c r="B48" s="21"/>
      <c r="C48" s="21"/>
      <c r="D48" s="21"/>
      <c r="E48" s="21"/>
      <c r="F48" s="19" t="n">
        <f aca="false">F47/B47-1</f>
        <v>-0.0465599808706472</v>
      </c>
      <c r="G48" s="19" t="n">
        <f aca="false">G47/C47-1</f>
        <v>0.190572895718026</v>
      </c>
      <c r="H48" s="19" t="n">
        <f aca="false">H47/D47-1</f>
        <v>0.460163347552929</v>
      </c>
      <c r="I48" s="19" t="n">
        <f aca="false">I47/E47-1</f>
        <v>0.559992650226646</v>
      </c>
      <c r="J48" s="19" t="n">
        <f aca="false">J47/F47-1</f>
        <v>0.609269050938207</v>
      </c>
      <c r="K48" s="19" t="n">
        <f aca="false">K47/G47-1</f>
        <v>0.313560772741152</v>
      </c>
      <c r="L48" s="19" t="n">
        <f aca="false">L47/H47-1</f>
        <v>0.365616919718091</v>
      </c>
      <c r="M48" s="19" t="n">
        <f aca="false">M47/I47-1</f>
        <v>0.309124041396996</v>
      </c>
      <c r="N48" s="19" t="n">
        <f aca="false">N47/J47-1</f>
        <v>0.487752682376166</v>
      </c>
      <c r="O48" s="19" t="n">
        <f aca="false">O47/K47-1</f>
        <v>0.222851236906134</v>
      </c>
      <c r="P48" s="19" t="n">
        <f aca="false">P47/L47-1</f>
        <v>0.353490288519121</v>
      </c>
      <c r="Q48" s="19" t="n">
        <f aca="false">Q47/M47-1</f>
        <v>0.311166928449895</v>
      </c>
      <c r="R48" s="19" t="n">
        <f aca="false">R47/N47-1</f>
        <v>0.819600784971828</v>
      </c>
      <c r="S48" s="19" t="n">
        <f aca="false">S47/O47-1</f>
        <v>2.94315742934793</v>
      </c>
      <c r="T48" s="19" t="n">
        <f aca="false">T47/P47-1</f>
        <v>-0.100371245305184</v>
      </c>
      <c r="U48" s="19" t="n">
        <f aca="false">U47/Q47-1</f>
        <v>0.112413088938313</v>
      </c>
      <c r="V48" s="21"/>
      <c r="W48" s="21"/>
      <c r="X48" s="21"/>
      <c r="Y48" s="21"/>
      <c r="Z48" s="21"/>
      <c r="AA48" s="21"/>
      <c r="AB48" s="21"/>
      <c r="AC48" s="21"/>
      <c r="AD48" s="19" t="n">
        <f aca="false">+AD47/AC47-1</f>
        <v>0.914189348607993</v>
      </c>
      <c r="AE48" s="19" t="n">
        <f aca="false">+AE47/AD47-1</f>
        <v>-0.959378042774829</v>
      </c>
      <c r="AF48" s="19" t="n">
        <f aca="false">+AF47/AE47-1</f>
        <v>0.272784864045919</v>
      </c>
      <c r="AG48" s="19" t="n">
        <f aca="false">+AG47/AF47-1</f>
        <v>0.386569374117268</v>
      </c>
      <c r="AH48" s="19" t="n">
        <f aca="false">+AH47/AG47-1</f>
        <v>0.343592837230482</v>
      </c>
      <c r="AI48" s="19" t="n">
        <f aca="false">+AI47/AH47-1</f>
        <v>0.116469737856743</v>
      </c>
      <c r="AJ48" s="19" t="n">
        <f aca="false">+AJ47/AI47-1</f>
        <v>0.268096695563669</v>
      </c>
      <c r="AK48" s="19" t="n">
        <f aca="false">+AK47/AJ47-1</f>
        <v>0.227120784151155</v>
      </c>
      <c r="AL48" s="19" t="n">
        <f aca="false">+AL47/AK47-1</f>
        <v>0.206782878084348</v>
      </c>
      <c r="AM48" s="19" t="n">
        <f aca="false">+AM47/AL47-1</f>
        <v>0.188257568364693</v>
      </c>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17"/>
      <c r="DJ48" s="17"/>
      <c r="DK48" s="17"/>
      <c r="DL48" s="17"/>
      <c r="DM48" s="17"/>
      <c r="DN48" s="17"/>
    </row>
    <row r="49" s="25" customFormat="true" ht="12.8" hidden="false" customHeight="false" outlineLevel="0" collapsed="false">
      <c r="A49" s="3" t="s">
        <v>163</v>
      </c>
      <c r="B49" s="3" t="n">
        <v>13351</v>
      </c>
      <c r="C49" s="3" t="n">
        <v>13239</v>
      </c>
      <c r="D49" s="3" t="n">
        <v>13097</v>
      </c>
      <c r="E49" s="3" t="n">
        <v>12947</v>
      </c>
      <c r="F49" s="3" t="n">
        <v>12823</v>
      </c>
      <c r="G49" s="3" t="n">
        <v>12764</v>
      </c>
      <c r="H49" s="3" t="n">
        <v>12696</v>
      </c>
      <c r="I49" s="3" t="n">
        <v>12602</v>
      </c>
      <c r="J49" s="3" t="n">
        <v>12527</v>
      </c>
      <c r="K49" s="3" t="n">
        <v>12495</v>
      </c>
      <c r="L49" s="3" t="n">
        <v>12419</v>
      </c>
      <c r="M49" s="3" t="n">
        <v>12348</v>
      </c>
      <c r="N49" s="3" t="n">
        <v>12291</v>
      </c>
      <c r="O49" s="3" t="n">
        <v>12198</v>
      </c>
      <c r="P49" s="3" t="n">
        <v>12203</v>
      </c>
      <c r="Q49" s="3" t="n">
        <v>12228</v>
      </c>
      <c r="R49" s="3" t="n">
        <v>12238</v>
      </c>
      <c r="S49" s="3" t="n">
        <v>12309</v>
      </c>
      <c r="T49" s="3" t="n">
        <v>12228</v>
      </c>
      <c r="U49" s="3" t="n">
        <v>12228</v>
      </c>
      <c r="V49" s="3"/>
      <c r="W49" s="3"/>
      <c r="X49" s="3"/>
      <c r="Y49" s="3"/>
      <c r="Z49" s="3"/>
      <c r="AA49" s="3"/>
      <c r="AB49" s="3"/>
      <c r="AC49" s="3" t="n">
        <v>687.028</v>
      </c>
      <c r="AD49" s="3" t="n">
        <v>677.674</v>
      </c>
      <c r="AE49" s="3" t="n">
        <f aca="false">AVERAGE(B49:E49)</f>
        <v>13158.5</v>
      </c>
      <c r="AF49" s="3" t="n">
        <f aca="false">AVERAGE(F49:I49)</f>
        <v>12721.25</v>
      </c>
      <c r="AG49" s="3" t="n">
        <f aca="false">AVERAGE(J49:M49)</f>
        <v>12447.25</v>
      </c>
      <c r="AH49" s="3" t="n">
        <f aca="false">AVERAGE(N49:Q49)</f>
        <v>12230</v>
      </c>
      <c r="AI49" s="3" t="n">
        <f aca="false">+AH49*0.99</f>
        <v>12107.7</v>
      </c>
      <c r="AJ49" s="3" t="n">
        <f aca="false">+AI49*0.99</f>
        <v>11986.623</v>
      </c>
      <c r="AK49" s="3" t="n">
        <f aca="false">+AJ49*0.99</f>
        <v>11866.75677</v>
      </c>
      <c r="AL49" s="3" t="n">
        <f aca="false">+AK49*0.99</f>
        <v>11748.0892023</v>
      </c>
      <c r="AM49" s="3" t="n">
        <f aca="false">+AL49*0.99</f>
        <v>11630.608310277</v>
      </c>
      <c r="AN49" s="1"/>
      <c r="AO49" s="1"/>
      <c r="AP49" s="1"/>
      <c r="AQ49" s="1"/>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17"/>
      <c r="DJ49" s="17"/>
      <c r="DK49" s="17"/>
      <c r="DL49" s="17"/>
      <c r="DM49" s="17"/>
      <c r="DN49" s="17"/>
    </row>
    <row r="50" s="21" customFormat="true" ht="10.5" hidden="false" customHeight="true" outlineLevel="0" collapsed="false">
      <c r="A50" s="19"/>
      <c r="B50" s="19"/>
      <c r="C50" s="19"/>
      <c r="D50" s="19"/>
      <c r="E50" s="19"/>
      <c r="F50" s="19" t="n">
        <f aca="false">F49/B49-1</f>
        <v>-0.0395475994307543</v>
      </c>
      <c r="G50" s="19" t="n">
        <f aca="false">G49/C49-1</f>
        <v>-0.0358788428129013</v>
      </c>
      <c r="H50" s="19" t="n">
        <f aca="false">H49/D49-1</f>
        <v>-0.0306176987096282</v>
      </c>
      <c r="I50" s="19" t="n">
        <f aca="false">I49/E49-1</f>
        <v>-0.0266470997142195</v>
      </c>
      <c r="J50" s="19" t="n">
        <f aca="false">J49/F49-1</f>
        <v>-0.0230835217967714</v>
      </c>
      <c r="K50" s="19" t="n">
        <f aca="false">K49/G49-1</f>
        <v>-0.0210748981510498</v>
      </c>
      <c r="L50" s="19" t="n">
        <f aca="false">L49/H49-1</f>
        <v>-0.021817895400126</v>
      </c>
      <c r="M50" s="19" t="n">
        <f aca="false">M49/I49-1</f>
        <v>-0.0201555308681162</v>
      </c>
      <c r="N50" s="19" t="n">
        <f aca="false">N49/J49-1</f>
        <v>-0.0188393070966711</v>
      </c>
      <c r="O50" s="19" t="n">
        <f aca="false">O49/K49-1</f>
        <v>-0.0237695078031213</v>
      </c>
      <c r="P50" s="19" t="n">
        <f aca="false">P49/L49-1</f>
        <v>-0.0173927047266286</v>
      </c>
      <c r="Q50" s="19" t="n">
        <f aca="false">Q49/M49-1</f>
        <v>-0.0097181729834791</v>
      </c>
      <c r="R50" s="19" t="n">
        <f aca="false">R49/N49-1</f>
        <v>-0.00431209828329671</v>
      </c>
      <c r="S50" s="19" t="n">
        <f aca="false">S49/O49-1</f>
        <v>0.00909985243482536</v>
      </c>
      <c r="T50" s="19" t="n">
        <f aca="false">T49/P49-1</f>
        <v>0.00204867655494545</v>
      </c>
      <c r="U50" s="19" t="n">
        <f aca="false">U49/Q49-1</f>
        <v>0</v>
      </c>
      <c r="V50" s="19"/>
      <c r="W50" s="19"/>
      <c r="X50" s="19"/>
      <c r="Y50" s="19"/>
      <c r="Z50" s="19"/>
      <c r="AA50" s="19"/>
      <c r="AB50" s="19"/>
      <c r="AC50" s="19"/>
      <c r="AD50" s="19" t="n">
        <f aca="false">+AD49/AC49-1</f>
        <v>-0.0136151656118819</v>
      </c>
      <c r="AE50" s="19" t="n">
        <f aca="false">+AE49/AD49-1</f>
        <v>18.417153380534</v>
      </c>
      <c r="AF50" s="19" t="n">
        <f aca="false">+AF49/AE49-1</f>
        <v>-0.0332294714443135</v>
      </c>
      <c r="AG50" s="19" t="n">
        <f aca="false">+AG49/AF49-1</f>
        <v>-0.0215387638793357</v>
      </c>
      <c r="AH50" s="19" t="n">
        <f aca="false">+AH49/AG49-1</f>
        <v>-0.0174536544216594</v>
      </c>
      <c r="AI50" s="19" t="n">
        <f aca="false">+AI49/AH49-1</f>
        <v>-0.0099999999999999</v>
      </c>
      <c r="AJ50" s="19" t="n">
        <f aca="false">+AJ49/AI49-1</f>
        <v>-0.0099999999999999</v>
      </c>
      <c r="AK50" s="19" t="n">
        <f aca="false">+AK49/AJ49-1</f>
        <v>-0.01</v>
      </c>
      <c r="AL50" s="19" t="n">
        <f aca="false">+AL49/AK49-1</f>
        <v>-0.01</v>
      </c>
      <c r="AM50" s="19" t="n">
        <f aca="false">+AM49/AL49-1</f>
        <v>-0.01</v>
      </c>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7"/>
      <c r="DJ50" s="17"/>
      <c r="DK50" s="17"/>
      <c r="DL50" s="17"/>
      <c r="DM50" s="17"/>
      <c r="DN50" s="17"/>
    </row>
    <row r="51" s="25" customFormat="true" ht="12.8"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1"/>
      <c r="AO51" s="1"/>
      <c r="AP51" s="1"/>
      <c r="AQ51" s="1"/>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17"/>
      <c r="DJ51" s="17"/>
      <c r="DK51" s="17"/>
      <c r="DL51" s="17"/>
      <c r="DM51" s="17"/>
      <c r="DN51" s="17"/>
    </row>
    <row r="52" s="28" customFormat="true" ht="12.8" hidden="false" customHeight="false" outlineLevel="0" collapsed="false">
      <c r="A52" s="26" t="s">
        <v>164</v>
      </c>
      <c r="B52" s="26"/>
      <c r="C52" s="26"/>
      <c r="D52" s="26"/>
      <c r="E52" s="26"/>
      <c r="F52" s="26"/>
      <c r="G52" s="26"/>
      <c r="H52" s="26"/>
      <c r="I52" s="26"/>
      <c r="J52" s="26"/>
      <c r="K52" s="26"/>
      <c r="L52" s="26"/>
      <c r="M52" s="26"/>
      <c r="N52" s="26"/>
      <c r="O52" s="26"/>
      <c r="P52" s="26"/>
      <c r="Q52" s="26"/>
      <c r="R52" s="26"/>
      <c r="S52" s="26" t="n">
        <f aca="false">+S43/835</f>
        <v>0.102994011976048</v>
      </c>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7"/>
      <c r="DJ52" s="27"/>
      <c r="DK52" s="27"/>
      <c r="DL52" s="27"/>
      <c r="DM52" s="27"/>
      <c r="DN52" s="27"/>
    </row>
    <row r="53" s="25" customFormat="true" ht="12.8"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1"/>
      <c r="AO53" s="1"/>
      <c r="AP53" s="1"/>
      <c r="AQ53" s="1"/>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17"/>
      <c r="DJ53" s="17"/>
      <c r="DK53" s="17"/>
      <c r="DL53" s="17"/>
      <c r="DM53" s="17"/>
      <c r="DN53" s="17"/>
    </row>
    <row r="54" s="29" customFormat="true" ht="12.8"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1"/>
      <c r="AO54" s="1"/>
      <c r="AP54" s="1"/>
      <c r="AQ54" s="1"/>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17"/>
      <c r="DJ54" s="17"/>
      <c r="DK54" s="17"/>
      <c r="DL54" s="17"/>
      <c r="DM54" s="17"/>
      <c r="DN54" s="17"/>
    </row>
    <row r="55" s="30" customFormat="true" ht="12.8" hidden="false" customHeight="false" outlineLevel="0" collapsed="false">
      <c r="A55" s="30" t="s">
        <v>165</v>
      </c>
      <c r="F55" s="30" t="n">
        <f aca="false">+F19/B19-1</f>
        <v>0.0261134228286601</v>
      </c>
      <c r="G55" s="30" t="n">
        <f aca="false">+G19/C19-1</f>
        <v>0.0705890794288584</v>
      </c>
      <c r="H55" s="30" t="n">
        <f aca="false">+H19/D19-1</f>
        <v>0.110012736641</v>
      </c>
      <c r="I55" s="30" t="n">
        <f aca="false">+I19/E19-1</f>
        <v>0.134941089837997</v>
      </c>
      <c r="J55" s="30" t="n">
        <f aca="false">+J19/F19-1</f>
        <v>0.154068809377105</v>
      </c>
      <c r="K55" s="30" t="n">
        <f aca="false">+K19/G19-1</f>
        <v>0.135890836952442</v>
      </c>
      <c r="L55" s="30" t="n">
        <f aca="false">+L19/H19-1</f>
        <v>0.150926420924987</v>
      </c>
      <c r="M55" s="30" t="n">
        <f aca="false">+M19/I19-1</f>
        <v>0.11770362646275</v>
      </c>
      <c r="N55" s="30" t="n">
        <f aca="false">+N19/J19-1</f>
        <v>0.120376463576652</v>
      </c>
      <c r="O55" s="30" t="n">
        <f aca="false">+O19/K19-1</f>
        <v>0.137900922800972</v>
      </c>
      <c r="P55" s="30" t="n">
        <f aca="false">+P19/L19-1</f>
        <v>0.159491548466035</v>
      </c>
      <c r="Q55" s="30" t="n">
        <f aca="false">+Q19/M19-1</f>
        <v>0.179943816148193</v>
      </c>
      <c r="R55" s="30" t="n">
        <f aca="false">+R19/N19-1</f>
        <v>0.217900126338187</v>
      </c>
      <c r="S55" s="30" t="n">
        <f aca="false">+S19/O19-1</f>
        <v>0.242336250881487</v>
      </c>
      <c r="T55" s="30" t="n">
        <f aca="false">+T19/P19-1</f>
        <v>0.17</v>
      </c>
      <c r="U55" s="30" t="n">
        <f aca="false">+U19/Q19-1</f>
        <v>0.16</v>
      </c>
      <c r="AD55" s="30" t="n">
        <f aca="false">+AD19/AC19-1</f>
        <v>0.411500764270492</v>
      </c>
      <c r="AE55" s="30" t="n">
        <f aca="false">+AE19/AD19-1</f>
        <v>0.0978081564371578</v>
      </c>
      <c r="AF55" s="30" t="n">
        <f aca="false">+AF19/AE19-1</f>
        <v>0.0868277022726951</v>
      </c>
      <c r="AG55" s="30" t="n">
        <f aca="false">+AG19/AF19-1</f>
        <v>0.138662433229016</v>
      </c>
      <c r="AH55" s="30" t="n">
        <f aca="false">+AH19/AG19-1</f>
        <v>0.150900810815444</v>
      </c>
      <c r="AI55" s="30" t="n">
        <f aca="false">+AI19/AH19-1</f>
        <v>0.2</v>
      </c>
      <c r="AJ55" s="30" t="n">
        <f aca="false">+AJ19/AI19-1</f>
        <v>0.18</v>
      </c>
      <c r="AK55" s="30" t="n">
        <f aca="false">+AK19/AJ19-1</f>
        <v>0.16</v>
      </c>
      <c r="AL55" s="30" t="n">
        <f aca="false">+AL19/AK19-1</f>
        <v>0.15</v>
      </c>
      <c r="AM55" s="30" t="n">
        <f aca="false">+AM19/AL19-1</f>
        <v>0.14</v>
      </c>
      <c r="DI55" s="24"/>
      <c r="DJ55" s="24"/>
      <c r="DK55" s="24"/>
      <c r="DL55" s="24"/>
      <c r="DM55" s="24"/>
      <c r="DN55" s="24"/>
    </row>
    <row r="56" s="29" customFormat="true" ht="12.8" hidden="false" customHeight="false" outlineLevel="0" collapsed="false">
      <c r="A56" s="29" t="s">
        <v>150</v>
      </c>
      <c r="B56" s="29" t="n">
        <f aca="false">+B23/B19</f>
        <v>0.564790989692844</v>
      </c>
      <c r="C56" s="29" t="n">
        <f aca="false">+C23/C19</f>
        <v>0.567998851976753</v>
      </c>
      <c r="D56" s="29" t="n">
        <f aca="false">+D23/D19</f>
        <v>0.54903606785156</v>
      </c>
      <c r="E56" s="29" t="n">
        <f aca="false">+E23/E19</f>
        <v>0.535267199663371</v>
      </c>
      <c r="F56" s="29" t="n">
        <f aca="false">+F23/F19</f>
        <v>0.561350967945319</v>
      </c>
      <c r="G56" s="29" t="n">
        <f aca="false">+G23/G19</f>
        <v>0.572194520401051</v>
      </c>
      <c r="H56" s="29" t="n">
        <f aca="false">+H23/H19</f>
        <v>0.566727080698369</v>
      </c>
      <c r="I56" s="29" t="n">
        <f aca="false">+I23/I19</f>
        <v>0.564650677789364</v>
      </c>
      <c r="J56" s="29" t="n">
        <f aca="false">+J23/J19</f>
        <v>0.581420181526962</v>
      </c>
      <c r="K56" s="29" t="n">
        <f aca="false">+K23/K19</f>
        <v>0.580998796346558</v>
      </c>
      <c r="L56" s="29" t="n">
        <f aca="false">+L23/L19</f>
        <v>0.586781166447637</v>
      </c>
      <c r="M56" s="29" t="n">
        <f aca="false">+M23/M19</f>
        <v>0.579004654344919</v>
      </c>
      <c r="N56" s="29" t="n">
        <f aca="false">+N23/N19</f>
        <v>0.597036593745152</v>
      </c>
      <c r="O56" s="29" t="n">
        <f aca="false">+O23/O19</f>
        <v>0.595148711992367</v>
      </c>
      <c r="P56" s="29" t="n">
        <f aca="false">+P23/P19</f>
        <v>0.595792703183319</v>
      </c>
      <c r="Q56" s="29" t="n">
        <f aca="false">+Q23/Q19</f>
        <v>0.597937238640756</v>
      </c>
      <c r="R56" s="29" t="n">
        <f aca="false">+R23/R19</f>
        <v>0.624454029264032</v>
      </c>
      <c r="S56" s="29" t="n">
        <f aca="false">+S23/S19</f>
        <v>0.616489699155231</v>
      </c>
      <c r="T56" s="29" t="n">
        <f aca="false">+T23/T19</f>
        <v>0.61</v>
      </c>
      <c r="U56" s="29" t="n">
        <f aca="false">+U23/U19</f>
        <v>0.61</v>
      </c>
      <c r="AC56" s="29" t="n">
        <f aca="false">AC23/AC19</f>
        <v>0.535783747062079</v>
      </c>
      <c r="AD56" s="29" t="n">
        <f aca="false">AD23/AD19</f>
        <v>0.569398029009808</v>
      </c>
      <c r="AE56" s="29" t="n">
        <f aca="false">AE23/AE19</f>
        <v>0.553794425037831</v>
      </c>
      <c r="AF56" s="29" t="n">
        <f aca="false">AF23/AF19</f>
        <v>0.566250479840205</v>
      </c>
      <c r="AG56" s="29" t="n">
        <f aca="false">AG23/AG19</f>
        <v>0.582004354061791</v>
      </c>
      <c r="AH56" s="29" t="n">
        <f aca="false">AH23/AH19</f>
        <v>0.5965231508604</v>
      </c>
      <c r="AI56" s="29" t="n">
        <f aca="false">AI23/AI19</f>
        <v>0.61</v>
      </c>
      <c r="AJ56" s="29" t="n">
        <f aca="false">AJ23/AJ19</f>
        <v>0.615</v>
      </c>
      <c r="AK56" s="29" t="n">
        <f aca="false">AK23/AK19</f>
        <v>0.62</v>
      </c>
      <c r="AL56" s="29" t="n">
        <f aca="false">AL23/AL19</f>
        <v>0.625</v>
      </c>
      <c r="AM56" s="29" t="n">
        <f aca="false">AM23/AM19</f>
        <v>0.63</v>
      </c>
      <c r="DI56" s="17"/>
      <c r="DJ56" s="17"/>
      <c r="DK56" s="17"/>
      <c r="DL56" s="17"/>
      <c r="DM56" s="17"/>
      <c r="DN56" s="17"/>
    </row>
    <row r="57" s="29" customFormat="true" ht="12.8" hidden="false" customHeight="false" outlineLevel="0" collapsed="false">
      <c r="A57" s="29" t="s">
        <v>166</v>
      </c>
      <c r="B57" s="29" t="n">
        <f aca="false">+B33/B19</f>
        <v>0.295452206260752</v>
      </c>
      <c r="C57" s="29" t="n">
        <f aca="false">+C33/C19</f>
        <v>0.279156202913109</v>
      </c>
      <c r="D57" s="29" t="n">
        <f aca="false">+D33/D19</f>
        <v>0.248002663115846</v>
      </c>
      <c r="E57" s="29" t="n">
        <f aca="false">+E33/E19</f>
        <v>0.238796549547654</v>
      </c>
      <c r="F57" s="29" t="n">
        <f aca="false">+F33/F19</f>
        <v>0.249545044205941</v>
      </c>
      <c r="G57" s="29" t="n">
        <f aca="false">+G33/G19</f>
        <v>0.29271888906761</v>
      </c>
      <c r="H57" s="29" t="n">
        <f aca="false">+H33/H19</f>
        <v>0.278291369486133</v>
      </c>
      <c r="I57" s="29" t="n">
        <f aca="false">+I33/I19</f>
        <v>0.274556830031283</v>
      </c>
      <c r="J57" s="29" t="n">
        <f aca="false">+J33/J19</f>
        <v>0.316269136691541</v>
      </c>
      <c r="K57" s="29" t="n">
        <f aca="false">+K33/K19</f>
        <v>0.32362936914399</v>
      </c>
      <c r="L57" s="29" t="n">
        <f aca="false">+L33/L19</f>
        <v>0.323118230842434</v>
      </c>
      <c r="M57" s="29" t="n">
        <f aca="false">+M33/M19</f>
        <v>0.321056505198561</v>
      </c>
      <c r="N57" s="29" t="n">
        <f aca="false">+N33/N19</f>
        <v>0.339184786222488</v>
      </c>
      <c r="O57" s="29" t="n">
        <f aca="false">+O33/O19</f>
        <v>0.324293773592732</v>
      </c>
      <c r="P57" s="29" t="n">
        <f aca="false">+P33/P19</f>
        <v>0.305121841596154</v>
      </c>
      <c r="Q57" s="29" t="n">
        <f aca="false">+Q33/Q19</f>
        <v>0.315686825737077</v>
      </c>
      <c r="R57" s="29" t="n">
        <f aca="false">+R33/R19</f>
        <v>0.361214238916794</v>
      </c>
      <c r="S57" s="29" t="n">
        <f aca="false">+S33/S19</f>
        <v>0.340328558549534</v>
      </c>
      <c r="T57" s="29" t="n">
        <f aca="false">+T33/T19</f>
        <v>0.306092908236031</v>
      </c>
      <c r="U57" s="29" t="n">
        <f aca="false">+U33/U19</f>
        <v>0.306832138144302</v>
      </c>
      <c r="AC57" s="29" t="n">
        <f aca="false">+AC33/AC19</f>
        <v>0.225851517857632</v>
      </c>
      <c r="AD57" s="29" t="n">
        <f aca="false">+AD33/AD19</f>
        <v>0.305522886852432</v>
      </c>
      <c r="AE57" s="29" t="n">
        <f aca="false">+AE33/AE19</f>
        <v>0.26461270842467</v>
      </c>
      <c r="AF57" s="29" t="n">
        <f aca="false">+AF33/AF19</f>
        <v>0.274218104452266</v>
      </c>
      <c r="AG57" s="29" t="n">
        <f aca="false">+AG33/AG19</f>
        <v>0.321097772114577</v>
      </c>
      <c r="AH57" s="29" t="n">
        <f aca="false">+AH33/AH19</f>
        <v>0.3203263859238</v>
      </c>
      <c r="AI57" s="29" t="n">
        <f aca="false">+AI33/AI19</f>
        <v>0.35221635272584</v>
      </c>
      <c r="AJ57" s="29" t="n">
        <f aca="false">+AJ33/AJ19</f>
        <v>0.370323995807577</v>
      </c>
      <c r="AK57" s="29" t="n">
        <f aca="false">+AK33/AK19</f>
        <v>0.383761099400419</v>
      </c>
      <c r="AL57" s="29" t="n">
        <f aca="false">+AL33/AL19</f>
        <v>0.394923853329104</v>
      </c>
      <c r="AM57" s="29" t="n">
        <f aca="false">+AM33/AM19</f>
        <v>0.403960276954909</v>
      </c>
      <c r="AP57" s="31" t="s">
        <v>167</v>
      </c>
      <c r="AQ57" s="32" t="n">
        <v>0.02</v>
      </c>
      <c r="DI57" s="17"/>
      <c r="DJ57" s="17"/>
      <c r="DK57" s="17"/>
      <c r="DL57" s="17"/>
      <c r="DM57" s="17"/>
      <c r="DN57" s="17"/>
    </row>
    <row r="58" s="29" customFormat="true" ht="12.8" hidden="false" customHeight="false" outlineLevel="0" collapsed="false">
      <c r="A58" s="29" t="s">
        <v>168</v>
      </c>
      <c r="B58" s="29" t="n">
        <f aca="false">+B41/B19</f>
        <v>0.241666789195865</v>
      </c>
      <c r="C58" s="29" t="n">
        <f aca="false">+C41/C19</f>
        <v>0.229633350075339</v>
      </c>
      <c r="D58" s="29" t="n">
        <f aca="false">+D41/D19</f>
        <v>0.201325768540497</v>
      </c>
      <c r="E58" s="29" t="n">
        <f aca="false">+E41/E19</f>
        <v>0.179150010519672</v>
      </c>
      <c r="F58" s="29" t="n">
        <f aca="false">+F41/F19</f>
        <v>0.215670540358519</v>
      </c>
      <c r="G58" s="29" t="n">
        <f aca="false">+G41/G19</f>
        <v>0.246206637713796</v>
      </c>
      <c r="H58" s="29" t="n">
        <f aca="false">+H41/H19</f>
        <v>0.256724864068429</v>
      </c>
      <c r="I58" s="29" t="n">
        <f aca="false">+I41/I19</f>
        <v>0.23968253968254</v>
      </c>
      <c r="J58" s="29" t="n">
        <f aca="false">+J41/J19</f>
        <v>0.293795552465265</v>
      </c>
      <c r="K58" s="29" t="n">
        <f aca="false">+K41/K19</f>
        <v>0.278716575015931</v>
      </c>
      <c r="L58" s="29" t="n">
        <f aca="false">+L41/L19</f>
        <v>0.297967553360221</v>
      </c>
      <c r="M58" s="29" t="n">
        <f aca="false">+M41/M19</f>
        <v>0.275072821320839</v>
      </c>
      <c r="N58" s="29" t="n">
        <f aca="false">+N41/N19</f>
        <v>0.382782543165547</v>
      </c>
      <c r="O58" s="29" t="n">
        <f aca="false">+O41/O19</f>
        <v>0.29240469573153</v>
      </c>
      <c r="P58" s="29" t="n">
        <f aca="false">+P41/P19</f>
        <v>0.341772028218006</v>
      </c>
      <c r="Q58" s="29" t="n">
        <f aca="false">+Q41/Q19</f>
        <v>0.302693537618161</v>
      </c>
      <c r="R58" s="29" t="n">
        <f aca="false">+R41/R19</f>
        <v>0.569429278590668</v>
      </c>
      <c r="S58" s="29" t="n">
        <f aca="false">+S41/S19</f>
        <v>0.936533774082607</v>
      </c>
      <c r="T58" s="29" t="n">
        <f aca="false">+T41/T19</f>
        <v>0.263331492738319</v>
      </c>
      <c r="U58" s="29" t="n">
        <f aca="false">+U41/U19</f>
        <v>0.290276080330589</v>
      </c>
      <c r="AC58" s="29" t="n">
        <f aca="false">+AC41/AC19</f>
        <v>0.220619415209805</v>
      </c>
      <c r="AD58" s="29" t="n">
        <f aca="false">+AD41/AD19</f>
        <v>0.295116772823779</v>
      </c>
      <c r="AE58" s="29" t="n">
        <f aca="false">+AE41/AE19</f>
        <v>0.21203807153262</v>
      </c>
      <c r="AF58" s="29" t="n">
        <f aca="false">+AF41/AF19</f>
        <v>0.240066494466385</v>
      </c>
      <c r="AG58" s="29" t="n">
        <f aca="false">+AG41/AG19</f>
        <v>0.28603671811164</v>
      </c>
      <c r="AH58" s="29" t="n">
        <f aca="false">+AH41/AH19</f>
        <v>0.328098779652265</v>
      </c>
      <c r="AI58" s="29" t="n">
        <f aca="false">+AI41/AI19</f>
        <v>0.302207695770322</v>
      </c>
      <c r="AJ58" s="29" t="n">
        <f aca="false">+AJ41/AJ19</f>
        <v>0.321522283539367</v>
      </c>
      <c r="AK58" s="29" t="n">
        <f aca="false">+AK41/AK19</f>
        <v>0.336725180975784</v>
      </c>
      <c r="AL58" s="29" t="n">
        <f aca="false">+AL41/AL19</f>
        <v>0.349817948861926</v>
      </c>
      <c r="AM58" s="29" t="n">
        <f aca="false">+AM41/AM19</f>
        <v>0.360979900905392</v>
      </c>
      <c r="AP58" s="33" t="s">
        <v>169</v>
      </c>
      <c r="AQ58" s="34" t="n">
        <f aca="false">+Main!E18</f>
        <v>0.109460489536139</v>
      </c>
      <c r="DI58" s="17"/>
      <c r="DJ58" s="17"/>
      <c r="DK58" s="17"/>
      <c r="DL58" s="17"/>
      <c r="DM58" s="17"/>
      <c r="DN58" s="17"/>
    </row>
    <row r="59" s="37" customFormat="true" ht="12.8" hidden="false" customHeight="false" outlineLevel="0" collapsed="false">
      <c r="A59" s="29" t="s">
        <v>170</v>
      </c>
      <c r="B59" s="29" t="n">
        <f aca="false">B39/B37</f>
        <v>0.13193197422626</v>
      </c>
      <c r="C59" s="29" t="n">
        <f aca="false">C39/C37</f>
        <v>0.158409592931524</v>
      </c>
      <c r="D59" s="29" t="n">
        <f aca="false">D39/D37</f>
        <v>0.143103554487772</v>
      </c>
      <c r="E59" s="29" t="n">
        <f aca="false">E39/E37</f>
        <v>0.205458680818802</v>
      </c>
      <c r="F59" s="29" t="n">
        <f aca="false">F39/F37</f>
        <v>0.17324910738808</v>
      </c>
      <c r="G59" s="29" t="n">
        <f aca="false">G39/G37</f>
        <v>0.161393416426973</v>
      </c>
      <c r="H59" s="29" t="n">
        <f aca="false">H39/H37</f>
        <v>0.0711421427560504</v>
      </c>
      <c r="I59" s="29" t="n">
        <f aca="false">I39/I37</f>
        <v>0.152588890709487</v>
      </c>
      <c r="J59" s="29" t="n">
        <f aca="false">J39/J37</f>
        <v>0.164329860497969</v>
      </c>
      <c r="K59" s="29" t="n">
        <f aca="false">K39/K37</f>
        <v>0.142717142753439</v>
      </c>
      <c r="L59" s="29" t="n">
        <f aca="false">L39/L37</f>
        <v>0.170472465779348</v>
      </c>
      <c r="M59" s="29" t="n">
        <f aca="false">M39/M37</f>
        <v>0.176999658840679</v>
      </c>
      <c r="N59" s="29" t="n">
        <f aca="false">N39/N37</f>
        <v>0.173466701763622</v>
      </c>
      <c r="O59" s="29" t="n">
        <f aca="false">O39/O37</f>
        <v>0.169068458432794</v>
      </c>
      <c r="P59" s="29" t="n">
        <f aca="false">P39/P37</f>
        <v>0.204787778207198</v>
      </c>
      <c r="Q59" s="29" t="n">
        <f aca="false">Q39/Q37</f>
        <v>0.119180918782115</v>
      </c>
      <c r="R59" s="29" t="n">
        <f aca="false">R39/R37</f>
        <v>0.191624037616907</v>
      </c>
      <c r="S59" s="29" t="n">
        <f aca="false">S39/S37</f>
        <v>0.19141928462808</v>
      </c>
      <c r="T59" s="29" t="n">
        <f aca="false">T39/T37</f>
        <v>0.204787778207198</v>
      </c>
      <c r="U59" s="29" t="n">
        <f aca="false">U39/U37</f>
        <v>0.119180918782115</v>
      </c>
      <c r="V59" s="29"/>
      <c r="W59" s="29"/>
      <c r="X59" s="29"/>
      <c r="Y59" s="29"/>
      <c r="Z59" s="29"/>
      <c r="AA59" s="29"/>
      <c r="AB59" s="29"/>
      <c r="AC59" s="29" t="n">
        <f aca="false">AC39/AC37</f>
        <v>0.162493240713781</v>
      </c>
      <c r="AD59" s="29" t="n">
        <f aca="false">AD39/AD37</f>
        <v>0.162023056406639</v>
      </c>
      <c r="AE59" s="29" t="n">
        <f aca="false">AE39/AE37</f>
        <v>0.159208165096456</v>
      </c>
      <c r="AF59" s="29" t="n">
        <f aca="false">AF39/AF37</f>
        <v>0.139085595622805</v>
      </c>
      <c r="AG59" s="29" t="n">
        <f aca="false">AG39/AG37</f>
        <v>0.16439510912657</v>
      </c>
      <c r="AH59" s="29" t="n">
        <f aca="false">AH39/AH37</f>
        <v>0.167831463362422</v>
      </c>
      <c r="AI59" s="29" t="n">
        <f aca="false">AI39/AI37</f>
        <v>0.15</v>
      </c>
      <c r="AJ59" s="29" t="n">
        <f aca="false">AJ39/AJ37</f>
        <v>0.15</v>
      </c>
      <c r="AK59" s="29" t="n">
        <f aca="false">AK39/AK37</f>
        <v>0.15</v>
      </c>
      <c r="AL59" s="29" t="n">
        <f aca="false">AL39/AL37</f>
        <v>0.15</v>
      </c>
      <c r="AM59" s="29" t="n">
        <f aca="false">AM39/AM37</f>
        <v>0.15</v>
      </c>
      <c r="AN59" s="29"/>
      <c r="AO59" s="29"/>
      <c r="AP59" s="35" t="s">
        <v>171</v>
      </c>
      <c r="AQ59" s="36" t="n">
        <v>0.02</v>
      </c>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29"/>
      <c r="DG59" s="29"/>
      <c r="DH59" s="29"/>
      <c r="DI59" s="17"/>
      <c r="DJ59" s="17"/>
      <c r="DK59" s="17"/>
      <c r="DL59" s="17"/>
      <c r="DM59" s="17"/>
      <c r="DN59" s="17"/>
    </row>
    <row r="60" s="37" customFormat="true" ht="12.8" hidden="false" customHeight="false" outlineLevel="0" collapsed="false">
      <c r="A60" s="37" t="s">
        <v>172</v>
      </c>
      <c r="F60" s="37" t="n">
        <f aca="false">+F20+F57</f>
        <v>0.249545044205941</v>
      </c>
      <c r="G60" s="37" t="n">
        <f aca="false">+G20+G57</f>
        <v>0.29271888906761</v>
      </c>
      <c r="H60" s="37" t="n">
        <f aca="false">+H20+H57</f>
        <v>0.278291369486133</v>
      </c>
      <c r="I60" s="37" t="n">
        <f aca="false">+I20+I57</f>
        <v>0.274556830031283</v>
      </c>
      <c r="J60" s="37" t="n">
        <f aca="false">+J20+J57</f>
        <v>0.316269136691541</v>
      </c>
      <c r="K60" s="37" t="n">
        <f aca="false">+K20+K57</f>
        <v>0.32362936914399</v>
      </c>
      <c r="L60" s="37" t="n">
        <f aca="false">+L20+L57</f>
        <v>0.323118230842434</v>
      </c>
      <c r="M60" s="37" t="n">
        <f aca="false">+M20+M57</f>
        <v>0.321056505198561</v>
      </c>
      <c r="N60" s="37" t="n">
        <f aca="false">+N20+N57</f>
        <v>0.339184786222488</v>
      </c>
      <c r="O60" s="37" t="n">
        <f aca="false">+O20+O57</f>
        <v>0.324293773592732</v>
      </c>
      <c r="P60" s="37" t="n">
        <f aca="false">+P20+P57</f>
        <v>0.305121841596154</v>
      </c>
      <c r="Q60" s="37" t="n">
        <f aca="false">+Q20+Q57</f>
        <v>0.315686825737077</v>
      </c>
      <c r="R60" s="37" t="n">
        <f aca="false">+R20+R57</f>
        <v>0.361214238916794</v>
      </c>
      <c r="S60" s="37" t="n">
        <f aca="false">+S20+S57</f>
        <v>0.340328558549534</v>
      </c>
      <c r="T60" s="37" t="n">
        <f aca="false">+T20+T57</f>
        <v>0.306092908236031</v>
      </c>
      <c r="U60" s="37" t="n">
        <f aca="false">+U20+U57</f>
        <v>0.306832138144302</v>
      </c>
      <c r="AD60" s="37" t="n">
        <f aca="false">+AD20+AD57</f>
        <v>0.717023651122924</v>
      </c>
      <c r="AE60" s="37" t="n">
        <f aca="false">+AE20+AE57</f>
        <v>0.362420864861828</v>
      </c>
      <c r="AF60" s="37" t="n">
        <f aca="false">+AF20+AF57</f>
        <v>0.361045806724961</v>
      </c>
      <c r="AG60" s="37" t="n">
        <f aca="false">+AG20+AG57</f>
        <v>0.459760205343593</v>
      </c>
      <c r="AH60" s="37" t="n">
        <f aca="false">+AH20+AH57</f>
        <v>0.471227196739244</v>
      </c>
      <c r="AI60" s="37" t="n">
        <f aca="false">+AI20+AI57</f>
        <v>0.55221635272584</v>
      </c>
      <c r="AJ60" s="37" t="n">
        <f aca="false">+AJ20+AJ57</f>
        <v>0.550323995807577</v>
      </c>
      <c r="AK60" s="37" t="n">
        <f aca="false">+AK20+AK57</f>
        <v>0.543761099400419</v>
      </c>
      <c r="AL60" s="37" t="n">
        <f aca="false">+AL20+AL57</f>
        <v>0.544923853329104</v>
      </c>
      <c r="AM60" s="37" t="n">
        <f aca="false">+AM20+AM57</f>
        <v>0.543960276954909</v>
      </c>
      <c r="AP60" s="33" t="s">
        <v>173</v>
      </c>
      <c r="AQ60" s="38" t="n">
        <f aca="false">+NPV(AQ58,AI41:DH41)</f>
        <v>2925158.92066757</v>
      </c>
      <c r="DI60" s="17"/>
      <c r="DJ60" s="17"/>
      <c r="DK60" s="17"/>
      <c r="DL60" s="17"/>
      <c r="DM60" s="17"/>
      <c r="DN60" s="17"/>
    </row>
    <row r="61" s="29" customFormat="true" ht="12.8" hidden="false" customHeight="false" outlineLevel="0" collapsed="false">
      <c r="A61" s="29" t="s">
        <v>174</v>
      </c>
      <c r="B61" s="29" t="n">
        <f aca="false">+B135/B19</f>
        <v>0.369146167531723</v>
      </c>
      <c r="C61" s="29" t="n">
        <f aca="false">+C135/C19</f>
        <v>0.278711343904714</v>
      </c>
      <c r="D61" s="29" t="n">
        <f aca="false">+D135/D19</f>
        <v>0.337998610548255</v>
      </c>
      <c r="E61" s="29" t="n">
        <f aca="false">+E135/E19</f>
        <v>0.310514411950347</v>
      </c>
      <c r="F61" s="29" t="n">
        <f aca="false">+F135/F19</f>
        <v>0.336867898032585</v>
      </c>
      <c r="G61" s="29" t="n">
        <f aca="false">+G135/G19</f>
        <v>0.38424213178918</v>
      </c>
      <c r="H61" s="29" t="n">
        <f aca="false">+H135/H19</f>
        <v>0.399723573207464</v>
      </c>
      <c r="I61" s="29" t="n">
        <f aca="false">+I135/I19</f>
        <v>0.219151894334376</v>
      </c>
      <c r="J61" s="29" t="n">
        <f aca="false">+J135/J19</f>
        <v>0.358186716994251</v>
      </c>
      <c r="K61" s="29" t="n">
        <f aca="false">+K135/K19</f>
        <v>0.314365957848529</v>
      </c>
      <c r="L61" s="29" t="n">
        <f aca="false">+L135/L19</f>
        <v>0.347781755562605</v>
      </c>
      <c r="M61" s="29" t="n">
        <f aca="false">+M135/M19</f>
        <v>0.405446309177041</v>
      </c>
      <c r="N61" s="29" t="n">
        <f aca="false">+N135/N19</f>
        <v>0.400625041558614</v>
      </c>
      <c r="O61" s="29" t="n">
        <f aca="false">+O135/O19</f>
        <v>0.287748371842204</v>
      </c>
      <c r="P61" s="29" t="n">
        <f aca="false">+P135/P19</f>
        <v>0.473042424716159</v>
      </c>
      <c r="Q61" s="29" t="n">
        <f aca="false">+Q135/Q19</f>
        <v>0.460361246793408</v>
      </c>
      <c r="R61" s="29" t="n">
        <f aca="false">+R135/R19</f>
        <v>0.416666666666667</v>
      </c>
      <c r="S61" s="29" t="n">
        <f aca="false">+S135/S19</f>
        <v>0.326129420014024</v>
      </c>
      <c r="AC61" s="29" t="n">
        <f aca="false">+AC135/AC19</f>
        <v>0.356791050091219</v>
      </c>
      <c r="AD61" s="29" t="n">
        <f aca="false">+AD135/AD19</f>
        <v>0.355740829151092</v>
      </c>
      <c r="AE61" s="29" t="n">
        <f aca="false">+AE135/AE19</f>
        <v>0.323491351878827</v>
      </c>
      <c r="AF61" s="29" t="n">
        <f aca="false">+AF135/AF19</f>
        <v>0.330995400040339</v>
      </c>
      <c r="AG61" s="29" t="n">
        <f aca="false">+AG135/AG19</f>
        <v>0.357978732522327</v>
      </c>
      <c r="AH61" s="29" t="n">
        <f aca="false">+AH135/AH19</f>
        <v>0.408883515872464</v>
      </c>
      <c r="AP61" s="35" t="s">
        <v>163</v>
      </c>
      <c r="AQ61" s="39" t="n">
        <f aca="false">AQ60/AH49</f>
        <v>239.178979613048</v>
      </c>
      <c r="DI61" s="17"/>
      <c r="DJ61" s="17"/>
      <c r="DK61" s="17"/>
      <c r="DL61" s="17"/>
      <c r="DM61" s="17"/>
      <c r="DN61" s="17"/>
    </row>
    <row r="62" s="40" customFormat="true" ht="12.8" hidden="false" customHeight="false" outlineLevel="0" collapsed="false">
      <c r="A62" s="40" t="s">
        <v>175</v>
      </c>
      <c r="AD62" s="40" t="n">
        <f aca="false">+(AD33-AC33)/(AD25-AC25)</f>
        <v>9.39834544998747</v>
      </c>
      <c r="AE62" s="40" t="n">
        <f aca="false">+(AE33-AD33)/(AE25-AD25)</f>
        <v>-0.487780297304107</v>
      </c>
      <c r="AF62" s="40" t="n">
        <f aca="false">+(AF33-AE33)/(AF25-AE25)</f>
        <v>1.59456723468871</v>
      </c>
      <c r="AG62" s="40" t="n">
        <f aca="false">+(AG33-AF33)/(AG25-AF25)</f>
        <v>7.20620671967171</v>
      </c>
      <c r="AH62" s="40" t="n">
        <f aca="false">+(AH33-AG33)/(AH25-AG25)</f>
        <v>1.41561091743899</v>
      </c>
      <c r="AI62" s="40" t="n">
        <f aca="false">+(AI33-AH33)/(AI25-AH25)</f>
        <v>5.62360676848866</v>
      </c>
      <c r="AJ62" s="40" t="n">
        <f aca="false">+(AJ33-AI33)/(AJ25-AI25)</f>
        <v>4.99094692815165</v>
      </c>
      <c r="AK62" s="40" t="n">
        <f aca="false">+(AK33-AJ33)/(AK25-AJ25)</f>
        <v>4.6425085913767</v>
      </c>
      <c r="AL62" s="40" t="n">
        <f aca="false">+(AL33-AK33)/(AL25-AK25)</f>
        <v>4.52320511029163</v>
      </c>
      <c r="AM62" s="40" t="n">
        <f aca="false">+(AM33-AL33)/(AM25-AL25)</f>
        <v>4.32701663612379</v>
      </c>
      <c r="AP62" s="41" t="s">
        <v>176</v>
      </c>
      <c r="AQ62" s="42" t="n">
        <f aca="false">+AQ61/Main!E1-1</f>
        <v>-0.304712268566722</v>
      </c>
      <c r="DI62" s="17"/>
      <c r="DJ62" s="17"/>
      <c r="DK62" s="17"/>
      <c r="DL62" s="17"/>
      <c r="DM62" s="17"/>
      <c r="DN62" s="17"/>
    </row>
    <row r="63" s="29" customFormat="true" ht="12.8" hidden="false" customHeight="false" outlineLevel="0" collapsed="false">
      <c r="DI63" s="17"/>
      <c r="DJ63" s="17"/>
      <c r="DK63" s="17"/>
      <c r="DL63" s="17"/>
      <c r="DM63" s="17"/>
      <c r="DN63" s="17"/>
    </row>
    <row r="64" s="29" customFormat="true" ht="12.8" hidden="false" customHeight="false" outlineLevel="0" collapsed="false">
      <c r="A64" s="29" t="s">
        <v>177</v>
      </c>
      <c r="C64" s="29" t="n">
        <f aca="false">+C41/AVERAGE(B97:C97)</f>
        <v>0.0449317053241628</v>
      </c>
      <c r="D64" s="29" t="n">
        <f aca="false">+D41/AVERAGE(C97:D97)</f>
        <v>0.0389941690962099</v>
      </c>
      <c r="E64" s="29" t="n">
        <f aca="false">+E41/AVERAGE(D97:E97)</f>
        <v>0.0376603793404182</v>
      </c>
      <c r="F64" s="29" t="n">
        <f aca="false">+F41/AVERAGE(E97:F97)</f>
        <v>0.0409687582935809</v>
      </c>
      <c r="G64" s="29" t="n">
        <f aca="false">+G41/AVERAGE(F97:G97)</f>
        <v>0.0488163341239942</v>
      </c>
      <c r="H64" s="29" t="n">
        <f aca="false">+H41/AVERAGE(G97:H97)</f>
        <v>0.0505004777141538</v>
      </c>
      <c r="I64" s="29" t="n">
        <f aca="false">+I41/AVERAGE(H97:I97)</f>
        <v>0.0517873481858657</v>
      </c>
      <c r="J64" s="29" t="n">
        <f aca="false">+J41/AVERAGE(I97:J97)</f>
        <v>0.0584564454765552</v>
      </c>
      <c r="K64" s="29" t="n">
        <f aca="false">+K41/AVERAGE(J97:K97)</f>
        <v>0.0574587651437746</v>
      </c>
      <c r="L64" s="29" t="n">
        <f aca="false">+L41/AVERAGE(K97:L97)</f>
        <v>0.0622482355781292</v>
      </c>
      <c r="M64" s="29" t="n">
        <f aca="false">+M41/AVERAGE(L97:M97)</f>
        <v>0.0602733378609507</v>
      </c>
      <c r="N64" s="29" t="n">
        <f aca="false">+N41/AVERAGE(M97:N97)</f>
        <v>0.0746302518284844</v>
      </c>
      <c r="O64" s="29" t="n">
        <f aca="false">+O41/AVERAGE(N97:O97)</f>
        <v>0.0576618877540065</v>
      </c>
      <c r="P64" s="29" t="n">
        <f aca="false">+P41/AVERAGE(O97:P97)</f>
        <v>0.0673273844353423</v>
      </c>
      <c r="Q64" s="29" t="n">
        <f aca="false">+Q41/AVERAGE(P97:Q97)</f>
        <v>0.0608880053015242</v>
      </c>
      <c r="R64" s="29" t="n">
        <f aca="false">+R41/AVERAGE(Q97:R97)</f>
        <v>0.0963331280788177</v>
      </c>
      <c r="S64" s="29" t="n">
        <f aca="false">+S41/AVERAGE(R97:S97)</f>
        <v>0.138007087758057</v>
      </c>
      <c r="AD64" s="29" t="n">
        <f aca="false">+AD41/AVERAGE(AC97:AD97)</f>
        <v>0.223994084409119</v>
      </c>
      <c r="AE64" s="29" t="n">
        <f aca="false">+AE41/AVERAGE(AD97:AE97)</f>
        <v>0.165546863354552</v>
      </c>
      <c r="AF64" s="29" t="n">
        <f aca="false">+AF41/AVERAGE(AE97:AF97)</f>
        <v>0.192306188874151</v>
      </c>
      <c r="AG64" s="29" t="n">
        <f aca="false">+AG41/AVERAGE(AF97:AG97)</f>
        <v>0.234890306475566</v>
      </c>
      <c r="AH64" s="29" t="n">
        <f aca="false">+AH41/AVERAGE(AG97:AH97)</f>
        <v>0.252827016164899</v>
      </c>
      <c r="DI64" s="17"/>
      <c r="DJ64" s="17"/>
      <c r="DK64" s="17"/>
      <c r="DL64" s="17"/>
      <c r="DM64" s="17"/>
      <c r="DN64" s="17"/>
    </row>
    <row r="65" s="29" customFormat="true" ht="12.8" hidden="false" customHeight="false" outlineLevel="0" collapsed="false">
      <c r="A65" s="29" t="s">
        <v>178</v>
      </c>
      <c r="C65" s="29" t="n">
        <f aca="false">+C41/AVERAGE(B117:C117)</f>
        <v>0.0628240185464732</v>
      </c>
      <c r="D65" s="29" t="n">
        <f aca="false">+D41/AVERAGE(C117:D117)</f>
        <v>0.0546513569527252</v>
      </c>
      <c r="E65" s="29" t="n">
        <f aca="false">+E41/AVERAGE(D117:E117)</f>
        <v>0.053451556584342</v>
      </c>
      <c r="F65" s="29" t="n">
        <f aca="false">+F41/AVERAGE(E117:F117)</f>
        <v>0.0582200921402295</v>
      </c>
      <c r="G65" s="29" t="n">
        <f aca="false">+G41/AVERAGE(F117:G117)</f>
        <v>0.0695711458520742</v>
      </c>
      <c r="H65" s="29" t="n">
        <f aca="false">+H41/AVERAGE(G117:H117)</f>
        <v>0.0728759325095356</v>
      </c>
      <c r="I65" s="29" t="n">
        <f aca="false">+I41/AVERAGE(H117:I117)</f>
        <v>0.0743359906284979</v>
      </c>
      <c r="J65" s="29" t="n">
        <f aca="false">+J41/AVERAGE(I117:J117)</f>
        <v>0.0821279261674734</v>
      </c>
      <c r="K65" s="29" t="n">
        <f aca="false">+K41/AVERAGE(J117:K117)</f>
        <v>0.0795792431565523</v>
      </c>
      <c r="L65" s="29" t="n">
        <f aca="false">+L41/AVERAGE(K117:L117)</f>
        <v>0.0855495127441159</v>
      </c>
      <c r="M65" s="29" t="n">
        <f aca="false">+M41/AVERAGE(L117:M117)</f>
        <v>0.0830283962997671</v>
      </c>
      <c r="N65" s="29" t="n">
        <f aca="false">+N41/AVERAGE(M117:N117)</f>
        <v>0.103050491458952</v>
      </c>
      <c r="O65" s="29" t="n">
        <f aca="false">+O41/AVERAGE(N117:O117)</f>
        <v>0.0796291354070911</v>
      </c>
      <c r="P65" s="29" t="n">
        <f aca="false">+P41/AVERAGE(O117:P117)</f>
        <v>0.093304329385969</v>
      </c>
      <c r="Q65" s="29" t="n">
        <f aca="false">+Q41/AVERAGE(P117:Q117)</f>
        <v>0.0859085537043778</v>
      </c>
      <c r="R65" s="29" t="n">
        <f aca="false">+R41/AVERAGE(Q117:R117)</f>
        <v>0.139993803208238</v>
      </c>
      <c r="S65" s="29" t="n">
        <f aca="false">+S41/AVERAGE(R117:S117)</f>
        <v>0.200483191062395</v>
      </c>
      <c r="AD65" s="29" t="n">
        <f aca="false">+AD41/AVERAGE(AC117:AD117)</f>
        <v>0.320693240316421</v>
      </c>
      <c r="AE65" s="29" t="n">
        <f aca="false">+AE41/AVERAGE(AD117:AE117)</f>
        <v>0.236212998174403</v>
      </c>
      <c r="AF65" s="29" t="n">
        <f aca="false">+AF41/AVERAGE(AE117:AF117)</f>
        <v>0.273556456351258</v>
      </c>
      <c r="AG65" s="29" t="n">
        <f aca="false">+AG41/AVERAGE(AF117:AG117)</f>
        <v>0.329084923816239</v>
      </c>
      <c r="AH65" s="29" t="n">
        <f aca="false">+AH41/AVERAGE(AG117:AH117)</f>
        <v>0.357047824742115</v>
      </c>
      <c r="DI65" s="17"/>
      <c r="DJ65" s="17"/>
      <c r="DK65" s="17"/>
      <c r="DL65" s="17"/>
      <c r="DM65" s="17"/>
      <c r="DN65" s="17"/>
    </row>
    <row r="66" s="29" customFormat="true" ht="12.8" hidden="false" customHeight="false" outlineLevel="0" collapsed="false">
      <c r="A66" s="29" t="s">
        <v>179</v>
      </c>
      <c r="C66" s="29" t="n">
        <f aca="false">+C19/AVERAGE(B97:C97)</f>
        <v>0.195667159449712</v>
      </c>
      <c r="D66" s="29" t="n">
        <f aca="false">+D19/AVERAGE(C97:D97)</f>
        <v>0.193686925319578</v>
      </c>
      <c r="E66" s="29" t="n">
        <f aca="false">+E19/AVERAGE(D97:E97)</f>
        <v>0.210217008813867</v>
      </c>
      <c r="F66" s="29" t="n">
        <f aca="false">+F19/AVERAGE(E97:F97)</f>
        <v>0.189959918612327</v>
      </c>
      <c r="G66" s="29" t="n">
        <f aca="false">+G19/AVERAGE(F97:G97)</f>
        <v>0.198273834439594</v>
      </c>
      <c r="H66" s="29" t="n">
        <f aca="false">+H19/AVERAGE(G97:H97)</f>
        <v>0.196710505222794</v>
      </c>
      <c r="I66" s="29" t="n">
        <f aca="false">+I19/AVERAGE(H97:I97)</f>
        <v>0.216066419583413</v>
      </c>
      <c r="J66" s="29" t="n">
        <f aca="false">+J19/AVERAGE(I97:J97)</f>
        <v>0.198969810761401</v>
      </c>
      <c r="K66" s="29" t="n">
        <f aca="false">+K19/AVERAGE(J97:K97)</f>
        <v>0.206154819247798</v>
      </c>
      <c r="L66" s="29" t="n">
        <f aca="false">+L19/AVERAGE(K97:L97)</f>
        <v>0.208909442911308</v>
      </c>
      <c r="M66" s="29" t="n">
        <f aca="false">+M19/AVERAGE(L97:M97)</f>
        <v>0.219117750607026</v>
      </c>
      <c r="N66" s="29" t="n">
        <f aca="false">+N19/AVERAGE(M97:N97)</f>
        <v>0.194967751693441</v>
      </c>
      <c r="O66" s="29" t="n">
        <f aca="false">+O19/AVERAGE(N97:O97)</f>
        <v>0.197198911630846</v>
      </c>
      <c r="P66" s="29" t="n">
        <f aca="false">+P19/AVERAGE(O97:P97)</f>
        <v>0.196995010932832</v>
      </c>
      <c r="Q66" s="29" t="n">
        <f aca="false">+Q19/AVERAGE(P97:Q97)</f>
        <v>0.201153965098299</v>
      </c>
      <c r="R66" s="29" t="n">
        <f aca="false">+R19/AVERAGE(Q97:R97)</f>
        <v>0.169174876847291</v>
      </c>
      <c r="S66" s="29" t="n">
        <f aca="false">+S19/AVERAGE(R97:S97)</f>
        <v>0.147359434947494</v>
      </c>
      <c r="AD66" s="29" t="n">
        <f aca="false">+AD19/AVERAGE(AC97:AD97)</f>
        <v>0.759001537817948</v>
      </c>
      <c r="AE66" s="29" t="n">
        <f aca="false">+AE19/AVERAGE(AD97:AE97)</f>
        <v>0.780741223300006</v>
      </c>
      <c r="AF66" s="29" t="n">
        <f aca="false">+AF19/AVERAGE(AE97:AF97)</f>
        <v>0.801053846775265</v>
      </c>
      <c r="AG66" s="29" t="n">
        <f aca="false">+AG19/AVERAGE(AF97:AG97)</f>
        <v>0.821189349487252</v>
      </c>
      <c r="AH66" s="29" t="n">
        <f aca="false">+AH19/AVERAGE(AG97:AH97)</f>
        <v>0.770582007140828</v>
      </c>
      <c r="DI66" s="17"/>
      <c r="DJ66" s="17"/>
      <c r="DK66" s="17"/>
      <c r="DL66" s="17"/>
      <c r="DM66" s="17"/>
      <c r="DN66" s="17"/>
    </row>
    <row r="67" s="29" customFormat="true" ht="12.8" hidden="false" customHeight="false" outlineLevel="0" collapsed="false">
      <c r="A67" s="29" t="s">
        <v>180</v>
      </c>
      <c r="C67" s="29" t="n">
        <f aca="false">+AVERAGE(B97:C97)/AVERAGE(B117:C117)</f>
        <v>1.39821130965818</v>
      </c>
      <c r="D67" s="29" t="n">
        <f aca="false">+AVERAGE(C97:D97)/AVERAGE(C117:D117)</f>
        <v>1.40152638764746</v>
      </c>
      <c r="E67" s="29" t="n">
        <f aca="false">+AVERAGE(D97:E97)/AVERAGE(D117:E117)</f>
        <v>1.41930478451066</v>
      </c>
      <c r="F67" s="29" t="n">
        <f aca="false">+AVERAGE(E97:F97)/AVERAGE(E117:F117)</f>
        <v>1.42108510399622</v>
      </c>
      <c r="G67" s="29" t="n">
        <f aca="false">+AVERAGE(F97:G97)/AVERAGE(F117:G117)</f>
        <v>1.42516121090458</v>
      </c>
      <c r="H67" s="29" t="n">
        <f aca="false">+AVERAGE(G97:H97)/AVERAGE(G117:H117)</f>
        <v>1.44307412143768</v>
      </c>
      <c r="I67" s="29" t="n">
        <f aca="false">+AVERAGE(H97:I97)/AVERAGE(H117:I117)</f>
        <v>1.43540832331682</v>
      </c>
      <c r="J67" s="29" t="n">
        <f aca="false">+AVERAGE(I97:J97)/AVERAGE(I117:J117)</f>
        <v>1.40494218384202</v>
      </c>
      <c r="K67" s="29" t="n">
        <f aca="false">+AVERAGE(J97:K97)/AVERAGE(J117:K117)</f>
        <v>1.38498004538433</v>
      </c>
      <c r="L67" s="29" t="n">
        <f aca="false">+AVERAGE(K97:L97)/AVERAGE(K117:L117)</f>
        <v>1.3743283154868</v>
      </c>
      <c r="M67" s="29" t="n">
        <f aca="false">+AVERAGE(L97:M97)/AVERAGE(L117:M117)</f>
        <v>1.37753108167515</v>
      </c>
      <c r="N67" s="29" t="n">
        <f aca="false">+AVERAGE(M97:N97)/AVERAGE(M117:N117)</f>
        <v>1.38081393180587</v>
      </c>
      <c r="O67" s="29" t="n">
        <f aca="false">+AVERAGE(N97:O97)/AVERAGE(N117:O117)</f>
        <v>1.38096650159634</v>
      </c>
      <c r="P67" s="29" t="n">
        <f aca="false">+AVERAGE(O97:P97)/AVERAGE(O117:P117)</f>
        <v>1.38583030023353</v>
      </c>
      <c r="Q67" s="29" t="n">
        <f aca="false">+AVERAGE(P97:Q97)/AVERAGE(P117:Q117)</f>
        <v>1.4109273785362</v>
      </c>
      <c r="R67" s="29" t="n">
        <f aca="false">+AVERAGE(Q97:R97)/AVERAGE(Q117:R117)</f>
        <v>1.4532259670183</v>
      </c>
      <c r="S67" s="29" t="n">
        <f aca="false">+AVERAGE(R97:S97)/AVERAGE(R117:S117)</f>
        <v>1.45270213522559</v>
      </c>
      <c r="AD67" s="29" t="n">
        <f aca="false">+AVERAGE(AC97:AD97)/AVERAGE(AC117:AD117)</f>
        <v>1.4317040611246</v>
      </c>
      <c r="AE67" s="29" t="n">
        <f aca="false">+AVERAGE(AD97:AE97)/AVERAGE(AD117:AE117)</f>
        <v>1.42686483686801</v>
      </c>
      <c r="AF67" s="29" t="n">
        <f aca="false">+AVERAGE(AE97:AF97)/AVERAGE(AE117:AF117)</f>
        <v>1.42250469396115</v>
      </c>
      <c r="AG67" s="29" t="n">
        <f aca="false">+AVERAGE(AF97:AG97)/AVERAGE(AF117:AG117)</f>
        <v>1.40101534522231</v>
      </c>
      <c r="AH67" s="29" t="n">
        <f aca="false">+AVERAGE(AG97:AH97)/AVERAGE(AG117:AH117)</f>
        <v>1.41222180350078</v>
      </c>
      <c r="DI67" s="17"/>
      <c r="DJ67" s="17"/>
      <c r="DK67" s="17"/>
      <c r="DL67" s="17"/>
      <c r="DM67" s="17"/>
      <c r="DN67" s="17"/>
    </row>
    <row r="68" s="29" customFormat="true" ht="12.8" hidden="false" customHeight="false" outlineLevel="0" collapsed="false">
      <c r="A68" s="29" t="s">
        <v>181</v>
      </c>
      <c r="C68" s="29" t="n">
        <f aca="false">+C65-C64</f>
        <v>0.0178923132223104</v>
      </c>
      <c r="D68" s="29" t="n">
        <f aca="false">+D65-D64</f>
        <v>0.0156571878565153</v>
      </c>
      <c r="E68" s="29" t="n">
        <f aca="false">+E65-E64</f>
        <v>0.0157911772439238</v>
      </c>
      <c r="F68" s="29" t="n">
        <f aca="false">+F65-F64</f>
        <v>0.0172513338466487</v>
      </c>
      <c r="G68" s="29" t="n">
        <f aca="false">+G65-G64</f>
        <v>0.02075481172808</v>
      </c>
      <c r="H68" s="29" t="n">
        <f aca="false">+H65-H64</f>
        <v>0.0223754547953818</v>
      </c>
      <c r="I68" s="29" t="n">
        <f aca="false">+I65-I64</f>
        <v>0.0225486424426322</v>
      </c>
      <c r="J68" s="29" t="n">
        <f aca="false">+J65-J64</f>
        <v>0.0236714806909182</v>
      </c>
      <c r="K68" s="29" t="n">
        <f aca="false">+K65-K64</f>
        <v>0.0221204780127777</v>
      </c>
      <c r="L68" s="29" t="n">
        <f aca="false">+L65-L64</f>
        <v>0.0233012771659866</v>
      </c>
      <c r="M68" s="29" t="n">
        <f aca="false">+M65-M64</f>
        <v>0.0227550584388164</v>
      </c>
      <c r="N68" s="29" t="n">
        <f aca="false">+N65-N64</f>
        <v>0.0284202396304677</v>
      </c>
      <c r="O68" s="29" t="n">
        <f aca="false">+O65-O64</f>
        <v>0.0219672476530846</v>
      </c>
      <c r="P68" s="29" t="n">
        <f aca="false">+P65-P64</f>
        <v>0.0259769449506267</v>
      </c>
      <c r="Q68" s="29" t="n">
        <f aca="false">+Q65-Q64</f>
        <v>0.0250205484028536</v>
      </c>
      <c r="R68" s="29" t="n">
        <f aca="false">+R65-R64</f>
        <v>0.0436606751294202</v>
      </c>
      <c r="S68" s="29" t="n">
        <f aca="false">+S65-S64</f>
        <v>0.0624761033043381</v>
      </c>
      <c r="AD68" s="29" t="n">
        <f aca="false">+AD65-AD64</f>
        <v>0.0966991559073021</v>
      </c>
      <c r="AE68" s="29" t="n">
        <f aca="false">+AE65-AE64</f>
        <v>0.070666134819851</v>
      </c>
      <c r="AF68" s="29" t="n">
        <f aca="false">+AF65-AF64</f>
        <v>0.0812502674771076</v>
      </c>
      <c r="AG68" s="29" t="n">
        <f aca="false">+AG65-AG64</f>
        <v>0.0941946173406724</v>
      </c>
      <c r="AH68" s="29" t="n">
        <f aca="false">+AH65-AH64</f>
        <v>0.104220808577216</v>
      </c>
      <c r="DI68" s="17"/>
      <c r="DJ68" s="17"/>
      <c r="DK68" s="17"/>
      <c r="DL68" s="17"/>
      <c r="DM68" s="17"/>
      <c r="DN68" s="17"/>
    </row>
    <row r="69" s="22" customFormat="true" ht="12.8" hidden="false" customHeight="false" outlineLevel="0" collapsed="false">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29"/>
      <c r="CH69" s="29"/>
      <c r="CI69" s="29"/>
      <c r="CJ69" s="29"/>
      <c r="CK69" s="29"/>
      <c r="CL69" s="29"/>
      <c r="CM69" s="29"/>
      <c r="CN69" s="29"/>
      <c r="CO69" s="29"/>
      <c r="CP69" s="29"/>
      <c r="CQ69" s="29"/>
      <c r="CR69" s="29"/>
      <c r="CS69" s="29"/>
      <c r="CT69" s="29"/>
      <c r="CU69" s="29"/>
      <c r="CV69" s="29"/>
      <c r="CW69" s="29"/>
      <c r="CX69" s="29"/>
      <c r="CY69" s="29"/>
      <c r="CZ69" s="29"/>
      <c r="DA69" s="29"/>
      <c r="DB69" s="29"/>
      <c r="DC69" s="29"/>
      <c r="DD69" s="29"/>
      <c r="DE69" s="29"/>
      <c r="DF69" s="29"/>
      <c r="DG69" s="29"/>
      <c r="DH69" s="29"/>
      <c r="DI69" s="17"/>
      <c r="DJ69" s="17"/>
      <c r="DK69" s="17"/>
      <c r="DL69" s="17"/>
      <c r="DM69" s="17"/>
      <c r="DN69" s="17"/>
    </row>
    <row r="70" s="22" customFormat="true" ht="12.8" hidden="false" customHeight="false" outlineLevel="0" collapsed="false">
      <c r="A70" s="22" t="s">
        <v>182</v>
      </c>
      <c r="AC70" s="22" t="n">
        <f aca="false">+AC33+AC122</f>
        <v>54921</v>
      </c>
      <c r="AD70" s="22" t="n">
        <f aca="false">+AD33+AD122</f>
        <v>91155</v>
      </c>
      <c r="AE70" s="22" t="n">
        <f aca="false">+AE33+AE122</f>
        <v>90171</v>
      </c>
      <c r="AF70" s="22" t="n">
        <f aca="false">+AF33+AF122</f>
        <v>96812</v>
      </c>
      <c r="AG70" s="22" t="n">
        <f aca="false">+AG33+AG122</f>
        <v>127701</v>
      </c>
      <c r="AH70" s="22" t="n">
        <f aca="false">+AH33+AH122</f>
        <v>150175</v>
      </c>
      <c r="AI70" s="22" t="n">
        <f aca="false">+AI33+AI122</f>
        <v>194568.912</v>
      </c>
      <c r="AJ70" s="22" t="n">
        <f aca="false">+AJ33+AJ122</f>
        <v>239191.00944</v>
      </c>
      <c r="AK70" s="22" t="n">
        <f aca="false">+AK33+AK122</f>
        <v>286073.1409632</v>
      </c>
      <c r="AL70" s="22" t="n">
        <f aca="false">+AL33+AL122</f>
        <v>337478.23830768</v>
      </c>
      <c r="AM70" s="22" t="n">
        <f aca="false">+AM33+AM122</f>
        <v>392933.64732995</v>
      </c>
      <c r="DI70" s="43"/>
      <c r="DJ70" s="43"/>
      <c r="DK70" s="43"/>
      <c r="DL70" s="43"/>
      <c r="DM70" s="43"/>
      <c r="DN70" s="43"/>
    </row>
    <row r="71" s="29" customFormat="true" ht="12.8" hidden="false" customHeight="false" outlineLevel="0" collapsed="false">
      <c r="A71" s="22" t="s">
        <v>183</v>
      </c>
      <c r="B71" s="22" t="n">
        <f aca="false">+B37+B122+B125+B126</f>
        <v>22063</v>
      </c>
      <c r="C71" s="22" t="n">
        <f aca="false">+C37+C122+C125+C126</f>
        <v>21807</v>
      </c>
      <c r="D71" s="22" t="n">
        <f aca="false">+D37+D122+D125+D126</f>
        <v>19737</v>
      </c>
      <c r="E71" s="22" t="n">
        <f aca="false">+E37+E122+E125+E126</f>
        <v>20488</v>
      </c>
      <c r="F71" s="22" t="n">
        <f aca="false">+F37+F122+F125+F126</f>
        <v>18902</v>
      </c>
      <c r="G71" s="22" t="n">
        <f aca="false">+G37+G122+G125+G126</f>
        <v>23394</v>
      </c>
      <c r="H71" s="22" t="n">
        <f aca="false">+H37+H122+H125+H126</f>
        <v>23413</v>
      </c>
      <c r="I71" s="22" t="n">
        <f aca="false">+I37+I122+I125+I126</f>
        <v>25587</v>
      </c>
      <c r="J71" s="22" t="n">
        <f aca="false">+J37+J122+J125+J126</f>
        <v>30366</v>
      </c>
      <c r="K71" s="22" t="n">
        <f aca="false">+K37+K122+K125+K126</f>
        <v>29126</v>
      </c>
      <c r="L71" s="22" t="n">
        <f aca="false">+L37+L122+L125+L126</f>
        <v>32639</v>
      </c>
      <c r="M71" s="22" t="n">
        <f aca="false">+M37+M122+M125+M126</f>
        <v>35067</v>
      </c>
      <c r="N71" s="22" t="n">
        <f aca="false">+N37+N122+N125+N126</f>
        <v>35164</v>
      </c>
      <c r="O71" s="22" t="n">
        <f aca="false">+O37+O122+O125+O126</f>
        <v>37036</v>
      </c>
      <c r="P71" s="22" t="n">
        <f aca="false">+P37+P122+P125+P126</f>
        <v>47469</v>
      </c>
      <c r="Q71" s="22" t="n">
        <f aca="false">+Q37+Q122+Q125+Q126</f>
        <v>44021</v>
      </c>
      <c r="R71" s="22" t="n">
        <f aca="false">+R37+R122+R125+R126</f>
        <v>54010</v>
      </c>
      <c r="S71" s="22" t="n">
        <f aca="false">+S37+S122+S125+S126</f>
        <v>67476</v>
      </c>
      <c r="T71" s="22"/>
      <c r="U71" s="22"/>
      <c r="V71" s="22"/>
      <c r="W71" s="22"/>
      <c r="X71" s="22"/>
      <c r="Y71" s="22"/>
      <c r="Z71" s="22"/>
      <c r="AA71" s="22"/>
      <c r="AB71" s="22"/>
      <c r="AC71" s="22" t="n">
        <f aca="false">+AC37+AC122+AC125+AC126</f>
        <v>56852</v>
      </c>
      <c r="AD71" s="22" t="n">
        <f aca="false">+AD37+AD122+AD125+AD126</f>
        <v>92713</v>
      </c>
      <c r="AE71" s="22" t="n">
        <f aca="false">+AE37+AE122+AE125+AE126</f>
        <v>84095</v>
      </c>
      <c r="AF71" s="22" t="n">
        <f aca="false">+AF37+AF122+AF125+AF126</f>
        <v>91296</v>
      </c>
      <c r="AG71" s="22" t="n">
        <f aca="false">+AG37+AG122+AG125+AG126</f>
        <v>127198</v>
      </c>
      <c r="AH71" s="22" t="n">
        <f aca="false">+AH37+AH122+AH125+AH126</f>
        <v>163690</v>
      </c>
      <c r="AI71" s="22"/>
      <c r="AJ71" s="22"/>
      <c r="AK71" s="22"/>
      <c r="AL71" s="22"/>
      <c r="AM71" s="22"/>
      <c r="AN71" s="22"/>
      <c r="AO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17"/>
      <c r="DJ71" s="17"/>
      <c r="DK71" s="17"/>
      <c r="DL71" s="17"/>
      <c r="DM71" s="17"/>
      <c r="DN71" s="17"/>
    </row>
    <row r="72" s="44" customFormat="true" ht="12.8" hidden="false" customHeight="false" outlineLevel="0" collapsed="false">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19" t="n">
        <f aca="false">+AD71/AC71-1</f>
        <v>0.630778160838669</v>
      </c>
      <c r="AE72" s="19" t="n">
        <f aca="false">+AE71/AD71-1</f>
        <v>-0.0929535232383808</v>
      </c>
      <c r="AF72" s="19" t="n">
        <f aca="false">+AF71/AE71-1</f>
        <v>0.0856293477614603</v>
      </c>
      <c r="AG72" s="19" t="n">
        <f aca="false">+AG71/AF71-1</f>
        <v>0.393248335085874</v>
      </c>
      <c r="AH72" s="19" t="n">
        <f aca="false">+AH71/AG71-1</f>
        <v>0.286891303322379</v>
      </c>
      <c r="AI72" s="29"/>
      <c r="AJ72" s="29"/>
      <c r="AK72" s="29"/>
      <c r="AL72" s="29"/>
      <c r="AM72" s="29"/>
      <c r="AN72" s="29"/>
      <c r="AO72" s="29"/>
      <c r="AP72" s="22"/>
      <c r="AQ72" s="22"/>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c r="CE72" s="29"/>
      <c r="CF72" s="29"/>
      <c r="CG72" s="29"/>
      <c r="CH72" s="29"/>
      <c r="CI72" s="29"/>
      <c r="CJ72" s="29"/>
      <c r="CK72" s="29"/>
      <c r="CL72" s="29"/>
      <c r="CM72" s="29"/>
      <c r="CN72" s="29"/>
      <c r="CO72" s="29"/>
      <c r="CP72" s="29"/>
      <c r="CQ72" s="29"/>
      <c r="CR72" s="29"/>
      <c r="CS72" s="29"/>
      <c r="CT72" s="29"/>
      <c r="CU72" s="29"/>
      <c r="CV72" s="29"/>
      <c r="CW72" s="29"/>
      <c r="CX72" s="29"/>
      <c r="CY72" s="29"/>
      <c r="CZ72" s="29"/>
      <c r="DA72" s="29"/>
      <c r="DB72" s="29"/>
      <c r="DC72" s="29"/>
      <c r="DD72" s="29"/>
      <c r="DE72" s="29"/>
      <c r="DF72" s="29"/>
      <c r="DG72" s="29"/>
      <c r="DH72" s="29"/>
      <c r="DI72" s="17"/>
      <c r="DJ72" s="17"/>
      <c r="DK72" s="17"/>
      <c r="DL72" s="17"/>
      <c r="DM72" s="17"/>
      <c r="DN72" s="17"/>
    </row>
    <row r="73" s="29" customFormat="true" ht="12.8" hidden="false" customHeight="false" outlineLevel="0" collapsed="false">
      <c r="DI73" s="17"/>
      <c r="DJ73" s="17"/>
      <c r="DK73" s="17"/>
      <c r="DL73" s="17"/>
      <c r="DM73" s="17"/>
      <c r="DN73" s="17"/>
    </row>
    <row r="74" customFormat="false" ht="12.8" hidden="false" customHeight="false" outlineLevel="0" collapsed="false">
      <c r="A74" s="45" t="s">
        <v>184</v>
      </c>
      <c r="B74" s="45" t="n">
        <v>50.5</v>
      </c>
      <c r="C74" s="45" t="n">
        <v>51.2</v>
      </c>
      <c r="D74" s="45" t="n">
        <v>52.4</v>
      </c>
      <c r="E74" s="45" t="n">
        <v>59.3</v>
      </c>
      <c r="F74" s="45" t="n">
        <v>61.7</v>
      </c>
      <c r="G74" s="45" t="n">
        <v>60.6</v>
      </c>
      <c r="H74" s="45" t="n">
        <v>64.9</v>
      </c>
      <c r="I74" s="45" t="n">
        <v>74.1</v>
      </c>
      <c r="J74" s="45" t="n">
        <v>72.5</v>
      </c>
      <c r="K74" s="45" t="n">
        <v>78.8</v>
      </c>
      <c r="L74" s="45" t="n">
        <v>86.8</v>
      </c>
      <c r="M74" s="45" t="n">
        <v>93.2</v>
      </c>
      <c r="N74" s="45" t="n">
        <v>92.4</v>
      </c>
      <c r="O74" s="45" t="n">
        <v>108.2</v>
      </c>
      <c r="P74" s="45" t="n">
        <v>155</v>
      </c>
      <c r="Q74" s="45" t="n">
        <v>240</v>
      </c>
      <c r="R74" s="45" t="n">
        <v>460</v>
      </c>
      <c r="S74" s="45" t="n">
        <v>519.5</v>
      </c>
      <c r="T74" s="45"/>
      <c r="U74" s="45"/>
      <c r="V74" s="45"/>
      <c r="W74" s="45"/>
      <c r="X74" s="45"/>
      <c r="Y74" s="45"/>
      <c r="Z74" s="45"/>
      <c r="AA74" s="45"/>
      <c r="AB74" s="45"/>
      <c r="AC74" s="45"/>
      <c r="AD74" s="45" t="n">
        <v>51</v>
      </c>
      <c r="AE74" s="45" t="n">
        <v>64.3</v>
      </c>
      <c r="AF74" s="45" t="n">
        <v>74.1</v>
      </c>
      <c r="AG74" s="45" t="n">
        <v>93.2</v>
      </c>
      <c r="AH74" s="45" t="n">
        <v>242.8</v>
      </c>
      <c r="AI74" s="45"/>
      <c r="AJ74" s="45"/>
      <c r="AK74" s="45"/>
      <c r="AL74" s="45"/>
      <c r="AM74" s="45"/>
      <c r="AN74" s="45"/>
      <c r="AO74" s="45"/>
      <c r="AP74" s="29"/>
      <c r="AQ74" s="29"/>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row>
    <row r="75" customFormat="false" ht="10.5" hidden="false" customHeight="true" outlineLevel="0" collapsed="false">
      <c r="A75" s="19" t="s">
        <v>185</v>
      </c>
      <c r="B75" s="19"/>
      <c r="C75" s="19"/>
      <c r="D75" s="19"/>
      <c r="E75" s="19"/>
      <c r="F75" s="19" t="n">
        <f aca="false">+F74/B74-1</f>
        <v>0.221782178217822</v>
      </c>
      <c r="G75" s="19" t="n">
        <f aca="false">+G74/C74-1</f>
        <v>0.18359375</v>
      </c>
      <c r="H75" s="19" t="n">
        <f aca="false">+H74/D74-1</f>
        <v>0.238549618320611</v>
      </c>
      <c r="I75" s="19" t="n">
        <f aca="false">+I74/E74-1</f>
        <v>0.249578414839798</v>
      </c>
      <c r="J75" s="19" t="n">
        <f aca="false">+J74/F74-1</f>
        <v>0.175040518638574</v>
      </c>
      <c r="K75" s="19" t="n">
        <f aca="false">+K74/G74-1</f>
        <v>0.3003300330033</v>
      </c>
      <c r="L75" s="19" t="n">
        <f aca="false">+L74/H74-1</f>
        <v>0.337442218798151</v>
      </c>
      <c r="M75" s="19" t="n">
        <f aca="false">+M74/I74-1</f>
        <v>0.257759784075574</v>
      </c>
      <c r="N75" s="19" t="n">
        <f aca="false">+N74/J74-1</f>
        <v>0.27448275862069</v>
      </c>
      <c r="O75" s="19" t="n">
        <f aca="false">+O74/K74-1</f>
        <v>0.373096446700508</v>
      </c>
      <c r="P75" s="19" t="n">
        <f aca="false">+P74/L74-1</f>
        <v>0.785714285714286</v>
      </c>
      <c r="Q75" s="19" t="n">
        <f aca="false">+Q74/M74-1</f>
        <v>1.57510729613734</v>
      </c>
      <c r="R75" s="19" t="n">
        <f aca="false">+R74/N74-1</f>
        <v>3.97835497835498</v>
      </c>
      <c r="S75" s="19" t="n">
        <f aca="false">+S74/O74-1</f>
        <v>3.80129390018484</v>
      </c>
      <c r="T75" s="19"/>
      <c r="U75" s="19"/>
      <c r="V75" s="19"/>
      <c r="W75" s="19"/>
      <c r="X75" s="19"/>
      <c r="Y75" s="19"/>
      <c r="Z75" s="19"/>
      <c r="AA75" s="19"/>
      <c r="AB75" s="19"/>
      <c r="AC75" s="19"/>
      <c r="AD75" s="19"/>
      <c r="AE75" s="19" t="n">
        <f aca="false">+AE74/AD74-1</f>
        <v>0.26078431372549</v>
      </c>
      <c r="AF75" s="19" t="n">
        <f aca="false">+AF74/AE74-1</f>
        <v>0.152410575427683</v>
      </c>
      <c r="AG75" s="19" t="n">
        <f aca="false">+AG74/AF74-1</f>
        <v>0.257759784075574</v>
      </c>
      <c r="AH75" s="19" t="n">
        <f aca="false">+AH74/AG74-1</f>
        <v>1.60515021459227</v>
      </c>
      <c r="AI75" s="19"/>
      <c r="AJ75" s="19"/>
      <c r="AK75" s="19"/>
      <c r="AL75" s="19"/>
      <c r="AM75" s="19"/>
      <c r="AN75" s="19"/>
      <c r="AO75" s="19"/>
      <c r="AP75" s="45"/>
      <c r="AQ75" s="45"/>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row>
    <row r="76" s="19" customFormat="true" ht="10.5" hidden="false" customHeight="true" outlineLevel="0" collapsed="false">
      <c r="A76" s="19" t="s">
        <v>186</v>
      </c>
      <c r="C76" s="19" t="n">
        <f aca="false">+C74/B74-1</f>
        <v>0.0138613861386139</v>
      </c>
      <c r="D76" s="19" t="n">
        <f aca="false">+D74/C74-1</f>
        <v>0.0234375</v>
      </c>
      <c r="E76" s="19" t="n">
        <f aca="false">+E74/D74-1</f>
        <v>0.131679389312977</v>
      </c>
      <c r="F76" s="19" t="n">
        <f aca="false">+F74/E74-1</f>
        <v>0.0404721753794268</v>
      </c>
      <c r="G76" s="19" t="n">
        <f aca="false">+G74/F74-1</f>
        <v>-0.0178282009724473</v>
      </c>
      <c r="H76" s="19" t="n">
        <f aca="false">+H74/G74-1</f>
        <v>0.0709570957095711</v>
      </c>
      <c r="I76" s="19" t="n">
        <f aca="false">+I74/H74-1</f>
        <v>0.141756548536209</v>
      </c>
      <c r="J76" s="19" t="n">
        <f aca="false">+J74/I74-1</f>
        <v>-0.0215924426450741</v>
      </c>
      <c r="K76" s="19" t="n">
        <f aca="false">+K74/J74-1</f>
        <v>0.0868965517241378</v>
      </c>
      <c r="L76" s="19" t="n">
        <f aca="false">+L74/K74-1</f>
        <v>0.101522842639594</v>
      </c>
      <c r="M76" s="19" t="n">
        <f aca="false">+M74/L74-1</f>
        <v>0.0737327188940093</v>
      </c>
      <c r="N76" s="19" t="n">
        <f aca="false">+N74/M74-1</f>
        <v>-0.00858369098712442</v>
      </c>
      <c r="O76" s="19" t="n">
        <f aca="false">+O74/N74-1</f>
        <v>0.170995670995671</v>
      </c>
      <c r="P76" s="19" t="n">
        <f aca="false">+P74/O74-1</f>
        <v>0.432532347504621</v>
      </c>
      <c r="Q76" s="19" t="n">
        <f aca="false">+Q74/P74-1</f>
        <v>0.548387096774194</v>
      </c>
      <c r="R76" s="19" t="n">
        <f aca="false">+R74/Q74-1</f>
        <v>0.916666666666667</v>
      </c>
      <c r="S76" s="19" t="n">
        <f aca="false">+S74/R74-1</f>
        <v>0.129347826086957</v>
      </c>
      <c r="DI76" s="17"/>
      <c r="DJ76" s="17"/>
      <c r="DK76" s="17"/>
      <c r="DL76" s="17"/>
      <c r="DM76" s="17"/>
      <c r="DN76" s="17"/>
    </row>
    <row r="77" s="19" customFormat="true" ht="12.8" hidden="false" customHeight="false" outlineLevel="0" collapsed="false">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17"/>
      <c r="DJ77" s="17"/>
      <c r="DK77" s="17"/>
      <c r="DL77" s="17"/>
      <c r="DM77" s="17"/>
      <c r="DN77" s="17"/>
    </row>
    <row r="78" customFormat="false" ht="12.8" hidden="false" customHeight="false" outlineLevel="0" collapsed="false">
      <c r="A78" s="3" t="s">
        <v>187</v>
      </c>
      <c r="B78" s="3" t="n">
        <v>11990</v>
      </c>
      <c r="C78" s="3" t="n">
        <v>12214</v>
      </c>
      <c r="D78" s="3" t="n">
        <v>11826</v>
      </c>
      <c r="E78" s="3" t="n">
        <v>12925</v>
      </c>
      <c r="F78" s="3" t="n">
        <v>11721</v>
      </c>
      <c r="G78" s="3" t="n">
        <v>12537</v>
      </c>
      <c r="H78" s="3" t="n">
        <v>12642</v>
      </c>
      <c r="I78" s="3" t="n">
        <v>13986</v>
      </c>
      <c r="J78" s="3" t="n">
        <v>12946</v>
      </c>
      <c r="K78" s="3" t="n">
        <v>13387</v>
      </c>
      <c r="L78" s="3" t="n">
        <v>13719</v>
      </c>
      <c r="M78" s="3" t="n">
        <v>14848</v>
      </c>
      <c r="N78" s="3" t="n">
        <v>13748</v>
      </c>
      <c r="O78" s="3" t="n">
        <v>14705</v>
      </c>
      <c r="P78" s="3" t="n">
        <v>14876</v>
      </c>
      <c r="Q78" s="3" t="n">
        <v>16597</v>
      </c>
      <c r="R78" s="3" t="n">
        <v>15228</v>
      </c>
      <c r="S78" s="3" t="n">
        <v>16179</v>
      </c>
      <c r="AC78" s="3" t="n">
        <v>32778</v>
      </c>
      <c r="AD78" s="3" t="n">
        <v>45566</v>
      </c>
      <c r="AE78" s="3" t="n">
        <f aca="false">SUM(B78:E78)</f>
        <v>48955</v>
      </c>
      <c r="AF78" s="3" t="n">
        <f aca="false">SUM(F78:I78)</f>
        <v>50886</v>
      </c>
      <c r="AG78" s="3" t="n">
        <f aca="false">SUM(J78:M78)</f>
        <v>54900</v>
      </c>
      <c r="AH78" s="3" t="n">
        <f aca="false">SUM(N78:Q78)</f>
        <v>59926</v>
      </c>
      <c r="AP78" s="45"/>
      <c r="AQ78" s="45"/>
    </row>
    <row r="79" s="22" customFormat="true" ht="10.5" hidden="false" customHeight="true" outlineLevel="0" collapsed="false">
      <c r="A79" s="19"/>
      <c r="B79" s="19"/>
      <c r="C79" s="19"/>
      <c r="D79" s="19"/>
      <c r="E79" s="19"/>
      <c r="F79" s="19" t="n">
        <f aca="false">+F78/B78-1</f>
        <v>-0.0224353628023353</v>
      </c>
      <c r="G79" s="19" t="n">
        <f aca="false">+G78/C78-1</f>
        <v>0.0264450630424105</v>
      </c>
      <c r="H79" s="19" t="n">
        <f aca="false">+H78/D78-1</f>
        <v>0.0690005073566717</v>
      </c>
      <c r="I79" s="19" t="n">
        <f aca="false">+I78/E78-1</f>
        <v>0.0820889748549323</v>
      </c>
      <c r="J79" s="19" t="n">
        <f aca="false">+J78/F78-1</f>
        <v>0.10451326678611</v>
      </c>
      <c r="K79" s="19" t="n">
        <f aca="false">+K78/G78-1</f>
        <v>0.0677993140304698</v>
      </c>
      <c r="L79" s="19" t="n">
        <f aca="false">+L78/H78-1</f>
        <v>0.0851922164214523</v>
      </c>
      <c r="M79" s="19" t="n">
        <f aca="false">+M78/I78-1</f>
        <v>0.0616330616330616</v>
      </c>
      <c r="N79" s="19" t="n">
        <f aca="false">+N78/J78-1</f>
        <v>0.0619496369534991</v>
      </c>
      <c r="O79" s="19" t="n">
        <f aca="false">+O78/K78-1</f>
        <v>0.0984537237618586</v>
      </c>
      <c r="P79" s="19" t="n">
        <f aca="false">+P78/L78-1</f>
        <v>0.0843355929732488</v>
      </c>
      <c r="Q79" s="19" t="n">
        <f aca="false">+Q78/M78-1</f>
        <v>0.117793642241379</v>
      </c>
      <c r="R79" s="19" t="n">
        <f aca="false">+R78/N78-1</f>
        <v>0.107652022112307</v>
      </c>
      <c r="S79" s="19" t="n">
        <f aca="false">+S78/O78-1</f>
        <v>0.100238014280857</v>
      </c>
      <c r="T79" s="19"/>
      <c r="U79" s="19"/>
      <c r="V79" s="19"/>
      <c r="W79" s="19"/>
      <c r="X79" s="19"/>
      <c r="Y79" s="19"/>
      <c r="Z79" s="19"/>
      <c r="AA79" s="19"/>
      <c r="AB79" s="19"/>
      <c r="AC79" s="19"/>
      <c r="AD79" s="19" t="n">
        <f aca="false">+AD78/AC78-1</f>
        <v>0.390139727866252</v>
      </c>
      <c r="AE79" s="19" t="n">
        <f aca="false">+AE78/AD78-1</f>
        <v>0.0743756309529036</v>
      </c>
      <c r="AF79" s="19" t="n">
        <f aca="false">+AF78/AE78-1</f>
        <v>0.0394443877029926</v>
      </c>
      <c r="AG79" s="19" t="n">
        <f aca="false">+AG78/AF78-1</f>
        <v>0.0788822072868765</v>
      </c>
      <c r="AH79" s="19" t="n">
        <f aca="false">+AH78/AG78-1</f>
        <v>0.0915482695810566</v>
      </c>
      <c r="AI79" s="19"/>
      <c r="AJ79" s="19"/>
      <c r="AK79" s="19"/>
      <c r="AL79" s="19"/>
      <c r="AM79" s="19"/>
      <c r="AN79" s="19"/>
      <c r="AO79" s="19"/>
      <c r="AP79" s="1"/>
      <c r="AQ79" s="1"/>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7"/>
      <c r="DJ79" s="17"/>
      <c r="DK79" s="17"/>
      <c r="DL79" s="17"/>
      <c r="DM79" s="17"/>
      <c r="DN79" s="17"/>
    </row>
    <row r="80" s="19" customFormat="true" ht="12.8"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1"/>
      <c r="AO80" s="1"/>
      <c r="AR80" s="3"/>
      <c r="AS80" s="3" t="s">
        <v>188</v>
      </c>
      <c r="AT80" s="3" t="n">
        <f aca="false">+AQ83</f>
        <v>4102251.09529025</v>
      </c>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17"/>
      <c r="DJ80" s="17"/>
      <c r="DK80" s="17"/>
      <c r="DL80" s="17"/>
      <c r="DM80" s="17"/>
      <c r="DN80" s="17"/>
    </row>
    <row r="81" s="19" customFormat="true" ht="12.8" hidden="false" customHeight="false" outlineLevel="0" collapsed="false">
      <c r="A81" s="3" t="s">
        <v>189</v>
      </c>
      <c r="B81" s="3" t="n">
        <f aca="false">+B33*(1-B59)</f>
        <v>17442.9589098975</v>
      </c>
      <c r="C81" s="3" t="n">
        <f aca="false">+C33*(1-C59)</f>
        <v>16371.4581887031</v>
      </c>
      <c r="D81" s="3" t="n">
        <f aca="false">+D33*(1-D59)</f>
        <v>14682.920593852</v>
      </c>
      <c r="E81" s="3" t="n">
        <f aca="false">+E33*(1-E59)</f>
        <v>14428.8703563306</v>
      </c>
      <c r="F81" s="3" t="n">
        <f aca="false">+F33*(1-F59)</f>
        <v>14397.8667948366</v>
      </c>
      <c r="G81" s="3" t="n">
        <f aca="false">+G33*(1-G59)</f>
        <v>18313.4905720678</v>
      </c>
      <c r="H81" s="3" t="n">
        <f aca="false">+H33*(1-H59)</f>
        <v>19824.6132471576</v>
      </c>
      <c r="I81" s="3" t="n">
        <f aca="false">+I33*(1-I59)</f>
        <v>20081.1010568573</v>
      </c>
      <c r="J81" s="3" t="n">
        <f aca="false">+J33*(1-J59)</f>
        <v>21286.1897933957</v>
      </c>
      <c r="K81" s="3" t="n">
        <f aca="false">+K33*(1-K59)</f>
        <v>23510.9823599869</v>
      </c>
      <c r="L81" s="3" t="n">
        <f aca="false">+L33*(1-L59)</f>
        <v>23658.9548035072</v>
      </c>
      <c r="M81" s="3" t="n">
        <f aca="false">+M33*(1-M59)</f>
        <v>25489.9665663865</v>
      </c>
      <c r="N81" s="3" t="n">
        <f aca="false">+N33*(1-N59)</f>
        <v>25296.8781258226</v>
      </c>
      <c r="O81" s="3" t="n">
        <f aca="false">+O33*(1-O59)</f>
        <v>25984.0602363481</v>
      </c>
      <c r="P81" s="3" t="n">
        <f aca="false">+P33*(1-P59)</f>
        <v>24832.8872621456</v>
      </c>
      <c r="Q81" s="3" t="n">
        <f aca="false">+Q33*(1-Q59)</f>
        <v>31651.3528644835</v>
      </c>
      <c r="R81" s="3" t="n">
        <f aca="false">+R33*(1-R59)</f>
        <v>32089.2922027593</v>
      </c>
      <c r="S81" s="3" t="n">
        <f aca="false">+S33*(1-S59)</f>
        <v>32965.8357657132</v>
      </c>
      <c r="T81" s="3"/>
      <c r="U81" s="3"/>
      <c r="V81" s="3"/>
      <c r="W81" s="3"/>
      <c r="X81" s="3"/>
      <c r="Y81" s="3"/>
      <c r="Z81" s="3"/>
      <c r="AA81" s="3"/>
      <c r="AB81" s="3"/>
      <c r="AC81" s="3" t="n">
        <f aca="false">+AC33*(1-AC59)</f>
        <v>34525.3786448151</v>
      </c>
      <c r="AD81" s="3" t="n">
        <f aca="false">+AD33*(1-AD59)</f>
        <v>65960.5171380078</v>
      </c>
      <c r="AE81" s="3" t="n">
        <f aca="false">+AE33*(1-AE59)</f>
        <v>62926.5425078511</v>
      </c>
      <c r="AF81" s="3" t="n">
        <f aca="false">+AF33*(1-AF59)</f>
        <v>72569.0578881669</v>
      </c>
      <c r="AG81" s="3" t="n">
        <f aca="false">+AG33*(1-AG59)</f>
        <v>93913.6336852648</v>
      </c>
      <c r="AH81" s="3" t="n">
        <f aca="false">+AH33*(1-AH59)</f>
        <v>107382.195799176</v>
      </c>
      <c r="AI81" s="3" t="n">
        <f aca="false">+AI33*(1-AI59)</f>
        <v>144723.1352</v>
      </c>
      <c r="AJ81" s="3" t="n">
        <f aca="false">+AJ33*(1-AJ59)</f>
        <v>179552.852024</v>
      </c>
      <c r="AK81" s="3" t="n">
        <f aca="false">+AK33*(1-AK59)</f>
        <v>215838.73791872</v>
      </c>
      <c r="AL81" s="3" t="n">
        <f aca="false">+AL33*(1-AL59)</f>
        <v>255434.555876528</v>
      </c>
      <c r="AM81" s="3" t="n">
        <f aca="false">+AM33*(1-AM59)</f>
        <v>297858.361542707</v>
      </c>
      <c r="AN81" s="1"/>
      <c r="AO81" s="1"/>
      <c r="AP81" s="46" t="s">
        <v>167</v>
      </c>
      <c r="AQ81" s="47" t="n">
        <v>0.02</v>
      </c>
      <c r="AR81" s="3"/>
      <c r="AS81" s="3" t="s">
        <v>14</v>
      </c>
      <c r="AT81" s="3" t="n">
        <f aca="false">+Main!E8</f>
        <v>242474</v>
      </c>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17"/>
      <c r="DJ81" s="17"/>
      <c r="DK81" s="17"/>
      <c r="DL81" s="17"/>
      <c r="DM81" s="17"/>
      <c r="DN81" s="17"/>
    </row>
    <row r="82" customFormat="false" ht="12.8" hidden="false" customHeight="false" outlineLevel="0" collapsed="false">
      <c r="A82" s="3" t="s">
        <v>190</v>
      </c>
      <c r="S82" s="17"/>
      <c r="AC82" s="3" t="n">
        <f aca="false">+AC90-(AC99+AC100+AC102+AC104+AC106)</f>
        <v>-24900</v>
      </c>
      <c r="AD82" s="3" t="n">
        <f aca="false">+AD90-(AD99+AD100+AD102+AD104+AD106)</f>
        <v>-24677</v>
      </c>
      <c r="AE82" s="3" t="n">
        <f aca="false">+AE90-(AE99+AE100+AE102+AE104+AE106)</f>
        <v>-29042</v>
      </c>
      <c r="AF82" s="3" t="n">
        <f aca="false">+AF90-(AF99+AF100+AF102+AF104+AF106)</f>
        <v>-33850</v>
      </c>
      <c r="AG82" s="3" t="n">
        <f aca="false">+AG90-(AG99+AG100+AG102+AG104+AG106)</f>
        <v>-36782</v>
      </c>
      <c r="AH82" s="3" t="n">
        <f aca="false">+AH90-(AH99+AH100+AH102+AH104+AH106)</f>
        <v>10141</v>
      </c>
      <c r="AI82" s="3" t="n">
        <f aca="false">+AI90-(AI99+AI100+AI102+AI104+AI106)</f>
        <v>11161.2023216487</v>
      </c>
      <c r="AJ82" s="3" t="n">
        <f aca="false">+AJ90-(AJ99+AJ100+AJ102+AJ104+AJ106)</f>
        <v>15130.0816341288</v>
      </c>
      <c r="AK82" s="3" t="n">
        <f aca="false">+AK90-(AK99+AK100+AK102+AK104+AK106)</f>
        <v>19181.0030505021</v>
      </c>
      <c r="AL82" s="3" t="n">
        <f aca="false">+AL90-(AL99+AL100+AL102+AL104+AL106)</f>
        <v>23309.2900495027</v>
      </c>
      <c r="AM82" s="3" t="n">
        <f aca="false">+AM90-(AM99+AM100+AM102+AM104+AM106)</f>
        <v>27305.3283536795</v>
      </c>
      <c r="AP82" s="35" t="s">
        <v>169</v>
      </c>
      <c r="AQ82" s="36" t="n">
        <f aca="false">+Main!E18</f>
        <v>0.109460489536139</v>
      </c>
      <c r="AS82" s="3" t="s">
        <v>15</v>
      </c>
      <c r="AT82" s="3" t="n">
        <f aca="false">+Main!E9</f>
        <v>98165</v>
      </c>
      <c r="DI82" s="17"/>
      <c r="DJ82" s="17"/>
      <c r="DK82" s="17"/>
      <c r="DL82" s="17"/>
      <c r="DM82" s="17"/>
      <c r="DN82" s="17"/>
    </row>
    <row r="83" customFormat="false" ht="12.8" hidden="false" customHeight="false" outlineLevel="0" collapsed="false">
      <c r="A83" s="3" t="s">
        <v>191</v>
      </c>
      <c r="AE83" s="3" t="n">
        <f aca="false">+AE81+AE122-AE137-(AE82-AD82)</f>
        <v>51135.5425078511</v>
      </c>
      <c r="AF83" s="3" t="n">
        <f aca="false">+AF81+AF122-AF137-(AF82-AE82)</f>
        <v>57645.0578881669</v>
      </c>
      <c r="AG83" s="3" t="n">
        <f aca="false">+AG81+AG122-AG137-(AG82-AF82)</f>
        <v>59621.6336852648</v>
      </c>
      <c r="AH83" s="3" t="n">
        <f aca="false">+AH81+AH122-AH137-(AH82-AG82)</f>
        <v>-9851.80420082355</v>
      </c>
      <c r="AI83" s="3" t="n">
        <f aca="false">+AI81+AI122-AI137-(AI82-AH82)</f>
        <v>-14884.6671216487</v>
      </c>
      <c r="AJ83" s="3" t="n">
        <f aca="false">+AJ81+AJ122-AJ137-(AJ82-AI82)</f>
        <v>20642.3327115199</v>
      </c>
      <c r="AK83" s="3" t="n">
        <f aca="false">+AK81+AK122-AK137-(AK82-AJ82)</f>
        <v>134196.630502347</v>
      </c>
      <c r="AL83" s="3" t="n">
        <f aca="false">+AL81+AL122-AL137-(AL82-AK82)</f>
        <v>189510.504977527</v>
      </c>
      <c r="AM83" s="3" t="n">
        <f aca="false">+AM81+AM122-AM137-(AM82-AL82)</f>
        <v>227735.33275353</v>
      </c>
      <c r="AP83" s="33" t="s">
        <v>188</v>
      </c>
      <c r="AQ83" s="38" t="n">
        <f aca="false">+NPV(AQ82,AI83:AL83,AM83+AR84)</f>
        <v>4102251.09529025</v>
      </c>
      <c r="AS83" s="48" t="s">
        <v>192</v>
      </c>
      <c r="AT83" s="48" t="n">
        <f aca="false">+Main!E10</f>
        <v>18023</v>
      </c>
      <c r="DI83" s="17"/>
      <c r="DJ83" s="17"/>
      <c r="DK83" s="17"/>
      <c r="DL83" s="17"/>
      <c r="DM83" s="17"/>
      <c r="DN83" s="17"/>
    </row>
    <row r="84" customFormat="false" ht="12.8" hidden="false" customHeight="false" outlineLevel="0" collapsed="false">
      <c r="AP84" s="35" t="s">
        <v>193</v>
      </c>
      <c r="AQ84" s="39" t="n">
        <f aca="false">+AM83*(1+AQ81)/(AQ82-AQ81)</f>
        <v>2596565.70865023</v>
      </c>
      <c r="AR84" s="3" t="n">
        <f aca="false">+AM70*16</f>
        <v>6286938.3572792</v>
      </c>
      <c r="AS84" s="3" t="s">
        <v>194</v>
      </c>
      <c r="AT84" s="3" t="n">
        <f aca="false">+AT80+AT81-AT82-AT83</f>
        <v>4228537.09529025</v>
      </c>
    </row>
    <row r="85" customFormat="false" ht="12.8" hidden="false" customHeight="false" outlineLevel="0" collapsed="false">
      <c r="AP85" s="49" t="s">
        <v>176</v>
      </c>
      <c r="AQ85" s="50" t="n">
        <f aca="false">+AQ83/Main!E11-1</f>
        <v>0.0877015307203184</v>
      </c>
      <c r="AR85" s="3" t="n">
        <f aca="false">+AM70*29</f>
        <v>11395075.7725686</v>
      </c>
      <c r="AS85" s="48" t="s">
        <v>163</v>
      </c>
      <c r="AT85" s="48" t="n">
        <f aca="false">+SUM(Main!E4:E6)</f>
        <v>12230</v>
      </c>
    </row>
    <row r="86" customFormat="false" ht="12.8" hidden="false" customHeight="false" outlineLevel="0" collapsed="false">
      <c r="A86" s="22" t="s">
        <v>195</v>
      </c>
      <c r="B86" s="22" t="n">
        <f aca="false">+B88+B89-B108</f>
        <v>119179</v>
      </c>
      <c r="C86" s="22" t="n">
        <f aca="false">+C88+C89-C108</f>
        <v>110263</v>
      </c>
      <c r="D86" s="22" t="n">
        <f aca="false">+D88+D89-D108</f>
        <v>101606</v>
      </c>
      <c r="E86" s="22" t="n">
        <f aca="false">+E88+E89-E108</f>
        <v>99061</v>
      </c>
      <c r="F86" s="22" t="n">
        <f aca="false">+F88+F89-F108</f>
        <v>101405</v>
      </c>
      <c r="G86" s="22" t="n">
        <f aca="false">+G88+G89-G108</f>
        <v>104627</v>
      </c>
      <c r="H86" s="22" t="n">
        <f aca="false">+H88+H89-H108</f>
        <v>106154</v>
      </c>
      <c r="I86" s="22" t="n">
        <f aca="false">+I88+I89-I108</f>
        <v>98864</v>
      </c>
      <c r="J86" s="22" t="n">
        <f aca="false">+J88+J89-J108</f>
        <v>94862</v>
      </c>
      <c r="K86" s="22" t="n">
        <f aca="false">+K88+K89-K108</f>
        <v>87487</v>
      </c>
      <c r="L86" s="22" t="n">
        <f aca="false">+L88+L89-L108</f>
        <v>80933</v>
      </c>
      <c r="M86" s="22" t="n">
        <f aca="false">+M88+M89-M108</f>
        <v>84774</v>
      </c>
      <c r="N86" s="22" t="n">
        <f aca="false">+N88+N89-N108</f>
        <v>84442</v>
      </c>
      <c r="O86" s="22" t="n">
        <f aca="false">+O88+O89-O108</f>
        <v>71541</v>
      </c>
      <c r="P86" s="22" t="n">
        <f aca="false">+P88+P89-P108</f>
        <v>76889</v>
      </c>
      <c r="Q86" s="22" t="n">
        <f aca="false">+Q88+Q89-Q108</f>
        <v>80296</v>
      </c>
      <c r="R86" s="22" t="n">
        <f aca="false">+R88+R89-R108</f>
        <v>49339</v>
      </c>
      <c r="S86" s="22" t="n">
        <f aca="false">+S88+S89-S108</f>
        <v>144309</v>
      </c>
      <c r="T86" s="22" t="n">
        <f aca="false">+T88+T89-T108</f>
        <v>0</v>
      </c>
      <c r="U86" s="22"/>
      <c r="V86" s="22"/>
      <c r="W86" s="22"/>
      <c r="X86" s="22"/>
      <c r="Y86" s="22"/>
      <c r="Z86" s="22"/>
      <c r="AA86" s="22"/>
      <c r="AB86" s="22"/>
      <c r="AC86" s="22" t="n">
        <f aca="false">+AC88+AC89-AC108</f>
        <v>122762</v>
      </c>
      <c r="AD86" s="22" t="n">
        <f aca="false">+AD88+AD89-AD108</f>
        <v>124832</v>
      </c>
      <c r="AE86" s="22" t="n">
        <f aca="false">+AE88+AE89-AE108</f>
        <v>99061</v>
      </c>
      <c r="AF86" s="22" t="n">
        <f aca="false">+AF88+AF89-AF108</f>
        <v>98864</v>
      </c>
      <c r="AG86" s="22" t="n">
        <f aca="false">+AG88+AG89-AG108</f>
        <v>84774</v>
      </c>
      <c r="AH86" s="22" t="n">
        <f aca="false">+AH88+AH89-AH108</f>
        <v>80296</v>
      </c>
      <c r="AI86" s="22" t="n">
        <f aca="false">+AH86+AI41</f>
        <v>226384.1672</v>
      </c>
      <c r="AJ86" s="22" t="n">
        <f aca="false">+AI86+AJ41</f>
        <v>409785.5500664</v>
      </c>
      <c r="AK86" s="22" t="n">
        <f aca="false">+AJ86+AK41</f>
        <v>632590.642336249</v>
      </c>
      <c r="AL86" s="22" t="n">
        <f aca="false">+AK86+AL41</f>
        <v>898779.239132493</v>
      </c>
      <c r="AM86" s="22" t="n">
        <f aca="false">+AL86+AM41</f>
        <v>1211916.84774045</v>
      </c>
      <c r="AN86" s="8"/>
      <c r="AO86" s="8"/>
      <c r="AP86" s="8"/>
      <c r="AQ86" s="8"/>
      <c r="AR86" s="22"/>
      <c r="AS86" s="3" t="s">
        <v>196</v>
      </c>
      <c r="AT86" s="22" t="n">
        <f aca="false">+AT84/AT85</f>
        <v>345.751193400675</v>
      </c>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row>
    <row r="87" customFormat="false" ht="12.8" hidden="false" customHeight="false" outlineLevel="0" collapsed="false">
      <c r="AT87" s="51" t="n">
        <f aca="false">+AT86/Main!E1-1</f>
        <v>0.00509067849033329</v>
      </c>
    </row>
    <row r="88" customFormat="false" ht="12.8" hidden="false" customHeight="false" outlineLevel="0" collapsed="false">
      <c r="A88" s="3" t="s">
        <v>14</v>
      </c>
      <c r="B88" s="3" t="n">
        <v>20886</v>
      </c>
      <c r="C88" s="3" t="n">
        <v>17936</v>
      </c>
      <c r="D88" s="3" t="n">
        <v>21984</v>
      </c>
      <c r="E88" s="3" t="n">
        <v>21879</v>
      </c>
      <c r="F88" s="3" t="n">
        <v>25924</v>
      </c>
      <c r="G88" s="3" t="n">
        <v>25929</v>
      </c>
      <c r="H88" s="3" t="n">
        <v>30702</v>
      </c>
      <c r="I88" s="3" t="n">
        <v>24048</v>
      </c>
      <c r="J88" s="3" t="n">
        <v>24493</v>
      </c>
      <c r="K88" s="3" t="n">
        <v>27225</v>
      </c>
      <c r="L88" s="3" t="n">
        <v>19959</v>
      </c>
      <c r="M88" s="3" t="n">
        <v>23466</v>
      </c>
      <c r="N88" s="3" t="n">
        <v>23264</v>
      </c>
      <c r="O88" s="3" t="n">
        <v>21036</v>
      </c>
      <c r="P88" s="3" t="n">
        <v>23090</v>
      </c>
      <c r="Q88" s="3" t="n">
        <v>30708</v>
      </c>
      <c r="R88" s="3" t="n">
        <v>38063</v>
      </c>
      <c r="S88" s="3" t="n">
        <v>55911</v>
      </c>
      <c r="AC88" s="3" t="n">
        <v>26465</v>
      </c>
      <c r="AD88" s="3" t="n">
        <v>20945</v>
      </c>
      <c r="AE88" s="3" t="n">
        <v>21879</v>
      </c>
      <c r="AF88" s="3" t="n">
        <v>24048</v>
      </c>
      <c r="AG88" s="3" t="n">
        <v>23466</v>
      </c>
      <c r="AH88" s="3" t="n">
        <v>30708</v>
      </c>
    </row>
    <row r="89" customFormat="false" ht="12.8" hidden="false" customHeight="false" outlineLevel="0" collapsed="false">
      <c r="A89" s="3" t="s">
        <v>197</v>
      </c>
      <c r="B89" s="3" t="n">
        <v>113084</v>
      </c>
      <c r="C89" s="3" t="n">
        <v>107061</v>
      </c>
      <c r="D89" s="3" t="n">
        <v>94275</v>
      </c>
      <c r="E89" s="3" t="n">
        <v>91883</v>
      </c>
      <c r="F89" s="3" t="n">
        <v>89178</v>
      </c>
      <c r="G89" s="3" t="n">
        <v>92403</v>
      </c>
      <c r="H89" s="3" t="n">
        <v>89233</v>
      </c>
      <c r="I89" s="3" t="n">
        <v>86686</v>
      </c>
      <c r="J89" s="3" t="n">
        <v>83597</v>
      </c>
      <c r="K89" s="3" t="n">
        <v>73500</v>
      </c>
      <c r="L89" s="3" t="n">
        <v>73271</v>
      </c>
      <c r="M89" s="3" t="n">
        <v>72191</v>
      </c>
      <c r="N89" s="3" t="n">
        <v>72064</v>
      </c>
      <c r="O89" s="3" t="n">
        <v>74112</v>
      </c>
      <c r="P89" s="3" t="n">
        <v>75406</v>
      </c>
      <c r="Q89" s="3" t="n">
        <v>96135</v>
      </c>
      <c r="R89" s="3" t="n">
        <v>88777</v>
      </c>
      <c r="S89" s="3" t="n">
        <v>186563</v>
      </c>
      <c r="AC89" s="3" t="n">
        <v>110229</v>
      </c>
      <c r="AD89" s="3" t="n">
        <v>118704</v>
      </c>
      <c r="AE89" s="3" t="n">
        <v>91883</v>
      </c>
      <c r="AF89" s="3" t="n">
        <v>86686</v>
      </c>
      <c r="AG89" s="3" t="n">
        <v>72191</v>
      </c>
      <c r="AH89" s="3" t="n">
        <v>96135</v>
      </c>
    </row>
    <row r="90" customFormat="false" ht="12.8" hidden="false" customHeight="false" outlineLevel="0" collapsed="false">
      <c r="A90" s="3" t="s">
        <v>198</v>
      </c>
      <c r="B90" s="3" t="n">
        <v>34703</v>
      </c>
      <c r="C90" s="3" t="n">
        <v>35707</v>
      </c>
      <c r="D90" s="3" t="n">
        <v>34697</v>
      </c>
      <c r="E90" s="3" t="n">
        <v>40258</v>
      </c>
      <c r="F90" s="3" t="n">
        <v>36036</v>
      </c>
      <c r="G90" s="3" t="n">
        <v>38804</v>
      </c>
      <c r="H90" s="3" t="n">
        <v>41020</v>
      </c>
      <c r="I90" s="3" t="n">
        <v>47964</v>
      </c>
      <c r="J90" s="3" t="n">
        <v>44552</v>
      </c>
      <c r="K90" s="3" t="n">
        <v>47087</v>
      </c>
      <c r="L90" s="3" t="n">
        <v>49104</v>
      </c>
      <c r="M90" s="3" t="n">
        <v>52340</v>
      </c>
      <c r="N90" s="3" t="n">
        <v>51000</v>
      </c>
      <c r="O90" s="3" t="n">
        <v>55048</v>
      </c>
      <c r="P90" s="3" t="n">
        <v>57148</v>
      </c>
      <c r="Q90" s="3" t="n">
        <v>62886</v>
      </c>
      <c r="R90" s="3" t="n">
        <v>62999</v>
      </c>
      <c r="S90" s="3" t="n">
        <v>69175</v>
      </c>
      <c r="AC90" s="3" t="n">
        <v>30930</v>
      </c>
      <c r="AD90" s="3" t="n">
        <v>39304</v>
      </c>
      <c r="AE90" s="3" t="n">
        <v>40258</v>
      </c>
      <c r="AF90" s="3" t="n">
        <v>47964</v>
      </c>
      <c r="AG90" s="3" t="n">
        <v>52340</v>
      </c>
      <c r="AH90" s="3" t="n">
        <v>62886</v>
      </c>
      <c r="AI90" s="3" t="n">
        <f aca="false">+(AI143*AI19)/365</f>
        <v>69797.7961643835</v>
      </c>
      <c r="AJ90" s="3" t="n">
        <f aca="false">+(AJ143*AJ19)/365</f>
        <v>83142.7909479452</v>
      </c>
      <c r="AK90" s="3" t="n">
        <f aca="false">+(AK143*AK19)/365</f>
        <v>97352.0516094246</v>
      </c>
      <c r="AL90" s="3" t="n">
        <f aca="false">+(AL143*AL19)/365</f>
        <v>112997.235577118</v>
      </c>
      <c r="AM90" s="3" t="n">
        <f aca="false">+(AM143*AM19)/365</f>
        <v>130005.157455873</v>
      </c>
    </row>
    <row r="91" customFormat="false" ht="12.8" hidden="false" customHeight="false" outlineLevel="0" collapsed="false">
      <c r="A91" s="3" t="s">
        <v>199</v>
      </c>
      <c r="B91" s="3" t="n">
        <v>30544</v>
      </c>
      <c r="C91" s="3" t="n">
        <v>30665</v>
      </c>
      <c r="D91" s="3" t="n">
        <v>30419</v>
      </c>
      <c r="E91" s="3" t="n">
        <v>30492</v>
      </c>
      <c r="F91" s="3" t="n">
        <v>31213</v>
      </c>
      <c r="G91" s="3" t="n">
        <v>31224</v>
      </c>
      <c r="H91" s="3" t="n">
        <v>30907</v>
      </c>
      <c r="I91" s="3" t="n">
        <v>31008</v>
      </c>
      <c r="J91" s="3" t="n">
        <v>33994</v>
      </c>
      <c r="K91" s="3" t="n">
        <v>34172</v>
      </c>
      <c r="L91" s="3" t="n">
        <v>36177</v>
      </c>
      <c r="M91" s="3" t="n">
        <v>37982</v>
      </c>
      <c r="N91" s="3" t="n">
        <v>51029</v>
      </c>
      <c r="O91" s="3" t="n">
        <v>52574</v>
      </c>
      <c r="P91" s="3" t="n">
        <v>63800</v>
      </c>
      <c r="Q91" s="3" t="n">
        <v>68687</v>
      </c>
      <c r="R91" s="3" t="n">
        <v>106946</v>
      </c>
      <c r="S91" s="3" t="n">
        <v>131461</v>
      </c>
      <c r="AC91" s="3" t="n">
        <v>20703</v>
      </c>
      <c r="AD91" s="3" t="n">
        <v>29549</v>
      </c>
      <c r="AE91" s="3" t="n">
        <v>30492</v>
      </c>
      <c r="AF91" s="3" t="n">
        <v>31008</v>
      </c>
      <c r="AG91" s="3" t="n">
        <v>37982</v>
      </c>
      <c r="AH91" s="3" t="n">
        <v>68687</v>
      </c>
    </row>
    <row r="92" customFormat="false" ht="12.8" hidden="false" customHeight="false" outlineLevel="0" collapsed="false">
      <c r="A92" s="3" t="s">
        <v>200</v>
      </c>
      <c r="B92" s="3" t="n">
        <v>0</v>
      </c>
      <c r="C92" s="3" t="n">
        <v>0</v>
      </c>
      <c r="D92" s="3" t="n">
        <v>0</v>
      </c>
      <c r="E92" s="3" t="n">
        <v>5261</v>
      </c>
      <c r="F92" s="3" t="n">
        <v>6885</v>
      </c>
      <c r="G92" s="3" t="n">
        <v>9357</v>
      </c>
      <c r="H92" s="3" t="n">
        <v>10983</v>
      </c>
      <c r="I92" s="3" t="n">
        <v>12169</v>
      </c>
      <c r="J92" s="3" t="n">
        <v>0</v>
      </c>
      <c r="K92" s="3" t="n">
        <v>14958</v>
      </c>
      <c r="L92" s="3" t="n">
        <v>15915</v>
      </c>
      <c r="M92" s="3" t="n">
        <v>17180</v>
      </c>
      <c r="N92" s="3" t="n">
        <v>18386</v>
      </c>
      <c r="O92" s="3" t="n">
        <v>19289</v>
      </c>
      <c r="P92" s="3" t="n">
        <v>10331</v>
      </c>
      <c r="Q92" s="3" t="n">
        <v>9113</v>
      </c>
      <c r="R92" s="3" t="n">
        <v>1995</v>
      </c>
      <c r="S92" s="3" t="n">
        <v>1448</v>
      </c>
      <c r="AC92" s="3" t="n">
        <v>0</v>
      </c>
      <c r="AD92" s="3" t="n">
        <v>0</v>
      </c>
      <c r="AE92" s="3" t="n">
        <v>5261</v>
      </c>
      <c r="AF92" s="3" t="n">
        <v>12169</v>
      </c>
      <c r="AG92" s="3" t="n">
        <v>17180</v>
      </c>
      <c r="AH92" s="3" t="n">
        <v>9113</v>
      </c>
    </row>
    <row r="93" customFormat="false" ht="12.8" hidden="false" customHeight="false" outlineLevel="0" collapsed="false">
      <c r="A93" s="3" t="s">
        <v>201</v>
      </c>
      <c r="B93" s="3" t="n">
        <v>104218</v>
      </c>
      <c r="C93" s="3" t="n">
        <v>106223</v>
      </c>
      <c r="D93" s="3" t="n">
        <v>108363</v>
      </c>
      <c r="E93" s="3" t="n">
        <v>112668</v>
      </c>
      <c r="F93" s="3" t="n">
        <v>117560</v>
      </c>
      <c r="G93" s="3" t="n">
        <v>121208</v>
      </c>
      <c r="H93" s="3" t="n">
        <v>125705</v>
      </c>
      <c r="I93" s="3" t="n">
        <v>134345</v>
      </c>
      <c r="J93" s="3" t="n">
        <v>143182</v>
      </c>
      <c r="K93" s="3" t="n">
        <v>151155</v>
      </c>
      <c r="L93" s="3" t="n">
        <v>161270</v>
      </c>
      <c r="M93" s="3" t="n">
        <v>171036</v>
      </c>
      <c r="N93" s="3" t="n">
        <v>185062</v>
      </c>
      <c r="O93" s="3" t="n">
        <v>203231</v>
      </c>
      <c r="P93" s="3" t="n">
        <v>223787</v>
      </c>
      <c r="Q93" s="3" t="n">
        <v>246597</v>
      </c>
      <c r="R93" s="3" t="n">
        <v>281020</v>
      </c>
      <c r="S93" s="3" t="n">
        <v>321212</v>
      </c>
      <c r="AC93" s="3" t="n">
        <v>84749</v>
      </c>
      <c r="AD93" s="3" t="n">
        <v>97599</v>
      </c>
      <c r="AE93" s="3" t="n">
        <v>112668</v>
      </c>
      <c r="AF93" s="3" t="n">
        <v>134345</v>
      </c>
      <c r="AG93" s="3" t="n">
        <v>171036</v>
      </c>
      <c r="AH93" s="3" t="n">
        <v>246597</v>
      </c>
    </row>
    <row r="94" customFormat="false" ht="12.8" hidden="false" customHeight="false" outlineLevel="0" collapsed="false">
      <c r="A94" s="3" t="s">
        <v>202</v>
      </c>
      <c r="B94" s="3" t="n">
        <v>12992</v>
      </c>
      <c r="C94" s="3" t="n">
        <v>13398</v>
      </c>
      <c r="D94" s="3" t="n">
        <v>13677</v>
      </c>
      <c r="E94" s="3" t="n">
        <v>14381</v>
      </c>
      <c r="F94" s="3" t="n">
        <v>14447</v>
      </c>
      <c r="G94" s="3" t="n">
        <v>14469</v>
      </c>
      <c r="H94" s="3" t="n">
        <v>14199</v>
      </c>
      <c r="I94" s="3" t="n">
        <v>14091</v>
      </c>
      <c r="J94" s="3" t="n">
        <v>13768</v>
      </c>
      <c r="K94" s="3" t="n">
        <v>13606</v>
      </c>
      <c r="L94" s="3" t="n">
        <v>13561</v>
      </c>
      <c r="M94" s="3" t="n">
        <v>13588</v>
      </c>
      <c r="N94" s="3" t="n">
        <v>13722</v>
      </c>
      <c r="O94" s="3" t="n">
        <v>14255</v>
      </c>
      <c r="P94" s="3" t="n">
        <v>14524</v>
      </c>
      <c r="Q94" s="3" t="n">
        <v>15221</v>
      </c>
      <c r="R94" s="3" t="n">
        <v>15509</v>
      </c>
      <c r="S94" s="3" t="n">
        <v>17694</v>
      </c>
      <c r="AC94" s="3" t="n">
        <v>12211</v>
      </c>
      <c r="AD94" s="3" t="n">
        <v>12959</v>
      </c>
      <c r="AE94" s="3" t="n">
        <v>14381</v>
      </c>
      <c r="AF94" s="3" t="n">
        <v>14091</v>
      </c>
      <c r="AG94" s="3" t="n">
        <v>13588</v>
      </c>
      <c r="AH94" s="3" t="n">
        <v>15221</v>
      </c>
    </row>
    <row r="95" customFormat="false" ht="12.8" hidden="false" customHeight="false" outlineLevel="0" collapsed="false">
      <c r="A95" s="3" t="s">
        <v>203</v>
      </c>
      <c r="B95" s="3" t="n">
        <v>23010</v>
      </c>
      <c r="C95" s="3" t="n">
        <v>23949</v>
      </c>
      <c r="D95" s="3" t="n">
        <v>28834</v>
      </c>
      <c r="E95" s="3" t="n">
        <v>28960</v>
      </c>
      <c r="F95" s="3" t="n">
        <v>28994</v>
      </c>
      <c r="G95" s="3" t="n">
        <v>29210</v>
      </c>
      <c r="H95" s="3" t="n">
        <v>29146</v>
      </c>
      <c r="I95" s="3" t="n">
        <v>29198</v>
      </c>
      <c r="J95" s="3" t="n">
        <v>29183</v>
      </c>
      <c r="K95" s="3" t="n">
        <v>29185</v>
      </c>
      <c r="L95" s="3" t="n">
        <v>31935</v>
      </c>
      <c r="M95" s="3" t="n">
        <v>31885</v>
      </c>
      <c r="N95" s="3" t="n">
        <v>32173</v>
      </c>
      <c r="O95" s="3" t="n">
        <v>32885</v>
      </c>
      <c r="P95" s="3" t="n">
        <v>33269</v>
      </c>
      <c r="Q95" s="3" t="n">
        <v>33380</v>
      </c>
      <c r="R95" s="3" t="n">
        <f aca="false">+57774+9444</f>
        <v>67218</v>
      </c>
      <c r="S95" s="3" t="n">
        <f aca="false">+57828+9105</f>
        <v>66933</v>
      </c>
      <c r="AC95" s="3" t="n">
        <v>21175</v>
      </c>
      <c r="AD95" s="3" t="n">
        <v>22956</v>
      </c>
      <c r="AE95" s="3" t="n">
        <v>28960</v>
      </c>
      <c r="AF95" s="3" t="n">
        <v>29198</v>
      </c>
      <c r="AG95" s="3" t="n">
        <v>31885</v>
      </c>
      <c r="AH95" s="3" t="n">
        <v>33380</v>
      </c>
    </row>
    <row r="96" customFormat="false" ht="12.8" hidden="false" customHeight="false" outlineLevel="0" collapsed="false">
      <c r="A96" s="3" t="s">
        <v>204</v>
      </c>
      <c r="B96" s="3" t="n">
        <f aca="false">+5778+1388+1369+6892+919+1313</f>
        <v>17659</v>
      </c>
      <c r="C96" s="3" t="n">
        <f aca="false">+5712+1377+8321+1980+1366+1490</f>
        <v>20246</v>
      </c>
      <c r="D96" s="3" t="n">
        <f aca="false">+5670+2192+2991+10518+3156+1479</f>
        <v>26006</v>
      </c>
      <c r="E96" s="3" t="n">
        <f aca="false">+8707+10775</f>
        <v>19482</v>
      </c>
      <c r="F96" s="3" t="n">
        <f aca="false">+6439+1968+2315+8532</f>
        <v>19254</v>
      </c>
      <c r="G96" s="3" t="n">
        <f aca="false">+6822+1966+9421+2231</f>
        <v>20440</v>
      </c>
      <c r="H96" s="3" t="n">
        <f aca="false">+7628+1833+12398+2957</f>
        <v>24816</v>
      </c>
      <c r="I96" s="3" t="n">
        <f aca="false">+10051+12650</f>
        <v>22701</v>
      </c>
      <c r="J96" s="3" t="n">
        <f aca="false">+10065+12829+11687</f>
        <v>34581</v>
      </c>
      <c r="K96" s="3" t="n">
        <f aca="false">+9699+14183</f>
        <v>23882</v>
      </c>
      <c r="L96" s="3" t="n">
        <f aca="false">+13867+15207</f>
        <v>29074</v>
      </c>
      <c r="M96" s="3" t="n">
        <f aca="false">+14874+15714</f>
        <v>30588</v>
      </c>
      <c r="N96" s="3" t="n">
        <f aca="false">+15724+12950</f>
        <v>28674</v>
      </c>
      <c r="O96" s="3" t="n">
        <f aca="false">+16020+14153</f>
        <v>30173</v>
      </c>
      <c r="P96" s="3" t="n">
        <f aca="false">+16811+18303</f>
        <v>35114</v>
      </c>
      <c r="Q96" s="3" t="n">
        <f aca="false">+16245+16309</f>
        <v>32554</v>
      </c>
      <c r="R96" s="3" t="n">
        <f aca="false">+17478+23914</f>
        <v>41392</v>
      </c>
      <c r="S96" s="3" t="n">
        <f aca="false">+39711+21884+9991</f>
        <v>71586</v>
      </c>
      <c r="AC96" s="3" t="n">
        <f aca="false">+3953+1445+1084+5490+728+454</f>
        <v>13154</v>
      </c>
      <c r="AD96" s="3" t="n">
        <f aca="false">+5361+1417+1284+7054+1170+966</f>
        <v>17252</v>
      </c>
      <c r="AE96" s="3" t="n">
        <f aca="false">+8707+10775</f>
        <v>19482</v>
      </c>
      <c r="AF96" s="3" t="n">
        <f aca="false">+10051+12650</f>
        <v>22701</v>
      </c>
      <c r="AG96" s="3" t="n">
        <f aca="false">+14874+15714</f>
        <v>30588</v>
      </c>
      <c r="AH96" s="3" t="n">
        <f aca="false">+16245+16309</f>
        <v>32554</v>
      </c>
    </row>
    <row r="97" customFormat="false" ht="12.8" hidden="false" customHeight="false" outlineLevel="0" collapsed="false">
      <c r="A97" s="3" t="s">
        <v>205</v>
      </c>
      <c r="B97" s="3" t="n">
        <f aca="false">SUM(B88:B96)</f>
        <v>357096</v>
      </c>
      <c r="C97" s="3" t="n">
        <f aca="false">SUM(C88:C96)</f>
        <v>355185</v>
      </c>
      <c r="D97" s="3" t="n">
        <f aca="false">SUM(D88:D96)</f>
        <v>358255</v>
      </c>
      <c r="E97" s="3" t="n">
        <f aca="false">SUM(E88:E96)</f>
        <v>365264</v>
      </c>
      <c r="F97" s="3" t="n">
        <f aca="false">SUM(F88:F96)</f>
        <v>369491</v>
      </c>
      <c r="G97" s="3" t="n">
        <f aca="false">SUM(G88:G96)</f>
        <v>383044</v>
      </c>
      <c r="H97" s="3" t="n">
        <f aca="false">SUM(H88:H96)</f>
        <v>396711</v>
      </c>
      <c r="I97" s="3" t="n">
        <f aca="false">SUM(I88:I96)</f>
        <v>402210</v>
      </c>
      <c r="J97" s="3" t="n">
        <f aca="false">SUM(J88:J96)</f>
        <v>407350</v>
      </c>
      <c r="K97" s="3" t="n">
        <f aca="false">SUM(K88:K96)</f>
        <v>414770</v>
      </c>
      <c r="L97" s="3" t="n">
        <f aca="false">SUM(L88:L96)</f>
        <v>430266</v>
      </c>
      <c r="M97" s="3" t="n">
        <f aca="false">SUM(M88:M96)</f>
        <v>450256</v>
      </c>
      <c r="N97" s="3" t="n">
        <f aca="false">SUM(N88:N96)</f>
        <v>475374</v>
      </c>
      <c r="O97" s="3" t="n">
        <f aca="false">SUM(O88:O96)</f>
        <v>502603</v>
      </c>
      <c r="P97" s="3" t="n">
        <f aca="false">SUM(P88:P96)</f>
        <v>536469</v>
      </c>
      <c r="Q97" s="3" t="n">
        <f aca="false">SUM(Q88:Q96)</f>
        <v>595281</v>
      </c>
      <c r="R97" s="3" t="n">
        <f aca="false">SUM(R88:R96)</f>
        <v>703919</v>
      </c>
      <c r="S97" s="3" t="n">
        <f aca="false">SUM(S88:S96)</f>
        <v>921983</v>
      </c>
      <c r="T97" s="3" t="n">
        <f aca="false">SUM(T88:T96)</f>
        <v>0</v>
      </c>
      <c r="AC97" s="3" t="n">
        <f aca="false">SUM(AC88:AC96)</f>
        <v>319616</v>
      </c>
      <c r="AD97" s="3" t="n">
        <f aca="false">SUM(AD88:AD96)</f>
        <v>359268</v>
      </c>
      <c r="AE97" s="3" t="n">
        <f aca="false">SUM(AE88:AE96)</f>
        <v>365264</v>
      </c>
      <c r="AF97" s="3" t="n">
        <f aca="false">SUM(AF88:AF96)</f>
        <v>402210</v>
      </c>
      <c r="AG97" s="3" t="n">
        <f aca="false">SUM(AG88:AG96)</f>
        <v>450256</v>
      </c>
      <c r="AH97" s="3" t="n">
        <f aca="false">SUM(AH88:AH96)</f>
        <v>595281</v>
      </c>
    </row>
    <row r="98" s="19" customFormat="true" ht="12.8"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1"/>
      <c r="AO98" s="1"/>
      <c r="AP98" s="1"/>
      <c r="AQ98" s="1"/>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17"/>
      <c r="DJ98" s="17"/>
      <c r="DK98" s="17"/>
      <c r="DL98" s="17"/>
      <c r="DM98" s="17"/>
      <c r="DN98" s="17"/>
    </row>
    <row r="99" customFormat="false" ht="12.8" hidden="false" customHeight="false" outlineLevel="0" collapsed="false">
      <c r="A99" s="3" t="s">
        <v>206</v>
      </c>
      <c r="B99" s="3" t="n">
        <v>3436</v>
      </c>
      <c r="C99" s="3" t="n">
        <v>4409</v>
      </c>
      <c r="D99" s="3" t="n">
        <v>6303</v>
      </c>
      <c r="E99" s="3" t="n">
        <v>5128</v>
      </c>
      <c r="F99" s="3" t="n">
        <v>4184</v>
      </c>
      <c r="G99" s="3" t="n">
        <v>5313</v>
      </c>
      <c r="H99" s="3" t="n">
        <v>5803</v>
      </c>
      <c r="I99" s="3" t="n">
        <v>7493</v>
      </c>
      <c r="J99" s="3" t="n">
        <v>6198</v>
      </c>
      <c r="K99" s="3" t="n">
        <v>6092</v>
      </c>
      <c r="L99" s="3" t="n">
        <v>7049</v>
      </c>
      <c r="M99" s="3" t="n">
        <v>7987</v>
      </c>
      <c r="N99" s="3" t="n">
        <v>8497</v>
      </c>
      <c r="O99" s="3" t="n">
        <v>8347</v>
      </c>
      <c r="P99" s="3" t="n">
        <v>10546</v>
      </c>
      <c r="Q99" s="3" t="n">
        <v>12200</v>
      </c>
      <c r="R99" s="3" t="n">
        <v>16852</v>
      </c>
      <c r="S99" s="3" t="n">
        <v>20258</v>
      </c>
      <c r="AC99" s="3" t="n">
        <v>5589</v>
      </c>
      <c r="AD99" s="3" t="n">
        <v>6037</v>
      </c>
      <c r="AE99" s="3" t="n">
        <v>5128</v>
      </c>
      <c r="AF99" s="3" t="n">
        <v>7493</v>
      </c>
      <c r="AG99" s="3" t="n">
        <v>7987</v>
      </c>
      <c r="AH99" s="3" t="n">
        <v>12200</v>
      </c>
      <c r="AI99" s="3" t="n">
        <f aca="false">+(AI144*AI21)/365</f>
        <v>12224.1438427348</v>
      </c>
      <c r="AJ99" s="3" t="n">
        <f aca="false">+(AJ144*AJ21)/365</f>
        <v>14841.2318138164</v>
      </c>
      <c r="AK99" s="3" t="n">
        <f aca="false">+(AK144*AK21)/365</f>
        <v>17681.1214339225</v>
      </c>
      <c r="AL99" s="3" t="n">
        <f aca="false">+(AL144*AL21)/365</f>
        <v>20847.528533865</v>
      </c>
      <c r="AM99" s="3" t="n">
        <f aca="false">+(AM144*AM21)/365</f>
        <v>24328.6486793808</v>
      </c>
    </row>
    <row r="100" s="19" customFormat="true" ht="12.8" hidden="false" customHeight="false" outlineLevel="0" collapsed="false">
      <c r="A100" s="3" t="s">
        <v>207</v>
      </c>
      <c r="B100" s="3" t="n">
        <v>9803</v>
      </c>
      <c r="C100" s="3" t="n">
        <v>10852</v>
      </c>
      <c r="D100" s="3" t="n">
        <v>12366</v>
      </c>
      <c r="E100" s="3" t="n">
        <v>14028</v>
      </c>
      <c r="F100" s="3" t="n">
        <v>9954</v>
      </c>
      <c r="G100" s="3" t="n">
        <v>11260</v>
      </c>
      <c r="H100" s="3" t="n">
        <v>12562</v>
      </c>
      <c r="I100" s="3" t="n">
        <v>15140</v>
      </c>
      <c r="J100" s="3" t="n">
        <v>9703</v>
      </c>
      <c r="K100" s="3" t="n">
        <v>11373</v>
      </c>
      <c r="L100" s="3" t="n">
        <v>12908</v>
      </c>
      <c r="M100" s="3" t="n">
        <v>15069</v>
      </c>
      <c r="N100" s="3" t="n">
        <v>9984</v>
      </c>
      <c r="O100" s="3" t="n">
        <v>12168</v>
      </c>
      <c r="P100" s="3" t="n">
        <v>13944</v>
      </c>
      <c r="Q100" s="3" t="n">
        <v>17546</v>
      </c>
      <c r="R100" s="3" t="n">
        <v>13947</v>
      </c>
      <c r="S100" s="3" t="n">
        <v>15086</v>
      </c>
      <c r="T100" s="3"/>
      <c r="U100" s="3"/>
      <c r="V100" s="3"/>
      <c r="W100" s="3"/>
      <c r="X100" s="3"/>
      <c r="Y100" s="3"/>
      <c r="Z100" s="3"/>
      <c r="AA100" s="3"/>
      <c r="AB100" s="3"/>
      <c r="AC100" s="3" t="n">
        <v>11086</v>
      </c>
      <c r="AD100" s="3" t="n">
        <v>13889</v>
      </c>
      <c r="AE100" s="3" t="n">
        <v>14028</v>
      </c>
      <c r="AF100" s="3" t="n">
        <v>15140</v>
      </c>
      <c r="AG100" s="3" t="n">
        <v>15069</v>
      </c>
      <c r="AH100" s="3" t="n">
        <v>17546</v>
      </c>
      <c r="AI100" s="3" t="n">
        <f aca="false">+AH100*1.15</f>
        <v>20177.9</v>
      </c>
      <c r="AJ100" s="3" t="n">
        <f aca="false">+AI100*1.15</f>
        <v>23204.585</v>
      </c>
      <c r="AK100" s="3" t="n">
        <f aca="false">+AJ100*1.15</f>
        <v>26685.27275</v>
      </c>
      <c r="AL100" s="3" t="n">
        <f aca="false">+AK100*1.15</f>
        <v>30688.0636625</v>
      </c>
      <c r="AM100" s="3" t="n">
        <f aca="false">+AL100*1.15</f>
        <v>35291.273211875</v>
      </c>
      <c r="AN100" s="1"/>
      <c r="AO100" s="1"/>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17"/>
      <c r="DJ100" s="17"/>
      <c r="DK100" s="17"/>
      <c r="DL100" s="17"/>
      <c r="DM100" s="17"/>
      <c r="DN100" s="17"/>
    </row>
    <row r="101" customFormat="false" ht="10.5" hidden="false" customHeight="true" outlineLevel="0" collapsed="false">
      <c r="A101" s="19"/>
      <c r="B101" s="19"/>
      <c r="C101" s="19"/>
      <c r="D101" s="19"/>
      <c r="E101" s="19"/>
      <c r="F101" s="19" t="n">
        <f aca="false">+F100/B100-1</f>
        <v>0.015403447924105</v>
      </c>
      <c r="G101" s="19" t="n">
        <f aca="false">+G100/C100-1</f>
        <v>0.0375967563582749</v>
      </c>
      <c r="H101" s="19" t="n">
        <f aca="false">+H100/D100-1</f>
        <v>0.0158499110464176</v>
      </c>
      <c r="I101" s="19" t="n">
        <f aca="false">+I100/E100-1</f>
        <v>0.0792700313658397</v>
      </c>
      <c r="J101" s="19" t="n">
        <f aca="false">+J100/F100-1</f>
        <v>-0.0252159935704239</v>
      </c>
      <c r="K101" s="19" t="n">
        <f aca="false">+K100/G100-1</f>
        <v>0.0100355239786856</v>
      </c>
      <c r="L101" s="19" t="n">
        <f aca="false">+L100/H100-1</f>
        <v>0.0275433848113358</v>
      </c>
      <c r="M101" s="19" t="n">
        <f aca="false">+M100/I100-1</f>
        <v>-0.00468956406869225</v>
      </c>
      <c r="N101" s="19" t="n">
        <f aca="false">+N100/J100-1</f>
        <v>0.028960115428218</v>
      </c>
      <c r="O101" s="19" t="n">
        <f aca="false">+O100/K100-1</f>
        <v>0.0699024004220523</v>
      </c>
      <c r="P101" s="19" t="n">
        <f aca="false">+P100/L100-1</f>
        <v>0.0802603036876355</v>
      </c>
      <c r="Q101" s="19" t="n">
        <f aca="false">+Q100/M100-1</f>
        <v>0.164377198221514</v>
      </c>
      <c r="R101" s="19" t="n">
        <f aca="false">+R100/N100-1</f>
        <v>0.396935096153846</v>
      </c>
      <c r="S101" s="19" t="n">
        <f aca="false">+S100/O100-1</f>
        <v>0.239809335963182</v>
      </c>
      <c r="T101" s="19"/>
      <c r="U101" s="19"/>
      <c r="V101" s="19"/>
      <c r="W101" s="19"/>
      <c r="X101" s="19"/>
      <c r="Y101" s="19"/>
      <c r="Z101" s="19"/>
      <c r="AA101" s="19"/>
      <c r="AB101" s="19"/>
      <c r="AC101" s="19"/>
      <c r="AD101" s="19" t="n">
        <f aca="false">AD100/AC100-1</f>
        <v>0.252841421612845</v>
      </c>
      <c r="AE101" s="19" t="n">
        <f aca="false">AE100/AD100-1</f>
        <v>0.0100079199366405</v>
      </c>
      <c r="AF101" s="19" t="n">
        <f aca="false">AF100/AE100-1</f>
        <v>0.0792700313658397</v>
      </c>
      <c r="AG101" s="19" t="n">
        <f aca="false">AG100/AF100-1</f>
        <v>-0.00468956406869225</v>
      </c>
      <c r="AH101" s="19" t="n">
        <f aca="false">AH100/AG100-1</f>
        <v>0.164377198221514</v>
      </c>
      <c r="AI101" s="19" t="n">
        <f aca="false">AI100/AH100-1</f>
        <v>0.15</v>
      </c>
      <c r="AJ101" s="19" t="n">
        <f aca="false">AJ100/AI100-1</f>
        <v>0.15</v>
      </c>
      <c r="AK101" s="19" t="n">
        <f aca="false">AK100/AJ100-1</f>
        <v>0.15</v>
      </c>
      <c r="AL101" s="19" t="n">
        <f aca="false">AL100/AK100-1</f>
        <v>0.15</v>
      </c>
      <c r="AM101" s="19" t="n">
        <f aca="false">AM100/AL100-1</f>
        <v>0.15</v>
      </c>
      <c r="AN101" s="19"/>
      <c r="AO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row>
    <row r="102" s="19" customFormat="true" ht="12.8" hidden="false" customHeight="false" outlineLevel="0" collapsed="false">
      <c r="A102" s="3" t="s">
        <v>208</v>
      </c>
      <c r="B102" s="3" t="n">
        <v>33051</v>
      </c>
      <c r="C102" s="3" t="n">
        <v>32976</v>
      </c>
      <c r="D102" s="3" t="n">
        <v>35038</v>
      </c>
      <c r="E102" s="3" t="n">
        <v>37866</v>
      </c>
      <c r="F102" s="3" t="n">
        <v>43185</v>
      </c>
      <c r="G102" s="3" t="n">
        <v>49300</v>
      </c>
      <c r="H102" s="3" t="n">
        <v>55602</v>
      </c>
      <c r="I102" s="3" t="n">
        <v>46168</v>
      </c>
      <c r="J102" s="3" t="n">
        <v>48603</v>
      </c>
      <c r="K102" s="3" t="n">
        <v>47298</v>
      </c>
      <c r="L102" s="3" t="n">
        <v>46585</v>
      </c>
      <c r="M102" s="3" t="n">
        <v>51228</v>
      </c>
      <c r="N102" s="3" t="n">
        <v>58300</v>
      </c>
      <c r="O102" s="3" t="n">
        <v>52039</v>
      </c>
      <c r="P102" s="3" t="n">
        <v>59437</v>
      </c>
      <c r="Q102" s="3" t="n">
        <v>5557</v>
      </c>
      <c r="R102" s="3" t="n">
        <v>63019</v>
      </c>
      <c r="S102" s="3" t="n">
        <v>73014</v>
      </c>
      <c r="T102" s="3"/>
      <c r="U102" s="3"/>
      <c r="V102" s="3"/>
      <c r="W102" s="3"/>
      <c r="X102" s="3"/>
      <c r="Y102" s="3"/>
      <c r="Z102" s="3"/>
      <c r="AA102" s="3"/>
      <c r="AB102" s="3"/>
      <c r="AC102" s="3" t="n">
        <v>28631</v>
      </c>
      <c r="AD102" s="3" t="n">
        <v>31236</v>
      </c>
      <c r="AE102" s="3" t="n">
        <v>37866</v>
      </c>
      <c r="AF102" s="3" t="n">
        <v>46168</v>
      </c>
      <c r="AG102" s="3" t="n">
        <v>51228</v>
      </c>
      <c r="AH102" s="3" t="n">
        <v>5557</v>
      </c>
      <c r="AI102" s="3" t="n">
        <f aca="false">+AH102*1.15</f>
        <v>6390.55</v>
      </c>
      <c r="AJ102" s="3" t="n">
        <f aca="false">+AI102*1.15</f>
        <v>7349.1325</v>
      </c>
      <c r="AK102" s="3" t="n">
        <f aca="false">+AJ102*1.15</f>
        <v>8451.502375</v>
      </c>
      <c r="AL102" s="3" t="n">
        <f aca="false">+AK102*1.15</f>
        <v>9719.22773125</v>
      </c>
      <c r="AM102" s="3" t="n">
        <f aca="false">+AL102*1.15</f>
        <v>11177.1118909375</v>
      </c>
      <c r="AN102" s="1"/>
      <c r="AO102" s="1"/>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17"/>
      <c r="DJ102" s="17"/>
      <c r="DK102" s="17"/>
      <c r="DL102" s="17"/>
      <c r="DM102" s="17"/>
      <c r="DN102" s="17"/>
    </row>
    <row r="103" customFormat="false" ht="10.5" hidden="false" customHeight="true" outlineLevel="0" collapsed="false">
      <c r="A103" s="19"/>
      <c r="B103" s="19"/>
      <c r="C103" s="19"/>
      <c r="D103" s="19"/>
      <c r="E103" s="19"/>
      <c r="F103" s="19" t="n">
        <f aca="false">+F102/B102-1</f>
        <v>0.306617046382863</v>
      </c>
      <c r="G103" s="19" t="n">
        <f aca="false">+G102/C102-1</f>
        <v>0.495026686074721</v>
      </c>
      <c r="H103" s="19" t="n">
        <f aca="false">+H102/D102-1</f>
        <v>0.586905645299389</v>
      </c>
      <c r="I103" s="19" t="n">
        <f aca="false">+I102/E102-1</f>
        <v>0.219246817725664</v>
      </c>
      <c r="J103" s="19" t="n">
        <f aca="false">+J102/F102-1</f>
        <v>0.125460229246266</v>
      </c>
      <c r="K103" s="19" t="n">
        <f aca="false">+K102/G102-1</f>
        <v>-0.0406085192697768</v>
      </c>
      <c r="L103" s="19" t="n">
        <f aca="false">+L102/H102-1</f>
        <v>-0.162170425524262</v>
      </c>
      <c r="M103" s="19" t="n">
        <f aca="false">+M102/I102-1</f>
        <v>0.109599722751689</v>
      </c>
      <c r="N103" s="19" t="n">
        <f aca="false">+N102/J102-1</f>
        <v>0.199514433265436</v>
      </c>
      <c r="O103" s="19" t="n">
        <f aca="false">+O102/K102-1</f>
        <v>0.100236796481881</v>
      </c>
      <c r="P103" s="19" t="n">
        <f aca="false">+P102/L102-1</f>
        <v>0.275882794891059</v>
      </c>
      <c r="Q103" s="19" t="n">
        <f aca="false">+Q102/M102-1</f>
        <v>-0.891524166471461</v>
      </c>
      <c r="R103" s="19" t="n">
        <f aca="false">+R102/N102-1</f>
        <v>0.080943396226415</v>
      </c>
      <c r="S103" s="19" t="n">
        <f aca="false">+S102/O102-1</f>
        <v>0.40306308729991</v>
      </c>
      <c r="T103" s="19"/>
      <c r="U103" s="19"/>
      <c r="V103" s="19"/>
      <c r="W103" s="19"/>
      <c r="X103" s="19"/>
      <c r="Y103" s="19"/>
      <c r="Z103" s="19"/>
      <c r="AA103" s="19"/>
      <c r="AB103" s="19"/>
      <c r="AC103" s="19"/>
      <c r="AD103" s="19" t="n">
        <f aca="false">AD102/AC102-1</f>
        <v>0.090985295658552</v>
      </c>
      <c r="AE103" s="19" t="n">
        <f aca="false">AE102/AD102-1</f>
        <v>0.212255090280446</v>
      </c>
      <c r="AF103" s="19" t="n">
        <f aca="false">AF102/AE102-1</f>
        <v>0.219246817725664</v>
      </c>
      <c r="AG103" s="19" t="n">
        <f aca="false">AG102/AF102-1</f>
        <v>0.109599722751689</v>
      </c>
      <c r="AH103" s="19" t="n">
        <f aca="false">AH102/AG102-1</f>
        <v>-0.891524166471461</v>
      </c>
      <c r="AI103" s="19" t="n">
        <f aca="false">AI102/AH102-1</f>
        <v>0.15</v>
      </c>
      <c r="AJ103" s="19" t="n">
        <f aca="false">AJ102/AI102-1</f>
        <v>0.15</v>
      </c>
      <c r="AK103" s="19" t="n">
        <f aca="false">AK102/AJ102-1</f>
        <v>0.15</v>
      </c>
      <c r="AL103" s="19" t="n">
        <f aca="false">AL102/AK102-1</f>
        <v>0.15</v>
      </c>
      <c r="AM103" s="19" t="n">
        <f aca="false">AM102/AL102-1</f>
        <v>0.15</v>
      </c>
      <c r="AN103" s="19"/>
      <c r="AO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row>
    <row r="104" s="19" customFormat="true" ht="12.8" hidden="false" customHeight="false" outlineLevel="0" collapsed="false">
      <c r="A104" s="3" t="s">
        <v>209</v>
      </c>
      <c r="B104" s="3" t="n">
        <v>8116</v>
      </c>
      <c r="C104" s="3" t="n">
        <v>7889</v>
      </c>
      <c r="D104" s="3" t="n">
        <v>7662</v>
      </c>
      <c r="E104" s="3" t="n">
        <v>8370</v>
      </c>
      <c r="F104" s="3" t="n">
        <v>7816</v>
      </c>
      <c r="G104" s="3" t="n">
        <v>7990</v>
      </c>
      <c r="H104" s="3" t="n">
        <v>8025</v>
      </c>
      <c r="I104" s="3" t="n">
        <v>8876</v>
      </c>
      <c r="J104" s="3" t="n">
        <v>8520</v>
      </c>
      <c r="K104" s="3" t="n">
        <v>8899</v>
      </c>
      <c r="L104" s="3" t="n">
        <v>9365</v>
      </c>
      <c r="M104" s="3" t="n">
        <v>9802</v>
      </c>
      <c r="N104" s="3" t="n">
        <v>9965</v>
      </c>
      <c r="O104" s="3" t="n">
        <v>9787</v>
      </c>
      <c r="P104" s="3" t="n">
        <v>10081</v>
      </c>
      <c r="Q104" s="3" t="n">
        <v>10864</v>
      </c>
      <c r="R104" s="3" t="n">
        <v>10208</v>
      </c>
      <c r="S104" s="3" t="n">
        <v>10599</v>
      </c>
      <c r="T104" s="3"/>
      <c r="U104" s="3"/>
      <c r="V104" s="3"/>
      <c r="W104" s="3"/>
      <c r="X104" s="3"/>
      <c r="Y104" s="3"/>
      <c r="Z104" s="3"/>
      <c r="AA104" s="3"/>
      <c r="AB104" s="3"/>
      <c r="AC104" s="3" t="n">
        <v>7500</v>
      </c>
      <c r="AD104" s="3" t="n">
        <v>8996</v>
      </c>
      <c r="AE104" s="3" t="n">
        <v>8370</v>
      </c>
      <c r="AF104" s="3" t="n">
        <v>8876</v>
      </c>
      <c r="AG104" s="3" t="n">
        <v>9802</v>
      </c>
      <c r="AH104" s="3" t="n">
        <v>10864</v>
      </c>
      <c r="AI104" s="3" t="n">
        <f aca="false">+AH104*1.1</f>
        <v>11950.4</v>
      </c>
      <c r="AJ104" s="3" t="n">
        <f aca="false">+AI104*1.1</f>
        <v>13145.44</v>
      </c>
      <c r="AK104" s="3" t="n">
        <f aca="false">+AJ104*1.1</f>
        <v>14459.984</v>
      </c>
      <c r="AL104" s="3" t="n">
        <f aca="false">+AK104*1.1</f>
        <v>15905.9824</v>
      </c>
      <c r="AM104" s="3" t="n">
        <f aca="false">+AL104*1.1</f>
        <v>17496.58064</v>
      </c>
      <c r="AN104" s="1"/>
      <c r="AO104" s="1"/>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17"/>
      <c r="DJ104" s="17"/>
      <c r="DK104" s="17"/>
      <c r="DL104" s="17"/>
      <c r="DM104" s="17"/>
      <c r="DN104" s="17"/>
    </row>
    <row r="105" customFormat="false" ht="10.5" hidden="false" customHeight="true" outlineLevel="0" collapsed="false">
      <c r="A105" s="19"/>
      <c r="B105" s="19"/>
      <c r="C105" s="19"/>
      <c r="D105" s="19"/>
      <c r="E105" s="19"/>
      <c r="F105" s="19" t="n">
        <f aca="false">+F104/B104-1</f>
        <v>-0.0369640216855593</v>
      </c>
      <c r="G105" s="19" t="n">
        <f aca="false">+G104/C104-1</f>
        <v>0.0128026365825833</v>
      </c>
      <c r="H105" s="19" t="n">
        <f aca="false">+H104/D104-1</f>
        <v>0.0473766640563822</v>
      </c>
      <c r="I105" s="19" t="n">
        <f aca="false">+I104/E104-1</f>
        <v>0.0604540023894862</v>
      </c>
      <c r="J105" s="19" t="n">
        <f aca="false">+J104/F104-1</f>
        <v>0.0900716479017401</v>
      </c>
      <c r="K105" s="19" t="n">
        <f aca="false">+K104/G104-1</f>
        <v>0.113767209011264</v>
      </c>
      <c r="L105" s="19" t="n">
        <f aca="false">+L104/H104-1</f>
        <v>0.166978193146417</v>
      </c>
      <c r="M105" s="19" t="n">
        <f aca="false">+M104/I104-1</f>
        <v>0.104326273095989</v>
      </c>
      <c r="N105" s="19" t="n">
        <f aca="false">+N104/J104-1</f>
        <v>0.169600938967136</v>
      </c>
      <c r="O105" s="19" t="n">
        <f aca="false">+O104/K104-1</f>
        <v>0.0997864928643668</v>
      </c>
      <c r="P105" s="19" t="n">
        <f aca="false">+P104/L104-1</f>
        <v>0.0764548852108917</v>
      </c>
      <c r="Q105" s="19" t="n">
        <f aca="false">+Q104/M104-1</f>
        <v>0.10834523566619</v>
      </c>
      <c r="R105" s="19" t="n">
        <f aca="false">+R104/N104-1</f>
        <v>0.0243853487205219</v>
      </c>
      <c r="S105" s="19" t="n">
        <f aca="false">+S104/O104-1</f>
        <v>0.0829672013895983</v>
      </c>
      <c r="T105" s="19"/>
      <c r="U105" s="19"/>
      <c r="V105" s="19"/>
      <c r="W105" s="19"/>
      <c r="X105" s="19"/>
      <c r="Y105" s="19"/>
      <c r="Z105" s="19"/>
      <c r="AA105" s="19"/>
      <c r="AB105" s="19"/>
      <c r="AC105" s="19"/>
      <c r="AD105" s="19" t="n">
        <f aca="false">AD104/AC104-1</f>
        <v>0.199466666666667</v>
      </c>
      <c r="AE105" s="19" t="n">
        <f aca="false">AE104/AD104-1</f>
        <v>-0.0695864828812806</v>
      </c>
      <c r="AF105" s="19" t="n">
        <f aca="false">AF104/AE104-1</f>
        <v>0.0604540023894862</v>
      </c>
      <c r="AG105" s="19" t="n">
        <f aca="false">AG104/AF104-1</f>
        <v>0.104326273095989</v>
      </c>
      <c r="AH105" s="19" t="n">
        <f aca="false">AH104/AG104-1</f>
        <v>0.10834523566619</v>
      </c>
      <c r="AI105" s="19" t="n">
        <f aca="false">AI104/AH104-1</f>
        <v>0.1</v>
      </c>
      <c r="AJ105" s="19" t="n">
        <f aca="false">AJ104/AI104-1</f>
        <v>0.1</v>
      </c>
      <c r="AK105" s="19" t="n">
        <f aca="false">AK104/AJ104-1</f>
        <v>0.1</v>
      </c>
      <c r="AL105" s="19" t="n">
        <f aca="false">AL104/AK104-1</f>
        <v>0.1</v>
      </c>
      <c r="AM105" s="19" t="n">
        <f aca="false">AM104/AL104-1</f>
        <v>0.1</v>
      </c>
      <c r="AN105" s="19"/>
      <c r="AO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row>
    <row r="106" customFormat="false" ht="12.8" hidden="false" customHeight="false" outlineLevel="0" collapsed="false">
      <c r="A106" s="3" t="s">
        <v>210</v>
      </c>
      <c r="B106" s="3" t="n">
        <f aca="false">+499+3198</f>
        <v>3697</v>
      </c>
      <c r="C106" s="3" t="n">
        <f aca="false">+472+3272</f>
        <v>3744</v>
      </c>
      <c r="D106" s="3" t="n">
        <f aca="false">+594+3585</f>
        <v>4179</v>
      </c>
      <c r="E106" s="3" t="n">
        <v>3908</v>
      </c>
      <c r="F106" s="3" t="n">
        <v>3715</v>
      </c>
      <c r="G106" s="3" t="n">
        <v>3846</v>
      </c>
      <c r="H106" s="3" t="n">
        <v>4303</v>
      </c>
      <c r="I106" s="3" t="n">
        <v>4137</v>
      </c>
      <c r="J106" s="3" t="n">
        <v>3973</v>
      </c>
      <c r="K106" s="3" t="n">
        <v>4251</v>
      </c>
      <c r="L106" s="3" t="n">
        <f aca="false">+1015+4896</f>
        <v>5911</v>
      </c>
      <c r="M106" s="3" t="n">
        <v>5036</v>
      </c>
      <c r="N106" s="3" t="n">
        <v>4908</v>
      </c>
      <c r="O106" s="3" t="n">
        <v>4969</v>
      </c>
      <c r="P106" s="3" t="n">
        <v>5542</v>
      </c>
      <c r="Q106" s="3" t="n">
        <v>6578</v>
      </c>
      <c r="R106" s="3" t="n">
        <v>7162</v>
      </c>
      <c r="S106" s="3" t="n">
        <v>7154</v>
      </c>
      <c r="AC106" s="3" t="n">
        <f aca="false">+481+2543</f>
        <v>3024</v>
      </c>
      <c r="AD106" s="3" t="n">
        <f aca="false">+535+3288</f>
        <v>3823</v>
      </c>
      <c r="AE106" s="3" t="n">
        <v>3908</v>
      </c>
      <c r="AF106" s="3" t="n">
        <v>4137</v>
      </c>
      <c r="AG106" s="3" t="n">
        <v>5036</v>
      </c>
      <c r="AH106" s="3" t="n">
        <v>6578</v>
      </c>
      <c r="AI106" s="3" t="n">
        <f aca="false">+AH106*1.2</f>
        <v>7893.6</v>
      </c>
      <c r="AJ106" s="3" t="n">
        <f aca="false">+AI106*1.2</f>
        <v>9472.32</v>
      </c>
      <c r="AK106" s="3" t="n">
        <f aca="false">+AJ106*1.15</f>
        <v>10893.168</v>
      </c>
      <c r="AL106" s="3" t="n">
        <f aca="false">+AK106*1.15</f>
        <v>12527.1432</v>
      </c>
      <c r="AM106" s="3" t="n">
        <f aca="false">+AL106*1.15</f>
        <v>14406.21468</v>
      </c>
      <c r="AP106" s="19"/>
      <c r="AQ106" s="19"/>
      <c r="DI106" s="17"/>
      <c r="DJ106" s="17"/>
      <c r="DK106" s="17"/>
      <c r="DL106" s="17"/>
      <c r="DM106" s="17"/>
      <c r="DN106" s="17"/>
    </row>
    <row r="107" customFormat="false" ht="10.5" hidden="false" customHeight="true" outlineLevel="0" collapsed="false">
      <c r="A107" s="19"/>
      <c r="B107" s="19"/>
      <c r="C107" s="19"/>
      <c r="D107" s="19"/>
      <c r="E107" s="19"/>
      <c r="F107" s="19" t="n">
        <f aca="false">+F106/B106-1</f>
        <v>0.00486881255071681</v>
      </c>
      <c r="G107" s="19" t="n">
        <f aca="false">+G106/C106-1</f>
        <v>0.0272435897435896</v>
      </c>
      <c r="H107" s="19" t="n">
        <f aca="false">+H106/D106-1</f>
        <v>0.0296721703756879</v>
      </c>
      <c r="I107" s="19" t="n">
        <f aca="false">+I106/E106-1</f>
        <v>0.0585977482088025</v>
      </c>
      <c r="J107" s="19" t="n">
        <f aca="false">+J106/F106-1</f>
        <v>0.0694481830417228</v>
      </c>
      <c r="K107" s="19" t="n">
        <f aca="false">+K106/G106-1</f>
        <v>0.105304212168487</v>
      </c>
      <c r="L107" s="19" t="n">
        <f aca="false">+L106/H106-1</f>
        <v>0.373692772484313</v>
      </c>
      <c r="M107" s="19" t="n">
        <f aca="false">+M106/I106-1</f>
        <v>0.217307227459512</v>
      </c>
      <c r="N107" s="19" t="n">
        <f aca="false">+N106/J106-1</f>
        <v>0.235338535112006</v>
      </c>
      <c r="O107" s="19" t="n">
        <f aca="false">+O106/K106-1</f>
        <v>0.168901434956481</v>
      </c>
      <c r="P107" s="19" t="n">
        <f aca="false">+P106/L106-1</f>
        <v>-0.0624259854508543</v>
      </c>
      <c r="Q107" s="19" t="n">
        <f aca="false">+Q106/M106-1</f>
        <v>0.306195393169182</v>
      </c>
      <c r="R107" s="19" t="n">
        <f aca="false">+R106/N106-1</f>
        <v>0.459250203748981</v>
      </c>
      <c r="S107" s="19" t="n">
        <f aca="false">+S106/O106-1</f>
        <v>0.43972630307909</v>
      </c>
      <c r="T107" s="19"/>
      <c r="U107" s="19"/>
      <c r="V107" s="19"/>
      <c r="W107" s="19"/>
      <c r="X107" s="19"/>
      <c r="Y107" s="19"/>
      <c r="Z107" s="19"/>
      <c r="AA107" s="19"/>
      <c r="AB107" s="19"/>
      <c r="AC107" s="19"/>
      <c r="AD107" s="19" t="n">
        <f aca="false">AD106/AC106-1</f>
        <v>0.264219576719577</v>
      </c>
      <c r="AE107" s="19" t="n">
        <f aca="false">AE106/AD106-1</f>
        <v>0.0222338477635364</v>
      </c>
      <c r="AF107" s="19" t="n">
        <f aca="false">AF106/AE106-1</f>
        <v>0.0585977482088025</v>
      </c>
      <c r="AG107" s="19" t="n">
        <f aca="false">AG106/AF106-1</f>
        <v>0.217307227459512</v>
      </c>
      <c r="AH107" s="19" t="n">
        <f aca="false">AH106/AG106-1</f>
        <v>0.306195393169182</v>
      </c>
      <c r="AI107" s="19" t="n">
        <f aca="false">AI106/AH106-1</f>
        <v>0.2</v>
      </c>
      <c r="AJ107" s="19" t="n">
        <f aca="false">AJ106/AI106-1</f>
        <v>0.2</v>
      </c>
      <c r="AK107" s="19" t="n">
        <f aca="false">AK106/AJ106-1</f>
        <v>0.15</v>
      </c>
      <c r="AL107" s="19" t="n">
        <f aca="false">AL106/AK106-1</f>
        <v>0.15</v>
      </c>
      <c r="AM107" s="19" t="n">
        <f aca="false">AM106/AL106-1</f>
        <v>0.15</v>
      </c>
      <c r="AN107" s="19"/>
      <c r="AO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row>
    <row r="108" customFormat="false" ht="12.8" hidden="false" customHeight="false" outlineLevel="0" collapsed="false">
      <c r="A108" s="3" t="s">
        <v>15</v>
      </c>
      <c r="B108" s="3" t="n">
        <v>14791</v>
      </c>
      <c r="C108" s="3" t="n">
        <v>14734</v>
      </c>
      <c r="D108" s="3" t="n">
        <v>14653</v>
      </c>
      <c r="E108" s="3" t="n">
        <v>14701</v>
      </c>
      <c r="F108" s="3" t="n">
        <v>13697</v>
      </c>
      <c r="G108" s="3" t="n">
        <v>13705</v>
      </c>
      <c r="H108" s="3" t="n">
        <v>13781</v>
      </c>
      <c r="I108" s="3" t="n">
        <v>11870</v>
      </c>
      <c r="J108" s="3" t="n">
        <v>13228</v>
      </c>
      <c r="K108" s="3" t="n">
        <v>13238</v>
      </c>
      <c r="L108" s="3" t="n">
        <v>12297</v>
      </c>
      <c r="M108" s="3" t="n">
        <v>10883</v>
      </c>
      <c r="N108" s="3" t="n">
        <v>10886</v>
      </c>
      <c r="O108" s="3" t="n">
        <v>23607</v>
      </c>
      <c r="P108" s="3" t="n">
        <v>21607</v>
      </c>
      <c r="Q108" s="3" t="n">
        <v>46547</v>
      </c>
      <c r="R108" s="3" t="n">
        <v>77501</v>
      </c>
      <c r="S108" s="3" t="n">
        <v>98165</v>
      </c>
      <c r="AC108" s="3" t="n">
        <v>13932</v>
      </c>
      <c r="AD108" s="3" t="n">
        <v>14817</v>
      </c>
      <c r="AE108" s="3" t="n">
        <v>14701</v>
      </c>
      <c r="AF108" s="3" t="n">
        <v>11870</v>
      </c>
      <c r="AG108" s="3" t="n">
        <v>10883</v>
      </c>
      <c r="AH108" s="3" t="n">
        <v>46547</v>
      </c>
    </row>
    <row r="109" customFormat="false" ht="12.8" hidden="false" customHeight="false" outlineLevel="0" collapsed="false">
      <c r="A109" s="3" t="s">
        <v>211</v>
      </c>
      <c r="B109" s="3" t="n">
        <v>9406</v>
      </c>
      <c r="C109" s="3" t="n">
        <f aca="false">+1956+8163</f>
        <v>10119</v>
      </c>
      <c r="D109" s="3" t="n">
        <f aca="false">+8572+1025</f>
        <v>9597</v>
      </c>
      <c r="E109" s="3" t="n">
        <v>9258</v>
      </c>
      <c r="F109" s="3" t="n">
        <v>9722</v>
      </c>
      <c r="G109" s="3" t="n">
        <v>8753</v>
      </c>
      <c r="H109" s="3" t="n">
        <v>8038</v>
      </c>
      <c r="I109" s="3" t="n">
        <v>8474</v>
      </c>
      <c r="J109" s="3" t="n">
        <v>9234</v>
      </c>
      <c r="K109" s="3" t="n">
        <v>7703</v>
      </c>
      <c r="L109" s="3" t="n">
        <v>8219</v>
      </c>
      <c r="M109" s="3" t="n">
        <v>8782</v>
      </c>
      <c r="N109" s="3" t="n">
        <v>9773</v>
      </c>
      <c r="O109" s="3" t="n">
        <v>10027</v>
      </c>
      <c r="P109" s="3" t="n">
        <v>10072</v>
      </c>
      <c r="Q109" s="3" t="n">
        <v>9531</v>
      </c>
      <c r="R109" s="3" t="n">
        <v>12457</v>
      </c>
      <c r="S109" s="3" t="n">
        <v>11306</v>
      </c>
      <c r="AC109" s="3" t="n">
        <f aca="false">+8849+1485</f>
        <v>10334</v>
      </c>
      <c r="AD109" s="3" t="n">
        <f aca="false">+808+9176</f>
        <v>9984</v>
      </c>
      <c r="AE109" s="3" t="n">
        <v>9258</v>
      </c>
      <c r="AF109" s="3" t="n">
        <v>8474</v>
      </c>
      <c r="AG109" s="3" t="n">
        <v>8782</v>
      </c>
      <c r="AH109" s="3" t="n">
        <v>9531</v>
      </c>
    </row>
    <row r="110" customFormat="false" ht="12.8" hidden="false" customHeight="false" outlineLevel="0" collapsed="false">
      <c r="A110" s="3" t="s">
        <v>202</v>
      </c>
      <c r="B110" s="3" t="n">
        <v>11363</v>
      </c>
      <c r="C110" s="3" t="n">
        <v>11697</v>
      </c>
      <c r="D110" s="3" t="n">
        <v>11984</v>
      </c>
      <c r="E110" s="3" t="n">
        <v>12501</v>
      </c>
      <c r="F110" s="3" t="n">
        <v>12799</v>
      </c>
      <c r="G110" s="3" t="n">
        <v>12746</v>
      </c>
      <c r="H110" s="3" t="n">
        <v>12550</v>
      </c>
      <c r="I110" s="3" t="n">
        <v>12460</v>
      </c>
      <c r="J110" s="3" t="n">
        <v>11957</v>
      </c>
      <c r="K110" s="3" t="n">
        <v>11708</v>
      </c>
      <c r="L110" s="3" t="n">
        <v>11654</v>
      </c>
      <c r="M110" s="3" t="n">
        <v>11691</v>
      </c>
      <c r="N110" s="3" t="n">
        <v>11678</v>
      </c>
      <c r="O110" s="3" t="n">
        <v>11952</v>
      </c>
      <c r="P110" s="3" t="n">
        <v>12106</v>
      </c>
      <c r="Q110" s="3" t="n">
        <v>12744</v>
      </c>
      <c r="R110" s="3" t="n">
        <v>12983</v>
      </c>
      <c r="S110" s="3" t="n">
        <v>14591</v>
      </c>
      <c r="AC110" s="3" t="n">
        <v>11146</v>
      </c>
      <c r="AD110" s="3" t="n">
        <v>11389</v>
      </c>
      <c r="AE110" s="3" t="n">
        <v>12501</v>
      </c>
      <c r="AF110" s="3" t="n">
        <v>12460</v>
      </c>
      <c r="AG110" s="3" t="n">
        <v>11691</v>
      </c>
      <c r="AH110" s="3" t="n">
        <v>12744</v>
      </c>
    </row>
    <row r="111" customFormat="false" ht="12.8" hidden="false" customHeight="false" outlineLevel="0" collapsed="false">
      <c r="A111" s="3" t="s">
        <v>212</v>
      </c>
      <c r="B111" s="3" t="n">
        <f aca="false">+2242+2843+4344</f>
        <v>9429</v>
      </c>
      <c r="C111" s="3" t="n">
        <f aca="false">+2422+924</f>
        <v>3346</v>
      </c>
      <c r="D111" s="3" t="n">
        <f aca="false">+2371+476</f>
        <v>2847</v>
      </c>
      <c r="E111" s="3" t="n">
        <f aca="false">+2247+514+599</f>
        <v>3360</v>
      </c>
      <c r="F111" s="3" t="n">
        <f aca="false">+2373+542+610</f>
        <v>3525</v>
      </c>
      <c r="G111" s="3" t="n">
        <f aca="false">+1765+558+667</f>
        <v>2990</v>
      </c>
      <c r="H111" s="3" t="n">
        <f aca="false">+1433+528+884</f>
        <v>2845</v>
      </c>
      <c r="I111" s="3" t="n">
        <v>4395</v>
      </c>
      <c r="J111" s="3" t="n">
        <f aca="false">+1683+921+486</f>
        <v>3090</v>
      </c>
      <c r="K111" s="3" t="n">
        <f aca="false">+1753+985+717</f>
        <v>3455</v>
      </c>
      <c r="L111" s="3" t="n">
        <f aca="false">+1453+706</f>
        <v>2159</v>
      </c>
      <c r="M111" s="3" t="n">
        <v>4694</v>
      </c>
      <c r="N111" s="3" t="n">
        <v>6116</v>
      </c>
      <c r="O111" s="3" t="n">
        <v>6241</v>
      </c>
      <c r="P111" s="3" t="n">
        <v>6267</v>
      </c>
      <c r="Q111" s="3" t="n">
        <v>8449</v>
      </c>
      <c r="R111" s="3" t="n">
        <v>11044</v>
      </c>
      <c r="S111" s="3" t="n">
        <f aca="false">+22819+8511</f>
        <v>31330</v>
      </c>
      <c r="AC111" s="3" t="n">
        <f aca="false">+2269+3561</f>
        <v>5830</v>
      </c>
      <c r="AD111" s="3" t="n">
        <f aca="false">+5257+2205</f>
        <v>7462</v>
      </c>
      <c r="AE111" s="3" t="n">
        <f aca="false">+2247+514+599</f>
        <v>3360</v>
      </c>
      <c r="AF111" s="3" t="n">
        <v>4395</v>
      </c>
      <c r="AG111" s="3" t="n">
        <v>4694</v>
      </c>
      <c r="AH111" s="3" t="n">
        <v>8449</v>
      </c>
    </row>
    <row r="112" customFormat="false" ht="12.8" hidden="false" customHeight="false" outlineLevel="0" collapsed="false">
      <c r="A112" s="3" t="s">
        <v>213</v>
      </c>
      <c r="B112" s="3" t="n">
        <f aca="false">SUM(B99:B111)-B107-B105-B103-B101</f>
        <v>103092</v>
      </c>
      <c r="C112" s="3" t="n">
        <f aca="false">SUM(C99:C111)-C107-C105-C103-C101</f>
        <v>99766</v>
      </c>
      <c r="D112" s="3" t="n">
        <f aca="false">SUM(D99:D111)-D107-D105-D103-D101</f>
        <v>104629</v>
      </c>
      <c r="E112" s="3" t="n">
        <f aca="false">SUM(E99:E111)-E107-E105-E103-E101</f>
        <v>109120</v>
      </c>
      <c r="F112" s="3" t="n">
        <f aca="false">SUM(F99:F111)-F107-F105-F103-F101</f>
        <v>108597</v>
      </c>
      <c r="G112" s="3" t="n">
        <f aca="false">SUM(G99:G111)-G107-G105-G103-G101</f>
        <v>115903</v>
      </c>
      <c r="H112" s="3" t="n">
        <f aca="false">SUM(H99:H111)-H107-H105-H103-H101</f>
        <v>123509</v>
      </c>
      <c r="I112" s="3" t="n">
        <f aca="false">SUM(I99:I111)-I107-I105-I103-I101</f>
        <v>119013</v>
      </c>
      <c r="J112" s="3" t="n">
        <f aca="false">SUM(J99:J111)-J107-J105-J103-J101</f>
        <v>114506</v>
      </c>
      <c r="K112" s="3" t="n">
        <f aca="false">SUM(K99:K111)-K107-K105-K103-K101</f>
        <v>114017</v>
      </c>
      <c r="L112" s="3" t="n">
        <f aca="false">SUM(L99:L111)-L107-L105-L103-L101</f>
        <v>116147</v>
      </c>
      <c r="M112" s="3" t="n">
        <f aca="false">SUM(M99:M111)-M107-M105-M103-M101</f>
        <v>125172</v>
      </c>
      <c r="N112" s="3" t="n">
        <f aca="false">SUM(N99:N111)-N107-N105-N103-N101</f>
        <v>130107</v>
      </c>
      <c r="O112" s="3" t="n">
        <f aca="false">SUM(O99:O111)-O107-O105-O103-O101</f>
        <v>139137</v>
      </c>
      <c r="P112" s="3" t="n">
        <f aca="false">SUM(P99:P111)-P107-P105-P103-P101</f>
        <v>149602</v>
      </c>
      <c r="Q112" s="3" t="n">
        <f aca="false">SUM(Q99:Q111)-Q107-Q105-Q103-Q101</f>
        <v>130016</v>
      </c>
      <c r="R112" s="3" t="n">
        <f aca="false">SUM(R99:R111)-R107-R105-R103-R101</f>
        <v>225173</v>
      </c>
      <c r="S112" s="3" t="n">
        <f aca="false">SUM(S99:S111)-S107-S105-S103-S101</f>
        <v>281503</v>
      </c>
      <c r="T112" s="3" t="n">
        <f aca="false">SUM(T99:T111)-T107-T105-T103-T101</f>
        <v>0</v>
      </c>
      <c r="AC112" s="3" t="n">
        <f aca="false">SUM(AC99:AC111)-AC107-AC105-AC103-AC101</f>
        <v>97072</v>
      </c>
      <c r="AD112" s="3" t="n">
        <f aca="false">SUM(AD99:AD111)-AD107-AD105-AD103-AD101</f>
        <v>107633</v>
      </c>
      <c r="AE112" s="3" t="n">
        <f aca="false">SUM(AE99:AE111)-AE107-AE105-AE103-AE101</f>
        <v>109120</v>
      </c>
      <c r="AF112" s="3" t="n">
        <f aca="false">SUM(AF99:AF111)-AF107-AF105-AF103-AF101</f>
        <v>119013</v>
      </c>
      <c r="AG112" s="3" t="n">
        <f aca="false">SUM(AG99:AG111)-AG107-AG105-AG103-AG101</f>
        <v>125172</v>
      </c>
      <c r="AH112" s="3" t="n">
        <f aca="false">SUM(AH99:AH111)-AH107-AH105-AH103-AH101</f>
        <v>130016</v>
      </c>
    </row>
    <row r="113" customFormat="false" ht="12.8" hidden="false" customHeight="false" outlineLevel="0" collapsed="false">
      <c r="A113" s="3" t="s">
        <v>214</v>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18023</v>
      </c>
      <c r="AC113" s="3" t="n">
        <v>0</v>
      </c>
      <c r="AD113" s="3" t="n">
        <v>0</v>
      </c>
      <c r="AE113" s="3" t="n">
        <v>0</v>
      </c>
      <c r="AF113" s="3" t="n">
        <v>0</v>
      </c>
      <c r="AG113" s="3" t="n">
        <v>0</v>
      </c>
      <c r="AH113" s="3" t="n">
        <v>0</v>
      </c>
    </row>
    <row r="114" customFormat="false" ht="12.8" hidden="false" customHeight="false" outlineLevel="0" collapsed="false">
      <c r="A114" s="3" t="s">
        <v>215</v>
      </c>
      <c r="B114" s="3" t="n">
        <v>62832</v>
      </c>
      <c r="C114" s="3" t="n">
        <v>64402</v>
      </c>
      <c r="D114" s="3" t="n">
        <v>66258</v>
      </c>
      <c r="E114" s="3" t="n">
        <v>68184</v>
      </c>
      <c r="F114" s="3" t="n">
        <v>70269</v>
      </c>
      <c r="G114" s="3" t="n">
        <v>72248</v>
      </c>
      <c r="H114" s="3" t="n">
        <v>74591</v>
      </c>
      <c r="I114" s="3" t="n">
        <v>76534</v>
      </c>
      <c r="J114" s="3" t="n">
        <v>77913</v>
      </c>
      <c r="K114" s="3" t="n">
        <v>79732</v>
      </c>
      <c r="L114" s="3" t="n">
        <v>82030</v>
      </c>
      <c r="M114" s="3" t="n">
        <v>84800</v>
      </c>
      <c r="N114" s="3" t="n">
        <v>86725</v>
      </c>
      <c r="O114" s="3" t="n">
        <v>89283</v>
      </c>
      <c r="P114" s="3" t="n">
        <v>91695</v>
      </c>
      <c r="Q114" s="3" t="n">
        <v>93126</v>
      </c>
      <c r="R114" s="3" t="n">
        <v>96902</v>
      </c>
      <c r="S114" s="3" t="n">
        <v>131371</v>
      </c>
      <c r="AC114" s="3" t="n">
        <v>58510</v>
      </c>
      <c r="AD114" s="3" t="n">
        <v>61774</v>
      </c>
      <c r="AE114" s="3" t="n">
        <v>68184</v>
      </c>
      <c r="AF114" s="3" t="n">
        <v>76534</v>
      </c>
      <c r="AG114" s="3" t="n">
        <v>84800</v>
      </c>
      <c r="AH114" s="3" t="n">
        <v>93126</v>
      </c>
    </row>
    <row r="115" customFormat="false" ht="12.8" hidden="false" customHeight="false" outlineLevel="0" collapsed="false">
      <c r="A115" s="3" t="s">
        <v>216</v>
      </c>
      <c r="B115" s="3" t="n">
        <v>-4049</v>
      </c>
      <c r="C115" s="3" t="n">
        <v>-5828</v>
      </c>
      <c r="D115" s="3" t="n">
        <v>-8852</v>
      </c>
      <c r="E115" s="3" t="n">
        <v>-7603</v>
      </c>
      <c r="F115" s="3" t="n">
        <v>-6000</v>
      </c>
      <c r="G115" s="3" t="n">
        <v>-5991</v>
      </c>
      <c r="H115" s="3" t="n">
        <v>-7036</v>
      </c>
      <c r="I115" s="3" t="n">
        <v>-4402</v>
      </c>
      <c r="J115" s="3" t="n">
        <v>-4839</v>
      </c>
      <c r="K115" s="3" t="n">
        <v>-5012</v>
      </c>
      <c r="L115" s="3" t="n">
        <v>-3228</v>
      </c>
      <c r="M115" s="3" t="n">
        <v>-4800</v>
      </c>
      <c r="N115" s="3" t="n">
        <v>-4086</v>
      </c>
      <c r="O115" s="3" t="n">
        <v>-2127</v>
      </c>
      <c r="P115" s="3" t="n">
        <v>-2054</v>
      </c>
      <c r="Q115" s="3" t="n">
        <v>-1916</v>
      </c>
      <c r="R115" s="3" t="n">
        <v>-2180</v>
      </c>
      <c r="S115" s="3" t="n">
        <v>-2285</v>
      </c>
      <c r="AC115" s="3" t="n">
        <v>633</v>
      </c>
      <c r="AD115" s="3" t="n">
        <v>-1623</v>
      </c>
      <c r="AE115" s="3" t="n">
        <v>-7603</v>
      </c>
      <c r="AF115" s="3" t="n">
        <v>-4402</v>
      </c>
      <c r="AG115" s="3" t="n">
        <v>-4800</v>
      </c>
      <c r="AH115" s="3" t="n">
        <v>-1916</v>
      </c>
    </row>
    <row r="116" customFormat="false" ht="12.8" hidden="false" customHeight="false" outlineLevel="0" collapsed="false">
      <c r="A116" s="3" t="s">
        <v>217</v>
      </c>
      <c r="B116" s="3" t="n">
        <v>195221</v>
      </c>
      <c r="C116" s="3" t="n">
        <v>196845</v>
      </c>
      <c r="D116" s="3" t="n">
        <v>196220</v>
      </c>
      <c r="E116" s="3" t="n">
        <v>195563</v>
      </c>
      <c r="F116" s="3" t="n">
        <v>196625</v>
      </c>
      <c r="G116" s="3" t="n">
        <v>200884</v>
      </c>
      <c r="H116" s="3" t="n">
        <v>205647</v>
      </c>
      <c r="I116" s="3" t="n">
        <v>211247</v>
      </c>
      <c r="J116" s="3" t="n">
        <v>219770</v>
      </c>
      <c r="K116" s="3" t="n">
        <v>226033</v>
      </c>
      <c r="L116" s="3" t="n">
        <v>235317</v>
      </c>
      <c r="M116" s="3" t="n">
        <v>245084</v>
      </c>
      <c r="N116" s="3" t="n">
        <v>262628</v>
      </c>
      <c r="O116" s="3" t="n">
        <v>275760</v>
      </c>
      <c r="P116" s="3" t="n">
        <v>297226</v>
      </c>
      <c r="Q116" s="3" t="n">
        <v>324055</v>
      </c>
      <c r="R116" s="3" t="n">
        <v>384024</v>
      </c>
      <c r="S116" s="3" t="n">
        <v>493371</v>
      </c>
      <c r="AC116" s="3" t="n">
        <v>163401</v>
      </c>
      <c r="AD116" s="3" t="n">
        <v>191484</v>
      </c>
      <c r="AE116" s="3" t="n">
        <v>195563</v>
      </c>
      <c r="AF116" s="3" t="n">
        <v>211247</v>
      </c>
      <c r="AG116" s="3" t="n">
        <v>245084</v>
      </c>
      <c r="AH116" s="3" t="n">
        <v>324055</v>
      </c>
    </row>
    <row r="117" customFormat="false" ht="12.8" hidden="false" customHeight="false" outlineLevel="0" collapsed="false">
      <c r="A117" s="3" t="s">
        <v>218</v>
      </c>
      <c r="B117" s="3" t="n">
        <f aca="false">SUM(B113:B116)</f>
        <v>254004</v>
      </c>
      <c r="C117" s="3" t="n">
        <f aca="false">SUM(C113:C116)</f>
        <v>255419</v>
      </c>
      <c r="D117" s="3" t="n">
        <f aca="false">SUM(D113:D116)</f>
        <v>253626</v>
      </c>
      <c r="E117" s="3" t="n">
        <f aca="false">SUM(E113:E116)</f>
        <v>256144</v>
      </c>
      <c r="F117" s="3" t="n">
        <f aca="false">SUM(F113:F116)</f>
        <v>260894</v>
      </c>
      <c r="G117" s="3" t="n">
        <f aca="false">SUM(G113:G116)</f>
        <v>267141</v>
      </c>
      <c r="H117" s="3" t="n">
        <f aca="false">SUM(H113:H116)</f>
        <v>273202</v>
      </c>
      <c r="I117" s="3" t="n">
        <f aca="false">SUM(I113:I116)</f>
        <v>283379</v>
      </c>
      <c r="J117" s="3" t="n">
        <f aca="false">SUM(J113:J116)</f>
        <v>292844</v>
      </c>
      <c r="K117" s="3" t="n">
        <f aca="false">SUM(K113:K116)</f>
        <v>300753</v>
      </c>
      <c r="L117" s="3" t="n">
        <f aca="false">SUM(L113:L116)</f>
        <v>314119</v>
      </c>
      <c r="M117" s="3" t="n">
        <f aca="false">SUM(M113:M116)</f>
        <v>325084</v>
      </c>
      <c r="N117" s="3" t="n">
        <f aca="false">SUM(N113:N116)</f>
        <v>345267</v>
      </c>
      <c r="O117" s="3" t="n">
        <f aca="false">SUM(O113:O116)</f>
        <v>362916</v>
      </c>
      <c r="P117" s="3" t="n">
        <f aca="false">SUM(P113:P116)</f>
        <v>386867</v>
      </c>
      <c r="Q117" s="3" t="n">
        <f aca="false">SUM(Q113:Q116)</f>
        <v>415265</v>
      </c>
      <c r="R117" s="3" t="n">
        <f aca="false">SUM(R113:R116)</f>
        <v>478746</v>
      </c>
      <c r="S117" s="3" t="n">
        <f aca="false">SUM(S113:S116)</f>
        <v>640480</v>
      </c>
      <c r="T117" s="3" t="n">
        <f aca="false">SUM(T113:T116)</f>
        <v>0</v>
      </c>
      <c r="AC117" s="3" t="n">
        <f aca="false">SUM(AC113:AC116)</f>
        <v>222544</v>
      </c>
      <c r="AD117" s="3" t="n">
        <f aca="false">SUM(AD113:AD116)</f>
        <v>251635</v>
      </c>
      <c r="AE117" s="3" t="n">
        <f aca="false">SUM(AE113:AE116)</f>
        <v>256144</v>
      </c>
      <c r="AF117" s="3" t="n">
        <f aca="false">SUM(AF113:AF116)</f>
        <v>283379</v>
      </c>
      <c r="AG117" s="3" t="n">
        <f aca="false">SUM(AG113:AG116)</f>
        <v>325084</v>
      </c>
      <c r="AH117" s="3" t="n">
        <f aca="false">SUM(AH113:AH116)</f>
        <v>415265</v>
      </c>
    </row>
    <row r="118" customFormat="false" ht="12.8" hidden="false" customHeight="false" outlineLevel="0" collapsed="false">
      <c r="A118" s="3" t="s">
        <v>219</v>
      </c>
      <c r="B118" s="3" t="n">
        <f aca="false">+B117+B112</f>
        <v>357096</v>
      </c>
      <c r="C118" s="3" t="n">
        <f aca="false">+C117+C112</f>
        <v>355185</v>
      </c>
      <c r="D118" s="3" t="n">
        <f aca="false">+D117+D112</f>
        <v>358255</v>
      </c>
      <c r="E118" s="3" t="n">
        <f aca="false">+E117+E112</f>
        <v>365264</v>
      </c>
      <c r="F118" s="3" t="n">
        <f aca="false">+F117+F112</f>
        <v>369491</v>
      </c>
      <c r="G118" s="3" t="n">
        <f aca="false">+G117+G112</f>
        <v>383044</v>
      </c>
      <c r="H118" s="3" t="n">
        <f aca="false">+H117+H112</f>
        <v>396711</v>
      </c>
      <c r="I118" s="3" t="n">
        <f aca="false">+I117+I112</f>
        <v>402392</v>
      </c>
      <c r="J118" s="3" t="n">
        <f aca="false">+J117+J112</f>
        <v>407350</v>
      </c>
      <c r="K118" s="3" t="n">
        <f aca="false">+K117+K112</f>
        <v>414770</v>
      </c>
      <c r="L118" s="3" t="n">
        <f aca="false">+L117+L112</f>
        <v>430266</v>
      </c>
      <c r="M118" s="3" t="n">
        <f aca="false">+M117+M112</f>
        <v>450256</v>
      </c>
      <c r="N118" s="3" t="n">
        <f aca="false">+N117+N112</f>
        <v>475374</v>
      </c>
      <c r="O118" s="3" t="n">
        <f aca="false">+O117+O112</f>
        <v>502053</v>
      </c>
      <c r="P118" s="3" t="n">
        <f aca="false">+P117+P112</f>
        <v>536469</v>
      </c>
      <c r="Q118" s="3" t="n">
        <f aca="false">+Q117+Q112</f>
        <v>545281</v>
      </c>
      <c r="R118" s="3" t="n">
        <f aca="false">+R117+R112</f>
        <v>703919</v>
      </c>
      <c r="S118" s="3" t="n">
        <f aca="false">+S117+S112</f>
        <v>921983</v>
      </c>
      <c r="T118" s="3" t="n">
        <f aca="false">+T117+T112</f>
        <v>0</v>
      </c>
      <c r="AC118" s="3" t="n">
        <f aca="false">+AC117+AC112</f>
        <v>319616</v>
      </c>
      <c r="AD118" s="3" t="n">
        <f aca="false">+AD117+AD112</f>
        <v>359268</v>
      </c>
      <c r="AE118" s="3" t="n">
        <f aca="false">+AE117+AE112</f>
        <v>365264</v>
      </c>
      <c r="AF118" s="3" t="n">
        <f aca="false">+AF117+AF112</f>
        <v>402392</v>
      </c>
      <c r="AG118" s="3" t="n">
        <f aca="false">+AG117+AG112</f>
        <v>450256</v>
      </c>
      <c r="AH118" s="3" t="n">
        <f aca="false">+AH117+AH112</f>
        <v>545281</v>
      </c>
    </row>
    <row r="120" s="52" customFormat="true" ht="12.8" hidden="false" customHeight="false" outlineLevel="0" collapsed="false">
      <c r="A120" s="3" t="s">
        <v>220</v>
      </c>
      <c r="B120" s="3" t="n">
        <f aca="false">B41</f>
        <v>16436</v>
      </c>
      <c r="C120" s="3" t="n">
        <f aca="false">C41</f>
        <v>16002</v>
      </c>
      <c r="D120" s="3" t="n">
        <f aca="false">D41</f>
        <v>13910</v>
      </c>
      <c r="E120" s="3" t="n">
        <f aca="false">E41</f>
        <v>13624</v>
      </c>
      <c r="F120" s="3" t="n">
        <f aca="false">F41</f>
        <v>15051</v>
      </c>
      <c r="G120" s="3" t="n">
        <f aca="false">G41</f>
        <v>18368</v>
      </c>
      <c r="H120" s="3" t="n">
        <f aca="false">H41</f>
        <v>19689</v>
      </c>
      <c r="I120" s="3" t="n">
        <f aca="false">I41</f>
        <v>20687</v>
      </c>
      <c r="J120" s="3" t="n">
        <f aca="false">J41</f>
        <v>23662</v>
      </c>
      <c r="K120" s="3" t="n">
        <f aca="false">K41</f>
        <v>23619</v>
      </c>
      <c r="L120" s="3" t="n">
        <f aca="false">L41</f>
        <v>26301</v>
      </c>
      <c r="M120" s="3" t="n">
        <f aca="false">M41</f>
        <v>26536</v>
      </c>
      <c r="N120" s="3" t="n">
        <f aca="false">N41</f>
        <v>34540</v>
      </c>
      <c r="O120" s="3" t="n">
        <f aca="false">O41</f>
        <v>28196</v>
      </c>
      <c r="P120" s="3" t="n">
        <f aca="false">P41</f>
        <v>34979</v>
      </c>
      <c r="Q120" s="3" t="n">
        <f aca="false">Q41</f>
        <v>34455</v>
      </c>
      <c r="R120" s="3" t="n">
        <f aca="false">R41</f>
        <v>62578</v>
      </c>
      <c r="S120" s="3" t="n">
        <f aca="false">S41</f>
        <v>112193</v>
      </c>
      <c r="T120" s="3" t="n">
        <f aca="false">T41</f>
        <v>31532.5821982813</v>
      </c>
      <c r="U120" s="3"/>
      <c r="V120" s="3"/>
      <c r="W120" s="3"/>
      <c r="X120" s="3"/>
      <c r="Y120" s="3"/>
      <c r="Z120" s="3"/>
      <c r="AA120" s="3"/>
      <c r="AB120" s="3"/>
      <c r="AC120" s="3" t="n">
        <f aca="false">AC41</f>
        <v>40269</v>
      </c>
      <c r="AD120" s="3" t="n">
        <f aca="false">AD41</f>
        <v>76033</v>
      </c>
      <c r="AE120" s="3" t="n">
        <f aca="false">AE41</f>
        <v>59972</v>
      </c>
      <c r="AF120" s="3" t="n">
        <f aca="false">AF41</f>
        <v>73795</v>
      </c>
      <c r="AG120" s="3" t="n">
        <f aca="false">AG41</f>
        <v>100118</v>
      </c>
      <c r="AH120" s="3" t="n">
        <f aca="false">AH41</f>
        <v>132170</v>
      </c>
      <c r="AI120" s="3" t="n">
        <f aca="false">AI41</f>
        <v>146088.1672</v>
      </c>
      <c r="AJ120" s="3" t="n">
        <f aca="false">AJ41</f>
        <v>183401.3828664</v>
      </c>
      <c r="AK120" s="3" t="n">
        <f aca="false">AK41</f>
        <v>222805.092269849</v>
      </c>
      <c r="AL120" s="3" t="n">
        <f aca="false">AL41</f>
        <v>266188.596796244</v>
      </c>
      <c r="AM120" s="3" t="n">
        <f aca="false">AM41</f>
        <v>313137.60860796</v>
      </c>
      <c r="AN120" s="1"/>
      <c r="AO120" s="1"/>
      <c r="AP120" s="1"/>
      <c r="AQ120" s="1"/>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17"/>
      <c r="DJ120" s="17"/>
      <c r="DK120" s="17"/>
      <c r="DL120" s="17"/>
      <c r="DM120" s="17"/>
      <c r="DN120" s="17"/>
    </row>
    <row r="121" customFormat="false" ht="12.8" hidden="false" customHeight="false" outlineLevel="0" collapsed="false">
      <c r="A121" s="3" t="s">
        <v>221</v>
      </c>
      <c r="B121" s="3" t="n">
        <v>16436</v>
      </c>
      <c r="C121" s="3" t="n">
        <v>16002</v>
      </c>
      <c r="D121" s="3" t="n">
        <v>13910</v>
      </c>
      <c r="E121" s="3" t="n">
        <v>13624</v>
      </c>
      <c r="F121" s="3" t="n">
        <v>15051</v>
      </c>
      <c r="G121" s="3" t="n">
        <v>18368</v>
      </c>
      <c r="H121" s="3" t="n">
        <v>19689</v>
      </c>
      <c r="I121" s="3" t="n">
        <v>20687</v>
      </c>
      <c r="J121" s="3" t="n">
        <v>23662</v>
      </c>
      <c r="K121" s="3" t="n">
        <v>23619</v>
      </c>
      <c r="L121" s="3" t="n">
        <v>26301</v>
      </c>
      <c r="M121" s="3" t="n">
        <v>26536</v>
      </c>
      <c r="N121" s="3" t="n">
        <v>34540</v>
      </c>
      <c r="O121" s="3" t="n">
        <v>28196</v>
      </c>
      <c r="P121" s="3" t="n">
        <v>34979</v>
      </c>
      <c r="Q121" s="3" t="n">
        <v>34455</v>
      </c>
      <c r="R121" s="3" t="n">
        <v>62578</v>
      </c>
      <c r="S121" s="3" t="n">
        <f aca="false">+174771-R121</f>
        <v>112193</v>
      </c>
      <c r="AC121" s="3" t="n">
        <v>40269</v>
      </c>
      <c r="AD121" s="3" t="n">
        <v>76033</v>
      </c>
      <c r="AE121" s="3" t="n">
        <f aca="false">SUM(B121:E121)</f>
        <v>59972</v>
      </c>
      <c r="AF121" s="3" t="n">
        <f aca="false">SUM(F121:I121)</f>
        <v>73795</v>
      </c>
      <c r="AG121" s="3" t="n">
        <f aca="false">SUM(J121:M121)</f>
        <v>100118</v>
      </c>
      <c r="AH121" s="3" t="n">
        <f aca="false">SUM(N121:Q121)</f>
        <v>132170</v>
      </c>
    </row>
    <row r="122" customFormat="false" ht="12.8" hidden="false" customHeight="false" outlineLevel="0" collapsed="false">
      <c r="A122" s="3" t="s">
        <v>222</v>
      </c>
      <c r="B122" s="3" t="n">
        <f aca="false">+191+3591</f>
        <v>3782</v>
      </c>
      <c r="C122" s="3" t="n">
        <f aca="false">+201+3698</f>
        <v>3899</v>
      </c>
      <c r="D122" s="3" t="n">
        <f aca="false">+113+3933</f>
        <v>4046</v>
      </c>
      <c r="E122" s="3" t="n">
        <v>3602</v>
      </c>
      <c r="F122" s="3" t="n">
        <v>2635</v>
      </c>
      <c r="G122" s="3" t="n">
        <f aca="false">+118+3279</f>
        <v>3397</v>
      </c>
      <c r="H122" s="3" t="n">
        <v>3171</v>
      </c>
      <c r="I122" s="3" t="n">
        <v>3316</v>
      </c>
      <c r="J122" s="3" t="n">
        <v>3413</v>
      </c>
      <c r="K122" s="3" t="n">
        <v>3708</v>
      </c>
      <c r="L122" s="3" t="n">
        <v>3985</v>
      </c>
      <c r="M122" s="3" t="n">
        <v>4205</v>
      </c>
      <c r="N122" s="3" t="n">
        <v>4487</v>
      </c>
      <c r="O122" s="3" t="n">
        <v>4998</v>
      </c>
      <c r="P122" s="3" t="n">
        <v>5611</v>
      </c>
      <c r="Q122" s="3" t="n">
        <v>6040</v>
      </c>
      <c r="R122" s="3" t="n">
        <v>6482</v>
      </c>
      <c r="S122" s="3" t="n">
        <f aca="false">+13586-R122</f>
        <v>7104</v>
      </c>
      <c r="AC122" s="3" t="n">
        <f aca="false">+12905+792</f>
        <v>13697</v>
      </c>
      <c r="AD122" s="3" t="n">
        <f aca="false">+11555+886</f>
        <v>12441</v>
      </c>
      <c r="AE122" s="3" t="n">
        <f aca="false">SUM(B122:E122)</f>
        <v>15329</v>
      </c>
      <c r="AF122" s="3" t="n">
        <f aca="false">SUM(F122:I122)</f>
        <v>12519</v>
      </c>
      <c r="AG122" s="3" t="n">
        <f aca="false">SUM(J122:M122)</f>
        <v>15311</v>
      </c>
      <c r="AH122" s="3" t="n">
        <f aca="false">SUM(N122:Q122)</f>
        <v>21136</v>
      </c>
      <c r="AI122" s="3" t="n">
        <f aca="false">+AH122*1.15</f>
        <v>24306.4</v>
      </c>
      <c r="AJ122" s="3" t="n">
        <f aca="false">+AI122*1.15</f>
        <v>27952.36</v>
      </c>
      <c r="AK122" s="3" t="n">
        <f aca="false">+AJ122*1.15</f>
        <v>32145.214</v>
      </c>
      <c r="AL122" s="3" t="n">
        <f aca="false">+AK122*1.15</f>
        <v>36966.9961</v>
      </c>
      <c r="AM122" s="3" t="n">
        <f aca="false">+AL122*1.15</f>
        <v>42512.045515</v>
      </c>
      <c r="AP122" s="52"/>
      <c r="AQ122" s="52"/>
      <c r="DI122" s="17"/>
      <c r="DJ122" s="17"/>
      <c r="DK122" s="17"/>
      <c r="DL122" s="17"/>
      <c r="DM122" s="17"/>
      <c r="DN122" s="17"/>
    </row>
    <row r="123" customFormat="false" ht="10.5" hidden="false" customHeight="true" outlineLevel="0" collapsed="false">
      <c r="A123" s="52"/>
      <c r="B123" s="52"/>
      <c r="C123" s="52"/>
      <c r="D123" s="52"/>
      <c r="E123" s="52"/>
      <c r="F123" s="52" t="n">
        <f aca="false">+F122/B122-1</f>
        <v>-0.30327868852459</v>
      </c>
      <c r="G123" s="52" t="n">
        <f aca="false">+G122/C122-1</f>
        <v>-0.128750961785073</v>
      </c>
      <c r="H123" s="52" t="n">
        <f aca="false">+H122/D122-1</f>
        <v>-0.216262975778547</v>
      </c>
      <c r="I123" s="52" t="n">
        <f aca="false">+I122/E122-1</f>
        <v>-0.079400333148251</v>
      </c>
      <c r="J123" s="52" t="n">
        <f aca="false">+J122/F122-1</f>
        <v>0.295256166982922</v>
      </c>
      <c r="K123" s="52" t="n">
        <f aca="false">+K122/G122-1</f>
        <v>0.0915513688548719</v>
      </c>
      <c r="L123" s="52" t="n">
        <f aca="false">+L122/H122-1</f>
        <v>0.256701356039105</v>
      </c>
      <c r="M123" s="52" t="n">
        <f aca="false">+M122/I122-1</f>
        <v>0.268094089264174</v>
      </c>
      <c r="N123" s="52" t="n">
        <f aca="false">+N122/J122-1</f>
        <v>0.314679167887489</v>
      </c>
      <c r="O123" s="52" t="n">
        <f aca="false">+O122/K122-1</f>
        <v>0.34789644012945</v>
      </c>
      <c r="P123" s="52" t="n">
        <f aca="false">+P122/L122-1</f>
        <v>0.408030112923463</v>
      </c>
      <c r="Q123" s="52" t="n">
        <f aca="false">+Q122/M122-1</f>
        <v>0.436385255648038</v>
      </c>
      <c r="R123" s="52" t="n">
        <f aca="false">+R122/N122-1</f>
        <v>0.444617784711388</v>
      </c>
      <c r="S123" s="52" t="n">
        <f aca="false">+S122/O122-1</f>
        <v>0.421368547418968</v>
      </c>
      <c r="T123" s="52"/>
      <c r="U123" s="52"/>
      <c r="V123" s="52"/>
      <c r="W123" s="52"/>
      <c r="X123" s="52"/>
      <c r="Y123" s="52"/>
      <c r="Z123" s="52"/>
      <c r="AA123" s="52"/>
      <c r="AB123" s="52"/>
      <c r="AC123" s="52"/>
      <c r="AD123" s="19" t="n">
        <f aca="false">AD122/AC122-1</f>
        <v>-0.0916989121705483</v>
      </c>
      <c r="AE123" s="19" t="n">
        <f aca="false">AE122/AD122-1</f>
        <v>0.232135680411542</v>
      </c>
      <c r="AF123" s="19" t="n">
        <f aca="false">AF122/AE122-1</f>
        <v>-0.183312675321286</v>
      </c>
      <c r="AG123" s="19" t="n">
        <f aca="false">AG122/AF122-1</f>
        <v>0.223021008067737</v>
      </c>
      <c r="AH123" s="19" t="n">
        <f aca="false">AH122/AG122-1</f>
        <v>0.380445431389197</v>
      </c>
      <c r="AI123" s="19" t="n">
        <f aca="false">AI122/AH122-1</f>
        <v>0.15</v>
      </c>
      <c r="AJ123" s="19" t="n">
        <f aca="false">AJ122/AI122-1</f>
        <v>0.15</v>
      </c>
      <c r="AK123" s="19" t="n">
        <f aca="false">AK122/AJ122-1</f>
        <v>0.15</v>
      </c>
      <c r="AL123" s="19" t="n">
        <f aca="false">AL122/AK122-1</f>
        <v>0.15</v>
      </c>
      <c r="AM123" s="19" t="n">
        <f aca="false">AM122/AL122-1</f>
        <v>0.15</v>
      </c>
      <c r="AN123" s="52"/>
      <c r="AO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row>
    <row r="124" customFormat="false" ht="12.8" hidden="false" customHeight="false" outlineLevel="0" collapsed="false">
      <c r="A124" s="3" t="s">
        <v>223</v>
      </c>
      <c r="B124" s="3" t="n">
        <v>4504</v>
      </c>
      <c r="C124" s="3" t="n">
        <v>4782</v>
      </c>
      <c r="D124" s="3" t="n">
        <v>4976</v>
      </c>
      <c r="E124" s="3" t="n">
        <v>5100</v>
      </c>
      <c r="F124" s="3" t="n">
        <v>5284</v>
      </c>
      <c r="G124" s="3" t="n">
        <v>5774</v>
      </c>
      <c r="H124" s="3" t="n">
        <v>5743</v>
      </c>
      <c r="I124" s="3" t="n">
        <v>5659</v>
      </c>
      <c r="J124" s="3" t="n">
        <v>5264</v>
      </c>
      <c r="K124" s="3" t="n">
        <v>5865</v>
      </c>
      <c r="L124" s="3" t="n">
        <v>5846</v>
      </c>
      <c r="M124" s="3" t="n">
        <v>5810</v>
      </c>
      <c r="N124" s="3" t="n">
        <v>5516</v>
      </c>
      <c r="O124" s="3" t="n">
        <v>5998</v>
      </c>
      <c r="P124" s="3" t="n">
        <v>6368</v>
      </c>
      <c r="Q124" s="3" t="n">
        <v>7071</v>
      </c>
      <c r="R124" s="3" t="n">
        <v>6751</v>
      </c>
      <c r="S124" s="3" t="n">
        <v>7957</v>
      </c>
      <c r="AC124" s="3" t="n">
        <v>12991</v>
      </c>
      <c r="AD124" s="3" t="n">
        <v>15376</v>
      </c>
      <c r="AE124" s="3" t="n">
        <f aca="false">SUM(B124:E124)</f>
        <v>19362</v>
      </c>
      <c r="AF124" s="3" t="n">
        <f aca="false">SUM(F124:I124)</f>
        <v>22460</v>
      </c>
      <c r="AG124" s="3" t="n">
        <f aca="false">SUM(J124:M124)</f>
        <v>22785</v>
      </c>
      <c r="AH124" s="3" t="n">
        <f aca="false">SUM(N124:Q124)</f>
        <v>24953</v>
      </c>
    </row>
    <row r="125" customFormat="false" ht="12.8" hidden="false" customHeight="false" outlineLevel="0" collapsed="false">
      <c r="A125" s="3" t="s">
        <v>200</v>
      </c>
      <c r="B125" s="3" t="n">
        <v>-2090</v>
      </c>
      <c r="C125" s="3" t="n">
        <v>-2147</v>
      </c>
      <c r="D125" s="3" t="n">
        <v>-1920</v>
      </c>
      <c r="E125" s="3" t="n">
        <v>-1924</v>
      </c>
      <c r="F125" s="3" t="n">
        <v>-1854</v>
      </c>
      <c r="G125" s="3" t="n">
        <v>-2415</v>
      </c>
      <c r="H125" s="3" t="n">
        <v>-1824</v>
      </c>
      <c r="I125" s="3" t="n">
        <v>-1670</v>
      </c>
      <c r="J125" s="3" t="n">
        <v>419</v>
      </c>
      <c r="K125" s="3" t="n">
        <v>-3157</v>
      </c>
      <c r="L125" s="3" t="n">
        <v>-1071</v>
      </c>
      <c r="M125" s="3" t="n">
        <v>-1448</v>
      </c>
      <c r="N125" s="3" t="n">
        <v>-1152</v>
      </c>
      <c r="O125" s="3" t="n">
        <v>-444</v>
      </c>
      <c r="P125" s="3" t="n">
        <v>8726</v>
      </c>
      <c r="Q125" s="3" t="n">
        <v>1218</v>
      </c>
      <c r="R125" s="3" t="n">
        <v>6920</v>
      </c>
      <c r="S125" s="3" t="n">
        <v>20618</v>
      </c>
      <c r="AC125" s="3" t="n">
        <v>1390</v>
      </c>
      <c r="AD125" s="3" t="n">
        <v>1808</v>
      </c>
      <c r="AE125" s="3" t="n">
        <f aca="false">SUM(B125:E125)</f>
        <v>-8081</v>
      </c>
      <c r="AF125" s="3" t="n">
        <f aca="false">SUM(F125:I125)</f>
        <v>-7763</v>
      </c>
      <c r="AG125" s="3" t="n">
        <f aca="false">SUM(J125:M125)</f>
        <v>-5257</v>
      </c>
      <c r="AH125" s="3" t="n">
        <f aca="false">SUM(N125:Q125)</f>
        <v>8348</v>
      </c>
    </row>
    <row r="126" customFormat="false" ht="12.8" hidden="false" customHeight="false" outlineLevel="0" collapsed="false">
      <c r="A126" s="3" t="s">
        <v>224</v>
      </c>
      <c r="B126" s="3" t="n">
        <v>1437</v>
      </c>
      <c r="C126" s="3" t="n">
        <v>1041</v>
      </c>
      <c r="D126" s="3" t="n">
        <v>1378</v>
      </c>
      <c r="E126" s="3" t="n">
        <v>1663</v>
      </c>
      <c r="F126" s="3" t="n">
        <v>-84</v>
      </c>
      <c r="G126" s="3" t="n">
        <v>509</v>
      </c>
      <c r="H126" s="3" t="n">
        <v>869</v>
      </c>
      <c r="I126" s="3" t="n">
        <v>-471</v>
      </c>
      <c r="J126" s="3" t="n">
        <v>-1781</v>
      </c>
      <c r="K126" s="3" t="n">
        <v>1024</v>
      </c>
      <c r="L126" s="3" t="n">
        <v>-1981</v>
      </c>
      <c r="M126" s="3" t="n">
        <v>67</v>
      </c>
      <c r="N126" s="3" t="n">
        <v>-9960</v>
      </c>
      <c r="O126" s="3" t="n">
        <v>-1451</v>
      </c>
      <c r="P126" s="3" t="n">
        <v>-10855</v>
      </c>
      <c r="Q126" s="3" t="n">
        <v>-2354</v>
      </c>
      <c r="R126" s="3" t="n">
        <v>-36804</v>
      </c>
      <c r="S126" s="3" t="n">
        <v>-98999</v>
      </c>
      <c r="AC126" s="3" t="n">
        <v>-6317</v>
      </c>
      <c r="AD126" s="3" t="n">
        <v>-12270</v>
      </c>
      <c r="AE126" s="3" t="n">
        <f aca="false">SUM(B126:E126)</f>
        <v>5519</v>
      </c>
      <c r="AF126" s="3" t="n">
        <f aca="false">SUM(F126:I126)</f>
        <v>823</v>
      </c>
      <c r="AG126" s="3" t="n">
        <f aca="false">SUM(J126:M126)</f>
        <v>-2671</v>
      </c>
      <c r="AH126" s="3" t="n">
        <f aca="false">SUM(N126:Q126)</f>
        <v>-24620</v>
      </c>
    </row>
    <row r="127" customFormat="false" ht="12.8" hidden="false" customHeight="false" outlineLevel="0" collapsed="false">
      <c r="A127" s="3" t="s">
        <v>225</v>
      </c>
      <c r="B127" s="3" t="n">
        <v>140</v>
      </c>
      <c r="C127" s="3" t="n">
        <v>62</v>
      </c>
      <c r="D127" s="3" t="n">
        <v>167</v>
      </c>
      <c r="E127" s="3" t="n">
        <v>1260</v>
      </c>
      <c r="F127" s="3" t="n">
        <v>1104</v>
      </c>
      <c r="G127" s="3" t="n">
        <v>97</v>
      </c>
      <c r="H127" s="3" t="n">
        <v>891</v>
      </c>
      <c r="I127" s="3" t="n">
        <v>1665</v>
      </c>
      <c r="J127" s="3" t="n">
        <v>334</v>
      </c>
      <c r="K127" s="3" t="n">
        <v>851</v>
      </c>
      <c r="L127" s="3" t="n">
        <v>1407</v>
      </c>
      <c r="M127" s="3" t="n">
        <v>827</v>
      </c>
      <c r="N127" s="3" t="n">
        <v>481</v>
      </c>
      <c r="O127" s="3" t="n">
        <v>560</v>
      </c>
      <c r="P127" s="3" t="n">
        <v>-198</v>
      </c>
      <c r="Q127" s="3" t="n">
        <v>1265</v>
      </c>
      <c r="R127" s="3" t="n">
        <v>1265</v>
      </c>
      <c r="S127" s="3" t="n">
        <v>1896</v>
      </c>
      <c r="AC127" s="3" t="n">
        <v>1267</v>
      </c>
      <c r="AD127" s="3" t="n">
        <v>-213</v>
      </c>
      <c r="AE127" s="3" t="n">
        <f aca="false">SUM(B127:E127)</f>
        <v>1629</v>
      </c>
      <c r="AF127" s="3" t="n">
        <f aca="false">SUM(F127:I127)</f>
        <v>3757</v>
      </c>
      <c r="AG127" s="3" t="n">
        <f aca="false">SUM(J127:M127)</f>
        <v>3419</v>
      </c>
      <c r="AH127" s="3" t="n">
        <f aca="false">SUM(N127:Q127)</f>
        <v>2108</v>
      </c>
    </row>
    <row r="128" customFormat="false" ht="12.8" hidden="false" customHeight="false" outlineLevel="0" collapsed="false">
      <c r="A128" s="3" t="s">
        <v>198</v>
      </c>
      <c r="B128" s="3" t="n">
        <v>4364</v>
      </c>
      <c r="C128" s="3" t="n">
        <v>-1969</v>
      </c>
      <c r="D128" s="3" t="n">
        <v>-97</v>
      </c>
      <c r="E128" s="3" t="n">
        <v>-4615</v>
      </c>
      <c r="F128" s="3" t="n">
        <v>4454</v>
      </c>
      <c r="G128" s="3" t="n">
        <v>-2948</v>
      </c>
      <c r="H128" s="3" t="n">
        <v>-2821</v>
      </c>
      <c r="I128" s="3" t="n">
        <v>-6518</v>
      </c>
      <c r="J128" s="3" t="n">
        <v>3167</v>
      </c>
      <c r="K128" s="3" t="n">
        <v>-3057</v>
      </c>
      <c r="L128" s="3" t="n">
        <v>-1431</v>
      </c>
      <c r="M128" s="3" t="n">
        <v>-4570</v>
      </c>
      <c r="N128" s="3" t="n">
        <v>1638</v>
      </c>
      <c r="O128" s="3" t="n">
        <v>-2839</v>
      </c>
      <c r="P128" s="3" t="n">
        <v>-2381</v>
      </c>
      <c r="Q128" s="3" t="n">
        <v>-4943</v>
      </c>
      <c r="R128" s="3" t="n">
        <v>-363</v>
      </c>
      <c r="S128" s="3" t="n">
        <v>-6541</v>
      </c>
      <c r="AC128" s="3" t="n">
        <v>-6524</v>
      </c>
      <c r="AD128" s="3" t="n">
        <v>-9095</v>
      </c>
      <c r="AE128" s="3" t="n">
        <f aca="false">SUM(B128:E128)</f>
        <v>-2317</v>
      </c>
      <c r="AF128" s="3" t="n">
        <f aca="false">SUM(F128:I128)</f>
        <v>-7833</v>
      </c>
      <c r="AG128" s="3" t="n">
        <f aca="false">SUM(J128:M128)</f>
        <v>-5891</v>
      </c>
      <c r="AH128" s="3" t="n">
        <f aca="false">SUM(N128:Q128)</f>
        <v>-8525</v>
      </c>
    </row>
    <row r="129" customFormat="false" ht="12.8" hidden="false" customHeight="false" outlineLevel="0" collapsed="false">
      <c r="A129" s="3" t="s">
        <v>226</v>
      </c>
      <c r="B129" s="3" t="n">
        <v>3820</v>
      </c>
      <c r="C129" s="3" t="n">
        <v>-4073</v>
      </c>
      <c r="D129" s="3" t="n">
        <v>-609</v>
      </c>
      <c r="E129" s="3" t="n">
        <v>1446</v>
      </c>
      <c r="F129" s="3" t="n">
        <v>4069</v>
      </c>
      <c r="G129" s="3" t="n">
        <v>4451</v>
      </c>
      <c r="H129" s="3" t="n">
        <v>1872</v>
      </c>
      <c r="I129" s="3" t="n">
        <v>-9869</v>
      </c>
      <c r="J129" s="3" t="n">
        <v>3011</v>
      </c>
      <c r="K129" s="3" t="n">
        <v>-3900</v>
      </c>
      <c r="L129" s="3" t="n">
        <v>-1908</v>
      </c>
      <c r="M129" s="3" t="n">
        <v>379</v>
      </c>
      <c r="N129" s="3" t="n">
        <v>7197</v>
      </c>
      <c r="O129" s="3" t="n">
        <v>-9631</v>
      </c>
      <c r="P129" s="3" t="n">
        <v>-858</v>
      </c>
      <c r="Q129" s="3" t="n">
        <v>66</v>
      </c>
      <c r="R129" s="3" t="n">
        <v>8101</v>
      </c>
      <c r="S129" s="3" t="n">
        <v>-6696</v>
      </c>
      <c r="AC129" s="3" t="n">
        <v>1209</v>
      </c>
      <c r="AD129" s="3" t="n">
        <v>-625</v>
      </c>
      <c r="AE129" s="3" t="n">
        <f aca="false">SUM(B129:E129)</f>
        <v>584</v>
      </c>
      <c r="AF129" s="3" t="n">
        <f aca="false">SUM(F129:I129)</f>
        <v>523</v>
      </c>
      <c r="AG129" s="3" t="n">
        <f aca="false">SUM(J129:M129)</f>
        <v>-2418</v>
      </c>
      <c r="AH129" s="3" t="n">
        <f aca="false">SUM(N129:Q129)</f>
        <v>-3226</v>
      </c>
    </row>
    <row r="130" customFormat="false" ht="12.8" hidden="false" customHeight="false" outlineLevel="0" collapsed="false">
      <c r="A130" s="3" t="s">
        <v>204</v>
      </c>
      <c r="B130" s="3" t="n">
        <v>-776</v>
      </c>
      <c r="C130" s="3" t="n">
        <v>-845</v>
      </c>
      <c r="D130" s="3" t="n">
        <v>-2647</v>
      </c>
      <c r="E130" s="3" t="n">
        <v>-778</v>
      </c>
      <c r="F130" s="3" t="n">
        <v>-746</v>
      </c>
      <c r="G130" s="3" t="n">
        <v>-513</v>
      </c>
      <c r="H130" s="3" t="n">
        <v>-1624</v>
      </c>
      <c r="I130" s="3" t="n">
        <v>740</v>
      </c>
      <c r="J130" s="3" t="n">
        <v>-1000</v>
      </c>
      <c r="K130" s="3" t="n">
        <v>-532</v>
      </c>
      <c r="L130" s="3" t="n">
        <v>-802</v>
      </c>
      <c r="M130" s="3" t="n">
        <v>937</v>
      </c>
      <c r="N130" s="3" t="n">
        <v>-1288</v>
      </c>
      <c r="O130" s="3" t="n">
        <v>-1479</v>
      </c>
      <c r="P130" s="3" t="n">
        <v>-1293</v>
      </c>
      <c r="Q130" s="3" t="n">
        <v>-482</v>
      </c>
      <c r="R130" s="3" t="n">
        <v>-3403</v>
      </c>
      <c r="S130" s="3" t="n">
        <v>203</v>
      </c>
      <c r="AC130" s="3" t="n">
        <v>-1330</v>
      </c>
      <c r="AD130" s="3" t="n">
        <v>-1846</v>
      </c>
      <c r="AE130" s="3" t="n">
        <f aca="false">SUM(B130:E130)</f>
        <v>-5046</v>
      </c>
      <c r="AF130" s="3" t="n">
        <f aca="false">SUM(F130:I130)</f>
        <v>-2143</v>
      </c>
      <c r="AG130" s="3" t="n">
        <f aca="false">SUM(J130:M130)</f>
        <v>-1397</v>
      </c>
      <c r="AH130" s="3" t="n">
        <f aca="false">SUM(N130:Q130)</f>
        <v>-4542</v>
      </c>
    </row>
    <row r="131" customFormat="false" ht="12.8" hidden="false" customHeight="false" outlineLevel="0" collapsed="false">
      <c r="A131" s="3" t="s">
        <v>206</v>
      </c>
      <c r="B131" s="3" t="n">
        <v>-2373</v>
      </c>
      <c r="C131" s="3" t="n">
        <v>1201</v>
      </c>
      <c r="D131" s="3" t="n">
        <v>1907</v>
      </c>
      <c r="E131" s="3" t="n">
        <v>-28</v>
      </c>
      <c r="F131" s="3" t="n">
        <v>-1105</v>
      </c>
      <c r="G131" s="3" t="n">
        <v>1119</v>
      </c>
      <c r="H131" s="3" t="n">
        <v>223</v>
      </c>
      <c r="I131" s="3" t="n">
        <v>427</v>
      </c>
      <c r="J131" s="3" t="n">
        <v>-2124</v>
      </c>
      <c r="K131" s="3" t="n">
        <v>1561</v>
      </c>
      <c r="L131" s="3" t="n">
        <v>521</v>
      </c>
      <c r="M131" s="3" t="n">
        <v>401</v>
      </c>
      <c r="N131" s="3" t="n">
        <v>-880</v>
      </c>
      <c r="O131" s="3" t="n">
        <v>553</v>
      </c>
      <c r="P131" s="3" t="n">
        <v>-444</v>
      </c>
      <c r="Q131" s="3" t="n">
        <v>227</v>
      </c>
      <c r="R131" s="3" t="n">
        <v>-240</v>
      </c>
      <c r="S131" s="3" t="n">
        <v>-7590</v>
      </c>
      <c r="AC131" s="3" t="n">
        <v>694</v>
      </c>
      <c r="AD131" s="3" t="n">
        <v>283</v>
      </c>
      <c r="AE131" s="3" t="n">
        <f aca="false">SUM(B131:E131)</f>
        <v>707</v>
      </c>
      <c r="AF131" s="3" t="n">
        <f aca="false">SUM(F131:I131)</f>
        <v>664</v>
      </c>
      <c r="AG131" s="3" t="n">
        <f aca="false">SUM(J131:M131)</f>
        <v>359</v>
      </c>
      <c r="AH131" s="3" t="n">
        <f aca="false">SUM(N131:Q131)</f>
        <v>-544</v>
      </c>
    </row>
    <row r="132" customFormat="false" ht="12.8" hidden="false" customHeight="false" outlineLevel="0" collapsed="false">
      <c r="A132" s="3" t="s">
        <v>227</v>
      </c>
      <c r="B132" s="3" t="n">
        <v>-3216</v>
      </c>
      <c r="C132" s="3" t="n">
        <v>1497</v>
      </c>
      <c r="D132" s="3" t="n">
        <v>2210</v>
      </c>
      <c r="E132" s="3" t="n">
        <v>3424</v>
      </c>
      <c r="F132" s="3" t="n">
        <v>-4496</v>
      </c>
      <c r="G132" s="3" t="n">
        <v>459</v>
      </c>
      <c r="H132" s="3" t="n">
        <v>3657</v>
      </c>
      <c r="I132" s="3" t="n">
        <v>4317</v>
      </c>
      <c r="J132" s="3" t="n">
        <v>-5054</v>
      </c>
      <c r="K132" s="3" t="n">
        <v>-122</v>
      </c>
      <c r="L132" s="3" t="n">
        <v>-1190</v>
      </c>
      <c r="M132" s="3" t="n">
        <v>5205</v>
      </c>
      <c r="N132" s="3" t="n">
        <v>-5045</v>
      </c>
      <c r="O132" s="3" t="n">
        <v>3485</v>
      </c>
      <c r="P132" s="3" t="n">
        <v>7759</v>
      </c>
      <c r="Q132" s="3" t="n">
        <v>7937</v>
      </c>
      <c r="R132" s="3" t="n">
        <v>-6002</v>
      </c>
      <c r="S132" s="3" t="n">
        <v>2330</v>
      </c>
      <c r="AC132" s="3" t="n">
        <v>5504</v>
      </c>
      <c r="AD132" s="3" t="n">
        <v>7304</v>
      </c>
      <c r="AE132" s="3" t="n">
        <f aca="false">SUM(B132:E132)</f>
        <v>3915</v>
      </c>
      <c r="AF132" s="3" t="n">
        <f aca="false">SUM(F132:I132)</f>
        <v>3937</v>
      </c>
      <c r="AG132" s="3" t="n">
        <f aca="false">SUM(J132:M132)</f>
        <v>-1161</v>
      </c>
      <c r="AH132" s="3" t="n">
        <f aca="false">SUM(N132:Q132)</f>
        <v>14136</v>
      </c>
    </row>
    <row r="133" s="20" customFormat="true" ht="12.8" hidden="false" customHeight="false" outlineLevel="0" collapsed="false">
      <c r="A133" s="3" t="s">
        <v>228</v>
      </c>
      <c r="B133" s="3" t="n">
        <v>-828</v>
      </c>
      <c r="C133" s="3" t="n">
        <v>-114</v>
      </c>
      <c r="D133" s="3" t="n">
        <v>-80</v>
      </c>
      <c r="E133" s="3" t="n">
        <v>577</v>
      </c>
      <c r="F133" s="3" t="n">
        <v>-602</v>
      </c>
      <c r="G133" s="3" t="n">
        <v>184</v>
      </c>
      <c r="H133" s="3" t="n">
        <v>103</v>
      </c>
      <c r="I133" s="3" t="n">
        <v>797</v>
      </c>
      <c r="J133" s="3" t="n">
        <v>-322</v>
      </c>
      <c r="K133" s="3" t="n">
        <v>419</v>
      </c>
      <c r="L133" s="3" t="n">
        <v>381</v>
      </c>
      <c r="M133" s="3" t="n">
        <v>581</v>
      </c>
      <c r="N133" s="3" t="n">
        <v>116</v>
      </c>
      <c r="O133" s="3" t="n">
        <v>-335</v>
      </c>
      <c r="P133" s="3" t="n">
        <v>319</v>
      </c>
      <c r="Q133" s="3" t="n">
        <v>799</v>
      </c>
      <c r="R133" s="3" t="n">
        <v>0</v>
      </c>
      <c r="S133" s="3" t="n">
        <v>6310</v>
      </c>
      <c r="T133" s="3"/>
      <c r="U133" s="3"/>
      <c r="V133" s="3"/>
      <c r="W133" s="3"/>
      <c r="X133" s="3"/>
      <c r="Y133" s="3"/>
      <c r="Z133" s="3"/>
      <c r="AA133" s="3"/>
      <c r="AB133" s="3"/>
      <c r="AC133" s="3" t="n">
        <v>1639</v>
      </c>
      <c r="AD133" s="3" t="n">
        <v>1682</v>
      </c>
      <c r="AE133" s="3" t="n">
        <f aca="false">SUM(B133:E133)</f>
        <v>-445</v>
      </c>
      <c r="AF133" s="3" t="n">
        <f aca="false">SUM(F133:I133)</f>
        <v>482</v>
      </c>
      <c r="AG133" s="3" t="n">
        <f aca="false">SUM(J133:M133)</f>
        <v>1059</v>
      </c>
      <c r="AH133" s="3" t="n">
        <f aca="false">SUM(N133:Q133)</f>
        <v>899</v>
      </c>
      <c r="AI133" s="3"/>
      <c r="AJ133" s="3"/>
      <c r="AK133" s="3"/>
      <c r="AL133" s="3"/>
      <c r="AM133" s="3"/>
      <c r="AN133" s="1"/>
      <c r="AO133" s="1"/>
      <c r="AP133" s="1"/>
      <c r="AQ133" s="1"/>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17"/>
      <c r="DJ133" s="17"/>
      <c r="DK133" s="17"/>
      <c r="DL133" s="17"/>
      <c r="DM133" s="17"/>
      <c r="DN133" s="17"/>
    </row>
    <row r="134" s="44" customFormat="true" ht="12.8" hidden="false" customHeight="false" outlineLevel="0" collapsed="false">
      <c r="A134" s="3" t="s">
        <v>210</v>
      </c>
      <c r="B134" s="3" t="n">
        <v>-94</v>
      </c>
      <c r="C134" s="3" t="n">
        <v>86</v>
      </c>
      <c r="D134" s="3" t="n">
        <v>112</v>
      </c>
      <c r="E134" s="3" t="n">
        <v>263</v>
      </c>
      <c r="F134" s="3" t="n">
        <v>-201</v>
      </c>
      <c r="G134" s="3" t="n">
        <v>184</v>
      </c>
      <c r="H134" s="3" t="n">
        <v>707</v>
      </c>
      <c r="I134" s="3" t="n">
        <v>-165</v>
      </c>
      <c r="J134" s="3" t="n">
        <v>-141</v>
      </c>
      <c r="K134" s="3" t="n">
        <v>361</v>
      </c>
      <c r="L134" s="3" t="n">
        <v>640</v>
      </c>
      <c r="M134" s="3" t="n">
        <v>183</v>
      </c>
      <c r="N134" s="3" t="n">
        <v>500</v>
      </c>
      <c r="O134" s="3" t="n">
        <v>136</v>
      </c>
      <c r="P134" s="3" t="n">
        <v>681</v>
      </c>
      <c r="Q134" s="3" t="n">
        <v>1103</v>
      </c>
      <c r="R134" s="3" t="n">
        <v>505</v>
      </c>
      <c r="S134" s="3" t="n">
        <v>284</v>
      </c>
      <c r="T134" s="3"/>
      <c r="U134" s="3"/>
      <c r="V134" s="3"/>
      <c r="W134" s="3"/>
      <c r="X134" s="3"/>
      <c r="Y134" s="3"/>
      <c r="Z134" s="3"/>
      <c r="AA134" s="3"/>
      <c r="AB134" s="3"/>
      <c r="AC134" s="3" t="n">
        <v>635</v>
      </c>
      <c r="AD134" s="3" t="n">
        <v>774</v>
      </c>
      <c r="AE134" s="3" t="n">
        <f aca="false">SUM(B134:E134)</f>
        <v>367</v>
      </c>
      <c r="AF134" s="3" t="n">
        <f aca="false">SUM(F134:I134)</f>
        <v>525</v>
      </c>
      <c r="AG134" s="3" t="n">
        <f aca="false">SUM(J134:M134)</f>
        <v>1043</v>
      </c>
      <c r="AH134" s="3" t="n">
        <f aca="false">SUM(N134:Q134)</f>
        <v>2420</v>
      </c>
      <c r="AI134" s="3"/>
      <c r="AJ134" s="3"/>
      <c r="AK134" s="3"/>
      <c r="AL134" s="3"/>
      <c r="AM134" s="3"/>
      <c r="AN134" s="1"/>
      <c r="AO134" s="1"/>
      <c r="AP134" s="1"/>
      <c r="AQ134" s="1"/>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17"/>
      <c r="DJ134" s="17"/>
      <c r="DK134" s="17"/>
      <c r="DL134" s="17"/>
      <c r="DM134" s="17"/>
      <c r="DN134" s="17"/>
    </row>
    <row r="135" s="19" customFormat="true" ht="12.8" hidden="false" customHeight="false" outlineLevel="0" collapsed="false">
      <c r="A135" s="3" t="s">
        <v>229</v>
      </c>
      <c r="B135" s="3" t="n">
        <f aca="false">SUM(B121:B134)-B123</f>
        <v>25106</v>
      </c>
      <c r="C135" s="3" t="n">
        <f aca="false">SUM(C121:C134)-C123</f>
        <v>19422</v>
      </c>
      <c r="D135" s="3" t="n">
        <f aca="false">SUM(D121:D134)-D123</f>
        <v>23353</v>
      </c>
      <c r="E135" s="3" t="n">
        <f aca="false">SUM(E121:E134)-E123</f>
        <v>23614</v>
      </c>
      <c r="F135" s="3" t="n">
        <f aca="false">SUM(F121:F134)-F123</f>
        <v>23509</v>
      </c>
      <c r="G135" s="3" t="n">
        <f aca="false">SUM(G121:G134)-G123</f>
        <v>28666</v>
      </c>
      <c r="H135" s="3" t="n">
        <f aca="false">SUM(H121:H134)-H123</f>
        <v>30656</v>
      </c>
      <c r="I135" s="3" t="n">
        <f aca="false">SUM(I121:I134)-I123</f>
        <v>18915</v>
      </c>
      <c r="J135" s="3" t="n">
        <f aca="false">SUM(J121:J134)-J123</f>
        <v>28848</v>
      </c>
      <c r="K135" s="3" t="n">
        <f aca="false">SUM(K121:K134)-K123</f>
        <v>26640</v>
      </c>
      <c r="L135" s="3" t="n">
        <f aca="false">SUM(L121:L134)-L123</f>
        <v>30698</v>
      </c>
      <c r="M135" s="3" t="n">
        <f aca="false">SUM(M121:M134)-M123</f>
        <v>39113</v>
      </c>
      <c r="N135" s="3" t="n">
        <f aca="false">SUM(N121:N134)-N123</f>
        <v>36150</v>
      </c>
      <c r="O135" s="3" t="n">
        <f aca="false">SUM(O121:O134)-O123</f>
        <v>27747</v>
      </c>
      <c r="P135" s="3" t="n">
        <f aca="false">SUM(P121:P134)-P123</f>
        <v>48414</v>
      </c>
      <c r="Q135" s="3" t="n">
        <f aca="false">SUM(Q121:Q134)-Q123</f>
        <v>52402</v>
      </c>
      <c r="R135" s="3" t="n">
        <f aca="false">SUM(R121:R134)-R123</f>
        <v>45790</v>
      </c>
      <c r="S135" s="3" t="n">
        <f aca="false">SUM(S121:S134)-S123</f>
        <v>39069</v>
      </c>
      <c r="T135" s="3" t="n">
        <f aca="false">SUM(T121:T134)-T123</f>
        <v>0</v>
      </c>
      <c r="U135" s="3"/>
      <c r="V135" s="3"/>
      <c r="W135" s="3"/>
      <c r="X135" s="3"/>
      <c r="Y135" s="3"/>
      <c r="Z135" s="3"/>
      <c r="AA135" s="3"/>
      <c r="AB135" s="3"/>
      <c r="AC135" s="3" t="n">
        <f aca="false">SUM(AC121:AC134)-AC123</f>
        <v>65124</v>
      </c>
      <c r="AD135" s="3" t="n">
        <f aca="false">SUM(AD121:AD134)-AD123</f>
        <v>91652</v>
      </c>
      <c r="AE135" s="3" t="n">
        <f aca="false">SUM(AE121:AE134)-AE123</f>
        <v>91495</v>
      </c>
      <c r="AF135" s="3" t="n">
        <f aca="false">SUM(AF121:AF134)-AF123</f>
        <v>101746</v>
      </c>
      <c r="AG135" s="3" t="n">
        <f aca="false">SUM(AG121:AG134)-AG123</f>
        <v>125299</v>
      </c>
      <c r="AH135" s="3" t="n">
        <f aca="false">SUM(AH121:AH134)-AH123</f>
        <v>164713</v>
      </c>
      <c r="AI135" s="3"/>
      <c r="AJ135" s="3"/>
      <c r="AK135" s="3"/>
      <c r="AL135" s="3"/>
      <c r="AM135" s="3"/>
      <c r="AN135" s="1"/>
      <c r="AO135" s="1"/>
      <c r="AP135" s="1"/>
      <c r="AQ135" s="1"/>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17"/>
      <c r="DJ135" s="17"/>
      <c r="DK135" s="17"/>
      <c r="DL135" s="17"/>
      <c r="DM135" s="17"/>
      <c r="DN135" s="17"/>
    </row>
    <row r="136" s="29" customFormat="true" ht="12.8"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1"/>
      <c r="AO136" s="1"/>
      <c r="AP136" s="1"/>
      <c r="AQ136" s="1"/>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17"/>
      <c r="DJ136" s="17"/>
      <c r="DK136" s="17"/>
      <c r="DL136" s="17"/>
      <c r="DM136" s="17"/>
      <c r="DN136" s="17"/>
    </row>
    <row r="137" s="19" customFormat="true" ht="12.8" hidden="false" customHeight="false" outlineLevel="0" collapsed="false">
      <c r="A137" s="3" t="s">
        <v>230</v>
      </c>
      <c r="B137" s="3" t="n">
        <v>9786</v>
      </c>
      <c r="C137" s="3" t="n">
        <v>6828</v>
      </c>
      <c r="D137" s="3" t="n">
        <v>7276</v>
      </c>
      <c r="E137" s="3" t="n">
        <v>7595</v>
      </c>
      <c r="F137" s="3" t="n">
        <v>6289</v>
      </c>
      <c r="G137" s="3" t="n">
        <v>6888</v>
      </c>
      <c r="H137" s="3" t="n">
        <v>8055</v>
      </c>
      <c r="I137" s="3" t="n">
        <v>11019</v>
      </c>
      <c r="J137" s="3" t="n">
        <v>12012</v>
      </c>
      <c r="K137" s="3" t="n">
        <v>13186</v>
      </c>
      <c r="L137" s="3" t="n">
        <v>13061</v>
      </c>
      <c r="M137" s="3" t="n">
        <v>14276</v>
      </c>
      <c r="N137" s="3" t="n">
        <v>17197</v>
      </c>
      <c r="O137" s="3" t="n">
        <v>22446</v>
      </c>
      <c r="P137" s="3" t="n">
        <v>23953</v>
      </c>
      <c r="Q137" s="3" t="n">
        <v>27851</v>
      </c>
      <c r="R137" s="3" t="n">
        <v>35674</v>
      </c>
      <c r="S137" s="3" t="n">
        <v>44924</v>
      </c>
      <c r="T137" s="3"/>
      <c r="U137" s="3"/>
      <c r="V137" s="3"/>
      <c r="W137" s="3"/>
      <c r="X137" s="3"/>
      <c r="Y137" s="3"/>
      <c r="Z137" s="3"/>
      <c r="AA137" s="3"/>
      <c r="AB137" s="3"/>
      <c r="AC137" s="3" t="n">
        <v>22281</v>
      </c>
      <c r="AD137" s="3" t="n">
        <v>24640</v>
      </c>
      <c r="AE137" s="3" t="n">
        <f aca="false">SUM(B137:E137)</f>
        <v>31485</v>
      </c>
      <c r="AF137" s="3" t="n">
        <f aca="false">SUM(F137:I137)</f>
        <v>32251</v>
      </c>
      <c r="AG137" s="3" t="n">
        <f aca="false">SUM(J137:M137)</f>
        <v>52535</v>
      </c>
      <c r="AH137" s="3" t="n">
        <f aca="false">SUM(N137:Q137)</f>
        <v>91447</v>
      </c>
      <c r="AI137" s="3" t="n">
        <f aca="false">+AH137*2</f>
        <v>182894</v>
      </c>
      <c r="AJ137" s="3" t="n">
        <f aca="false">+AI137*1</f>
        <v>182894</v>
      </c>
      <c r="AK137" s="3" t="n">
        <f aca="false">+AJ137*0.6</f>
        <v>109736.4</v>
      </c>
      <c r="AL137" s="3" t="n">
        <f aca="false">+AK137*0.9</f>
        <v>98762.76</v>
      </c>
      <c r="AM137" s="3" t="n">
        <f aca="false">+AL137*1.1</f>
        <v>108639.036</v>
      </c>
      <c r="AN137" s="1"/>
      <c r="AO137" s="1"/>
      <c r="AP137" s="1"/>
      <c r="AQ137" s="1"/>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17"/>
      <c r="DJ137" s="17"/>
      <c r="DK137" s="17"/>
      <c r="DL137" s="17"/>
      <c r="DM137" s="17"/>
      <c r="DN137" s="17"/>
    </row>
    <row r="138" customFormat="false" ht="10.5" hidden="false" customHeight="true" outlineLevel="0" collapsed="false">
      <c r="A138" s="19"/>
      <c r="B138" s="19"/>
      <c r="C138" s="19"/>
      <c r="D138" s="19"/>
      <c r="E138" s="19"/>
      <c r="F138" s="19" t="n">
        <f aca="false">F137/B137-1</f>
        <v>-0.357347230737789</v>
      </c>
      <c r="G138" s="19" t="n">
        <f aca="false">G137/C137-1</f>
        <v>0.00878734622144117</v>
      </c>
      <c r="H138" s="19" t="n">
        <f aca="false">H137/D137-1</f>
        <v>0.107064321055525</v>
      </c>
      <c r="I138" s="19" t="n">
        <f aca="false">I137/E137-1</f>
        <v>0.450822909809085</v>
      </c>
      <c r="J138" s="19" t="n">
        <f aca="false">J137/F137-1</f>
        <v>0.910001590077914</v>
      </c>
      <c r="K138" s="19" t="n">
        <f aca="false">K137/G137-1</f>
        <v>0.914343786295006</v>
      </c>
      <c r="L138" s="19" t="n">
        <f aca="false">L137/H137-1</f>
        <v>0.621477343265053</v>
      </c>
      <c r="M138" s="19" t="n">
        <f aca="false">M137/I137-1</f>
        <v>0.295580361194301</v>
      </c>
      <c r="N138" s="19" t="n">
        <f aca="false">N137/J137-1</f>
        <v>0.431651681651682</v>
      </c>
      <c r="O138" s="19" t="n">
        <f aca="false">O137/K137-1</f>
        <v>0.702259972698316</v>
      </c>
      <c r="P138" s="19" t="n">
        <f aca="false">P137/L137-1</f>
        <v>0.833933083224868</v>
      </c>
      <c r="Q138" s="19" t="n">
        <f aca="false">Q137/M137-1</f>
        <v>0.950896609694592</v>
      </c>
      <c r="R138" s="19" t="n">
        <f aca="false">R137/N137-1</f>
        <v>1.07443158690469</v>
      </c>
      <c r="S138" s="19" t="n">
        <f aca="false">S137/O137-1</f>
        <v>1.00142564376726</v>
      </c>
      <c r="T138" s="19"/>
      <c r="U138" s="19"/>
      <c r="V138" s="19"/>
      <c r="W138" s="19"/>
      <c r="X138" s="19"/>
      <c r="Y138" s="19"/>
      <c r="Z138" s="19"/>
      <c r="AA138" s="19"/>
      <c r="AB138" s="19"/>
      <c r="AC138" s="19"/>
      <c r="AD138" s="19" t="n">
        <f aca="false">AD137/AC137-1</f>
        <v>0.105874960728872</v>
      </c>
      <c r="AE138" s="19" t="n">
        <f aca="false">AE137/AD137-1</f>
        <v>0.277800324675325</v>
      </c>
      <c r="AF138" s="19" t="n">
        <f aca="false">AF137/AE137-1</f>
        <v>0.0243290455772591</v>
      </c>
      <c r="AG138" s="19" t="n">
        <f aca="false">AG137/AF137-1</f>
        <v>0.628941738240675</v>
      </c>
      <c r="AH138" s="19" t="n">
        <f aca="false">AH137/AG137-1</f>
        <v>0.740687160940326</v>
      </c>
      <c r="AI138" s="19" t="n">
        <f aca="false">AI137/AH137-1</f>
        <v>1</v>
      </c>
      <c r="AJ138" s="19" t="n">
        <f aca="false">AJ137/AI137-1</f>
        <v>0</v>
      </c>
      <c r="AK138" s="19" t="n">
        <f aca="false">AK137/AJ137-1</f>
        <v>-0.4</v>
      </c>
      <c r="AL138" s="19" t="n">
        <f aca="false">AL137/AK137-1</f>
        <v>-0.1</v>
      </c>
      <c r="AM138" s="19" t="n">
        <f aca="false">AM137/AL137-1</f>
        <v>0.1</v>
      </c>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7"/>
      <c r="DJ138" s="17"/>
      <c r="DK138" s="17"/>
      <c r="DL138" s="17"/>
      <c r="DM138" s="17"/>
      <c r="DN138" s="17"/>
    </row>
    <row r="139" customFormat="false" ht="12.8" hidden="false" customHeight="false" outlineLevel="0" collapsed="false">
      <c r="A139" s="20" t="s">
        <v>231</v>
      </c>
      <c r="B139" s="20" t="n">
        <f aca="false">+B135-B137</f>
        <v>15320</v>
      </c>
      <c r="C139" s="20" t="n">
        <f aca="false">+C135-C137</f>
        <v>12594</v>
      </c>
      <c r="D139" s="20" t="n">
        <f aca="false">+D135-D137</f>
        <v>16077</v>
      </c>
      <c r="E139" s="20" t="n">
        <f aca="false">+E135-E137</f>
        <v>16019</v>
      </c>
      <c r="F139" s="20" t="n">
        <f aca="false">+F135-F137</f>
        <v>17220</v>
      </c>
      <c r="G139" s="20" t="n">
        <f aca="false">+G135-G137</f>
        <v>21778</v>
      </c>
      <c r="H139" s="20" t="n">
        <f aca="false">+H135-H137</f>
        <v>22601</v>
      </c>
      <c r="I139" s="20" t="n">
        <f aca="false">+I135-I137</f>
        <v>7896</v>
      </c>
      <c r="J139" s="20" t="n">
        <f aca="false">+J135-J137</f>
        <v>16836</v>
      </c>
      <c r="K139" s="20" t="n">
        <f aca="false">+K135-K137</f>
        <v>13454</v>
      </c>
      <c r="L139" s="20" t="n">
        <f aca="false">+L135-L137</f>
        <v>17637</v>
      </c>
      <c r="M139" s="20" t="n">
        <f aca="false">+M135-M137</f>
        <v>24837</v>
      </c>
      <c r="N139" s="20" t="n">
        <f aca="false">+N135-N137</f>
        <v>18953</v>
      </c>
      <c r="O139" s="20" t="n">
        <f aca="false">+O135-O137</f>
        <v>5301</v>
      </c>
      <c r="P139" s="20" t="n">
        <f aca="false">+P135-P137</f>
        <v>24461</v>
      </c>
      <c r="Q139" s="20" t="n">
        <f aca="false">+Q135-Q137</f>
        <v>24551</v>
      </c>
      <c r="R139" s="20" t="n">
        <f aca="false">+R135-R137</f>
        <v>10116</v>
      </c>
      <c r="S139" s="20" t="n">
        <f aca="false">+S135-S137</f>
        <v>-5855</v>
      </c>
      <c r="T139" s="20" t="n">
        <f aca="false">+T135-T137</f>
        <v>0</v>
      </c>
      <c r="U139" s="20"/>
      <c r="V139" s="20"/>
      <c r="W139" s="20"/>
      <c r="X139" s="20"/>
      <c r="Y139" s="20"/>
      <c r="Z139" s="20"/>
      <c r="AA139" s="20"/>
      <c r="AB139" s="20"/>
      <c r="AC139" s="20" t="n">
        <f aca="false">+AC135-AC137</f>
        <v>42843</v>
      </c>
      <c r="AD139" s="20" t="n">
        <f aca="false">+AD135-AD137</f>
        <v>67012</v>
      </c>
      <c r="AE139" s="20" t="n">
        <f aca="false">+AE135-AE137</f>
        <v>60010</v>
      </c>
      <c r="AF139" s="20" t="n">
        <f aca="false">+AF135-AF137</f>
        <v>69495</v>
      </c>
      <c r="AG139" s="20" t="n">
        <f aca="false">+AG135-AG137</f>
        <v>72764</v>
      </c>
      <c r="AH139" s="20" t="n">
        <f aca="false">+AH135-AH137</f>
        <v>73266</v>
      </c>
      <c r="AI139" s="20"/>
      <c r="AJ139" s="20"/>
      <c r="AK139" s="20"/>
      <c r="AL139" s="20"/>
      <c r="AM139" s="20"/>
      <c r="AN139" s="24"/>
      <c r="AO139" s="24"/>
      <c r="AP139" s="24"/>
      <c r="AQ139" s="24"/>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17"/>
      <c r="DJ139" s="17"/>
      <c r="DK139" s="17"/>
      <c r="DL139" s="17"/>
      <c r="DM139" s="17"/>
      <c r="DN139" s="17"/>
    </row>
    <row r="140" customFormat="false" ht="10.5" hidden="false" customHeight="true" outlineLevel="0" collapsed="false">
      <c r="A140" s="19"/>
      <c r="B140" s="19"/>
      <c r="C140" s="19"/>
      <c r="D140" s="19"/>
      <c r="E140" s="19"/>
      <c r="F140" s="19" t="n">
        <f aca="false">F139/B139-1</f>
        <v>0.124020887728459</v>
      </c>
      <c r="G140" s="19" t="n">
        <f aca="false">G139/C139-1</f>
        <v>0.729236144195649</v>
      </c>
      <c r="H140" s="19" t="n">
        <f aca="false">H139/D139-1</f>
        <v>0.405797101449275</v>
      </c>
      <c r="I140" s="19" t="n">
        <f aca="false">I139/E139-1</f>
        <v>-0.507085336163306</v>
      </c>
      <c r="J140" s="19" t="n">
        <f aca="false">J139/F139-1</f>
        <v>-0.0222996515679442</v>
      </c>
      <c r="K140" s="19" t="n">
        <f aca="false">K139/G139-1</f>
        <v>-0.382220589585821</v>
      </c>
      <c r="L140" s="19" t="n">
        <f aca="false">L139/H139-1</f>
        <v>-0.219636299278793</v>
      </c>
      <c r="M140" s="19" t="n">
        <f aca="false">M139/I139-1</f>
        <v>2.14551671732523</v>
      </c>
      <c r="N140" s="19" t="n">
        <f aca="false">N139/J139-1</f>
        <v>0.125742456640532</v>
      </c>
      <c r="O140" s="19" t="n">
        <f aca="false">O139/K139-1</f>
        <v>-0.605990783410138</v>
      </c>
      <c r="P140" s="19" t="n">
        <f aca="false">P139/L139-1</f>
        <v>0.386913874241651</v>
      </c>
      <c r="Q140" s="19" t="n">
        <f aca="false">Q139/M139-1</f>
        <v>-0.0115150783105851</v>
      </c>
      <c r="R140" s="19" t="n">
        <f aca="false">R139/N139-1</f>
        <v>-0.466258639793173</v>
      </c>
      <c r="S140" s="19" t="n">
        <f aca="false">S139/O139-1</f>
        <v>-2.10450858328617</v>
      </c>
      <c r="T140" s="19"/>
      <c r="U140" s="19"/>
      <c r="V140" s="19"/>
      <c r="W140" s="19"/>
      <c r="X140" s="19"/>
      <c r="Y140" s="19"/>
      <c r="Z140" s="19"/>
      <c r="AA140" s="19"/>
      <c r="AB140" s="19"/>
      <c r="AC140" s="19"/>
      <c r="AD140" s="19" t="n">
        <f aca="false">AD139/AC139-1</f>
        <v>0.564129496067036</v>
      </c>
      <c r="AE140" s="19" t="n">
        <f aca="false">AE139/AD139-1</f>
        <v>-0.104488748283889</v>
      </c>
      <c r="AF140" s="19" t="n">
        <f aca="false">AF139/AE139-1</f>
        <v>0.158056990501583</v>
      </c>
      <c r="AG140" s="19" t="n">
        <f aca="false">AG139/AF139-1</f>
        <v>0.0470393553493058</v>
      </c>
      <c r="AH140" s="19" t="n">
        <f aca="false">AH139/AG139-1</f>
        <v>0.00689901599692155</v>
      </c>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row>
    <row r="141" customFormat="false" ht="12.8" hidden="false" customHeight="false" outlineLevel="0" collapsed="false">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row>
    <row r="143" customFormat="false" ht="12.8" hidden="false" customHeight="false" outlineLevel="0" collapsed="false">
      <c r="A143" s="3" t="s">
        <v>232</v>
      </c>
      <c r="C143" s="3" t="n">
        <f aca="false">+(AVERAGE(B90:C90)/C19)*90</f>
        <v>45.4681782306092</v>
      </c>
      <c r="D143" s="3" t="n">
        <f aca="false">+(AVERAGE(C90:D90)/D19)*90</f>
        <v>45.8545128234817</v>
      </c>
      <c r="E143" s="3" t="n">
        <f aca="false">+(AVERAGE(D90:E90)/E19)*90</f>
        <v>44.3532374289922</v>
      </c>
      <c r="F143" s="3" t="n">
        <f aca="false">+(AVERAGE(E90:F90)/F19)*90</f>
        <v>49.1958387665325</v>
      </c>
      <c r="G143" s="3" t="n">
        <f aca="false">+(AVERAGE(F90:G90)/G19)*90</f>
        <v>45.1423516165353</v>
      </c>
      <c r="H143" s="3" t="n">
        <f aca="false">+(AVERAGE(G90:H90)/H19)*90</f>
        <v>46.8371298553975</v>
      </c>
      <c r="I143" s="3" t="n">
        <f aca="false">+(AVERAGE(H90:I90)/I19)*90</f>
        <v>46.3941605839416</v>
      </c>
      <c r="J143" s="3" t="n">
        <f aca="false">+(AVERAGE(I90:J90)/J19)*90</f>
        <v>51.6919753163064</v>
      </c>
      <c r="K143" s="3" t="n">
        <f aca="false">+(AVERAGE(J90:K90)/K19)*90</f>
        <v>48.6624696136509</v>
      </c>
      <c r="L143" s="3" t="n">
        <f aca="false">+(AVERAGE(K90:L90)/L19)*90</f>
        <v>49.0392327910455</v>
      </c>
      <c r="M143" s="3" t="n">
        <f aca="false">+(AVERAGE(L90:M90)/M19)*90</f>
        <v>47.3206936943474</v>
      </c>
      <c r="N143" s="3" t="n">
        <f aca="false">+(AVERAGE(M90:N90)/N19)*90</f>
        <v>51.5360063834032</v>
      </c>
      <c r="O143" s="3" t="n">
        <f aca="false">+(AVERAGE(N90:O90)/O19)*90</f>
        <v>49.4893599369478</v>
      </c>
      <c r="P143" s="3" t="n">
        <f aca="false">+(AVERAGE(O90:P90)/P19)*90</f>
        <v>49.3308971527954</v>
      </c>
      <c r="Q143" s="3" t="n">
        <f aca="false">+(AVERAGE(P90:Q90)/Q19)*90</f>
        <v>47.4534385212777</v>
      </c>
      <c r="R143" s="3" t="n">
        <f aca="false">+(AVERAGE(Q90:R90)/R19)*90</f>
        <v>51.5471445730509</v>
      </c>
      <c r="S143" s="3" t="n">
        <f aca="false">+(AVERAGE(R90:S90)/S19)*90</f>
        <v>49.6496544125013</v>
      </c>
      <c r="AD143" s="3" t="n">
        <f aca="false">+(AVERAGE(AC90:AD90)/AD19)*365</f>
        <v>49.7510256678971</v>
      </c>
      <c r="AE143" s="3" t="n">
        <f aca="false">+(AVERAGE(AD90:AE90)/AE19)*365</f>
        <v>51.3374004723585</v>
      </c>
      <c r="AF143" s="3" t="n">
        <f aca="false">+(AVERAGE(AE90:AF90)/AF19)*365</f>
        <v>52.3774536913538</v>
      </c>
      <c r="AG143" s="3" t="n">
        <f aca="false">+(AVERAGE(AF90:AG90)/AG19)*365</f>
        <v>52.2986817820798</v>
      </c>
      <c r="AH143" s="3" t="n">
        <f aca="false">+(AVERAGE(AG90:AH90)/AH19)*365</f>
        <v>52.2017520777686</v>
      </c>
      <c r="AI143" s="7" t="n">
        <f aca="false">+AH143+0.5</f>
        <v>52.7017520777686</v>
      </c>
      <c r="AJ143" s="7" t="n">
        <f aca="false">+AI143+0.5</f>
        <v>53.2017520777686</v>
      </c>
      <c r="AK143" s="7" t="n">
        <f aca="false">+AJ143+0.5</f>
        <v>53.7017520777686</v>
      </c>
      <c r="AL143" s="7" t="n">
        <f aca="false">+AK143+0.5</f>
        <v>54.2017520777686</v>
      </c>
      <c r="AM143" s="7" t="n">
        <f aca="false">+AL143+0.5</f>
        <v>54.7017520777686</v>
      </c>
    </row>
    <row r="144" customFormat="false" ht="12.8" hidden="false" customHeight="false" outlineLevel="0" collapsed="false">
      <c r="A144" s="3" t="s">
        <v>233</v>
      </c>
      <c r="C144" s="3" t="n">
        <f aca="false">+(AVERAGE(B99:C99)/C21)*90</f>
        <v>11.7268469306404</v>
      </c>
      <c r="D144" s="3" t="n">
        <f aca="false">+(AVERAGE(C99:D99)/D21)*90</f>
        <v>15.4708261120739</v>
      </c>
      <c r="E144" s="3" t="n">
        <f aca="false">+(AVERAGE(D99:E99)/E21)*90</f>
        <v>14.5547790164677</v>
      </c>
      <c r="F144" s="3" t="n">
        <f aca="false">+(AVERAGE(E99:F99)/F21)*90</f>
        <v>13.6887495099961</v>
      </c>
      <c r="G144" s="3" t="n">
        <f aca="false">+(AVERAGE(F99:G99)/G21)*90</f>
        <v>13.3903058027322</v>
      </c>
      <c r="H144" s="3" t="n">
        <f aca="false">+(AVERAGE(G99:H99)/H21)*90</f>
        <v>15.0537181377712</v>
      </c>
      <c r="I144" s="3" t="n">
        <f aca="false">+(AVERAGE(H99:I99)/I21)*90</f>
        <v>15.9233532934132</v>
      </c>
      <c r="J144" s="3" t="n">
        <f aca="false">+(AVERAGE(I99:J99)/J21)*90</f>
        <v>18.2752432368296</v>
      </c>
      <c r="K144" s="3" t="n">
        <f aca="false">+(AVERAGE(J99:K99)/K21)*90</f>
        <v>15.5758019545442</v>
      </c>
      <c r="L144" s="3" t="n">
        <f aca="false">+(AVERAGE(K99:L99)/L21)*90</f>
        <v>16.2127817075177</v>
      </c>
      <c r="M144" s="3" t="n">
        <f aca="false">+(AVERAGE(L99:M99)/M21)*90</f>
        <v>16.6601827001207</v>
      </c>
      <c r="N144" s="3" t="n">
        <f aca="false">+(AVERAGE(M99:N99)/N21)*90</f>
        <v>20.4004290311048</v>
      </c>
      <c r="O144" s="3" t="n">
        <f aca="false">+(AVERAGE(N99:O99)/O21)*90</f>
        <v>19.4159686467379</v>
      </c>
      <c r="P144" s="3" t="n">
        <f aca="false">+(AVERAGE(O99:P99)/P21)*90</f>
        <v>20.5512581884986</v>
      </c>
      <c r="Q144" s="3" t="n">
        <f aca="false">+(AVERAGE(P99:Q99)/Q21)*90</f>
        <v>22.3652930122799</v>
      </c>
      <c r="R144" s="3" t="n">
        <f aca="false">+(AVERAGE(Q99:R99)/R21)*90</f>
        <v>31.6769644544595</v>
      </c>
      <c r="S144" s="3" t="n">
        <f aca="false">+(AVERAGE(R99:S99)/S21)*90</f>
        <v>36.34830115578</v>
      </c>
      <c r="AD144" s="3" t="n">
        <f aca="false">+(AVERAGE(AC99:AD99)/AD21)*365</f>
        <v>19.1253301363813</v>
      </c>
      <c r="AE144" s="3" t="n">
        <f aca="false">+(AVERAGE(AD99:AE99)/AE21)*365</f>
        <v>16.1455155582672</v>
      </c>
      <c r="AF144" s="3" t="n">
        <f aca="false">+(AVERAGE(AE99:AF99)/AF21)*365</f>
        <v>17.275166501665</v>
      </c>
      <c r="AG144" s="3" t="n">
        <f aca="false">+(AVERAGE(AF99:AG99)/AG21)*365</f>
        <v>19.3095293426107</v>
      </c>
      <c r="AH144" s="3" t="n">
        <f aca="false">+(AVERAGE(AG99:AH99)/AH21)*365</f>
        <v>22.6666717937675</v>
      </c>
      <c r="AI144" s="7" t="n">
        <f aca="false">+AH144+1</f>
        <v>23.6666717937675</v>
      </c>
      <c r="AJ144" s="7" t="n">
        <f aca="false">+AI144+1</f>
        <v>24.6666717937675</v>
      </c>
      <c r="AK144" s="7" t="n">
        <f aca="false">+AJ144+1</f>
        <v>25.6666717937675</v>
      </c>
      <c r="AL144" s="7" t="n">
        <f aca="false">+AK144+1</f>
        <v>26.6666717937675</v>
      </c>
      <c r="AM144" s="7" t="n">
        <f aca="false">+AL144+1</f>
        <v>27.6666717937675</v>
      </c>
    </row>
    <row r="145" s="53" customFormat="true" ht="12.8" hidden="false" customHeight="false" outlineLevel="0" collapsed="false">
      <c r="A145" s="3" t="s">
        <v>234</v>
      </c>
      <c r="B145" s="3"/>
      <c r="C145" s="3" t="n">
        <f aca="false">+C143-C144</f>
        <v>33.7413312999688</v>
      </c>
      <c r="D145" s="3" t="n">
        <f aca="false">+D143-D144</f>
        <v>30.3836867114078</v>
      </c>
      <c r="E145" s="3" t="n">
        <f aca="false">+E143-E144</f>
        <v>29.7984584125245</v>
      </c>
      <c r="F145" s="3" t="n">
        <f aca="false">+F143-F144</f>
        <v>35.5070892565364</v>
      </c>
      <c r="G145" s="3" t="n">
        <f aca="false">+G143-G144</f>
        <v>31.7520458138031</v>
      </c>
      <c r="H145" s="3" t="n">
        <f aca="false">+H143-H144</f>
        <v>31.7834117176263</v>
      </c>
      <c r="I145" s="3" t="n">
        <f aca="false">+I143-I144</f>
        <v>30.4708072905284</v>
      </c>
      <c r="J145" s="3" t="n">
        <f aca="false">+J143-J144</f>
        <v>33.4167320794768</v>
      </c>
      <c r="K145" s="3" t="n">
        <f aca="false">+K143-K144</f>
        <v>33.0866676591067</v>
      </c>
      <c r="L145" s="3" t="n">
        <f aca="false">+L143-L144</f>
        <v>32.8264510835278</v>
      </c>
      <c r="M145" s="3" t="n">
        <f aca="false">+M143-M144</f>
        <v>30.6605109942267</v>
      </c>
      <c r="N145" s="3" t="n">
        <f aca="false">+N143-N144</f>
        <v>31.1355773522984</v>
      </c>
      <c r="O145" s="3" t="n">
        <f aca="false">+O143-O144</f>
        <v>30.0733912902099</v>
      </c>
      <c r="P145" s="3" t="n">
        <f aca="false">+P143-P144</f>
        <v>28.7796389642968</v>
      </c>
      <c r="Q145" s="3" t="n">
        <f aca="false">+Q143-Q144</f>
        <v>25.0881455089978</v>
      </c>
      <c r="R145" s="3" t="n">
        <f aca="false">+R143-R144</f>
        <v>19.8701801185914</v>
      </c>
      <c r="S145" s="3" t="n">
        <f aca="false">+S143-S144</f>
        <v>13.3013532567213</v>
      </c>
      <c r="T145" s="3"/>
      <c r="U145" s="3"/>
      <c r="V145" s="3"/>
      <c r="W145" s="3"/>
      <c r="X145" s="3"/>
      <c r="Y145" s="3"/>
      <c r="Z145" s="3"/>
      <c r="AA145" s="3"/>
      <c r="AB145" s="3"/>
      <c r="AC145" s="3"/>
      <c r="AD145" s="3" t="n">
        <f aca="false">+AD143-AD144</f>
        <v>30.6256955315158</v>
      </c>
      <c r="AE145" s="3" t="n">
        <f aca="false">+AE143-AE144</f>
        <v>35.1918849140913</v>
      </c>
      <c r="AF145" s="3" t="n">
        <f aca="false">+AF143-AF144</f>
        <v>35.1022871896888</v>
      </c>
      <c r="AG145" s="3" t="n">
        <f aca="false">+AG143-AG144</f>
        <v>32.9891524394691</v>
      </c>
      <c r="AH145" s="3" t="n">
        <f aca="false">+AH143-AH144</f>
        <v>29.5350802840011</v>
      </c>
      <c r="AI145" s="3" t="n">
        <f aca="false">+AI143-AI144</f>
        <v>29.0350802840011</v>
      </c>
      <c r="AJ145" s="3" t="n">
        <f aca="false">+AJ143-AJ144</f>
        <v>28.5350802840011</v>
      </c>
      <c r="AK145" s="3" t="n">
        <f aca="false">+AK143-AK144</f>
        <v>28.0350802840011</v>
      </c>
      <c r="AL145" s="3" t="n">
        <f aca="false">+AL143-AL144</f>
        <v>27.5350802840011</v>
      </c>
      <c r="AM145" s="3" t="n">
        <f aca="false">+AM143-AM144</f>
        <v>27.0350802840011</v>
      </c>
      <c r="AN145" s="1"/>
      <c r="AO145" s="1"/>
      <c r="AP145" s="1"/>
      <c r="AQ145" s="1"/>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17"/>
      <c r="DJ145" s="17"/>
      <c r="DK145" s="17"/>
      <c r="DL145" s="17"/>
      <c r="DM145" s="17"/>
      <c r="DN145" s="17"/>
    </row>
    <row r="147" customFormat="false" ht="12.8" hidden="false" customHeight="false" outlineLevel="0" collapsed="false">
      <c r="DI147" s="17"/>
      <c r="DJ147" s="17"/>
      <c r="DK147" s="17"/>
      <c r="DL147" s="17"/>
      <c r="DM147" s="17"/>
      <c r="DN147" s="17"/>
    </row>
    <row r="148" s="44" customFormat="true" ht="12.8"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1"/>
      <c r="AO148" s="1"/>
      <c r="AP148" s="1"/>
      <c r="AQ148" s="1"/>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17"/>
      <c r="DJ148" s="17"/>
      <c r="DK148" s="17"/>
      <c r="DL148" s="17"/>
      <c r="DM148" s="17"/>
      <c r="DN148" s="17"/>
    </row>
    <row r="149" customFormat="false" ht="12.8" hidden="false" customHeight="false" outlineLevel="0" collapsed="false">
      <c r="A149" s="3" t="s">
        <v>235</v>
      </c>
      <c r="B149" s="3" t="n">
        <v>163906</v>
      </c>
      <c r="C149" s="3" t="n">
        <v>174014</v>
      </c>
      <c r="D149" s="3" t="n">
        <v>186779</v>
      </c>
      <c r="E149" s="3" t="n">
        <v>190234</v>
      </c>
      <c r="F149" s="3" t="n">
        <v>190711</v>
      </c>
      <c r="G149" s="3" t="n">
        <v>181798</v>
      </c>
      <c r="H149" s="3" t="n">
        <v>182381</v>
      </c>
      <c r="I149" s="3" t="n">
        <v>182502</v>
      </c>
      <c r="J149" s="3" t="n">
        <v>180895</v>
      </c>
      <c r="K149" s="3" t="n">
        <v>179582</v>
      </c>
      <c r="L149" s="3" t="n">
        <v>181269</v>
      </c>
      <c r="M149" s="3" t="n">
        <v>183323</v>
      </c>
      <c r="N149" s="3" t="n">
        <v>185719</v>
      </c>
      <c r="O149" s="3" t="n">
        <v>187103</v>
      </c>
      <c r="P149" s="3" t="n">
        <v>190167</v>
      </c>
      <c r="Q149" s="3" t="n">
        <v>190820</v>
      </c>
      <c r="R149" s="3" t="n">
        <v>194668</v>
      </c>
      <c r="S149" s="3" t="n">
        <v>198933</v>
      </c>
      <c r="AC149" s="3" t="n">
        <v>135301</v>
      </c>
      <c r="AD149" s="3" t="n">
        <v>156500</v>
      </c>
      <c r="AE149" s="3" t="n">
        <v>190234</v>
      </c>
      <c r="AF149" s="3" t="n">
        <v>182502</v>
      </c>
      <c r="AG149" s="3" t="n">
        <v>183323</v>
      </c>
      <c r="AH149" s="3" t="n">
        <v>190820</v>
      </c>
    </row>
    <row r="150" customFormat="false" ht="12.8" hidden="false" customHeight="false" outlineLevel="0" collapsed="false">
      <c r="A150" s="53" t="s">
        <v>236</v>
      </c>
      <c r="B150" s="53" t="n">
        <f aca="false">+(B19*1000000)/B149</f>
        <v>414939.050431345</v>
      </c>
      <c r="C150" s="53" t="n">
        <f aca="false">+(C19*1000000)/C149</f>
        <v>400456.285126484</v>
      </c>
      <c r="D150" s="53" t="n">
        <f aca="false">+(D19*1000000)/D149</f>
        <v>369913.105863079</v>
      </c>
      <c r="E150" s="53" t="n">
        <f aca="false">+(E19*1000000)/E149</f>
        <v>399760.295215366</v>
      </c>
      <c r="F150" s="53" t="n">
        <f aca="false">+(F19*1000000)/F149</f>
        <v>365930.648992455</v>
      </c>
      <c r="G150" s="53" t="n">
        <f aca="false">+(G19*1000000)/G149</f>
        <v>410367.550798139</v>
      </c>
      <c r="H150" s="53" t="n">
        <f aca="false">+(H19*1000000)/H149</f>
        <v>420509.811877334</v>
      </c>
      <c r="I150" s="53" t="n">
        <f aca="false">+(I19*1000000)/I149</f>
        <v>472926.324095078</v>
      </c>
      <c r="J150" s="53" t="n">
        <f aca="false">+(J19*1000000)/J149</f>
        <v>445225.130600625</v>
      </c>
      <c r="K150" s="53" t="n">
        <f aca="false">+(K19*1000000)/K149</f>
        <v>471884.710048891</v>
      </c>
      <c r="L150" s="53" t="n">
        <f aca="false">+(L19*1000000)/L149</f>
        <v>486944.816819202</v>
      </c>
      <c r="M150" s="53" t="n">
        <f aca="false">+(M19*1000000)/M149</f>
        <v>526224.205364302</v>
      </c>
      <c r="N150" s="53" t="n">
        <f aca="false">+(N19*1000000)/N149</f>
        <v>485863.051168701</v>
      </c>
      <c r="O150" s="53" t="n">
        <f aca="false">+(O19*1000000)/O149</f>
        <v>515373.884972448</v>
      </c>
      <c r="P150" s="53" t="n">
        <f aca="false">+(P19*1000000)/P149</f>
        <v>538190.117107595</v>
      </c>
      <c r="Q150" s="53" t="n">
        <f aca="false">+(Q19*1000000)/Q149</f>
        <v>596520.280892988</v>
      </c>
      <c r="R150" s="53" t="n">
        <f aca="false">+(R19*1000000)/R149</f>
        <v>564530.379928905</v>
      </c>
      <c r="S150" s="53" t="n">
        <f aca="false">+(S19*1000000)/S149</f>
        <v>602192.698044065</v>
      </c>
      <c r="T150" s="53"/>
      <c r="U150" s="53"/>
      <c r="V150" s="53"/>
      <c r="W150" s="53"/>
      <c r="X150" s="53"/>
      <c r="Y150" s="53"/>
      <c r="Z150" s="53"/>
      <c r="AA150" s="53"/>
      <c r="AB150" s="53"/>
      <c r="AC150" s="53" t="n">
        <f aca="false">+(AC19*1000000)/AC149</f>
        <v>1349043.98341476</v>
      </c>
      <c r="AD150" s="53" t="n">
        <f aca="false">+(AD19*1000000)/AD149</f>
        <v>1646242.8115016</v>
      </c>
      <c r="AE150" s="53" t="n">
        <f aca="false">+(AE19*1000000)/AE149</f>
        <v>1486779.44005803</v>
      </c>
      <c r="AF150" s="53" t="n">
        <f aca="false">+(AF19*1000000)/AF149</f>
        <v>1684332.22649615</v>
      </c>
      <c r="AG150" s="53" t="n">
        <f aca="false">+(AG19*1000000)/AG149</f>
        <v>1909296.70581433</v>
      </c>
      <c r="AH150" s="53" t="n">
        <f aca="false">+(AH19*1000000)/AH149</f>
        <v>2111078.50330154</v>
      </c>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c r="BJ150" s="53"/>
      <c r="BK150" s="53"/>
      <c r="BL150" s="53"/>
      <c r="BM150" s="53"/>
      <c r="BN150" s="53"/>
      <c r="BO150" s="53"/>
      <c r="BP150" s="53"/>
      <c r="BQ150" s="53"/>
      <c r="BR150" s="53"/>
      <c r="BS150" s="53"/>
      <c r="BT150" s="53"/>
      <c r="BU150" s="53"/>
      <c r="BV150" s="53"/>
      <c r="BW150" s="53"/>
      <c r="BX150" s="53"/>
      <c r="BY150" s="53"/>
      <c r="BZ150" s="53"/>
      <c r="CA150" s="53"/>
      <c r="CB150" s="53"/>
      <c r="CC150" s="53"/>
      <c r="CD150" s="53"/>
      <c r="CE150" s="53"/>
      <c r="CF150" s="53"/>
      <c r="CG150" s="53"/>
      <c r="CH150" s="53"/>
      <c r="CI150" s="53"/>
      <c r="CJ150" s="53"/>
      <c r="CK150" s="53"/>
      <c r="CL150" s="53"/>
      <c r="CM150" s="53"/>
      <c r="CN150" s="53"/>
      <c r="CO150" s="53"/>
      <c r="CP150" s="53"/>
      <c r="CQ150" s="53"/>
      <c r="CR150" s="53"/>
      <c r="CS150" s="53"/>
      <c r="CT150" s="53"/>
      <c r="CU150" s="53"/>
      <c r="CV150" s="53"/>
      <c r="CW150" s="53"/>
      <c r="CX150" s="53"/>
      <c r="CY150" s="53"/>
      <c r="CZ150" s="53"/>
      <c r="DA150" s="53"/>
      <c r="DB150" s="53"/>
      <c r="DC150" s="53"/>
      <c r="DD150" s="53"/>
      <c r="DE150" s="53"/>
      <c r="DF150" s="53"/>
      <c r="DG150" s="53"/>
      <c r="DH150" s="53"/>
      <c r="DI150" s="17"/>
      <c r="DJ150" s="17"/>
      <c r="DK150" s="17"/>
      <c r="DL150" s="17"/>
      <c r="DM150" s="17"/>
      <c r="DN150" s="17"/>
    </row>
    <row r="152" customFormat="false" ht="12.8" hidden="false" customHeight="false" outlineLevel="0" collapsed="false">
      <c r="A152" s="3" t="s">
        <v>237</v>
      </c>
      <c r="B152" s="3" t="n">
        <f aca="false">+B120-B135</f>
        <v>-8670</v>
      </c>
      <c r="C152" s="3" t="n">
        <f aca="false">+C120-C135</f>
        <v>-3420</v>
      </c>
      <c r="D152" s="3" t="n">
        <f aca="false">+D120-D135</f>
        <v>-9443</v>
      </c>
      <c r="E152" s="3" t="n">
        <f aca="false">+E120-E135</f>
        <v>-9990</v>
      </c>
      <c r="F152" s="3" t="n">
        <f aca="false">+F120-F135</f>
        <v>-8458</v>
      </c>
      <c r="G152" s="3" t="n">
        <f aca="false">+G120-G135</f>
        <v>-10298</v>
      </c>
      <c r="H152" s="3" t="n">
        <f aca="false">+H120-H135</f>
        <v>-10967</v>
      </c>
      <c r="I152" s="3" t="n">
        <f aca="false">+I120-I135</f>
        <v>1772</v>
      </c>
      <c r="J152" s="3" t="n">
        <f aca="false">+J120-J135</f>
        <v>-5186</v>
      </c>
      <c r="K152" s="3" t="n">
        <f aca="false">+K120-K135</f>
        <v>-3021</v>
      </c>
      <c r="L152" s="3" t="n">
        <f aca="false">+L120-L135</f>
        <v>-4397</v>
      </c>
      <c r="M152" s="3" t="n">
        <f aca="false">+M120-M135</f>
        <v>-12577</v>
      </c>
      <c r="N152" s="3" t="n">
        <f aca="false">+N120-N135</f>
        <v>-1610</v>
      </c>
      <c r="O152" s="3" t="n">
        <f aca="false">+O120-O135</f>
        <v>449</v>
      </c>
      <c r="P152" s="3" t="n">
        <f aca="false">+P120-P135</f>
        <v>-13435</v>
      </c>
      <c r="Q152" s="3" t="n">
        <f aca="false">+Q120-Q135</f>
        <v>-17947</v>
      </c>
      <c r="R152" s="3" t="n">
        <f aca="false">+R120-R135</f>
        <v>16788</v>
      </c>
      <c r="S152" s="3" t="n">
        <f aca="false">+S120-S135</f>
        <v>73124</v>
      </c>
      <c r="AC152" s="3" t="n">
        <f aca="false">+AC120-AC135</f>
        <v>-24855</v>
      </c>
      <c r="AD152" s="3" t="n">
        <f aca="false">+AD120-AD135</f>
        <v>-15619</v>
      </c>
      <c r="AE152" s="3" t="n">
        <f aca="false">+AE120-AE135</f>
        <v>-31523</v>
      </c>
      <c r="AF152" s="3" t="n">
        <f aca="false">+AF120-AF135</f>
        <v>-27951</v>
      </c>
      <c r="AG152" s="3" t="n">
        <f aca="false">+AG120-AG135</f>
        <v>-25181</v>
      </c>
      <c r="AH152" s="3" t="n">
        <f aca="false">+AH120-AH135</f>
        <v>-32543</v>
      </c>
    </row>
    <row r="153" customFormat="false" ht="12.8" hidden="false" customHeight="false" outlineLevel="0" collapsed="false">
      <c r="A153" s="44" t="s">
        <v>238</v>
      </c>
      <c r="B153" s="44"/>
      <c r="C153" s="44" t="n">
        <f aca="false">+C152/((C97+B97)/2)</f>
        <v>-0.00960295164408429</v>
      </c>
      <c r="D153" s="44" t="n">
        <f aca="false">+D152/((D97+C97)/2)</f>
        <v>-0.0264717425431711</v>
      </c>
      <c r="E153" s="44" t="n">
        <f aca="false">+E152/((E97+D97)/2)</f>
        <v>-0.0276150315333806</v>
      </c>
      <c r="F153" s="44" t="n">
        <f aca="false">+F152/((F97+E97)/2)</f>
        <v>-0.0230226401997945</v>
      </c>
      <c r="G153" s="44" t="n">
        <f aca="false">+G152/((G97+F97)/2)</f>
        <v>-0.0273688266990904</v>
      </c>
      <c r="H153" s="44" t="n">
        <f aca="false">+H152/((H97+G97)/2)</f>
        <v>-0.028129348320947</v>
      </c>
      <c r="I153" s="44" t="n">
        <f aca="false">+I152/((I97+H97)/2)</f>
        <v>0.00443598303211457</v>
      </c>
      <c r="J153" s="44" t="n">
        <f aca="false">+J152/((J97+I97)/2)</f>
        <v>-0.0128118978210386</v>
      </c>
      <c r="K153" s="44" t="n">
        <f aca="false">+K152/((K97+J97)/2)</f>
        <v>-0.00734929207414976</v>
      </c>
      <c r="L153" s="44" t="n">
        <f aca="false">+L152/((L97+K97)/2)</f>
        <v>-0.0104066572311712</v>
      </c>
      <c r="M153" s="44" t="n">
        <f aca="false">+M152/((M97+L97)/2)</f>
        <v>-0.0285671453978436</v>
      </c>
      <c r="N153" s="44" t="n">
        <f aca="false">+N152/((N97+M97)/2)</f>
        <v>-0.00347871179629009</v>
      </c>
      <c r="O153" s="44" t="n">
        <f aca="false">+O152/((O97+N97)/2)</f>
        <v>0.000918222003175944</v>
      </c>
      <c r="P153" s="44" t="n">
        <f aca="false">+P152/((P97+O97)/2)</f>
        <v>-0.025859613193311</v>
      </c>
      <c r="Q153" s="44" t="n">
        <f aca="false">+Q152/((Q97+P97)/2)</f>
        <v>-0.0317154848685664</v>
      </c>
      <c r="R153" s="44" t="n">
        <f aca="false">+R152/((R97+Q97)/2)</f>
        <v>0.0258435960591133</v>
      </c>
      <c r="S153" s="44" t="n">
        <f aca="false">+S152/((S97+R97)/2)</f>
        <v>0.0899488407050363</v>
      </c>
      <c r="T153" s="44"/>
      <c r="U153" s="44"/>
      <c r="V153" s="44"/>
      <c r="W153" s="44"/>
      <c r="X153" s="44"/>
      <c r="Y153" s="44"/>
      <c r="Z153" s="44"/>
      <c r="AA153" s="44"/>
      <c r="AB153" s="44"/>
      <c r="AC153" s="44"/>
      <c r="AD153" s="44" t="n">
        <f aca="false">+AD152/((AD97+AC97)/2)</f>
        <v>-0.0460137519811927</v>
      </c>
      <c r="AE153" s="44" t="n">
        <f aca="false">+AE152/((AE97+AD97)/2)</f>
        <v>-0.0870161704382967</v>
      </c>
      <c r="AF153" s="44" t="n">
        <f aca="false">+AF152/((AF97+AE97)/2)</f>
        <v>-0.0728389495930807</v>
      </c>
      <c r="AG153" s="44" t="n">
        <f aca="false">+AG152/((AG97+AF97)/2)</f>
        <v>-0.059078016014715</v>
      </c>
      <c r="AH153" s="44" t="n">
        <f aca="false">+AH152/((AH97+AG97)/2)</f>
        <v>-0.0622512641829031</v>
      </c>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row>
    <row r="160" customFormat="false" ht="12.8" hidden="false" customHeight="false" outlineLevel="0" collapsed="false">
      <c r="A160" s="3" t="s">
        <v>239</v>
      </c>
      <c r="O160" s="3" t="n">
        <f aca="false">+0-N160</f>
        <v>0</v>
      </c>
      <c r="S160" s="3" t="n">
        <f aca="false">+30499-R160</f>
        <v>30499</v>
      </c>
    </row>
    <row r="163" customFormat="false" ht="12.8" hidden="false" customHeight="false" outlineLevel="0" collapsed="false">
      <c r="A163" s="3" t="s">
        <v>240</v>
      </c>
      <c r="O163" s="3" t="n">
        <f aca="false">+28306-N163</f>
        <v>28306</v>
      </c>
      <c r="S163" s="3" t="n">
        <f aca="false">+0-R163</f>
        <v>0</v>
      </c>
    </row>
    <row r="166" customFormat="false" ht="12.8" hidden="false" customHeight="false" outlineLevel="0" collapsed="false">
      <c r="A166" s="3" t="s">
        <v>241</v>
      </c>
      <c r="O166" s="3" t="n">
        <f aca="false">+4977-N166</f>
        <v>4977</v>
      </c>
      <c r="S166" s="3" t="n">
        <f aca="false">+5231-R166</f>
        <v>5231</v>
      </c>
    </row>
    <row r="169" customFormat="false" ht="12.8" hidden="false" customHeight="false" outlineLevel="0" collapsed="false">
      <c r="A169" s="3" t="s">
        <v>242</v>
      </c>
      <c r="B169" s="3" t="n">
        <f aca="false">+B166+B163-B160</f>
        <v>0</v>
      </c>
      <c r="C169" s="3" t="n">
        <f aca="false">+C166+C163-C160</f>
        <v>0</v>
      </c>
      <c r="D169" s="3" t="n">
        <f aca="false">+D166+D163-D160</f>
        <v>0</v>
      </c>
      <c r="E169" s="3" t="n">
        <f aca="false">+E166+E163-E160</f>
        <v>0</v>
      </c>
      <c r="F169" s="3" t="n">
        <f aca="false">+F166+F163-F160</f>
        <v>0</v>
      </c>
      <c r="G169" s="3" t="n">
        <f aca="false">+G166+G163-G160</f>
        <v>0</v>
      </c>
      <c r="H169" s="3" t="n">
        <f aca="false">+H166+H163-H160</f>
        <v>0</v>
      </c>
      <c r="I169" s="3" t="n">
        <f aca="false">+I166+I163-I160</f>
        <v>0</v>
      </c>
      <c r="J169" s="3" t="n">
        <f aca="false">+J166+J163-J160</f>
        <v>0</v>
      </c>
      <c r="K169" s="3" t="n">
        <f aca="false">+K166+K163-K160</f>
        <v>0</v>
      </c>
      <c r="L169" s="3" t="n">
        <f aca="false">+L166+L163-L160</f>
        <v>0</v>
      </c>
      <c r="M169" s="3" t="n">
        <f aca="false">+M166+M163-M160</f>
        <v>0</v>
      </c>
      <c r="N169" s="3" t="n">
        <f aca="false">+N166+N163-N160</f>
        <v>0</v>
      </c>
      <c r="O169" s="3" t="n">
        <f aca="false">+O166+O163-O160</f>
        <v>33283</v>
      </c>
      <c r="P169" s="3" t="n">
        <f aca="false">+P166+P163-P160</f>
        <v>0</v>
      </c>
      <c r="Q169" s="3" t="n">
        <f aca="false">+Q166+Q163-Q160</f>
        <v>0</v>
      </c>
      <c r="R169" s="3" t="n">
        <f aca="false">+R166+R163-R160</f>
        <v>0</v>
      </c>
      <c r="S169" s="3" t="n">
        <f aca="false">+S166+S163-S160</f>
        <v>-25268</v>
      </c>
    </row>
  </sheetData>
  <hyperlinks>
    <hyperlink ref="A1" r:id="rId2"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C1" colorId="64" zoomScale="50" zoomScaleNormal="50" zoomScalePageLayoutView="100" workbookViewId="0">
      <selection pane="topLeft" activeCell="D50" activeCellId="0" sqref="D50"/>
    </sheetView>
  </sheetViews>
  <sheetFormatPr defaultColWidth="11.53515625" defaultRowHeight="12.8" customHeight="false" zeroHeight="false" outlineLevelRow="0" outlineLevelCol="0"/>
  <cols>
    <col collapsed="false" customWidth="true" hidden="false" outlineLevel="0" max="2" min="2" style="17" width="20.45"/>
    <col collapsed="false" customWidth="true" hidden="false" outlineLevel="0" max="3" min="3" style="17" width="16.05"/>
    <col collapsed="false" customWidth="true" hidden="false" outlineLevel="0" max="4" min="4" style="17" width="15.2"/>
    <col collapsed="false" customWidth="true" hidden="false" outlineLevel="0" max="6" min="5" style="17" width="15.88"/>
    <col collapsed="false" customWidth="true" hidden="false" outlineLevel="0" max="7" min="7" style="17" width="12.68"/>
    <col collapsed="false" customWidth="true" hidden="false" outlineLevel="0" max="8" min="8" style="17" width="14.03"/>
    <col collapsed="false" customWidth="true" hidden="false" outlineLevel="0" max="9" min="9" style="17" width="16.9"/>
  </cols>
  <sheetData>
    <row r="1" customFormat="false" ht="13.1" hidden="false" customHeight="false" outlineLevel="0" collapsed="false">
      <c r="A1" s="54" t="s">
        <v>96</v>
      </c>
    </row>
    <row r="3" customFormat="false" ht="14.55" hidden="false" customHeight="false" outlineLevel="0" collapsed="false">
      <c r="B3" s="55" t="s">
        <v>243</v>
      </c>
      <c r="C3" s="55" t="s">
        <v>244</v>
      </c>
      <c r="D3" s="56" t="s">
        <v>245</v>
      </c>
      <c r="E3" s="55" t="s">
        <v>246</v>
      </c>
      <c r="F3" s="55" t="s">
        <v>247</v>
      </c>
      <c r="G3" s="55" t="s">
        <v>248</v>
      </c>
      <c r="H3" s="55" t="s">
        <v>249</v>
      </c>
      <c r="I3" s="55" t="s">
        <v>250</v>
      </c>
    </row>
    <row r="4" customFormat="false" ht="13.8" hidden="false" customHeight="false" outlineLevel="0" collapsed="false">
      <c r="B4" s="57" t="s">
        <v>251</v>
      </c>
      <c r="C4" s="57" t="s">
        <v>252</v>
      </c>
      <c r="D4" s="58" t="n">
        <v>1998</v>
      </c>
      <c r="E4" s="57" t="s">
        <v>253</v>
      </c>
      <c r="F4" s="57" t="s">
        <v>254</v>
      </c>
      <c r="G4" s="59" t="s">
        <v>255</v>
      </c>
      <c r="H4" s="57" t="s">
        <v>256</v>
      </c>
      <c r="I4" s="57" t="s">
        <v>257</v>
      </c>
    </row>
    <row r="5" customFormat="false" ht="13.8" hidden="false" customHeight="false" outlineLevel="0" collapsed="false">
      <c r="B5" s="60" t="s">
        <v>258</v>
      </c>
      <c r="C5" s="60" t="s">
        <v>252</v>
      </c>
      <c r="D5" s="61" t="n">
        <v>800</v>
      </c>
      <c r="E5" s="60" t="s">
        <v>253</v>
      </c>
      <c r="F5" s="60" t="s">
        <v>259</v>
      </c>
      <c r="G5" s="59" t="s">
        <v>255</v>
      </c>
      <c r="H5" s="60" t="s">
        <v>256</v>
      </c>
      <c r="I5" s="60" t="s">
        <v>257</v>
      </c>
    </row>
    <row r="6" customFormat="false" ht="13.8" hidden="false" customHeight="false" outlineLevel="0" collapsed="false">
      <c r="B6" s="57" t="s">
        <v>260</v>
      </c>
      <c r="C6" s="57" t="s">
        <v>252</v>
      </c>
      <c r="D6" s="58" t="n">
        <v>2375</v>
      </c>
      <c r="E6" s="57" t="s">
        <v>253</v>
      </c>
      <c r="F6" s="57" t="s">
        <v>261</v>
      </c>
      <c r="G6" s="59" t="s">
        <v>255</v>
      </c>
      <c r="H6" s="57" t="s">
        <v>262</v>
      </c>
      <c r="I6" s="57" t="s">
        <v>257</v>
      </c>
    </row>
    <row r="7" customFormat="false" ht="13.8" hidden="false" customHeight="false" outlineLevel="0" collapsed="false">
      <c r="B7" s="60" t="s">
        <v>263</v>
      </c>
      <c r="C7" s="60" t="s">
        <v>252</v>
      </c>
      <c r="D7" s="61" t="n">
        <v>4181</v>
      </c>
      <c r="E7" s="60" t="s">
        <v>264</v>
      </c>
      <c r="F7" s="60" t="s">
        <v>265</v>
      </c>
      <c r="G7" s="59" t="s">
        <v>255</v>
      </c>
      <c r="H7" s="60" t="s">
        <v>256</v>
      </c>
      <c r="I7" s="60" t="s">
        <v>257</v>
      </c>
    </row>
    <row r="8" customFormat="false" ht="13.8" hidden="false" customHeight="false" outlineLevel="0" collapsed="false">
      <c r="B8" s="57" t="s">
        <v>266</v>
      </c>
      <c r="C8" s="57" t="s">
        <v>252</v>
      </c>
      <c r="D8" s="58" t="n">
        <v>3875</v>
      </c>
      <c r="E8" s="57" t="s">
        <v>253</v>
      </c>
      <c r="F8" s="57" t="s">
        <v>265</v>
      </c>
      <c r="G8" s="59" t="s">
        <v>255</v>
      </c>
      <c r="H8" s="57" t="s">
        <v>256</v>
      </c>
      <c r="I8" s="57" t="s">
        <v>257</v>
      </c>
    </row>
    <row r="9" customFormat="false" ht="13.8" hidden="false" customHeight="false" outlineLevel="0" collapsed="false">
      <c r="B9" s="60" t="s">
        <v>267</v>
      </c>
      <c r="C9" s="60" t="s">
        <v>252</v>
      </c>
      <c r="D9" s="61" t="n">
        <v>4125</v>
      </c>
      <c r="E9" s="60" t="s">
        <v>253</v>
      </c>
      <c r="F9" s="60" t="s">
        <v>268</v>
      </c>
      <c r="G9" s="59" t="s">
        <v>255</v>
      </c>
      <c r="H9" s="60" t="s">
        <v>269</v>
      </c>
      <c r="I9" s="60" t="s">
        <v>257</v>
      </c>
    </row>
    <row r="10" customFormat="false" ht="13.8" hidden="false" customHeight="false" outlineLevel="0" collapsed="false">
      <c r="B10" s="57" t="s">
        <v>270</v>
      </c>
      <c r="C10" s="57" t="s">
        <v>252</v>
      </c>
      <c r="D10" s="58" t="n">
        <v>3700</v>
      </c>
      <c r="E10" s="57" t="s">
        <v>253</v>
      </c>
      <c r="F10" s="57" t="s">
        <v>271</v>
      </c>
      <c r="G10" s="59" t="s">
        <v>255</v>
      </c>
      <c r="H10" s="57" t="s">
        <v>256</v>
      </c>
      <c r="I10" s="57" t="s">
        <v>257</v>
      </c>
    </row>
    <row r="11" customFormat="false" ht="13.8" hidden="false" customHeight="false" outlineLevel="0" collapsed="false">
      <c r="B11" s="60" t="s">
        <v>272</v>
      </c>
      <c r="C11" s="60" t="s">
        <v>252</v>
      </c>
      <c r="D11" s="61" t="n">
        <v>427</v>
      </c>
      <c r="E11" s="60" t="s">
        <v>253</v>
      </c>
      <c r="F11" s="60" t="s">
        <v>273</v>
      </c>
      <c r="G11" s="59" t="s">
        <v>255</v>
      </c>
      <c r="H11" s="60" t="s">
        <v>274</v>
      </c>
      <c r="I11" s="60" t="s">
        <v>257</v>
      </c>
    </row>
    <row r="12" customFormat="false" ht="13.8" hidden="false" customHeight="false" outlineLevel="0" collapsed="false">
      <c r="B12" s="57" t="s">
        <v>275</v>
      </c>
      <c r="C12" s="57" t="s">
        <v>252</v>
      </c>
      <c r="D12" s="58" t="n">
        <v>2500</v>
      </c>
      <c r="E12" s="57" t="s">
        <v>253</v>
      </c>
      <c r="F12" s="57" t="s">
        <v>276</v>
      </c>
      <c r="G12" s="59" t="s">
        <v>255</v>
      </c>
      <c r="H12" s="57" t="s">
        <v>262</v>
      </c>
      <c r="I12" s="57" t="s">
        <v>257</v>
      </c>
    </row>
    <row r="13" customFormat="false" ht="13.8" hidden="false" customHeight="false" outlineLevel="0" collapsed="false">
      <c r="B13" s="60" t="s">
        <v>277</v>
      </c>
      <c r="C13" s="60" t="s">
        <v>252</v>
      </c>
      <c r="D13" s="61" t="n">
        <v>4000</v>
      </c>
      <c r="E13" s="60" t="s">
        <v>253</v>
      </c>
      <c r="F13" s="60" t="s">
        <v>278</v>
      </c>
      <c r="G13" s="59" t="s">
        <v>255</v>
      </c>
      <c r="H13" s="60" t="s">
        <v>256</v>
      </c>
      <c r="I13" s="60" t="s">
        <v>257</v>
      </c>
    </row>
    <row r="14" customFormat="false" ht="13.8" hidden="false" customHeight="false" outlineLevel="0" collapsed="false">
      <c r="B14" s="57" t="s">
        <v>279</v>
      </c>
      <c r="C14" s="57" t="s">
        <v>280</v>
      </c>
      <c r="D14" s="58" t="n">
        <v>1100</v>
      </c>
      <c r="E14" s="57" t="s">
        <v>253</v>
      </c>
      <c r="F14" s="57" t="s">
        <v>281</v>
      </c>
      <c r="G14" s="59" t="s">
        <v>255</v>
      </c>
      <c r="H14" s="57" t="s">
        <v>256</v>
      </c>
      <c r="I14" s="57" t="s">
        <v>257</v>
      </c>
    </row>
    <row r="15" customFormat="false" ht="13.8" hidden="false" customHeight="false" outlineLevel="0" collapsed="false">
      <c r="B15" s="60" t="s">
        <v>282</v>
      </c>
      <c r="C15" s="60" t="s">
        <v>252</v>
      </c>
      <c r="D15" s="61" t="n">
        <v>4100</v>
      </c>
      <c r="E15" s="60" t="s">
        <v>253</v>
      </c>
      <c r="F15" s="60" t="s">
        <v>283</v>
      </c>
      <c r="G15" s="59" t="s">
        <v>255</v>
      </c>
      <c r="H15" s="60" t="s">
        <v>256</v>
      </c>
      <c r="I15" s="60" t="s">
        <v>257</v>
      </c>
    </row>
    <row r="16" customFormat="false" ht="13.8" hidden="false" customHeight="false" outlineLevel="0" collapsed="false">
      <c r="B16" s="57" t="s">
        <v>284</v>
      </c>
      <c r="C16" s="57" t="s">
        <v>252</v>
      </c>
      <c r="D16" s="58" t="n">
        <v>4100</v>
      </c>
      <c r="E16" s="57" t="s">
        <v>253</v>
      </c>
      <c r="F16" s="57" t="s">
        <v>285</v>
      </c>
      <c r="G16" s="59" t="s">
        <v>255</v>
      </c>
      <c r="H16" s="57" t="s">
        <v>256</v>
      </c>
      <c r="I16" s="57" t="s">
        <v>257</v>
      </c>
    </row>
    <row r="17" customFormat="false" ht="13.8" hidden="false" customHeight="false" outlineLevel="0" collapsed="false">
      <c r="B17" s="60" t="s">
        <v>286</v>
      </c>
      <c r="C17" s="60" t="s">
        <v>252</v>
      </c>
      <c r="D17" s="61" t="n">
        <v>2875</v>
      </c>
      <c r="E17" s="60" t="s">
        <v>253</v>
      </c>
      <c r="F17" s="60" t="s">
        <v>287</v>
      </c>
      <c r="G17" s="59" t="s">
        <v>255</v>
      </c>
      <c r="H17" s="60" t="s">
        <v>262</v>
      </c>
      <c r="I17" s="60" t="s">
        <v>257</v>
      </c>
    </row>
    <row r="18" customFormat="false" ht="13.8" hidden="false" customHeight="false" outlineLevel="0" collapsed="false">
      <c r="B18" s="57" t="s">
        <v>288</v>
      </c>
      <c r="C18" s="57" t="s">
        <v>252</v>
      </c>
      <c r="D18" s="58" t="n">
        <v>890</v>
      </c>
      <c r="E18" s="57" t="s">
        <v>253</v>
      </c>
      <c r="F18" s="57" t="s">
        <v>289</v>
      </c>
      <c r="G18" s="59" t="s">
        <v>255</v>
      </c>
      <c r="H18" s="57" t="s">
        <v>274</v>
      </c>
      <c r="I18" s="57" t="s">
        <v>257</v>
      </c>
    </row>
    <row r="19" customFormat="false" ht="13.8" hidden="false" customHeight="false" outlineLevel="0" collapsed="false">
      <c r="B19" s="60" t="s">
        <v>290</v>
      </c>
      <c r="C19" s="60" t="s">
        <v>252</v>
      </c>
      <c r="D19" s="61" t="n">
        <v>4625</v>
      </c>
      <c r="E19" s="60" t="s">
        <v>253</v>
      </c>
      <c r="F19" s="60" t="s">
        <v>291</v>
      </c>
      <c r="G19" s="59" t="s">
        <v>255</v>
      </c>
      <c r="H19" s="60" t="s">
        <v>269</v>
      </c>
      <c r="I19" s="60" t="s">
        <v>257</v>
      </c>
    </row>
    <row r="20" customFormat="false" ht="13.8" hidden="false" customHeight="false" outlineLevel="0" collapsed="false">
      <c r="B20" s="57" t="s">
        <v>292</v>
      </c>
      <c r="C20" s="57" t="s">
        <v>252</v>
      </c>
      <c r="D20" s="58" t="n">
        <v>4375</v>
      </c>
      <c r="E20" s="57" t="s">
        <v>253</v>
      </c>
      <c r="F20" s="57" t="s">
        <v>293</v>
      </c>
      <c r="G20" s="59" t="s">
        <v>255</v>
      </c>
      <c r="H20" s="57" t="s">
        <v>256</v>
      </c>
      <c r="I20" s="57" t="s">
        <v>257</v>
      </c>
    </row>
    <row r="21" customFormat="false" ht="13.8" hidden="false" customHeight="false" outlineLevel="0" collapsed="false">
      <c r="B21" s="60" t="s">
        <v>294</v>
      </c>
      <c r="C21" s="60" t="s">
        <v>252</v>
      </c>
      <c r="D21" s="61" t="n">
        <v>4400</v>
      </c>
      <c r="E21" s="60" t="s">
        <v>253</v>
      </c>
      <c r="F21" s="60" t="s">
        <v>295</v>
      </c>
      <c r="G21" s="59" t="s">
        <v>255</v>
      </c>
      <c r="H21" s="60" t="s">
        <v>256</v>
      </c>
      <c r="I21" s="60" t="s">
        <v>257</v>
      </c>
    </row>
    <row r="22" customFormat="false" ht="13.8" hidden="false" customHeight="false" outlineLevel="0" collapsed="false">
      <c r="B22" s="57" t="s">
        <v>296</v>
      </c>
      <c r="C22" s="57" t="s">
        <v>252</v>
      </c>
      <c r="D22" s="58" t="n">
        <v>3000</v>
      </c>
      <c r="E22" s="57" t="s">
        <v>253</v>
      </c>
      <c r="F22" s="57" t="s">
        <v>297</v>
      </c>
      <c r="G22" s="59" t="s">
        <v>255</v>
      </c>
      <c r="H22" s="57" t="s">
        <v>262</v>
      </c>
      <c r="I22" s="57" t="s">
        <v>257</v>
      </c>
    </row>
    <row r="23" customFormat="false" ht="13.8" hidden="false" customHeight="false" outlineLevel="0" collapsed="false">
      <c r="B23" s="60" t="s">
        <v>298</v>
      </c>
      <c r="C23" s="60" t="s">
        <v>252</v>
      </c>
      <c r="D23" s="61" t="n">
        <v>3125</v>
      </c>
      <c r="E23" s="60" t="s">
        <v>253</v>
      </c>
      <c r="F23" s="60" t="s">
        <v>299</v>
      </c>
      <c r="G23" s="59" t="s">
        <v>255</v>
      </c>
      <c r="H23" s="60" t="s">
        <v>262</v>
      </c>
      <c r="I23" s="60" t="s">
        <v>257</v>
      </c>
    </row>
    <row r="24" customFormat="false" ht="13.8" hidden="false" customHeight="false" outlineLevel="0" collapsed="false">
      <c r="B24" s="57" t="s">
        <v>300</v>
      </c>
      <c r="C24" s="57" t="s">
        <v>252</v>
      </c>
      <c r="D24" s="58" t="n">
        <v>4500</v>
      </c>
      <c r="E24" s="57" t="s">
        <v>253</v>
      </c>
      <c r="F24" s="57" t="s">
        <v>301</v>
      </c>
      <c r="G24" s="59" t="s">
        <v>255</v>
      </c>
      <c r="H24" s="57" t="s">
        <v>256</v>
      </c>
      <c r="I24" s="57" t="s">
        <v>257</v>
      </c>
    </row>
    <row r="25" customFormat="false" ht="13.8" hidden="false" customHeight="false" outlineLevel="0" collapsed="false">
      <c r="B25" s="60" t="s">
        <v>302</v>
      </c>
      <c r="C25" s="60" t="s">
        <v>252</v>
      </c>
      <c r="D25" s="61" t="n">
        <v>4700</v>
      </c>
      <c r="E25" s="60" t="s">
        <v>253</v>
      </c>
      <c r="F25" s="60" t="s">
        <v>303</v>
      </c>
      <c r="G25" s="59" t="s">
        <v>255</v>
      </c>
      <c r="H25" s="60" t="s">
        <v>256</v>
      </c>
      <c r="I25" s="60" t="s">
        <v>257</v>
      </c>
    </row>
    <row r="26" customFormat="false" ht="13.8" hidden="false" customHeight="false" outlineLevel="0" collapsed="false">
      <c r="B26" s="57" t="s">
        <v>304</v>
      </c>
      <c r="C26" s="57" t="s">
        <v>252</v>
      </c>
      <c r="D26" s="58" t="n">
        <v>4800</v>
      </c>
      <c r="E26" s="57" t="s">
        <v>253</v>
      </c>
      <c r="F26" s="57" t="s">
        <v>305</v>
      </c>
      <c r="G26" s="59" t="s">
        <v>255</v>
      </c>
      <c r="H26" s="57" t="s">
        <v>256</v>
      </c>
      <c r="I26" s="57" t="s">
        <v>257</v>
      </c>
    </row>
    <row r="27" customFormat="false" ht="13.8" hidden="false" customHeight="false" outlineLevel="0" collapsed="false">
      <c r="B27" s="60" t="s">
        <v>306</v>
      </c>
      <c r="C27" s="60" t="s">
        <v>252</v>
      </c>
      <c r="D27" s="61" t="n">
        <v>1253</v>
      </c>
      <c r="E27" s="60" t="s">
        <v>253</v>
      </c>
      <c r="F27" s="60" t="s">
        <v>307</v>
      </c>
      <c r="G27" s="59" t="s">
        <v>255</v>
      </c>
      <c r="H27" s="60" t="s">
        <v>274</v>
      </c>
      <c r="I27" s="60" t="s">
        <v>257</v>
      </c>
    </row>
    <row r="28" customFormat="false" ht="13.8" hidden="false" customHeight="false" outlineLevel="0" collapsed="false">
      <c r="B28" s="57" t="s">
        <v>308</v>
      </c>
      <c r="C28" s="57" t="s">
        <v>252</v>
      </c>
      <c r="D28" s="58" t="n">
        <v>3375</v>
      </c>
      <c r="E28" s="57" t="s">
        <v>253</v>
      </c>
      <c r="F28" s="57" t="s">
        <v>309</v>
      </c>
      <c r="G28" s="59" t="s">
        <v>255</v>
      </c>
      <c r="H28" s="57" t="s">
        <v>262</v>
      </c>
      <c r="I28" s="57" t="s">
        <v>257</v>
      </c>
    </row>
    <row r="29" customFormat="false" ht="13.8" hidden="false" customHeight="false" outlineLevel="0" collapsed="false">
      <c r="B29" s="60" t="s">
        <v>310</v>
      </c>
      <c r="C29" s="60" t="s">
        <v>252</v>
      </c>
      <c r="D29" s="61" t="n">
        <v>3500</v>
      </c>
      <c r="E29" s="60" t="s">
        <v>253</v>
      </c>
      <c r="F29" s="60" t="s">
        <v>311</v>
      </c>
      <c r="G29" s="59" t="s">
        <v>255</v>
      </c>
      <c r="H29" s="60" t="s">
        <v>262</v>
      </c>
      <c r="I29" s="60" t="s">
        <v>257</v>
      </c>
    </row>
    <row r="30" customFormat="false" ht="13.8" hidden="false" customHeight="false" outlineLevel="0" collapsed="false">
      <c r="B30" s="57" t="s">
        <v>312</v>
      </c>
      <c r="C30" s="57" t="s">
        <v>252</v>
      </c>
      <c r="D30" s="58" t="n">
        <v>1900</v>
      </c>
      <c r="E30" s="57" t="s">
        <v>253</v>
      </c>
      <c r="F30" s="57" t="s">
        <v>313</v>
      </c>
      <c r="G30" s="59" t="s">
        <v>255</v>
      </c>
      <c r="H30" s="57" t="s">
        <v>256</v>
      </c>
      <c r="I30" s="57" t="s">
        <v>257</v>
      </c>
    </row>
    <row r="31" customFormat="false" ht="13.8" hidden="false" customHeight="false" outlineLevel="0" collapsed="false">
      <c r="B31" s="60" t="s">
        <v>314</v>
      </c>
      <c r="C31" s="60" t="s">
        <v>252</v>
      </c>
      <c r="D31" s="61" t="n">
        <v>1582</v>
      </c>
      <c r="E31" s="60" t="s">
        <v>253</v>
      </c>
      <c r="F31" s="60" t="s">
        <v>315</v>
      </c>
      <c r="G31" s="59" t="s">
        <v>255</v>
      </c>
      <c r="H31" s="60" t="s">
        <v>274</v>
      </c>
      <c r="I31" s="60" t="s">
        <v>257</v>
      </c>
    </row>
    <row r="32" customFormat="false" ht="13.8" hidden="false" customHeight="false" outlineLevel="0" collapsed="false">
      <c r="B32" s="57" t="s">
        <v>316</v>
      </c>
      <c r="C32" s="57" t="s">
        <v>252</v>
      </c>
      <c r="D32" s="58" t="n">
        <v>5500</v>
      </c>
      <c r="E32" s="57" t="s">
        <v>253</v>
      </c>
      <c r="F32" s="57" t="s">
        <v>317</v>
      </c>
      <c r="G32" s="59" t="s">
        <v>255</v>
      </c>
      <c r="H32" s="57" t="s">
        <v>269</v>
      </c>
      <c r="I32" s="57" t="s">
        <v>257</v>
      </c>
    </row>
    <row r="33" customFormat="false" ht="13.8" hidden="false" customHeight="false" outlineLevel="0" collapsed="false">
      <c r="B33" s="60" t="s">
        <v>318</v>
      </c>
      <c r="C33" s="60" t="s">
        <v>252</v>
      </c>
      <c r="D33" s="61" t="n">
        <v>4000</v>
      </c>
      <c r="E33" s="60" t="s">
        <v>253</v>
      </c>
      <c r="F33" s="60" t="s">
        <v>319</v>
      </c>
      <c r="G33" s="59" t="s">
        <v>255</v>
      </c>
      <c r="H33" s="60" t="s">
        <v>262</v>
      </c>
      <c r="I33" s="60" t="s">
        <v>257</v>
      </c>
    </row>
    <row r="34" customFormat="false" ht="13.8" hidden="false" customHeight="false" outlineLevel="0" collapsed="false">
      <c r="B34" s="57" t="s">
        <v>320</v>
      </c>
      <c r="C34" s="57" t="s">
        <v>252</v>
      </c>
      <c r="D34" s="58" t="n">
        <v>3875</v>
      </c>
      <c r="E34" s="57" t="s">
        <v>253</v>
      </c>
      <c r="F34" s="57" t="s">
        <v>321</v>
      </c>
      <c r="G34" s="59" t="s">
        <v>255</v>
      </c>
      <c r="H34" s="57" t="s">
        <v>262</v>
      </c>
      <c r="I34" s="57" t="s">
        <v>257</v>
      </c>
    </row>
    <row r="35" customFormat="false" ht="13.8" hidden="false" customHeight="false" outlineLevel="0" collapsed="false">
      <c r="B35" s="60" t="s">
        <v>322</v>
      </c>
      <c r="C35" s="60" t="s">
        <v>252</v>
      </c>
      <c r="D35" s="61" t="n">
        <v>5350</v>
      </c>
      <c r="E35" s="60" t="s">
        <v>253</v>
      </c>
      <c r="F35" s="60" t="s">
        <v>323</v>
      </c>
      <c r="G35" s="59" t="s">
        <v>255</v>
      </c>
      <c r="H35" s="60" t="s">
        <v>256</v>
      </c>
      <c r="I35" s="60" t="s">
        <v>257</v>
      </c>
    </row>
    <row r="36" customFormat="false" ht="13.8" hidden="false" customHeight="false" outlineLevel="0" collapsed="false">
      <c r="B36" s="57" t="s">
        <v>324</v>
      </c>
      <c r="C36" s="57" t="s">
        <v>252</v>
      </c>
      <c r="D36" s="58" t="n">
        <v>5500</v>
      </c>
      <c r="E36" s="57" t="s">
        <v>253</v>
      </c>
      <c r="F36" s="57" t="s">
        <v>325</v>
      </c>
      <c r="G36" s="59" t="s">
        <v>255</v>
      </c>
      <c r="H36" s="57" t="s">
        <v>256</v>
      </c>
      <c r="I36" s="57" t="s">
        <v>257</v>
      </c>
    </row>
    <row r="37" customFormat="false" ht="13.8" hidden="false" customHeight="false" outlineLevel="0" collapsed="false">
      <c r="B37" s="60" t="s">
        <v>326</v>
      </c>
      <c r="C37" s="60" t="s">
        <v>280</v>
      </c>
      <c r="D37" s="61" t="n">
        <v>2050</v>
      </c>
      <c r="E37" s="60" t="s">
        <v>253</v>
      </c>
      <c r="F37" s="60" t="s">
        <v>327</v>
      </c>
      <c r="G37" s="59" t="s">
        <v>255</v>
      </c>
      <c r="H37" s="60" t="s">
        <v>256</v>
      </c>
      <c r="I37" s="60" t="s">
        <v>257</v>
      </c>
    </row>
    <row r="38" customFormat="false" ht="13.8" hidden="false" customHeight="false" outlineLevel="0" collapsed="false">
      <c r="B38" s="57" t="s">
        <v>328</v>
      </c>
      <c r="C38" s="57" t="s">
        <v>252</v>
      </c>
      <c r="D38" s="58" t="n">
        <v>1868</v>
      </c>
      <c r="E38" s="57" t="s">
        <v>253</v>
      </c>
      <c r="F38" s="57" t="s">
        <v>329</v>
      </c>
      <c r="G38" s="59" t="s">
        <v>255</v>
      </c>
      <c r="H38" s="57" t="s">
        <v>274</v>
      </c>
      <c r="I38" s="57" t="s">
        <v>257</v>
      </c>
    </row>
    <row r="39" customFormat="false" ht="13.8" hidden="false" customHeight="false" outlineLevel="0" collapsed="false">
      <c r="B39" s="60" t="s">
        <v>330</v>
      </c>
      <c r="C39" s="60" t="s">
        <v>252</v>
      </c>
      <c r="D39" s="61" t="n">
        <v>4000</v>
      </c>
      <c r="E39" s="60" t="s">
        <v>253</v>
      </c>
      <c r="F39" s="60" t="s">
        <v>331</v>
      </c>
      <c r="G39" s="59" t="s">
        <v>255</v>
      </c>
      <c r="H39" s="60" t="s">
        <v>262</v>
      </c>
      <c r="I39" s="60" t="s">
        <v>257</v>
      </c>
    </row>
    <row r="40" customFormat="false" ht="13.8" hidden="false" customHeight="false" outlineLevel="0" collapsed="false">
      <c r="B40" s="57" t="s">
        <v>332</v>
      </c>
      <c r="C40" s="57" t="s">
        <v>252</v>
      </c>
      <c r="D40" s="58" t="n">
        <v>5250</v>
      </c>
      <c r="E40" s="57" t="s">
        <v>253</v>
      </c>
      <c r="F40" s="57" t="s">
        <v>333</v>
      </c>
      <c r="G40" s="59" t="s">
        <v>255</v>
      </c>
      <c r="H40" s="57" t="s">
        <v>256</v>
      </c>
      <c r="I40" s="57" t="s">
        <v>257</v>
      </c>
    </row>
    <row r="41" customFormat="false" ht="13.8" hidden="false" customHeight="false" outlineLevel="0" collapsed="false">
      <c r="B41" s="60" t="s">
        <v>334</v>
      </c>
      <c r="C41" s="60" t="s">
        <v>252</v>
      </c>
      <c r="D41" s="61" t="n">
        <v>5450</v>
      </c>
      <c r="E41" s="60" t="s">
        <v>253</v>
      </c>
      <c r="F41" s="60" t="s">
        <v>335</v>
      </c>
      <c r="G41" s="59" t="s">
        <v>255</v>
      </c>
      <c r="H41" s="60" t="s">
        <v>256</v>
      </c>
      <c r="I41" s="60" t="s">
        <v>257</v>
      </c>
    </row>
    <row r="42" customFormat="false" ht="13.8" hidden="false" customHeight="false" outlineLevel="0" collapsed="false">
      <c r="B42" s="57" t="s">
        <v>336</v>
      </c>
      <c r="C42" s="57" t="s">
        <v>252</v>
      </c>
      <c r="D42" s="58" t="n">
        <v>5650</v>
      </c>
      <c r="E42" s="57" t="s">
        <v>253</v>
      </c>
      <c r="F42" s="57" t="s">
        <v>337</v>
      </c>
      <c r="G42" s="59" t="s">
        <v>255</v>
      </c>
      <c r="H42" s="57" t="s">
        <v>256</v>
      </c>
      <c r="I42" s="57" t="s">
        <v>257</v>
      </c>
    </row>
    <row r="43" customFormat="false" ht="13.8" hidden="false" customHeight="false" outlineLevel="0" collapsed="false">
      <c r="B43" s="60" t="s">
        <v>338</v>
      </c>
      <c r="C43" s="60" t="s">
        <v>252</v>
      </c>
      <c r="D43" s="61" t="n">
        <v>5875</v>
      </c>
      <c r="E43" s="60" t="s">
        <v>253</v>
      </c>
      <c r="F43" s="60" t="s">
        <v>339</v>
      </c>
      <c r="G43" s="59" t="s">
        <v>255</v>
      </c>
      <c r="H43" s="60" t="s">
        <v>269</v>
      </c>
      <c r="I43" s="60" t="s">
        <v>257</v>
      </c>
    </row>
    <row r="44" customFormat="false" ht="13.8" hidden="false" customHeight="false" outlineLevel="0" collapsed="false">
      <c r="B44" s="57" t="s">
        <v>340</v>
      </c>
      <c r="C44" s="57" t="s">
        <v>252</v>
      </c>
      <c r="D44" s="58" t="n">
        <v>2250</v>
      </c>
      <c r="E44" s="57" t="s">
        <v>253</v>
      </c>
      <c r="F44" s="57" t="s">
        <v>341</v>
      </c>
      <c r="G44" s="59" t="s">
        <v>255</v>
      </c>
      <c r="H44" s="57" t="s">
        <v>256</v>
      </c>
      <c r="I44" s="57" t="s">
        <v>257</v>
      </c>
    </row>
    <row r="45" customFormat="false" ht="13.8" hidden="false" customHeight="false" outlineLevel="0" collapsed="false">
      <c r="B45" s="60" t="s">
        <v>342</v>
      </c>
      <c r="C45" s="60" t="s">
        <v>252</v>
      </c>
      <c r="D45" s="61" t="n">
        <v>4375</v>
      </c>
      <c r="E45" s="60" t="s">
        <v>253</v>
      </c>
      <c r="F45" s="60" t="s">
        <v>343</v>
      </c>
      <c r="G45" s="59" t="s">
        <v>255</v>
      </c>
      <c r="H45" s="60" t="s">
        <v>262</v>
      </c>
      <c r="I45" s="60" t="s">
        <v>257</v>
      </c>
    </row>
    <row r="46" customFormat="false" ht="13.8" hidden="false" customHeight="false" outlineLevel="0" collapsed="false">
      <c r="B46" s="57" t="s">
        <v>344</v>
      </c>
      <c r="C46" s="57" t="s">
        <v>252</v>
      </c>
      <c r="D46" s="58" t="n">
        <v>5300</v>
      </c>
      <c r="E46" s="57" t="s">
        <v>253</v>
      </c>
      <c r="F46" s="57" t="s">
        <v>345</v>
      </c>
      <c r="G46" s="59" t="s">
        <v>255</v>
      </c>
      <c r="H46" s="57" t="s">
        <v>256</v>
      </c>
      <c r="I46" s="57" t="s">
        <v>257</v>
      </c>
    </row>
    <row r="47" customFormat="false" ht="13.8" hidden="false" customHeight="false" outlineLevel="0" collapsed="false">
      <c r="B47" s="60" t="s">
        <v>346</v>
      </c>
      <c r="C47" s="60" t="s">
        <v>252</v>
      </c>
      <c r="D47" s="61" t="n">
        <v>5750</v>
      </c>
      <c r="E47" s="60" t="s">
        <v>253</v>
      </c>
      <c r="F47" s="60" t="s">
        <v>347</v>
      </c>
      <c r="G47" s="59" t="s">
        <v>255</v>
      </c>
      <c r="H47" s="60" t="s">
        <v>256</v>
      </c>
      <c r="I47" s="60" t="s">
        <v>257</v>
      </c>
    </row>
    <row r="48" customFormat="false" ht="13.8" hidden="false" customHeight="false" outlineLevel="0" collapsed="false">
      <c r="B48" s="57" t="s">
        <v>348</v>
      </c>
      <c r="C48" s="57" t="s">
        <v>252</v>
      </c>
      <c r="D48" s="58" t="n">
        <v>5700</v>
      </c>
      <c r="E48" s="57" t="s">
        <v>253</v>
      </c>
      <c r="F48" s="57" t="s">
        <v>349</v>
      </c>
      <c r="G48" s="59" t="s">
        <v>255</v>
      </c>
      <c r="H48" s="57" t="s">
        <v>256</v>
      </c>
      <c r="I48" s="57" t="s">
        <v>257</v>
      </c>
    </row>
    <row r="49" customFormat="false" ht="13.8" hidden="false" customHeight="false" outlineLevel="0" collapsed="false">
      <c r="B49" s="60" t="s">
        <v>350</v>
      </c>
      <c r="C49" s="60" t="s">
        <v>252</v>
      </c>
      <c r="D49" s="61" t="n">
        <v>6125</v>
      </c>
      <c r="E49" s="60" t="s">
        <v>253</v>
      </c>
      <c r="F49" s="60" t="s">
        <v>351</v>
      </c>
      <c r="G49" s="59" t="s">
        <v>255</v>
      </c>
      <c r="H49" s="60" t="s">
        <v>269</v>
      </c>
      <c r="I49" s="60" t="s">
        <v>257</v>
      </c>
    </row>
    <row r="50" customFormat="false" ht="12.8" hidden="false" customHeight="false" outlineLevel="0" collapsed="false">
      <c r="D50" s="62" t="n">
        <f aca="false">+AVERAGE(D4:D49)</f>
        <v>3696.71739130435</v>
      </c>
    </row>
  </sheetData>
  <hyperlinks>
    <hyperlink ref="A1" r:id="rId1"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2" activeCellId="0" sqref="A2"/>
    </sheetView>
  </sheetViews>
  <sheetFormatPr defaultColWidth="11.53515625" defaultRowHeight="12.8" customHeight="false" zeroHeight="false" outlineLevelRow="0" outlineLevelCol="0"/>
  <sheetData>
    <row r="1" customFormat="false" ht="13.1" hidden="false" customHeight="false" outlineLevel="0" collapsed="false">
      <c r="A1" s="54" t="s">
        <v>96</v>
      </c>
    </row>
  </sheetData>
  <hyperlinks>
    <hyperlink ref="A1" r:id="rId1"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3662</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2026-03-03T23:17:29Z</dcterms:created>
  <dc:creator/>
  <dc:description/>
  <dc:language>en-US</dc:language>
  <cp:lastModifiedBy/>
  <dcterms:modified xsi:type="dcterms:W3CDTF">2026-10-03T23:55:34Z</dcterms:modified>
  <cp:revision>180</cp:revision>
  <dc:subject/>
  <dc:title/>
</cp:coreProperties>
</file>

<file path=docProps/custom.xml><?xml version="1.0" encoding="utf-8"?>
<Properties xmlns="http://schemas.openxmlformats.org/officeDocument/2006/custom-properties" xmlns:vt="http://schemas.openxmlformats.org/officeDocument/2006/docPropsVTypes"/>
</file>