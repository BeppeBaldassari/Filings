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sharedStrings.xml" ContentType="application/vnd.openxmlformats-officedocument.spreadsheetml.sharedString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hart1.xml" ContentType="application/vnd.openxmlformats-officedocument.drawingml.chart+xml"/>
  <Override PartName="/xl/charts/colors1.xml" ContentType="application/vnd.ms-office.chartcolorstyle+xml"/>
  <Override PartName="/xl/charts/style3.xml" ContentType="application/vnd.ms-office.chartstyle+xml"/>
  <Override PartName="/xl/charts/chart4.xml" ContentType="application/vnd.openxmlformats-officedocument.drawingml.chart+xml"/>
  <Override PartName="/xl/charts/chart3.xml" ContentType="application/vnd.openxmlformats-officedocument.drawingml.chart+xml"/>
  <Override PartName="/xl/charts/colors2.xml" ContentType="application/vnd.ms-office.chartcolorstyle+xml"/>
  <Override PartName="/xl/charts/style1.xml" ContentType="application/vnd.ms-office.chartstyle+xml"/>
  <Override PartName="/xl/charts/style4.xml" ContentType="application/vnd.ms-office.chartstyle+xml"/>
  <Override PartName="/xl/charts/colors3.xml" ContentType="application/vnd.ms-office.chartcolor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in" sheetId="1" state="visible" r:id="rId3"/>
    <sheet name="Model" sheetId="2" state="visible" r:id="rId4"/>
    <sheet name="Bond" sheetId="3" state="visible" r:id="rId5"/>
    <sheet name="Board " sheetId="4" state="visible" r:id="rId6"/>
  </sheets>
  <externalReferences>
    <externalReference r:id="rId7"/>
  </externalReference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Monthly transaction Units
</t>
        </r>
      </text>
      <mc:AlternateContent>
        <mc:Choice Requires="v2">
          <commentPr autoFill="true" autoScale="false" colHidden="false" locked="false" rowHidden="false" textHAlign="justify" textVAlign="top">
            <anchor moveWithCells="false" sizeWithCells="false">
              <xdr:from>
                <xdr:col>1</xdr:col>
                <xdr:colOff>1</xdr:colOff>
                <xdr:row>0</xdr:row>
                <xdr:rowOff>1</xdr:rowOff>
              </xdr:from>
              <xdr:to>
                <xdr:col>2</xdr:col>
                <xdr:colOff>1</xdr:colOff>
                <xdr:row>4</xdr:row>
                <xdr:rowOff>1</xdr:rowOff>
              </xdr:to>
            </anchor>
          </commentPr>
        </mc:Choice>
        <mc:Fallback/>
      </mc:AlternateContent>
    </comment>
    <comment ref="A14" authorId="0">
      <text>
        <r>
          <rPr>
            <sz val="10"/>
            <rFont val="Arial"/>
            <family val="2"/>
          </rPr>
          <t xml:space="preserve">Launched in Q2 25</t>
        </r>
      </text>
      <mc:AlternateContent>
        <mc:Choice Requires="v2">
          <commentPr autoFill="true" autoScale="false" colHidden="false" locked="false" rowHidden="false" textHAlign="justify" textVAlign="top">
            <anchor moveWithCells="false" sizeWithCells="false">
              <xdr:from>
                <xdr:col>1</xdr:col>
                <xdr:colOff>1</xdr:colOff>
                <xdr:row>9</xdr:row>
                <xdr:rowOff>1</xdr:rowOff>
              </xdr:from>
              <xdr:to>
                <xdr:col>2</xdr:col>
                <xdr:colOff>1</xdr:colOff>
                <xdr:row>13</xdr:row>
                <xdr:rowOff>1</xdr:rowOff>
              </xdr:to>
            </anchor>
          </commentPr>
        </mc:Choice>
        <mc:Fallback/>
      </mc:AlternateContent>
    </comment>
    <comment ref="A26" authorId="0">
      <text>
        <r>
          <rPr>
            <sz val="10"/>
            <rFont val="Arial"/>
            <family val="2"/>
          </rPr>
          <t xml:space="preserve">Monthly Active Platform Consumers
</t>
        </r>
      </text>
      <mc:AlternateContent>
        <mc:Choice Requires="v2">
          <commentPr autoFill="true" autoScale="false" colHidden="false" locked="false" rowHidden="false" textHAlign="justify" textVAlign="top">
            <anchor moveWithCells="false" sizeWithCells="false">
              <xdr:from>
                <xdr:col>1</xdr:col>
                <xdr:colOff>1</xdr:colOff>
                <xdr:row>21</xdr:row>
                <xdr:rowOff>1</xdr:rowOff>
              </xdr:from>
              <xdr:to>
                <xdr:col>2</xdr:col>
                <xdr:colOff>1</xdr:colOff>
                <xdr:row>25</xdr:row>
                <xdr:rowOff>1</xdr:rowOff>
              </xdr:to>
            </anchor>
          </commentPr>
        </mc:Choice>
        <mc:Fallback/>
      </mc:AlternateContent>
    </comment>
    <comment ref="A221" authorId="0">
      <text>
        <r>
          <rPr>
            <sz val="10"/>
            <rFont val="Arial"/>
            <family val="2"/>
          </rPr>
          <t xml:space="preserve">Fintech firm that provides the infrastructure for the companies to create and operate payments-cards programs</t>
        </r>
      </text>
      <mc:AlternateContent>
        <mc:Choice Requires="v2">
          <commentPr autoFill="true" autoScale="false" colHidden="false" locked="false" rowHidden="false" textHAlign="justify" textVAlign="top">
            <anchor moveWithCells="false" sizeWithCells="false">
              <xdr:from>
                <xdr:col>1</xdr:col>
                <xdr:colOff>1</xdr:colOff>
                <xdr:row>216</xdr:row>
                <xdr:rowOff>1</xdr:rowOff>
              </xdr:from>
              <xdr:to>
                <xdr:col>2</xdr:col>
                <xdr:colOff>1</xdr:colOff>
                <xdr:row>226</xdr:row>
                <xdr:rowOff>1</xdr:rowOff>
              </xdr:to>
            </anchor>
          </commentPr>
        </mc:Choice>
        <mc:Fallback/>
      </mc:AlternateContent>
    </comment>
    <comment ref="S2" authorId="0">
      <text>
        <r>
          <rPr>
            <sz val="10"/>
            <rFont val="Arial"/>
            <family val="2"/>
          </rPr>
          <t xml:space="preserve">Guidance: Booking of 56.25B
</t>
        </r>
      </text>
      <mc:AlternateContent>
        <mc:Choice Requires="v2">
          <commentPr autoFill="true" autoScale="false" colHidden="false" locked="false" rowHidden="false" textHAlign="justify" textVAlign="top">
            <anchor moveWithCells="false" sizeWithCells="false">
              <xdr:from>
                <xdr:col>19</xdr:col>
                <xdr:colOff>1</xdr:colOff>
                <xdr:row>0</xdr:row>
                <xdr:rowOff>0</xdr:rowOff>
              </xdr:from>
              <xdr:to>
                <xdr:col>20</xdr:col>
                <xdr:colOff>1</xdr:colOff>
                <xdr:row>3</xdr:row>
                <xdr:rowOff>1</xdr:rowOff>
              </xdr:to>
            </anchor>
          </commentPr>
        </mc:Choice>
        <mc:Fallback/>
      </mc:AlternateContent>
    </comment>
    <comment ref="S15" authorId="0">
      <text>
        <r>
          <rPr>
            <sz val="10"/>
            <rFont val="Arial"/>
            <family val="2"/>
          </rPr>
          <t xml:space="preserve">10B miles driven as of May 2026</t>
        </r>
      </text>
      <mc:AlternateContent>
        <mc:Choice Requires="v2">
          <commentPr autoFill="true" autoScale="false" colHidden="false" locked="false" rowHidden="false" textHAlign="justify" textVAlign="top">
            <anchor moveWithCells="false" sizeWithCells="false">
              <xdr:from>
                <xdr:col>19</xdr:col>
                <xdr:colOff>1</xdr:colOff>
                <xdr:row>10</xdr:row>
                <xdr:rowOff>1</xdr:rowOff>
              </xdr:from>
              <xdr:to>
                <xdr:col>20</xdr:col>
                <xdr:colOff>1</xdr:colOff>
                <xdr:row>14</xdr:row>
                <xdr:rowOff>1</xdr:rowOff>
              </xdr:to>
            </anchor>
          </commentPr>
        </mc:Choice>
        <mc:Fallback/>
      </mc:AlternateContent>
    </comment>
    <comment ref="S20" authorId="0">
      <text>
        <r>
          <rPr>
            <sz val="10"/>
            <rFont val="Arial"/>
            <family val="2"/>
          </rPr>
          <t xml:space="preserve">Guidance: 5.30 – 5.43 B$</t>
        </r>
      </text>
      <mc:AlternateContent>
        <mc:Choice Requires="v2">
          <commentPr autoFill="true" autoScale="false" colHidden="false" locked="false" rowHidden="false" textHAlign="justify" textVAlign="top">
            <anchor moveWithCells="false" sizeWithCells="false">
              <xdr:from>
                <xdr:col>19</xdr:col>
                <xdr:colOff>1</xdr:colOff>
                <xdr:row>15</xdr:row>
                <xdr:rowOff>1</xdr:rowOff>
              </xdr:from>
              <xdr:to>
                <xdr:col>20</xdr:col>
                <xdr:colOff>1</xdr:colOff>
                <xdr:row>19</xdr:row>
                <xdr:rowOff>1</xdr:rowOff>
              </xdr:to>
            </anchor>
          </commentPr>
        </mc:Choice>
        <mc:Fallback/>
      </mc:AlternateContent>
    </comment>
    <comment ref="S61" authorId="0">
      <text>
        <r>
          <rPr>
            <sz val="10"/>
            <rFont val="Arial"/>
            <family val="2"/>
          </rPr>
          <t xml:space="preserve">Accounting change in the UK. It has reduced revenues by 1.1B</t>
        </r>
      </text>
      <mc:AlternateContent>
        <mc:Choice Requires="v2">
          <commentPr autoFill="true" autoScale="false" colHidden="false" locked="false" rowHidden="false" textHAlign="justify" textVAlign="top">
            <anchor moveWithCells="false" sizeWithCells="false">
              <xdr:from>
                <xdr:col>19</xdr:col>
                <xdr:colOff>1</xdr:colOff>
                <xdr:row>56</xdr:row>
                <xdr:rowOff>1</xdr:rowOff>
              </xdr:from>
              <xdr:to>
                <xdr:col>20</xdr:col>
                <xdr:colOff>1</xdr:colOff>
                <xdr:row>62</xdr:row>
                <xdr:rowOff>1</xdr:rowOff>
              </xdr:to>
            </anchor>
          </commentPr>
        </mc:Choice>
        <mc:Fallback/>
      </mc:AlternateContent>
    </comment>
    <comment ref="S143" authorId="0">
      <text>
        <r>
          <rPr>
            <sz val="10"/>
            <rFont val="Arial"/>
            <family val="2"/>
          </rPr>
          <t xml:space="preserve">2B worth of A/R for a british VAT fine.</t>
        </r>
      </text>
      <mc:AlternateContent>
        <mc:Choice Requires="v2">
          <commentPr autoFill="true" autoScale="false" colHidden="false" locked="false" rowHidden="false" textHAlign="justify" textVAlign="top">
            <anchor moveWithCells="false" sizeWithCells="false">
              <xdr:from>
                <xdr:col>19</xdr:col>
                <xdr:colOff>3</xdr:colOff>
                <xdr:row>138</xdr:row>
                <xdr:rowOff>1</xdr:rowOff>
              </xdr:from>
              <xdr:to>
                <xdr:col>20</xdr:col>
                <xdr:colOff>5</xdr:colOff>
                <xdr:row>142</xdr:row>
                <xdr:rowOff>1</xdr:rowOff>
              </xdr:to>
            </anchor>
          </commentPr>
        </mc:Choice>
        <mc:Fallback/>
      </mc:AlternateContent>
    </comment>
    <comment ref="T37" authorId="0">
      <text>
        <r>
          <rPr>
            <sz val="10"/>
            <rFont val="Arial"/>
            <family val="2"/>
          </rPr>
          <t xml:space="preserve">Guidance: 58.25B</t>
        </r>
      </text>
      <mc:AlternateContent>
        <mc:Choice Requires="v2">
          <commentPr autoFill="true" autoScale="false" colHidden="false" locked="false" rowHidden="false" textHAlign="justify" textVAlign="top">
            <anchor moveWithCells="false" sizeWithCells="false">
              <xdr:from>
                <xdr:col>20</xdr:col>
                <xdr:colOff>1</xdr:colOff>
                <xdr:row>32</xdr:row>
                <xdr:rowOff>1</xdr:rowOff>
              </xdr:from>
              <xdr:to>
                <xdr:col>21</xdr:col>
                <xdr:colOff>1</xdr:colOff>
                <xdr:row>36</xdr:row>
                <xdr:rowOff>1</xdr:rowOff>
              </xdr:to>
            </anchor>
          </commentPr>
        </mc:Choice>
        <mc:Fallback/>
      </mc:AlternateContent>
    </comment>
    <comment ref="T61" authorId="0">
      <text>
        <r>
          <rPr>
            <sz val="10"/>
            <rFont val="Arial"/>
            <family val="2"/>
          </rPr>
          <t xml:space="preserve">03/03 14.866</t>
        </r>
      </text>
      <mc:AlternateContent>
        <mc:Choice Requires="v2">
          <commentPr autoFill="true" autoScale="false" colHidden="false" locked="false" rowHidden="false" textHAlign="justify" textVAlign="top">
            <anchor moveWithCells="false" sizeWithCells="false">
              <xdr:from>
                <xdr:col>20</xdr:col>
                <xdr:colOff>1</xdr:colOff>
                <xdr:row>56</xdr:row>
                <xdr:rowOff>1</xdr:rowOff>
              </xdr:from>
              <xdr:to>
                <xdr:col>21</xdr:col>
                <xdr:colOff>1</xdr:colOff>
                <xdr:row>60</xdr:row>
                <xdr:rowOff>1</xdr:rowOff>
              </xdr:to>
            </anchor>
          </commentPr>
        </mc:Choice>
        <mc:Fallback/>
      </mc:AlternateContent>
    </comment>
    <comment ref="AC12" authorId="0">
      <text>
        <r>
          <rPr>
            <sz val="10"/>
            <rFont val="Arial"/>
            <family val="2"/>
          </rPr>
          <t xml:space="preserve">Estimated by Baidu’s results:
Q1 660,000
Q2 714,000
Q3 821,000
Q4 839,000</t>
        </r>
      </text>
      <mc:AlternateContent>
        <mc:Choice Requires="v2">
          <commentPr autoFill="true" autoScale="false" colHidden="false" locked="false" rowHidden="false" textHAlign="justify" textVAlign="top">
            <anchor moveWithCells="false" sizeWithCells="false">
              <xdr:from>
                <xdr:col>29</xdr:col>
                <xdr:colOff>1</xdr:colOff>
                <xdr:row>7</xdr:row>
                <xdr:rowOff>1</xdr:rowOff>
              </xdr:from>
              <xdr:to>
                <xdr:col>30</xdr:col>
                <xdr:colOff>1</xdr:colOff>
                <xdr:row>13</xdr:row>
                <xdr:rowOff>1</xdr:rowOff>
              </xdr:to>
            </anchor>
          </commentPr>
        </mc:Choice>
        <mc:Fallback/>
      </mc:AlternateContent>
    </comment>
    <comment ref="AD12" authorId="0">
      <text>
        <r>
          <rPr>
            <sz val="10"/>
            <rFont val="Arial"/>
            <family val="2"/>
          </rPr>
          <t xml:space="preserve">Estimated by Baidu’s results:
Q1 826,000
Q2 899,000
Q3 988,000
Q4 1,100,000</t>
        </r>
      </text>
      <mc:AlternateContent>
        <mc:Choice Requires="v2">
          <commentPr autoFill="true" autoScale="false" colHidden="false" locked="false" rowHidden="false" textHAlign="justify" textVAlign="top">
            <anchor moveWithCells="false" sizeWithCells="false">
              <xdr:from>
                <xdr:col>30</xdr:col>
                <xdr:colOff>1</xdr:colOff>
                <xdr:row>7</xdr:row>
                <xdr:rowOff>1</xdr:rowOff>
              </xdr:from>
              <xdr:to>
                <xdr:col>31</xdr:col>
                <xdr:colOff>1</xdr:colOff>
                <xdr:row>14</xdr:row>
                <xdr:rowOff>1</xdr:rowOff>
              </xdr:to>
            </anchor>
          </commentPr>
        </mc:Choice>
        <mc:Fallback/>
      </mc:AlternateContent>
    </comment>
    <comment ref="AD63" authorId="0">
      <text>
        <r>
          <rPr>
            <sz val="10"/>
            <rFont val="Arial"/>
            <family val="2"/>
          </rPr>
          <t xml:space="preserve">Increase in rate per mile insurance</t>
        </r>
      </text>
      <mc:AlternateContent>
        <mc:Choice Requires="v2">
          <commentPr autoFill="true" autoScale="false" colHidden="false" locked="false" rowHidden="false" textHAlign="justify" textVAlign="top">
            <anchor moveWithCells="false" sizeWithCells="false">
              <xdr:from>
                <xdr:col>30</xdr:col>
                <xdr:colOff>1</xdr:colOff>
                <xdr:row>58</xdr:row>
                <xdr:rowOff>1</xdr:rowOff>
              </xdr:from>
              <xdr:to>
                <xdr:col>31</xdr:col>
                <xdr:colOff>1</xdr:colOff>
                <xdr:row>62</xdr:row>
                <xdr:rowOff>1</xdr:rowOff>
              </xdr:to>
            </anchor>
          </commentPr>
        </mc:Choice>
        <mc:Fallback/>
      </mc:AlternateContent>
    </comment>
    <comment ref="AF2" authorId="0">
      <text>
        <r>
          <rPr>
            <sz val="10"/>
            <rFont val="Arial"/>
            <family val="2"/>
          </rPr>
          <t xml:space="preserve">03/03 58.367</t>
        </r>
      </text>
      <mc:AlternateContent>
        <mc:Choice Requires="v2">
          <commentPr autoFill="true" autoScale="false" colHidden="false" locked="false" rowHidden="false" textHAlign="justify" textVAlign="top">
            <anchor moveWithCells="false" sizeWithCells="false">
              <xdr:from>
                <xdr:col>32</xdr:col>
                <xdr:colOff>1</xdr:colOff>
                <xdr:row>0</xdr:row>
                <xdr:rowOff>1</xdr:rowOff>
              </xdr:from>
              <xdr:to>
                <xdr:col>33</xdr:col>
                <xdr:colOff>1</xdr:colOff>
                <xdr:row>3</xdr:row>
                <xdr:rowOff>1</xdr:rowOff>
              </xdr:to>
            </anchor>
          </commentPr>
        </mc:Choice>
        <mc:Fallback/>
      </mc:AlternateContent>
    </comment>
    <comment ref="AG2" authorId="0">
      <text>
        <r>
          <rPr>
            <sz val="10"/>
            <rFont val="Arial"/>
            <family val="2"/>
          </rPr>
          <t xml:space="preserve">03/03 66.895</t>
        </r>
      </text>
      <mc:AlternateContent>
        <mc:Choice Requires="v2">
          <commentPr autoFill="true" autoScale="false" colHidden="false" locked="false" rowHidden="false" textHAlign="justify" textVAlign="top">
            <anchor moveWithCells="false" sizeWithCells="false">
              <xdr:from>
                <xdr:col>33</xdr:col>
                <xdr:colOff>1</xdr:colOff>
                <xdr:row>0</xdr:row>
                <xdr:rowOff>1</xdr:rowOff>
              </xdr:from>
              <xdr:to>
                <xdr:col>34</xdr:col>
                <xdr:colOff>1</xdr:colOff>
                <xdr:row>3</xdr:row>
                <xdr:rowOff>1</xdr:rowOff>
              </xdr:to>
            </anchor>
          </commentPr>
        </mc:Choice>
        <mc:Fallback/>
      </mc:AlternateContent>
    </comment>
    <comment ref="AH2" authorId="0">
      <text>
        <r>
          <rPr>
            <sz val="10"/>
            <rFont val="Arial"/>
            <family val="2"/>
          </rPr>
          <t xml:space="preserve">03/03 75.302</t>
        </r>
      </text>
      <mc:AlternateContent>
        <mc:Choice Requires="v2">
          <commentPr autoFill="true" autoScale="false" colHidden="false" locked="false" rowHidden="false" textHAlign="justify" textVAlign="top">
            <anchor moveWithCells="false" sizeWithCells="false">
              <xdr:from>
                <xdr:col>34</xdr:col>
                <xdr:colOff>1</xdr:colOff>
                <xdr:row>0</xdr:row>
                <xdr:rowOff>1</xdr:rowOff>
              </xdr:from>
              <xdr:to>
                <xdr:col>35</xdr:col>
                <xdr:colOff>1</xdr:colOff>
                <xdr:row>3</xdr:row>
                <xdr:rowOff>1</xdr:rowOff>
              </xdr:to>
            </anchor>
          </commentPr>
        </mc:Choice>
        <mc:Fallback/>
      </mc:AlternateContent>
    </comment>
  </commentList>
</comments>
</file>

<file path=xl/sharedStrings.xml><?xml version="1.0" encoding="utf-8"?>
<sst xmlns="http://schemas.openxmlformats.org/spreadsheetml/2006/main" count="719" uniqueCount="457">
  <si>
    <t xml:space="preserve">UBER</t>
  </si>
  <si>
    <t xml:space="preserve">Price</t>
  </si>
  <si>
    <t xml:space="preserve">-&gt;</t>
  </si>
  <si>
    <t xml:space="preserve">Waabi (ai company that builds AV)</t>
  </si>
  <si>
    <t xml:space="preserve">Share</t>
  </si>
  <si>
    <t xml:space="preserve">Q226</t>
  </si>
  <si>
    <t xml:space="preserve">Wayve (british based ai company that builds AV)</t>
  </si>
  <si>
    <t xml:space="preserve">MC</t>
  </si>
  <si>
    <t xml:space="preserve">Airport to increase pick-up fees (LAX)</t>
  </si>
  <si>
    <t xml:space="preserve">Cash</t>
  </si>
  <si>
    <t xml:space="preserve">Online Food Delivery marlket projected to expand by 9.7% CAGR up to 2032</t>
  </si>
  <si>
    <t xml:space="preserve">Debt</t>
  </si>
  <si>
    <t xml:space="preserve">Zoox strategic partnership (AMZN)</t>
  </si>
  <si>
    <t xml:space="preserve">Minority</t>
  </si>
  <si>
    <t xml:space="preserve">Robotaxi collaboration with Wayve and Nissan in Tokyo powered by Nissan LEAF with Wayve AI</t>
  </si>
  <si>
    <t xml:space="preserve">EV</t>
  </si>
  <si>
    <t xml:space="preserve">Robotaxi collaboration with Motional (Hyunday Motor Group) in Las Vegas</t>
  </si>
  <si>
    <t xml:space="preserve">one of the first SAE Level 4 AV</t>
  </si>
  <si>
    <t xml:space="preserve">Increasing the strategic partnership with Nvidia in order to deploy their L4 (high automation) driverless vehicle in 28 cities by 2028</t>
  </si>
  <si>
    <r>
      <rPr>
        <sz val="10"/>
        <rFont val="Arial"/>
        <family val="2"/>
        <charset val="1"/>
      </rPr>
      <t xml:space="preserve">Using UBER’s network effect to test and improve Nvidia’s </t>
    </r>
    <r>
      <rPr>
        <i val="true"/>
        <sz val="10"/>
        <rFont val="Arial"/>
        <family val="2"/>
        <charset val="1"/>
      </rPr>
      <t xml:space="preserve">DRIVE</t>
    </r>
    <r>
      <rPr>
        <sz val="10"/>
        <rFont val="Arial"/>
        <family val="2"/>
        <charset val="1"/>
      </rPr>
      <t xml:space="preserve"> </t>
    </r>
    <r>
      <rPr>
        <i val="true"/>
        <sz val="10"/>
        <rFont val="Arial"/>
        <family val="2"/>
        <charset val="1"/>
      </rPr>
      <t xml:space="preserve">AGX</t>
    </r>
    <r>
      <rPr>
        <sz val="10"/>
        <rFont val="Arial"/>
        <family val="2"/>
        <charset val="1"/>
      </rPr>
      <t xml:space="preserve"> and </t>
    </r>
    <r>
      <rPr>
        <i val="true"/>
        <sz val="10"/>
        <rFont val="Arial"/>
        <family val="2"/>
        <charset val="1"/>
      </rPr>
      <t xml:space="preserve">Ampamayo</t>
    </r>
  </si>
  <si>
    <t xml:space="preserve">Partnership with Rivianto help them deploy 50,000 R2 robotaxies</t>
  </si>
  <si>
    <t xml:space="preserve">P/FCF</t>
  </si>
  <si>
    <t xml:space="preserve">BETA</t>
  </si>
  <si>
    <t xml:space="preserve">WACC</t>
  </si>
  <si>
    <t xml:space="preserve"> - currently still a L3 automation but this partnership sould help them develop at least an L4 automation</t>
  </si>
  <si>
    <t xml:space="preserve">EV/EBITDA</t>
  </si>
  <si>
    <t xml:space="preserve">CAPM</t>
  </si>
  <si>
    <t xml:space="preserve">P/B</t>
  </si>
  <si>
    <t xml:space="preserve"> - the full deployment should happen in 2031 with a total investment of 1.25$ B into the company given certain milestones</t>
  </si>
  <si>
    <t xml:space="preserve">EV/FCF</t>
  </si>
  <si>
    <t xml:space="preserve">Cost of Debt</t>
  </si>
  <si>
    <t xml:space="preserve">Multi – year partnership with Ibotta to use Ibotta’s discounts over CPG (consumer Packed Goods) into Uber Eat.</t>
  </si>
  <si>
    <t xml:space="preserve">Inc. Margin</t>
  </si>
  <si>
    <t xml:space="preserve">Cr. Spread</t>
  </si>
  <si>
    <t xml:space="preserve">Ibotta will reach a bigger audience while UBER Eat ueasers (and UBER One) will have a better experience with the product (higher conversion rate?)</t>
  </si>
  <si>
    <t xml:space="preserve">P/E</t>
  </si>
  <si>
    <t xml:space="preserve">Rating</t>
  </si>
  <si>
    <t xml:space="preserve">BBB+</t>
  </si>
  <si>
    <t xml:space="preserve">Baa1</t>
  </si>
  <si>
    <t xml:space="preserve">UBER to inctease not temporaly the prices for ridesharing services in order to bear oil price hikes</t>
  </si>
  <si>
    <t xml:space="preserve">Leverage</t>
  </si>
  <si>
    <t xml:space="preserve">S&amp;P</t>
  </si>
  <si>
    <t xml:space="preserve">Moody’s</t>
  </si>
  <si>
    <t xml:space="preserve">the change won’t be temporaly</t>
  </si>
  <si>
    <t xml:space="preserve">EV/Sales</t>
  </si>
  <si>
    <t xml:space="preserve">UBER to parner with Pony.ai and Verne to deploy the first robotaxies in europe (Zagreb)</t>
  </si>
  <si>
    <t xml:space="preserve"> </t>
  </si>
  <si>
    <t xml:space="preserve">Following this strategic partnership, UBER will invest in Verne</t>
  </si>
  <si>
    <t xml:space="preserve">Pony.ai will bring the Gen-7 autonomous vehicles, Verne will be the owner of the fleet while UBER will provide the networking (the demand)</t>
  </si>
  <si>
    <t xml:space="preserve">Still waiting for EU approval</t>
  </si>
  <si>
    <t xml:space="preserve">Founded</t>
  </si>
  <si>
    <t xml:space="preserve">Delaware</t>
  </si>
  <si>
    <r>
      <rPr>
        <sz val="10"/>
        <rFont val="Arial"/>
        <family val="2"/>
        <charset val="1"/>
      </rPr>
      <t xml:space="preserve">UBER to acquire Blacklane to improve it’s luxury and executive driving. </t>
    </r>
    <r>
      <rPr>
        <b val="true"/>
        <i val="true"/>
        <sz val="10"/>
        <rFont val="Arial"/>
        <family val="2"/>
        <charset val="1"/>
      </rPr>
      <t xml:space="preserve">UBER Elite</t>
    </r>
  </si>
  <si>
    <t xml:space="preserve">UBERCAB</t>
  </si>
  <si>
    <t xml:space="preserve">Blacklane already operates in over 500 cities.</t>
  </si>
  <si>
    <t xml:space="preserve">waiting for antitrust approval</t>
  </si>
  <si>
    <t xml:space="preserve">IPO</t>
  </si>
  <si>
    <r>
      <rPr>
        <b val="true"/>
        <i val="true"/>
        <sz val="10"/>
        <rFont val="Arial"/>
        <family val="2"/>
        <charset val="1"/>
      </rPr>
      <t xml:space="preserve">May 9</t>
    </r>
    <r>
      <rPr>
        <b val="true"/>
        <i val="true"/>
        <vertAlign val="superscript"/>
        <sz val="10"/>
        <rFont val="Arial"/>
        <family val="2"/>
        <charset val="1"/>
      </rPr>
      <t xml:space="preserve">th</t>
    </r>
    <r>
      <rPr>
        <b val="true"/>
        <i val="true"/>
        <sz val="10"/>
        <rFont val="Arial"/>
        <family val="2"/>
        <charset val="1"/>
      </rPr>
      <t xml:space="preserve"> 2019</t>
    </r>
  </si>
  <si>
    <r>
      <rPr>
        <sz val="10"/>
        <rFont val="Arial"/>
        <family val="2"/>
        <charset val="1"/>
      </rPr>
      <t xml:space="preserve">UBER to deploy fully driverless (Level 4) robotaxies in Dubai together with </t>
    </r>
    <r>
      <rPr>
        <b val="true"/>
        <i val="true"/>
        <sz val="10"/>
        <rFont val="Arial"/>
        <family val="2"/>
        <charset val="1"/>
      </rPr>
      <t xml:space="preserve">WeRide</t>
    </r>
    <r>
      <rPr>
        <sz val="10"/>
        <rFont val="Arial"/>
        <family val="2"/>
        <charset val="1"/>
      </rPr>
      <t xml:space="preserve"> and Tawasul.</t>
    </r>
  </si>
  <si>
    <t xml:space="preserve">Sector</t>
  </si>
  <si>
    <t xml:space="preserve">Technology Platform</t>
  </si>
  <si>
    <r>
      <rPr>
        <b val="true"/>
        <i val="true"/>
        <sz val="10"/>
        <rFont val="Arial"/>
        <family val="2"/>
        <charset val="1"/>
      </rPr>
      <t xml:space="preserve">Tawasul</t>
    </r>
    <r>
      <rPr>
        <sz val="10"/>
        <rFont val="Arial"/>
        <family val="2"/>
        <charset val="1"/>
      </rPr>
      <t xml:space="preserve"> will be the fleet operator. WeRide committed to deploy at least 1,200 Robotaxis in the ME (WeRide has been the first company to receive a national licence for self driving vehicles in the UAE).</t>
    </r>
  </si>
  <si>
    <t xml:space="preserve">CEO</t>
  </si>
  <si>
    <t xml:space="preserve">Dara Khosrowshahi</t>
  </si>
  <si>
    <t xml:space="preserve">UBER owns 5.82% of WeRide Class A shares</t>
  </si>
  <si>
    <t xml:space="preserve">Founder </t>
  </si>
  <si>
    <t xml:space="preserve">Travis Kalanick</t>
  </si>
  <si>
    <t xml:space="preserve">MOIA America will test its AV in LA through Uber in late 2026</t>
  </si>
  <si>
    <t xml:space="preserve">This partnership has been going on since 2025 and aims to deploy thousands of AV. MOIA (and theparent VolksWagen) are advancing  AV testing in Hamburg, Oslo, Berlin, Munich.</t>
  </si>
  <si>
    <t xml:space="preserve">UBER to add Cash App Pay (Block inc. XYZ) into the app to reach the over 59 million transaction done mainly from Millenials and Gen Zs</t>
  </si>
  <si>
    <r>
      <rPr>
        <sz val="10"/>
        <rFont val="Arial"/>
        <family val="2"/>
        <charset val="1"/>
      </rPr>
      <t xml:space="preserve">UBER to launch a robotaxi program in Munich together with </t>
    </r>
    <r>
      <rPr>
        <i val="true"/>
        <sz val="10"/>
        <rFont val="Arial"/>
        <family val="2"/>
        <charset val="1"/>
      </rPr>
      <t xml:space="preserve">NVDA Hyperion</t>
    </r>
  </si>
  <si>
    <t xml:space="preserve">UBER together with AVOMO and WERIDE to launch the first robotaxi fleet in Madrid aiming to deploy hudreds of robotaxies in the region in the foreseeable future as certain milestones are met</t>
  </si>
  <si>
    <t xml:space="preserve">This partnerships have already been tested in the US (AVOMO) and in the ME (WERIDE) and show positive sign as of relationship and clear path </t>
  </si>
  <si>
    <t xml:space="preserve">investor@uber.com </t>
  </si>
  <si>
    <t xml:space="preserve">Still 11 cities do expand the partnership with WeRide before 2030. Next sure is Riyadh.</t>
  </si>
  <si>
    <t xml:space="preserve">UBER expands further the shops where consumers can buy through UBER Eats beyond the food segment.</t>
  </si>
  <si>
    <t xml:space="preserve">Consumers are using delivery apps not anymore just for food delivery, but they want a wider range of goods to choose from. UBER is targeting this niche</t>
  </si>
  <si>
    <t xml:space="preserve">Segments</t>
  </si>
  <si>
    <t xml:space="preserve">UBER to expand their commercial robotaxies to Zurich with WeRide. Ryderra will manage day-to-day fleet operations</t>
  </si>
  <si>
    <t xml:space="preserve"> Delivery (UberEats)</t>
  </si>
  <si>
    <t xml:space="preserve">UBER to deploy in mid-2027 Robotaxies in Houston with Nuro (Level 4 AV) and Lucid</t>
  </si>
  <si>
    <t xml:space="preserve"> Mobility (Uber, Lime, carsharing, taxi, …)</t>
  </si>
  <si>
    <t xml:space="preserve">Nuro aims to deploy over 35,000 AVs globally</t>
  </si>
  <si>
    <t xml:space="preserve"> Freight (on demand platform to automate logistics transactions) UBER freight</t>
  </si>
  <si>
    <t xml:space="preserve">UBER to acquire Delibvery Hero for 14.8B$ to be approved around Q2 27. It is expected to create synergies for at least 1.2B$</t>
  </si>
  <si>
    <t xml:space="preserve">  Nissan, Kellog, CL, …</t>
  </si>
  <si>
    <t xml:space="preserve">Prashanth Mahendra-Rajan in US gov?</t>
  </si>
  <si>
    <t xml:space="preserve">this merge will increase the servidces provided in Uber One and reach newer markets where Uber Eats failed (i.e. Italy) or has never penetrated</t>
  </si>
  <si>
    <t xml:space="preserve">Reserve increased Uber’s reliability</t>
  </si>
  <si>
    <r>
      <rPr>
        <sz val="10"/>
        <rFont val="Arial"/>
        <family val="2"/>
        <charset val="1"/>
      </rPr>
      <t xml:space="preserve">UBER is currently 1</t>
    </r>
    <r>
      <rPr>
        <vertAlign val="superscript"/>
        <sz val="10"/>
        <rFont val="Arial"/>
        <family val="2"/>
        <charset val="1"/>
      </rPr>
      <t xml:space="preserve">st</t>
    </r>
    <r>
      <rPr>
        <sz val="10"/>
        <rFont val="Arial"/>
        <family val="2"/>
        <charset val="1"/>
      </rPr>
      <t xml:space="preserve"> in the Japan delivery market, therefore will use the same approach also for the newer asian markets</t>
    </r>
  </si>
  <si>
    <t xml:space="preserve">this merge will also create a newer “quick commerce” segment into Uber Eats to expand its business (which is already Adj. EBITDA profitable for Delivery Hero)</t>
  </si>
  <si>
    <t xml:space="preserve">Advertising (opened in 2022) Uber Journey Ads</t>
  </si>
  <si>
    <t xml:space="preserve">Lime ?</t>
  </si>
  <si>
    <t xml:space="preserve">Delivery Hero is also more efficient in the Advertisement management (3% of revenues) therefore Uber can use their know how to increas the Advertisement impact</t>
  </si>
  <si>
    <t xml:space="preserve">surpassed the 2 B$</t>
  </si>
  <si>
    <t xml:space="preserve">Freight growth ?</t>
  </si>
  <si>
    <t xml:space="preserve">Uber to acquire Baedal Minjok (SK), Glovo, Foodora(HU), Foodpanda, Hungerstation (SA), PedidosYa, Talabat</t>
  </si>
  <si>
    <t xml:space="preserve">Adv data ?</t>
  </si>
  <si>
    <t xml:space="preserve">If it fails for regulatory reasons Uber pays Delivery Hero 700M$</t>
  </si>
  <si>
    <t xml:space="preserve">Delivery Hero has to pay Uber 200M$ if it accepts another competing offer</t>
  </si>
  <si>
    <t xml:space="preserve">MAPC</t>
  </si>
  <si>
    <t xml:space="preserve">Unique consumers that have completed a Mobility ride or a Delivery order once in a given month</t>
  </si>
  <si>
    <t xml:space="preserve">GameStop to deliver games and consoles through Uber Eats</t>
  </si>
  <si>
    <t xml:space="preserve">Gross Booking</t>
  </si>
  <si>
    <t xml:space="preserve">Total value of all UBER’s activities (including taxes, …)</t>
  </si>
  <si>
    <t xml:space="preserve">UBER to partner and invest in Zipline aiming to over 1,000,000 Uber Eats deliveries a day</t>
  </si>
  <si>
    <t xml:space="preserve">Trips</t>
  </si>
  <si>
    <t xml:space="preserve">Each completed event on Uber’s platform (ridesharing or delivery especially)</t>
  </si>
  <si>
    <t xml:space="preserve">This Investment follows Delivery Hero’s merge to increase sinergies, increase reach minimising shipping costs</t>
  </si>
  <si>
    <t xml:space="preserve">Mobility</t>
  </si>
  <si>
    <t xml:space="preserve">Connect consumers with drivers. It also contains ADV and financial partnership products.</t>
  </si>
  <si>
    <t xml:space="preserve">Delivery</t>
  </si>
  <si>
    <t xml:space="preserve">(Grocery and Retail) Food delivery form local restaurants. It also contains ADV.</t>
  </si>
  <si>
    <t xml:space="preserve">Freight</t>
  </si>
  <si>
    <t xml:space="preserve">Connects carriers with shippers, Freight financing program</t>
  </si>
  <si>
    <t xml:space="preserve">Seasonality</t>
  </si>
  <si>
    <r>
      <rPr>
        <b val="true"/>
        <sz val="10"/>
        <rFont val="Arial"/>
        <family val="2"/>
        <charset val="1"/>
      </rPr>
      <t xml:space="preserve">Mobility</t>
    </r>
    <r>
      <rPr>
        <sz val="10"/>
        <rFont val="Arial"/>
        <family val="2"/>
        <charset val="1"/>
      </rPr>
      <t xml:space="preserve"> has a higher Gross booking in Q4 and a slower demand in Q1 mainly</t>
    </r>
  </si>
  <si>
    <t xml:space="preserve">due to business demand and Holiday demand</t>
  </si>
  <si>
    <r>
      <rPr>
        <b val="true"/>
        <sz val="10"/>
        <rFont val="Arial"/>
        <family val="2"/>
        <charset val="1"/>
      </rPr>
      <t xml:space="preserve">Delivery</t>
    </r>
    <r>
      <rPr>
        <sz val="10"/>
        <rFont val="Arial"/>
        <family val="2"/>
        <charset val="1"/>
      </rPr>
      <t xml:space="preserve"> has a higher Gropss booking in Q4</t>
    </r>
  </si>
  <si>
    <t xml:space="preserve">UBER Freight</t>
  </si>
  <si>
    <r>
      <rPr>
        <sz val="10"/>
        <rFont val="Arial"/>
        <family val="2"/>
        <charset val="1"/>
      </rPr>
      <t xml:space="preserve">Despite general increase in cargo theft and frauds (18%) and increase in the total-average amount, </t>
    </r>
    <r>
      <rPr>
        <b val="true"/>
        <i val="true"/>
        <sz val="10"/>
        <rFont val="Arial"/>
        <family val="2"/>
        <charset val="1"/>
      </rPr>
      <t xml:space="preserve">UberFreightNetwork</t>
    </r>
    <r>
      <rPr>
        <sz val="10"/>
        <rFont val="Arial"/>
        <family val="2"/>
        <charset val="1"/>
      </rPr>
      <t xml:space="preserve"> is decreasing the amount of frauds (20%)</t>
    </r>
  </si>
  <si>
    <t xml:space="preserve">Truckload conditions are getting tighter, therefore more expensive. This is leading to a shift towards intermodal may be a suitable solution</t>
  </si>
  <si>
    <t xml:space="preserve">Transplace Holdings Inc.</t>
  </si>
  <si>
    <t xml:space="preserve">Q126</t>
  </si>
  <si>
    <t xml:space="preserve">Decreasing FTA (First Tender Acceptance) 92% → 85% due to higher shipping costs</t>
  </si>
  <si>
    <t xml:space="preserve"> Transplace Mexico</t>
  </si>
  <si>
    <t xml:space="preserve">on top of that Class 8 tractors’ demand is st ATH but supply is not enough (no short term relief)</t>
  </si>
  <si>
    <t xml:space="preserve"> Leancore Supply Chain Group</t>
  </si>
  <si>
    <t xml:space="preserve">LTL (Less Than truckLoad – nonfull trucks) is more expensive than ever (up 5.2% YoY) </t>
  </si>
  <si>
    <t xml:space="preserve">Aleka Insurance / Raise LLC</t>
  </si>
  <si>
    <t xml:space="preserve">Ad hoc insurance built by Uber, through Raise LLC (Uber’s arm for insurances) </t>
  </si>
  <si>
    <t xml:space="preserve">In 2021 James River made a LPT (JR paid Aleka a premium in order to take Uber’s insurance risk)</t>
  </si>
  <si>
    <t xml:space="preserve">When a drive crashes, he asks Raise for the money to pay the damages, Raise asks to </t>
  </si>
  <si>
    <t xml:space="preserve">JR, which asks to Aleka to pay. Aleka is payd by JR to bear the risk.</t>
  </si>
  <si>
    <t xml:space="preserve">News</t>
  </si>
  <si>
    <r>
      <rPr>
        <b val="true"/>
        <i val="true"/>
        <sz val="10"/>
        <rFont val="Arial"/>
        <family val="2"/>
        <charset val="1"/>
      </rPr>
      <t xml:space="preserve">Baidu</t>
    </r>
    <r>
      <rPr>
        <sz val="10"/>
        <rFont val="Arial"/>
        <family val="2"/>
        <charset val="1"/>
      </rPr>
      <t xml:space="preserve"> collaboration to deploy AV in Dubai through their subsidiary </t>
    </r>
    <r>
      <rPr>
        <b val="true"/>
        <sz val="10"/>
        <rFont val="Arial"/>
        <family val="2"/>
        <charset val="1"/>
      </rPr>
      <t xml:space="preserve">Apollo Go</t>
    </r>
  </si>
  <si>
    <t xml:space="preserve">This follows a prevoious agreement to serve the Apollo Go’s AV through the Uber App</t>
  </si>
  <si>
    <t xml:space="preserve">! REMARK</t>
  </si>
  <si>
    <t xml:space="preserve">If jurisdictions claim that UBER’s drivers should be considered </t>
  </si>
  <si>
    <t xml:space="preserve">as UBER employees and not independent contractors</t>
  </si>
  <si>
    <r>
      <rPr>
        <sz val="10"/>
        <rFont val="Arial"/>
        <family val="2"/>
        <charset val="1"/>
      </rPr>
      <t xml:space="preserve">To remain relevant they can </t>
    </r>
    <r>
      <rPr>
        <i val="true"/>
        <sz val="10"/>
        <rFont val="Arial"/>
        <family val="2"/>
        <charset val="1"/>
      </rPr>
      <t xml:space="preserve">lower fees</t>
    </r>
    <r>
      <rPr>
        <sz val="10"/>
        <rFont val="Arial"/>
        <family val="2"/>
        <charset val="1"/>
      </rPr>
      <t xml:space="preserve"> or increase </t>
    </r>
    <r>
      <rPr>
        <i val="true"/>
        <sz val="10"/>
        <rFont val="Arial"/>
        <family val="2"/>
        <charset val="1"/>
      </rPr>
      <t xml:space="preserve">Driver</t>
    </r>
    <r>
      <rPr>
        <sz val="10"/>
        <rFont val="Arial"/>
        <family val="2"/>
        <charset val="1"/>
      </rPr>
      <t xml:space="preserve"> incentives</t>
    </r>
  </si>
  <si>
    <t xml:space="preserve">High part of the stock is a bet in their R&amp;D for AV.</t>
  </si>
  <si>
    <t xml:space="preserve">They have to create the biggest synergies to speed the AV R&amp;D.</t>
  </si>
  <si>
    <t xml:space="preserve">Many governments are hostile against UBER and LYFT and whant to calssify</t>
  </si>
  <si>
    <r>
      <rPr>
        <sz val="10"/>
        <rFont val="Arial"/>
        <family val="2"/>
        <charset val="1"/>
      </rPr>
      <t xml:space="preserve">Some AV companies may need UBER’s help in order to reach the broader audience (</t>
    </r>
    <r>
      <rPr>
        <i val="true"/>
        <sz val="10"/>
        <rFont val="Arial"/>
        <family val="2"/>
        <charset val="1"/>
      </rPr>
      <t xml:space="preserve">Apollo GO)</t>
    </r>
  </si>
  <si>
    <t xml:space="preserve">Drivers as employees (Switzerland). Others rely heavely on taxi drivers (Italy)</t>
  </si>
  <si>
    <t xml:space="preserve">UBER’s main strength is it’s network effect. The more people use it, the more drivers</t>
  </si>
  <si>
    <r>
      <rPr>
        <sz val="10"/>
        <rFont val="Arial"/>
        <family val="2"/>
        <charset val="1"/>
      </rPr>
      <t xml:space="preserve">This is a </t>
    </r>
    <r>
      <rPr>
        <b val="true"/>
        <sz val="10"/>
        <rFont val="Arial"/>
        <family val="2"/>
        <charset val="1"/>
      </rPr>
      <t xml:space="preserve">huge risk factor. </t>
    </r>
    <r>
      <rPr>
        <sz val="10"/>
        <rFont val="Arial"/>
        <family val="2"/>
        <charset val="1"/>
      </rPr>
      <t xml:space="preserve">With high probability there will be more lawsuits</t>
    </r>
  </si>
  <si>
    <t xml:space="preserve">The best is the experience of the service</t>
  </si>
  <si>
    <t xml:space="preserve">And in more states UBER will have to employ its drivers</t>
  </si>
  <si>
    <t xml:space="preserve">Partnership with Nvidia for the AV race</t>
  </si>
  <si>
    <t xml:space="preserve">https://www.dir.ca.gov/dlse/Lawsuits-Uber-Lyft.html</t>
  </si>
  <si>
    <r>
      <rPr>
        <sz val="10"/>
        <rFont val="Arial"/>
        <family val="2"/>
        <charset val="1"/>
      </rPr>
      <t xml:space="preserve">The California litigation is mainly about the </t>
    </r>
    <r>
      <rPr>
        <i val="true"/>
        <sz val="10"/>
        <rFont val="Arial"/>
        <family val="2"/>
        <charset val="1"/>
      </rPr>
      <t xml:space="preserve">Proposition 22 </t>
    </r>
    <r>
      <rPr>
        <sz val="10"/>
        <rFont val="Arial"/>
        <family val="2"/>
        <charset val="1"/>
      </rPr>
      <t xml:space="preserve">which classifies</t>
    </r>
  </si>
  <si>
    <t xml:space="preserve">They also hold stakes in strategic firms in order to hold a position in the sector even in countries</t>
  </si>
  <si>
    <t xml:space="preserve">drivers as indipendent drivers but they have some benefits as 120% of base wage</t>
  </si>
  <si>
    <t xml:space="preserve">where UBER is not known or can’t operate.</t>
  </si>
  <si>
    <t xml:space="preserve">Proposition 22 states that drivers should use platforms as UBER for independent work</t>
  </si>
  <si>
    <r>
      <rPr>
        <b val="true"/>
        <sz val="10"/>
        <rFont val="Arial"/>
        <family val="2"/>
        <charset val="1"/>
      </rPr>
      <t xml:space="preserve">Careem</t>
    </r>
    <r>
      <rPr>
        <sz val="10"/>
        <rFont val="Arial"/>
        <family val="2"/>
        <charset val="1"/>
      </rPr>
      <t xml:space="preserve"> (Dubai where UBER owns only the ridesharing section. Everything else is owned by </t>
    </r>
    <r>
      <rPr>
        <i val="true"/>
        <sz val="10"/>
        <rFont val="Arial"/>
        <family val="2"/>
        <charset val="1"/>
      </rPr>
      <t xml:space="preserve">Emirates</t>
    </r>
    <r>
      <rPr>
        <sz val="10"/>
        <rFont val="Arial"/>
        <family val="2"/>
        <charset val="1"/>
      </rPr>
      <t xml:space="preserve">)</t>
    </r>
  </si>
  <si>
    <t xml:space="preserve">The ABC case has been dissolved (no longer subject of that order) but now the trial is open for the pre Proposition 22 rule in California.</t>
  </si>
  <si>
    <r>
      <rPr>
        <b val="true"/>
        <sz val="10"/>
        <rFont val="Arial"/>
        <family val="2"/>
        <charset val="1"/>
      </rPr>
      <t xml:space="preserve">Delivery Hero</t>
    </r>
    <r>
      <rPr>
        <sz val="10"/>
        <rFont val="Arial"/>
        <family val="2"/>
        <charset val="1"/>
      </rPr>
      <t xml:space="preserve"> (Taiwan with objective to buy Foodpanda – blocked by antitrust)</t>
    </r>
  </si>
  <si>
    <t xml:space="preserve">Other similar litigations ended with a settlement of a few M$</t>
  </si>
  <si>
    <r>
      <rPr>
        <b val="true"/>
        <i val="true"/>
        <sz val="10"/>
        <rFont val="Arial"/>
        <family val="2"/>
        <charset val="1"/>
      </rPr>
      <t xml:space="preserve">Grab </t>
    </r>
    <r>
      <rPr>
        <sz val="10"/>
        <rFont val="Arial"/>
        <family val="2"/>
        <charset val="1"/>
      </rPr>
      <t xml:space="preserve">to acquire Delivery Hero </t>
    </r>
  </si>
  <si>
    <t xml:space="preserve">(Massacchussets 148 M$, New York 328M$, California 8M$, New Jersey 100M$)</t>
  </si>
  <si>
    <r>
      <rPr>
        <b val="true"/>
        <strike val="true"/>
        <sz val="10"/>
        <rFont val="Arial"/>
        <family val="2"/>
        <charset val="1"/>
      </rPr>
      <t xml:space="preserve">MLU B.V.</t>
    </r>
    <r>
      <rPr>
        <strike val="true"/>
        <sz val="10"/>
        <rFont val="Arial"/>
        <family val="2"/>
        <charset val="1"/>
      </rPr>
      <t xml:space="preserve"> (Russia) → Sold in 2023</t>
    </r>
  </si>
  <si>
    <t xml:space="preserve">or get dismissed (Philadelphia)</t>
  </si>
  <si>
    <r>
      <rPr>
        <b val="true"/>
        <sz val="10"/>
        <rFont val="Arial"/>
        <family val="2"/>
        <charset val="1"/>
      </rPr>
      <t xml:space="preserve">Treydon GO</t>
    </r>
    <r>
      <rPr>
        <sz val="10"/>
        <rFont val="Arial"/>
        <family val="2"/>
        <charset val="1"/>
      </rPr>
      <t xml:space="preserve"> (Turkey version for UberEats)</t>
    </r>
  </si>
  <si>
    <t xml:space="preserve">Also in France, after many disputes, the drivers were considered as Independent Workers</t>
  </si>
  <si>
    <t xml:space="preserve">put/call option that can be exercised in 2031 Q1, it is currently recorded as RNCI</t>
  </si>
  <si>
    <r>
      <rPr>
        <b val="true"/>
        <sz val="10"/>
        <rFont val="Arial"/>
        <family val="2"/>
        <charset val="1"/>
      </rPr>
      <t xml:space="preserve">Getir</t>
    </r>
    <r>
      <rPr>
        <sz val="10"/>
        <rFont val="Arial"/>
        <family val="2"/>
        <charset val="1"/>
      </rPr>
      <t xml:space="preserve"> (acquired its delivery division for the turkish market) – </t>
    </r>
    <r>
      <rPr>
        <i val="true"/>
        <sz val="10"/>
        <rFont val="Arial"/>
        <family val="2"/>
        <charset val="1"/>
      </rPr>
      <t xml:space="preserve">Mubadala Investment Company (UAE sovreign wealth fund)</t>
    </r>
  </si>
  <si>
    <t xml:space="preserve">UBER is currently facing +3,000 alligations for sexual violence from its drivers (1 every 8 minutes for the last 5 years)</t>
  </si>
  <si>
    <t xml:space="preserve">Now Getir customers can use Getir’s “super app” (?) to order and benefit of </t>
  </si>
  <si>
    <t xml:space="preserve">BUILD america 250, no ride-hailing company shall be liable for any harm caused by vehicles or people from the app</t>
  </si>
  <si>
    <t xml:space="preserve">all the Treydon GO restaurants (435 M$)</t>
  </si>
  <si>
    <t xml:space="preserve">This applies unless wrongdoping or company’s conduct rose gross negligence </t>
  </si>
  <si>
    <r>
      <rPr>
        <b val="true"/>
        <sz val="10"/>
        <rFont val="Arial"/>
        <family val="2"/>
        <charset val="1"/>
      </rPr>
      <t xml:space="preserve">Lime </t>
    </r>
    <r>
      <rPr>
        <sz val="10"/>
        <rFont val="Arial"/>
        <family val="2"/>
        <charset val="1"/>
      </rPr>
      <t xml:space="preserve">(</t>
    </r>
    <r>
      <rPr>
        <i val="true"/>
        <sz val="10"/>
        <rFont val="Arial"/>
        <family val="2"/>
        <charset val="1"/>
      </rPr>
      <t xml:space="preserve">Neutron Technologies</t>
    </r>
    <r>
      <rPr>
        <sz val="10"/>
        <rFont val="Arial"/>
        <family val="2"/>
        <charset val="1"/>
      </rPr>
      <t xml:space="preserve">) ??</t>
    </r>
  </si>
  <si>
    <r>
      <rPr>
        <b val="true"/>
        <i val="true"/>
        <sz val="10"/>
        <rFont val="Arial"/>
        <family val="2"/>
        <charset val="1"/>
      </rPr>
      <t xml:space="preserve">UBER Elite, </t>
    </r>
    <r>
      <rPr>
        <sz val="10"/>
        <rFont val="Arial"/>
        <family val="2"/>
        <charset val="1"/>
      </rPr>
      <t xml:space="preserve">executive focused service where for an additional fee, the customer can request a newer car to be driven with (&lt;= 3 y.o.)</t>
    </r>
  </si>
  <si>
    <t xml:space="preserve">In-vehicle amenities (chargers, bottled water, towels) and 24/7 support with the cheuffer</t>
  </si>
  <si>
    <r>
      <rPr>
        <b val="true"/>
        <i val="true"/>
        <sz val="10"/>
        <rFont val="Arial"/>
        <family val="2"/>
        <charset val="1"/>
      </rPr>
      <t xml:space="preserve">Blacklane</t>
    </r>
    <r>
      <rPr>
        <sz val="10"/>
        <rFont val="Arial"/>
        <family val="2"/>
        <charset val="1"/>
      </rPr>
      <t xml:space="preserve"> to be acquired to improve the increasing demand for luxury hauls (550 M$)</t>
    </r>
  </si>
  <si>
    <r>
      <rPr>
        <b val="true"/>
        <sz val="10"/>
        <rFont val="Arial"/>
        <family val="2"/>
        <charset val="1"/>
      </rPr>
      <t xml:space="preserve">SpotHero</t>
    </r>
    <r>
      <rPr>
        <sz val="10"/>
        <rFont val="Arial"/>
        <family val="2"/>
        <charset val="1"/>
      </rPr>
      <t xml:space="preserve">, digital parking aggregator (600M$)</t>
    </r>
  </si>
  <si>
    <t xml:space="preserve">Can Issue up to 5 Billion more shares</t>
  </si>
  <si>
    <t xml:space="preserve">And up to 10 M preferred shares (currently 0)</t>
  </si>
  <si>
    <t xml:space="preserve">As of 2024 they still have to repurchase $5.8B in shares. In jan 25 they stareted ASR</t>
  </si>
  <si>
    <t xml:space="preserve">Accelerated Share Repurchase</t>
  </si>
  <si>
    <t xml:space="preserve">In Feb26 expires a 213M loan to Moove</t>
  </si>
  <si>
    <r>
      <rPr>
        <sz val="10"/>
        <rFont val="Arial"/>
        <family val="2"/>
        <charset val="1"/>
      </rPr>
      <t xml:space="preserve">Currrently developing </t>
    </r>
    <r>
      <rPr>
        <b val="true"/>
        <i val="true"/>
        <sz val="10"/>
        <rFont val="Arial"/>
        <family val="2"/>
        <charset val="1"/>
      </rPr>
      <t xml:space="preserve">UBER AI</t>
    </r>
    <r>
      <rPr>
        <sz val="10"/>
        <rFont val="Arial"/>
        <family val="2"/>
        <charset val="1"/>
      </rPr>
      <t xml:space="preserve"> Solution also to increase driver engagement and retention</t>
    </r>
  </si>
  <si>
    <t xml:space="preserve">and using genAI in order to personalise interactions and the UBER experience</t>
  </si>
  <si>
    <t xml:space="preserve">Mighty AI Gmbh</t>
  </si>
  <si>
    <t xml:space="preserve">An AV (data providen in Austin and Atlanta) does 30% more trips per vehicle per day and </t>
  </si>
  <si>
    <t xml:space="preserve">the average ETA is 25% lower.</t>
  </si>
  <si>
    <t xml:space="preserve">As of Q4 25 in Austin there is a stable demand for AV during the whole week and the Human driver</t>
  </si>
  <si>
    <t xml:space="preserve">is usefull to boost the supply to meet the overall demand.</t>
  </si>
  <si>
    <t xml:space="preserve">Given the FCF increasing, expect a buyback in shares</t>
  </si>
  <si>
    <t xml:space="preserve">Partnering with Nvidia to create real wolrd data to simulate real world scenario for training AIs</t>
  </si>
  <si>
    <t xml:space="preserve">In a few years UBER will start owning vehicles (I guess forecasting AV)</t>
  </si>
  <si>
    <t xml:space="preserve">To launch UBER Air in Dubai through Joby (electric air taxi service) after Joby’s acquisition of Blade’s passenger business</t>
  </si>
  <si>
    <t xml:space="preserve">Capri UBER Air?</t>
  </si>
  <si>
    <t xml:space="preserve">Joby has almost obtained the FAA approval for their service</t>
  </si>
  <si>
    <t xml:space="preserve">! Goal</t>
  </si>
  <si>
    <t xml:space="preserve">AV launch by end 2026 in at least 10 cities</t>
  </si>
  <si>
    <t xml:space="preserve">2026/2027 many other cities as San Francisco, Abu Dhabi, Riyadh, LA, …</t>
  </si>
  <si>
    <t xml:space="preserve">Feb 2026 started deplopyment of at least 1,200 robotaxis in ME</t>
  </si>
  <si>
    <r>
      <rPr>
        <sz val="10"/>
        <rFont val="Arial"/>
        <family val="2"/>
        <charset val="1"/>
      </rPr>
      <t xml:space="preserve">Should be completed in 2027 in collaboration with </t>
    </r>
    <r>
      <rPr>
        <b val="true"/>
        <i val="true"/>
        <sz val="10"/>
        <rFont val="Arial"/>
        <family val="2"/>
        <charset val="1"/>
      </rPr>
      <t xml:space="preserve">WeRide</t>
    </r>
  </si>
  <si>
    <r>
      <rPr>
        <sz val="10"/>
        <rFont val="Arial"/>
        <family val="2"/>
        <charset val="1"/>
      </rPr>
      <t xml:space="preserve">The UAE are aiming for at least </t>
    </r>
    <r>
      <rPr>
        <i val="true"/>
        <sz val="10"/>
        <rFont val="Arial"/>
        <family val="2"/>
        <charset val="1"/>
      </rPr>
      <t xml:space="preserve">25% of trips with AV before 2030</t>
    </r>
    <r>
      <rPr>
        <sz val="10"/>
        <rFont val="Arial"/>
        <family val="2"/>
        <charset val="1"/>
      </rPr>
      <t xml:space="preserve">. Therefore the Middle East is a must to watch for the industry</t>
    </r>
  </si>
  <si>
    <t xml:space="preserve">WeRide and Grab to start the first autonomous passenger driving in Singapore (Punggol) </t>
  </si>
  <si>
    <r>
      <rPr>
        <b val="true"/>
        <i val="true"/>
        <sz val="10"/>
        <rFont val="Arial"/>
        <family val="2"/>
        <charset val="1"/>
      </rPr>
      <t xml:space="preserve">Ai.R.</t>
    </r>
    <r>
      <rPr>
        <sz val="10"/>
        <rFont val="Arial"/>
        <family val="2"/>
        <charset val="1"/>
      </rPr>
      <t xml:space="preserve"> (Autonously Intelligent Ride) training current Grab drivers in order to become “Safety Operators” also in order to remotely operate the Avs</t>
    </r>
  </si>
  <si>
    <t xml:space="preserve">fares will be free until commercially available service in mid-2026</t>
  </si>
  <si>
    <t xml:space="preserve">(UBER holds a stake in both companies WeRide and Grab)</t>
  </si>
  <si>
    <t xml:space="preserve">UCAN</t>
  </si>
  <si>
    <t xml:space="preserve">LATAM</t>
  </si>
  <si>
    <t xml:space="preserve">EMEA</t>
  </si>
  <si>
    <t xml:space="preserve">APAC</t>
  </si>
  <si>
    <t xml:space="preserve">UCAN %</t>
  </si>
  <si>
    <t xml:space="preserve">LATAM %</t>
  </si>
  <si>
    <t xml:space="preserve">EMEA %</t>
  </si>
  <si>
    <t xml:space="preserve">APAC %</t>
  </si>
  <si>
    <t xml:space="preserve">COVID</t>
  </si>
  <si>
    <t xml:space="preserve">Q125</t>
  </si>
  <si>
    <t xml:space="preserve">Q225</t>
  </si>
  <si>
    <t xml:space="preserve">Main</t>
  </si>
  <si>
    <t xml:space="preserve">03/22</t>
  </si>
  <si>
    <t xml:space="preserve">06/22</t>
  </si>
  <si>
    <t xml:space="preserve">09/22</t>
  </si>
  <si>
    <t xml:space="preserve">12/22</t>
  </si>
  <si>
    <t xml:space="preserve">03/23</t>
  </si>
  <si>
    <t xml:space="preserve">06/23</t>
  </si>
  <si>
    <t xml:space="preserve">09/23</t>
  </si>
  <si>
    <t xml:space="preserve">12/23</t>
  </si>
  <si>
    <t xml:space="preserve">03/24</t>
  </si>
  <si>
    <t xml:space="preserve">06/24</t>
  </si>
  <si>
    <t xml:space="preserve">09/24</t>
  </si>
  <si>
    <t xml:space="preserve">12/24</t>
  </si>
  <si>
    <t xml:space="preserve">03/25</t>
  </si>
  <si>
    <t xml:space="preserve">06/25</t>
  </si>
  <si>
    <t xml:space="preserve">09/25</t>
  </si>
  <si>
    <t xml:space="preserve">12/25</t>
  </si>
  <si>
    <t xml:space="preserve">03/26</t>
  </si>
  <si>
    <t xml:space="preserve">06/26</t>
  </si>
  <si>
    <t xml:space="preserve">09/26</t>
  </si>
  <si>
    <t xml:space="preserve">12/26</t>
  </si>
  <si>
    <t xml:space="preserve">12/19</t>
  </si>
  <si>
    <t xml:space="preserve">12/20</t>
  </si>
  <si>
    <t xml:space="preserve">12/21</t>
  </si>
  <si>
    <t xml:space="preserve">12/27</t>
  </si>
  <si>
    <t xml:space="preserve">12/28</t>
  </si>
  <si>
    <t xml:space="preserve">12/29</t>
  </si>
  <si>
    <t xml:space="preserve">12/30</t>
  </si>
  <si>
    <t xml:space="preserve">in Millions</t>
  </si>
  <si>
    <t xml:space="preserve">Q122</t>
  </si>
  <si>
    <t xml:space="preserve">Q222</t>
  </si>
  <si>
    <t xml:space="preserve">Q322</t>
  </si>
  <si>
    <t xml:space="preserve">Q422</t>
  </si>
  <si>
    <t xml:space="preserve">Q123</t>
  </si>
  <si>
    <t xml:space="preserve">Q223</t>
  </si>
  <si>
    <t xml:space="preserve">Q323</t>
  </si>
  <si>
    <t xml:space="preserve">Q423</t>
  </si>
  <si>
    <t xml:space="preserve">Q124</t>
  </si>
  <si>
    <t xml:space="preserve">Q224</t>
  </si>
  <si>
    <t xml:space="preserve">Q324</t>
  </si>
  <si>
    <t xml:space="preserve">Q424</t>
  </si>
  <si>
    <t xml:space="preserve">Q325</t>
  </si>
  <si>
    <t xml:space="preserve">Q425</t>
  </si>
  <si>
    <t xml:space="preserve">Q326</t>
  </si>
  <si>
    <t xml:space="preserve">Q426</t>
  </si>
  <si>
    <t xml:space="preserve">GRAB Group MTUs</t>
  </si>
  <si>
    <t xml:space="preserve">%</t>
  </si>
  <si>
    <t xml:space="preserve">GRAB GMV</t>
  </si>
  <si>
    <t xml:space="preserve">-</t>
  </si>
  <si>
    <t xml:space="preserve">DASH Orders</t>
  </si>
  <si>
    <t xml:space="preserve">ZOOX Trips (‘000)</t>
  </si>
  <si>
    <t xml:space="preserve">Waymo Trips (‘000)</t>
  </si>
  <si>
    <t xml:space="preserve">Apollo Go (‘000)</t>
  </si>
  <si>
    <t xml:space="preserve">Tesla Robotaxi</t>
  </si>
  <si>
    <t xml:space="preserve">Texla FSD (miles)</t>
  </si>
  <si>
    <t xml:space="preserve">LYFT Trips</t>
  </si>
  <si>
    <t xml:space="preserve">LYFT Gross Book</t>
  </si>
  <si>
    <t xml:space="preserve">MAD</t>
  </si>
  <si>
    <t xml:space="preserve">Mobility GB</t>
  </si>
  <si>
    <t xml:space="preserve">Delivery GB</t>
  </si>
  <si>
    <t xml:space="preserve">Freight GB</t>
  </si>
  <si>
    <t xml:space="preserve">Uber One</t>
  </si>
  <si>
    <t xml:space="preserve">Total Take Rate</t>
  </si>
  <si>
    <t xml:space="preserve">Mobility TR</t>
  </si>
  <si>
    <t xml:space="preserve">Delivery TR</t>
  </si>
  <si>
    <t xml:space="preserve">Freight TR</t>
  </si>
  <si>
    <t xml:space="preserve">Other</t>
  </si>
  <si>
    <t xml:space="preserve">N.M.</t>
  </si>
  <si>
    <t xml:space="preserve">Revenue</t>
  </si>
  <si>
    <t xml:space="preserve">COGS</t>
  </si>
  <si>
    <t xml:space="preserve">Gross Profit</t>
  </si>
  <si>
    <t xml:space="preserve">O&amp;S</t>
  </si>
  <si>
    <t xml:space="preserve">S&amp;M</t>
  </si>
  <si>
    <t xml:space="preserve">R&amp;D</t>
  </si>
  <si>
    <t xml:space="preserve">G&amp;A</t>
  </si>
  <si>
    <t xml:space="preserve">OpEx</t>
  </si>
  <si>
    <t xml:space="preserve">OpInc / EBIT</t>
  </si>
  <si>
    <t xml:space="preserve">Interest Exp</t>
  </si>
  <si>
    <t xml:space="preserve">Pretax</t>
  </si>
  <si>
    <t xml:space="preserve">Taxes</t>
  </si>
  <si>
    <t xml:space="preserve">Loss from invest</t>
  </si>
  <si>
    <t xml:space="preserve">Pre NCI</t>
  </si>
  <si>
    <t xml:space="preserve">NCI</t>
  </si>
  <si>
    <t xml:space="preserve">Net Inc</t>
  </si>
  <si>
    <t xml:space="preserve">EPS</t>
  </si>
  <si>
    <t xml:space="preserve">Shares</t>
  </si>
  <si>
    <t xml:space="preserve">Gross Margin</t>
  </si>
  <si>
    <t xml:space="preserve">Op Margin</t>
  </si>
  <si>
    <t xml:space="preserve">NI Margin</t>
  </si>
  <si>
    <t xml:space="preserve">Tax Rate</t>
  </si>
  <si>
    <t xml:space="preserve">Gordon Growth Model</t>
  </si>
  <si>
    <t xml:space="preserve">Incremental Margin</t>
  </si>
  <si>
    <t xml:space="preserve">Terminal</t>
  </si>
  <si>
    <t xml:space="preserve">Payout Ratio</t>
  </si>
  <si>
    <t xml:space="preserve">Discount</t>
  </si>
  <si>
    <t xml:space="preserve">Sustained Growth</t>
  </si>
  <si>
    <t xml:space="preserve">ROIC</t>
  </si>
  <si>
    <t xml:space="preserve">Equity Value</t>
  </si>
  <si>
    <t xml:space="preserve">NWC</t>
  </si>
  <si>
    <t xml:space="preserve">NPV</t>
  </si>
  <si>
    <t xml:space="preserve">Just. P/E</t>
  </si>
  <si>
    <t xml:space="preserve">ROA</t>
  </si>
  <si>
    <t xml:space="preserve">ROE</t>
  </si>
  <si>
    <t xml:space="preserve">Diff</t>
  </si>
  <si>
    <t xml:space="preserve">Dividend Yield</t>
  </si>
  <si>
    <t xml:space="preserve">A. Turnover</t>
  </si>
  <si>
    <t xml:space="preserve">Debt-to-EBITDA</t>
  </si>
  <si>
    <t xml:space="preserve">Financial Leverage</t>
  </si>
  <si>
    <t xml:space="preserve">Financial Leverage %</t>
  </si>
  <si>
    <t xml:space="preserve">NOPAT</t>
  </si>
  <si>
    <t xml:space="preserve">Debt (-)</t>
  </si>
  <si>
    <t xml:space="preserve">EBITDA</t>
  </si>
  <si>
    <t xml:space="preserve">Cash (+)</t>
  </si>
  <si>
    <t xml:space="preserve">Adj. EBITDA</t>
  </si>
  <si>
    <t xml:space="preserve">Book Value</t>
  </si>
  <si>
    <t xml:space="preserve">TV</t>
  </si>
  <si>
    <t xml:space="preserve">UFCF</t>
  </si>
  <si>
    <t xml:space="preserve">Inv. Capital</t>
  </si>
  <si>
    <t xml:space="preserve">Mobility %</t>
  </si>
  <si>
    <t xml:space="preserve">Delivery %</t>
  </si>
  <si>
    <t xml:space="preserve">Freight %</t>
  </si>
  <si>
    <t xml:space="preserve">Net Cash</t>
  </si>
  <si>
    <t xml:space="preserve">Investments</t>
  </si>
  <si>
    <t xml:space="preserve">Short Investments</t>
  </si>
  <si>
    <t xml:space="preserve">A/R</t>
  </si>
  <si>
    <t xml:space="preserve">Prepaid Exp</t>
  </si>
  <si>
    <t xml:space="preserve">PP&amp;E</t>
  </si>
  <si>
    <t xml:space="preserve">Op Lease ROU</t>
  </si>
  <si>
    <t xml:space="preserve">Intangible</t>
  </si>
  <si>
    <t xml:space="preserve">Goodwill</t>
  </si>
  <si>
    <t xml:space="preserve">D/T</t>
  </si>
  <si>
    <t xml:space="preserve">A</t>
  </si>
  <si>
    <t xml:space="preserve">A/P</t>
  </si>
  <si>
    <t xml:space="preserve">Insurance (non – Curr)</t>
  </si>
  <si>
    <t xml:space="preserve">Insurance (Curr)</t>
  </si>
  <si>
    <t xml:space="preserve">Lease</t>
  </si>
  <si>
    <t xml:space="preserve">L</t>
  </si>
  <si>
    <t xml:space="preserve">Stock</t>
  </si>
  <si>
    <t xml:space="preserve">APIC</t>
  </si>
  <si>
    <t xml:space="preserve">Other loss</t>
  </si>
  <si>
    <t xml:space="preserve">Deficit</t>
  </si>
  <si>
    <t xml:space="preserve">NRNCI</t>
  </si>
  <si>
    <t xml:space="preserve">RNCI</t>
  </si>
  <si>
    <t xml:space="preserve">SE</t>
  </si>
  <si>
    <t xml:space="preserve">L+SE</t>
  </si>
  <si>
    <t xml:space="preserve">Model NI</t>
  </si>
  <si>
    <t xml:space="preserve">D&amp;A</t>
  </si>
  <si>
    <t xml:space="preserve">SBC</t>
  </si>
  <si>
    <t xml:space="preserve">Url. Loss</t>
  </si>
  <si>
    <t xml:space="preserve">Unrl. FX transaction</t>
  </si>
  <si>
    <t xml:space="preserve">Prepaid</t>
  </si>
  <si>
    <t xml:space="preserve">Accr. Insurance</t>
  </si>
  <si>
    <t xml:space="preserve">Accr. Exp</t>
  </si>
  <si>
    <t xml:space="preserve">Op. Lease</t>
  </si>
  <si>
    <t xml:space="preserve">CFFO</t>
  </si>
  <si>
    <t xml:space="preserve">CapEx</t>
  </si>
  <si>
    <t xml:space="preserve">FCF</t>
  </si>
  <si>
    <t xml:space="preserve">FCF/share</t>
  </si>
  <si>
    <t xml:space="preserve">Employees</t>
  </si>
  <si>
    <t xml:space="preserve">Rev / Employees</t>
  </si>
  <si>
    <t xml:space="preserve">Advertisement</t>
  </si>
  <si>
    <t xml:space="preserve">ADV Y/Y</t>
  </si>
  <si>
    <t xml:space="preserve">DSO</t>
  </si>
  <si>
    <t xml:space="preserve">DPO</t>
  </si>
  <si>
    <t xml:space="preserve">CCC</t>
  </si>
  <si>
    <t xml:space="preserve">Marketable Securities</t>
  </si>
  <si>
    <t xml:space="preserve"> Didi</t>
  </si>
  <si>
    <t xml:space="preserve"> Grab</t>
  </si>
  <si>
    <t xml:space="preserve"> Aurora</t>
  </si>
  <si>
    <t xml:space="preserve"> Other</t>
  </si>
  <si>
    <t xml:space="preserve">Non Mark. Securities</t>
  </si>
  <si>
    <t xml:space="preserve">Didi</t>
  </si>
  <si>
    <t xml:space="preserve">Notes</t>
  </si>
  <si>
    <t xml:space="preserve">13 F</t>
  </si>
  <si>
    <t xml:space="preserve">Aurora Innovation</t>
  </si>
  <si>
    <t xml:space="preserve">Grab Holding</t>
  </si>
  <si>
    <t xml:space="preserve">Joby Aviation</t>
  </si>
  <si>
    <t xml:space="preserve">Serve Robotics</t>
  </si>
  <si>
    <t xml:space="preserve">Marqeta</t>
  </si>
  <si>
    <t xml:space="preserve">Lucid Group</t>
  </si>
  <si>
    <t xml:space="preserve">WeRide</t>
  </si>
  <si>
    <t xml:space="preserve">Share Issued</t>
  </si>
  <si>
    <t xml:space="preserve">Share Repurchase</t>
  </si>
  <si>
    <t xml:space="preserve">Dividends</t>
  </si>
  <si>
    <t xml:space="preserve">Total Sh Return</t>
  </si>
  <si>
    <t xml:space="preserve">isin</t>
  </si>
  <si>
    <t xml:space="preserve">bondType</t>
  </si>
  <si>
    <t xml:space="preserve">immediateIssuer</t>
  </si>
  <si>
    <t xml:space="preserve">coupon</t>
  </si>
  <si>
    <t xml:space="preserve">couponType</t>
  </si>
  <si>
    <t xml:space="preserve">maturityDate</t>
  </si>
  <si>
    <t xml:space="preserve">callable</t>
  </si>
  <si>
    <t xml:space="preserve">currency</t>
  </si>
  <si>
    <t xml:space="preserve">seniorityLevel</t>
  </si>
  <si>
    <t xml:space="preserve">liquidityScore</t>
  </si>
  <si>
    <t xml:space="preserve">US90353TAR14</t>
  </si>
  <si>
    <t xml:space="preserve">—</t>
  </si>
  <si>
    <t xml:space="preserve">Uber Technologies, Inc.</t>
  </si>
  <si>
    <t xml:space="preserve">Non-Interest-Bearing</t>
  </si>
  <si>
    <t xml:space="preserve">15/05/2028</t>
  </si>
  <si>
    <t xml:space="preserve">N</t>
  </si>
  <si>
    <t xml:space="preserve">USD</t>
  </si>
  <si>
    <t xml:space="preserve">Senior</t>
  </si>
  <si>
    <t xml:space="preserve">Zero-coupon bond backed by Aurora stocks priced at 8.50$ a share</t>
  </si>
  <si>
    <t xml:space="preserve">US90353TAM27</t>
  </si>
  <si>
    <t xml:space="preserve">Fixed Listing</t>
  </si>
  <si>
    <t xml:space="preserve">01/12/2028</t>
  </si>
  <si>
    <t xml:space="preserve">convertible bond with a conversion price of 72.54$. If the stock trades at 94.30$ for 20 trading days it can be redeemed.</t>
  </si>
  <si>
    <t xml:space="preserve">US90353TAK60</t>
  </si>
  <si>
    <t xml:space="preserve">15/08/2029</t>
  </si>
  <si>
    <t xml:space="preserve">Y</t>
  </si>
  <si>
    <t xml:space="preserve">USU9029YAG53</t>
  </si>
  <si>
    <t xml:space="preserve">US90353TAN00</t>
  </si>
  <si>
    <t xml:space="preserve">15/01/2030</t>
  </si>
  <si>
    <t xml:space="preserve">US90353TAT79</t>
  </si>
  <si>
    <t xml:space="preserve">15/01/2031</t>
  </si>
  <si>
    <t xml:space="preserve">US90353TAP57</t>
  </si>
  <si>
    <t xml:space="preserve">15/09/2034</t>
  </si>
  <si>
    <t xml:space="preserve">US90353TAU43</t>
  </si>
  <si>
    <t xml:space="preserve">15/09/2035</t>
  </si>
  <si>
    <t xml:space="preserve">US90353TAQ31</t>
  </si>
  <si>
    <t xml:space="preserve">15/09/2054</t>
  </si>
  <si>
    <t xml:space="preserve">auditor</t>
  </si>
  <si>
    <t xml:space="preserve">PwC</t>
  </si>
  <si>
    <t xml:space="preserve">EPS instead of adj. EBITDA and adj. EBITDA less SBC</t>
  </si>
  <si>
    <t xml:space="preserve">EPS will account for 60% of compensation bonus, Gross Booking 30%</t>
  </si>
  <si>
    <t xml:space="preserve">shifting to a 3 years NON-GAAP bonus compensation instead of annual adj. EBITDA margin</t>
  </si>
  <si>
    <t xml:space="preserve">90% of SBC will be based on financial performance, therefore they consider this the main long-term driver</t>
  </si>
  <si>
    <t xml:space="preserve">SBC liked to increase in safety in their departments (Delivery, Mobility, Freight) – 10% compensation</t>
  </si>
  <si>
    <t xml:space="preserve">Cybersecurity</t>
  </si>
  <si>
    <t xml:space="preserve">Nikesh Arora (Palo Alto Networks CEO) expertise in AI cybersecurity</t>
  </si>
  <si>
    <t xml:space="preserve">AV Transparency</t>
  </si>
  <si>
    <t xml:space="preserve">More transparency in the Autonomous, Mobility and Delivery safety guidelines (AM&amp;D)</t>
  </si>
  <si>
    <t xml:space="preserve">AM&amp;D safety program to govern partner deployment for future AV</t>
  </si>
  <si>
    <t xml:space="preserve">Electrification Strategy</t>
  </si>
  <si>
    <t xml:space="preserve">publishing the Electrification Update in order to focus more on EV and less on “Green Vehicles”</t>
  </si>
  <si>
    <t xml:space="preserve">2040 net-zero goal</t>
  </si>
  <si>
    <r>
      <rPr>
        <sz val="10"/>
        <rFont val="Arial"/>
        <family val="2"/>
        <charset val="1"/>
      </rPr>
      <t xml:space="preserve">The Board is aiming to partner with the highest amount of AV companies possible (and often investing in them) in order to have a competitive advantage as soon as someone reahces a </t>
    </r>
    <r>
      <rPr>
        <b val="true"/>
        <i val="true"/>
        <sz val="10"/>
        <rFont val="Arial"/>
        <family val="2"/>
        <charset val="1"/>
      </rPr>
      <t xml:space="preserve">level 5 automation.</t>
    </r>
  </si>
  <si>
    <t xml:space="preserve">6% of UBER is owned by the Public Investment Fund (Saudi’s investment fund)</t>
  </si>
</sst>
</file>

<file path=xl/styles.xml><?xml version="1.0" encoding="utf-8"?>
<styleSheet xmlns="http://schemas.openxmlformats.org/spreadsheetml/2006/main">
  <numFmts count="22">
    <numFmt numFmtId="164" formatCode="General"/>
    <numFmt numFmtId="165" formatCode="#,##0;\(#,##0\);\-"/>
    <numFmt numFmtId="166" formatCode="0.00%;\(0.00%\);\-"/>
    <numFmt numFmtId="167" formatCode="#,##0"/>
    <numFmt numFmtId="168" formatCode="0.00"/>
    <numFmt numFmtId="169" formatCode="#,##0\x"/>
    <numFmt numFmtId="170" formatCode="#,##0.0"/>
    <numFmt numFmtId="171" formatCode="#\x"/>
    <numFmt numFmtId="172" formatCode="0.00%"/>
    <numFmt numFmtId="173" formatCode="0.0%"/>
    <numFmt numFmtId="174" formatCode="#,##0.00"/>
    <numFmt numFmtId="175" formatCode="#%"/>
    <numFmt numFmtId="176" formatCode="#,##0.00\x"/>
    <numFmt numFmtId="177" formatCode="mm/dd/yy"/>
    <numFmt numFmtId="178" formatCode="0.00%;\(0.00%\)"/>
    <numFmt numFmtId="179" formatCode="mm/dd"/>
    <numFmt numFmtId="180" formatCode="#,##0;\-#,##0"/>
    <numFmt numFmtId="181" formatCode="#,###.0"/>
    <numFmt numFmtId="182" formatCode="0.00&quot;bp&quot;"/>
    <numFmt numFmtId="183" formatCode="#,##0.00;\(#,##0.00\)"/>
    <numFmt numFmtId="184" formatCode="0%"/>
    <numFmt numFmtId="185" formatCode="#,##0.00;[RED]\-#,##0.00"/>
  </numFmts>
  <fonts count="32">
    <font>
      <sz val="10"/>
      <name val="Arial"/>
      <family val="2"/>
      <charset val="1"/>
    </font>
    <font>
      <sz val="10"/>
      <name val="Arial"/>
      <family val="0"/>
    </font>
    <font>
      <sz val="10"/>
      <name val="Arial"/>
      <family val="0"/>
    </font>
    <font>
      <sz val="10"/>
      <name val="Arial"/>
      <family val="0"/>
    </font>
    <font>
      <b val="true"/>
      <i val="true"/>
      <sz val="10"/>
      <name val="Arial"/>
      <family val="2"/>
      <charset val="1"/>
    </font>
    <font>
      <sz val="11"/>
      <name val="Arial"/>
      <family val="2"/>
      <charset val="1"/>
    </font>
    <font>
      <b val="true"/>
      <sz val="13"/>
      <name val="Arial"/>
      <family val="2"/>
      <charset val="1"/>
    </font>
    <font>
      <i val="true"/>
      <sz val="10"/>
      <name val="Arial"/>
      <family val="2"/>
      <charset val="1"/>
    </font>
    <font>
      <b val="true"/>
      <sz val="10"/>
      <name val="Arial"/>
      <family val="2"/>
      <charset val="1"/>
    </font>
    <font>
      <sz val="13"/>
      <name val="Arial"/>
      <family val="2"/>
      <charset val="1"/>
    </font>
    <font>
      <b val="true"/>
      <i val="true"/>
      <vertAlign val="superscript"/>
      <sz val="10"/>
      <name val="Arial"/>
      <family val="2"/>
      <charset val="1"/>
    </font>
    <font>
      <sz val="10"/>
      <color rgb="FF0000FF"/>
      <name val="Arial"/>
      <family val="2"/>
      <charset val="1"/>
    </font>
    <font>
      <i val="true"/>
      <sz val="8"/>
      <color rgb="FF808080"/>
      <name val="Arial"/>
      <family val="2"/>
      <charset val="1"/>
    </font>
    <font>
      <vertAlign val="superscript"/>
      <sz val="10"/>
      <name val="Arial"/>
      <family val="2"/>
      <charset val="1"/>
    </font>
    <font>
      <i val="true"/>
      <sz val="10"/>
      <color rgb="FF808080"/>
      <name val="Arial"/>
      <family val="2"/>
      <charset val="1"/>
    </font>
    <font>
      <i val="true"/>
      <sz val="8"/>
      <color rgb="FF666666"/>
      <name val="Arial"/>
      <family val="2"/>
      <charset val="1"/>
    </font>
    <font>
      <sz val="11"/>
      <color rgb="FF000000"/>
      <name val="Arial"/>
      <family val="2"/>
      <charset val="1"/>
    </font>
    <font>
      <strike val="true"/>
      <sz val="10"/>
      <name val="Arial"/>
      <family val="2"/>
      <charset val="1"/>
    </font>
    <font>
      <b val="true"/>
      <strike val="true"/>
      <sz val="10"/>
      <name val="Arial"/>
      <family val="2"/>
      <charset val="1"/>
    </font>
    <font>
      <sz val="12"/>
      <name val="Arial"/>
      <family val="2"/>
      <charset val="1"/>
    </font>
    <font>
      <i val="true"/>
      <sz val="8"/>
      <name val="Arial"/>
      <family val="2"/>
      <charset val="1"/>
    </font>
    <font>
      <i val="true"/>
      <sz val="9"/>
      <name val="Arial"/>
      <family val="2"/>
      <charset val="1"/>
    </font>
    <font>
      <sz val="9"/>
      <name val="Arial"/>
      <family val="2"/>
      <charset val="1"/>
    </font>
    <font>
      <b val="true"/>
      <i val="true"/>
      <sz val="8"/>
      <color rgb="FF808080"/>
      <name val="Arial"/>
      <family val="2"/>
      <charset val="1"/>
    </font>
    <font>
      <sz val="10"/>
      <name val="Arial"/>
      <family val="2"/>
    </font>
    <font>
      <sz val="13"/>
      <color rgb="FF000000"/>
      <name val="Arial"/>
      <family val="2"/>
    </font>
    <font>
      <sz val="10"/>
      <color rgb="FF000000"/>
      <name val="Arial"/>
      <family val="2"/>
    </font>
    <font>
      <b val="true"/>
      <sz val="11"/>
      <color rgb="FF4B4B4B"/>
      <name val="Arial"/>
      <family val="2"/>
      <charset val="1"/>
    </font>
    <font>
      <sz val="11"/>
      <color rgb="FF4B4B4B"/>
      <name val="Arial"/>
      <family val="2"/>
      <charset val="1"/>
    </font>
    <font>
      <sz val="12"/>
      <color rgb="FF000000"/>
      <name val="Arial"/>
      <family val="0"/>
    </font>
    <font>
      <sz val="12"/>
      <color rgb="FF000000"/>
      <name val="Times New Roman"/>
      <family val="0"/>
    </font>
    <font>
      <i val="true"/>
      <sz val="12"/>
      <color rgb="FF000000"/>
      <name val="Arial"/>
      <family val="0"/>
    </font>
  </fonts>
  <fills count="10">
    <fill>
      <patternFill patternType="none"/>
    </fill>
    <fill>
      <patternFill patternType="gray125"/>
    </fill>
    <fill>
      <patternFill patternType="solid">
        <fgColor rgb="FFCCCCCC"/>
        <bgColor rgb="FFDDDDDD"/>
      </patternFill>
    </fill>
    <fill>
      <patternFill patternType="solid">
        <fgColor rgb="FFDDDDDD"/>
        <bgColor rgb="FFE1E1E1"/>
      </patternFill>
    </fill>
    <fill>
      <patternFill patternType="solid">
        <fgColor rgb="FFEEEEEE"/>
        <bgColor rgb="FFF5F5F5"/>
      </patternFill>
    </fill>
    <fill>
      <patternFill patternType="solid">
        <fgColor rgb="FFFFD320"/>
        <bgColor rgb="FFFFFF00"/>
      </patternFill>
    </fill>
    <fill>
      <patternFill patternType="solid">
        <fgColor rgb="FFB2B2B2"/>
        <bgColor rgb="FFB3B3B3"/>
      </patternFill>
    </fill>
    <fill>
      <patternFill patternType="solid">
        <fgColor rgb="FFE1E1E1"/>
        <bgColor rgb="FFDDDDDD"/>
      </patternFill>
    </fill>
    <fill>
      <patternFill patternType="solid">
        <fgColor rgb="FFF5F5F5"/>
        <bgColor rgb="FFEEEEEE"/>
      </patternFill>
    </fill>
    <fill>
      <patternFill patternType="solid">
        <fgColor rgb="FFFFFFFF"/>
        <bgColor rgb="FFF5F5F5"/>
      </patternFill>
    </fill>
  </fills>
  <borders count="8">
    <border diagonalUp="false" diagonalDown="false">
      <left/>
      <right/>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cellStyleXfs>
  <cellXfs count="1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0" fillId="2"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1" fontId="6" fillId="0" borderId="0" xfId="0" applyFont="true" applyBorder="false" applyAlignment="true" applyProtection="true">
      <alignment horizontal="general" vertical="bottom" textRotation="0" wrapText="false" indent="0" shrinkToFit="false"/>
      <protection locked="true" hidden="false"/>
    </xf>
    <xf numFmtId="172" fontId="6" fillId="3" borderId="0" xfId="0" applyFont="true" applyBorder="false" applyAlignment="true" applyProtection="true">
      <alignment horizontal="general" vertical="bottom" textRotation="0" wrapText="false" indent="0" shrinkToFit="false"/>
      <protection locked="true" hidden="false"/>
    </xf>
    <xf numFmtId="173" fontId="6" fillId="3" borderId="0" xfId="0" applyFont="true" applyBorder="false" applyAlignment="true" applyProtection="true">
      <alignment horizontal="general" vertical="bottom" textRotation="0" wrapText="false" indent="0" shrinkToFit="false"/>
      <protection locked="true" hidden="false"/>
    </xf>
    <xf numFmtId="174" fontId="6" fillId="0" borderId="0" xfId="0" applyFont="true" applyBorder="false" applyAlignment="true" applyProtection="true">
      <alignment horizontal="general" vertical="bottom" textRotation="0" wrapText="false" indent="0" shrinkToFit="false"/>
      <protection locked="true" hidden="false"/>
    </xf>
    <xf numFmtId="175" fontId="0" fillId="0" borderId="0" xfId="0" applyFont="true" applyBorder="false" applyAlignment="true" applyProtection="true">
      <alignment horizontal="general" vertical="bottom" textRotation="0" wrapText="false" indent="0" shrinkToFit="false"/>
      <protection locked="true" hidden="false"/>
    </xf>
    <xf numFmtId="175" fontId="6" fillId="0" borderId="0" xfId="0" applyFont="true" applyBorder="false" applyAlignment="true" applyProtection="true">
      <alignment horizontal="general" vertical="bottom" textRotation="0" wrapText="false" indent="0" shrinkToFit="false"/>
      <protection locked="true" hidden="false"/>
    </xf>
    <xf numFmtId="171" fontId="6"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76" fontId="6"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2"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77" fontId="0" fillId="0" borderId="0" xfId="0" applyFont="true" applyBorder="false" applyAlignment="true" applyProtection="true">
      <alignment horizontal="lef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78" fontId="7" fillId="0" borderId="0" xfId="0" applyFont="true" applyBorder="false" applyAlignment="true" applyProtection="true">
      <alignment horizontal="general" vertical="bottom" textRotation="0" wrapText="false" indent="0" shrinkToFit="false"/>
      <protection locked="true" hidden="false"/>
    </xf>
    <xf numFmtId="175" fontId="7" fillId="0" borderId="0" xfId="0" applyFont="true" applyBorder="false" applyAlignment="true" applyProtection="true">
      <alignment horizontal="general" vertical="bottom" textRotation="0" wrapText="false" indent="0" shrinkToFit="false"/>
      <protection locked="true" hidden="false"/>
    </xf>
    <xf numFmtId="178" fontId="0" fillId="0" borderId="0" xfId="0" applyFont="true" applyBorder="false" applyAlignment="true" applyProtection="true">
      <alignment horizontal="center"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79" fontId="19" fillId="0" borderId="0" xfId="0" applyFont="true" applyBorder="false" applyAlignment="true" applyProtection="true">
      <alignment horizontal="right"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80" fontId="0" fillId="0" borderId="0" xfId="0" applyFont="true" applyBorder="false" applyAlignment="true" applyProtection="true">
      <alignment horizontal="left" vertical="bottom" textRotation="0" wrapText="false" indent="0" shrinkToFit="false"/>
      <protection locked="true" hidden="false"/>
    </xf>
    <xf numFmtId="180" fontId="0" fillId="0" borderId="0" xfId="0" applyFont="true" applyBorder="false" applyAlignment="true" applyProtection="true">
      <alignment horizontal="right" vertical="bottom" textRotation="0" wrapText="false" indent="0" shrinkToFit="false"/>
      <protection locked="true" hidden="false"/>
    </xf>
    <xf numFmtId="172" fontId="12"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72" fontId="12" fillId="0" borderId="0" xfId="0" applyFont="true" applyBorder="false" applyAlignment="true" applyProtection="true">
      <alignment horizontal="left" vertical="bottom" textRotation="0" wrapText="false" indent="0" shrinkToFit="false"/>
      <protection locked="true" hidden="false"/>
    </xf>
    <xf numFmtId="165" fontId="0" fillId="2" borderId="0" xfId="0" applyFont="true" applyBorder="false" applyAlignment="true" applyProtection="true">
      <alignment horizontal="right"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72" fontId="20" fillId="0" borderId="0" xfId="0" applyFont="true" applyBorder="false" applyAlignment="true" applyProtection="true">
      <alignment horizontal="left" vertical="bottom" textRotation="0" wrapText="false" indent="0" shrinkToFit="false"/>
      <protection locked="true" hidden="false"/>
    </xf>
    <xf numFmtId="172" fontId="20" fillId="0" borderId="0" xfId="0" applyFont="true" applyBorder="false" applyAlignment="true" applyProtection="true">
      <alignment horizontal="right" vertical="bottom" textRotation="0" wrapText="false" indent="0" shrinkToFit="false"/>
      <protection locked="true" hidden="false"/>
    </xf>
    <xf numFmtId="172" fontId="20"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right" vertical="bottom" textRotation="0" wrapText="false" indent="0" shrinkToFit="false"/>
      <protection locked="true" hidden="false"/>
    </xf>
    <xf numFmtId="181" fontId="0" fillId="4" borderId="0" xfId="0" applyFont="true" applyBorder="false" applyAlignment="true" applyProtection="true">
      <alignment horizontal="left" vertical="bottom" textRotation="0" wrapText="false" indent="0" shrinkToFit="false"/>
      <protection locked="true" hidden="false"/>
    </xf>
    <xf numFmtId="181" fontId="0" fillId="0" borderId="0" xfId="0" applyFont="true" applyBorder="false" applyAlignment="true" applyProtection="true">
      <alignment horizontal="right" vertical="bottom" textRotation="0" wrapText="false" indent="0" shrinkToFit="false"/>
      <protection locked="true" hidden="false"/>
    </xf>
    <xf numFmtId="167" fontId="0" fillId="4"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right" vertical="bottom" textRotation="0" wrapText="false" indent="0" shrinkToFit="false"/>
      <protection locked="true" hidden="false"/>
    </xf>
    <xf numFmtId="167" fontId="0" fillId="0" borderId="0" xfId="0" applyFont="true" applyBorder="false" applyAlignment="true" applyProtection="true">
      <alignment horizontal="center" vertical="bottom" textRotation="0" wrapText="false" indent="0" shrinkToFit="false"/>
      <protection locked="true" hidden="false"/>
    </xf>
    <xf numFmtId="178"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5" fontId="21" fillId="0" borderId="0" xfId="0" applyFont="true" applyBorder="false" applyAlignment="true" applyProtection="true">
      <alignment horizontal="general" vertical="bottom" textRotation="0" wrapText="false" indent="0" shrinkToFit="false"/>
      <protection locked="true" hidden="false"/>
    </xf>
    <xf numFmtId="165" fontId="22" fillId="0" borderId="0" xfId="0" applyFont="true" applyBorder="false" applyAlignment="true" applyProtection="true">
      <alignment horizontal="general" vertical="bottom" textRotation="0" wrapText="false" indent="0" shrinkToFit="false"/>
      <protection locked="true" hidden="false"/>
    </xf>
    <xf numFmtId="167" fontId="0" fillId="4"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78" fontId="21" fillId="0" borderId="0" xfId="0" applyFont="true" applyBorder="false" applyAlignment="true" applyProtection="true">
      <alignment horizontal="right" vertical="bottom" textRotation="0" wrapText="false" indent="0" shrinkToFit="false"/>
      <protection locked="true" hidden="false"/>
    </xf>
    <xf numFmtId="178" fontId="21" fillId="0" borderId="0" xfId="0" applyFont="true" applyBorder="false" applyAlignment="true" applyProtection="true">
      <alignment horizontal="general" vertical="bottom" textRotation="0" wrapText="false" indent="0" shrinkToFit="false"/>
      <protection locked="true" hidden="false"/>
    </xf>
    <xf numFmtId="165" fontId="21" fillId="0" borderId="0" xfId="0" applyFont="true" applyBorder="false" applyAlignment="true" applyProtection="true">
      <alignment horizontal="left" vertical="bottom" textRotation="0" wrapText="false" indent="0" shrinkToFit="false"/>
      <protection locked="true" hidden="false"/>
    </xf>
    <xf numFmtId="165" fontId="21" fillId="0" borderId="0" xfId="0" applyFont="true" applyBorder="false" applyAlignment="true" applyProtection="true">
      <alignment horizontal="right" vertical="bottom" textRotation="0" wrapText="false" indent="0" shrinkToFit="false"/>
      <protection locked="true" hidden="false"/>
    </xf>
    <xf numFmtId="172" fontId="21" fillId="0" borderId="0" xfId="0" applyFont="true" applyBorder="false" applyAlignment="true" applyProtection="true">
      <alignment horizontal="general" vertical="bottom" textRotation="0" wrapText="false" indent="0" shrinkToFit="false"/>
      <protection locked="true" hidden="false"/>
    </xf>
    <xf numFmtId="166" fontId="21" fillId="0" borderId="0" xfId="0" applyFont="true" applyBorder="false" applyAlignment="true" applyProtection="true">
      <alignment horizontal="general" vertical="bottom" textRotation="0" wrapText="false" indent="0" shrinkToFit="false"/>
      <protection locked="true" hidden="false"/>
    </xf>
    <xf numFmtId="166" fontId="22" fillId="0" borderId="0" xfId="0" applyFont="true" applyBorder="false" applyAlignment="true" applyProtection="true">
      <alignment horizontal="general" vertical="bottom" textRotation="0" wrapText="false" indent="0" shrinkToFit="false"/>
      <protection locked="true" hidden="false"/>
    </xf>
    <xf numFmtId="178" fontId="7" fillId="0" borderId="0" xfId="0" applyFont="true" applyBorder="false" applyAlignment="true" applyProtection="true">
      <alignment horizontal="right"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82" fontId="15" fillId="0" borderId="0" xfId="0" applyFont="true" applyBorder="false" applyAlignment="true" applyProtection="true">
      <alignment horizontal="general" vertical="bottom" textRotation="0" wrapText="fals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72" fontId="23" fillId="0" borderId="0" xfId="0" applyFont="true" applyBorder="fals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83" fontId="8" fillId="0" borderId="0" xfId="0" applyFont="true" applyBorder="false" applyAlignment="true" applyProtection="true">
      <alignment horizontal="general" vertical="bottom" textRotation="0" wrapText="false" indent="0" shrinkToFit="false"/>
      <protection locked="true" hidden="false"/>
    </xf>
    <xf numFmtId="183" fontId="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true" applyBorder="false" applyAlignment="true" applyProtection="true">
      <alignment horizontal="general" vertical="bottom" textRotation="0" wrapText="false" indent="0" shrinkToFit="false"/>
      <protection locked="true" hidden="false"/>
    </xf>
    <xf numFmtId="178" fontId="21" fillId="5"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73" fontId="7" fillId="0" borderId="0" xfId="0" applyFont="true" applyBorder="false" applyAlignment="true" applyProtection="true">
      <alignment horizontal="general" vertical="bottom" textRotation="0" wrapText="false" indent="0" shrinkToFit="false"/>
      <protection locked="true" hidden="false"/>
    </xf>
    <xf numFmtId="178" fontId="7" fillId="6" borderId="1" xfId="0" applyFont="true" applyBorder="true" applyAlignment="true" applyProtection="true">
      <alignment horizontal="general" vertical="bottom" textRotation="0" wrapText="false" indent="0" shrinkToFit="false"/>
      <protection locked="true" hidden="false"/>
    </xf>
    <xf numFmtId="184" fontId="7" fillId="6" borderId="2" xfId="0" applyFont="true" applyBorder="true" applyAlignment="true" applyProtection="true">
      <alignment horizontal="general" vertical="bottom" textRotation="0" wrapText="false" indent="0" shrinkToFit="false"/>
      <protection locked="true" hidden="false"/>
    </xf>
    <xf numFmtId="178" fontId="4" fillId="0" borderId="0" xfId="0" applyFont="true" applyBorder="false" applyAlignment="true" applyProtection="true">
      <alignment horizontal="general" vertical="bottom" textRotation="0" wrapText="false" indent="0" shrinkToFit="false"/>
      <protection locked="true" hidden="false"/>
    </xf>
    <xf numFmtId="178" fontId="0"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78" fontId="7" fillId="3" borderId="3" xfId="0" applyFont="true" applyBorder="true" applyAlignment="true" applyProtection="true">
      <alignment horizontal="general" vertical="bottom" textRotation="0" wrapText="false" indent="0" shrinkToFit="false"/>
      <protection locked="true" hidden="false"/>
    </xf>
    <xf numFmtId="184" fontId="7" fillId="3" borderId="4" xfId="0" applyFont="true" applyBorder="true" applyAlignment="true" applyProtection="true">
      <alignment horizontal="general" vertical="bottom" textRotation="0" wrapText="false" indent="0" shrinkToFit="false"/>
      <protection locked="true" hidden="false"/>
    </xf>
    <xf numFmtId="178" fontId="7" fillId="6" borderId="3" xfId="0" applyFont="true" applyBorder="true" applyAlignment="true" applyProtection="true">
      <alignment horizontal="general" vertical="bottom" textRotation="0" wrapText="false" indent="0" shrinkToFit="false"/>
      <protection locked="true" hidden="false"/>
    </xf>
    <xf numFmtId="184" fontId="7" fillId="6" borderId="4" xfId="0" applyFont="true" applyBorder="true" applyAlignment="true" applyProtection="true">
      <alignment horizontal="general" vertical="bottom" textRotation="0" wrapText="false" indent="0" shrinkToFit="false"/>
      <protection locked="true" hidden="false"/>
    </xf>
    <xf numFmtId="167" fontId="7" fillId="3" borderId="4" xfId="0" applyFont="true" applyBorder="tru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7" fillId="6" borderId="4" xfId="0" applyFont="true" applyBorder="true" applyAlignment="true" applyProtection="true">
      <alignment horizontal="general" vertical="bottom" textRotation="0" wrapText="false" indent="0" shrinkToFit="false"/>
      <protection locked="true" hidden="false"/>
    </xf>
    <xf numFmtId="178" fontId="4" fillId="3" borderId="5" xfId="0" applyFont="true" applyBorder="true" applyAlignment="true" applyProtection="true">
      <alignment horizontal="general" vertical="bottom" textRotation="0" wrapText="false" indent="0" shrinkToFit="false"/>
      <protection locked="true" hidden="false"/>
    </xf>
    <xf numFmtId="184" fontId="4" fillId="3" borderId="6" xfId="0" applyFont="true" applyBorder="true" applyAlignment="true" applyProtection="true">
      <alignment horizontal="general" vertical="bottom" textRotation="0" wrapText="false" indent="0" shrinkToFit="false"/>
      <protection locked="true" hidden="false"/>
    </xf>
    <xf numFmtId="174" fontId="7"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8" fontId="7" fillId="3" borderId="1" xfId="0" applyFont="true" applyBorder="true" applyAlignment="true" applyProtection="true">
      <alignment horizontal="general" vertical="bottom" textRotation="0" wrapText="false" indent="0" shrinkToFit="false"/>
      <protection locked="true" hidden="false"/>
    </xf>
    <xf numFmtId="184" fontId="7" fillId="3" borderId="2" xfId="0" applyFont="true" applyBorder="true" applyAlignment="true" applyProtection="true">
      <alignment horizontal="general" vertical="bottom" textRotation="0" wrapText="false" indent="0" shrinkToFit="false"/>
      <protection locked="true" hidden="false"/>
    </xf>
    <xf numFmtId="165" fontId="7" fillId="0" borderId="7" xfId="0" applyFont="true" applyBorder="true" applyAlignment="true" applyProtection="true">
      <alignment horizontal="general" vertical="bottom" textRotation="0" wrapText="false" indent="0" shrinkToFit="false"/>
      <protection locked="true" hidden="false"/>
    </xf>
    <xf numFmtId="167" fontId="7" fillId="0" borderId="7" xfId="0" applyFont="true" applyBorder="true" applyAlignment="true" applyProtection="true">
      <alignment horizontal="general" vertical="bottom" textRotation="0" wrapText="false" indent="0" shrinkToFit="false"/>
      <protection locked="true" hidden="false"/>
    </xf>
    <xf numFmtId="164" fontId="8" fillId="3" borderId="5" xfId="0" applyFont="true" applyBorder="true" applyAlignment="true" applyProtection="true">
      <alignment horizontal="general" vertical="bottom" textRotation="0" wrapText="false" indent="0" shrinkToFit="false"/>
      <protection locked="true" hidden="false"/>
    </xf>
    <xf numFmtId="172" fontId="4" fillId="3" borderId="6" xfId="0" applyFont="true" applyBorder="true" applyAlignment="true" applyProtection="true">
      <alignment horizontal="general" vertical="bottom" textRotation="0" wrapText="false" indent="0" shrinkToFit="false"/>
      <protection locked="true" hidden="false"/>
    </xf>
    <xf numFmtId="172" fontId="7"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7" fontId="21" fillId="0" borderId="0" xfId="0" applyFont="true" applyBorder="false" applyAlignment="true" applyProtection="true">
      <alignment horizontal="general" vertical="bottom" textRotation="0" wrapText="false" indent="0" shrinkToFit="false"/>
      <protection locked="true" hidden="false"/>
    </xf>
    <xf numFmtId="165"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83" fontId="7" fillId="0" borderId="0" xfId="0" applyFont="true" applyBorder="false" applyAlignment="true" applyProtection="true">
      <alignment horizontal="general" vertical="bottom" textRotation="0" wrapText="false" indent="0" shrinkToFit="false"/>
      <protection locked="true" hidden="false"/>
    </xf>
    <xf numFmtId="183" fontId="21" fillId="0" borderId="0" xfId="0" applyFont="true" applyBorder="false" applyAlignment="true" applyProtection="true">
      <alignment horizontal="general" vertical="bottom" textRotation="0" wrapText="false" indent="0" shrinkToFit="false"/>
      <protection locked="true" hidden="false"/>
    </xf>
    <xf numFmtId="172" fontId="15" fillId="0" borderId="0" xfId="0" applyFont="true" applyBorder="false" applyAlignment="true" applyProtection="true">
      <alignment horizontal="right" vertical="bottom" textRotation="0" wrapText="false" indent="0" shrinkToFit="false"/>
      <protection locked="true" hidden="false"/>
    </xf>
    <xf numFmtId="167" fontId="22" fillId="0" borderId="0" xfId="0" applyFont="true" applyBorder="fals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7" fontId="0" fillId="3"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27" fillId="0" borderId="0" xfId="0" applyFont="true" applyBorder="false" applyAlignment="true" applyProtection="true">
      <alignment horizontal="general" vertical="center" textRotation="0" wrapText="true" indent="0" shrinkToFit="false"/>
      <protection locked="true" hidden="false"/>
    </xf>
    <xf numFmtId="164" fontId="27" fillId="0" borderId="0" xfId="0" applyFont="true" applyBorder="false" applyAlignment="true" applyProtection="true">
      <alignment horizontal="right" vertical="bottom" textRotation="0" wrapText="false" indent="0" shrinkToFit="false"/>
      <protection locked="true" hidden="false"/>
    </xf>
    <xf numFmtId="164" fontId="27" fillId="7" borderId="0" xfId="0" applyFont="true" applyBorder="false" applyAlignment="true" applyProtection="true">
      <alignment horizontal="general" vertical="center" textRotation="0" wrapText="true" indent="0" shrinkToFit="false"/>
      <protection locked="true" hidden="false"/>
    </xf>
    <xf numFmtId="164" fontId="27" fillId="7" borderId="0" xfId="0" applyFont="true" applyBorder="false" applyAlignment="true" applyProtection="true">
      <alignment horizontal="right" vertical="bottom" textRotation="0" wrapText="false" indent="0" shrinkToFit="false"/>
      <protection locked="true" hidden="false"/>
    </xf>
    <xf numFmtId="164" fontId="28" fillId="8" borderId="0" xfId="0" applyFont="true" applyBorder="false" applyAlignment="true" applyProtection="true">
      <alignment horizontal="left" vertical="bottom" textRotation="0" wrapText="false" indent="0" shrinkToFit="false"/>
      <protection locked="true" hidden="false"/>
    </xf>
    <xf numFmtId="185" fontId="28" fillId="8" borderId="0" xfId="0" applyFont="true" applyBorder="false" applyAlignment="true" applyProtection="true">
      <alignment horizontal="right" vertical="bottom" textRotation="0" wrapText="false" indent="0" shrinkToFit="false"/>
      <protection locked="true" hidden="false"/>
    </xf>
    <xf numFmtId="185" fontId="28" fillId="8" borderId="0" xfId="0" applyFont="true" applyBorder="false" applyAlignment="true" applyProtection="true">
      <alignment horizontal="center" vertical="bottom" textRotation="0" wrapText="false" indent="0" shrinkToFit="false"/>
      <protection locked="true" hidden="false"/>
    </xf>
    <xf numFmtId="164" fontId="28" fillId="9" borderId="0" xfId="0" applyFont="true" applyBorder="false" applyAlignment="true" applyProtection="true">
      <alignment horizontal="left" vertical="bottom" textRotation="0" wrapText="false" indent="0" shrinkToFit="false"/>
      <protection locked="true" hidden="false"/>
    </xf>
    <xf numFmtId="185" fontId="28" fillId="9" borderId="0" xfId="0" applyFont="true" applyBorder="false" applyAlignment="true" applyProtection="true">
      <alignment horizontal="right" vertical="bottom" textRotation="0" wrapText="false" indent="0" shrinkToFit="false"/>
      <protection locked="true" hidden="false"/>
    </xf>
    <xf numFmtId="185" fontId="28" fillId="9" borderId="0" xfId="0" applyFont="true" applyBorder="false" applyAlignment="true" applyProtection="true">
      <alignment horizontal="center"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7" fontId="28"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Untitled1" xfId="20"/>
    <cellStyle name="Untitled2"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5F5F5"/>
      <rgbColor rgb="FFEEEEEE"/>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E1E1E1"/>
      <rgbColor rgb="FFFFFF99"/>
      <rgbColor rgb="FFB3B3B3"/>
      <rgbColor rgb="FFFF99CC"/>
      <rgbColor rgb="FFCC99FF"/>
      <rgbColor rgb="FFFFCC99"/>
      <rgbColor rgb="FF3366FF"/>
      <rgbColor rgb="FF33CCCC"/>
      <rgbColor rgb="FF99CC00"/>
      <rgbColor rgb="FFFFD320"/>
      <rgbColor rgb="FFFF9900"/>
      <rgbColor rgb="FFFF6600"/>
      <rgbColor rgb="FF666666"/>
      <rgbColor rgb="FFB2B2B2"/>
      <rgbColor rgb="FF004586"/>
      <rgbColor rgb="FF339966"/>
      <rgbColor rgb="FF003300"/>
      <rgbColor rgb="FF333300"/>
      <rgbColor rgb="FF993300"/>
      <rgbColor rgb="FF993366"/>
      <rgbColor rgb="FF333399"/>
      <rgbColor rgb="FF4B4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Employees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Model!$Y$2:$AE$2</c:f>
              <c:strCache>
                <c:ptCount val="7"/>
                <c:pt idx="0">
                  <c:v>2019</c:v>
                </c:pt>
                <c:pt idx="1">
                  <c:v>2020</c:v>
                </c:pt>
                <c:pt idx="2">
                  <c:v>2021</c:v>
                </c:pt>
                <c:pt idx="3">
                  <c:v>2022</c:v>
                </c:pt>
                <c:pt idx="4">
                  <c:v>2023</c:v>
                </c:pt>
                <c:pt idx="5">
                  <c:v>2024</c:v>
                </c:pt>
                <c:pt idx="6">
                  <c:v>2025</c:v>
                </c:pt>
              </c:strCache>
            </c:strRef>
          </c:cat>
          <c:val>
            <c:numRef>
              <c:f>Model!$Y$189:$AE$189</c:f>
              <c:numCache>
                <c:formatCode>#,##0;\(#,##0\);\-</c:formatCode>
                <c:ptCount val="7"/>
                <c:pt idx="0">
                  <c:v>26900</c:v>
                </c:pt>
                <c:pt idx="1">
                  <c:v>22800</c:v>
                </c:pt>
                <c:pt idx="2">
                  <c:v>29300</c:v>
                </c:pt>
                <c:pt idx="3">
                  <c:v>32800</c:v>
                </c:pt>
                <c:pt idx="4">
                  <c:v>30400</c:v>
                </c:pt>
                <c:pt idx="5">
                  <c:v>31300</c:v>
                </c:pt>
                <c:pt idx="6">
                  <c:v>33354</c:v>
                </c:pt>
              </c:numCache>
            </c:numRef>
          </c:val>
        </c:ser>
        <c:gapWidth val="100"/>
        <c:overlap val="0"/>
        <c:axId val="16544706"/>
        <c:axId val="4311305"/>
      </c:barChart>
      <c:catAx>
        <c:axId val="16544706"/>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4311305"/>
        <c:crosses val="autoZero"/>
        <c:auto val="1"/>
        <c:lblAlgn val="ctr"/>
        <c:lblOffset val="100"/>
        <c:noMultiLvlLbl val="0"/>
      </c:catAx>
      <c:valAx>
        <c:axId val="4311305"/>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16544706"/>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MAPC</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Model!$B$2:$R$2</c:f>
              <c:strCache>
                <c:ptCount val="17"/>
                <c:pt idx="0">
                  <c:v>Q122</c:v>
                </c:pt>
                <c:pt idx="1">
                  <c:v>Q222</c:v>
                </c:pt>
                <c:pt idx="2">
                  <c:v>Q322</c:v>
                </c:pt>
                <c:pt idx="3">
                  <c:v>Q422</c:v>
                </c:pt>
                <c:pt idx="4">
                  <c:v>Q123</c:v>
                </c:pt>
                <c:pt idx="5">
                  <c:v>Q223</c:v>
                </c:pt>
                <c:pt idx="6">
                  <c:v>Q323</c:v>
                </c:pt>
                <c:pt idx="7">
                  <c:v>Q423</c:v>
                </c:pt>
                <c:pt idx="8">
                  <c:v>Q124</c:v>
                </c:pt>
                <c:pt idx="9">
                  <c:v>Q224</c:v>
                </c:pt>
                <c:pt idx="10">
                  <c:v>Q324</c:v>
                </c:pt>
                <c:pt idx="11">
                  <c:v>Q424</c:v>
                </c:pt>
                <c:pt idx="12">
                  <c:v>Q125</c:v>
                </c:pt>
                <c:pt idx="13">
                  <c:v>Q225</c:v>
                </c:pt>
                <c:pt idx="14">
                  <c:v>Q325</c:v>
                </c:pt>
                <c:pt idx="15">
                  <c:v>Q425</c:v>
                </c:pt>
                <c:pt idx="16">
                  <c:v>Q126</c:v>
                </c:pt>
              </c:strCache>
            </c:strRef>
          </c:cat>
          <c:val>
            <c:numRef>
              <c:f>Model!$B$26:$R$26</c:f>
              <c:numCache>
                <c:formatCode>#,##0</c:formatCode>
                <c:ptCount val="17"/>
                <c:pt idx="0">
                  <c:v>115</c:v>
                </c:pt>
                <c:pt idx="1">
                  <c:v>122</c:v>
                </c:pt>
                <c:pt idx="2">
                  <c:v>124</c:v>
                </c:pt>
                <c:pt idx="3">
                  <c:v>131</c:v>
                </c:pt>
                <c:pt idx="4">
                  <c:v>130</c:v>
                </c:pt>
                <c:pt idx="5">
                  <c:v>137</c:v>
                </c:pt>
                <c:pt idx="6">
                  <c:v>142</c:v>
                </c:pt>
                <c:pt idx="7">
                  <c:v>150</c:v>
                </c:pt>
                <c:pt idx="8">
                  <c:v>149</c:v>
                </c:pt>
                <c:pt idx="9">
                  <c:v>156</c:v>
                </c:pt>
                <c:pt idx="10">
                  <c:v>161</c:v>
                </c:pt>
                <c:pt idx="11">
                  <c:v>171</c:v>
                </c:pt>
                <c:pt idx="12">
                  <c:v>170</c:v>
                </c:pt>
                <c:pt idx="13">
                  <c:v>180</c:v>
                </c:pt>
                <c:pt idx="14">
                  <c:v>189</c:v>
                </c:pt>
                <c:pt idx="15">
                  <c:v>202</c:v>
                </c:pt>
                <c:pt idx="16">
                  <c:v>199</c:v>
                </c:pt>
              </c:numCache>
            </c:numRef>
          </c:val>
        </c:ser>
        <c:gapWidth val="100"/>
        <c:overlap val="0"/>
        <c:axId val="55206521"/>
        <c:axId val="34147750"/>
      </c:barChart>
      <c:catAx>
        <c:axId val="55206521"/>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34147750"/>
        <c:crosses val="autoZero"/>
        <c:auto val="1"/>
        <c:lblAlgn val="ctr"/>
        <c:lblOffset val="100"/>
        <c:noMultiLvlLbl val="0"/>
      </c:catAx>
      <c:valAx>
        <c:axId val="34147750"/>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5206521"/>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Gross Bookings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Model!$B$2:$R$2</c:f>
              <c:strCache>
                <c:ptCount val="17"/>
                <c:pt idx="0">
                  <c:v>Q122</c:v>
                </c:pt>
                <c:pt idx="1">
                  <c:v>Q222</c:v>
                </c:pt>
                <c:pt idx="2">
                  <c:v>Q322</c:v>
                </c:pt>
                <c:pt idx="3">
                  <c:v>Q422</c:v>
                </c:pt>
                <c:pt idx="4">
                  <c:v>Q123</c:v>
                </c:pt>
                <c:pt idx="5">
                  <c:v>Q223</c:v>
                </c:pt>
                <c:pt idx="6">
                  <c:v>Q323</c:v>
                </c:pt>
                <c:pt idx="7">
                  <c:v>Q423</c:v>
                </c:pt>
                <c:pt idx="8">
                  <c:v>Q124</c:v>
                </c:pt>
                <c:pt idx="9">
                  <c:v>Q224</c:v>
                </c:pt>
                <c:pt idx="10">
                  <c:v>Q324</c:v>
                </c:pt>
                <c:pt idx="11">
                  <c:v>Q424</c:v>
                </c:pt>
                <c:pt idx="12">
                  <c:v>Q125</c:v>
                </c:pt>
                <c:pt idx="13">
                  <c:v>Q225</c:v>
                </c:pt>
                <c:pt idx="14">
                  <c:v>Q325</c:v>
                </c:pt>
                <c:pt idx="15">
                  <c:v>Q425</c:v>
                </c:pt>
                <c:pt idx="16">
                  <c:v>Q126</c:v>
                </c:pt>
              </c:strCache>
            </c:strRef>
          </c:cat>
          <c:val>
            <c:numRef>
              <c:f>Model!$B$37:$R$37</c:f>
              <c:numCache>
                <c:formatCode>#,##0</c:formatCode>
                <c:ptCount val="17"/>
                <c:pt idx="0">
                  <c:v>26449</c:v>
                </c:pt>
                <c:pt idx="1">
                  <c:v>29078</c:v>
                </c:pt>
                <c:pt idx="2">
                  <c:v>29119</c:v>
                </c:pt>
                <c:pt idx="3">
                  <c:v>30749</c:v>
                </c:pt>
                <c:pt idx="4">
                  <c:v>31408</c:v>
                </c:pt>
                <c:pt idx="5">
                  <c:v>33601</c:v>
                </c:pt>
                <c:pt idx="6">
                  <c:v>35281</c:v>
                </c:pt>
                <c:pt idx="7">
                  <c:v>37575</c:v>
                </c:pt>
                <c:pt idx="8">
                  <c:v>37651</c:v>
                </c:pt>
                <c:pt idx="9">
                  <c:v>39952</c:v>
                </c:pt>
                <c:pt idx="10">
                  <c:v>40973</c:v>
                </c:pt>
                <c:pt idx="11">
                  <c:v>44197</c:v>
                </c:pt>
                <c:pt idx="12">
                  <c:v>42818</c:v>
                </c:pt>
                <c:pt idx="13">
                  <c:v>46756</c:v>
                </c:pt>
                <c:pt idx="14">
                  <c:v>49740</c:v>
                </c:pt>
                <c:pt idx="15">
                  <c:v>54140</c:v>
                </c:pt>
                <c:pt idx="16">
                  <c:v>53720</c:v>
                </c:pt>
              </c:numCache>
            </c:numRef>
          </c:val>
        </c:ser>
        <c:gapWidth val="100"/>
        <c:overlap val="0"/>
        <c:axId val="32384596"/>
        <c:axId val="80193538"/>
      </c:barChart>
      <c:catAx>
        <c:axId val="32384596"/>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80193538"/>
        <c:crosses val="autoZero"/>
        <c:auto val="1"/>
        <c:lblAlgn val="ctr"/>
        <c:lblOffset val="100"/>
        <c:noMultiLvlLbl val="0"/>
      </c:catAx>
      <c:valAx>
        <c:axId val="80193538"/>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32384596"/>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Revenues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Pt>
            <c:idx val="8"/>
            <c:invertIfNegative val="0"/>
            <c:spPr>
              <a:solidFill>
                <a:srgbClr val="004586"/>
              </a:solidFill>
              <a:ln w="0">
                <a:noFill/>
              </a:ln>
            </c:spPr>
          </c:dPt>
          <c:dPt>
            <c:idx val="9"/>
            <c:invertIfNegative val="0"/>
            <c:spPr>
              <a:solidFill>
                <a:srgbClr val="004586"/>
              </a:solidFill>
              <a:ln w="0">
                <a:noFill/>
              </a:ln>
            </c:spPr>
          </c:dPt>
          <c:dPt>
            <c:idx val="10"/>
            <c:invertIfNegative val="0"/>
            <c:spPr>
              <a:solidFill>
                <a:srgbClr val="004586"/>
              </a:solidFill>
              <a:ln w="0">
                <a:noFill/>
              </a:ln>
            </c:spPr>
          </c:dPt>
          <c:dLbls>
            <c:dLbl>
              <c:idx val="8"/>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dLbl>
            <c:dLbl>
              <c:idx val="9"/>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dLbl>
            <c:dLbl>
              <c:idx val="10"/>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dLbl>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Model!$Y$2:$AJ$2</c:f>
              <c:strCach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strCache>
            </c:strRef>
          </c:cat>
          <c:val>
            <c:numRef>
              <c:f>Model!$Y$61:$AJ$61</c:f>
              <c:numCache>
                <c:formatCode>#,##0</c:formatCode>
                <c:ptCount val="12"/>
                <c:pt idx="0">
                  <c:v>14147</c:v>
                </c:pt>
                <c:pt idx="1">
                  <c:v>11139.5050975995</c:v>
                </c:pt>
                <c:pt idx="2">
                  <c:v>17457.3926041238</c:v>
                </c:pt>
                <c:pt idx="3">
                  <c:v>31880.5797684763</c:v>
                </c:pt>
                <c:pt idx="4">
                  <c:v>37281.2881756453</c:v>
                </c:pt>
                <c:pt idx="5">
                  <c:v>43978.3718271658</c:v>
                </c:pt>
                <c:pt idx="6">
                  <c:v>52017.428914642</c:v>
                </c:pt>
                <c:pt idx="7">
                  <c:v>58259.520384399</c:v>
                </c:pt>
                <c:pt idx="8">
                  <c:v>69911.4244612788</c:v>
                </c:pt>
                <c:pt idx="9">
                  <c:v>83893.7093535346</c:v>
                </c:pt>
                <c:pt idx="10">
                  <c:v>100672.451224241</c:v>
                </c:pt>
                <c:pt idx="11">
                  <c:v>120806.94146909</c:v>
                </c:pt>
              </c:numCache>
            </c:numRef>
          </c:val>
        </c:ser>
        <c:gapWidth val="100"/>
        <c:overlap val="0"/>
        <c:axId val="58286377"/>
        <c:axId val="51948288"/>
      </c:barChart>
      <c:catAx>
        <c:axId val="5828637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1948288"/>
        <c:crosses val="autoZero"/>
        <c:auto val="1"/>
        <c:lblAlgn val="ctr"/>
        <c:lblOffset val="100"/>
        <c:noMultiLvlLbl val="0"/>
      </c:catAx>
      <c:valAx>
        <c:axId val="51948288"/>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58286377"/>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48600</xdr:colOff>
      <xdr:row>0</xdr:row>
      <xdr:rowOff>185760</xdr:rowOff>
    </xdr:from>
    <xdr:to>
      <xdr:col>19</xdr:col>
      <xdr:colOff>51840</xdr:colOff>
      <xdr:row>199</xdr:row>
      <xdr:rowOff>113040</xdr:rowOff>
    </xdr:to>
    <xdr:sp>
      <xdr:nvSpPr>
        <xdr:cNvPr id="1" name="Line 1"/>
        <xdr:cNvSpPr/>
      </xdr:nvSpPr>
      <xdr:spPr>
        <a:xfrm flipH="1">
          <a:off x="16544520" y="185760"/>
          <a:ext cx="3240" cy="30988800"/>
        </a:xfrm>
        <a:prstGeom prst="line">
          <a:avLst/>
        </a:prstGeom>
        <a:ln w="0">
          <a:solidFill>
            <a:srgbClr val="3465A4"/>
          </a:solidFill>
        </a:ln>
      </xdr:spPr>
      <xdr:style>
        <a:lnRef idx="0"/>
        <a:fillRef idx="0"/>
        <a:effectRef idx="0"/>
        <a:fontRef idx="minor"/>
      </xdr:style>
    </xdr:sp>
    <xdr:clientData/>
  </xdr:twoCellAnchor>
  <xdr:twoCellAnchor editAs="oneCell">
    <xdr:from>
      <xdr:col>31</xdr:col>
      <xdr:colOff>135360</xdr:colOff>
      <xdr:row>1</xdr:row>
      <xdr:rowOff>10080</xdr:rowOff>
    </xdr:from>
    <xdr:to>
      <xdr:col>31</xdr:col>
      <xdr:colOff>138960</xdr:colOff>
      <xdr:row>179</xdr:row>
      <xdr:rowOff>112680</xdr:rowOff>
    </xdr:to>
    <xdr:sp>
      <xdr:nvSpPr>
        <xdr:cNvPr id="2" name="Vertical line 1"/>
        <xdr:cNvSpPr/>
      </xdr:nvSpPr>
      <xdr:spPr>
        <a:xfrm flipH="1">
          <a:off x="26316360" y="200520"/>
          <a:ext cx="3600" cy="27868680"/>
        </a:xfrm>
        <a:prstGeom prst="line">
          <a:avLst/>
        </a:prstGeom>
        <a:ln w="0">
          <a:solidFill>
            <a:srgbClr val="3465A4"/>
          </a:solidFill>
        </a:ln>
      </xdr:spPr>
      <xdr:style>
        <a:lnRef idx="0"/>
        <a:fillRef idx="0"/>
        <a:effectRef idx="0"/>
        <a:fontRef idx="minor"/>
      </xdr:style>
    </xdr:sp>
    <xdr:clientData/>
  </xdr:twoCellAnchor>
  <xdr:twoCellAnchor editAs="oneCell">
    <xdr:from>
      <xdr:col>43</xdr:col>
      <xdr:colOff>745200</xdr:colOff>
      <xdr:row>32</xdr:row>
      <xdr:rowOff>43560</xdr:rowOff>
    </xdr:from>
    <xdr:to>
      <xdr:col>50</xdr:col>
      <xdr:colOff>811440</xdr:colOff>
      <xdr:row>53</xdr:row>
      <xdr:rowOff>6120</xdr:rowOff>
    </xdr:to>
    <xdr:graphicFrame>
      <xdr:nvGraphicFramePr>
        <xdr:cNvPr id="3" name=""/>
        <xdr:cNvGraphicFramePr/>
      </xdr:nvGraphicFramePr>
      <xdr:xfrm>
        <a:off x="37217520" y="5009400"/>
        <a:ext cx="5750280" cy="3230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43</xdr:col>
      <xdr:colOff>741600</xdr:colOff>
      <xdr:row>4</xdr:row>
      <xdr:rowOff>42120</xdr:rowOff>
    </xdr:from>
    <xdr:to>
      <xdr:col>50</xdr:col>
      <xdr:colOff>807840</xdr:colOff>
      <xdr:row>25</xdr:row>
      <xdr:rowOff>33840</xdr:rowOff>
    </xdr:to>
    <xdr:graphicFrame>
      <xdr:nvGraphicFramePr>
        <xdr:cNvPr id="4" name=""/>
        <xdr:cNvGraphicFramePr/>
      </xdr:nvGraphicFramePr>
      <xdr:xfrm>
        <a:off x="37213920" y="718920"/>
        <a:ext cx="5750280" cy="3230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36</xdr:col>
      <xdr:colOff>739080</xdr:colOff>
      <xdr:row>31</xdr:row>
      <xdr:rowOff>75960</xdr:rowOff>
    </xdr:from>
    <xdr:to>
      <xdr:col>43</xdr:col>
      <xdr:colOff>262080</xdr:colOff>
      <xdr:row>52</xdr:row>
      <xdr:rowOff>67680</xdr:rowOff>
    </xdr:to>
    <xdr:graphicFrame>
      <xdr:nvGraphicFramePr>
        <xdr:cNvPr id="5" name=""/>
        <xdr:cNvGraphicFramePr/>
      </xdr:nvGraphicFramePr>
      <xdr:xfrm>
        <a:off x="30984120" y="4908240"/>
        <a:ext cx="5750280" cy="3230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66240</xdr:colOff>
      <xdr:row>4</xdr:row>
      <xdr:rowOff>37800</xdr:rowOff>
    </xdr:from>
    <xdr:to>
      <xdr:col>42</xdr:col>
      <xdr:colOff>396000</xdr:colOff>
      <xdr:row>25</xdr:row>
      <xdr:rowOff>29520</xdr:rowOff>
    </xdr:to>
    <xdr:graphicFrame>
      <xdr:nvGraphicFramePr>
        <xdr:cNvPr id="6" name=""/>
        <xdr:cNvGraphicFramePr/>
      </xdr:nvGraphicFramePr>
      <xdr:xfrm>
        <a:off x="30311280" y="714600"/>
        <a:ext cx="5750280" cy="3230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14</xdr:col>
      <xdr:colOff>803520</xdr:colOff>
      <xdr:row>1</xdr:row>
      <xdr:rowOff>142920</xdr:rowOff>
    </xdr:from>
    <xdr:to>
      <xdr:col>19</xdr:col>
      <xdr:colOff>803520</xdr:colOff>
      <xdr:row>40</xdr:row>
      <xdr:rowOff>94680</xdr:rowOff>
    </xdr:to>
    <xdr:sp>
      <xdr:nvSpPr>
        <xdr:cNvPr id="7" name="Text Frame 1"/>
        <xdr:cNvSpPr/>
      </xdr:nvSpPr>
      <xdr:spPr>
        <a:xfrm>
          <a:off x="12182760" y="305640"/>
          <a:ext cx="4064040" cy="6291360"/>
        </a:xfrm>
        <a:prstGeom prst="rect">
          <a:avLst/>
        </a:prstGeom>
        <a:noFill/>
        <a:ln w="0">
          <a:noFill/>
        </a:ln>
      </xdr:spPr>
      <xdr:style>
        <a:lnRef idx="0"/>
        <a:fillRef idx="0"/>
        <a:effectRef idx="0"/>
        <a:fontRef idx="minor"/>
      </xdr:style>
      <xdr:txBody>
        <a:bodyPr lIns="0" tIns="0" rIns="0" bIns="0" anchor="t">
          <a:noAutofit/>
        </a:bodyPr>
        <a:p>
          <a:pPr>
            <a:lnSpc>
              <a:spcPct val="100000"/>
            </a:lnSpc>
          </a:pPr>
          <a:r>
            <a:rPr lang="en-US" sz="1200" b="0" u="none" strike="noStrike">
              <a:solidFill>
                <a:srgbClr val="000000"/>
              </a:solidFill>
              <a:effectLst/>
              <a:uFillTx/>
              <a:latin typeface="Arial"/>
              <a:ea typeface="Arial"/>
            </a:rPr>
            <a:t>This business will reward mainly one app among all other (customers want to make it easy, one app for everything).</a:t>
          </a: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Who has the most amount of taxis deployed around the globe will win the majority stake. This is what Uber is pursuing with it’s strategy, buying stakes in robotaxis makers </a:t>
          </a: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Board’s strategy is to strike a deal with everyone, hold a stake in the most promising in order to own those who will win, which I think will be the winning strategy.</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Uber finds itself in pole position for the development of the AV run given it’s network (over 199 million monthly active users). Therefore they don’t even have to be so active in they seek for the best alternative. They just have to sit, gather data on which is their best performing partner (whether it is ZOOX, Waymo, Pony.ai, …) and to strike a deal with the one that produces them the biggest amount of money.</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They can do this for the </a:t>
          </a:r>
          <a:r>
            <a:rPr lang="en-US" sz="1200" b="0" i="1" u="none" strike="noStrike">
              <a:solidFill>
                <a:srgbClr val="000000"/>
              </a:solidFill>
              <a:effectLst/>
              <a:uFillTx/>
              <a:latin typeface="Arial"/>
              <a:ea typeface="Arial"/>
            </a:rPr>
            <a:t>Mobility</a:t>
          </a:r>
          <a:r>
            <a:rPr lang="en-US" sz="1200" b="0" u="none" strike="noStrike">
              <a:solidFill>
                <a:srgbClr val="000000"/>
              </a:solidFill>
              <a:effectLst/>
              <a:uFillTx/>
              <a:latin typeface="Arial"/>
              <a:ea typeface="Arial"/>
            </a:rPr>
            <a:t> but they can copy the same exact strategy for the </a:t>
          </a:r>
          <a:r>
            <a:rPr lang="en-US" sz="1200" b="0" i="1" u="none" strike="noStrike">
              <a:solidFill>
                <a:srgbClr val="000000"/>
              </a:solidFill>
              <a:effectLst/>
              <a:uFillTx/>
              <a:latin typeface="Arial"/>
              <a:ea typeface="Arial"/>
            </a:rPr>
            <a:t>Delivery</a:t>
          </a:r>
          <a:r>
            <a:rPr lang="en-US" sz="1200" b="0" u="none" strike="noStrike">
              <a:solidFill>
                <a:srgbClr val="000000"/>
              </a:solidFill>
              <a:effectLst/>
              <a:uFillTx/>
              <a:latin typeface="Arial"/>
              <a:ea typeface="Arial"/>
            </a:rPr>
            <a:t> (as the current partnerships with Starship, Avride, Coco, Serve, Cartken) and with their </a:t>
          </a:r>
          <a:r>
            <a:rPr lang="en-US" sz="1200" b="0" i="1" u="none" strike="noStrike">
              <a:solidFill>
                <a:srgbClr val="000000"/>
              </a:solidFill>
              <a:effectLst/>
              <a:uFillTx/>
              <a:latin typeface="Arial"/>
              <a:ea typeface="Arial"/>
            </a:rPr>
            <a:t>Freight</a:t>
          </a:r>
          <a:r>
            <a:rPr lang="en-US" sz="1200" b="0" u="none" strike="noStrike">
              <a:solidFill>
                <a:srgbClr val="000000"/>
              </a:solidFill>
              <a:effectLst/>
              <a:uFillTx/>
              <a:latin typeface="Arial"/>
              <a:ea typeface="Arial"/>
            </a:rPr>
            <a:t> infrastructure (Aurora, which is currently truck exclusive but that will upgrade to Autonomous vehicle).</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On top of that, the board is aiming to upgrade the customer’s experience by adding to their portfolio the possibility to book hotels where it is possible to arrive with a Uber cab or a micromobility service offered by the platform.</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Arial"/>
            </a:rPr>
            <a:t>Given it’s wide availability across the world it is in a premium position for a future partnership with any personal AI assistent for the organisation of a trip around the world. Something like “Hey ChatGPT, organise me a dinner in London” and the LLM reserves a table using the Uber app at a suitable time given the user’s calendar, after it books a Uber cab in order to arrive to the restaurant.</a:t>
          </a:r>
          <a:endParaRPr lang="en-GB" sz="1200" b="0" u="none" strike="noStrike">
            <a:effectLst/>
            <a:uFillTx/>
            <a:latin typeface="Times New Roman"/>
          </a:endParaRPr>
        </a:p>
      </xdr:txBody>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Bond%20Analysi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ain"/>
      <sheetName val="Zero-rate curve US"/>
      <sheetName val="Credit Spread US"/>
      <sheetName val="Zero-rate curve ECB"/>
      <sheetName val="Zero-rate curve BoE"/>
    </sheetNames>
    <sheetDataSet>
      <sheetData sheetId="0"/>
      <sheetData sheetId="1"/>
      <sheetData sheetId="2">
        <row r="6">
          <cell r="K6">
            <v>0.982608695652174</v>
          </cell>
        </row>
      </sheetData>
      <sheetData sheetId="3"/>
      <sheetData sheetId="4"/>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investor@uber.com" TargetMode="External"/><Relationship Id="rId2" Type="http://schemas.openxmlformats.org/officeDocument/2006/relationships/hyperlink" Target="https://transportation.house.gov/uploadedfiles/fong_041_rev1.pdf"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Uber.ods"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Uber.ods" TargetMode="External"/>
</Relationships>
</file>

<file path=xl/worksheets/_rels/sheet4.xml.rels><?xml version="1.0" encoding="UTF-8"?>
<Relationships xmlns="http://schemas.openxmlformats.org/package/2006/relationships"><Relationship Id="rId1" Type="http://schemas.openxmlformats.org/officeDocument/2006/relationships/hyperlink" Target="UBER.ods" TargetMode="External"/><Relationship Id="rId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88"/>
  <sheetViews>
    <sheetView showFormulas="false" showGridLines="true" showRowColHeaders="true" showZeros="true" rightToLeft="false" tabSelected="false" showOutlineSymbols="true" defaultGridColor="true" view="normal" topLeftCell="A1" colorId="64" zoomScale="33" zoomScaleNormal="33" zoomScalePageLayoutView="100" workbookViewId="0">
      <selection pane="topLeft" activeCell="A58" activeCellId="0" sqref="A58"/>
    </sheetView>
  </sheetViews>
  <sheetFormatPr defaultColWidth="11.53515625" defaultRowHeight="12.8" customHeight="false" zeroHeight="false" outlineLevelRow="0" outlineLevelCol="0"/>
  <cols>
    <col collapsed="false" customWidth="true" hidden="false" outlineLevel="0" max="1" min="1" style="1" width="27.82"/>
    <col collapsed="false" customWidth="true" hidden="false" outlineLevel="0" max="2" min="2" style="1" width="13.68"/>
    <col collapsed="false" customWidth="true" hidden="false" outlineLevel="0" max="3" min="3" style="1" width="15.2"/>
    <col collapsed="false" customWidth="true" hidden="false" outlineLevel="0" max="4" min="4" style="1" width="12.94"/>
    <col collapsed="false" customWidth="true" hidden="false" outlineLevel="0" max="6" min="5" style="1" width="11.44"/>
    <col collapsed="false" customWidth="false" hidden="false" outlineLevel="0" max="8" min="7" style="1" width="11.53"/>
    <col collapsed="false" customWidth="true" hidden="false" outlineLevel="0" max="9" min="9" style="1" width="10.65"/>
    <col collapsed="false" customWidth="false" hidden="false" outlineLevel="0" max="10" min="10" style="1" width="11.55"/>
    <col collapsed="false" customWidth="true" hidden="false" outlineLevel="0" max="11" min="11" style="1" width="16.45"/>
    <col collapsed="false" customWidth="false" hidden="false" outlineLevel="0" max="12" min="12" style="1" width="11.53"/>
    <col collapsed="false" customWidth="true" hidden="false" outlineLevel="0" max="13" min="13" style="1" width="13.03"/>
    <col collapsed="false" customWidth="false" hidden="false" outlineLevel="0" max="16" min="14" style="1" width="11.53"/>
    <col collapsed="false" customWidth="true" hidden="false" outlineLevel="0" max="17" min="17" style="1" width="3.38"/>
    <col collapsed="false" customWidth="false" hidden="false" outlineLevel="0" max="16384" min="18" style="1" width="11.53"/>
  </cols>
  <sheetData>
    <row r="1" customFormat="false" ht="12.8" hidden="false" customHeight="false" outlineLevel="0" collapsed="false">
      <c r="A1" s="2" t="s">
        <v>0</v>
      </c>
      <c r="D1" s="1" t="s">
        <v>1</v>
      </c>
      <c r="E1" s="3" t="n">
        <v>78</v>
      </c>
      <c r="H1" s="4"/>
      <c r="I1" s="5"/>
      <c r="J1" s="4"/>
      <c r="L1" s="4" t="s">
        <v>2</v>
      </c>
      <c r="M1" s="5" t="s">
        <v>3</v>
      </c>
      <c r="N1" s="4"/>
    </row>
    <row r="2" customFormat="false" ht="12.8" hidden="false" customHeight="false" outlineLevel="0" collapsed="false">
      <c r="D2" s="1" t="s">
        <v>4</v>
      </c>
      <c r="E2" s="3" t="n">
        <v>2042.560121</v>
      </c>
      <c r="F2" s="4" t="s">
        <v>5</v>
      </c>
      <c r="H2" s="4"/>
      <c r="L2" s="4" t="s">
        <v>2</v>
      </c>
      <c r="M2" s="1" t="s">
        <v>6</v>
      </c>
    </row>
    <row r="3" customFormat="false" ht="12.8" hidden="false" customHeight="false" outlineLevel="0" collapsed="false">
      <c r="D3" s="1" t="s">
        <v>7</v>
      </c>
      <c r="E3" s="3" t="n">
        <f aca="false">E1*E2</f>
        <v>159319.689438</v>
      </c>
      <c r="L3" s="4" t="s">
        <v>2</v>
      </c>
      <c r="M3" s="1" t="s">
        <v>8</v>
      </c>
    </row>
    <row r="4" customFormat="false" ht="13.8" hidden="false" customHeight="false" outlineLevel="0" collapsed="false">
      <c r="D4" s="1" t="s">
        <v>9</v>
      </c>
      <c r="E4" s="3" t="n">
        <f aca="false">+4870+521+4596</f>
        <v>9987</v>
      </c>
      <c r="F4" s="4" t="s">
        <v>5</v>
      </c>
      <c r="L4" s="4" t="s">
        <v>2</v>
      </c>
      <c r="M4" s="1" t="s">
        <v>10</v>
      </c>
      <c r="O4" s="6"/>
      <c r="P4" s="6"/>
      <c r="Q4" s="6"/>
      <c r="R4" s="6"/>
      <c r="S4" s="6"/>
      <c r="T4" s="6"/>
      <c r="U4" s="6"/>
      <c r="V4" s="6"/>
    </row>
    <row r="5" customFormat="false" ht="13.8" hidden="false" customHeight="false" outlineLevel="0" collapsed="false">
      <c r="D5" s="1" t="s">
        <v>11</v>
      </c>
      <c r="E5" s="7" t="n">
        <f aca="false">+1997+10726+178+1830</f>
        <v>14731</v>
      </c>
      <c r="F5" s="4" t="s">
        <v>5</v>
      </c>
      <c r="L5" s="4" t="s">
        <v>2</v>
      </c>
      <c r="M5" s="1" t="s">
        <v>12</v>
      </c>
      <c r="O5" s="6"/>
      <c r="P5" s="6"/>
      <c r="Q5" s="6"/>
      <c r="R5" s="6"/>
      <c r="S5" s="6"/>
      <c r="T5" s="6"/>
      <c r="U5" s="6"/>
      <c r="V5" s="6"/>
    </row>
    <row r="6" customFormat="false" ht="13.8" hidden="false" customHeight="false" outlineLevel="0" collapsed="false">
      <c r="D6" s="1" t="s">
        <v>13</v>
      </c>
      <c r="E6" s="8" t="n">
        <f aca="false">+180+903</f>
        <v>1083</v>
      </c>
      <c r="F6" s="4" t="s">
        <v>5</v>
      </c>
      <c r="K6" s="6"/>
      <c r="L6" s="4" t="s">
        <v>2</v>
      </c>
      <c r="M6" s="1" t="s">
        <v>14</v>
      </c>
      <c r="O6" s="6"/>
      <c r="P6" s="6"/>
      <c r="Q6" s="6"/>
      <c r="R6" s="6"/>
      <c r="S6" s="6"/>
      <c r="T6" s="6"/>
      <c r="U6" s="6"/>
      <c r="V6" s="6"/>
    </row>
    <row r="7" customFormat="false" ht="13.8" hidden="false" customHeight="false" outlineLevel="0" collapsed="false">
      <c r="D7" s="1" t="s">
        <v>15</v>
      </c>
      <c r="E7" s="9" t="n">
        <f aca="false">E3-E4+E5+E6</f>
        <v>165146.689438</v>
      </c>
      <c r="H7" s="4"/>
      <c r="K7" s="6"/>
      <c r="L7" s="4" t="s">
        <v>2</v>
      </c>
      <c r="M7" s="1" t="s">
        <v>16</v>
      </c>
    </row>
    <row r="8" customFormat="false" ht="16.15" hidden="false" customHeight="false" outlineLevel="0" collapsed="false">
      <c r="A8" s="6"/>
      <c r="B8" s="10"/>
      <c r="E8" s="11"/>
      <c r="H8" s="4"/>
      <c r="K8" s="6"/>
      <c r="M8" s="1" t="s">
        <v>17</v>
      </c>
      <c r="O8" s="12"/>
      <c r="P8" s="12"/>
      <c r="Q8" s="12"/>
      <c r="R8" s="12"/>
      <c r="S8" s="12"/>
      <c r="T8" s="12"/>
      <c r="U8" s="12"/>
      <c r="V8" s="12"/>
      <c r="W8" s="6"/>
      <c r="X8" s="6"/>
      <c r="Y8" s="6"/>
      <c r="Z8" s="6"/>
      <c r="AA8" s="6"/>
      <c r="AB8" s="6"/>
      <c r="AC8" s="6"/>
      <c r="AD8" s="6"/>
      <c r="AE8" s="6"/>
      <c r="AF8" s="6"/>
      <c r="AG8" s="6"/>
      <c r="AH8" s="6"/>
      <c r="AI8" s="6"/>
      <c r="AJ8" s="6"/>
      <c r="AK8" s="6"/>
      <c r="AL8" s="6"/>
      <c r="AM8" s="6"/>
      <c r="AN8" s="6"/>
      <c r="AO8" s="6"/>
    </row>
    <row r="9" customFormat="false" ht="16.15" hidden="false" customHeight="false" outlineLevel="0" collapsed="false">
      <c r="D9" s="6"/>
      <c r="E9" s="13"/>
      <c r="H9" s="4"/>
      <c r="L9" s="4" t="s">
        <v>2</v>
      </c>
      <c r="M9" s="1" t="s">
        <v>18</v>
      </c>
      <c r="O9" s="12"/>
      <c r="P9" s="12"/>
      <c r="Q9" s="12"/>
      <c r="R9" s="12"/>
      <c r="S9" s="12"/>
      <c r="T9" s="12"/>
      <c r="U9" s="12"/>
      <c r="V9" s="12"/>
      <c r="W9" s="6"/>
      <c r="X9" s="6"/>
      <c r="Y9" s="6"/>
      <c r="Z9" s="6"/>
      <c r="AA9" s="6"/>
      <c r="AB9" s="6"/>
      <c r="AC9" s="6"/>
      <c r="AD9" s="6"/>
      <c r="AE9" s="6"/>
      <c r="AF9" s="6"/>
      <c r="AG9" s="6"/>
      <c r="AH9" s="6"/>
      <c r="AI9" s="6"/>
      <c r="AJ9" s="6"/>
      <c r="AK9" s="6"/>
      <c r="AL9" s="6"/>
      <c r="AM9" s="6"/>
      <c r="AN9" s="6"/>
      <c r="AO9" s="6"/>
    </row>
    <row r="10" customFormat="false" ht="16.15" hidden="false" customHeight="false" outlineLevel="0" collapsed="false">
      <c r="C10" s="6"/>
      <c r="D10" s="6"/>
      <c r="E10" s="6"/>
      <c r="F10" s="6"/>
      <c r="G10" s="6"/>
      <c r="H10" s="4"/>
      <c r="K10" s="12"/>
      <c r="M10" s="1" t="s">
        <v>19</v>
      </c>
      <c r="O10" s="12"/>
      <c r="P10" s="12"/>
      <c r="Q10" s="12"/>
      <c r="R10" s="12"/>
      <c r="S10" s="12"/>
      <c r="T10" s="12"/>
      <c r="U10" s="12"/>
      <c r="V10" s="12"/>
      <c r="W10" s="6"/>
      <c r="X10" s="6"/>
      <c r="Y10" s="6"/>
      <c r="Z10" s="6"/>
      <c r="AA10" s="6"/>
      <c r="AB10" s="6"/>
      <c r="AC10" s="6"/>
      <c r="AD10" s="6"/>
      <c r="AE10" s="6"/>
      <c r="AF10" s="6"/>
      <c r="AG10" s="6"/>
      <c r="AH10" s="6"/>
      <c r="AI10" s="6"/>
      <c r="AJ10" s="6"/>
      <c r="AK10" s="6"/>
      <c r="AL10" s="6"/>
      <c r="AM10" s="6"/>
      <c r="AN10" s="6"/>
      <c r="AO10" s="6"/>
    </row>
    <row r="11" customFormat="false" ht="16.15" hidden="false" customHeight="false" outlineLevel="0" collapsed="false">
      <c r="C11" s="6"/>
      <c r="D11" s="6"/>
      <c r="E11" s="6"/>
      <c r="F11" s="6"/>
      <c r="G11" s="6"/>
      <c r="H11" s="4"/>
      <c r="K11" s="12"/>
      <c r="L11" s="4" t="s">
        <v>2</v>
      </c>
      <c r="M11" s="1" t="s">
        <v>20</v>
      </c>
      <c r="N11" s="6"/>
      <c r="O11" s="12"/>
      <c r="P11" s="12"/>
      <c r="Q11" s="12"/>
      <c r="R11" s="12"/>
      <c r="U11" s="12"/>
      <c r="V11" s="12"/>
      <c r="W11" s="6"/>
      <c r="X11" s="6"/>
      <c r="Y11" s="6"/>
      <c r="Z11" s="6"/>
      <c r="AA11" s="6"/>
      <c r="AB11" s="6"/>
      <c r="AC11" s="6"/>
      <c r="AD11" s="6"/>
      <c r="AE11" s="6"/>
      <c r="AF11" s="6"/>
      <c r="AG11" s="6"/>
      <c r="AH11" s="6"/>
      <c r="AI11" s="6"/>
      <c r="AJ11" s="6"/>
      <c r="AK11" s="6"/>
      <c r="AL11" s="6"/>
      <c r="AM11" s="6"/>
      <c r="AN11" s="6"/>
      <c r="AO11" s="6"/>
    </row>
    <row r="12" s="3" customFormat="true" ht="16.15" hidden="false" customHeight="false" outlineLevel="0" collapsed="false">
      <c r="A12" s="12" t="s">
        <v>21</v>
      </c>
      <c r="B12" s="14" t="n">
        <f aca="false">E3/SUM(Model!P185:S185)</f>
        <v>15.8054367476141</v>
      </c>
      <c r="C12" s="12" t="s">
        <v>22</v>
      </c>
      <c r="D12" s="12" t="n">
        <v>1.18</v>
      </c>
      <c r="E12" s="12"/>
      <c r="F12" s="12" t="s">
        <v>23</v>
      </c>
      <c r="G12" s="15" t="n">
        <f aca="false">+(E3/(E3+E5+E6))*D13+(E5/(E3+E5+E6))*D14*(1-0.22)+(E6/(E6+E5+E3)*D13)</f>
        <v>0.104054523303559</v>
      </c>
      <c r="H12" s="4"/>
      <c r="I12" s="1"/>
      <c r="J12" s="1"/>
      <c r="K12" s="12"/>
      <c r="L12" s="6"/>
      <c r="M12" s="1" t="s">
        <v>24</v>
      </c>
      <c r="N12" s="6"/>
      <c r="O12" s="1"/>
      <c r="P12" s="1"/>
      <c r="Q12" s="1"/>
      <c r="R12" s="1"/>
      <c r="S12" s="1"/>
      <c r="T12" s="1"/>
      <c r="U12" s="12"/>
      <c r="V12" s="12"/>
      <c r="W12" s="6"/>
      <c r="X12" s="6"/>
      <c r="Y12" s="6"/>
      <c r="Z12" s="6"/>
      <c r="AA12" s="6"/>
      <c r="AB12" s="6"/>
      <c r="AC12" s="6"/>
      <c r="AD12" s="6"/>
      <c r="AE12" s="6"/>
      <c r="AF12" s="6"/>
      <c r="AG12" s="6"/>
      <c r="AH12" s="6"/>
      <c r="AI12" s="6"/>
      <c r="AJ12" s="6"/>
      <c r="AK12" s="6"/>
      <c r="AL12" s="6"/>
      <c r="AM12" s="6"/>
      <c r="AN12" s="6"/>
      <c r="AO12" s="6"/>
      <c r="AP12" s="1"/>
      <c r="AQ12" s="1"/>
    </row>
    <row r="13" s="18" customFormat="true" ht="16.15" hidden="false" customHeight="false" outlineLevel="0" collapsed="false">
      <c r="A13" s="12" t="s">
        <v>25</v>
      </c>
      <c r="B13" s="14" t="n">
        <f aca="false">E7/(SUM(Model!P120:S120))</f>
        <v>16.4439599161605</v>
      </c>
      <c r="C13" s="12" t="s">
        <v>26</v>
      </c>
      <c r="D13" s="16" t="n">
        <f aca="false">0.047+D12*(0.1-0.047)</f>
        <v>0.10954</v>
      </c>
      <c r="E13" s="12"/>
      <c r="F13" s="12" t="s">
        <v>27</v>
      </c>
      <c r="G13" s="17" t="n">
        <f aca="false">+E3/(Model!S161-Model!S141-Model!S140)</f>
        <v>9.53325092376735</v>
      </c>
      <c r="H13" s="4"/>
      <c r="I13" s="1"/>
      <c r="J13" s="1"/>
      <c r="K13" s="12"/>
      <c r="L13" s="6"/>
      <c r="M13" s="1" t="s">
        <v>28</v>
      </c>
      <c r="N13" s="6"/>
      <c r="O13" s="1"/>
      <c r="P13" s="1"/>
      <c r="Q13" s="1"/>
      <c r="R13" s="1"/>
      <c r="S13" s="1"/>
      <c r="T13" s="1"/>
      <c r="U13" s="12"/>
      <c r="V13" s="12"/>
      <c r="W13" s="6"/>
      <c r="X13" s="6"/>
      <c r="Y13" s="6"/>
      <c r="Z13" s="6"/>
      <c r="AA13" s="6"/>
      <c r="AB13" s="6"/>
      <c r="AC13" s="6"/>
      <c r="AD13" s="6"/>
      <c r="AE13" s="6"/>
      <c r="AF13" s="6"/>
      <c r="AG13" s="6"/>
      <c r="AH13" s="6"/>
      <c r="AI13" s="6"/>
      <c r="AJ13" s="6"/>
      <c r="AK13" s="6"/>
      <c r="AL13" s="6"/>
      <c r="AM13" s="6"/>
      <c r="AN13" s="6"/>
      <c r="AO13" s="6"/>
      <c r="AP13" s="1"/>
      <c r="AQ13" s="1"/>
    </row>
    <row r="14" s="18" customFormat="true" ht="16.15" hidden="false" customHeight="false" outlineLevel="0" collapsed="false">
      <c r="A14" s="12" t="s">
        <v>29</v>
      </c>
      <c r="B14" s="14" t="n">
        <f aca="false">+E7/SUM(Model!P185:S185)</f>
        <v>16.3835089259696</v>
      </c>
      <c r="C14" s="12" t="s">
        <v>30</v>
      </c>
      <c r="D14" s="15" t="n">
        <f aca="false">+0.047+(D15/100)</f>
        <v>0.0568260869565217</v>
      </c>
      <c r="E14" s="12"/>
      <c r="F14" s="12"/>
      <c r="G14" s="12"/>
      <c r="H14" s="4"/>
      <c r="I14" s="1"/>
      <c r="J14" s="1"/>
      <c r="K14" s="12"/>
      <c r="L14" s="4" t="s">
        <v>2</v>
      </c>
      <c r="M14" s="1" t="s">
        <v>31</v>
      </c>
      <c r="N14" s="1"/>
      <c r="O14" s="1"/>
      <c r="P14" s="1"/>
      <c r="Q14" s="1"/>
      <c r="R14" s="1"/>
      <c r="S14" s="1"/>
      <c r="T14" s="1"/>
      <c r="U14" s="12"/>
      <c r="V14" s="12"/>
      <c r="W14" s="6"/>
      <c r="X14" s="6"/>
      <c r="Y14" s="6"/>
      <c r="Z14" s="6"/>
      <c r="AA14" s="6"/>
      <c r="AB14" s="6"/>
      <c r="AC14" s="6"/>
      <c r="AD14" s="6"/>
      <c r="AE14" s="6"/>
      <c r="AF14" s="6"/>
      <c r="AG14" s="6"/>
      <c r="AH14" s="6"/>
      <c r="AI14" s="6"/>
      <c r="AJ14" s="6"/>
      <c r="AK14" s="6"/>
      <c r="AL14" s="6"/>
      <c r="AM14" s="6"/>
      <c r="AN14" s="6"/>
      <c r="AO14" s="6"/>
      <c r="AP14" s="1"/>
      <c r="AQ14" s="1"/>
    </row>
    <row r="15" s="18" customFormat="true" ht="16.15" hidden="false" customHeight="false" outlineLevel="0" collapsed="false">
      <c r="A15" s="12" t="s">
        <v>32</v>
      </c>
      <c r="B15" s="19" t="n">
        <f aca="false">((Model!S77+Model!R77+Model!Q77+Model!P77)-(Model!O77+Model!N77+Model!M77+Model!L77))/((Model!S61+Model!R61+Model!Q61+Model!P61)-(Model!O61+Model!N61+Model!M61+Model!L61))</f>
        <v>0.277374523752824</v>
      </c>
      <c r="C15" s="12" t="s">
        <v>33</v>
      </c>
      <c r="D15" s="17" t="n">
        <f aca="false">+'[1]Credit Spread US'!K6</f>
        <v>0.982608695652174</v>
      </c>
      <c r="E15" s="12"/>
      <c r="F15" s="12"/>
      <c r="G15" s="12"/>
      <c r="H15" s="4"/>
      <c r="I15" s="1"/>
      <c r="J15" s="1"/>
      <c r="K15" s="12"/>
      <c r="L15" s="4"/>
      <c r="M15" s="4" t="s">
        <v>2</v>
      </c>
      <c r="N15" s="1" t="s">
        <v>34</v>
      </c>
      <c r="O15" s="1"/>
      <c r="P15" s="1"/>
      <c r="Q15" s="1"/>
      <c r="R15" s="1"/>
      <c r="S15" s="1"/>
      <c r="T15" s="1"/>
      <c r="U15" s="12"/>
      <c r="V15" s="12"/>
      <c r="W15" s="6"/>
      <c r="X15" s="6"/>
      <c r="Y15" s="6"/>
      <c r="Z15" s="6"/>
      <c r="AA15" s="6"/>
      <c r="AB15" s="6"/>
      <c r="AC15" s="6"/>
      <c r="AD15" s="6"/>
      <c r="AE15" s="6"/>
      <c r="AF15" s="6"/>
      <c r="AG15" s="6"/>
      <c r="AH15" s="6"/>
      <c r="AI15" s="6"/>
      <c r="AJ15" s="6"/>
      <c r="AK15" s="6"/>
      <c r="AL15" s="6"/>
      <c r="AM15" s="6"/>
      <c r="AN15" s="6"/>
      <c r="AO15" s="6"/>
      <c r="AP15" s="1"/>
      <c r="AQ15" s="1"/>
    </row>
    <row r="16" s="18" customFormat="true" ht="16.15" hidden="false" customHeight="false" outlineLevel="0" collapsed="false">
      <c r="A16" s="12" t="s">
        <v>35</v>
      </c>
      <c r="B16" s="14" t="n">
        <f aca="false">+E1/SUM(Model!P95:S95)</f>
        <v>17.1256539951639</v>
      </c>
      <c r="C16" s="12" t="s">
        <v>36</v>
      </c>
      <c r="D16" s="20" t="s">
        <v>37</v>
      </c>
      <c r="E16" s="21" t="s">
        <v>38</v>
      </c>
      <c r="F16" s="12"/>
      <c r="G16" s="12"/>
      <c r="H16" s="4"/>
      <c r="I16" s="1"/>
      <c r="J16" s="1"/>
      <c r="K16" s="12"/>
      <c r="L16" s="4" t="s">
        <v>2</v>
      </c>
      <c r="M16" s="1" t="s">
        <v>39</v>
      </c>
      <c r="N16" s="22"/>
      <c r="O16" s="1"/>
      <c r="P16" s="1"/>
      <c r="Q16" s="1"/>
      <c r="R16" s="1"/>
      <c r="S16" s="1"/>
      <c r="T16" s="1"/>
      <c r="U16" s="12"/>
      <c r="V16" s="12"/>
      <c r="W16" s="6"/>
      <c r="X16" s="6"/>
      <c r="Y16" s="6"/>
      <c r="Z16" s="6"/>
      <c r="AA16" s="6"/>
      <c r="AB16" s="6"/>
      <c r="AC16" s="6"/>
      <c r="AD16" s="6"/>
      <c r="AE16" s="6"/>
      <c r="AF16" s="6"/>
      <c r="AG16" s="6"/>
      <c r="AH16" s="6"/>
      <c r="AI16" s="6"/>
      <c r="AJ16" s="6"/>
      <c r="AK16" s="6"/>
      <c r="AL16" s="6"/>
      <c r="AM16" s="6"/>
      <c r="AN16" s="6"/>
      <c r="AO16" s="6"/>
      <c r="AP16" s="1"/>
      <c r="AQ16" s="1"/>
    </row>
    <row r="17" s="18" customFormat="true" ht="16.15" hidden="false" customHeight="false" outlineLevel="0" collapsed="false">
      <c r="A17" s="12" t="s">
        <v>40</v>
      </c>
      <c r="B17" s="23" t="n">
        <f aca="false">(E5-E4)/Model!S120</f>
        <v>1.68286626463285</v>
      </c>
      <c r="C17" s="12"/>
      <c r="D17" s="21" t="s">
        <v>41</v>
      </c>
      <c r="E17" s="21" t="s">
        <v>42</v>
      </c>
      <c r="F17" s="12"/>
      <c r="G17" s="12"/>
      <c r="H17" s="4"/>
      <c r="I17" s="1"/>
      <c r="J17" s="1"/>
      <c r="K17" s="12"/>
      <c r="L17" s="12"/>
      <c r="M17" s="24" t="s">
        <v>43</v>
      </c>
      <c r="N17" s="22"/>
      <c r="O17" s="1"/>
      <c r="P17" s="1"/>
      <c r="Q17" s="1"/>
      <c r="R17" s="1"/>
      <c r="S17" s="1"/>
      <c r="T17" s="1"/>
      <c r="U17" s="12"/>
      <c r="V17" s="12"/>
      <c r="W17" s="6"/>
      <c r="X17" s="6"/>
      <c r="Y17" s="6"/>
      <c r="Z17" s="6"/>
      <c r="AA17" s="6"/>
      <c r="AB17" s="6"/>
      <c r="AC17" s="6"/>
      <c r="AD17" s="6"/>
      <c r="AE17" s="6"/>
      <c r="AF17" s="6"/>
      <c r="AG17" s="6"/>
      <c r="AH17" s="6"/>
      <c r="AI17" s="6"/>
      <c r="AJ17" s="6"/>
      <c r="AK17" s="6"/>
      <c r="AL17" s="6"/>
      <c r="AM17" s="6"/>
      <c r="AN17" s="6"/>
      <c r="AO17" s="6"/>
      <c r="AP17" s="1"/>
      <c r="AQ17" s="1"/>
    </row>
    <row r="18" s="18" customFormat="true" ht="16.15" hidden="false" customHeight="false" outlineLevel="0" collapsed="false">
      <c r="A18" s="12" t="s">
        <v>44</v>
      </c>
      <c r="B18" s="12"/>
      <c r="C18" s="12"/>
      <c r="D18" s="12"/>
      <c r="E18" s="12"/>
      <c r="F18" s="12"/>
      <c r="G18" s="12"/>
      <c r="H18" s="4"/>
      <c r="I18" s="1"/>
      <c r="J18" s="1"/>
      <c r="K18" s="12"/>
      <c r="L18" s="4" t="s">
        <v>2</v>
      </c>
      <c r="M18" s="1" t="s">
        <v>45</v>
      </c>
      <c r="N18" s="22"/>
      <c r="O18" s="1"/>
      <c r="P18" s="1"/>
      <c r="Q18" s="1"/>
      <c r="R18" s="1"/>
      <c r="S18" s="1"/>
      <c r="T18" s="1"/>
      <c r="U18" s="12"/>
      <c r="V18" s="12"/>
      <c r="W18" s="6"/>
      <c r="X18" s="6"/>
      <c r="Y18" s="6"/>
      <c r="Z18" s="6"/>
      <c r="AA18" s="6"/>
      <c r="AB18" s="6"/>
      <c r="AC18" s="6"/>
      <c r="AD18" s="6"/>
      <c r="AE18" s="6"/>
      <c r="AF18" s="6"/>
      <c r="AG18" s="6"/>
      <c r="AH18" s="6"/>
      <c r="AI18" s="6"/>
      <c r="AJ18" s="6"/>
      <c r="AK18" s="6"/>
      <c r="AL18" s="6"/>
      <c r="AM18" s="6"/>
      <c r="AN18" s="6"/>
      <c r="AO18" s="6"/>
      <c r="AP18" s="1"/>
      <c r="AQ18" s="1"/>
    </row>
    <row r="19" s="25" customFormat="true" ht="16.15" hidden="false" customHeight="false" outlineLevel="0" collapsed="false">
      <c r="A19" s="6"/>
      <c r="B19" s="10"/>
      <c r="C19" s="6"/>
      <c r="D19" s="6"/>
      <c r="E19" s="6"/>
      <c r="F19" s="6"/>
      <c r="G19" s="6"/>
      <c r="H19" s="4"/>
      <c r="I19" s="1" t="s">
        <v>46</v>
      </c>
      <c r="J19" s="1"/>
      <c r="K19" s="12"/>
      <c r="L19" s="12"/>
      <c r="M19" s="1" t="s">
        <v>47</v>
      </c>
      <c r="N19" s="12"/>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6"/>
      <c r="AQ19" s="6"/>
    </row>
    <row r="20" customFormat="false" ht="16.15" hidden="false" customHeight="false" outlineLevel="0" collapsed="false">
      <c r="A20" s="12"/>
      <c r="B20" s="0"/>
      <c r="C20" s="26"/>
      <c r="D20" s="12"/>
      <c r="E20" s="0"/>
      <c r="F20" s="6"/>
      <c r="G20" s="6"/>
      <c r="K20" s="12"/>
      <c r="L20" s="12"/>
      <c r="M20" s="1" t="s">
        <v>48</v>
      </c>
      <c r="N20" s="12"/>
      <c r="W20" s="12"/>
      <c r="X20" s="12"/>
      <c r="Y20" s="12"/>
      <c r="Z20" s="12"/>
      <c r="AA20" s="12"/>
      <c r="AB20" s="12"/>
      <c r="AC20" s="12"/>
      <c r="AD20" s="12"/>
      <c r="AE20" s="12"/>
      <c r="AF20" s="12"/>
      <c r="AG20" s="12"/>
      <c r="AH20" s="12"/>
      <c r="AI20" s="12"/>
      <c r="AJ20" s="12"/>
      <c r="AK20" s="12"/>
      <c r="AL20" s="12"/>
      <c r="AM20" s="12"/>
      <c r="AN20" s="12"/>
      <c r="AO20" s="12"/>
      <c r="AP20" s="6"/>
      <c r="AQ20" s="6"/>
    </row>
    <row r="21" customFormat="false" ht="16.15" hidden="false" customHeight="false" outlineLevel="0" collapsed="false">
      <c r="A21" s="12"/>
      <c r="B21" s="0"/>
      <c r="C21" s="26"/>
      <c r="D21" s="12"/>
      <c r="E21" s="17"/>
      <c r="H21" s="4"/>
      <c r="K21" s="12"/>
      <c r="L21" s="12"/>
      <c r="M21" s="24" t="s">
        <v>49</v>
      </c>
      <c r="N21" s="12"/>
      <c r="W21" s="12"/>
      <c r="X21" s="12"/>
      <c r="Y21" s="12"/>
      <c r="Z21" s="12"/>
      <c r="AA21" s="12"/>
      <c r="AB21" s="12"/>
      <c r="AC21" s="12"/>
      <c r="AD21" s="12"/>
      <c r="AE21" s="12"/>
      <c r="AF21" s="12"/>
      <c r="AG21" s="12"/>
      <c r="AH21" s="12"/>
      <c r="AI21" s="12"/>
      <c r="AJ21" s="12"/>
      <c r="AK21" s="12"/>
      <c r="AL21" s="12"/>
      <c r="AM21" s="12"/>
      <c r="AN21" s="12"/>
      <c r="AO21" s="12"/>
      <c r="AP21" s="6"/>
      <c r="AQ21" s="6"/>
    </row>
    <row r="22" customFormat="false" ht="16.15" hidden="false" customHeight="false" outlineLevel="0" collapsed="false">
      <c r="A22" s="12"/>
      <c r="B22" s="0"/>
      <c r="D22" s="1" t="s">
        <v>50</v>
      </c>
      <c r="E22" s="1" t="n">
        <v>2009</v>
      </c>
      <c r="F22" s="1" t="s">
        <v>51</v>
      </c>
      <c r="G22" s="12"/>
      <c r="K22" s="12"/>
      <c r="L22" s="4" t="s">
        <v>2</v>
      </c>
      <c r="M22" s="1" t="s">
        <v>52</v>
      </c>
      <c r="N22" s="12"/>
      <c r="W22" s="12"/>
      <c r="X22" s="12"/>
      <c r="Y22" s="12"/>
      <c r="Z22" s="12"/>
      <c r="AA22" s="12"/>
      <c r="AB22" s="12"/>
      <c r="AC22" s="12"/>
      <c r="AD22" s="12"/>
      <c r="AE22" s="12"/>
      <c r="AF22" s="12"/>
      <c r="AG22" s="12"/>
      <c r="AH22" s="12"/>
      <c r="AI22" s="12"/>
      <c r="AJ22" s="12"/>
      <c r="AK22" s="12"/>
      <c r="AL22" s="12"/>
      <c r="AM22" s="12"/>
      <c r="AN22" s="12"/>
      <c r="AO22" s="12"/>
    </row>
    <row r="23" customFormat="false" ht="16.15" hidden="false" customHeight="false" outlineLevel="0" collapsed="false">
      <c r="A23" s="12"/>
      <c r="B23" s="0"/>
      <c r="D23" s="1" t="s">
        <v>53</v>
      </c>
      <c r="E23" s="1" t="n">
        <v>2010</v>
      </c>
      <c r="G23" s="12"/>
      <c r="H23" s="4"/>
      <c r="J23" s="6"/>
      <c r="K23" s="12"/>
      <c r="M23" s="1" t="s">
        <v>54</v>
      </c>
      <c r="N23" s="12"/>
      <c r="AP23" s="12"/>
      <c r="AQ23" s="12"/>
    </row>
    <row r="24" s="6" customFormat="true" ht="16.15" hidden="false" customHeight="false" outlineLevel="0" collapsed="false">
      <c r="A24" s="12"/>
      <c r="B24" s="0"/>
      <c r="C24" s="1"/>
      <c r="D24" s="25" t="s">
        <v>0</v>
      </c>
      <c r="E24" s="1" t="n">
        <v>2011</v>
      </c>
      <c r="F24" s="1"/>
      <c r="G24" s="12"/>
      <c r="I24" s="1"/>
      <c r="K24" s="12"/>
      <c r="L24" s="1"/>
      <c r="M24" s="24" t="s">
        <v>55</v>
      </c>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2"/>
      <c r="AQ24" s="12"/>
    </row>
    <row r="25" s="6" customFormat="true" ht="16.15" hidden="false" customHeight="false" outlineLevel="0" collapsed="false">
      <c r="A25" s="12"/>
      <c r="B25" s="0"/>
      <c r="C25" s="1"/>
      <c r="D25" s="24" t="s">
        <v>56</v>
      </c>
      <c r="E25" s="24" t="s">
        <v>57</v>
      </c>
      <c r="F25" s="1"/>
      <c r="G25" s="12"/>
      <c r="I25" s="1"/>
      <c r="K25" s="12"/>
      <c r="L25" s="4" t="s">
        <v>2</v>
      </c>
      <c r="M25" s="1" t="s">
        <v>58</v>
      </c>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2"/>
      <c r="AQ25" s="12"/>
    </row>
    <row r="26" s="6" customFormat="true" ht="16.15" hidden="false" customHeight="false" outlineLevel="0" collapsed="false">
      <c r="A26" s="12"/>
      <c r="B26" s="0"/>
      <c r="C26" s="1" t="s">
        <v>59</v>
      </c>
      <c r="D26" s="25" t="s">
        <v>60</v>
      </c>
      <c r="E26" s="1"/>
      <c r="F26" s="1"/>
      <c r="G26" s="12"/>
      <c r="H26" s="4"/>
      <c r="I26" s="1"/>
      <c r="J26" s="1"/>
      <c r="K26" s="12"/>
      <c r="L26" s="1"/>
      <c r="M26" s="24" t="s">
        <v>61</v>
      </c>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row>
    <row r="27" customFormat="false" ht="16.15" hidden="false" customHeight="false" outlineLevel="0" collapsed="false">
      <c r="A27" s="12"/>
      <c r="B27" s="0"/>
      <c r="C27" s="1" t="s">
        <v>62</v>
      </c>
      <c r="D27" s="25" t="s">
        <v>63</v>
      </c>
      <c r="G27" s="12"/>
      <c r="H27" s="4"/>
      <c r="I27" s="4"/>
      <c r="M27" s="24" t="s">
        <v>64</v>
      </c>
    </row>
    <row r="28" s="7" customFormat="true" ht="16.15" hidden="false" customHeight="false" outlineLevel="0" collapsed="false">
      <c r="A28" s="12"/>
      <c r="B28" s="0"/>
      <c r="C28" s="1" t="s">
        <v>65</v>
      </c>
      <c r="D28" s="25" t="s">
        <v>66</v>
      </c>
      <c r="E28" s="1"/>
      <c r="F28" s="1"/>
      <c r="G28" s="12"/>
      <c r="H28" s="4"/>
      <c r="I28" s="1"/>
      <c r="J28" s="22"/>
      <c r="K28" s="1"/>
      <c r="L28" s="4" t="s">
        <v>2</v>
      </c>
      <c r="M28" s="5" t="s">
        <v>67</v>
      </c>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row>
    <row r="29" s="7" customFormat="true" ht="16.15" hidden="false" customHeight="false" outlineLevel="0" collapsed="false">
      <c r="A29" s="12"/>
      <c r="B29" s="0"/>
      <c r="C29" s="0"/>
      <c r="D29" s="26"/>
      <c r="E29" s="26"/>
      <c r="F29" s="12"/>
      <c r="G29" s="12"/>
      <c r="H29" s="12"/>
      <c r="I29" s="24"/>
      <c r="J29" s="22"/>
      <c r="K29" s="1"/>
      <c r="L29" s="1"/>
      <c r="M29" s="1" t="s">
        <v>68</v>
      </c>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row>
    <row r="30" s="7" customFormat="true" ht="16.15" hidden="false" customHeight="false" outlineLevel="0" collapsed="false">
      <c r="A30" s="12"/>
      <c r="B30" s="27"/>
      <c r="C30" s="12"/>
      <c r="D30" s="26"/>
      <c r="E30" s="26"/>
      <c r="F30" s="12"/>
      <c r="G30" s="12"/>
      <c r="H30" s="12"/>
      <c r="I30" s="24"/>
      <c r="J30" s="22"/>
      <c r="K30" s="1"/>
      <c r="L30" s="4" t="s">
        <v>2</v>
      </c>
      <c r="M30" s="1" t="s">
        <v>69</v>
      </c>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row>
    <row r="31" s="7" customFormat="true" ht="16.15" hidden="false" customHeight="false" outlineLevel="0" collapsed="false">
      <c r="A31" s="1"/>
      <c r="B31" s="1"/>
      <c r="C31" s="1"/>
      <c r="D31" s="1"/>
      <c r="E31" s="1"/>
      <c r="F31" s="1"/>
      <c r="G31" s="1"/>
      <c r="H31" s="4"/>
      <c r="I31" s="1"/>
      <c r="J31" s="12"/>
      <c r="K31" s="1"/>
      <c r="L31" s="4" t="s">
        <v>2</v>
      </c>
      <c r="M31" s="1" t="s">
        <v>70</v>
      </c>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row>
    <row r="32" customFormat="false" ht="12.8" hidden="false" customHeight="false" outlineLevel="0" collapsed="false">
      <c r="C32" s="0"/>
      <c r="D32" s="0"/>
      <c r="E32" s="0"/>
      <c r="F32" s="0"/>
      <c r="I32" s="24"/>
      <c r="L32" s="4" t="s">
        <v>2</v>
      </c>
      <c r="M32" s="1" t="s">
        <v>71</v>
      </c>
    </row>
    <row r="33" customFormat="false" ht="12.8" hidden="false" customHeight="false" outlineLevel="0" collapsed="false">
      <c r="C33" s="0"/>
      <c r="D33" s="0"/>
      <c r="E33" s="0"/>
      <c r="F33" s="0"/>
      <c r="H33" s="4"/>
      <c r="M33" s="1" t="s">
        <v>72</v>
      </c>
    </row>
    <row r="34" customFormat="false" ht="12.8" hidden="false" customHeight="false" outlineLevel="0" collapsed="false">
      <c r="A34" s="28" t="s">
        <v>73</v>
      </c>
      <c r="M34" s="1" t="s">
        <v>74</v>
      </c>
    </row>
    <row r="35" customFormat="false" ht="12.8" hidden="false" customHeight="false" outlineLevel="0" collapsed="false">
      <c r="I35" s="24"/>
      <c r="L35" s="4" t="s">
        <v>2</v>
      </c>
      <c r="M35" s="1" t="s">
        <v>75</v>
      </c>
    </row>
    <row r="36" customFormat="false" ht="12.8" hidden="false" customHeight="false" outlineLevel="0" collapsed="false">
      <c r="G36" s="4"/>
      <c r="H36" s="4"/>
      <c r="I36" s="5"/>
      <c r="M36" s="1" t="s">
        <v>76</v>
      </c>
    </row>
    <row r="37" customFormat="false" ht="12.8" hidden="false" customHeight="false" outlineLevel="0" collapsed="false">
      <c r="A37" s="1" t="s">
        <v>77</v>
      </c>
      <c r="G37" s="4"/>
      <c r="L37" s="4" t="s">
        <v>2</v>
      </c>
      <c r="M37" s="1" t="s">
        <v>78</v>
      </c>
    </row>
    <row r="38" customFormat="false" ht="12.8" hidden="false" customHeight="false" outlineLevel="0" collapsed="false">
      <c r="A38" s="1" t="s">
        <v>79</v>
      </c>
      <c r="G38" s="4"/>
      <c r="H38" s="4"/>
      <c r="L38" s="4" t="s">
        <v>2</v>
      </c>
      <c r="M38" s="1" t="s">
        <v>80</v>
      </c>
    </row>
    <row r="39" customFormat="false" ht="12.8" hidden="false" customHeight="false" outlineLevel="0" collapsed="false">
      <c r="A39" s="1" t="s">
        <v>81</v>
      </c>
      <c r="M39" s="1" t="s">
        <v>82</v>
      </c>
    </row>
    <row r="40" customFormat="false" ht="12.8" hidden="false" customHeight="false" outlineLevel="0" collapsed="false">
      <c r="A40" s="1" t="s">
        <v>83</v>
      </c>
      <c r="G40" s="4"/>
      <c r="L40" s="4" t="s">
        <v>2</v>
      </c>
      <c r="M40" s="1" t="s">
        <v>84</v>
      </c>
    </row>
    <row r="41" s="29" customFormat="true" ht="12.8" hidden="false" customHeight="false" outlineLevel="0" collapsed="false">
      <c r="A41" s="1" t="s">
        <v>85</v>
      </c>
      <c r="B41" s="1"/>
      <c r="C41" s="1"/>
      <c r="D41" s="1"/>
      <c r="E41" s="1"/>
      <c r="F41" s="1"/>
      <c r="G41" s="4" t="s">
        <v>2</v>
      </c>
      <c r="H41" s="1" t="s">
        <v>86</v>
      </c>
      <c r="I41" s="1"/>
      <c r="J41" s="1"/>
      <c r="K41" s="1"/>
      <c r="L41" s="1"/>
      <c r="M41" s="1" t="s">
        <v>87</v>
      </c>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row>
    <row r="42" s="29" customFormat="true" ht="12.8" hidden="false" customHeight="false" outlineLevel="0" collapsed="false">
      <c r="A42" s="1"/>
      <c r="B42" s="1"/>
      <c r="C42" s="1"/>
      <c r="D42" s="1"/>
      <c r="E42" s="1"/>
      <c r="F42" s="1"/>
      <c r="G42" s="4" t="s">
        <v>2</v>
      </c>
      <c r="H42" s="1" t="s">
        <v>88</v>
      </c>
      <c r="I42" s="1"/>
      <c r="J42" s="1"/>
      <c r="K42" s="1"/>
      <c r="L42" s="1"/>
      <c r="M42" s="1" t="s">
        <v>89</v>
      </c>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row>
    <row r="43" s="29" customFormat="true" ht="12.8" hidden="false" customHeight="false" outlineLevel="0" collapsed="false">
      <c r="A43" s="1"/>
      <c r="B43" s="1"/>
      <c r="C43" s="1"/>
      <c r="D43" s="1"/>
      <c r="E43" s="1"/>
      <c r="F43" s="1"/>
      <c r="G43" s="1"/>
      <c r="H43" s="1"/>
      <c r="I43" s="1"/>
      <c r="J43" s="1"/>
      <c r="K43" s="1"/>
      <c r="L43" s="1"/>
      <c r="M43" s="1" t="s">
        <v>90</v>
      </c>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row>
    <row r="44" s="29" customFormat="true" ht="12.8" hidden="false" customHeight="false" outlineLevel="0" collapsed="false">
      <c r="A44" s="1" t="s">
        <v>91</v>
      </c>
      <c r="B44" s="1"/>
      <c r="C44" s="1"/>
      <c r="D44" s="1"/>
      <c r="E44" s="1"/>
      <c r="F44" s="1"/>
      <c r="G44" s="1"/>
      <c r="H44" s="1"/>
      <c r="I44" s="1" t="s">
        <v>92</v>
      </c>
      <c r="J44" s="1"/>
      <c r="K44" s="1"/>
      <c r="L44" s="1"/>
      <c r="M44" s="1" t="s">
        <v>93</v>
      </c>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row>
    <row r="45" customFormat="false" ht="12.8" hidden="false" customHeight="false" outlineLevel="0" collapsed="false">
      <c r="B45" s="30" t="s">
        <v>2</v>
      </c>
      <c r="C45" s="1" t="s">
        <v>94</v>
      </c>
      <c r="I45" s="1" t="s">
        <v>95</v>
      </c>
      <c r="M45" s="4" t="s">
        <v>2</v>
      </c>
      <c r="N45" s="1" t="s">
        <v>96</v>
      </c>
    </row>
    <row r="46" customFormat="false" ht="12.8" hidden="false" customHeight="false" outlineLevel="0" collapsed="false">
      <c r="I46" s="1" t="s">
        <v>97</v>
      </c>
      <c r="L46" s="4"/>
      <c r="M46" s="4" t="s">
        <v>2</v>
      </c>
      <c r="N46" s="1" t="s">
        <v>98</v>
      </c>
    </row>
    <row r="47" s="30" customFormat="true" ht="12.8" hidden="false" customHeight="false" outlineLevel="0" collapsed="false">
      <c r="A47" s="1"/>
      <c r="B47" s="1"/>
      <c r="C47" s="1"/>
      <c r="D47" s="1"/>
      <c r="E47" s="1"/>
      <c r="F47" s="1"/>
      <c r="G47" s="1"/>
      <c r="H47" s="1"/>
      <c r="I47" s="1"/>
      <c r="J47" s="1"/>
      <c r="K47" s="1"/>
      <c r="L47" s="4"/>
      <c r="M47" s="4" t="s">
        <v>2</v>
      </c>
      <c r="N47" s="1" t="s">
        <v>99</v>
      </c>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row>
    <row r="48" customFormat="false" ht="12.8" hidden="false" customHeight="false" outlineLevel="0" collapsed="false">
      <c r="B48" s="24" t="s">
        <v>100</v>
      </c>
      <c r="C48" s="1" t="s">
        <v>101</v>
      </c>
      <c r="L48" s="4" t="s">
        <v>2</v>
      </c>
      <c r="M48" s="1" t="s">
        <v>102</v>
      </c>
    </row>
    <row r="49" customFormat="false" ht="12.8" hidden="false" customHeight="false" outlineLevel="0" collapsed="false">
      <c r="B49" s="24" t="s">
        <v>103</v>
      </c>
      <c r="C49" s="1" t="s">
        <v>104</v>
      </c>
      <c r="L49" s="4" t="s">
        <v>2</v>
      </c>
      <c r="M49" s="5" t="s">
        <v>105</v>
      </c>
    </row>
    <row r="50" s="7" customFormat="true" ht="12.8" hidden="false" customHeight="false" outlineLevel="0" collapsed="false">
      <c r="A50" s="1"/>
      <c r="B50" s="24" t="s">
        <v>106</v>
      </c>
      <c r="C50" s="1" t="s">
        <v>107</v>
      </c>
      <c r="D50" s="1"/>
      <c r="E50" s="1"/>
      <c r="F50" s="1"/>
      <c r="G50" s="1"/>
      <c r="H50" s="1"/>
      <c r="I50" s="1"/>
      <c r="J50" s="1"/>
      <c r="K50" s="1"/>
      <c r="L50" s="4"/>
      <c r="M50" s="5" t="s">
        <v>108</v>
      </c>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row>
    <row r="51" s="7" customFormat="true" ht="12.8" hidden="false" customHeight="fals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row>
    <row r="52" s="31" customFormat="true" ht="12.8" hidden="false" customHeight="fals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row>
    <row r="53" s="31" customFormat="true" ht="12.8" hidden="false" customHeight="false" outlineLevel="0" collapsed="false">
      <c r="A53" s="1"/>
      <c r="B53" s="1"/>
      <c r="C53" s="1"/>
      <c r="D53" s="1"/>
      <c r="E53" s="1"/>
      <c r="F53" s="1"/>
      <c r="G53" s="1"/>
      <c r="H53" s="1"/>
      <c r="I53" s="1"/>
      <c r="J53" s="1"/>
      <c r="K53" s="1"/>
      <c r="L53" s="1"/>
      <c r="M53" s="4"/>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row>
    <row r="54" s="32" customFormat="true" ht="12.8" hidden="false" customHeight="false" outlineLevel="0" collapsed="false">
      <c r="A54" s="1"/>
      <c r="B54" s="2" t="s">
        <v>109</v>
      </c>
      <c r="C54" s="1" t="s">
        <v>110</v>
      </c>
      <c r="D54" s="1"/>
      <c r="E54" s="1"/>
      <c r="F54" s="1"/>
      <c r="G54" s="1"/>
      <c r="H54" s="1"/>
      <c r="I54" s="1"/>
      <c r="J54" s="1"/>
      <c r="K54" s="1"/>
      <c r="L54" s="4"/>
      <c r="M54" s="4"/>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row>
    <row r="55" s="32" customFormat="true" ht="12.8" hidden="false" customHeight="false" outlineLevel="0" collapsed="false">
      <c r="A55" s="1"/>
      <c r="B55" s="2" t="s">
        <v>111</v>
      </c>
      <c r="C55" s="1" t="s">
        <v>112</v>
      </c>
      <c r="D55" s="1"/>
      <c r="E55" s="1"/>
      <c r="F55" s="1"/>
      <c r="G55" s="1"/>
      <c r="H55" s="1"/>
      <c r="I55" s="1"/>
      <c r="J55" s="1"/>
      <c r="K55" s="1"/>
      <c r="L55" s="4"/>
      <c r="M55" s="4"/>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row>
    <row r="56" s="32" customFormat="true" ht="12.8" hidden="false" customHeight="false" outlineLevel="0" collapsed="false">
      <c r="A56" s="1"/>
      <c r="B56" s="24" t="s">
        <v>113</v>
      </c>
      <c r="C56" s="1" t="s">
        <v>114</v>
      </c>
      <c r="D56" s="1"/>
      <c r="E56" s="1"/>
      <c r="F56" s="1"/>
      <c r="G56" s="1"/>
      <c r="H56" s="1"/>
      <c r="I56" s="1"/>
      <c r="J56" s="1"/>
      <c r="K56" s="1"/>
      <c r="L56" s="4"/>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row>
    <row r="57" s="32" customFormat="true" ht="12.8" hidden="false" customHeight="false" outlineLevel="0" collapsed="false">
      <c r="A57" s="0"/>
      <c r="B57" s="0"/>
      <c r="C57" s="0"/>
      <c r="D57" s="0"/>
      <c r="E57" s="0"/>
      <c r="F57" s="0"/>
      <c r="G57" s="0"/>
      <c r="H57" s="0"/>
      <c r="I57" s="0"/>
      <c r="J57" s="0"/>
      <c r="K57" s="0"/>
      <c r="L57" s="4"/>
      <c r="M57" s="5"/>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row>
    <row r="58" customFormat="false" ht="12.8" hidden="false" customHeight="false" outlineLevel="0" collapsed="false">
      <c r="A58" s="0"/>
      <c r="B58" s="0"/>
      <c r="C58" s="0"/>
      <c r="D58" s="0"/>
      <c r="E58" s="0"/>
      <c r="F58" s="0"/>
      <c r="G58" s="0"/>
      <c r="H58" s="0"/>
      <c r="I58" s="0"/>
      <c r="J58" s="0"/>
      <c r="K58" s="0"/>
      <c r="L58" s="4"/>
      <c r="M58" s="5"/>
    </row>
    <row r="59" customFormat="false" ht="12.8" hidden="false" customHeight="false" outlineLevel="0" collapsed="false">
      <c r="A59" s="0"/>
      <c r="B59" s="0"/>
      <c r="C59" s="0"/>
      <c r="D59" s="0"/>
      <c r="E59" s="0"/>
      <c r="F59" s="0"/>
      <c r="G59" s="0"/>
      <c r="H59" s="0"/>
      <c r="I59" s="0"/>
      <c r="J59" s="0"/>
      <c r="K59" s="0"/>
      <c r="L59" s="4"/>
      <c r="M59" s="4"/>
    </row>
    <row r="60" customFormat="false" ht="12.8" hidden="false" customHeight="false" outlineLevel="0" collapsed="false">
      <c r="A60" s="0"/>
      <c r="B60" s="0"/>
      <c r="C60" s="0"/>
      <c r="D60" s="0"/>
      <c r="E60" s="0"/>
      <c r="F60" s="0"/>
      <c r="G60" s="0"/>
      <c r="H60" s="0"/>
      <c r="I60" s="0"/>
      <c r="J60" s="0"/>
      <c r="K60" s="0"/>
      <c r="L60" s="4"/>
    </row>
    <row r="61" customFormat="false" ht="12.8" hidden="false" customHeight="false" outlineLevel="0" collapsed="false">
      <c r="A61" s="0"/>
      <c r="B61" s="0"/>
      <c r="C61" s="0"/>
      <c r="D61" s="0"/>
      <c r="E61" s="0"/>
      <c r="F61" s="0"/>
      <c r="G61" s="0"/>
      <c r="H61" s="0"/>
      <c r="I61" s="0"/>
      <c r="J61" s="0"/>
      <c r="K61" s="0"/>
    </row>
    <row r="63" customFormat="false" ht="12.8" hidden="false" customHeight="false" outlineLevel="0" collapsed="false">
      <c r="L63" s="4"/>
    </row>
    <row r="67" customFormat="false" ht="12.8" hidden="false" customHeight="false" outlineLevel="0" collapsed="false">
      <c r="A67" s="1" t="s">
        <v>115</v>
      </c>
      <c r="B67" s="22" t="s">
        <v>116</v>
      </c>
    </row>
    <row r="68" customFormat="false" ht="12.8" hidden="false" customHeight="false" outlineLevel="0" collapsed="false">
      <c r="B68" s="1" t="s">
        <v>117</v>
      </c>
    </row>
    <row r="69" customFormat="false" ht="12.8" hidden="false" customHeight="false" outlineLevel="0" collapsed="false">
      <c r="B69" s="22" t="s">
        <v>118</v>
      </c>
    </row>
    <row r="72" customFormat="false" ht="12.8" hidden="false" customHeight="false" outlineLevel="0" collapsed="false">
      <c r="A72" s="24" t="s">
        <v>119</v>
      </c>
      <c r="B72" s="1" t="s">
        <v>120</v>
      </c>
    </row>
    <row r="73" customFormat="false" ht="12.8" hidden="false" customHeight="false" outlineLevel="0" collapsed="false">
      <c r="B73" s="4" t="s">
        <v>2</v>
      </c>
      <c r="C73" s="1" t="s">
        <v>121</v>
      </c>
    </row>
    <row r="74" customFormat="false" ht="12.8" hidden="false" customHeight="false" outlineLevel="0" collapsed="false">
      <c r="A74" s="24" t="s">
        <v>122</v>
      </c>
      <c r="B74" s="30" t="s">
        <v>123</v>
      </c>
      <c r="C74" s="1" t="s">
        <v>124</v>
      </c>
    </row>
    <row r="75" customFormat="false" ht="12.8" hidden="false" customHeight="false" outlineLevel="0" collapsed="false">
      <c r="A75" s="25" t="s">
        <v>125</v>
      </c>
      <c r="B75" s="30" t="s">
        <v>123</v>
      </c>
      <c r="C75" s="1" t="s">
        <v>126</v>
      </c>
    </row>
    <row r="76" customFormat="false" ht="12.8" hidden="false" customHeight="false" outlineLevel="0" collapsed="false">
      <c r="A76" s="25" t="s">
        <v>127</v>
      </c>
      <c r="B76" s="30" t="s">
        <v>123</v>
      </c>
      <c r="C76" s="1" t="s">
        <v>128</v>
      </c>
    </row>
    <row r="77" customFormat="false" ht="12.8" hidden="false" customHeight="false" outlineLevel="0" collapsed="false">
      <c r="A77" s="25"/>
    </row>
    <row r="83" customFormat="false" ht="12.8" hidden="false" customHeight="false" outlineLevel="0" collapsed="false">
      <c r="A83" s="25" t="s">
        <v>129</v>
      </c>
      <c r="B83" s="4" t="s">
        <v>2</v>
      </c>
      <c r="C83" s="1" t="s">
        <v>130</v>
      </c>
    </row>
    <row r="84" customFormat="false" ht="12.8" hidden="false" customHeight="false" outlineLevel="0" collapsed="false">
      <c r="B84" s="4" t="s">
        <v>2</v>
      </c>
      <c r="C84" s="1" t="s">
        <v>131</v>
      </c>
    </row>
    <row r="85" customFormat="false" ht="12.8" hidden="false" customHeight="false" outlineLevel="0" collapsed="false">
      <c r="B85" s="4"/>
      <c r="C85" s="4" t="s">
        <v>2</v>
      </c>
      <c r="D85" s="1" t="s">
        <v>132</v>
      </c>
    </row>
    <row r="86" customFormat="false" ht="12.8" hidden="false" customHeight="false" outlineLevel="0" collapsed="false">
      <c r="B86" s="4"/>
      <c r="D86" s="1" t="s">
        <v>133</v>
      </c>
    </row>
    <row r="90" customFormat="false" ht="12.8" hidden="false" customHeight="false" outlineLevel="0" collapsed="false">
      <c r="A90" s="1" t="s">
        <v>134</v>
      </c>
      <c r="B90" s="4" t="s">
        <v>2</v>
      </c>
      <c r="C90" s="24" t="s">
        <v>135</v>
      </c>
    </row>
    <row r="91" customFormat="false" ht="12.8" hidden="false" customHeight="false" outlineLevel="0" collapsed="false">
      <c r="C91" s="4" t="s">
        <v>2</v>
      </c>
      <c r="D91" s="1" t="s">
        <v>136</v>
      </c>
    </row>
    <row r="96" customFormat="false" ht="12.8" hidden="false" customHeight="false" outlineLevel="0" collapsed="false">
      <c r="A96" s="1" t="s">
        <v>137</v>
      </c>
      <c r="B96" s="4" t="s">
        <v>2</v>
      </c>
      <c r="C96" s="1" t="s">
        <v>138</v>
      </c>
    </row>
    <row r="97" customFormat="false" ht="12.8" hidden="false" customHeight="false" outlineLevel="0" collapsed="false">
      <c r="C97" s="1" t="s">
        <v>139</v>
      </c>
    </row>
    <row r="98" customFormat="false" ht="12.8" hidden="false" customHeight="false" outlineLevel="0" collapsed="false">
      <c r="B98" s="4" t="s">
        <v>2</v>
      </c>
      <c r="C98" s="1" t="s">
        <v>140</v>
      </c>
    </row>
    <row r="99" customFormat="false" ht="12.8" hidden="false" customHeight="false" outlineLevel="0" collapsed="false">
      <c r="B99" s="4" t="s">
        <v>2</v>
      </c>
      <c r="C99" s="1" t="s">
        <v>141</v>
      </c>
    </row>
    <row r="100" customFormat="false" ht="12.8" hidden="false" customHeight="false" outlineLevel="0" collapsed="false">
      <c r="C100" s="1" t="s">
        <v>142</v>
      </c>
    </row>
    <row r="101" customFormat="false" ht="12.8" hidden="false" customHeight="false" outlineLevel="0" collapsed="false">
      <c r="I101" s="4"/>
      <c r="K101" s="5"/>
    </row>
    <row r="102" customFormat="false" ht="12.8" hidden="false" customHeight="false" outlineLevel="0" collapsed="false">
      <c r="J102" s="5"/>
      <c r="L102" s="4" t="s">
        <v>2</v>
      </c>
      <c r="M102" s="5" t="s">
        <v>143</v>
      </c>
    </row>
    <row r="103" customFormat="false" ht="12.8" hidden="false" customHeight="false" outlineLevel="0" collapsed="false">
      <c r="B103" s="4" t="s">
        <v>2</v>
      </c>
      <c r="C103" s="1" t="s">
        <v>144</v>
      </c>
      <c r="M103" s="1" t="s">
        <v>145</v>
      </c>
    </row>
    <row r="104" customFormat="false" ht="12.8" hidden="false" customHeight="false" outlineLevel="0" collapsed="false">
      <c r="C104" s="1" t="s">
        <v>146</v>
      </c>
      <c r="J104" s="4"/>
      <c r="M104" s="4" t="s">
        <v>2</v>
      </c>
      <c r="N104" s="1" t="s">
        <v>147</v>
      </c>
    </row>
    <row r="105" customFormat="false" ht="12.8" hidden="false" customHeight="false" outlineLevel="0" collapsed="false">
      <c r="C105" s="1" t="s">
        <v>148</v>
      </c>
      <c r="D105" s="5"/>
      <c r="N105" s="1" t="s">
        <v>149</v>
      </c>
    </row>
    <row r="106" customFormat="false" ht="12.8" hidden="false" customHeight="false" outlineLevel="0" collapsed="false">
      <c r="C106" s="4" t="s">
        <v>2</v>
      </c>
      <c r="D106" s="5" t="s">
        <v>150</v>
      </c>
      <c r="J106" s="4"/>
      <c r="K106" s="5"/>
      <c r="M106" s="4" t="s">
        <v>2</v>
      </c>
      <c r="N106" s="5" t="s">
        <v>151</v>
      </c>
    </row>
    <row r="107" customFormat="false" ht="12.8" hidden="false" customHeight="false" outlineLevel="0" collapsed="false">
      <c r="L107" s="4"/>
      <c r="N107" s="1" t="s">
        <v>152</v>
      </c>
    </row>
    <row r="108" customFormat="false" ht="13.8" hidden="false" customHeight="false" outlineLevel="0" collapsed="false">
      <c r="B108" s="4" t="s">
        <v>2</v>
      </c>
      <c r="C108" s="1" t="s">
        <v>153</v>
      </c>
      <c r="N108" s="1" t="s">
        <v>154</v>
      </c>
      <c r="R108" s="33"/>
    </row>
    <row r="109" customFormat="false" ht="13.8" hidden="false" customHeight="false" outlineLevel="0" collapsed="false">
      <c r="C109" s="1" t="s">
        <v>155</v>
      </c>
      <c r="J109" s="4"/>
      <c r="K109" s="5"/>
      <c r="O109" s="4" t="s">
        <v>2</v>
      </c>
      <c r="P109" s="1" t="s">
        <v>156</v>
      </c>
      <c r="R109" s="33"/>
    </row>
    <row r="110" customFormat="false" ht="13.8" hidden="false" customHeight="false" outlineLevel="0" collapsed="false">
      <c r="C110" s="4" t="s">
        <v>2</v>
      </c>
      <c r="D110" s="22" t="s">
        <v>157</v>
      </c>
      <c r="O110" s="4" t="s">
        <v>2</v>
      </c>
      <c r="P110" s="33" t="s">
        <v>158</v>
      </c>
      <c r="R110" s="33"/>
    </row>
    <row r="111" customFormat="false" ht="13.1" hidden="false" customHeight="false" outlineLevel="0" collapsed="false">
      <c r="C111" s="4" t="s">
        <v>2</v>
      </c>
      <c r="D111" s="22" t="s">
        <v>159</v>
      </c>
      <c r="M111" s="4" t="s">
        <v>2</v>
      </c>
      <c r="N111" s="5" t="s">
        <v>160</v>
      </c>
    </row>
    <row r="112" customFormat="false" ht="13.1" hidden="false" customHeight="false" outlineLevel="0" collapsed="false">
      <c r="C112" s="4"/>
      <c r="D112" s="4" t="s">
        <v>2</v>
      </c>
      <c r="E112" s="24" t="s">
        <v>161</v>
      </c>
      <c r="J112" s="4"/>
      <c r="N112" s="1" t="s">
        <v>162</v>
      </c>
    </row>
    <row r="113" customFormat="false" ht="13.1" hidden="false" customHeight="false" outlineLevel="0" collapsed="false">
      <c r="C113" s="34" t="s">
        <v>2</v>
      </c>
      <c r="D113" s="35" t="s">
        <v>163</v>
      </c>
      <c r="L113" s="4"/>
      <c r="N113" s="1" t="s">
        <v>164</v>
      </c>
    </row>
    <row r="114" customFormat="false" ht="13.1" hidden="false" customHeight="false" outlineLevel="0" collapsed="false">
      <c r="C114" s="4" t="s">
        <v>2</v>
      </c>
      <c r="D114" s="22" t="s">
        <v>165</v>
      </c>
      <c r="L114" s="4"/>
      <c r="M114" s="4" t="s">
        <v>2</v>
      </c>
      <c r="N114" s="1" t="s">
        <v>166</v>
      </c>
    </row>
    <row r="115" customFormat="false" ht="13.1" hidden="false" customHeight="false" outlineLevel="0" collapsed="false">
      <c r="C115" s="4"/>
      <c r="D115" s="4" t="s">
        <v>2</v>
      </c>
      <c r="E115" s="1" t="s">
        <v>167</v>
      </c>
    </row>
    <row r="116" customFormat="false" ht="12.8" hidden="false" customHeight="false" outlineLevel="0" collapsed="false">
      <c r="C116" s="4" t="s">
        <v>2</v>
      </c>
      <c r="D116" s="22" t="s">
        <v>168</v>
      </c>
      <c r="L116" s="4" t="s">
        <v>2</v>
      </c>
      <c r="M116" s="1" t="s">
        <v>169</v>
      </c>
    </row>
    <row r="117" customFormat="false" ht="12.8" hidden="false" customHeight="false" outlineLevel="0" collapsed="false">
      <c r="C117" s="4"/>
      <c r="D117" s="4" t="s">
        <v>2</v>
      </c>
      <c r="E117" s="1" t="s">
        <v>170</v>
      </c>
      <c r="M117" s="4" t="s">
        <v>2</v>
      </c>
      <c r="N117" s="36" t="s">
        <v>171</v>
      </c>
    </row>
    <row r="118" customFormat="false" ht="12.8" hidden="false" customHeight="false" outlineLevel="0" collapsed="false">
      <c r="C118" s="4"/>
      <c r="D118" s="22"/>
      <c r="E118" s="1" t="s">
        <v>172</v>
      </c>
      <c r="N118" s="1" t="s">
        <v>173</v>
      </c>
    </row>
    <row r="119" customFormat="false" ht="12.8" hidden="false" customHeight="false" outlineLevel="0" collapsed="false">
      <c r="C119" s="4" t="s">
        <v>2</v>
      </c>
      <c r="D119" s="22" t="s">
        <v>174</v>
      </c>
      <c r="L119" s="4"/>
    </row>
    <row r="120" customFormat="false" ht="12.8" hidden="false" customHeight="false" outlineLevel="0" collapsed="false">
      <c r="B120" s="4" t="s">
        <v>2</v>
      </c>
      <c r="C120" s="2" t="s">
        <v>175</v>
      </c>
      <c r="D120" s="22"/>
    </row>
    <row r="121" customFormat="false" ht="12.8" hidden="false" customHeight="false" outlineLevel="0" collapsed="false">
      <c r="C121" s="5" t="s">
        <v>176</v>
      </c>
      <c r="D121" s="22"/>
    </row>
    <row r="122" customFormat="false" ht="12.8" hidden="false" customHeight="false" outlineLevel="0" collapsed="false">
      <c r="C122" s="4" t="s">
        <v>2</v>
      </c>
      <c r="D122" s="24" t="s">
        <v>177</v>
      </c>
    </row>
    <row r="123" customFormat="false" ht="12.8" hidden="false" customHeight="false" outlineLevel="0" collapsed="false">
      <c r="B123" s="4" t="s">
        <v>2</v>
      </c>
      <c r="C123" s="37" t="s">
        <v>178</v>
      </c>
      <c r="D123" s="24"/>
    </row>
    <row r="124" customFormat="false" ht="12.8" hidden="false" customHeight="false" outlineLevel="0" collapsed="false">
      <c r="B124" s="4"/>
      <c r="C124" s="38"/>
      <c r="D124" s="22"/>
    </row>
    <row r="125" customFormat="false" ht="12.8" hidden="false" customHeight="false" outlineLevel="0" collapsed="false">
      <c r="C125" s="4"/>
      <c r="D125" s="22"/>
    </row>
    <row r="126" customFormat="false" ht="12.8" hidden="false" customHeight="false" outlineLevel="0" collapsed="false">
      <c r="C126" s="4"/>
      <c r="D126" s="22"/>
    </row>
    <row r="127" customFormat="false" ht="12.8" hidden="false" customHeight="false" outlineLevel="0" collapsed="false">
      <c r="C127" s="4"/>
      <c r="D127" s="22"/>
    </row>
    <row r="128" customFormat="false" ht="12.8" hidden="false" customHeight="false" outlineLevel="0" collapsed="false">
      <c r="B128" s="4" t="s">
        <v>2</v>
      </c>
      <c r="C128" s="5" t="s">
        <v>179</v>
      </c>
    </row>
    <row r="129" customFormat="false" ht="12.8" hidden="false" customHeight="false" outlineLevel="0" collapsed="false">
      <c r="C129" s="4" t="s">
        <v>2</v>
      </c>
      <c r="D129" s="1" t="s">
        <v>180</v>
      </c>
    </row>
    <row r="130" customFormat="false" ht="12.8" hidden="false" customHeight="false" outlineLevel="0" collapsed="false">
      <c r="B130" s="4" t="s">
        <v>2</v>
      </c>
      <c r="C130" s="5" t="s">
        <v>181</v>
      </c>
    </row>
    <row r="131" customFormat="false" ht="12.8" hidden="false" customHeight="false" outlineLevel="0" collapsed="false">
      <c r="C131" s="5" t="s">
        <v>182</v>
      </c>
    </row>
    <row r="132" customFormat="false" ht="12.8" hidden="false" customHeight="false" outlineLevel="0" collapsed="false">
      <c r="C132" s="4"/>
    </row>
    <row r="133" customFormat="false" ht="12.8" hidden="false" customHeight="false" outlineLevel="0" collapsed="false">
      <c r="B133" s="4" t="s">
        <v>2</v>
      </c>
      <c r="C133" s="5" t="s">
        <v>183</v>
      </c>
    </row>
    <row r="134" customFormat="false" ht="12.8" hidden="false" customHeight="false" outlineLevel="0" collapsed="false">
      <c r="B134" s="4"/>
      <c r="C134" s="5"/>
    </row>
    <row r="135" customFormat="false" ht="12.8" hidden="false" customHeight="false" outlineLevel="0" collapsed="false">
      <c r="B135" s="4"/>
      <c r="C135" s="5"/>
    </row>
    <row r="136" customFormat="false" ht="12.8" hidden="false" customHeight="false" outlineLevel="0" collapsed="false">
      <c r="B136" s="4" t="s">
        <v>2</v>
      </c>
      <c r="C136" s="5" t="s">
        <v>184</v>
      </c>
    </row>
    <row r="137" customFormat="false" ht="12.8" hidden="false" customHeight="false" outlineLevel="0" collapsed="false">
      <c r="C137" s="5" t="s">
        <v>185</v>
      </c>
    </row>
    <row r="138" customFormat="false" ht="12.8" hidden="false" customHeight="false" outlineLevel="0" collapsed="false">
      <c r="C138" s="4" t="s">
        <v>2</v>
      </c>
      <c r="D138" s="24" t="s">
        <v>186</v>
      </c>
    </row>
    <row r="139" customFormat="false" ht="12.8" hidden="false" customHeight="false" outlineLevel="0" collapsed="false">
      <c r="C139" s="5"/>
    </row>
    <row r="140" customFormat="false" ht="12.8" hidden="false" customHeight="false" outlineLevel="0" collapsed="false">
      <c r="C140" s="5"/>
    </row>
    <row r="141" customFormat="false" ht="12.8" hidden="false" customHeight="false" outlineLevel="0" collapsed="false">
      <c r="B141" s="4" t="s">
        <v>2</v>
      </c>
      <c r="C141" s="5" t="s">
        <v>187</v>
      </c>
    </row>
    <row r="142" customFormat="false" ht="12.8" hidden="false" customHeight="false" outlineLevel="0" collapsed="false">
      <c r="C142" s="5" t="s">
        <v>188</v>
      </c>
    </row>
    <row r="143" customFormat="false" ht="12.8" hidden="false" customHeight="false" outlineLevel="0" collapsed="false">
      <c r="B143" s="4" t="s">
        <v>2</v>
      </c>
      <c r="C143" s="5" t="s">
        <v>189</v>
      </c>
    </row>
    <row r="144" customFormat="false" ht="12.8" hidden="false" customHeight="false" outlineLevel="0" collapsed="false">
      <c r="C144" s="5" t="s">
        <v>190</v>
      </c>
    </row>
    <row r="145" customFormat="false" ht="12.8" hidden="false" customHeight="false" outlineLevel="0" collapsed="false">
      <c r="B145" s="4" t="s">
        <v>2</v>
      </c>
      <c r="C145" s="5" t="s">
        <v>191</v>
      </c>
    </row>
    <row r="146" customFormat="false" ht="12.8" hidden="false" customHeight="false" outlineLevel="0" collapsed="false">
      <c r="B146" s="4" t="s">
        <v>2</v>
      </c>
      <c r="C146" s="5" t="s">
        <v>192</v>
      </c>
      <c r="AM146" s="3"/>
      <c r="AN146" s="3"/>
      <c r="AO146" s="3"/>
    </row>
    <row r="147" customFormat="false" ht="12.8" hidden="false" customHeight="false" outlineLevel="0" collapsed="false">
      <c r="B147" s="4" t="s">
        <v>2</v>
      </c>
      <c r="C147" s="5" t="s">
        <v>193</v>
      </c>
      <c r="W147" s="3"/>
      <c r="X147" s="3"/>
      <c r="Y147" s="3"/>
      <c r="Z147" s="3"/>
      <c r="AA147" s="3"/>
      <c r="AB147" s="3"/>
      <c r="AC147" s="3"/>
      <c r="AD147" s="3"/>
      <c r="AE147" s="3"/>
      <c r="AF147" s="3"/>
      <c r="AG147" s="3"/>
      <c r="AH147" s="3"/>
      <c r="AI147" s="3"/>
      <c r="AJ147" s="3"/>
      <c r="AK147" s="3"/>
      <c r="AL147" s="3"/>
      <c r="AM147" s="3"/>
      <c r="AN147" s="3"/>
      <c r="AO147" s="3"/>
    </row>
    <row r="148" customFormat="false" ht="12.8" hidden="false" customHeight="false" outlineLevel="0" collapsed="false">
      <c r="B148" s="4"/>
      <c r="C148" s="5"/>
      <c r="W148" s="3"/>
      <c r="X148" s="3"/>
      <c r="Y148" s="3"/>
      <c r="Z148" s="3"/>
      <c r="AA148" s="3"/>
      <c r="AB148" s="3"/>
      <c r="AC148" s="3"/>
      <c r="AD148" s="3"/>
      <c r="AE148" s="3"/>
      <c r="AF148" s="3"/>
      <c r="AG148" s="3"/>
      <c r="AH148" s="3"/>
      <c r="AI148" s="3"/>
      <c r="AJ148" s="3"/>
      <c r="AK148" s="3"/>
      <c r="AL148" s="3"/>
      <c r="AM148" s="3"/>
      <c r="AN148" s="3"/>
      <c r="AO148" s="3"/>
      <c r="AP148" s="3"/>
      <c r="AQ148" s="3"/>
    </row>
    <row r="149" customFormat="false" ht="12.8" hidden="false" customHeight="false" outlineLevel="0" collapsed="false">
      <c r="B149" s="4" t="s">
        <v>2</v>
      </c>
      <c r="C149" s="5" t="s">
        <v>194</v>
      </c>
      <c r="S149" s="3"/>
      <c r="W149" s="3"/>
      <c r="X149" s="3"/>
      <c r="Y149" s="3"/>
      <c r="Z149" s="3"/>
      <c r="AA149" s="3"/>
      <c r="AB149" s="3"/>
      <c r="AC149" s="3"/>
      <c r="AD149" s="3"/>
      <c r="AE149" s="3"/>
      <c r="AF149" s="3"/>
      <c r="AG149" s="3"/>
      <c r="AH149" s="3"/>
      <c r="AI149" s="3"/>
      <c r="AJ149" s="3"/>
      <c r="AK149" s="3"/>
      <c r="AL149" s="3"/>
      <c r="AM149" s="3"/>
      <c r="AN149" s="3"/>
      <c r="AO149" s="3"/>
      <c r="AP149" s="3"/>
      <c r="AQ149" s="3"/>
    </row>
    <row r="150" customFormat="false" ht="12.8" hidden="false" customHeight="false" outlineLevel="0" collapsed="false">
      <c r="B150" s="4"/>
      <c r="C150" s="5" t="s">
        <v>195</v>
      </c>
      <c r="S150" s="3"/>
      <c r="W150" s="3"/>
      <c r="X150" s="3"/>
      <c r="Y150" s="3"/>
      <c r="Z150" s="3"/>
      <c r="AA150" s="3"/>
      <c r="AB150" s="3"/>
      <c r="AC150" s="3"/>
      <c r="AD150" s="3"/>
      <c r="AE150" s="3"/>
      <c r="AF150" s="3"/>
      <c r="AG150" s="3"/>
      <c r="AH150" s="3"/>
      <c r="AI150" s="3"/>
      <c r="AJ150" s="3"/>
      <c r="AK150" s="3"/>
      <c r="AL150" s="3"/>
      <c r="AM150" s="3"/>
      <c r="AN150" s="3"/>
      <c r="AO150" s="3"/>
      <c r="AP150" s="3"/>
      <c r="AQ150" s="3"/>
    </row>
    <row r="151" customFormat="false" ht="12.8" hidden="false" customHeight="false" outlineLevel="0" collapsed="false">
      <c r="B151" s="4"/>
      <c r="C151" s="5" t="s">
        <v>196</v>
      </c>
      <c r="S151" s="3"/>
      <c r="W151" s="3"/>
      <c r="X151" s="3"/>
      <c r="Y151" s="3"/>
      <c r="Z151" s="3"/>
      <c r="AA151" s="3"/>
      <c r="AB151" s="3"/>
      <c r="AC151" s="3"/>
      <c r="AD151" s="3"/>
      <c r="AE151" s="3"/>
      <c r="AF151" s="3"/>
      <c r="AG151" s="3"/>
      <c r="AH151" s="3"/>
      <c r="AI151" s="3"/>
      <c r="AJ151" s="3"/>
      <c r="AK151" s="3"/>
      <c r="AL151" s="3"/>
      <c r="AM151" s="3"/>
      <c r="AN151" s="3"/>
      <c r="AO151" s="3"/>
      <c r="AP151" s="3"/>
      <c r="AQ151" s="3"/>
    </row>
    <row r="152" customFormat="false" ht="12.8" hidden="false" customHeight="false" outlineLevel="0" collapsed="false">
      <c r="B152" s="4"/>
      <c r="C152" s="5"/>
      <c r="S152" s="3"/>
      <c r="W152" s="3"/>
      <c r="X152" s="3"/>
      <c r="Y152" s="3"/>
      <c r="Z152" s="3"/>
      <c r="AA152" s="3"/>
      <c r="AB152" s="3"/>
      <c r="AC152" s="3"/>
      <c r="AD152" s="3"/>
      <c r="AE152" s="3"/>
      <c r="AF152" s="3"/>
      <c r="AG152" s="3"/>
      <c r="AH152" s="3"/>
      <c r="AI152" s="3"/>
      <c r="AJ152" s="3"/>
      <c r="AK152" s="3"/>
      <c r="AL152" s="3"/>
      <c r="AM152" s="3"/>
      <c r="AN152" s="3"/>
      <c r="AO152" s="3"/>
      <c r="AP152" s="3"/>
      <c r="AQ152" s="3"/>
    </row>
    <row r="153" customFormat="false" ht="12.8" hidden="false" customHeight="false" outlineLevel="0" collapsed="false">
      <c r="C153" s="4"/>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row>
    <row r="154" customFormat="false" ht="12.8" hidden="false" customHeight="false" outlineLevel="0" collapsed="false">
      <c r="C154" s="4"/>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row>
    <row r="155" customFormat="false" ht="12.8" hidden="false" customHeight="false" outlineLevel="0" collapsed="false">
      <c r="C155" s="4"/>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18"/>
      <c r="AN155" s="18"/>
      <c r="AO155" s="18"/>
      <c r="AP155" s="3"/>
      <c r="AQ155" s="3"/>
    </row>
    <row r="156" customFormat="false" ht="12.8" hidden="false" customHeight="false" outlineLevel="0" collapsed="false">
      <c r="A156" s="1" t="s">
        <v>197</v>
      </c>
      <c r="B156" s="4" t="s">
        <v>2</v>
      </c>
      <c r="C156" s="5" t="s">
        <v>198</v>
      </c>
      <c r="M156" s="3"/>
      <c r="N156" s="3"/>
      <c r="O156" s="3"/>
      <c r="P156" s="3"/>
      <c r="Q156" s="3"/>
      <c r="R156" s="3"/>
      <c r="S156" s="3"/>
      <c r="T156" s="3"/>
      <c r="U156" s="3"/>
      <c r="V156" s="3"/>
      <c r="W156" s="18"/>
      <c r="X156" s="18"/>
      <c r="Y156" s="18"/>
      <c r="Z156" s="18"/>
      <c r="AA156" s="18"/>
      <c r="AB156" s="18"/>
      <c r="AC156" s="18"/>
      <c r="AD156" s="18"/>
      <c r="AE156" s="18"/>
      <c r="AF156" s="18"/>
      <c r="AG156" s="18"/>
      <c r="AH156" s="18"/>
      <c r="AI156" s="18"/>
      <c r="AJ156" s="18"/>
      <c r="AK156" s="18"/>
      <c r="AL156" s="18"/>
      <c r="AM156" s="18"/>
      <c r="AN156" s="18"/>
      <c r="AO156" s="18"/>
      <c r="AP156" s="3"/>
      <c r="AQ156" s="3"/>
    </row>
    <row r="157" customFormat="false" ht="12.8" hidden="false" customHeight="false" outlineLevel="0" collapsed="false">
      <c r="C157" s="5" t="s">
        <v>199</v>
      </c>
      <c r="M157" s="3"/>
      <c r="N157" s="3"/>
      <c r="O157" s="3"/>
      <c r="P157" s="3"/>
      <c r="Q157" s="3"/>
      <c r="R157" s="3"/>
      <c r="S157" s="3"/>
      <c r="T157" s="3"/>
      <c r="U157" s="3"/>
      <c r="V157" s="3"/>
      <c r="W157" s="18"/>
      <c r="X157" s="18"/>
      <c r="Y157" s="18"/>
      <c r="Z157" s="18"/>
      <c r="AA157" s="18"/>
      <c r="AB157" s="18"/>
      <c r="AC157" s="18"/>
      <c r="AD157" s="18"/>
      <c r="AE157" s="18"/>
      <c r="AF157" s="18"/>
      <c r="AG157" s="18"/>
      <c r="AH157" s="18"/>
      <c r="AI157" s="18"/>
      <c r="AJ157" s="18"/>
      <c r="AK157" s="18"/>
      <c r="AL157" s="18"/>
      <c r="AM157" s="18"/>
      <c r="AN157" s="18"/>
      <c r="AO157" s="18"/>
      <c r="AP157" s="18"/>
      <c r="AQ157" s="18"/>
    </row>
    <row r="158" customFormat="false" ht="12.8" hidden="false" customHeight="false" outlineLevel="0" collapsed="false">
      <c r="C158" s="4" t="s">
        <v>2</v>
      </c>
      <c r="D158" s="39" t="s">
        <v>200</v>
      </c>
      <c r="M158" s="3"/>
      <c r="N158" s="3"/>
      <c r="O158" s="3"/>
      <c r="P158" s="3"/>
      <c r="Q158" s="3"/>
      <c r="R158" s="3"/>
      <c r="S158" s="18"/>
      <c r="T158" s="3"/>
      <c r="U158" s="3"/>
      <c r="V158" s="3"/>
      <c r="W158" s="18"/>
      <c r="X158" s="18"/>
      <c r="Y158" s="18"/>
      <c r="Z158" s="18"/>
      <c r="AA158" s="18"/>
      <c r="AB158" s="18"/>
      <c r="AC158" s="18"/>
      <c r="AD158" s="18"/>
      <c r="AE158" s="18"/>
      <c r="AF158" s="18"/>
      <c r="AG158" s="18"/>
      <c r="AH158" s="18"/>
      <c r="AI158" s="18"/>
      <c r="AJ158" s="18"/>
      <c r="AK158" s="18"/>
      <c r="AL158" s="18"/>
      <c r="AM158" s="18"/>
      <c r="AN158" s="18"/>
      <c r="AO158" s="18"/>
      <c r="AP158" s="18"/>
      <c r="AQ158" s="18"/>
    </row>
    <row r="159" customFormat="false" ht="12.8" hidden="false" customHeight="false" outlineLevel="0" collapsed="false">
      <c r="C159" s="4"/>
      <c r="D159" s="1" t="s">
        <v>201</v>
      </c>
      <c r="M159" s="3"/>
      <c r="N159" s="3"/>
      <c r="O159" s="3"/>
      <c r="P159" s="3"/>
      <c r="Q159" s="3"/>
      <c r="R159" s="3"/>
      <c r="S159" s="18"/>
      <c r="T159" s="3"/>
      <c r="U159" s="3"/>
      <c r="V159" s="3"/>
      <c r="W159" s="18"/>
      <c r="X159" s="18"/>
      <c r="Y159" s="18"/>
      <c r="Z159" s="18"/>
      <c r="AA159" s="18"/>
      <c r="AB159" s="18"/>
      <c r="AC159" s="18"/>
      <c r="AD159" s="18"/>
      <c r="AE159" s="18"/>
      <c r="AF159" s="18"/>
      <c r="AG159" s="18"/>
      <c r="AH159" s="18"/>
      <c r="AI159" s="18"/>
      <c r="AJ159" s="18"/>
      <c r="AK159" s="18"/>
      <c r="AL159" s="18"/>
      <c r="AM159" s="18"/>
      <c r="AN159" s="18"/>
      <c r="AO159" s="18"/>
      <c r="AP159" s="18"/>
      <c r="AQ159" s="18"/>
    </row>
    <row r="160" customFormat="false" ht="12.8" hidden="false" customHeight="false" outlineLevel="0" collapsed="false">
      <c r="C160" s="4"/>
      <c r="D160" s="1" t="s">
        <v>202</v>
      </c>
      <c r="M160" s="3"/>
      <c r="N160" s="3"/>
      <c r="O160" s="3"/>
      <c r="P160" s="3"/>
      <c r="Q160" s="3"/>
      <c r="R160" s="3"/>
      <c r="S160" s="18"/>
      <c r="T160" s="3"/>
      <c r="U160" s="3"/>
      <c r="V160" s="3"/>
      <c r="W160" s="18"/>
      <c r="X160" s="18"/>
      <c r="Y160" s="18"/>
      <c r="Z160" s="18"/>
      <c r="AA160" s="18"/>
      <c r="AB160" s="18"/>
      <c r="AC160" s="18"/>
      <c r="AD160" s="18"/>
      <c r="AE160" s="18"/>
      <c r="AF160" s="18"/>
      <c r="AG160" s="18"/>
      <c r="AH160" s="18"/>
      <c r="AI160" s="18"/>
      <c r="AJ160" s="18"/>
      <c r="AK160" s="18"/>
      <c r="AL160" s="18"/>
      <c r="AM160" s="18"/>
      <c r="AN160" s="18"/>
      <c r="AO160" s="18"/>
      <c r="AP160" s="18"/>
      <c r="AQ160" s="18"/>
    </row>
    <row r="161" customFormat="false" ht="12.8" hidden="false" customHeight="false" outlineLevel="0" collapsed="false">
      <c r="C161" s="4" t="s">
        <v>2</v>
      </c>
      <c r="D161" s="1" t="s">
        <v>203</v>
      </c>
      <c r="M161" s="3"/>
      <c r="N161" s="3"/>
      <c r="O161" s="3"/>
      <c r="P161" s="3"/>
      <c r="Q161" s="3"/>
      <c r="R161" s="3"/>
      <c r="S161" s="18"/>
      <c r="T161" s="3"/>
      <c r="U161" s="3"/>
      <c r="V161" s="3"/>
      <c r="W161" s="18"/>
      <c r="X161" s="18"/>
      <c r="Y161" s="18"/>
      <c r="Z161" s="18"/>
      <c r="AA161" s="18"/>
      <c r="AB161" s="18"/>
      <c r="AC161" s="18"/>
      <c r="AD161" s="18"/>
      <c r="AE161" s="18"/>
      <c r="AF161" s="18"/>
      <c r="AG161" s="18"/>
      <c r="AH161" s="18"/>
      <c r="AI161" s="18"/>
      <c r="AJ161" s="18"/>
      <c r="AK161" s="18"/>
      <c r="AL161" s="18"/>
      <c r="AM161" s="25"/>
      <c r="AN161" s="25"/>
      <c r="AO161" s="25"/>
      <c r="AP161" s="18"/>
      <c r="AQ161" s="18"/>
    </row>
    <row r="162" customFormat="false" ht="12.8" hidden="false" customHeight="false" outlineLevel="0" collapsed="false">
      <c r="C162" s="4"/>
      <c r="D162" s="4" t="s">
        <v>2</v>
      </c>
      <c r="E162" s="24" t="s">
        <v>204</v>
      </c>
      <c r="M162" s="3"/>
      <c r="N162" s="3"/>
      <c r="O162" s="3"/>
      <c r="P162" s="3"/>
      <c r="Q162" s="3"/>
      <c r="R162" s="3"/>
      <c r="S162" s="18"/>
      <c r="T162" s="18"/>
      <c r="U162" s="18"/>
      <c r="V162" s="18"/>
      <c r="W162" s="25"/>
      <c r="X162" s="25"/>
      <c r="Y162" s="25"/>
      <c r="Z162" s="25"/>
      <c r="AA162" s="25"/>
      <c r="AB162" s="25"/>
      <c r="AC162" s="25"/>
      <c r="AD162" s="25"/>
      <c r="AE162" s="25"/>
      <c r="AF162" s="25"/>
      <c r="AG162" s="25"/>
      <c r="AH162" s="25"/>
      <c r="AI162" s="25"/>
      <c r="AJ162" s="25"/>
      <c r="AK162" s="25"/>
      <c r="AL162" s="25"/>
      <c r="AP162" s="18"/>
      <c r="AQ162" s="18"/>
    </row>
    <row r="163" customFormat="false" ht="12.8" hidden="false" customHeight="false" outlineLevel="0" collapsed="false">
      <c r="C163" s="4"/>
      <c r="D163" s="4" t="s">
        <v>2</v>
      </c>
      <c r="E163" s="1" t="s">
        <v>205</v>
      </c>
      <c r="M163" s="3"/>
      <c r="N163" s="3"/>
      <c r="O163" s="3"/>
      <c r="P163" s="3"/>
      <c r="Q163" s="3"/>
      <c r="R163" s="3"/>
      <c r="S163" s="18"/>
      <c r="T163" s="18"/>
      <c r="U163" s="18"/>
      <c r="V163" s="18"/>
      <c r="AP163" s="25"/>
      <c r="AQ163" s="25"/>
    </row>
    <row r="164" customFormat="false" ht="12.8" hidden="false" customHeight="false" outlineLevel="0" collapsed="false">
      <c r="C164" s="4"/>
      <c r="D164" s="1" t="s">
        <v>206</v>
      </c>
      <c r="M164" s="18"/>
      <c r="N164" s="18"/>
      <c r="O164" s="18"/>
      <c r="P164" s="18"/>
      <c r="Q164" s="18"/>
      <c r="R164" s="18"/>
      <c r="S164" s="25"/>
      <c r="T164" s="18"/>
      <c r="U164" s="18"/>
      <c r="V164" s="18"/>
    </row>
    <row r="165" customFormat="false" ht="12.8" hidden="false" customHeight="false" outlineLevel="0" collapsed="false">
      <c r="C165" s="4"/>
      <c r="M165" s="18"/>
      <c r="N165" s="18"/>
      <c r="O165" s="18"/>
      <c r="P165" s="18"/>
      <c r="Q165" s="18"/>
      <c r="R165" s="18"/>
      <c r="T165" s="18"/>
      <c r="U165" s="18"/>
      <c r="V165" s="18"/>
    </row>
    <row r="166" customFormat="false" ht="12.8" hidden="false" customHeight="false" outlineLevel="0" collapsed="false">
      <c r="M166" s="18"/>
      <c r="N166" s="18"/>
      <c r="O166" s="18"/>
      <c r="P166" s="18"/>
      <c r="Q166" s="18"/>
      <c r="R166" s="18"/>
      <c r="T166" s="18"/>
      <c r="U166" s="18"/>
      <c r="V166" s="18"/>
    </row>
    <row r="167" customFormat="false" ht="12.8" hidden="false" customHeight="false" outlineLevel="0" collapsed="false">
      <c r="A167" s="25"/>
      <c r="B167" s="25"/>
      <c r="C167" s="25" t="n">
        <v>2017</v>
      </c>
      <c r="D167" s="25" t="n">
        <v>2018</v>
      </c>
      <c r="E167" s="25" t="n">
        <v>2019</v>
      </c>
      <c r="F167" s="40" t="n">
        <v>2020</v>
      </c>
      <c r="G167" s="40" t="n">
        <f aca="false">F167+1</f>
        <v>2021</v>
      </c>
      <c r="H167" s="40" t="n">
        <f aca="false">G167+1</f>
        <v>2022</v>
      </c>
      <c r="I167" s="40" t="n">
        <f aca="false">H167+1</f>
        <v>2023</v>
      </c>
      <c r="J167" s="40" t="n">
        <f aca="false">I167+1</f>
        <v>2024</v>
      </c>
      <c r="K167" s="40" t="n">
        <f aca="false">J167+1</f>
        <v>2025</v>
      </c>
      <c r="L167" s="40" t="n">
        <f aca="false">K167+1</f>
        <v>2026</v>
      </c>
      <c r="M167" s="18"/>
      <c r="N167" s="18"/>
      <c r="O167" s="18"/>
      <c r="P167" s="18"/>
      <c r="Q167" s="18"/>
      <c r="R167" s="18"/>
      <c r="T167" s="18"/>
      <c r="U167" s="18"/>
      <c r="V167" s="18"/>
    </row>
    <row r="168" customFormat="false" ht="13.8" hidden="false" customHeight="false" outlineLevel="0" collapsed="false">
      <c r="A168" s="41"/>
      <c r="B168" s="41" t="s">
        <v>207</v>
      </c>
      <c r="C168" s="41" t="n">
        <v>4367</v>
      </c>
      <c r="D168" s="41" t="n">
        <v>6521</v>
      </c>
      <c r="E168" s="41" t="n">
        <v>8805</v>
      </c>
      <c r="F168" s="41" t="n">
        <v>6611</v>
      </c>
      <c r="G168" s="41" t="n">
        <v>10094</v>
      </c>
      <c r="H168" s="41" t="n">
        <v>19474</v>
      </c>
      <c r="I168" s="41" t="n">
        <v>20436</v>
      </c>
      <c r="J168" s="41" t="n">
        <v>23681</v>
      </c>
      <c r="K168" s="41" t="n">
        <v>26469</v>
      </c>
      <c r="L168" s="41"/>
      <c r="M168" s="18"/>
      <c r="N168" s="18"/>
      <c r="O168" s="18"/>
      <c r="P168" s="18"/>
      <c r="Q168" s="18"/>
      <c r="R168" s="18"/>
      <c r="T168" s="25"/>
      <c r="U168" s="25"/>
      <c r="V168" s="25"/>
      <c r="W168" s="6"/>
      <c r="X168" s="6"/>
      <c r="Y168" s="6"/>
      <c r="Z168" s="6"/>
      <c r="AA168" s="6"/>
      <c r="AB168" s="6"/>
      <c r="AC168" s="6"/>
      <c r="AD168" s="6"/>
      <c r="AE168" s="6"/>
      <c r="AF168" s="6"/>
      <c r="AG168" s="6"/>
      <c r="AH168" s="6"/>
      <c r="AI168" s="6"/>
      <c r="AJ168" s="6"/>
      <c r="AK168" s="6"/>
      <c r="AL168" s="6"/>
      <c r="AM168" s="6"/>
      <c r="AN168" s="6"/>
      <c r="AO168" s="6"/>
    </row>
    <row r="169" customFormat="false" ht="13.8" hidden="false" customHeight="false" outlineLevel="0" collapsed="false">
      <c r="A169" s="41"/>
      <c r="B169" s="41" t="s">
        <v>208</v>
      </c>
      <c r="C169" s="41" t="n">
        <v>1645</v>
      </c>
      <c r="D169" s="41" t="n">
        <v>2002</v>
      </c>
      <c r="E169" s="41" t="n">
        <v>1947</v>
      </c>
      <c r="F169" s="41" t="n">
        <v>1295</v>
      </c>
      <c r="G169" s="41" t="n">
        <v>1417</v>
      </c>
      <c r="H169" s="41" t="n">
        <v>1978</v>
      </c>
      <c r="I169" s="41" t="n">
        <v>2512</v>
      </c>
      <c r="J169" s="41" t="n">
        <v>2795</v>
      </c>
      <c r="K169" s="41" t="n">
        <v>3327</v>
      </c>
      <c r="L169" s="41"/>
      <c r="M169" s="18"/>
      <c r="N169" s="18"/>
      <c r="O169" s="18"/>
      <c r="P169" s="18"/>
      <c r="Q169" s="18"/>
      <c r="R169" s="18"/>
      <c r="S169" s="25"/>
      <c r="W169" s="6"/>
      <c r="X169" s="6"/>
      <c r="Y169" s="6"/>
      <c r="Z169" s="6"/>
      <c r="AA169" s="6"/>
      <c r="AB169" s="6"/>
      <c r="AC169" s="6"/>
      <c r="AD169" s="6"/>
      <c r="AE169" s="6"/>
      <c r="AF169" s="6"/>
      <c r="AG169" s="6"/>
      <c r="AH169" s="6"/>
      <c r="AI169" s="6"/>
      <c r="AJ169" s="6"/>
      <c r="AK169" s="6"/>
      <c r="AL169" s="6"/>
      <c r="AM169" s="6"/>
      <c r="AN169" s="6"/>
      <c r="AO169" s="6"/>
      <c r="AP169" s="6"/>
      <c r="AQ169" s="6"/>
    </row>
    <row r="170" customFormat="false" ht="13.8" hidden="false" customHeight="false" outlineLevel="0" collapsed="false">
      <c r="A170" s="41"/>
      <c r="B170" s="41" t="s">
        <v>209</v>
      </c>
      <c r="C170" s="41" t="n">
        <v>1157</v>
      </c>
      <c r="D170" s="41" t="n">
        <v>1721</v>
      </c>
      <c r="E170" s="41" t="n">
        <v>2148</v>
      </c>
      <c r="F170" s="41" t="n">
        <v>2086</v>
      </c>
      <c r="G170" s="41" t="n">
        <v>3213</v>
      </c>
      <c r="H170" s="41" t="n">
        <v>6944</v>
      </c>
      <c r="I170" s="41" t="n">
        <v>9904</v>
      </c>
      <c r="J170" s="41" t="n">
        <v>12529</v>
      </c>
      <c r="K170" s="41" t="n">
        <v>16364</v>
      </c>
      <c r="L170" s="41"/>
      <c r="M170" s="42"/>
      <c r="N170" s="42"/>
      <c r="O170" s="42"/>
      <c r="P170" s="25"/>
      <c r="Q170" s="25"/>
      <c r="R170" s="25"/>
      <c r="S170" s="6"/>
      <c r="W170" s="6"/>
      <c r="X170" s="6"/>
      <c r="Y170" s="6"/>
      <c r="Z170" s="6"/>
      <c r="AA170" s="6"/>
      <c r="AB170" s="6"/>
      <c r="AC170" s="6"/>
      <c r="AD170" s="6"/>
      <c r="AE170" s="6"/>
      <c r="AF170" s="6"/>
      <c r="AG170" s="6"/>
      <c r="AH170" s="6"/>
      <c r="AI170" s="6"/>
      <c r="AJ170" s="6"/>
      <c r="AK170" s="6"/>
      <c r="AL170" s="6"/>
      <c r="AM170" s="6"/>
      <c r="AN170" s="6"/>
      <c r="AO170" s="6"/>
      <c r="AP170" s="6"/>
      <c r="AQ170" s="6"/>
    </row>
    <row r="171" customFormat="false" ht="13.8" hidden="false" customHeight="false" outlineLevel="0" collapsed="false">
      <c r="A171" s="41"/>
      <c r="B171" s="41" t="s">
        <v>210</v>
      </c>
      <c r="C171" s="41" t="n">
        <v>763</v>
      </c>
      <c r="D171" s="41" t="n">
        <v>1026</v>
      </c>
      <c r="E171" s="41" t="n">
        <v>1247</v>
      </c>
      <c r="F171" s="41" t="n">
        <v>1147</v>
      </c>
      <c r="G171" s="41" t="n">
        <v>2731</v>
      </c>
      <c r="H171" s="41" t="n">
        <v>3481</v>
      </c>
      <c r="I171" s="41" t="n">
        <v>4429</v>
      </c>
      <c r="J171" s="41" t="n">
        <v>5036</v>
      </c>
      <c r="K171" s="41" t="n">
        <v>5857</v>
      </c>
      <c r="L171" s="41"/>
      <c r="M171" s="41"/>
      <c r="N171" s="41"/>
      <c r="O171" s="41"/>
      <c r="P171" s="6"/>
      <c r="Q171" s="6"/>
      <c r="R171" s="6"/>
      <c r="S171" s="6"/>
      <c r="W171" s="6"/>
      <c r="X171" s="6"/>
      <c r="Y171" s="6"/>
      <c r="Z171" s="6"/>
      <c r="AA171" s="6"/>
      <c r="AB171" s="6"/>
      <c r="AC171" s="6"/>
      <c r="AD171" s="6"/>
      <c r="AE171" s="6"/>
      <c r="AF171" s="6"/>
      <c r="AG171" s="6"/>
      <c r="AH171" s="6"/>
      <c r="AI171" s="6"/>
      <c r="AJ171" s="6"/>
      <c r="AK171" s="6"/>
      <c r="AL171" s="6"/>
      <c r="AM171" s="6"/>
      <c r="AN171" s="6"/>
      <c r="AO171" s="6"/>
      <c r="AP171" s="6"/>
      <c r="AQ171" s="6"/>
    </row>
    <row r="172" customFormat="false" ht="10.5" hidden="false" customHeight="true" outlineLevel="0" collapsed="false">
      <c r="A172" s="29"/>
      <c r="B172" s="29" t="s">
        <v>211</v>
      </c>
      <c r="C172" s="29"/>
      <c r="D172" s="29" t="n">
        <f aca="false">D168/C168-1</f>
        <v>0.49324479047401</v>
      </c>
      <c r="E172" s="29" t="n">
        <f aca="false">E168/D168-1</f>
        <v>0.350253028676583</v>
      </c>
      <c r="F172" s="29" t="n">
        <f aca="false">F168/E168-1</f>
        <v>-0.249176604202158</v>
      </c>
      <c r="G172" s="29" t="n">
        <f aca="false">G168/F168-1</f>
        <v>0.526849190742702</v>
      </c>
      <c r="H172" s="29" t="n">
        <f aca="false">H168/G168-1</f>
        <v>0.929264909847434</v>
      </c>
      <c r="I172" s="29" t="n">
        <f aca="false">I168/H168-1</f>
        <v>0.0493991989319091</v>
      </c>
      <c r="J172" s="29" t="n">
        <f aca="false">J168/I167-1</f>
        <v>10.7058823529412</v>
      </c>
      <c r="K172" s="29" t="n">
        <f aca="false">K168/J168-1</f>
        <v>0.117731514716439</v>
      </c>
      <c r="L172" s="29" t="n">
        <f aca="false">L168/K168-1</f>
        <v>-1</v>
      </c>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row>
    <row r="173" customFormat="false" ht="10.5" hidden="false" customHeight="true" outlineLevel="0" collapsed="false">
      <c r="A173" s="29"/>
      <c r="B173" s="29" t="s">
        <v>212</v>
      </c>
      <c r="C173" s="29"/>
      <c r="D173" s="29" t="n">
        <f aca="false">D169/C169-1</f>
        <v>0.217021276595745</v>
      </c>
      <c r="E173" s="29" t="n">
        <f aca="false">E169/D169-1</f>
        <v>-0.0274725274725275</v>
      </c>
      <c r="F173" s="29" t="n">
        <f aca="false">F169/E169-1</f>
        <v>-0.33487416538264</v>
      </c>
      <c r="G173" s="29" t="n">
        <f aca="false">G169/F169-1</f>
        <v>0.0942084942084942</v>
      </c>
      <c r="H173" s="29" t="n">
        <f aca="false">H169/G169-1</f>
        <v>0.39590684544813</v>
      </c>
      <c r="I173" s="29" t="n">
        <f aca="false">I169/H169-1</f>
        <v>0.269969666329626</v>
      </c>
      <c r="J173" s="29" t="n">
        <f aca="false">J169/I168-1</f>
        <v>-0.86323155216285</v>
      </c>
      <c r="K173" s="29" t="n">
        <f aca="false">K169/J169-1</f>
        <v>0.190339892665474</v>
      </c>
      <c r="L173" s="29" t="n">
        <f aca="false">L169/K169-1</f>
        <v>-1</v>
      </c>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row>
    <row r="174" customFormat="false" ht="10.5" hidden="false" customHeight="true" outlineLevel="0" collapsed="false">
      <c r="A174" s="29"/>
      <c r="B174" s="29" t="s">
        <v>213</v>
      </c>
      <c r="C174" s="29"/>
      <c r="D174" s="29" t="n">
        <f aca="false">D170/C170-1</f>
        <v>0.487467588591184</v>
      </c>
      <c r="E174" s="29" t="n">
        <f aca="false">E170/D170-1</f>
        <v>0.248111563044741</v>
      </c>
      <c r="F174" s="29" t="n">
        <f aca="false">F170/E170-1</f>
        <v>-0.0288640595903166</v>
      </c>
      <c r="G174" s="29" t="n">
        <f aca="false">G170/F170-1</f>
        <v>0.540268456375839</v>
      </c>
      <c r="H174" s="29" t="n">
        <f aca="false">H170/G170-1</f>
        <v>1.16122004357299</v>
      </c>
      <c r="I174" s="29" t="n">
        <f aca="false">I170/H170-1</f>
        <v>0.426267281105991</v>
      </c>
      <c r="J174" s="29" t="n">
        <f aca="false">J170/I169-1</f>
        <v>3.98765923566879</v>
      </c>
      <c r="K174" s="29" t="n">
        <f aca="false">K170/J170-1</f>
        <v>0.306089871498124</v>
      </c>
      <c r="L174" s="29" t="n">
        <f aca="false">L170/K170-1</f>
        <v>-1</v>
      </c>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row>
    <row r="175" customFormat="false" ht="10.5" hidden="false" customHeight="true" outlineLevel="0" collapsed="false">
      <c r="A175" s="29"/>
      <c r="B175" s="29" t="s">
        <v>214</v>
      </c>
      <c r="C175" s="29"/>
      <c r="D175" s="29" t="n">
        <f aca="false">D171/C171-1</f>
        <v>0.344692005242464</v>
      </c>
      <c r="E175" s="29" t="n">
        <f aca="false">E171/D171-1</f>
        <v>0.215399610136452</v>
      </c>
      <c r="F175" s="29" t="n">
        <f aca="false">F171/E171-1</f>
        <v>-0.0801924619085807</v>
      </c>
      <c r="G175" s="29" t="n">
        <f aca="false">G171/F171-1</f>
        <v>1.38099389712293</v>
      </c>
      <c r="H175" s="29" t="n">
        <f aca="false">H171/G171-1</f>
        <v>0.27462467960454</v>
      </c>
      <c r="I175" s="29" t="n">
        <f aca="false">I171/H171-1</f>
        <v>0.272335535765585</v>
      </c>
      <c r="J175" s="29" t="n">
        <f aca="false">J171/I170-1</f>
        <v>-0.491518578352181</v>
      </c>
      <c r="K175" s="29" t="n">
        <f aca="false">K171/J171-1</f>
        <v>0.163026211278793</v>
      </c>
      <c r="L175" s="29" t="n">
        <f aca="false">L171/K171-1</f>
        <v>-1</v>
      </c>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row>
    <row r="176" customFormat="false" ht="13.8" hidden="false" customHeight="false" outlineLevel="0" collapsed="false">
      <c r="F176" s="43" t="s">
        <v>215</v>
      </c>
      <c r="H176" s="41"/>
      <c r="I176" s="41"/>
      <c r="J176" s="44"/>
      <c r="K176" s="44"/>
      <c r="L176" s="44"/>
      <c r="M176" s="45"/>
      <c r="N176" s="45"/>
      <c r="O176" s="45"/>
      <c r="P176" s="25"/>
      <c r="Q176" s="25"/>
      <c r="R176" s="25"/>
      <c r="S176" s="25"/>
      <c r="T176" s="6"/>
      <c r="U176" s="6"/>
      <c r="V176" s="6"/>
      <c r="AP176" s="25"/>
      <c r="AQ176" s="25"/>
    </row>
    <row r="177" customFormat="false" ht="13.8" hidden="false" customHeight="false" outlineLevel="0" collapsed="false">
      <c r="H177" s="44"/>
      <c r="I177" s="44"/>
      <c r="J177" s="41"/>
      <c r="M177" s="45"/>
      <c r="N177" s="25"/>
      <c r="O177" s="25"/>
      <c r="P177" s="25"/>
      <c r="Q177" s="25"/>
      <c r="R177" s="25"/>
      <c r="S177" s="25"/>
      <c r="T177" s="6"/>
      <c r="U177" s="6"/>
      <c r="V177" s="6"/>
    </row>
    <row r="178" customFormat="false" ht="12.8" hidden="false" customHeight="false" outlineLevel="0" collapsed="false">
      <c r="A178" s="30"/>
      <c r="B178" s="30"/>
      <c r="C178" s="30"/>
      <c r="D178" s="30"/>
      <c r="E178" s="30"/>
      <c r="F178" s="30"/>
      <c r="G178" s="30"/>
      <c r="H178" s="30" t="s">
        <v>216</v>
      </c>
      <c r="I178" s="46" t="s">
        <v>217</v>
      </c>
      <c r="J178" s="46"/>
      <c r="K178" s="30"/>
      <c r="L178" s="30" t="s">
        <v>123</v>
      </c>
      <c r="M178" s="30" t="s">
        <v>5</v>
      </c>
      <c r="N178" s="40"/>
      <c r="O178" s="40"/>
      <c r="P178" s="40"/>
      <c r="Q178" s="40"/>
      <c r="R178" s="40"/>
      <c r="S178" s="30"/>
      <c r="T178" s="40"/>
      <c r="U178" s="40"/>
      <c r="V178" s="40"/>
      <c r="W178" s="30"/>
      <c r="X178" s="30"/>
      <c r="Y178" s="30"/>
      <c r="Z178" s="30"/>
      <c r="AA178" s="30"/>
      <c r="AB178" s="30"/>
      <c r="AC178" s="30"/>
      <c r="AD178" s="30"/>
      <c r="AE178" s="30"/>
      <c r="AF178" s="30"/>
      <c r="AG178" s="30"/>
      <c r="AH178" s="30"/>
      <c r="AI178" s="30"/>
      <c r="AJ178" s="30"/>
      <c r="AK178" s="30"/>
      <c r="AL178" s="30"/>
      <c r="AM178" s="30"/>
      <c r="AN178" s="30"/>
      <c r="AO178" s="30"/>
      <c r="AP178" s="30"/>
      <c r="AQ178" s="30"/>
    </row>
    <row r="179" customFormat="false" ht="12.8" hidden="false" customHeight="false" outlineLevel="0" collapsed="false">
      <c r="A179" s="7"/>
      <c r="B179" s="7" t="s">
        <v>207</v>
      </c>
      <c r="C179" s="7"/>
      <c r="D179" s="7"/>
      <c r="E179" s="7"/>
      <c r="F179" s="7"/>
      <c r="G179" s="7"/>
      <c r="H179" s="7" t="n">
        <v>6219</v>
      </c>
      <c r="I179" s="7" t="n">
        <v>6561</v>
      </c>
      <c r="J179" s="7"/>
      <c r="K179" s="7"/>
      <c r="L179" s="7" t="n">
        <v>7128</v>
      </c>
      <c r="M179" s="7" t="n">
        <v>7609</v>
      </c>
      <c r="N179" s="7"/>
      <c r="O179" s="7"/>
      <c r="P179" s="7"/>
      <c r="Q179" s="7"/>
      <c r="R179" s="7"/>
      <c r="S179" s="7"/>
      <c r="T179" s="47"/>
      <c r="U179" s="47"/>
      <c r="V179" s="47"/>
      <c r="W179" s="7"/>
      <c r="X179" s="7"/>
      <c r="Y179" s="7"/>
      <c r="Z179" s="7"/>
      <c r="AA179" s="7"/>
      <c r="AB179" s="7"/>
      <c r="AC179" s="7"/>
      <c r="AD179" s="7"/>
      <c r="AE179" s="7"/>
      <c r="AF179" s="7"/>
      <c r="AG179" s="7"/>
      <c r="AH179" s="7"/>
      <c r="AI179" s="7"/>
      <c r="AJ179" s="7"/>
      <c r="AK179" s="7"/>
      <c r="AL179" s="7"/>
      <c r="AM179" s="7"/>
      <c r="AN179" s="7"/>
      <c r="AO179" s="7"/>
      <c r="AP179" s="7"/>
      <c r="AQ179" s="7"/>
    </row>
    <row r="180" customFormat="false" ht="12.8" hidden="false" customHeight="false" outlineLevel="0" collapsed="false">
      <c r="A180" s="7"/>
      <c r="B180" s="7" t="s">
        <v>208</v>
      </c>
      <c r="C180" s="7"/>
      <c r="D180" s="7"/>
      <c r="E180" s="7"/>
      <c r="F180" s="7"/>
      <c r="G180" s="7"/>
      <c r="H180" s="7" t="n">
        <v>717</v>
      </c>
      <c r="I180" s="7" t="n">
        <v>789</v>
      </c>
      <c r="J180" s="7"/>
      <c r="K180" s="7"/>
      <c r="L180" s="7" t="n">
        <v>978</v>
      </c>
      <c r="M180" s="7" t="n">
        <v>1022</v>
      </c>
      <c r="N180" s="7"/>
      <c r="O180" s="7"/>
      <c r="P180" s="7"/>
      <c r="Q180" s="7"/>
      <c r="R180" s="7"/>
      <c r="S180" s="7"/>
      <c r="T180" s="47"/>
      <c r="U180" s="47"/>
      <c r="V180" s="47"/>
      <c r="W180" s="7"/>
      <c r="X180" s="7"/>
      <c r="Y180" s="7"/>
      <c r="Z180" s="7"/>
      <c r="AA180" s="7"/>
      <c r="AB180" s="7"/>
      <c r="AC180" s="7"/>
      <c r="AD180" s="7"/>
      <c r="AE180" s="7"/>
      <c r="AF180" s="7"/>
      <c r="AG180" s="7"/>
      <c r="AH180" s="7"/>
      <c r="AI180" s="7"/>
      <c r="AJ180" s="7"/>
      <c r="AK180" s="7"/>
      <c r="AL180" s="7"/>
      <c r="AM180" s="7"/>
      <c r="AN180" s="7"/>
      <c r="AO180" s="7"/>
      <c r="AP180" s="7"/>
      <c r="AQ180" s="7"/>
    </row>
    <row r="181" customFormat="false" ht="12.8" hidden="false" customHeight="false" outlineLevel="0" collapsed="false">
      <c r="A181" s="7"/>
      <c r="B181" s="7" t="s">
        <v>209</v>
      </c>
      <c r="C181" s="7"/>
      <c r="D181" s="7"/>
      <c r="E181" s="7"/>
      <c r="F181" s="7"/>
      <c r="G181" s="7"/>
      <c r="H181" s="7" t="n">
        <v>3321</v>
      </c>
      <c r="I181" s="7" t="n">
        <v>3897</v>
      </c>
      <c r="J181" s="7"/>
      <c r="K181" s="7"/>
      <c r="L181" s="7" t="n">
        <v>3420</v>
      </c>
      <c r="M181" s="7" t="n">
        <v>3752</v>
      </c>
      <c r="N181" s="7"/>
      <c r="O181" s="7"/>
      <c r="P181" s="7"/>
      <c r="Q181" s="7"/>
      <c r="R181" s="7"/>
      <c r="S181" s="7"/>
      <c r="T181" s="47"/>
      <c r="U181" s="47"/>
      <c r="V181" s="47"/>
      <c r="W181" s="7"/>
      <c r="X181" s="7"/>
      <c r="Y181" s="7"/>
      <c r="Z181" s="7"/>
      <c r="AA181" s="7"/>
      <c r="AB181" s="7"/>
      <c r="AC181" s="7"/>
      <c r="AD181" s="7"/>
      <c r="AE181" s="7"/>
      <c r="AF181" s="7"/>
      <c r="AG181" s="7"/>
      <c r="AH181" s="7"/>
      <c r="AI181" s="7"/>
      <c r="AJ181" s="7"/>
      <c r="AK181" s="7"/>
      <c r="AL181" s="7"/>
      <c r="AM181" s="7"/>
      <c r="AN181" s="7"/>
      <c r="AO181" s="7"/>
      <c r="AP181" s="7"/>
      <c r="AQ181" s="7"/>
    </row>
    <row r="182" customFormat="false" ht="12.8" hidden="false" customHeight="false" outlineLevel="0" collapsed="false">
      <c r="A182" s="7"/>
      <c r="B182" s="7" t="s">
        <v>210</v>
      </c>
      <c r="C182" s="7"/>
      <c r="D182" s="7"/>
      <c r="E182" s="7"/>
      <c r="F182" s="7"/>
      <c r="G182" s="7"/>
      <c r="H182" s="7" t="n">
        <v>1276</v>
      </c>
      <c r="I182" s="7" t="n">
        <v>1404</v>
      </c>
      <c r="J182" s="7"/>
      <c r="K182" s="7"/>
      <c r="L182" s="7" t="n">
        <v>1677</v>
      </c>
      <c r="M182" s="7" t="n">
        <v>1808</v>
      </c>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row>
    <row r="183" customFormat="false" ht="10.5" hidden="false" customHeight="true" outlineLevel="0" collapsed="false">
      <c r="A183" s="32"/>
      <c r="B183" s="32"/>
      <c r="C183" s="32"/>
      <c r="D183" s="32"/>
      <c r="E183" s="32"/>
      <c r="F183" s="32"/>
      <c r="G183" s="32"/>
      <c r="H183" s="32"/>
      <c r="I183" s="32"/>
      <c r="J183" s="32"/>
      <c r="K183" s="32"/>
      <c r="L183" s="32" t="n">
        <f aca="false">L179/H179-1</f>
        <v>0.14616497829233</v>
      </c>
      <c r="M183" s="32" t="n">
        <f aca="false">M179/I179-1</f>
        <v>0.159731748209115</v>
      </c>
      <c r="N183" s="32"/>
      <c r="O183" s="32"/>
      <c r="P183" s="32"/>
      <c r="Q183" s="32"/>
      <c r="R183" s="32"/>
      <c r="S183" s="32"/>
      <c r="T183" s="32"/>
      <c r="U183" s="32"/>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row>
    <row r="184" customFormat="false" ht="10.5" hidden="false" customHeight="true" outlineLevel="0" collapsed="false">
      <c r="A184" s="32"/>
      <c r="B184" s="32"/>
      <c r="C184" s="32"/>
      <c r="D184" s="32"/>
      <c r="E184" s="32"/>
      <c r="F184" s="32"/>
      <c r="G184" s="32"/>
      <c r="H184" s="32"/>
      <c r="I184" s="32"/>
      <c r="J184" s="32"/>
      <c r="K184" s="32"/>
      <c r="L184" s="32" t="n">
        <f aca="false">L180/H180-1</f>
        <v>0.364016736401674</v>
      </c>
      <c r="M184" s="32" t="n">
        <f aca="false">M180/I180-1</f>
        <v>0.29531051964512</v>
      </c>
      <c r="N184" s="32"/>
      <c r="O184" s="32"/>
      <c r="P184" s="32"/>
      <c r="Q184" s="32"/>
      <c r="R184" s="32"/>
      <c r="S184" s="32"/>
      <c r="T184" s="32"/>
      <c r="U184" s="32"/>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row>
    <row r="185" customFormat="false" ht="10.5" hidden="false" customHeight="true" outlineLevel="0" collapsed="false">
      <c r="A185" s="32"/>
      <c r="B185" s="32"/>
      <c r="C185" s="32"/>
      <c r="D185" s="32"/>
      <c r="E185" s="32"/>
      <c r="F185" s="32"/>
      <c r="G185" s="32"/>
      <c r="H185" s="32"/>
      <c r="I185" s="32"/>
      <c r="J185" s="32"/>
      <c r="K185" s="32"/>
      <c r="L185" s="32" t="n">
        <f aca="false">L181/H181-1</f>
        <v>0.0298102981029811</v>
      </c>
      <c r="M185" s="32" t="n">
        <f aca="false">M181/I181-1</f>
        <v>-0.0372081088016423</v>
      </c>
      <c r="N185" s="32"/>
      <c r="O185" s="32"/>
      <c r="P185" s="32"/>
      <c r="Q185" s="32"/>
      <c r="R185" s="32"/>
      <c r="S185" s="32"/>
      <c r="T185" s="32"/>
      <c r="U185" s="32"/>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row>
    <row r="186" customFormat="false" ht="10.5" hidden="false" customHeight="true" outlineLevel="0" collapsed="false">
      <c r="A186" s="32"/>
      <c r="B186" s="32"/>
      <c r="C186" s="32"/>
      <c r="D186" s="32"/>
      <c r="E186" s="32"/>
      <c r="F186" s="32"/>
      <c r="G186" s="32"/>
      <c r="H186" s="32"/>
      <c r="I186" s="32"/>
      <c r="J186" s="32"/>
      <c r="K186" s="32"/>
      <c r="L186" s="32" t="n">
        <f aca="false">L182/H182-1</f>
        <v>0.314263322884013</v>
      </c>
      <c r="M186" s="32" t="n">
        <f aca="false">M182/I182-1</f>
        <v>0.287749287749288</v>
      </c>
      <c r="N186" s="32"/>
      <c r="O186" s="32"/>
      <c r="P186" s="32"/>
      <c r="Q186" s="32"/>
      <c r="R186" s="32"/>
      <c r="S186" s="32"/>
      <c r="T186" s="32"/>
      <c r="U186" s="32"/>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row>
    <row r="187" customFormat="false" ht="12.8" hidden="false" customHeight="false" outlineLevel="0" collapsed="false">
      <c r="L187" s="44"/>
      <c r="T187" s="7"/>
      <c r="U187" s="7"/>
      <c r="V187" s="7"/>
    </row>
    <row r="188" customFormat="false" ht="12.8" hidden="false" customHeight="false" outlineLevel="0" collapsed="false">
      <c r="T188" s="7"/>
      <c r="U188" s="7"/>
      <c r="V188" s="7"/>
    </row>
  </sheetData>
  <hyperlinks>
    <hyperlink ref="A34" r:id="rId1" display="investor@uber.com "/>
    <hyperlink ref="N117" r:id="rId2" display="BUILD america 250, no ride-hailing company shall be liable for any harm caused by vehicles or people from the app"/>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V242"/>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pane xSplit="1" ySplit="2" topLeftCell="O3" activePane="bottomRight" state="frozen"/>
      <selection pane="topLeft" activeCell="A1" activeCellId="0" sqref="A1"/>
      <selection pane="topRight" activeCell="O1" activeCellId="0" sqref="O1"/>
      <selection pane="bottomLeft" activeCell="A3" activeCellId="0" sqref="A3"/>
      <selection pane="bottomRight" activeCell="S20" activeCellId="0" sqref="S20"/>
    </sheetView>
  </sheetViews>
  <sheetFormatPr defaultColWidth="11.53515625" defaultRowHeight="12.8" customHeight="false" zeroHeight="false" outlineLevelRow="0" outlineLevelCol="0"/>
  <cols>
    <col collapsed="false" customWidth="true" hidden="false" outlineLevel="0" max="1" min="1" style="1" width="21.75"/>
    <col collapsed="false" customWidth="false" hidden="false" outlineLevel="0" max="16" min="2" style="1" width="11.53"/>
    <col collapsed="false" customWidth="true" hidden="false" outlineLevel="0" max="18" min="17" style="1" width="12.85"/>
    <col collapsed="false" customWidth="true" hidden="false" outlineLevel="0" max="19" min="19" style="1" width="13.62"/>
    <col collapsed="false" customWidth="false" hidden="false" outlineLevel="0" max="24" min="20" style="1" width="11.53"/>
    <col collapsed="false" customWidth="true" hidden="false" outlineLevel="0" max="25" min="25" style="1" width="10.2"/>
    <col collapsed="false" customWidth="true" hidden="false" outlineLevel="0" max="26" min="26" style="1" width="11.89"/>
    <col collapsed="false" customWidth="false" hidden="false" outlineLevel="0" max="38" min="27" style="1" width="11.53"/>
    <col collapsed="false" customWidth="true" hidden="false" outlineLevel="0" max="39" min="39" style="1" width="14.53"/>
    <col collapsed="false" customWidth="false" hidden="false" outlineLevel="0" max="41" min="40" style="1" width="11.53"/>
    <col collapsed="false" customWidth="true" hidden="false" outlineLevel="0" max="42" min="42" style="1" width="16.24"/>
    <col collapsed="false" customWidth="true" hidden="false" outlineLevel="0" max="44" min="43" style="1" width="11.45"/>
    <col collapsed="false" customWidth="false" hidden="false" outlineLevel="0" max="147" min="45" style="1" width="11.53"/>
    <col collapsed="false" customWidth="false" hidden="false" outlineLevel="0" max="16384" min="153" style="1" width="11.53"/>
  </cols>
  <sheetData>
    <row r="1" s="7" customFormat="true" ht="15" hidden="false" customHeight="false" outlineLevel="0" collapsed="false">
      <c r="A1" s="36" t="s">
        <v>218</v>
      </c>
      <c r="B1" s="48" t="s">
        <v>219</v>
      </c>
      <c r="C1" s="48" t="s">
        <v>220</v>
      </c>
      <c r="D1" s="48" t="s">
        <v>221</v>
      </c>
      <c r="E1" s="48" t="s">
        <v>222</v>
      </c>
      <c r="F1" s="48" t="s">
        <v>223</v>
      </c>
      <c r="G1" s="48" t="s">
        <v>224</v>
      </c>
      <c r="H1" s="48" t="s">
        <v>225</v>
      </c>
      <c r="I1" s="48" t="s">
        <v>226</v>
      </c>
      <c r="J1" s="48" t="s">
        <v>227</v>
      </c>
      <c r="K1" s="48" t="s">
        <v>228</v>
      </c>
      <c r="L1" s="48" t="s">
        <v>229</v>
      </c>
      <c r="M1" s="48" t="s">
        <v>230</v>
      </c>
      <c r="N1" s="48" t="s">
        <v>231</v>
      </c>
      <c r="O1" s="48" t="s">
        <v>232</v>
      </c>
      <c r="P1" s="48" t="s">
        <v>233</v>
      </c>
      <c r="Q1" s="48" t="s">
        <v>234</v>
      </c>
      <c r="R1" s="48" t="s">
        <v>235</v>
      </c>
      <c r="S1" s="48" t="s">
        <v>236</v>
      </c>
      <c r="T1" s="48" t="s">
        <v>237</v>
      </c>
      <c r="U1" s="48" t="s">
        <v>238</v>
      </c>
      <c r="V1" s="48"/>
      <c r="W1" s="49"/>
      <c r="X1" s="49"/>
      <c r="Y1" s="48" t="s">
        <v>239</v>
      </c>
      <c r="Z1" s="48" t="s">
        <v>240</v>
      </c>
      <c r="AA1" s="48" t="s">
        <v>241</v>
      </c>
      <c r="AB1" s="48" t="s">
        <v>222</v>
      </c>
      <c r="AC1" s="48" t="s">
        <v>226</v>
      </c>
      <c r="AD1" s="48" t="s">
        <v>230</v>
      </c>
      <c r="AE1" s="48" t="s">
        <v>234</v>
      </c>
      <c r="AF1" s="48" t="s">
        <v>238</v>
      </c>
      <c r="AG1" s="48" t="s">
        <v>242</v>
      </c>
      <c r="AH1" s="48" t="s">
        <v>243</v>
      </c>
      <c r="AI1" s="48" t="s">
        <v>244</v>
      </c>
      <c r="AJ1" s="48" t="s">
        <v>245</v>
      </c>
      <c r="AK1" s="48"/>
      <c r="AL1" s="49"/>
      <c r="AM1" s="49"/>
      <c r="AN1" s="49"/>
      <c r="AO1" s="49"/>
      <c r="AP1" s="49"/>
      <c r="AQ1" s="49"/>
      <c r="AR1" s="49"/>
      <c r="AS1" s="49"/>
      <c r="AT1" s="49"/>
      <c r="AU1" s="49"/>
      <c r="AV1" s="49"/>
      <c r="AW1" s="49"/>
      <c r="AX1" s="49"/>
      <c r="AY1" s="49"/>
      <c r="AZ1" s="49"/>
      <c r="BA1" s="49"/>
      <c r="BB1" s="49"/>
      <c r="BC1" s="49"/>
      <c r="BD1" s="49"/>
      <c r="BE1" s="49"/>
      <c r="BF1" s="49"/>
      <c r="BG1" s="49"/>
      <c r="BH1" s="49"/>
      <c r="BI1" s="49"/>
      <c r="BJ1" s="49"/>
      <c r="BK1" s="49"/>
      <c r="BL1" s="49"/>
      <c r="BM1" s="49"/>
      <c r="BN1" s="49"/>
      <c r="BO1" s="49"/>
      <c r="BP1" s="49"/>
      <c r="BQ1" s="49"/>
      <c r="BR1" s="49"/>
      <c r="BS1" s="49"/>
      <c r="BT1" s="49"/>
      <c r="BU1" s="49"/>
      <c r="BV1" s="49"/>
      <c r="BW1" s="49"/>
      <c r="BX1" s="49"/>
      <c r="BY1" s="49"/>
      <c r="BZ1" s="49"/>
      <c r="CA1" s="49"/>
      <c r="CB1" s="49"/>
      <c r="CC1" s="49"/>
      <c r="CD1" s="49"/>
      <c r="CE1" s="49"/>
      <c r="CF1" s="49"/>
      <c r="CG1" s="49"/>
      <c r="CH1" s="49"/>
      <c r="CI1" s="49"/>
      <c r="CJ1" s="49"/>
      <c r="CK1" s="49"/>
      <c r="CL1" s="49"/>
      <c r="CM1" s="49"/>
      <c r="CN1" s="49"/>
      <c r="CO1" s="49"/>
      <c r="CP1" s="49"/>
      <c r="CQ1" s="49"/>
      <c r="CR1" s="49"/>
      <c r="CS1" s="49"/>
      <c r="CT1" s="49"/>
      <c r="CU1" s="49"/>
      <c r="CV1" s="49"/>
      <c r="CW1" s="49"/>
      <c r="CX1" s="49"/>
      <c r="CY1" s="49"/>
      <c r="CZ1" s="49"/>
      <c r="DA1" s="49"/>
      <c r="DB1" s="49"/>
      <c r="DC1" s="49"/>
      <c r="DD1" s="49"/>
      <c r="DE1" s="49"/>
      <c r="DF1" s="49"/>
      <c r="DG1" s="49"/>
      <c r="DH1" s="49"/>
      <c r="DI1" s="49"/>
      <c r="DJ1" s="49"/>
      <c r="DK1" s="49"/>
      <c r="DL1" s="49"/>
      <c r="DM1" s="49"/>
      <c r="DN1" s="49"/>
      <c r="DO1" s="49"/>
      <c r="DP1" s="49"/>
      <c r="DQ1" s="49"/>
      <c r="DR1" s="49"/>
      <c r="DS1" s="49"/>
      <c r="DT1" s="49"/>
      <c r="DU1" s="49"/>
      <c r="DV1" s="49"/>
      <c r="DW1" s="49"/>
      <c r="DX1" s="49"/>
      <c r="DY1" s="49"/>
      <c r="DZ1" s="49"/>
      <c r="EA1" s="49"/>
      <c r="EB1" s="49"/>
      <c r="EC1" s="49"/>
      <c r="ED1" s="49"/>
      <c r="EE1" s="49"/>
      <c r="EF1" s="49"/>
      <c r="EG1" s="49"/>
      <c r="EH1" s="49"/>
      <c r="EI1" s="49"/>
      <c r="EJ1" s="49"/>
      <c r="EK1" s="49"/>
      <c r="EL1" s="49"/>
      <c r="EM1" s="49"/>
      <c r="EN1" s="49"/>
      <c r="EO1" s="49"/>
      <c r="EP1" s="49"/>
      <c r="EQ1" s="49"/>
      <c r="ER1" s="1"/>
      <c r="ES1" s="1"/>
      <c r="ET1" s="1"/>
      <c r="EU1" s="1"/>
      <c r="EV1" s="1"/>
    </row>
    <row r="2" s="7" customFormat="true" ht="15" hidden="false" customHeight="false" outlineLevel="0" collapsed="false">
      <c r="A2" s="43" t="s">
        <v>246</v>
      </c>
      <c r="B2" s="50" t="s">
        <v>247</v>
      </c>
      <c r="C2" s="50" t="s">
        <v>248</v>
      </c>
      <c r="D2" s="50" t="s">
        <v>249</v>
      </c>
      <c r="E2" s="50" t="s">
        <v>250</v>
      </c>
      <c r="F2" s="50" t="s">
        <v>251</v>
      </c>
      <c r="G2" s="50" t="s">
        <v>252</v>
      </c>
      <c r="H2" s="50" t="s">
        <v>253</v>
      </c>
      <c r="I2" s="50" t="s">
        <v>254</v>
      </c>
      <c r="J2" s="50" t="s">
        <v>255</v>
      </c>
      <c r="K2" s="50" t="s">
        <v>256</v>
      </c>
      <c r="L2" s="50" t="s">
        <v>257</v>
      </c>
      <c r="M2" s="50" t="s">
        <v>258</v>
      </c>
      <c r="N2" s="50" t="s">
        <v>216</v>
      </c>
      <c r="O2" s="50" t="s">
        <v>217</v>
      </c>
      <c r="P2" s="50" t="s">
        <v>259</v>
      </c>
      <c r="Q2" s="50" t="s">
        <v>260</v>
      </c>
      <c r="R2" s="50" t="s">
        <v>123</v>
      </c>
      <c r="S2" s="50" t="s">
        <v>5</v>
      </c>
      <c r="T2" s="50" t="s">
        <v>261</v>
      </c>
      <c r="U2" s="50" t="s">
        <v>262</v>
      </c>
      <c r="V2" s="50"/>
      <c r="W2" s="50"/>
      <c r="X2" s="50"/>
      <c r="Y2" s="50" t="n">
        <v>2019</v>
      </c>
      <c r="Z2" s="50" t="n">
        <v>2020</v>
      </c>
      <c r="AA2" s="50" t="n">
        <f aca="false">Z2+1</f>
        <v>2021</v>
      </c>
      <c r="AB2" s="50" t="n">
        <f aca="false">AA2+1</f>
        <v>2022</v>
      </c>
      <c r="AC2" s="50" t="n">
        <f aca="false">AB2+1</f>
        <v>2023</v>
      </c>
      <c r="AD2" s="50" t="n">
        <f aca="false">AC2+1</f>
        <v>2024</v>
      </c>
      <c r="AE2" s="50" t="n">
        <f aca="false">AD2+1</f>
        <v>2025</v>
      </c>
      <c r="AF2" s="50" t="n">
        <f aca="false">AE2+1</f>
        <v>2026</v>
      </c>
      <c r="AG2" s="50" t="n">
        <f aca="false">AF2+1</f>
        <v>2027</v>
      </c>
      <c r="AH2" s="50" t="n">
        <f aca="false">AG2+1</f>
        <v>2028</v>
      </c>
      <c r="AI2" s="50" t="n">
        <f aca="false">AH2+1</f>
        <v>2029</v>
      </c>
      <c r="AJ2" s="50" t="n">
        <f aca="false">AI2+1</f>
        <v>2030</v>
      </c>
      <c r="AK2" s="50"/>
      <c r="AL2" s="50"/>
      <c r="AM2" s="50"/>
      <c r="AN2" s="50"/>
      <c r="AO2" s="50"/>
      <c r="AP2" s="50"/>
      <c r="AQ2" s="50"/>
      <c r="AR2" s="50"/>
      <c r="AS2" s="50"/>
      <c r="AT2" s="50"/>
      <c r="AU2" s="50"/>
      <c r="AV2" s="50"/>
      <c r="AW2" s="50"/>
      <c r="AX2" s="50"/>
      <c r="AY2" s="50"/>
      <c r="AZ2" s="50"/>
      <c r="BA2" s="50"/>
      <c r="BB2" s="50"/>
      <c r="BC2" s="50"/>
      <c r="BD2" s="50"/>
      <c r="BE2" s="50"/>
      <c r="BF2" s="50"/>
      <c r="BG2" s="50"/>
      <c r="BH2" s="50"/>
      <c r="BI2" s="50"/>
      <c r="BJ2" s="50"/>
      <c r="BK2" s="50"/>
      <c r="BL2" s="50"/>
      <c r="BM2" s="50"/>
      <c r="BN2" s="50"/>
      <c r="BO2" s="50"/>
      <c r="BP2" s="50"/>
      <c r="BQ2" s="50"/>
      <c r="BR2" s="50"/>
      <c r="BS2" s="50"/>
      <c r="BT2" s="50"/>
      <c r="BU2" s="50"/>
      <c r="BV2" s="50"/>
      <c r="BW2" s="50"/>
      <c r="BX2" s="50"/>
      <c r="BY2" s="50"/>
      <c r="BZ2" s="50"/>
      <c r="CA2" s="50"/>
      <c r="CB2" s="50"/>
      <c r="CC2" s="50"/>
      <c r="CD2" s="50"/>
      <c r="CE2" s="50"/>
      <c r="CF2" s="50"/>
      <c r="CG2" s="50"/>
      <c r="CH2" s="50"/>
      <c r="CI2" s="50"/>
      <c r="CJ2" s="50"/>
      <c r="CK2" s="50"/>
      <c r="CL2" s="50"/>
      <c r="CM2" s="50"/>
      <c r="CN2" s="50"/>
      <c r="CO2" s="50"/>
      <c r="CP2" s="50"/>
      <c r="CQ2" s="50"/>
      <c r="CR2" s="50"/>
      <c r="CS2" s="50"/>
      <c r="CT2" s="50"/>
      <c r="CU2" s="50"/>
      <c r="CV2" s="50"/>
      <c r="CW2" s="50"/>
      <c r="CX2" s="50"/>
      <c r="CY2" s="50"/>
      <c r="CZ2" s="50"/>
      <c r="DA2" s="50"/>
      <c r="DB2" s="50"/>
      <c r="DC2" s="50"/>
      <c r="DD2" s="50"/>
      <c r="DE2" s="50"/>
      <c r="DF2" s="50"/>
      <c r="DG2" s="50"/>
      <c r="DH2" s="50"/>
      <c r="DI2" s="50"/>
      <c r="DJ2" s="50"/>
      <c r="DK2" s="50"/>
      <c r="DL2" s="50"/>
      <c r="DM2" s="50"/>
      <c r="DN2" s="50"/>
      <c r="DO2" s="50"/>
      <c r="DP2" s="50"/>
      <c r="DQ2" s="50"/>
      <c r="DR2" s="50"/>
      <c r="DS2" s="50"/>
      <c r="DT2" s="50"/>
      <c r="DU2" s="50"/>
      <c r="DV2" s="50"/>
      <c r="DW2" s="50"/>
      <c r="DX2" s="50"/>
      <c r="DY2" s="50"/>
      <c r="DZ2" s="50"/>
      <c r="EA2" s="50"/>
      <c r="EB2" s="50"/>
      <c r="EC2" s="50"/>
      <c r="ED2" s="50"/>
      <c r="EE2" s="50"/>
      <c r="EF2" s="50"/>
      <c r="EG2" s="50"/>
      <c r="EH2" s="50"/>
      <c r="EI2" s="50"/>
      <c r="EJ2" s="50"/>
      <c r="EK2" s="50"/>
      <c r="EL2" s="50"/>
      <c r="EM2" s="50"/>
      <c r="EN2" s="50"/>
      <c r="EO2" s="50"/>
      <c r="EP2" s="50"/>
      <c r="EQ2" s="49"/>
      <c r="ER2" s="0"/>
      <c r="ES2" s="0"/>
      <c r="ET2" s="0"/>
      <c r="EU2" s="0"/>
      <c r="EV2" s="0"/>
    </row>
    <row r="3" s="7" customFormat="true" ht="12.8" hidden="false" customHeight="false" outlineLevel="0" collapsed="false">
      <c r="A3" s="51" t="s">
        <v>263</v>
      </c>
      <c r="B3" s="52" t="n">
        <v>30.9</v>
      </c>
      <c r="C3" s="52" t="n">
        <v>32.6</v>
      </c>
      <c r="D3" s="52" t="n">
        <v>33.5</v>
      </c>
      <c r="E3" s="52" t="n">
        <v>33.6</v>
      </c>
      <c r="F3" s="52" t="n">
        <v>33.3</v>
      </c>
      <c r="G3" s="52" t="n">
        <v>34.9</v>
      </c>
      <c r="H3" s="52" t="n">
        <v>36</v>
      </c>
      <c r="I3" s="52" t="n">
        <v>37.7</v>
      </c>
      <c r="J3" s="52" t="n">
        <v>38.5</v>
      </c>
      <c r="K3" s="52" t="n">
        <v>40.9</v>
      </c>
      <c r="L3" s="52" t="n">
        <v>41.9</v>
      </c>
      <c r="M3" s="52" t="n">
        <v>43.9</v>
      </c>
      <c r="N3" s="52" t="n">
        <v>44.5</v>
      </c>
      <c r="O3" s="52" t="n">
        <v>46.2</v>
      </c>
      <c r="P3" s="52" t="n">
        <v>47.7</v>
      </c>
      <c r="Q3" s="52" t="n">
        <v>50.5</v>
      </c>
      <c r="R3" s="52" t="n">
        <v>51.6</v>
      </c>
      <c r="S3" s="52"/>
      <c r="T3" s="52"/>
      <c r="U3" s="52"/>
      <c r="V3" s="52"/>
      <c r="W3" s="52"/>
      <c r="X3" s="52"/>
      <c r="Y3" s="52"/>
      <c r="Z3" s="52" t="n">
        <v>27.7</v>
      </c>
      <c r="AA3" s="52" t="n">
        <v>28.1</v>
      </c>
      <c r="AB3" s="52" t="n">
        <v>32.7</v>
      </c>
      <c r="AC3" s="52" t="n">
        <v>35.5</v>
      </c>
      <c r="AD3" s="52" t="n">
        <v>41.3</v>
      </c>
      <c r="AE3" s="52" t="n">
        <v>50.5</v>
      </c>
      <c r="AF3" s="52"/>
      <c r="AG3" s="52"/>
      <c r="AH3" s="52"/>
      <c r="AI3" s="52"/>
      <c r="AJ3" s="52"/>
      <c r="AK3" s="52"/>
      <c r="AL3" s="52"/>
      <c r="AM3" s="52"/>
      <c r="AN3" s="52"/>
      <c r="AO3" s="52"/>
      <c r="AP3" s="52"/>
      <c r="AQ3" s="52"/>
      <c r="AR3" s="52"/>
      <c r="AS3" s="52"/>
      <c r="AT3" s="52"/>
      <c r="AU3" s="52"/>
      <c r="AV3" s="52"/>
      <c r="AW3" s="52"/>
      <c r="AX3" s="52"/>
      <c r="AY3" s="52"/>
      <c r="AZ3" s="52"/>
      <c r="BA3" s="52"/>
      <c r="BB3" s="52"/>
      <c r="BC3" s="52"/>
      <c r="BD3" s="52"/>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2"/>
      <c r="CR3" s="52"/>
      <c r="CS3" s="52"/>
      <c r="CT3" s="52"/>
      <c r="CU3" s="52"/>
      <c r="CV3" s="52"/>
      <c r="CW3" s="52"/>
      <c r="CX3" s="52"/>
      <c r="CY3" s="52"/>
      <c r="CZ3" s="52"/>
      <c r="DA3" s="52"/>
      <c r="DB3" s="52"/>
      <c r="DC3" s="52"/>
      <c r="DD3" s="52"/>
      <c r="DE3" s="52"/>
      <c r="DF3" s="52"/>
      <c r="DG3" s="52"/>
      <c r="DH3" s="52"/>
      <c r="DI3" s="52"/>
      <c r="DJ3" s="52"/>
      <c r="DK3" s="52"/>
      <c r="DL3" s="52"/>
      <c r="DM3" s="52"/>
      <c r="DN3" s="52"/>
      <c r="DO3" s="52"/>
      <c r="DP3" s="52"/>
      <c r="DQ3" s="52"/>
      <c r="DR3" s="52"/>
      <c r="DS3" s="52"/>
      <c r="DT3" s="52"/>
      <c r="DU3" s="52"/>
      <c r="DV3" s="52"/>
      <c r="DW3" s="52"/>
      <c r="DX3" s="52"/>
      <c r="DY3" s="52"/>
      <c r="DZ3" s="52"/>
      <c r="EA3" s="52"/>
      <c r="EB3" s="52"/>
      <c r="EC3" s="52"/>
      <c r="ED3" s="52"/>
      <c r="EE3" s="52"/>
      <c r="EF3" s="52"/>
      <c r="EG3" s="52"/>
      <c r="EH3" s="52"/>
      <c r="EI3" s="52"/>
      <c r="EJ3" s="52"/>
      <c r="EK3" s="52"/>
      <c r="EL3" s="52"/>
      <c r="EM3" s="52"/>
      <c r="EN3" s="52"/>
      <c r="EO3" s="52"/>
      <c r="EP3" s="52"/>
      <c r="EQ3" s="1"/>
      <c r="ER3" s="0"/>
      <c r="ES3" s="0"/>
      <c r="ET3" s="0"/>
      <c r="EU3" s="0"/>
      <c r="EV3" s="0"/>
    </row>
    <row r="4" s="7" customFormat="true" ht="10.5" hidden="false" customHeight="true" outlineLevel="0" collapsed="false">
      <c r="A4" s="53" t="s">
        <v>264</v>
      </c>
      <c r="B4" s="53"/>
      <c r="C4" s="53"/>
      <c r="D4" s="53"/>
      <c r="E4" s="53"/>
      <c r="F4" s="53" t="n">
        <f aca="false">F3/B3-1</f>
        <v>0.0776699029126213</v>
      </c>
      <c r="G4" s="53" t="n">
        <f aca="false">G3/C3-1</f>
        <v>0.0705521472392636</v>
      </c>
      <c r="H4" s="53" t="n">
        <f aca="false">H3/D3-1</f>
        <v>0.0746268656716418</v>
      </c>
      <c r="I4" s="53" t="n">
        <f aca="false">I3/E3-1</f>
        <v>0.12202380952381</v>
      </c>
      <c r="J4" s="53" t="n">
        <f aca="false">J3/F3-1</f>
        <v>0.156156156156156</v>
      </c>
      <c r="K4" s="53" t="n">
        <f aca="false">K3/G3-1</f>
        <v>0.171919770773639</v>
      </c>
      <c r="L4" s="53" t="n">
        <f aca="false">L3/H3-1</f>
        <v>0.163888888888889</v>
      </c>
      <c r="M4" s="53" t="n">
        <f aca="false">M3/I3-1</f>
        <v>0.164456233421751</v>
      </c>
      <c r="N4" s="53" t="n">
        <f aca="false">N3/J3-1</f>
        <v>0.155844155844156</v>
      </c>
      <c r="O4" s="53" t="n">
        <f aca="false">O3/K3-1</f>
        <v>0.12958435207824</v>
      </c>
      <c r="P4" s="53" t="n">
        <f aca="false">P3/L3-1</f>
        <v>0.138424821002387</v>
      </c>
      <c r="Q4" s="53" t="n">
        <f aca="false">Q3/M3-1</f>
        <v>0.150341685649203</v>
      </c>
      <c r="R4" s="53" t="n">
        <f aca="false">R3/N3-1</f>
        <v>0.159550561797753</v>
      </c>
      <c r="S4" s="53"/>
      <c r="T4" s="53"/>
      <c r="U4" s="53"/>
      <c r="V4" s="53"/>
      <c r="W4" s="53"/>
      <c r="X4" s="53"/>
      <c r="Y4" s="53"/>
      <c r="Z4" s="53"/>
      <c r="AA4" s="53" t="n">
        <f aca="false">+AA3/Z3-1</f>
        <v>0.0144404332129964</v>
      </c>
      <c r="AB4" s="53" t="n">
        <f aca="false">+AB3/AA3-1</f>
        <v>0.163701067615659</v>
      </c>
      <c r="AC4" s="53" t="n">
        <f aca="false">+AC3/AB3-1</f>
        <v>0.0856269113149846</v>
      </c>
      <c r="AD4" s="53" t="n">
        <f aca="false">+AD3/AC3-1</f>
        <v>0.163380281690141</v>
      </c>
      <c r="AE4" s="53" t="n">
        <f aca="false">+AE3/AD3-1</f>
        <v>0.222760290556901</v>
      </c>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3"/>
      <c r="BP4" s="53"/>
      <c r="BQ4" s="53"/>
      <c r="BR4" s="53"/>
      <c r="BS4" s="53"/>
      <c r="BT4" s="53"/>
      <c r="BU4" s="53"/>
      <c r="BV4" s="53"/>
      <c r="BW4" s="53"/>
      <c r="BX4" s="53"/>
      <c r="BY4" s="53"/>
      <c r="BZ4" s="53"/>
      <c r="CA4" s="53"/>
      <c r="CB4" s="53"/>
      <c r="CC4" s="53"/>
      <c r="CD4" s="53"/>
      <c r="CE4" s="53"/>
      <c r="CF4" s="53"/>
      <c r="CG4" s="53"/>
      <c r="CH4" s="53"/>
      <c r="CI4" s="53"/>
      <c r="CJ4" s="53"/>
      <c r="CK4" s="53"/>
      <c r="CL4" s="53"/>
      <c r="CM4" s="53"/>
      <c r="CN4" s="53"/>
      <c r="CO4" s="53"/>
      <c r="CP4" s="53"/>
      <c r="CQ4" s="53"/>
      <c r="CR4" s="53"/>
      <c r="CS4" s="53"/>
      <c r="CT4" s="53"/>
      <c r="CU4" s="53"/>
      <c r="CV4" s="53"/>
      <c r="CW4" s="53"/>
      <c r="CX4" s="53"/>
      <c r="CY4" s="53"/>
      <c r="CZ4" s="53"/>
      <c r="DA4" s="53"/>
      <c r="DB4" s="53"/>
      <c r="DC4" s="53"/>
      <c r="DD4" s="53"/>
      <c r="DE4" s="53"/>
      <c r="DF4" s="53"/>
      <c r="DG4" s="53"/>
      <c r="DH4" s="53"/>
      <c r="DI4" s="53"/>
      <c r="DJ4" s="53"/>
      <c r="DK4" s="53"/>
      <c r="DL4" s="53"/>
      <c r="DM4" s="53"/>
      <c r="DN4" s="53"/>
      <c r="DO4" s="53"/>
      <c r="DP4" s="53"/>
      <c r="DQ4" s="53"/>
      <c r="DR4" s="53"/>
      <c r="DS4" s="53"/>
      <c r="DT4" s="53"/>
      <c r="DU4" s="53"/>
      <c r="DV4" s="53"/>
      <c r="DW4" s="53"/>
      <c r="DX4" s="53"/>
      <c r="DY4" s="53"/>
      <c r="DZ4" s="53"/>
      <c r="EA4" s="53"/>
      <c r="EB4" s="53"/>
      <c r="EC4" s="53"/>
      <c r="ED4" s="53"/>
      <c r="EE4" s="53"/>
      <c r="EF4" s="53"/>
      <c r="EG4" s="53"/>
      <c r="EH4" s="53"/>
      <c r="EI4" s="53"/>
      <c r="EJ4" s="53"/>
      <c r="EK4" s="53"/>
      <c r="EL4" s="53"/>
      <c r="EM4" s="53"/>
      <c r="EN4" s="53"/>
      <c r="EO4" s="53"/>
      <c r="EP4" s="53"/>
      <c r="EQ4" s="29"/>
      <c r="ER4" s="1"/>
      <c r="ES4" s="1"/>
      <c r="ET4" s="1"/>
      <c r="EU4" s="1"/>
      <c r="EV4" s="1"/>
    </row>
    <row r="5" s="7" customFormat="true" ht="12.8" hidden="false" customHeight="false" outlineLevel="0" collapsed="false">
      <c r="A5" s="54" t="s">
        <v>265</v>
      </c>
      <c r="B5" s="55" t="s">
        <v>266</v>
      </c>
      <c r="C5" s="55" t="s">
        <v>266</v>
      </c>
      <c r="D5" s="55" t="s">
        <v>266</v>
      </c>
      <c r="E5" s="55" t="n">
        <v>0</v>
      </c>
      <c r="F5" s="56" t="n">
        <v>3600</v>
      </c>
      <c r="G5" s="56" t="n">
        <v>3939</v>
      </c>
      <c r="H5" s="56" t="n">
        <v>4063</v>
      </c>
      <c r="I5" s="56" t="n">
        <f aca="false">+AC5-F5-G5-H5</f>
        <v>4183</v>
      </c>
      <c r="J5" s="56" t="n">
        <v>4242</v>
      </c>
      <c r="K5" s="56" t="n">
        <v>4434</v>
      </c>
      <c r="L5" s="56" t="n">
        <v>4659</v>
      </c>
      <c r="M5" s="56" t="n">
        <v>5028</v>
      </c>
      <c r="N5" s="56" t="n">
        <v>4932</v>
      </c>
      <c r="O5" s="56" t="n">
        <v>5354</v>
      </c>
      <c r="P5" s="56" t="n">
        <v>5774</v>
      </c>
      <c r="Q5" s="56" t="n">
        <v>6077</v>
      </c>
      <c r="R5" s="56" t="n">
        <v>6131</v>
      </c>
      <c r="S5" s="56"/>
      <c r="T5" s="56"/>
      <c r="U5" s="56"/>
      <c r="V5" s="56"/>
      <c r="W5" s="56"/>
      <c r="X5" s="56"/>
      <c r="Y5" s="55" t="s">
        <v>266</v>
      </c>
      <c r="Z5" s="55" t="s">
        <v>266</v>
      </c>
      <c r="AA5" s="55" t="s">
        <v>266</v>
      </c>
      <c r="AB5" s="56" t="n">
        <v>15592</v>
      </c>
      <c r="AC5" s="56" t="n">
        <v>15785</v>
      </c>
      <c r="AD5" s="56" t="n">
        <v>18364</v>
      </c>
      <c r="AE5" s="56" t="n">
        <v>22138</v>
      </c>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R5" s="1"/>
      <c r="ES5" s="1"/>
      <c r="ET5" s="1"/>
      <c r="EU5" s="1"/>
      <c r="EV5" s="1"/>
    </row>
    <row r="6" s="7" customFormat="true" ht="10.5" hidden="false" customHeight="true" outlineLevel="0" collapsed="false">
      <c r="A6" s="53" t="s">
        <v>264</v>
      </c>
      <c r="B6" s="57"/>
      <c r="C6" s="57"/>
      <c r="D6" s="57"/>
      <c r="E6" s="57"/>
      <c r="F6" s="53"/>
      <c r="G6" s="53"/>
      <c r="H6" s="53"/>
      <c r="I6" s="53"/>
      <c r="J6" s="53" t="n">
        <f aca="false">J5/F5-1</f>
        <v>0.178333333333333</v>
      </c>
      <c r="K6" s="53" t="n">
        <f aca="false">K5/G5-1</f>
        <v>0.125666412795126</v>
      </c>
      <c r="L6" s="53" t="n">
        <f aca="false">L5/H5-1</f>
        <v>0.146689638198376</v>
      </c>
      <c r="M6" s="53" t="n">
        <f aca="false">M5/I5-1</f>
        <v>0.2020081281377</v>
      </c>
      <c r="N6" s="53" t="n">
        <f aca="false">N5/J5-1</f>
        <v>0.162659123055163</v>
      </c>
      <c r="O6" s="53" t="n">
        <f aca="false">O5/K5-1</f>
        <v>0.207487595850248</v>
      </c>
      <c r="P6" s="53" t="n">
        <f aca="false">P5/L5-1</f>
        <v>0.239321742863275</v>
      </c>
      <c r="Q6" s="53" t="n">
        <f aca="false">Q5/M5-1</f>
        <v>0.208631662688942</v>
      </c>
      <c r="R6" s="53" t="n">
        <f aca="false">R5/N5-1</f>
        <v>0.243106244931062</v>
      </c>
      <c r="S6" s="53"/>
      <c r="T6" s="53"/>
      <c r="U6" s="53"/>
      <c r="V6" s="53"/>
      <c r="W6" s="53"/>
      <c r="X6" s="53"/>
      <c r="Y6" s="53"/>
      <c r="Z6" s="53"/>
      <c r="AA6" s="53"/>
      <c r="AB6" s="53"/>
      <c r="AC6" s="53" t="n">
        <f aca="false">+AC5/AB5-1</f>
        <v>0.0123781426372498</v>
      </c>
      <c r="AD6" s="53" t="n">
        <f aca="false">+AD5/AC5-1</f>
        <v>0.16338295850491</v>
      </c>
      <c r="AE6" s="53" t="n">
        <f aca="false">+AE5/AD5-1</f>
        <v>0.205510781964714</v>
      </c>
      <c r="AF6" s="53"/>
      <c r="AG6" s="53"/>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c r="BO6" s="53"/>
      <c r="BP6" s="53"/>
      <c r="BQ6" s="53"/>
      <c r="BR6" s="53"/>
      <c r="BS6" s="53"/>
      <c r="BT6" s="53"/>
      <c r="BU6" s="53"/>
      <c r="BV6" s="53"/>
      <c r="BW6" s="53"/>
      <c r="BX6" s="53"/>
      <c r="BY6" s="53"/>
      <c r="BZ6" s="53"/>
      <c r="CA6" s="53"/>
      <c r="CB6" s="53"/>
      <c r="CC6" s="53"/>
      <c r="CD6" s="53"/>
      <c r="CE6" s="53"/>
      <c r="CF6" s="53"/>
      <c r="CG6" s="53"/>
      <c r="CH6" s="53"/>
      <c r="CI6" s="53"/>
      <c r="CJ6" s="53"/>
      <c r="CK6" s="53"/>
      <c r="CL6" s="53"/>
      <c r="CM6" s="53"/>
      <c r="CN6" s="53"/>
      <c r="CO6" s="53"/>
      <c r="CP6" s="53"/>
      <c r="CQ6" s="53"/>
      <c r="CR6" s="53"/>
      <c r="CS6" s="53"/>
      <c r="CT6" s="53"/>
      <c r="CU6" s="53"/>
      <c r="CV6" s="53"/>
      <c r="CW6" s="53"/>
      <c r="CX6" s="53"/>
      <c r="CY6" s="53"/>
      <c r="CZ6" s="53"/>
      <c r="DA6" s="53"/>
      <c r="DB6" s="53"/>
      <c r="DC6" s="53"/>
      <c r="DD6" s="53"/>
      <c r="DE6" s="53"/>
      <c r="DF6" s="53"/>
      <c r="DG6" s="53"/>
      <c r="DH6" s="53"/>
      <c r="DI6" s="53"/>
      <c r="DJ6" s="53"/>
      <c r="DK6" s="53"/>
      <c r="DL6" s="53"/>
      <c r="DM6" s="53"/>
      <c r="DN6" s="53"/>
      <c r="DO6" s="53"/>
      <c r="DP6" s="53"/>
      <c r="DQ6" s="53"/>
      <c r="DR6" s="53"/>
      <c r="DS6" s="53"/>
      <c r="DT6" s="53"/>
      <c r="DU6" s="53"/>
      <c r="DV6" s="53"/>
      <c r="DW6" s="53"/>
      <c r="DX6" s="53"/>
      <c r="DY6" s="53"/>
      <c r="DZ6" s="53"/>
      <c r="EA6" s="53"/>
      <c r="EB6" s="53"/>
      <c r="EC6" s="53"/>
      <c r="ED6" s="53"/>
      <c r="EE6" s="53"/>
      <c r="EF6" s="53"/>
      <c r="EG6" s="53"/>
      <c r="EH6" s="53"/>
      <c r="EI6" s="53"/>
      <c r="EJ6" s="53"/>
      <c r="EK6" s="53"/>
      <c r="EL6" s="53"/>
      <c r="EM6" s="53"/>
      <c r="EN6" s="53"/>
      <c r="EO6" s="53"/>
      <c r="EP6" s="53"/>
      <c r="EQ6" s="29"/>
      <c r="ER6" s="1"/>
      <c r="ES6" s="1"/>
      <c r="ET6" s="1"/>
      <c r="EU6" s="1"/>
      <c r="EV6" s="1"/>
    </row>
    <row r="7" s="7" customFormat="true" ht="12.8" hidden="false" customHeight="false" outlineLevel="0" collapsed="false">
      <c r="A7" s="5"/>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1"/>
      <c r="ER7" s="0"/>
      <c r="ES7" s="0"/>
      <c r="ET7" s="0"/>
      <c r="EU7" s="0"/>
      <c r="EV7" s="0"/>
    </row>
    <row r="8" s="7" customFormat="true" ht="12.8" hidden="false" customHeight="false" outlineLevel="0" collapsed="false">
      <c r="A8" s="5" t="s">
        <v>267</v>
      </c>
      <c r="B8" s="4" t="n">
        <v>404</v>
      </c>
      <c r="C8" s="4" t="n">
        <v>426</v>
      </c>
      <c r="D8" s="4" t="n">
        <v>439</v>
      </c>
      <c r="E8" s="4" t="n">
        <v>467</v>
      </c>
      <c r="F8" s="4" t="n">
        <v>512</v>
      </c>
      <c r="G8" s="4" t="n">
        <v>532</v>
      </c>
      <c r="H8" s="4" t="n">
        <v>543</v>
      </c>
      <c r="I8" s="4" t="n">
        <v>574</v>
      </c>
      <c r="J8" s="4" t="n">
        <v>620</v>
      </c>
      <c r="K8" s="4" t="n">
        <v>635</v>
      </c>
      <c r="L8" s="4" t="n">
        <v>643</v>
      </c>
      <c r="M8" s="4" t="n">
        <v>685</v>
      </c>
      <c r="N8" s="4" t="n">
        <v>732</v>
      </c>
      <c r="O8" s="4" t="n">
        <v>761</v>
      </c>
      <c r="P8" s="4" t="n">
        <v>776</v>
      </c>
      <c r="Q8" s="4" t="n">
        <v>903</v>
      </c>
      <c r="R8" s="4" t="n">
        <v>933</v>
      </c>
      <c r="S8" s="4"/>
      <c r="T8" s="4"/>
      <c r="U8" s="4"/>
      <c r="V8" s="4"/>
      <c r="W8" s="4"/>
      <c r="X8" s="4"/>
      <c r="Y8" s="4" t="n">
        <v>263</v>
      </c>
      <c r="Z8" s="4" t="n">
        <v>816</v>
      </c>
      <c r="AA8" s="4" t="n">
        <v>1390</v>
      </c>
      <c r="AB8" s="4" t="n">
        <v>1736</v>
      </c>
      <c r="AC8" s="4" t="n">
        <v>2161</v>
      </c>
      <c r="AD8" s="4" t="n">
        <v>2583</v>
      </c>
      <c r="AE8" s="4" t="n">
        <v>3172</v>
      </c>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1"/>
      <c r="ER8" s="1"/>
      <c r="ES8" s="1"/>
      <c r="ET8" s="1"/>
      <c r="EU8" s="1"/>
      <c r="EV8" s="1"/>
    </row>
    <row r="9" s="7" customFormat="true" ht="10.5" hidden="false" customHeight="true" outlineLevel="0" collapsed="false">
      <c r="A9" s="53" t="s">
        <v>264</v>
      </c>
      <c r="B9" s="57"/>
      <c r="C9" s="57"/>
      <c r="D9" s="57"/>
      <c r="E9" s="57"/>
      <c r="F9" s="53" t="n">
        <f aca="false">F8/B8-1</f>
        <v>0.267326732673267</v>
      </c>
      <c r="G9" s="53" t="n">
        <f aca="false">G8/C8-1</f>
        <v>0.248826291079812</v>
      </c>
      <c r="H9" s="53" t="n">
        <f aca="false">H8/D8-1</f>
        <v>0.236902050113895</v>
      </c>
      <c r="I9" s="53" t="n">
        <f aca="false">I8/E8-1</f>
        <v>0.229122055674518</v>
      </c>
      <c r="J9" s="53" t="n">
        <f aca="false">J8/F8-1</f>
        <v>0.2109375</v>
      </c>
      <c r="K9" s="53" t="n">
        <f aca="false">K8/G8-1</f>
        <v>0.193609022556391</v>
      </c>
      <c r="L9" s="53" t="n">
        <f aca="false">L8/H8-1</f>
        <v>0.184162062615101</v>
      </c>
      <c r="M9" s="53" t="n">
        <f aca="false">M8/I8-1</f>
        <v>0.193379790940767</v>
      </c>
      <c r="N9" s="53" t="n">
        <f aca="false">N8/J8-1</f>
        <v>0.180645161290323</v>
      </c>
      <c r="O9" s="53" t="n">
        <f aca="false">O8/K8-1</f>
        <v>0.198425196850394</v>
      </c>
      <c r="P9" s="53" t="n">
        <f aca="false">P8/L8-1</f>
        <v>0.206842923794712</v>
      </c>
      <c r="Q9" s="53" t="n">
        <f aca="false">Q8/M8-1</f>
        <v>0.318248175182482</v>
      </c>
      <c r="R9" s="53" t="n">
        <f aca="false">R8/N8-1</f>
        <v>0.274590163934426</v>
      </c>
      <c r="S9" s="53"/>
      <c r="T9" s="53"/>
      <c r="U9" s="53"/>
      <c r="V9" s="53"/>
      <c r="W9" s="53"/>
      <c r="X9" s="53"/>
      <c r="Y9" s="53"/>
      <c r="Z9" s="53" t="n">
        <f aca="false">+Z8/Y8-1</f>
        <v>2.10266159695818</v>
      </c>
      <c r="AA9" s="53" t="n">
        <f aca="false">+AA8/Z8-1</f>
        <v>0.70343137254902</v>
      </c>
      <c r="AB9" s="53" t="n">
        <f aca="false">+AB8/AA8-1</f>
        <v>0.248920863309352</v>
      </c>
      <c r="AC9" s="53" t="n">
        <f aca="false">+AC8/AB8-1</f>
        <v>0.244815668202765</v>
      </c>
      <c r="AD9" s="53" t="n">
        <f aca="false">+AD8/AC8-1</f>
        <v>0.195279962980102</v>
      </c>
      <c r="AE9" s="53" t="n">
        <f aca="false">+AE8/AD8-1</f>
        <v>0.228029423151374</v>
      </c>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c r="BS9" s="53"/>
      <c r="BT9" s="53"/>
      <c r="BU9" s="53"/>
      <c r="BV9" s="53"/>
      <c r="BW9" s="53"/>
      <c r="BX9" s="53"/>
      <c r="BY9" s="53"/>
      <c r="BZ9" s="53"/>
      <c r="CA9" s="53"/>
      <c r="CB9" s="53"/>
      <c r="CC9" s="53"/>
      <c r="CD9" s="53"/>
      <c r="CE9" s="53"/>
      <c r="CF9" s="53"/>
      <c r="CG9" s="53"/>
      <c r="CH9" s="53"/>
      <c r="CI9" s="53"/>
      <c r="CJ9" s="53"/>
      <c r="CK9" s="53"/>
      <c r="CL9" s="53"/>
      <c r="CM9" s="53"/>
      <c r="CN9" s="53"/>
      <c r="CO9" s="53"/>
      <c r="CP9" s="53"/>
      <c r="CQ9" s="53"/>
      <c r="CR9" s="53"/>
      <c r="CS9" s="53"/>
      <c r="CT9" s="53"/>
      <c r="CU9" s="53"/>
      <c r="CV9" s="53"/>
      <c r="CW9" s="53"/>
      <c r="CX9" s="53"/>
      <c r="CY9" s="53"/>
      <c r="CZ9" s="53"/>
      <c r="DA9" s="53"/>
      <c r="DB9" s="53"/>
      <c r="DC9" s="53"/>
      <c r="DD9" s="53"/>
      <c r="DE9" s="53"/>
      <c r="DF9" s="53"/>
      <c r="DG9" s="53"/>
      <c r="DH9" s="53"/>
      <c r="DI9" s="53"/>
      <c r="DJ9" s="53"/>
      <c r="DK9" s="53"/>
      <c r="DL9" s="53"/>
      <c r="DM9" s="53"/>
      <c r="DN9" s="53"/>
      <c r="DO9" s="53"/>
      <c r="DP9" s="53"/>
      <c r="DQ9" s="53"/>
      <c r="DR9" s="53"/>
      <c r="DS9" s="53"/>
      <c r="DT9" s="53"/>
      <c r="DU9" s="53"/>
      <c r="DV9" s="53"/>
      <c r="DW9" s="53"/>
      <c r="DX9" s="53"/>
      <c r="DY9" s="53"/>
      <c r="DZ9" s="53"/>
      <c r="EA9" s="53"/>
      <c r="EB9" s="53"/>
      <c r="EC9" s="53"/>
      <c r="ED9" s="53"/>
      <c r="EE9" s="53"/>
      <c r="EF9" s="53"/>
      <c r="EG9" s="53"/>
      <c r="EH9" s="53"/>
      <c r="EI9" s="53"/>
      <c r="EJ9" s="53"/>
      <c r="EK9" s="53"/>
      <c r="EL9" s="53"/>
      <c r="EM9" s="53"/>
      <c r="EN9" s="53"/>
      <c r="EO9" s="53"/>
      <c r="EP9" s="53"/>
      <c r="EQ9" s="29"/>
      <c r="ER9" s="1"/>
      <c r="ES9" s="1"/>
      <c r="ET9" s="1"/>
      <c r="EU9" s="1"/>
      <c r="EV9" s="1"/>
    </row>
    <row r="10" s="59" customFormat="true" ht="12.8" hidden="false" customHeight="false" outlineLevel="0" collapsed="false">
      <c r="A10" s="54" t="s">
        <v>268</v>
      </c>
      <c r="B10" s="54"/>
      <c r="C10" s="54"/>
      <c r="D10" s="54"/>
      <c r="E10" s="54"/>
      <c r="F10" s="56"/>
      <c r="G10" s="56"/>
      <c r="H10" s="56"/>
      <c r="I10" s="56"/>
      <c r="J10" s="56"/>
      <c r="K10" s="56"/>
      <c r="L10" s="56"/>
      <c r="M10" s="56"/>
      <c r="N10" s="56"/>
      <c r="O10" s="56"/>
      <c r="P10" s="56"/>
      <c r="Q10" s="56"/>
      <c r="R10" s="58"/>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7"/>
      <c r="ER10" s="1"/>
      <c r="ES10" s="1"/>
      <c r="ET10" s="1"/>
      <c r="EU10" s="1"/>
      <c r="EV10" s="1"/>
    </row>
    <row r="11" s="7" customFormat="true" ht="12.8" hidden="false" customHeight="false" outlineLevel="0" collapsed="false">
      <c r="A11" s="54" t="s">
        <v>269</v>
      </c>
      <c r="B11" s="54"/>
      <c r="C11" s="54"/>
      <c r="D11" s="54"/>
      <c r="E11" s="54"/>
      <c r="F11" s="56"/>
      <c r="G11" s="56"/>
      <c r="H11" s="56"/>
      <c r="I11" s="56"/>
      <c r="J11" s="56"/>
      <c r="K11" s="56"/>
      <c r="L11" s="56"/>
      <c r="M11" s="56"/>
      <c r="N11" s="56"/>
      <c r="O11" s="56"/>
      <c r="P11" s="56" t="n">
        <v>3500</v>
      </c>
      <c r="Q11" s="56" t="n">
        <v>5300</v>
      </c>
      <c r="R11" s="56" t="n">
        <v>6200</v>
      </c>
      <c r="S11" s="56"/>
      <c r="T11" s="56"/>
      <c r="U11" s="56"/>
      <c r="V11" s="56"/>
      <c r="W11" s="56"/>
      <c r="X11" s="56"/>
      <c r="Y11" s="56"/>
      <c r="Z11" s="56"/>
      <c r="AA11" s="56"/>
      <c r="AB11" s="56"/>
      <c r="AC11" s="56" t="n">
        <v>0.8</v>
      </c>
      <c r="AD11" s="56" t="n">
        <v>4</v>
      </c>
      <c r="AE11" s="56" t="n">
        <v>15</v>
      </c>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R11" s="1"/>
      <c r="ES11" s="1"/>
      <c r="ET11" s="1"/>
      <c r="EU11" s="1"/>
      <c r="EV11" s="1"/>
    </row>
    <row r="12" s="1" customFormat="true" ht="12.8" hidden="false" customHeight="false" outlineLevel="0" collapsed="false">
      <c r="A12" s="54" t="s">
        <v>270</v>
      </c>
      <c r="B12" s="54"/>
      <c r="C12" s="54"/>
      <c r="D12" s="54"/>
      <c r="E12" s="54"/>
      <c r="F12" s="56" t="n">
        <v>660</v>
      </c>
      <c r="G12" s="56" t="n">
        <v>714</v>
      </c>
      <c r="H12" s="56" t="n">
        <v>821</v>
      </c>
      <c r="I12" s="56" t="n">
        <v>839</v>
      </c>
      <c r="J12" s="56" t="n">
        <v>826</v>
      </c>
      <c r="K12" s="56" t="n">
        <v>899</v>
      </c>
      <c r="L12" s="56" t="n">
        <v>988</v>
      </c>
      <c r="M12" s="56" t="n">
        <v>1100</v>
      </c>
      <c r="N12" s="56" t="n">
        <v>1400</v>
      </c>
      <c r="O12" s="56" t="n">
        <v>2200</v>
      </c>
      <c r="P12" s="56" t="n">
        <v>3100</v>
      </c>
      <c r="Q12" s="56" t="n">
        <v>3400</v>
      </c>
      <c r="R12" s="56" t="n">
        <v>3200</v>
      </c>
      <c r="S12" s="56"/>
      <c r="T12" s="56"/>
      <c r="U12" s="56"/>
      <c r="V12" s="56"/>
      <c r="W12" s="56"/>
      <c r="X12" s="56"/>
      <c r="Y12" s="56"/>
      <c r="Z12" s="56"/>
      <c r="AA12" s="56"/>
      <c r="AB12" s="56" t="n">
        <v>1.5</v>
      </c>
      <c r="AC12" s="56" t="n">
        <v>3.03</v>
      </c>
      <c r="AD12" s="56" t="n">
        <v>3.813</v>
      </c>
      <c r="AE12" s="56" t="n">
        <v>10.1</v>
      </c>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7"/>
    </row>
    <row r="13" s="1" customFormat="true" ht="10.5" hidden="false" customHeight="true" outlineLevel="0" collapsed="false">
      <c r="A13" s="60"/>
      <c r="B13" s="60"/>
      <c r="C13" s="60"/>
      <c r="D13" s="60"/>
      <c r="E13" s="60"/>
      <c r="F13" s="61"/>
      <c r="G13" s="61"/>
      <c r="H13" s="61"/>
      <c r="I13" s="61"/>
      <c r="J13" s="53" t="n">
        <f aca="false">J12/F12-1</f>
        <v>0.251515151515151</v>
      </c>
      <c r="K13" s="53" t="n">
        <f aca="false">K12/G12-1</f>
        <v>0.259103641456583</v>
      </c>
      <c r="L13" s="53" t="n">
        <f aca="false">L12/H12-1</f>
        <v>0.203410475030451</v>
      </c>
      <c r="M13" s="53" t="n">
        <f aca="false">M12/I12-1</f>
        <v>0.311084624553039</v>
      </c>
      <c r="N13" s="53" t="n">
        <f aca="false">N12/J12-1</f>
        <v>0.694915254237288</v>
      </c>
      <c r="O13" s="53" t="n">
        <f aca="false">O12/K12-1</f>
        <v>1.44716351501669</v>
      </c>
      <c r="P13" s="53" t="n">
        <f aca="false">P12/L12-1</f>
        <v>2.13765182186235</v>
      </c>
      <c r="Q13" s="53" t="n">
        <f aca="false">Q12/M12-1</f>
        <v>2.09090909090909</v>
      </c>
      <c r="R13" s="53" t="n">
        <f aca="false">R12/N12-1</f>
        <v>1.28571428571429</v>
      </c>
      <c r="S13" s="61"/>
      <c r="T13" s="61"/>
      <c r="U13" s="61"/>
      <c r="V13" s="61"/>
      <c r="W13" s="61"/>
      <c r="X13" s="61"/>
      <c r="Y13" s="61"/>
      <c r="Z13" s="61"/>
      <c r="AA13" s="61"/>
      <c r="AB13" s="61"/>
      <c r="AC13" s="53" t="n">
        <f aca="false">AC12/AB12-1</f>
        <v>1.02</v>
      </c>
      <c r="AD13" s="53" t="n">
        <f aca="false">AD12/AC12-1</f>
        <v>0.258415841584159</v>
      </c>
      <c r="AE13" s="53" t="n">
        <f aca="false">AE12/AD12-1</f>
        <v>1.6488329399423</v>
      </c>
      <c r="AF13" s="61"/>
      <c r="AG13" s="61"/>
      <c r="AH13" s="61"/>
      <c r="AI13" s="61"/>
      <c r="AJ13" s="61"/>
      <c r="AK13" s="61"/>
      <c r="AL13" s="61"/>
      <c r="AM13" s="61"/>
      <c r="AN13" s="61"/>
      <c r="AO13" s="61"/>
      <c r="AP13" s="61"/>
      <c r="AQ13" s="61"/>
      <c r="AR13" s="61"/>
      <c r="AS13" s="61"/>
      <c r="AT13" s="61"/>
      <c r="AU13" s="61"/>
      <c r="AV13" s="61"/>
      <c r="AW13" s="61"/>
      <c r="AX13" s="61"/>
      <c r="AY13" s="61"/>
      <c r="AZ13" s="61"/>
      <c r="BA13" s="61"/>
      <c r="BB13" s="61"/>
      <c r="BC13" s="61"/>
      <c r="BD13" s="61"/>
      <c r="BE13" s="61"/>
      <c r="BF13" s="61"/>
      <c r="BG13" s="61"/>
      <c r="BH13" s="61"/>
      <c r="BI13" s="61"/>
      <c r="BJ13" s="61"/>
      <c r="BK13" s="61"/>
      <c r="BL13" s="61"/>
      <c r="BM13" s="61"/>
      <c r="BN13" s="61"/>
      <c r="BO13" s="61"/>
      <c r="BP13" s="61"/>
      <c r="BQ13" s="61"/>
      <c r="BR13" s="61"/>
      <c r="BS13" s="61"/>
      <c r="BT13" s="61"/>
      <c r="BU13" s="61"/>
      <c r="BV13" s="61"/>
      <c r="BW13" s="61"/>
      <c r="BX13" s="61"/>
      <c r="BY13" s="61"/>
      <c r="BZ13" s="61"/>
      <c r="CA13" s="61"/>
      <c r="CB13" s="61"/>
      <c r="CC13" s="61"/>
      <c r="CD13" s="61"/>
      <c r="CE13" s="61"/>
      <c r="CF13" s="61"/>
      <c r="CG13" s="61"/>
      <c r="CH13" s="61"/>
      <c r="CI13" s="61"/>
      <c r="CJ13" s="61"/>
      <c r="CK13" s="61"/>
      <c r="CL13" s="61"/>
      <c r="CM13" s="61"/>
      <c r="CN13" s="61"/>
      <c r="CO13" s="61"/>
      <c r="CP13" s="61"/>
      <c r="CQ13" s="61"/>
      <c r="CR13" s="61"/>
      <c r="CS13" s="61"/>
      <c r="CT13" s="61"/>
      <c r="CU13" s="61"/>
      <c r="CV13" s="61"/>
      <c r="CW13" s="61"/>
      <c r="CX13" s="61"/>
      <c r="CY13" s="61"/>
      <c r="CZ13" s="61"/>
      <c r="DA13" s="61"/>
      <c r="DB13" s="61"/>
      <c r="DC13" s="61"/>
      <c r="DD13" s="61"/>
      <c r="DE13" s="61"/>
      <c r="DF13" s="61"/>
      <c r="DG13" s="61"/>
      <c r="DH13" s="61"/>
      <c r="DI13" s="61"/>
      <c r="DJ13" s="61"/>
      <c r="DK13" s="61"/>
      <c r="DL13" s="61"/>
      <c r="DM13" s="61"/>
      <c r="DN13" s="61"/>
      <c r="DO13" s="61"/>
      <c r="DP13" s="61"/>
      <c r="DQ13" s="61"/>
      <c r="DR13" s="61"/>
      <c r="DS13" s="61"/>
      <c r="DT13" s="61"/>
      <c r="DU13" s="61"/>
      <c r="DV13" s="61"/>
      <c r="DW13" s="61"/>
      <c r="DX13" s="61"/>
      <c r="DY13" s="61"/>
      <c r="DZ13" s="61"/>
      <c r="EA13" s="61"/>
      <c r="EB13" s="61"/>
      <c r="EC13" s="61"/>
      <c r="ED13" s="61"/>
      <c r="EE13" s="61"/>
      <c r="EF13" s="61"/>
      <c r="EG13" s="61"/>
      <c r="EH13" s="61"/>
      <c r="EI13" s="61"/>
      <c r="EJ13" s="61"/>
      <c r="EK13" s="61"/>
      <c r="EL13" s="61"/>
      <c r="EM13" s="61"/>
      <c r="EN13" s="61"/>
      <c r="EO13" s="61"/>
      <c r="EP13" s="61"/>
      <c r="EQ13" s="62"/>
    </row>
    <row r="14" s="47" customFormat="true" ht="12.8" hidden="false" customHeight="false" outlineLevel="0" collapsed="false">
      <c r="A14" s="54" t="s">
        <v>271</v>
      </c>
      <c r="B14" s="54"/>
      <c r="C14" s="54"/>
      <c r="D14" s="54"/>
      <c r="E14" s="54"/>
      <c r="F14" s="56"/>
      <c r="G14" s="56"/>
      <c r="H14" s="56"/>
      <c r="I14" s="56"/>
      <c r="J14" s="63"/>
      <c r="K14" s="63"/>
      <c r="L14" s="63"/>
      <c r="M14" s="63"/>
      <c r="N14" s="63"/>
      <c r="O14" s="63"/>
      <c r="P14" s="63"/>
      <c r="Q14" s="63"/>
      <c r="R14" s="63"/>
      <c r="S14" s="56"/>
      <c r="T14" s="56"/>
      <c r="U14" s="56"/>
      <c r="V14" s="56"/>
      <c r="W14" s="56"/>
      <c r="X14" s="56"/>
      <c r="Y14" s="56"/>
      <c r="Z14" s="56"/>
      <c r="AA14" s="56"/>
      <c r="AB14" s="56"/>
      <c r="AC14" s="63"/>
      <c r="AD14" s="63"/>
      <c r="AE14" s="63"/>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7"/>
      <c r="ER14" s="1"/>
      <c r="ES14" s="1"/>
      <c r="ET14" s="1"/>
      <c r="EU14" s="1"/>
      <c r="EV14" s="1"/>
    </row>
    <row r="15" s="42" customFormat="true" ht="12.8" hidden="false" customHeight="false" outlineLevel="0" collapsed="false">
      <c r="A15" s="54" t="s">
        <v>272</v>
      </c>
      <c r="B15" s="54"/>
      <c r="C15" s="54"/>
      <c r="D15" s="54"/>
      <c r="E15" s="54"/>
      <c r="F15" s="56"/>
      <c r="G15" s="56"/>
      <c r="H15" s="56"/>
      <c r="I15" s="56"/>
      <c r="J15" s="63"/>
      <c r="K15" s="63"/>
      <c r="L15" s="63"/>
      <c r="M15" s="63"/>
      <c r="N15" s="63"/>
      <c r="O15" s="63"/>
      <c r="P15" s="63"/>
      <c r="Q15" s="63"/>
      <c r="R15" s="63"/>
      <c r="S15" s="56" t="n">
        <v>10000</v>
      </c>
      <c r="T15" s="56"/>
      <c r="U15" s="56"/>
      <c r="V15" s="56"/>
      <c r="W15" s="56"/>
      <c r="X15" s="56"/>
      <c r="Y15" s="56"/>
      <c r="Z15" s="56"/>
      <c r="AA15" s="56"/>
      <c r="AB15" s="56"/>
      <c r="AC15" s="63"/>
      <c r="AD15" s="63"/>
      <c r="AE15" s="63"/>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7"/>
      <c r="ER15" s="1"/>
      <c r="ES15" s="1"/>
      <c r="ET15" s="1"/>
      <c r="EU15" s="1"/>
      <c r="EV15" s="1"/>
    </row>
    <row r="16" s="1" customFormat="true" ht="12.8" hidden="false" customHeight="false" outlineLevel="0" collapsed="false">
      <c r="A16" s="5"/>
      <c r="B16" s="5"/>
      <c r="C16" s="5"/>
      <c r="D16" s="5"/>
      <c r="E16" s="5"/>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c r="EE16" s="4"/>
      <c r="EF16" s="4"/>
      <c r="EG16" s="4"/>
      <c r="EH16" s="4"/>
      <c r="EI16" s="4"/>
      <c r="EJ16" s="4"/>
      <c r="EK16" s="4"/>
      <c r="EL16" s="4"/>
      <c r="EM16" s="4"/>
      <c r="EN16" s="4"/>
      <c r="EO16" s="4"/>
      <c r="EP16" s="4"/>
    </row>
    <row r="17" s="1" customFormat="true" ht="12.8" hidden="false" customHeight="false" outlineLevel="0" collapsed="false">
      <c r="A17" s="5"/>
      <c r="B17" s="5"/>
      <c r="C17" s="5"/>
      <c r="D17" s="5"/>
      <c r="E17" s="5"/>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c r="EE17" s="4"/>
      <c r="EF17" s="4"/>
      <c r="EG17" s="4"/>
      <c r="EH17" s="4"/>
      <c r="EI17" s="4"/>
      <c r="EJ17" s="4"/>
      <c r="EK17" s="4"/>
      <c r="EL17" s="4"/>
      <c r="EM17" s="4"/>
      <c r="EN17" s="4"/>
      <c r="EO17" s="4"/>
      <c r="EP17" s="4"/>
    </row>
    <row r="18" s="7" customFormat="true" ht="12.8" hidden="false" customHeight="false" outlineLevel="0" collapsed="false">
      <c r="A18" s="64" t="s">
        <v>273</v>
      </c>
      <c r="B18" s="65" t="n">
        <v>139.5</v>
      </c>
      <c r="C18" s="65" t="n">
        <v>152.1</v>
      </c>
      <c r="D18" s="65" t="n">
        <v>155.8</v>
      </c>
      <c r="E18" s="65" t="n">
        <v>151.1</v>
      </c>
      <c r="F18" s="65" t="n">
        <v>153</v>
      </c>
      <c r="G18" s="65" t="n">
        <v>177.9</v>
      </c>
      <c r="H18" s="65" t="n">
        <v>187.4</v>
      </c>
      <c r="I18" s="65" t="n">
        <v>190.8</v>
      </c>
      <c r="J18" s="65" t="n">
        <v>187.7</v>
      </c>
      <c r="K18" s="65" t="n">
        <v>205.3</v>
      </c>
      <c r="L18" s="65" t="n">
        <v>216.7</v>
      </c>
      <c r="M18" s="65" t="n">
        <v>218.5</v>
      </c>
      <c r="N18" s="65" t="n">
        <v>218.4</v>
      </c>
      <c r="O18" s="65" t="n">
        <v>234.8</v>
      </c>
      <c r="P18" s="65" t="n">
        <v>248.8</v>
      </c>
      <c r="Q18" s="65" t="n">
        <v>243.5</v>
      </c>
      <c r="R18" s="65" t="n">
        <v>236.9</v>
      </c>
      <c r="S18" s="65"/>
      <c r="T18" s="65"/>
      <c r="U18" s="65"/>
      <c r="V18" s="65"/>
      <c r="W18" s="65"/>
      <c r="X18" s="65"/>
      <c r="Y18" s="30" t="s">
        <v>266</v>
      </c>
      <c r="Z18" s="30" t="s">
        <v>266</v>
      </c>
      <c r="AA18" s="30" t="s">
        <v>266</v>
      </c>
      <c r="AB18" s="1" t="n">
        <v>598.5</v>
      </c>
      <c r="AC18" s="65" t="n">
        <f aca="false">SUM(F18:I18)</f>
        <v>709.1</v>
      </c>
      <c r="AD18" s="65" t="n">
        <f aca="false">SUM(J18:M18)</f>
        <v>828.2</v>
      </c>
      <c r="AE18" s="65" t="n">
        <f aca="false">SUM(N18:Q18)</f>
        <v>945.5</v>
      </c>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1"/>
      <c r="ER18" s="1"/>
      <c r="ES18" s="1"/>
      <c r="ET18" s="1"/>
      <c r="EU18" s="1"/>
      <c r="EV18" s="1"/>
    </row>
    <row r="19" s="7" customFormat="true" ht="10.5" hidden="false" customHeight="true" outlineLevel="0" collapsed="false">
      <c r="A19" s="53" t="s">
        <v>264</v>
      </c>
      <c r="B19" s="57"/>
      <c r="C19" s="57"/>
      <c r="D19" s="57"/>
      <c r="E19" s="57"/>
      <c r="F19" s="53" t="n">
        <f aca="false">F18/B18-1</f>
        <v>0.096774193548387</v>
      </c>
      <c r="G19" s="53" t="n">
        <f aca="false">G18/C18-1</f>
        <v>0.169625246548323</v>
      </c>
      <c r="H19" s="53" t="n">
        <f aca="false">H18/D18-1</f>
        <v>0.202824133504493</v>
      </c>
      <c r="I19" s="53" t="n">
        <f aca="false">I18/E18-1</f>
        <v>0.262739907346129</v>
      </c>
      <c r="J19" s="53" t="n">
        <f aca="false">J18/F18-1</f>
        <v>0.226797385620915</v>
      </c>
      <c r="K19" s="53" t="n">
        <f aca="false">K18/G18-1</f>
        <v>0.154019111860596</v>
      </c>
      <c r="L19" s="53" t="n">
        <f aca="false">L18/H18-1</f>
        <v>0.156350053361793</v>
      </c>
      <c r="M19" s="53" t="n">
        <f aca="false">M18/I18-1</f>
        <v>0.145178197064989</v>
      </c>
      <c r="N19" s="53" t="n">
        <f aca="false">N18/J18-1</f>
        <v>0.163558870538093</v>
      </c>
      <c r="O19" s="53" t="n">
        <f aca="false">O18/K18-1</f>
        <v>0.143692157817828</v>
      </c>
      <c r="P19" s="53" t="n">
        <f aca="false">P18/L18-1</f>
        <v>0.148131056760499</v>
      </c>
      <c r="Q19" s="53" t="n">
        <f aca="false">Q18/M18-1</f>
        <v>0.11441647597254</v>
      </c>
      <c r="R19" s="53" t="n">
        <f aca="false">R18/N18-1</f>
        <v>0.0847069597069596</v>
      </c>
      <c r="S19" s="53"/>
      <c r="T19" s="53"/>
      <c r="U19" s="53"/>
      <c r="V19" s="53"/>
      <c r="W19" s="53"/>
      <c r="X19" s="53"/>
      <c r="Y19" s="53"/>
      <c r="Z19" s="53"/>
      <c r="AA19" s="53"/>
      <c r="AB19" s="53"/>
      <c r="AC19" s="53" t="n">
        <f aca="false">AC18/AB18-1</f>
        <v>0.184795321637427</v>
      </c>
      <c r="AD19" s="53" t="n">
        <f aca="false">AD18/AC18-1</f>
        <v>0.167959385136088</v>
      </c>
      <c r="AE19" s="53" t="n">
        <f aca="false">AE18/AD18-1</f>
        <v>0.14163245592852</v>
      </c>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3"/>
      <c r="BI19" s="53"/>
      <c r="BJ19" s="53"/>
      <c r="BK19" s="53"/>
      <c r="BL19" s="53"/>
      <c r="BM19" s="53"/>
      <c r="BN19" s="53"/>
      <c r="BO19" s="53"/>
      <c r="BP19" s="53"/>
      <c r="BQ19" s="53"/>
      <c r="BR19" s="53"/>
      <c r="BS19" s="53"/>
      <c r="BT19" s="53"/>
      <c r="BU19" s="53"/>
      <c r="BV19" s="53"/>
      <c r="BW19" s="53"/>
      <c r="BX19" s="53"/>
      <c r="BY19" s="53"/>
      <c r="BZ19" s="53"/>
      <c r="CA19" s="53"/>
      <c r="CB19" s="53"/>
      <c r="CC19" s="53"/>
      <c r="CD19" s="53"/>
      <c r="CE19" s="53"/>
      <c r="CF19" s="53"/>
      <c r="CG19" s="53"/>
      <c r="CH19" s="53"/>
      <c r="CI19" s="53"/>
      <c r="CJ19" s="53"/>
      <c r="CK19" s="53"/>
      <c r="CL19" s="53"/>
      <c r="CM19" s="53"/>
      <c r="CN19" s="53"/>
      <c r="CO19" s="53"/>
      <c r="CP19" s="53"/>
      <c r="CQ19" s="53"/>
      <c r="CR19" s="53"/>
      <c r="CS19" s="53"/>
      <c r="CT19" s="53"/>
      <c r="CU19" s="53"/>
      <c r="CV19" s="53"/>
      <c r="CW19" s="53"/>
      <c r="CX19" s="53"/>
      <c r="CY19" s="53"/>
      <c r="CZ19" s="53"/>
      <c r="DA19" s="53"/>
      <c r="DB19" s="53"/>
      <c r="DC19" s="53"/>
      <c r="DD19" s="53"/>
      <c r="DE19" s="53"/>
      <c r="DF19" s="53"/>
      <c r="DG19" s="53"/>
      <c r="DH19" s="53"/>
      <c r="DI19" s="53"/>
      <c r="DJ19" s="53"/>
      <c r="DK19" s="53"/>
      <c r="DL19" s="53"/>
      <c r="DM19" s="53"/>
      <c r="DN19" s="53"/>
      <c r="DO19" s="53"/>
      <c r="DP19" s="53"/>
      <c r="DQ19" s="53"/>
      <c r="DR19" s="53"/>
      <c r="DS19" s="53"/>
      <c r="DT19" s="53"/>
      <c r="DU19" s="53"/>
      <c r="DV19" s="53"/>
      <c r="DW19" s="53"/>
      <c r="DX19" s="53"/>
      <c r="DY19" s="53"/>
      <c r="DZ19" s="53"/>
      <c r="EA19" s="53"/>
      <c r="EB19" s="53"/>
      <c r="EC19" s="53"/>
      <c r="ED19" s="53"/>
      <c r="EE19" s="53"/>
      <c r="EF19" s="53"/>
      <c r="EG19" s="53"/>
      <c r="EH19" s="53"/>
      <c r="EI19" s="53"/>
      <c r="EJ19" s="53"/>
      <c r="EK19" s="53"/>
      <c r="EL19" s="53"/>
      <c r="EM19" s="53"/>
      <c r="EN19" s="53"/>
      <c r="EO19" s="53"/>
      <c r="EP19" s="53"/>
      <c r="EQ19" s="29"/>
      <c r="ER19" s="1"/>
      <c r="ES19" s="1"/>
      <c r="ET19" s="1"/>
      <c r="EU19" s="1"/>
      <c r="EV19" s="1"/>
    </row>
    <row r="20" s="7" customFormat="true" ht="12.8" hidden="false" customHeight="false" outlineLevel="0" collapsed="false">
      <c r="A20" s="66" t="s">
        <v>274</v>
      </c>
      <c r="B20" s="67" t="n">
        <v>2694</v>
      </c>
      <c r="C20" s="67" t="n">
        <v>3093</v>
      </c>
      <c r="D20" s="67" t="n">
        <v>3079</v>
      </c>
      <c r="E20" s="67" t="n">
        <v>3191</v>
      </c>
      <c r="F20" s="67" t="n">
        <v>3051</v>
      </c>
      <c r="G20" s="67" t="n">
        <v>3446</v>
      </c>
      <c r="H20" s="67" t="n">
        <v>3554</v>
      </c>
      <c r="I20" s="67" t="n">
        <v>3724</v>
      </c>
      <c r="J20" s="67" t="n">
        <v>3693</v>
      </c>
      <c r="K20" s="67" t="n">
        <v>4019</v>
      </c>
      <c r="L20" s="67" t="n">
        <v>4108</v>
      </c>
      <c r="M20" s="67" t="n">
        <v>4279</v>
      </c>
      <c r="N20" s="67" t="n">
        <v>4162</v>
      </c>
      <c r="O20" s="67" t="n">
        <v>4490</v>
      </c>
      <c r="P20" s="67" t="n">
        <v>4780</v>
      </c>
      <c r="Q20" s="67" t="n">
        <v>5074</v>
      </c>
      <c r="R20" s="67" t="n">
        <v>4946</v>
      </c>
      <c r="S20" s="67"/>
      <c r="T20" s="67"/>
      <c r="U20" s="67"/>
      <c r="V20" s="67"/>
      <c r="W20" s="67"/>
      <c r="X20" s="67"/>
      <c r="Y20" s="68" t="s">
        <v>266</v>
      </c>
      <c r="Z20" s="68" t="s">
        <v>266</v>
      </c>
      <c r="AA20" s="68" t="s">
        <v>266</v>
      </c>
      <c r="AB20" s="67" t="n">
        <v>12057</v>
      </c>
      <c r="AC20" s="65" t="n">
        <f aca="false">SUM(F20:I20)</f>
        <v>13775</v>
      </c>
      <c r="AD20" s="65" t="n">
        <f aca="false">SUM(J20:M20)</f>
        <v>16099</v>
      </c>
      <c r="AE20" s="65" t="n">
        <f aca="false">SUM(N20:Q20)</f>
        <v>18506</v>
      </c>
      <c r="AF20" s="67"/>
      <c r="AG20" s="67"/>
      <c r="AH20" s="67"/>
      <c r="AI20" s="67"/>
      <c r="AJ20" s="67"/>
      <c r="AK20" s="67"/>
      <c r="AL20" s="67"/>
      <c r="AM20" s="67"/>
      <c r="AN20" s="67"/>
      <c r="AO20" s="67"/>
      <c r="AP20" s="67"/>
      <c r="AQ20" s="67"/>
      <c r="AR20" s="67"/>
      <c r="AS20" s="67"/>
      <c r="AT20" s="67"/>
      <c r="AU20" s="67"/>
      <c r="AV20" s="67"/>
      <c r="AW20" s="67"/>
      <c r="AX20" s="67"/>
      <c r="AY20" s="67"/>
      <c r="AZ20" s="67"/>
      <c r="BA20" s="67"/>
      <c r="BB20" s="67"/>
      <c r="BC20" s="67"/>
      <c r="BD20" s="67"/>
      <c r="BE20" s="67"/>
      <c r="BF20" s="67"/>
      <c r="BG20" s="67"/>
      <c r="BH20" s="67"/>
      <c r="BI20" s="67"/>
      <c r="BJ20" s="67"/>
      <c r="BK20" s="67"/>
      <c r="BL20" s="67"/>
      <c r="BM20" s="67"/>
      <c r="BN20" s="67"/>
      <c r="BO20" s="67"/>
      <c r="BP20" s="67"/>
      <c r="BQ20" s="67"/>
      <c r="BR20" s="67"/>
      <c r="BS20" s="67"/>
      <c r="BT20" s="67"/>
      <c r="BU20" s="67"/>
      <c r="BV20" s="67"/>
      <c r="BW20" s="67"/>
      <c r="BX20" s="67"/>
      <c r="BY20" s="67"/>
      <c r="BZ20" s="67"/>
      <c r="CA20" s="67"/>
      <c r="CB20" s="67"/>
      <c r="CC20" s="67"/>
      <c r="CD20" s="67"/>
      <c r="CE20" s="67"/>
      <c r="CF20" s="67"/>
      <c r="CG20" s="67"/>
      <c r="CH20" s="67"/>
      <c r="CI20" s="67"/>
      <c r="CJ20" s="67"/>
      <c r="CK20" s="67"/>
      <c r="CL20" s="67"/>
      <c r="CM20" s="67"/>
      <c r="CN20" s="67"/>
      <c r="CO20" s="67"/>
      <c r="CP20" s="67"/>
      <c r="CQ20" s="67"/>
      <c r="CR20" s="67"/>
      <c r="CS20" s="67"/>
      <c r="CT20" s="67"/>
      <c r="CU20" s="67"/>
      <c r="CV20" s="67"/>
      <c r="CW20" s="67"/>
      <c r="CX20" s="67"/>
      <c r="CY20" s="67"/>
      <c r="CZ20" s="67"/>
      <c r="DA20" s="67"/>
      <c r="DB20" s="67"/>
      <c r="DC20" s="67"/>
      <c r="DD20" s="67"/>
      <c r="DE20" s="67"/>
      <c r="DF20" s="67"/>
      <c r="DG20" s="67"/>
      <c r="DH20" s="67"/>
      <c r="DI20" s="67"/>
      <c r="DJ20" s="67"/>
      <c r="DK20" s="67"/>
      <c r="DL20" s="67"/>
      <c r="DM20" s="67"/>
      <c r="DN20" s="67"/>
      <c r="DO20" s="67"/>
      <c r="DP20" s="67"/>
      <c r="DQ20" s="67"/>
      <c r="DR20" s="67"/>
      <c r="DS20" s="67"/>
      <c r="DT20" s="67"/>
      <c r="DU20" s="67"/>
      <c r="DV20" s="67"/>
      <c r="DW20" s="67"/>
      <c r="DX20" s="67"/>
      <c r="DY20" s="67"/>
      <c r="DZ20" s="67"/>
      <c r="EA20" s="67"/>
      <c r="EB20" s="67"/>
      <c r="EC20" s="67"/>
      <c r="ED20" s="67"/>
      <c r="EE20" s="67"/>
      <c r="EF20" s="67"/>
      <c r="EG20" s="67"/>
      <c r="EH20" s="67"/>
      <c r="EI20" s="67"/>
      <c r="EJ20" s="67"/>
      <c r="EK20" s="67"/>
      <c r="EL20" s="67"/>
      <c r="EM20" s="67"/>
      <c r="EN20" s="67"/>
      <c r="EO20" s="67"/>
      <c r="EP20" s="67"/>
      <c r="EQ20" s="1"/>
      <c r="ER20" s="0"/>
      <c r="ES20" s="0"/>
      <c r="ET20" s="0"/>
      <c r="EU20" s="0"/>
      <c r="EV20" s="0"/>
    </row>
    <row r="21" s="7" customFormat="true" ht="10.5" hidden="false" customHeight="true" outlineLevel="0" collapsed="false">
      <c r="A21" s="53" t="s">
        <v>264</v>
      </c>
      <c r="B21" s="57"/>
      <c r="C21" s="57"/>
      <c r="D21" s="57"/>
      <c r="E21" s="57"/>
      <c r="F21" s="53" t="n">
        <f aca="false">F20/B20-1</f>
        <v>0.132516703786192</v>
      </c>
      <c r="G21" s="53" t="n">
        <f aca="false">G20/C20-1</f>
        <v>0.114128677659231</v>
      </c>
      <c r="H21" s="53" t="n">
        <f aca="false">H20/D20-1</f>
        <v>0.154270867164664</v>
      </c>
      <c r="I21" s="53" t="n">
        <f aca="false">I20/E20-1</f>
        <v>0.16703227828267</v>
      </c>
      <c r="J21" s="53" t="n">
        <f aca="false">J20/F20-1</f>
        <v>0.210422812192724</v>
      </c>
      <c r="K21" s="53" t="n">
        <f aca="false">K20/G20-1</f>
        <v>0.166279744631457</v>
      </c>
      <c r="L21" s="53" t="n">
        <f aca="false">L20/H20-1</f>
        <v>0.15588069780529</v>
      </c>
      <c r="M21" s="53" t="n">
        <f aca="false">M20/I20-1</f>
        <v>0.149033297529538</v>
      </c>
      <c r="N21" s="53" t="n">
        <f aca="false">N20/J20-1</f>
        <v>0.126997021391822</v>
      </c>
      <c r="O21" s="53" t="n">
        <f aca="false">O20/K20-1</f>
        <v>0.117193331674546</v>
      </c>
      <c r="P21" s="53" t="n">
        <f aca="false">P20/L20-1</f>
        <v>0.163583252190847</v>
      </c>
      <c r="Q21" s="53" t="n">
        <f aca="false">Q20/M20-1</f>
        <v>0.185791072680533</v>
      </c>
      <c r="R21" s="53" t="n">
        <f aca="false">R20/N20-1</f>
        <v>0.188370975492552</v>
      </c>
      <c r="S21" s="53"/>
      <c r="T21" s="53"/>
      <c r="U21" s="53"/>
      <c r="V21" s="53"/>
      <c r="W21" s="53"/>
      <c r="X21" s="53"/>
      <c r="Y21" s="53"/>
      <c r="Z21" s="53"/>
      <c r="AA21" s="53"/>
      <c r="AB21" s="53"/>
      <c r="AC21" s="53" t="n">
        <f aca="false">AC20/AB20-1</f>
        <v>0.142489839927013</v>
      </c>
      <c r="AD21" s="53" t="n">
        <f aca="false">AD20/AC20-1</f>
        <v>0.168711433756806</v>
      </c>
      <c r="AE21" s="53" t="n">
        <f aca="false">AE20/AD20-1</f>
        <v>0.149512392074042</v>
      </c>
      <c r="AF21" s="53"/>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c r="BE21" s="53"/>
      <c r="BF21" s="53"/>
      <c r="BG21" s="53"/>
      <c r="BH21" s="53"/>
      <c r="BI21" s="53"/>
      <c r="BJ21" s="53"/>
      <c r="BK21" s="53"/>
      <c r="BL21" s="53"/>
      <c r="BM21" s="53"/>
      <c r="BN21" s="53"/>
      <c r="BO21" s="53"/>
      <c r="BP21" s="53"/>
      <c r="BQ21" s="53"/>
      <c r="BR21" s="53"/>
      <c r="BS21" s="53"/>
      <c r="BT21" s="53"/>
      <c r="BU21" s="53"/>
      <c r="BV21" s="53"/>
      <c r="BW21" s="53"/>
      <c r="BX21" s="53"/>
      <c r="BY21" s="53"/>
      <c r="BZ21" s="53"/>
      <c r="CA21" s="53"/>
      <c r="CB21" s="53"/>
      <c r="CC21" s="53"/>
      <c r="CD21" s="53"/>
      <c r="CE21" s="53"/>
      <c r="CF21" s="53"/>
      <c r="CG21" s="53"/>
      <c r="CH21" s="53"/>
      <c r="CI21" s="53"/>
      <c r="CJ21" s="53"/>
      <c r="CK21" s="53"/>
      <c r="CL21" s="53"/>
      <c r="CM21" s="53"/>
      <c r="CN21" s="53"/>
      <c r="CO21" s="53"/>
      <c r="CP21" s="53"/>
      <c r="CQ21" s="53"/>
      <c r="CR21" s="53"/>
      <c r="CS21" s="53"/>
      <c r="CT21" s="53"/>
      <c r="CU21" s="53"/>
      <c r="CV21" s="53"/>
      <c r="CW21" s="53"/>
      <c r="CX21" s="53"/>
      <c r="CY21" s="53"/>
      <c r="CZ21" s="53"/>
      <c r="DA21" s="53"/>
      <c r="DB21" s="53"/>
      <c r="DC21" s="53"/>
      <c r="DD21" s="53"/>
      <c r="DE21" s="53"/>
      <c r="DF21" s="53"/>
      <c r="DG21" s="53"/>
      <c r="DH21" s="53"/>
      <c r="DI21" s="53"/>
      <c r="DJ21" s="53"/>
      <c r="DK21" s="53"/>
      <c r="DL21" s="53"/>
      <c r="DM21" s="53"/>
      <c r="DN21" s="53"/>
      <c r="DO21" s="53"/>
      <c r="DP21" s="53"/>
      <c r="DQ21" s="53"/>
      <c r="DR21" s="53"/>
      <c r="DS21" s="53"/>
      <c r="DT21" s="53"/>
      <c r="DU21" s="53"/>
      <c r="DV21" s="53"/>
      <c r="DW21" s="53"/>
      <c r="DX21" s="53"/>
      <c r="DY21" s="53"/>
      <c r="DZ21" s="53"/>
      <c r="EA21" s="53"/>
      <c r="EB21" s="53"/>
      <c r="EC21" s="53"/>
      <c r="ED21" s="53"/>
      <c r="EE21" s="53"/>
      <c r="EF21" s="53"/>
      <c r="EG21" s="53"/>
      <c r="EH21" s="53"/>
      <c r="EI21" s="53"/>
      <c r="EJ21" s="53"/>
      <c r="EK21" s="53"/>
      <c r="EL21" s="53"/>
      <c r="EM21" s="53"/>
      <c r="EN21" s="53"/>
      <c r="EO21" s="53"/>
      <c r="EP21" s="53"/>
      <c r="EQ21" s="29"/>
      <c r="ER21" s="1"/>
      <c r="ES21" s="1"/>
      <c r="ET21" s="1"/>
      <c r="EU21" s="1"/>
      <c r="EV21" s="1"/>
    </row>
    <row r="22" s="7" customFormat="true" ht="12.8" hidden="false" customHeight="false" outlineLevel="0" collapsed="false">
      <c r="A22" s="5"/>
      <c r="B22" s="5"/>
      <c r="C22" s="5"/>
      <c r="D22" s="5"/>
      <c r="E22" s="5"/>
      <c r="F22" s="4"/>
      <c r="G22" s="4"/>
      <c r="H22" s="4"/>
      <c r="I22" s="4"/>
      <c r="J22" s="4"/>
      <c r="K22" s="4"/>
      <c r="L22" s="4"/>
      <c r="M22" s="69"/>
      <c r="N22" s="69"/>
      <c r="O22" s="69"/>
      <c r="P22" s="69"/>
      <c r="Q22" s="69"/>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c r="EE22" s="4"/>
      <c r="EF22" s="4"/>
      <c r="EG22" s="4"/>
      <c r="EH22" s="4"/>
      <c r="EI22" s="4"/>
      <c r="EJ22" s="4"/>
      <c r="EK22" s="4"/>
      <c r="EL22" s="4"/>
      <c r="EM22" s="4"/>
      <c r="EN22" s="4"/>
      <c r="EO22" s="4"/>
      <c r="EP22" s="4"/>
      <c r="EQ22" s="1"/>
      <c r="ER22" s="0"/>
      <c r="ES22" s="0"/>
      <c r="ET22" s="0"/>
      <c r="EU22" s="0"/>
      <c r="EV22" s="0"/>
    </row>
    <row r="23" s="7" customFormat="true" ht="12.8" hidden="false" customHeight="false" outlineLevel="0" collapsed="false">
      <c r="A23" s="5"/>
      <c r="B23" s="5"/>
      <c r="C23" s="5"/>
      <c r="D23" s="5"/>
      <c r="E23" s="5"/>
      <c r="F23" s="4"/>
      <c r="G23" s="4"/>
      <c r="H23" s="4"/>
      <c r="I23" s="4"/>
      <c r="J23" s="4"/>
      <c r="K23" s="4"/>
      <c r="L23" s="4"/>
      <c r="M23" s="69"/>
      <c r="N23" s="69"/>
      <c r="O23" s="69"/>
      <c r="P23" s="69"/>
      <c r="Q23" s="69"/>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c r="EE23" s="4"/>
      <c r="EF23" s="4"/>
      <c r="EG23" s="4"/>
      <c r="EH23" s="4"/>
      <c r="EI23" s="4"/>
      <c r="EJ23" s="4"/>
      <c r="EK23" s="4"/>
      <c r="EL23" s="4"/>
      <c r="EM23" s="4"/>
      <c r="EN23" s="4"/>
      <c r="EO23" s="4"/>
      <c r="EP23" s="4"/>
      <c r="EQ23" s="1"/>
      <c r="ER23" s="0"/>
      <c r="ES23" s="0"/>
      <c r="ET23" s="0"/>
      <c r="EU23" s="0"/>
      <c r="EV23" s="0"/>
    </row>
    <row r="24" s="7" customFormat="true" ht="12.8" hidden="false" customHeight="false" outlineLevel="0" collapsed="false">
      <c r="A24" s="70" t="s">
        <v>275</v>
      </c>
      <c r="B24" s="71" t="n">
        <v>4.4</v>
      </c>
      <c r="C24" s="71"/>
      <c r="D24" s="71"/>
      <c r="E24" s="71" t="n">
        <v>5.4</v>
      </c>
      <c r="F24" s="71" t="n">
        <v>5.7</v>
      </c>
      <c r="G24" s="71" t="n">
        <v>6</v>
      </c>
      <c r="H24" s="71" t="n">
        <v>6.5</v>
      </c>
      <c r="I24" s="71" t="n">
        <v>6.8</v>
      </c>
      <c r="J24" s="71" t="n">
        <v>7.1</v>
      </c>
      <c r="K24" s="71" t="n">
        <v>7.4</v>
      </c>
      <c r="L24" s="71" t="n">
        <v>7.8</v>
      </c>
      <c r="M24" s="71" t="n">
        <v>8.15</v>
      </c>
      <c r="N24" s="71" t="n">
        <v>8.5</v>
      </c>
      <c r="O24" s="71" t="n">
        <v>8.8</v>
      </c>
      <c r="P24" s="71" t="n">
        <v>9.4</v>
      </c>
      <c r="Q24" s="71" t="n">
        <v>9.7</v>
      </c>
      <c r="R24" s="71" t="n">
        <v>9.9</v>
      </c>
      <c r="S24" s="71" t="n">
        <v>10.2</v>
      </c>
      <c r="T24" s="71"/>
      <c r="U24" s="71"/>
      <c r="V24" s="71"/>
      <c r="W24" s="71"/>
      <c r="X24" s="71"/>
      <c r="Y24" s="72" t="s">
        <v>266</v>
      </c>
      <c r="Z24" s="71" t="n">
        <v>3.4</v>
      </c>
      <c r="AA24" s="71" t="n">
        <v>4.4</v>
      </c>
      <c r="AB24" s="71" t="n">
        <v>5.4</v>
      </c>
      <c r="AC24" s="71" t="n">
        <v>6.8</v>
      </c>
      <c r="AD24" s="71" t="n">
        <v>8.2</v>
      </c>
      <c r="AE24" s="71" t="n">
        <v>9.7</v>
      </c>
      <c r="AF24" s="71" t="n">
        <f aca="false">+AE24*1.17</f>
        <v>11.349</v>
      </c>
      <c r="AG24" s="71"/>
      <c r="AH24" s="71"/>
      <c r="AI24" s="71"/>
      <c r="AJ24" s="71"/>
      <c r="AK24" s="71"/>
      <c r="AL24" s="71"/>
      <c r="AM24" s="71"/>
      <c r="AN24" s="71"/>
      <c r="AO24" s="71"/>
      <c r="AP24" s="71"/>
      <c r="AQ24" s="71"/>
      <c r="AR24" s="71"/>
      <c r="AS24" s="71"/>
      <c r="AT24" s="71"/>
      <c r="AU24" s="71"/>
      <c r="AV24" s="71"/>
      <c r="AW24" s="71"/>
      <c r="AX24" s="71"/>
      <c r="AY24" s="71"/>
      <c r="AZ24" s="71"/>
      <c r="BA24" s="71"/>
      <c r="BB24" s="71"/>
      <c r="BC24" s="71"/>
      <c r="BD24" s="71"/>
      <c r="BE24" s="71"/>
      <c r="BF24" s="71"/>
      <c r="BG24" s="71"/>
      <c r="BH24" s="71"/>
      <c r="BI24" s="71"/>
      <c r="BJ24" s="71"/>
      <c r="BK24" s="71"/>
      <c r="BL24" s="71"/>
      <c r="BM24" s="71"/>
      <c r="BN24" s="71"/>
      <c r="BO24" s="71"/>
      <c r="BP24" s="71"/>
      <c r="BQ24" s="71"/>
      <c r="BR24" s="71"/>
      <c r="BS24" s="71"/>
      <c r="BT24" s="71"/>
      <c r="BU24" s="71"/>
      <c r="BV24" s="71"/>
      <c r="BW24" s="71"/>
      <c r="BX24" s="71"/>
      <c r="BY24" s="71"/>
      <c r="BZ24" s="71"/>
      <c r="CA24" s="71"/>
      <c r="CB24" s="71"/>
      <c r="CC24" s="71"/>
      <c r="CD24" s="71"/>
      <c r="CE24" s="71"/>
      <c r="CF24" s="71"/>
      <c r="CG24" s="71"/>
      <c r="CH24" s="71"/>
      <c r="CI24" s="71"/>
      <c r="CJ24" s="71"/>
      <c r="CK24" s="71"/>
      <c r="CL24" s="71"/>
      <c r="CM24" s="71"/>
      <c r="CN24" s="71"/>
      <c r="CO24" s="71"/>
      <c r="CP24" s="71"/>
      <c r="CQ24" s="71"/>
      <c r="CR24" s="71"/>
      <c r="CS24" s="71"/>
      <c r="CT24" s="71"/>
      <c r="CU24" s="71"/>
      <c r="CV24" s="71"/>
      <c r="CW24" s="71"/>
      <c r="CX24" s="71"/>
      <c r="CY24" s="71"/>
      <c r="CZ24" s="71"/>
      <c r="DA24" s="71"/>
      <c r="DB24" s="71"/>
      <c r="DC24" s="71"/>
      <c r="DD24" s="71"/>
      <c r="DE24" s="71"/>
      <c r="DF24" s="71"/>
      <c r="DG24" s="71"/>
      <c r="DH24" s="71"/>
      <c r="DI24" s="71"/>
      <c r="DJ24" s="71"/>
      <c r="DK24" s="71"/>
      <c r="DL24" s="71"/>
      <c r="DM24" s="71"/>
      <c r="DN24" s="71"/>
      <c r="DO24" s="71"/>
      <c r="DP24" s="71"/>
      <c r="DQ24" s="71"/>
      <c r="DR24" s="71"/>
      <c r="DS24" s="71"/>
      <c r="DT24" s="71"/>
      <c r="DU24" s="71"/>
      <c r="DV24" s="71"/>
      <c r="DW24" s="71"/>
      <c r="DX24" s="71"/>
      <c r="DY24" s="71"/>
      <c r="DZ24" s="71"/>
      <c r="EA24" s="71"/>
      <c r="EB24" s="71"/>
      <c r="EC24" s="71"/>
      <c r="ED24" s="71"/>
      <c r="EE24" s="71"/>
      <c r="EF24" s="71"/>
      <c r="EG24" s="71"/>
      <c r="EH24" s="71"/>
      <c r="EI24" s="71"/>
      <c r="EJ24" s="71"/>
      <c r="EK24" s="71"/>
      <c r="EL24" s="71"/>
      <c r="EM24" s="71"/>
      <c r="EN24" s="71"/>
      <c r="EO24" s="71"/>
      <c r="EP24" s="71"/>
      <c r="EQ24" s="71"/>
      <c r="ER24" s="0"/>
      <c r="ES24" s="0"/>
      <c r="ET24" s="0"/>
      <c r="EU24" s="0"/>
      <c r="EV24" s="0"/>
    </row>
    <row r="25" s="32" customFormat="true" ht="10.5" hidden="false" customHeight="true" outlineLevel="0" collapsed="false">
      <c r="A25" s="53" t="s">
        <v>264</v>
      </c>
      <c r="B25" s="57"/>
      <c r="C25" s="53"/>
      <c r="D25" s="53"/>
      <c r="E25" s="53"/>
      <c r="F25" s="53" t="n">
        <f aca="false">F24/B24-1</f>
        <v>0.295454545454545</v>
      </c>
      <c r="G25" s="53" t="e">
        <f aca="false">G24/C24-1</f>
        <v>#DIV/0!</v>
      </c>
      <c r="H25" s="53" t="e">
        <f aca="false">H24/D24-1</f>
        <v>#DIV/0!</v>
      </c>
      <c r="I25" s="53" t="n">
        <f aca="false">I24/E24-1</f>
        <v>0.259259259259259</v>
      </c>
      <c r="J25" s="53" t="n">
        <f aca="false">J24/F24-1</f>
        <v>0.245614035087719</v>
      </c>
      <c r="K25" s="53" t="n">
        <f aca="false">K24/G24-1</f>
        <v>0.233333333333333</v>
      </c>
      <c r="L25" s="53" t="n">
        <f aca="false">L24/H24-1</f>
        <v>0.2</v>
      </c>
      <c r="M25" s="53" t="n">
        <f aca="false">M24/I24-1</f>
        <v>0.198529411764706</v>
      </c>
      <c r="N25" s="53" t="n">
        <f aca="false">N24/J24-1</f>
        <v>0.197183098591549</v>
      </c>
      <c r="O25" s="53" t="n">
        <f aca="false">O24/K24-1</f>
        <v>0.189189189189189</v>
      </c>
      <c r="P25" s="53" t="n">
        <f aca="false">P24/L24-1</f>
        <v>0.205128205128205</v>
      </c>
      <c r="Q25" s="53" t="n">
        <f aca="false">Q24/M24-1</f>
        <v>0.190184049079754</v>
      </c>
      <c r="R25" s="53" t="n">
        <f aca="false">R24/N24-1</f>
        <v>0.164705882352941</v>
      </c>
      <c r="S25" s="53" t="n">
        <f aca="false">S24/O24-1</f>
        <v>0.159090909090909</v>
      </c>
      <c r="T25" s="53"/>
      <c r="U25" s="53"/>
      <c r="V25" s="53"/>
      <c r="W25" s="53"/>
      <c r="X25" s="53"/>
      <c r="Y25" s="53"/>
      <c r="Z25" s="53"/>
      <c r="AA25" s="53" t="n">
        <f aca="false">AA24/Z24-1</f>
        <v>0.294117647058824</v>
      </c>
      <c r="AB25" s="53" t="n">
        <f aca="false">AB24/AA24-1</f>
        <v>0.227272727272727</v>
      </c>
      <c r="AC25" s="53" t="n">
        <f aca="false">AC24/AB24-1</f>
        <v>0.259259259259259</v>
      </c>
      <c r="AD25" s="53" t="n">
        <f aca="false">AD24/AC24-1</f>
        <v>0.205882352941176</v>
      </c>
      <c r="AE25" s="53" t="n">
        <f aca="false">AE24/AD24-1</f>
        <v>0.182926829268293</v>
      </c>
      <c r="AF25" s="53"/>
      <c r="AG25" s="53"/>
      <c r="AH25" s="53"/>
      <c r="AI25" s="53"/>
      <c r="AJ25" s="53"/>
      <c r="AK25" s="53"/>
      <c r="AL25" s="53"/>
      <c r="AM25" s="53"/>
      <c r="AN25" s="53"/>
      <c r="AO25" s="53"/>
      <c r="AP25" s="53"/>
      <c r="AQ25" s="53"/>
      <c r="AR25" s="53"/>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3"/>
      <c r="BY25" s="53"/>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3"/>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3"/>
      <c r="EL25" s="53"/>
      <c r="EM25" s="53"/>
      <c r="EN25" s="53"/>
      <c r="EO25" s="53"/>
      <c r="EP25" s="53"/>
      <c r="EQ25" s="29"/>
      <c r="ER25" s="1"/>
      <c r="ES25" s="1"/>
      <c r="ET25" s="1"/>
      <c r="EU25" s="1"/>
      <c r="EV25" s="1"/>
    </row>
    <row r="26" s="73" customFormat="true" ht="12.8" hidden="false" customHeight="false" outlineLevel="0" collapsed="false">
      <c r="A26" s="3" t="s">
        <v>100</v>
      </c>
      <c r="B26" s="3" t="n">
        <v>115</v>
      </c>
      <c r="C26" s="3" t="n">
        <v>122</v>
      </c>
      <c r="D26" s="3" t="n">
        <v>124</v>
      </c>
      <c r="E26" s="3" t="n">
        <v>131</v>
      </c>
      <c r="F26" s="3" t="n">
        <v>130</v>
      </c>
      <c r="G26" s="3" t="n">
        <v>137</v>
      </c>
      <c r="H26" s="3" t="n">
        <v>142</v>
      </c>
      <c r="I26" s="3" t="n">
        <v>150</v>
      </c>
      <c r="J26" s="3" t="n">
        <v>149</v>
      </c>
      <c r="K26" s="3" t="n">
        <v>156</v>
      </c>
      <c r="L26" s="3" t="n">
        <v>161</v>
      </c>
      <c r="M26" s="3" t="n">
        <v>171</v>
      </c>
      <c r="N26" s="3" t="n">
        <v>170</v>
      </c>
      <c r="O26" s="3" t="n">
        <v>180</v>
      </c>
      <c r="P26" s="3" t="n">
        <v>189</v>
      </c>
      <c r="Q26" s="3" t="n">
        <v>202</v>
      </c>
      <c r="R26" s="3" t="n">
        <v>199</v>
      </c>
      <c r="S26" s="3" t="n">
        <v>208</v>
      </c>
      <c r="T26" s="3"/>
      <c r="U26" s="3"/>
      <c r="V26" s="3"/>
      <c r="W26" s="3"/>
      <c r="X26" s="3"/>
      <c r="Y26" s="3" t="n">
        <v>111</v>
      </c>
      <c r="Z26" s="3" t="n">
        <v>93</v>
      </c>
      <c r="AA26" s="3" t="n">
        <v>118</v>
      </c>
      <c r="AB26" s="3" t="n">
        <v>131</v>
      </c>
      <c r="AC26" s="3" t="n">
        <v>150</v>
      </c>
      <c r="AD26" s="3" t="n">
        <v>171</v>
      </c>
      <c r="AE26" s="3" t="n">
        <v>202</v>
      </c>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0"/>
      <c r="ES26" s="0"/>
      <c r="ET26" s="0"/>
      <c r="EU26" s="0"/>
      <c r="EV26" s="0"/>
    </row>
    <row r="27" s="74" customFormat="true" ht="10.5" hidden="false" customHeight="true" outlineLevel="0" collapsed="false">
      <c r="A27" s="53" t="s">
        <v>264</v>
      </c>
      <c r="B27" s="29"/>
      <c r="C27" s="29"/>
      <c r="D27" s="29"/>
      <c r="E27" s="29"/>
      <c r="F27" s="53" t="n">
        <f aca="false">F26/B26-1</f>
        <v>0.130434782608696</v>
      </c>
      <c r="G27" s="53" t="n">
        <f aca="false">G26/C26-1</f>
        <v>0.122950819672131</v>
      </c>
      <c r="H27" s="53" t="n">
        <f aca="false">H26/D26-1</f>
        <v>0.145161290322581</v>
      </c>
      <c r="I27" s="53" t="n">
        <f aca="false">I26/E26-1</f>
        <v>0.145038167938931</v>
      </c>
      <c r="J27" s="53" t="n">
        <f aca="false">J26/F26-1</f>
        <v>0.146153846153846</v>
      </c>
      <c r="K27" s="53" t="n">
        <f aca="false">K26/G26-1</f>
        <v>0.138686131386861</v>
      </c>
      <c r="L27" s="53" t="n">
        <f aca="false">L26/H26-1</f>
        <v>0.133802816901409</v>
      </c>
      <c r="M27" s="53" t="n">
        <f aca="false">M26/I26-1</f>
        <v>0.14</v>
      </c>
      <c r="N27" s="53" t="n">
        <f aca="false">N26/J26-1</f>
        <v>0.140939597315436</v>
      </c>
      <c r="O27" s="53" t="n">
        <f aca="false">O26/K26-1</f>
        <v>0.153846153846154</v>
      </c>
      <c r="P27" s="53" t="n">
        <f aca="false">P26/L26-1</f>
        <v>0.173913043478261</v>
      </c>
      <c r="Q27" s="53" t="n">
        <f aca="false">Q26/M26-1</f>
        <v>0.181286549707602</v>
      </c>
      <c r="R27" s="53" t="n">
        <f aca="false">R26/N26-1</f>
        <v>0.170588235294118</v>
      </c>
      <c r="S27" s="53" t="n">
        <f aca="false">S26/O26-1</f>
        <v>0.155555555555555</v>
      </c>
      <c r="T27" s="29"/>
      <c r="U27" s="29"/>
      <c r="V27" s="29"/>
      <c r="W27" s="29"/>
      <c r="X27" s="29"/>
      <c r="Y27" s="29"/>
      <c r="Z27" s="53" t="n">
        <f aca="false">Z26/Y26-1</f>
        <v>-0.162162162162162</v>
      </c>
      <c r="AA27" s="53" t="n">
        <f aca="false">AA26/Z26-1</f>
        <v>0.268817204301075</v>
      </c>
      <c r="AB27" s="53" t="n">
        <f aca="false">AB26/AA26-1</f>
        <v>0.110169491525424</v>
      </c>
      <c r="AC27" s="53" t="n">
        <f aca="false">AC26/AB26-1</f>
        <v>0.145038167938931</v>
      </c>
      <c r="AD27" s="53" t="n">
        <f aca="false">AD26/AC26-1</f>
        <v>0.14</v>
      </c>
      <c r="AE27" s="53" t="n">
        <f aca="false">AE26/AD26-1</f>
        <v>0.181286549707602</v>
      </c>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1"/>
      <c r="ES27" s="1"/>
      <c r="ET27" s="1"/>
      <c r="EU27" s="1"/>
      <c r="EV27" s="1"/>
    </row>
    <row r="28" s="76" customFormat="true" ht="12.8" hidden="false" customHeight="false" outlineLevel="0" collapsed="false">
      <c r="A28" s="75" t="s">
        <v>106</v>
      </c>
      <c r="B28" s="3" t="n">
        <v>1713</v>
      </c>
      <c r="C28" s="3" t="n">
        <v>1872</v>
      </c>
      <c r="D28" s="3" t="n">
        <v>1953</v>
      </c>
      <c r="E28" s="3" t="n">
        <v>2104</v>
      </c>
      <c r="F28" s="3" t="n">
        <v>2124</v>
      </c>
      <c r="G28" s="3" t="n">
        <v>2282</v>
      </c>
      <c r="H28" s="3" t="n">
        <v>2441</v>
      </c>
      <c r="I28" s="3" t="n">
        <v>2601</v>
      </c>
      <c r="J28" s="3" t="n">
        <v>2572</v>
      </c>
      <c r="K28" s="3" t="n">
        <v>2765</v>
      </c>
      <c r="L28" s="3" t="n">
        <v>2868</v>
      </c>
      <c r="M28" s="3" t="n">
        <v>3068</v>
      </c>
      <c r="N28" s="3" t="n">
        <v>3036</v>
      </c>
      <c r="O28" s="3" t="n">
        <v>3268</v>
      </c>
      <c r="P28" s="3" t="n">
        <v>3512</v>
      </c>
      <c r="Q28" s="3" t="n">
        <v>3751</v>
      </c>
      <c r="R28" s="3" t="n">
        <v>3643</v>
      </c>
      <c r="S28" s="3" t="n">
        <v>3867</v>
      </c>
      <c r="T28" s="3"/>
      <c r="U28" s="3"/>
      <c r="V28" s="3"/>
      <c r="W28" s="3"/>
      <c r="X28" s="3"/>
      <c r="Y28" s="3" t="n">
        <f aca="false">+1550+1677+1770+1907</f>
        <v>6904</v>
      </c>
      <c r="Z28" s="3" t="n">
        <f aca="false">+1661+737+1184+1443</f>
        <v>5025</v>
      </c>
      <c r="AA28" s="3" t="n">
        <v>6368</v>
      </c>
      <c r="AB28" s="3" t="n">
        <v>7642</v>
      </c>
      <c r="AC28" s="3" t="n">
        <f aca="false">SUM(F28:I28)</f>
        <v>9448</v>
      </c>
      <c r="AD28" s="3" t="n">
        <f aca="false">SUM(J28:M28)</f>
        <v>11273</v>
      </c>
      <c r="AE28" s="3" t="n">
        <f aca="false">SUM(N28:Q28)</f>
        <v>13567</v>
      </c>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1"/>
      <c r="ES28" s="1"/>
      <c r="ET28" s="1"/>
      <c r="EU28" s="1"/>
      <c r="EV28" s="1"/>
    </row>
    <row r="29" s="1" customFormat="true" ht="10.5" hidden="false" customHeight="true" outlineLevel="0" collapsed="false">
      <c r="A29" s="53" t="s">
        <v>264</v>
      </c>
      <c r="B29" s="29"/>
      <c r="C29" s="29"/>
      <c r="D29" s="29"/>
      <c r="E29" s="29"/>
      <c r="F29" s="53" t="n">
        <f aca="false">F28/B28-1</f>
        <v>0.239929947460595</v>
      </c>
      <c r="G29" s="53" t="n">
        <f aca="false">G28/C28-1</f>
        <v>0.219017094017094</v>
      </c>
      <c r="H29" s="53" t="n">
        <f aca="false">H28/D28-1</f>
        <v>0.249871991807476</v>
      </c>
      <c r="I29" s="53" t="n">
        <f aca="false">I28/E28-1</f>
        <v>0.236216730038023</v>
      </c>
      <c r="J29" s="53" t="n">
        <f aca="false">J28/F28-1</f>
        <v>0.210922787193974</v>
      </c>
      <c r="K29" s="53" t="n">
        <f aca="false">K28/G28-1</f>
        <v>0.211656441717792</v>
      </c>
      <c r="L29" s="53" t="n">
        <f aca="false">L28/H28-1</f>
        <v>0.174928308070463</v>
      </c>
      <c r="M29" s="53" t="n">
        <f aca="false">M28/I28-1</f>
        <v>0.179546328335256</v>
      </c>
      <c r="N29" s="53" t="n">
        <f aca="false">N28/J28-1</f>
        <v>0.180404354587869</v>
      </c>
      <c r="O29" s="53" t="n">
        <f aca="false">O28/K28-1</f>
        <v>0.181916817359855</v>
      </c>
      <c r="P29" s="53" t="n">
        <f aca="false">P28/L28-1</f>
        <v>0.224546722454672</v>
      </c>
      <c r="Q29" s="53" t="n">
        <f aca="false">Q28/M28-1</f>
        <v>0.222620599739244</v>
      </c>
      <c r="R29" s="53" t="n">
        <f aca="false">R28/N28-1</f>
        <v>0.199934123847167</v>
      </c>
      <c r="S29" s="53" t="n">
        <f aca="false">S28/O28-1</f>
        <v>0.183292533659731</v>
      </c>
      <c r="T29" s="29"/>
      <c r="U29" s="29"/>
      <c r="V29" s="29"/>
      <c r="W29" s="29"/>
      <c r="X29" s="29"/>
      <c r="Y29" s="29"/>
      <c r="Z29" s="53" t="n">
        <f aca="false">Z28/Y28-1</f>
        <v>-0.272161066048667</v>
      </c>
      <c r="AA29" s="53" t="n">
        <f aca="false">AA28/Z28-1</f>
        <v>0.26726368159204</v>
      </c>
      <c r="AB29" s="53" t="n">
        <f aca="false">AB28/AA28-1</f>
        <v>0.200062814070352</v>
      </c>
      <c r="AC29" s="53" t="n">
        <f aca="false">AC28/AB28-1</f>
        <v>0.236325569222717</v>
      </c>
      <c r="AD29" s="53" t="n">
        <f aca="false">AD28/AC28-1</f>
        <v>0.193162574089754</v>
      </c>
      <c r="AE29" s="53" t="n">
        <f aca="false">AE28/AD28-1</f>
        <v>0.203495076732015</v>
      </c>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row>
    <row r="30" s="1" customFormat="true" ht="12.8" hidden="false" customHeight="false" outlineLevel="0" collapsed="false">
      <c r="A30" s="77"/>
      <c r="B30" s="78"/>
      <c r="C30" s="78"/>
      <c r="D30" s="78"/>
      <c r="E30" s="78"/>
      <c r="F30" s="77"/>
      <c r="G30" s="77"/>
      <c r="H30" s="77"/>
      <c r="I30" s="77"/>
      <c r="J30" s="77"/>
      <c r="K30" s="77"/>
      <c r="L30" s="77"/>
      <c r="M30" s="77"/>
      <c r="N30" s="77"/>
      <c r="O30" s="77"/>
      <c r="P30" s="77"/>
      <c r="Q30" s="77"/>
      <c r="R30" s="77"/>
      <c r="S30" s="78"/>
      <c r="T30" s="78"/>
      <c r="U30" s="78"/>
      <c r="V30" s="78"/>
      <c r="W30" s="78"/>
      <c r="X30" s="78"/>
      <c r="Y30" s="78"/>
      <c r="Z30" s="77"/>
      <c r="AA30" s="77"/>
      <c r="AB30" s="77"/>
      <c r="AC30" s="77"/>
      <c r="AD30" s="77"/>
      <c r="AE30" s="77"/>
      <c r="AF30" s="78"/>
      <c r="AG30" s="78"/>
      <c r="AH30" s="78"/>
      <c r="AI30" s="78"/>
      <c r="AJ30" s="78"/>
      <c r="AK30" s="78"/>
      <c r="AL30" s="78"/>
      <c r="AM30" s="78"/>
      <c r="AN30" s="78"/>
      <c r="AO30" s="78"/>
      <c r="AP30" s="78"/>
      <c r="AQ30" s="78"/>
      <c r="AR30" s="78"/>
      <c r="AS30" s="78"/>
      <c r="AT30" s="78"/>
      <c r="AU30" s="78"/>
      <c r="AV30" s="78"/>
      <c r="AW30" s="78"/>
      <c r="AX30" s="78"/>
      <c r="AY30" s="78"/>
      <c r="AZ30" s="78"/>
      <c r="BA30" s="78"/>
      <c r="BB30" s="78"/>
      <c r="BC30" s="78"/>
      <c r="BD30" s="78"/>
      <c r="BE30" s="78"/>
      <c r="BF30" s="78"/>
      <c r="BG30" s="78"/>
      <c r="BH30" s="78"/>
      <c r="BI30" s="78"/>
      <c r="BJ30" s="78"/>
      <c r="BK30" s="78"/>
      <c r="BL30" s="78"/>
      <c r="BM30" s="78"/>
      <c r="BN30" s="78"/>
      <c r="BO30" s="78"/>
      <c r="BP30" s="78"/>
      <c r="BQ30" s="78"/>
      <c r="BR30" s="78"/>
      <c r="BS30" s="78"/>
      <c r="BT30" s="78"/>
      <c r="BU30" s="78"/>
      <c r="BV30" s="78"/>
      <c r="BW30" s="78"/>
      <c r="BX30" s="78"/>
      <c r="BY30" s="78"/>
      <c r="BZ30" s="78"/>
      <c r="CA30" s="78"/>
      <c r="CB30" s="78"/>
      <c r="CC30" s="78"/>
      <c r="CD30" s="78"/>
      <c r="CE30" s="78"/>
      <c r="CF30" s="78"/>
      <c r="CG30" s="78"/>
      <c r="CH30" s="78"/>
      <c r="CI30" s="78"/>
      <c r="CJ30" s="78"/>
      <c r="CK30" s="78"/>
      <c r="CL30" s="78"/>
      <c r="CM30" s="78"/>
      <c r="CN30" s="78"/>
      <c r="CO30" s="78"/>
      <c r="CP30" s="78"/>
      <c r="CQ30" s="78"/>
      <c r="CR30" s="78"/>
      <c r="CS30" s="78"/>
      <c r="CT30" s="78"/>
      <c r="CU30" s="78"/>
      <c r="CV30" s="78"/>
      <c r="CW30" s="78"/>
      <c r="CX30" s="78"/>
      <c r="CY30" s="78"/>
      <c r="CZ30" s="78"/>
      <c r="DA30" s="78"/>
      <c r="DB30" s="78"/>
      <c r="DC30" s="78"/>
      <c r="DD30" s="78"/>
      <c r="DE30" s="78"/>
      <c r="DF30" s="78"/>
      <c r="DG30" s="78"/>
      <c r="DH30" s="78"/>
      <c r="DI30" s="78"/>
      <c r="DJ30" s="78"/>
      <c r="DK30" s="78"/>
      <c r="DL30" s="78"/>
      <c r="DM30" s="78"/>
      <c r="DN30" s="78"/>
      <c r="DO30" s="78"/>
      <c r="DP30" s="78"/>
      <c r="DQ30" s="78"/>
      <c r="DR30" s="78"/>
      <c r="DS30" s="78"/>
      <c r="DT30" s="78"/>
      <c r="DU30" s="78"/>
      <c r="DV30" s="78"/>
      <c r="DW30" s="78"/>
      <c r="DX30" s="78"/>
      <c r="DY30" s="78"/>
      <c r="DZ30" s="78"/>
      <c r="EA30" s="78"/>
      <c r="EB30" s="78"/>
      <c r="EC30" s="78"/>
      <c r="ED30" s="78"/>
      <c r="EE30" s="78"/>
      <c r="EF30" s="78"/>
      <c r="EG30" s="78"/>
      <c r="EH30" s="78"/>
      <c r="EI30" s="78"/>
      <c r="EJ30" s="78"/>
      <c r="EK30" s="78"/>
      <c r="EL30" s="78"/>
      <c r="EM30" s="78"/>
      <c r="EN30" s="78"/>
      <c r="EO30" s="78"/>
      <c r="EP30" s="78"/>
      <c r="EQ30" s="76"/>
    </row>
    <row r="31" s="1" customFormat="true" ht="12.8" hidden="false" customHeight="false" outlineLevel="0" collapsed="false">
      <c r="A31" s="79" t="s">
        <v>276</v>
      </c>
      <c r="B31" s="73" t="n">
        <v>10723</v>
      </c>
      <c r="C31" s="73" t="n">
        <v>13364</v>
      </c>
      <c r="D31" s="73" t="n">
        <v>13684</v>
      </c>
      <c r="E31" s="73" t="n">
        <v>14894</v>
      </c>
      <c r="F31" s="80" t="n">
        <v>14981</v>
      </c>
      <c r="G31" s="80" t="n">
        <v>16728</v>
      </c>
      <c r="H31" s="80" t="n">
        <v>17903</v>
      </c>
      <c r="I31" s="80" t="n">
        <v>19285</v>
      </c>
      <c r="J31" s="80" t="n">
        <v>18670</v>
      </c>
      <c r="K31" s="80" t="n">
        <v>20554</v>
      </c>
      <c r="L31" s="80" t="n">
        <v>21002</v>
      </c>
      <c r="M31" s="80" t="n">
        <v>22798</v>
      </c>
      <c r="N31" s="80" t="n">
        <v>21182</v>
      </c>
      <c r="O31" s="80" t="n">
        <v>23762</v>
      </c>
      <c r="P31" s="80" t="n">
        <v>25111</v>
      </c>
      <c r="Q31" s="80" t="n">
        <v>27442</v>
      </c>
      <c r="R31" s="80" t="n">
        <v>26394</v>
      </c>
      <c r="S31" s="73" t="n">
        <v>28988</v>
      </c>
      <c r="T31" s="73"/>
      <c r="U31" s="73"/>
      <c r="V31" s="73"/>
      <c r="W31" s="73"/>
      <c r="X31" s="73"/>
      <c r="Y31" s="73"/>
      <c r="Z31" s="80"/>
      <c r="AA31" s="80"/>
      <c r="AB31" s="80" t="n">
        <f aca="false">+SUM(B31:E31)</f>
        <v>52665</v>
      </c>
      <c r="AC31" s="80" t="n">
        <f aca="false">+SUM(F31:I31)</f>
        <v>68897</v>
      </c>
      <c r="AD31" s="80" t="n">
        <f aca="false">+SUM(J31:M31)</f>
        <v>83024</v>
      </c>
      <c r="AE31" s="80" t="n">
        <f aca="false">+SUM(N31:Q31)</f>
        <v>97497</v>
      </c>
      <c r="AF31" s="73"/>
      <c r="AG31" s="73"/>
      <c r="AH31" s="73"/>
      <c r="AI31" s="73"/>
      <c r="AJ31" s="73"/>
      <c r="AK31" s="73"/>
      <c r="AL31" s="73"/>
      <c r="AM31" s="73"/>
      <c r="AN31" s="73"/>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c r="DG31" s="73"/>
      <c r="DH31" s="73"/>
      <c r="DI31" s="73"/>
      <c r="DJ31" s="73"/>
      <c r="DK31" s="73"/>
      <c r="DL31" s="73"/>
      <c r="DM31" s="73"/>
      <c r="DN31" s="73"/>
      <c r="DO31" s="73"/>
      <c r="DP31" s="73"/>
      <c r="DQ31" s="73"/>
      <c r="DR31" s="73"/>
      <c r="DS31" s="73"/>
      <c r="DT31" s="73"/>
      <c r="DU31" s="73"/>
      <c r="DV31" s="73"/>
      <c r="DW31" s="73"/>
      <c r="DX31" s="73"/>
      <c r="DY31" s="73"/>
      <c r="DZ31" s="73"/>
      <c r="EA31" s="73"/>
      <c r="EB31" s="73"/>
      <c r="EC31" s="73"/>
      <c r="ED31" s="73"/>
      <c r="EE31" s="73"/>
      <c r="EF31" s="73"/>
      <c r="EG31" s="73"/>
      <c r="EH31" s="73"/>
      <c r="EI31" s="73"/>
      <c r="EJ31" s="73"/>
      <c r="EK31" s="73"/>
      <c r="EL31" s="73"/>
      <c r="EM31" s="73"/>
      <c r="EN31" s="73"/>
      <c r="EO31" s="73"/>
      <c r="EP31" s="73"/>
      <c r="EQ31" s="73"/>
    </row>
    <row r="32" s="1" customFormat="true" ht="10.5" hidden="false" customHeight="true" outlineLevel="0" collapsed="false">
      <c r="A32" s="57"/>
      <c r="B32" s="29"/>
      <c r="C32" s="29"/>
      <c r="D32" s="29"/>
      <c r="E32" s="29"/>
      <c r="F32" s="53" t="n">
        <f aca="false">F31/B31-1</f>
        <v>0.397090366501912</v>
      </c>
      <c r="G32" s="53" t="n">
        <f aca="false">G31/C31-1</f>
        <v>0.25172104160431</v>
      </c>
      <c r="H32" s="53" t="n">
        <f aca="false">H31/D31-1</f>
        <v>0.308316281788951</v>
      </c>
      <c r="I32" s="53" t="n">
        <f aca="false">I31/E31-1</f>
        <v>0.294816704713307</v>
      </c>
      <c r="J32" s="53" t="n">
        <f aca="false">J31/F31-1</f>
        <v>0.246245243975703</v>
      </c>
      <c r="K32" s="53" t="n">
        <f aca="false">K31/G31-1</f>
        <v>0.228718316594931</v>
      </c>
      <c r="L32" s="53" t="n">
        <f aca="false">L31/H31-1</f>
        <v>0.173099480533989</v>
      </c>
      <c r="M32" s="53" t="n">
        <f aca="false">M31/I31-1</f>
        <v>0.182162302307493</v>
      </c>
      <c r="N32" s="53" t="n">
        <f aca="false">N31/J31-1</f>
        <v>0.134547402249598</v>
      </c>
      <c r="O32" s="53" t="n">
        <f aca="false">O31/K31-1</f>
        <v>0.156076676072784</v>
      </c>
      <c r="P32" s="53" t="n">
        <f aca="false">P31/L31-1</f>
        <v>0.195648033520617</v>
      </c>
      <c r="Q32" s="53" t="n">
        <f aca="false">Q31/M31-1</f>
        <v>0.203702079129748</v>
      </c>
      <c r="R32" s="53" t="n">
        <f aca="false">R31/N31-1</f>
        <v>0.246057973751298</v>
      </c>
      <c r="S32" s="53" t="n">
        <f aca="false">S31/O31-1</f>
        <v>0.219930982240552</v>
      </c>
      <c r="T32" s="29"/>
      <c r="U32" s="29"/>
      <c r="V32" s="29"/>
      <c r="W32" s="29"/>
      <c r="X32" s="29"/>
      <c r="Y32" s="29"/>
      <c r="Z32" s="53"/>
      <c r="AA32" s="53"/>
      <c r="AB32" s="53"/>
      <c r="AC32" s="53"/>
      <c r="AD32" s="53"/>
      <c r="AE32" s="53"/>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row>
    <row r="33" s="1" customFormat="true" ht="12.8" hidden="false" customHeight="false" outlineLevel="0" collapsed="false">
      <c r="A33" s="79" t="s">
        <v>277</v>
      </c>
      <c r="B33" s="73" t="n">
        <v>13903</v>
      </c>
      <c r="C33" s="73" t="n">
        <v>13876</v>
      </c>
      <c r="D33" s="73" t="n">
        <v>13684</v>
      </c>
      <c r="E33" s="73" t="n">
        <v>14315</v>
      </c>
      <c r="F33" s="80" t="n">
        <v>15026</v>
      </c>
      <c r="G33" s="80" t="n">
        <v>15595</v>
      </c>
      <c r="H33" s="80" t="n">
        <v>16094</v>
      </c>
      <c r="I33" s="80" t="n">
        <v>17011</v>
      </c>
      <c r="J33" s="80" t="n">
        <v>17699</v>
      </c>
      <c r="K33" s="80" t="n">
        <v>18126</v>
      </c>
      <c r="L33" s="80" t="n">
        <v>18663</v>
      </c>
      <c r="M33" s="80" t="n">
        <v>20126</v>
      </c>
      <c r="N33" s="80" t="n">
        <v>20377</v>
      </c>
      <c r="O33" s="80" t="n">
        <v>21734</v>
      </c>
      <c r="P33" s="80" t="n">
        <v>23322</v>
      </c>
      <c r="Q33" s="80" t="n">
        <v>25431</v>
      </c>
      <c r="R33" s="80" t="n">
        <v>25992</v>
      </c>
      <c r="S33" s="73" t="n">
        <v>27463</v>
      </c>
      <c r="T33" s="73"/>
      <c r="U33" s="73"/>
      <c r="V33" s="73"/>
      <c r="W33" s="73"/>
      <c r="X33" s="73"/>
      <c r="Y33" s="73"/>
      <c r="Z33" s="80"/>
      <c r="AA33" s="80"/>
      <c r="AB33" s="80" t="n">
        <f aca="false">+SUM(B33:E33)</f>
        <v>55778</v>
      </c>
      <c r="AC33" s="80" t="n">
        <f aca="false">+SUM(F33:I33)</f>
        <v>63726</v>
      </c>
      <c r="AD33" s="80" t="n">
        <f aca="false">+SUM(J33:M33)</f>
        <v>74614</v>
      </c>
      <c r="AE33" s="80" t="n">
        <f aca="false">+SUM(N33:Q33)</f>
        <v>90864</v>
      </c>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c r="DK33" s="73"/>
      <c r="DL33" s="73"/>
      <c r="DM33" s="73"/>
      <c r="DN33" s="73"/>
      <c r="DO33" s="73"/>
      <c r="DP33" s="73"/>
      <c r="DQ33" s="73"/>
      <c r="DR33" s="73"/>
      <c r="DS33" s="73"/>
      <c r="DT33" s="73"/>
      <c r="DU33" s="73"/>
      <c r="DV33" s="73"/>
      <c r="DW33" s="73"/>
      <c r="DX33" s="73"/>
      <c r="DY33" s="73"/>
      <c r="DZ33" s="73"/>
      <c r="EA33" s="73"/>
      <c r="EB33" s="73"/>
      <c r="EC33" s="73"/>
      <c r="ED33" s="73"/>
      <c r="EE33" s="73"/>
      <c r="EF33" s="73"/>
      <c r="EG33" s="73"/>
      <c r="EH33" s="73"/>
      <c r="EI33" s="73"/>
      <c r="EJ33" s="73"/>
      <c r="EK33" s="73"/>
      <c r="EL33" s="73"/>
      <c r="EM33" s="73"/>
      <c r="EN33" s="73"/>
      <c r="EO33" s="73"/>
      <c r="EP33" s="73"/>
      <c r="EQ33" s="73"/>
    </row>
    <row r="34" s="29" customFormat="true" ht="10.5" hidden="false" customHeight="true" outlineLevel="0" collapsed="false">
      <c r="A34" s="57"/>
      <c r="F34" s="53" t="n">
        <f aca="false">F33/B33-1</f>
        <v>0.0807739336833777</v>
      </c>
      <c r="G34" s="53" t="n">
        <f aca="false">G33/C33-1</f>
        <v>0.123882963390026</v>
      </c>
      <c r="H34" s="53" t="n">
        <f aca="false">H33/D33-1</f>
        <v>0.176118094124525</v>
      </c>
      <c r="I34" s="53" t="n">
        <f aca="false">I33/E33-1</f>
        <v>0.18833391547328</v>
      </c>
      <c r="J34" s="53" t="n">
        <f aca="false">J33/F33-1</f>
        <v>0.177891654465593</v>
      </c>
      <c r="K34" s="53" t="n">
        <f aca="false">K33/G33-1</f>
        <v>0.162295607566528</v>
      </c>
      <c r="L34" s="53" t="n">
        <f aca="false">L33/H33-1</f>
        <v>0.159624704858954</v>
      </c>
      <c r="M34" s="53" t="n">
        <f aca="false">M33/I33-1</f>
        <v>0.183116806772089</v>
      </c>
      <c r="N34" s="53" t="n">
        <f aca="false">N33/J33-1</f>
        <v>0.151307983501893</v>
      </c>
      <c r="O34" s="53" t="n">
        <f aca="false">O33/K33-1</f>
        <v>0.199051086836588</v>
      </c>
      <c r="P34" s="53" t="n">
        <f aca="false">P33/L33-1</f>
        <v>0.249638321813213</v>
      </c>
      <c r="Q34" s="53" t="n">
        <f aca="false">Q33/M33-1</f>
        <v>0.263589386862765</v>
      </c>
      <c r="R34" s="53" t="n">
        <f aca="false">R33/N33-1</f>
        <v>0.275555773666389</v>
      </c>
      <c r="S34" s="53" t="n">
        <f aca="false">S33/O33-1</f>
        <v>0.263596208705254</v>
      </c>
      <c r="Z34" s="53"/>
      <c r="AA34" s="53"/>
      <c r="AB34" s="53"/>
      <c r="AC34" s="53"/>
      <c r="AD34" s="53"/>
      <c r="AE34" s="53"/>
      <c r="ER34" s="1"/>
      <c r="ES34" s="1"/>
      <c r="ET34" s="1"/>
      <c r="EU34" s="1"/>
      <c r="EV34" s="1"/>
    </row>
    <row r="35" s="1" customFormat="true" ht="12.8" hidden="false" customHeight="false" outlineLevel="0" collapsed="false">
      <c r="A35" s="79" t="s">
        <v>278</v>
      </c>
      <c r="B35" s="73" t="n">
        <v>1823</v>
      </c>
      <c r="C35" s="73" t="n">
        <v>1838</v>
      </c>
      <c r="D35" s="73" t="n">
        <v>1751</v>
      </c>
      <c r="E35" s="73" t="n">
        <v>1540</v>
      </c>
      <c r="F35" s="80" t="n">
        <v>1401</v>
      </c>
      <c r="G35" s="80" t="n">
        <v>1278</v>
      </c>
      <c r="H35" s="80" t="n">
        <v>1284</v>
      </c>
      <c r="I35" s="80" t="n">
        <v>1279</v>
      </c>
      <c r="J35" s="80" t="n">
        <v>1282</v>
      </c>
      <c r="K35" s="80" t="n">
        <v>1272</v>
      </c>
      <c r="L35" s="80" t="n">
        <v>1308</v>
      </c>
      <c r="M35" s="80" t="n">
        <v>1273</v>
      </c>
      <c r="N35" s="80" t="n">
        <v>1259</v>
      </c>
      <c r="O35" s="80" t="n">
        <v>1260</v>
      </c>
      <c r="P35" s="80" t="n">
        <v>1307</v>
      </c>
      <c r="Q35" s="80" t="n">
        <v>1267</v>
      </c>
      <c r="R35" s="80" t="n">
        <v>1334</v>
      </c>
      <c r="S35" s="73" t="n">
        <v>1571</v>
      </c>
      <c r="T35" s="73"/>
      <c r="U35" s="73"/>
      <c r="V35" s="73"/>
      <c r="W35" s="73"/>
      <c r="X35" s="73"/>
      <c r="Y35" s="73"/>
      <c r="Z35" s="80"/>
      <c r="AA35" s="80"/>
      <c r="AB35" s="80" t="n">
        <f aca="false">+SUM(B35:E35)</f>
        <v>6952</v>
      </c>
      <c r="AC35" s="80" t="n">
        <f aca="false">+SUM(F35:I35)</f>
        <v>5242</v>
      </c>
      <c r="AD35" s="80" t="n">
        <f aca="false">+SUM(J35:M35)</f>
        <v>5135</v>
      </c>
      <c r="AE35" s="80" t="n">
        <f aca="false">+SUM(N35:Q35)</f>
        <v>5093</v>
      </c>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c r="DI35" s="73"/>
      <c r="DJ35" s="73"/>
      <c r="DK35" s="73"/>
      <c r="DL35" s="73"/>
      <c r="DM35" s="73"/>
      <c r="DN35" s="73"/>
      <c r="DO35" s="73"/>
      <c r="DP35" s="73"/>
      <c r="DQ35" s="73"/>
      <c r="DR35" s="73"/>
      <c r="DS35" s="73"/>
      <c r="DT35" s="73"/>
      <c r="DU35" s="73"/>
      <c r="DV35" s="73"/>
      <c r="DW35" s="73"/>
      <c r="DX35" s="73"/>
      <c r="DY35" s="73"/>
      <c r="DZ35" s="73"/>
      <c r="EA35" s="73"/>
      <c r="EB35" s="73"/>
      <c r="EC35" s="73"/>
      <c r="ED35" s="73"/>
      <c r="EE35" s="73"/>
      <c r="EF35" s="73"/>
      <c r="EG35" s="73"/>
      <c r="EH35" s="73"/>
      <c r="EI35" s="73"/>
      <c r="EJ35" s="73"/>
      <c r="EK35" s="73"/>
      <c r="EL35" s="73"/>
      <c r="EM35" s="73"/>
      <c r="EN35" s="73"/>
      <c r="EO35" s="73"/>
      <c r="EP35" s="73"/>
      <c r="EQ35" s="73"/>
    </row>
    <row r="36" s="1" customFormat="true" ht="10.5" hidden="false" customHeight="true" outlineLevel="0" collapsed="false">
      <c r="A36" s="57"/>
      <c r="B36" s="29"/>
      <c r="C36" s="29"/>
      <c r="D36" s="29"/>
      <c r="E36" s="29"/>
      <c r="F36" s="53" t="n">
        <f aca="false">F35/B35-1</f>
        <v>-0.231486560614372</v>
      </c>
      <c r="G36" s="53" t="n">
        <f aca="false">G35/C35-1</f>
        <v>-0.304678998911861</v>
      </c>
      <c r="H36" s="53" t="n">
        <f aca="false">H35/D35-1</f>
        <v>-0.266704740148487</v>
      </c>
      <c r="I36" s="53" t="n">
        <f aca="false">I35/E35-1</f>
        <v>-0.169480519480519</v>
      </c>
      <c r="J36" s="53" t="n">
        <f aca="false">J35/F35-1</f>
        <v>-0.0849393290506781</v>
      </c>
      <c r="K36" s="53" t="n">
        <f aca="false">K35/G35-1</f>
        <v>-0.00469483568075113</v>
      </c>
      <c r="L36" s="53" t="n">
        <f aca="false">L35/H35-1</f>
        <v>0.0186915887850467</v>
      </c>
      <c r="M36" s="53" t="n">
        <f aca="false">M35/I35-1</f>
        <v>-0.00469116497263489</v>
      </c>
      <c r="N36" s="53" t="n">
        <f aca="false">N35/J35-1</f>
        <v>-0.0179407176287052</v>
      </c>
      <c r="O36" s="53" t="n">
        <f aca="false">O35/K35-1</f>
        <v>-0.00943396226415094</v>
      </c>
      <c r="P36" s="53" t="n">
        <f aca="false">P35/L35-1</f>
        <v>-0.000764525993883769</v>
      </c>
      <c r="Q36" s="53" t="n">
        <f aca="false">Q35/M35-1</f>
        <v>-0.00471327572663005</v>
      </c>
      <c r="R36" s="53" t="n">
        <f aca="false">R35/N35-1</f>
        <v>0.0595710881652105</v>
      </c>
      <c r="S36" s="53" t="n">
        <f aca="false">S35/O35-1</f>
        <v>0.246825396825397</v>
      </c>
      <c r="T36" s="29"/>
      <c r="U36" s="29"/>
      <c r="V36" s="29"/>
      <c r="W36" s="29"/>
      <c r="X36" s="29"/>
      <c r="Y36" s="29"/>
      <c r="Z36" s="53"/>
      <c r="AA36" s="53"/>
      <c r="AB36" s="53"/>
      <c r="AC36" s="53"/>
      <c r="AD36" s="53"/>
      <c r="AE36" s="53"/>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row>
    <row r="37" s="81" customFormat="true" ht="12.8" hidden="false" customHeight="false" outlineLevel="0" collapsed="false">
      <c r="A37" s="75" t="s">
        <v>103</v>
      </c>
      <c r="B37" s="3" t="n">
        <f aca="false">+B35+B33+B31</f>
        <v>26449</v>
      </c>
      <c r="C37" s="3" t="n">
        <f aca="false">+C35+C33+C31</f>
        <v>29078</v>
      </c>
      <c r="D37" s="3" t="n">
        <f aca="false">+D35+D33+D31</f>
        <v>29119</v>
      </c>
      <c r="E37" s="3" t="n">
        <f aca="false">+E35+E33+E31</f>
        <v>30749</v>
      </c>
      <c r="F37" s="3" t="n">
        <f aca="false">+F35+F33+F31</f>
        <v>31408</v>
      </c>
      <c r="G37" s="3" t="n">
        <f aca="false">+G35+G33+G31</f>
        <v>33601</v>
      </c>
      <c r="H37" s="3" t="n">
        <f aca="false">+H35+H33+H31</f>
        <v>35281</v>
      </c>
      <c r="I37" s="3" t="n">
        <f aca="false">+I35+I33+I31</f>
        <v>37575</v>
      </c>
      <c r="J37" s="3" t="n">
        <f aca="false">+J35+J33+J31</f>
        <v>37651</v>
      </c>
      <c r="K37" s="3" t="n">
        <f aca="false">+K35+K33+K31</f>
        <v>39952</v>
      </c>
      <c r="L37" s="3" t="n">
        <f aca="false">+L35+L33+L31</f>
        <v>40973</v>
      </c>
      <c r="M37" s="3" t="n">
        <f aca="false">+M35+M33+M31</f>
        <v>44197</v>
      </c>
      <c r="N37" s="3" t="n">
        <f aca="false">+N35+N33+N31</f>
        <v>42818</v>
      </c>
      <c r="O37" s="3" t="n">
        <f aca="false">+O35+O33+O31</f>
        <v>46756</v>
      </c>
      <c r="P37" s="3" t="n">
        <f aca="false">+P35+P33+P31</f>
        <v>49740</v>
      </c>
      <c r="Q37" s="3" t="n">
        <f aca="false">+Q35+Q33+Q31</f>
        <v>54140</v>
      </c>
      <c r="R37" s="3" t="n">
        <f aca="false">+R35+R33+R31</f>
        <v>53720</v>
      </c>
      <c r="S37" s="3" t="n">
        <f aca="false">+S35+S33+S31</f>
        <v>58022</v>
      </c>
      <c r="T37" s="3" t="n">
        <f aca="false">+P37*1.18</f>
        <v>58693.2</v>
      </c>
      <c r="U37" s="3"/>
      <c r="V37" s="3"/>
      <c r="W37" s="3"/>
      <c r="X37" s="3"/>
      <c r="Y37" s="3" t="n">
        <v>65001</v>
      </c>
      <c r="Z37" s="3" t="n">
        <v>57897</v>
      </c>
      <c r="AA37" s="3" t="n">
        <v>90415</v>
      </c>
      <c r="AB37" s="3" t="n">
        <v>115395</v>
      </c>
      <c r="AC37" s="3" t="n">
        <f aca="false">SUM(F37:I37)</f>
        <v>137865</v>
      </c>
      <c r="AD37" s="3" t="n">
        <f aca="false">SUM(J37:M37)</f>
        <v>162773</v>
      </c>
      <c r="AE37" s="3" t="n">
        <f aca="false">SUM(N37:Q37)</f>
        <v>193454</v>
      </c>
      <c r="AF37" s="3" t="n">
        <f aca="false">+AE37*1.2</f>
        <v>232144.8</v>
      </c>
      <c r="AG37" s="3" t="n">
        <f aca="false">+AF37*1.2</f>
        <v>278573.76</v>
      </c>
      <c r="AH37" s="3" t="n">
        <f aca="false">+AG37*1.2</f>
        <v>334288.512</v>
      </c>
      <c r="AI37" s="3" t="n">
        <f aca="false">+AH37*1.2</f>
        <v>401146.2144</v>
      </c>
      <c r="AJ37" s="3" t="n">
        <f aca="false">+AI37*1.2</f>
        <v>481375.45728</v>
      </c>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1"/>
      <c r="ES37" s="1"/>
      <c r="ET37" s="1"/>
      <c r="EU37" s="1"/>
      <c r="EV37" s="1"/>
    </row>
    <row r="38" s="81" customFormat="true" ht="10.5" hidden="false" customHeight="true" outlineLevel="0" collapsed="false">
      <c r="A38" s="53" t="s">
        <v>264</v>
      </c>
      <c r="B38" s="29"/>
      <c r="C38" s="29"/>
      <c r="D38" s="29"/>
      <c r="E38" s="29"/>
      <c r="F38" s="53" t="n">
        <f aca="false">F37/B37-1</f>
        <v>0.1874929108851</v>
      </c>
      <c r="G38" s="53" t="n">
        <f aca="false">G37/C37-1</f>
        <v>0.15554714904739</v>
      </c>
      <c r="H38" s="53" t="n">
        <f aca="false">H37/D37-1</f>
        <v>0.211614409835503</v>
      </c>
      <c r="I38" s="53" t="n">
        <f aca="false">I37/E37-1</f>
        <v>0.221990959055579</v>
      </c>
      <c r="J38" s="53" t="n">
        <f aca="false">J37/F37-1</f>
        <v>0.198771013754457</v>
      </c>
      <c r="K38" s="53" t="n">
        <f aca="false">K37/G37-1</f>
        <v>0.189012231778816</v>
      </c>
      <c r="L38" s="53" t="n">
        <f aca="false">L37/H37-1</f>
        <v>0.16133329554151</v>
      </c>
      <c r="M38" s="53" t="n">
        <f aca="false">M37/I37-1</f>
        <v>0.176234198270126</v>
      </c>
      <c r="N38" s="53" t="n">
        <f aca="false">N37/J37-1</f>
        <v>0.137234070808212</v>
      </c>
      <c r="O38" s="53" t="n">
        <f aca="false">O37/K37-1</f>
        <v>0.170304365238286</v>
      </c>
      <c r="P38" s="53" t="n">
        <f aca="false">P37/L37-1</f>
        <v>0.213970175481415</v>
      </c>
      <c r="Q38" s="53" t="n">
        <f aca="false">Q37/M37-1</f>
        <v>0.224970020589633</v>
      </c>
      <c r="R38" s="53" t="n">
        <f aca="false">R37/N37-1</f>
        <v>0.254612546125461</v>
      </c>
      <c r="S38" s="53" t="n">
        <f aca="false">S37/O37-1</f>
        <v>0.240953032765848</v>
      </c>
      <c r="T38" s="53" t="n">
        <f aca="false">T37/P37-1</f>
        <v>0.18</v>
      </c>
      <c r="U38" s="29"/>
      <c r="V38" s="29"/>
      <c r="W38" s="29"/>
      <c r="X38" s="29"/>
      <c r="Y38" s="29"/>
      <c r="Z38" s="53" t="n">
        <f aca="false">Z37/Y37-1</f>
        <v>-0.109290626298057</v>
      </c>
      <c r="AA38" s="53" t="n">
        <f aca="false">AA37/Z37-1</f>
        <v>0.561652589944211</v>
      </c>
      <c r="AB38" s="53" t="n">
        <f aca="false">AB37/AA37-1</f>
        <v>0.276281590444063</v>
      </c>
      <c r="AC38" s="53" t="n">
        <f aca="false">AC37/AB37-1</f>
        <v>0.194722474977252</v>
      </c>
      <c r="AD38" s="53" t="n">
        <f aca="false">AD37/AC37-1</f>
        <v>0.180669495520981</v>
      </c>
      <c r="AE38" s="53" t="n">
        <f aca="false">AE37/AD37-1</f>
        <v>0.188489491500433</v>
      </c>
      <c r="AF38" s="53" t="n">
        <f aca="false">AF37/AE37-1</f>
        <v>0.2</v>
      </c>
      <c r="AG38" s="53" t="n">
        <f aca="false">AG37/AF37-1</f>
        <v>0.2</v>
      </c>
      <c r="AH38" s="53" t="n">
        <f aca="false">AH37/AG37-1</f>
        <v>0.2</v>
      </c>
      <c r="AI38" s="53" t="n">
        <f aca="false">AI37/AH37-1</f>
        <v>0.2</v>
      </c>
      <c r="AJ38" s="53" t="n">
        <f aca="false">AJ37/AI37-1</f>
        <v>0.2</v>
      </c>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1"/>
      <c r="ES38" s="1"/>
      <c r="ET38" s="1"/>
      <c r="EU38" s="1"/>
      <c r="EV38" s="1"/>
    </row>
    <row r="39" s="32" customFormat="true" ht="12.8" hidden="false" customHeight="false" outlineLevel="0" collapsed="false">
      <c r="A39" s="3" t="s">
        <v>279</v>
      </c>
      <c r="B39" s="3"/>
      <c r="C39" s="3"/>
      <c r="D39" s="3"/>
      <c r="E39" s="3"/>
      <c r="F39" s="3"/>
      <c r="G39" s="3"/>
      <c r="H39" s="3" t="n">
        <v>15</v>
      </c>
      <c r="I39" s="3" t="n">
        <v>19</v>
      </c>
      <c r="J39" s="3"/>
      <c r="K39" s="3"/>
      <c r="L39" s="3" t="n">
        <v>25</v>
      </c>
      <c r="M39" s="3" t="n">
        <v>30</v>
      </c>
      <c r="N39" s="3"/>
      <c r="O39" s="3"/>
      <c r="P39" s="3"/>
      <c r="Q39" s="3" t="n">
        <v>46</v>
      </c>
      <c r="R39" s="1" t="n">
        <v>50</v>
      </c>
      <c r="S39" s="1"/>
      <c r="T39" s="1"/>
      <c r="U39" s="1"/>
      <c r="V39" s="1"/>
      <c r="W39" s="1"/>
      <c r="X39" s="1"/>
      <c r="Y39" s="3"/>
      <c r="Z39" s="3"/>
      <c r="AA39" s="3"/>
      <c r="AB39" s="3"/>
      <c r="AC39" s="3" t="n">
        <v>19</v>
      </c>
      <c r="AD39" s="3" t="n">
        <v>30</v>
      </c>
      <c r="AE39" s="3" t="n">
        <v>46</v>
      </c>
      <c r="AF39" s="3"/>
      <c r="AG39" s="1"/>
      <c r="AH39" s="1"/>
      <c r="AI39" s="1"/>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1"/>
      <c r="ER39" s="1"/>
      <c r="ES39" s="1"/>
      <c r="ET39" s="1"/>
      <c r="EU39" s="1"/>
      <c r="EV39" s="1"/>
    </row>
    <row r="40" s="29" customFormat="true" ht="10.5" hidden="false" customHeight="true" outlineLevel="0" collapsed="false">
      <c r="A40" s="53" t="s">
        <v>264</v>
      </c>
      <c r="I40" s="29" t="n">
        <f aca="false">+I39/H39-1</f>
        <v>0.266666666666667</v>
      </c>
      <c r="M40" s="29" t="n">
        <f aca="false">+M39/L39-1</f>
        <v>0.2</v>
      </c>
      <c r="R40" s="29" t="n">
        <f aca="false">+R39/Q39-1</f>
        <v>0.0869565217391304</v>
      </c>
      <c r="AD40" s="53" t="n">
        <f aca="false">AD39/AC39-1</f>
        <v>0.578947368421053</v>
      </c>
      <c r="AE40" s="53" t="n">
        <f aca="false">AE39/AD39-1</f>
        <v>0.533333333333333</v>
      </c>
      <c r="ER40" s="1"/>
      <c r="ES40" s="1"/>
      <c r="ET40" s="1"/>
      <c r="EU40" s="1"/>
      <c r="EV40" s="1"/>
    </row>
    <row r="41" s="29" customFormat="true" ht="12.8" hidden="false" customHeight="false" outlineLevel="0" collapsed="false">
      <c r="A41" s="3" t="s">
        <v>280</v>
      </c>
      <c r="B41" s="82" t="n">
        <f aca="false">+B61/B37</f>
        <v>0.259140232144883</v>
      </c>
      <c r="C41" s="82" t="n">
        <f aca="false">+C61/C37</f>
        <v>0.277632574454914</v>
      </c>
      <c r="D41" s="82" t="n">
        <f aca="false">+D61/D37</f>
        <v>0.286513959957416</v>
      </c>
      <c r="E41" s="82" t="n">
        <f aca="false">+E61/E37</f>
        <v>0.279911541838759</v>
      </c>
      <c r="F41" s="82" t="n">
        <f aca="false">+F61/F37</f>
        <v>0.280945966268274</v>
      </c>
      <c r="G41" s="82" t="n">
        <f aca="false">+G61/G37</f>
        <v>0.274709523654408</v>
      </c>
      <c r="H41" s="82" t="n">
        <f aca="false">+H61/H37</f>
        <v>0.263382170546254</v>
      </c>
      <c r="I41" s="82" t="n">
        <f aca="false">+I61/I37</f>
        <v>0.264441859614279</v>
      </c>
      <c r="J41" s="82" t="n">
        <f aca="false">+J61/J37</f>
        <v>0.269085550035388</v>
      </c>
      <c r="K41" s="82" t="n">
        <f aca="false">+K61/K37</f>
        <v>0.267829659875461</v>
      </c>
      <c r="L41" s="82" t="n">
        <f aca="false">+L61/L37</f>
        <v>0.273068755914314</v>
      </c>
      <c r="M41" s="82" t="n">
        <f aca="false">+M61/M37</f>
        <v>0.270594335167717</v>
      </c>
      <c r="N41" s="82" t="n">
        <f aca="false">+N61/N37</f>
        <v>0.269357008161472</v>
      </c>
      <c r="O41" s="82" t="n">
        <f aca="false">+O61/O37</f>
        <v>0.270584177525103</v>
      </c>
      <c r="P41" s="82" t="n">
        <f aca="false">+P61/P37</f>
        <v>0.27075771670004</v>
      </c>
      <c r="Q41" s="82" t="n">
        <f aca="false">+Q61/Q37</f>
        <v>0.265349094939047</v>
      </c>
      <c r="R41" s="82" t="n">
        <f aca="false">+R61/R37</f>
        <v>0.245774385703649</v>
      </c>
      <c r="S41" s="82" t="n">
        <f aca="false">+S61/S37</f>
        <v>0.244579642204681</v>
      </c>
      <c r="T41" s="82"/>
      <c r="U41" s="82"/>
      <c r="V41" s="82"/>
      <c r="W41" s="82"/>
      <c r="X41" s="82"/>
      <c r="Y41" s="82" t="n">
        <f aca="false">+Y61/Y37</f>
        <v>0.2176428054953</v>
      </c>
      <c r="Z41" s="82" t="n">
        <f aca="false">+Z61/Z37</f>
        <v>0.19240211233051</v>
      </c>
      <c r="AA41" s="82" t="n">
        <f aca="false">+AA61/AA37</f>
        <v>0.193080712316803</v>
      </c>
      <c r="AB41" s="82" t="n">
        <f aca="false">+AB61/AB37</f>
        <v>0.276273493379057</v>
      </c>
      <c r="AC41" s="82" t="n">
        <f aca="false">+AC61/AC37</f>
        <v>0.270418802275018</v>
      </c>
      <c r="AD41" s="82" t="n">
        <f aca="false">+AD61/AD37</f>
        <v>0.270182228177682</v>
      </c>
      <c r="AE41" s="82" t="n">
        <f aca="false">+AE61/AE37</f>
        <v>0.268887843697427</v>
      </c>
      <c r="AF41" s="82" t="n">
        <f aca="false">+AF61/AF37</f>
        <v>0.250961987450932</v>
      </c>
      <c r="AG41" s="82" t="n">
        <f aca="false">+AG61/AG37</f>
        <v>0.250961987450932</v>
      </c>
      <c r="AH41" s="82" t="n">
        <f aca="false">+AH61/AH37</f>
        <v>0.250961987450932</v>
      </c>
      <c r="AI41" s="82" t="n">
        <f aca="false">+AI61/AI37</f>
        <v>0.250961987450932</v>
      </c>
      <c r="AJ41" s="82" t="n">
        <f aca="false">+AJ61/AJ37</f>
        <v>0.250961987450932</v>
      </c>
      <c r="AK41" s="82"/>
      <c r="AL41" s="82"/>
      <c r="AM41" s="82"/>
      <c r="AN41" s="82"/>
      <c r="AO41" s="82"/>
      <c r="AP41" s="82"/>
      <c r="AQ41" s="82"/>
      <c r="AR41" s="82"/>
      <c r="AS41" s="82"/>
      <c r="AT41" s="82"/>
      <c r="AU41" s="82"/>
      <c r="AV41" s="82"/>
      <c r="AW41" s="82"/>
      <c r="AX41" s="82"/>
      <c r="AY41" s="82"/>
      <c r="AZ41" s="82"/>
      <c r="BA41" s="82"/>
      <c r="BB41" s="82"/>
      <c r="BC41" s="82"/>
      <c r="BD41" s="82"/>
      <c r="BE41" s="82"/>
      <c r="BF41" s="82"/>
      <c r="BG41" s="82"/>
      <c r="BH41" s="82"/>
      <c r="BI41" s="82"/>
      <c r="BJ41" s="82"/>
      <c r="BK41" s="82"/>
      <c r="BL41" s="82"/>
      <c r="BM41" s="82"/>
      <c r="BN41" s="82"/>
      <c r="BO41" s="82"/>
      <c r="BP41" s="82"/>
      <c r="BQ41" s="82"/>
      <c r="BR41" s="82"/>
      <c r="BS41" s="82"/>
      <c r="BT41" s="82"/>
      <c r="BU41" s="82"/>
      <c r="BV41" s="82"/>
      <c r="BW41" s="82"/>
      <c r="BX41" s="82"/>
      <c r="BY41" s="82"/>
      <c r="BZ41" s="82"/>
      <c r="CA41" s="82"/>
      <c r="CB41" s="82"/>
      <c r="CC41" s="82"/>
      <c r="CD41" s="82"/>
      <c r="CE41" s="82"/>
      <c r="CF41" s="82"/>
      <c r="CG41" s="82"/>
      <c r="CH41" s="82"/>
      <c r="CI41" s="82"/>
      <c r="CJ41" s="82"/>
      <c r="CK41" s="82"/>
      <c r="CL41" s="82"/>
      <c r="CM41" s="82"/>
      <c r="CN41" s="82"/>
      <c r="CO41" s="82"/>
      <c r="CP41" s="82"/>
      <c r="CQ41" s="82"/>
      <c r="CR41" s="82"/>
      <c r="CS41" s="82"/>
      <c r="CT41" s="82"/>
      <c r="CU41" s="82"/>
      <c r="CV41" s="82"/>
      <c r="CW41" s="82"/>
      <c r="CX41" s="82"/>
      <c r="CY41" s="82"/>
      <c r="CZ41" s="82"/>
      <c r="DA41" s="82"/>
      <c r="DB41" s="82"/>
      <c r="DC41" s="82"/>
      <c r="DD41" s="82"/>
      <c r="DE41" s="82"/>
      <c r="DF41" s="82"/>
      <c r="DG41" s="82"/>
      <c r="DH41" s="82"/>
      <c r="DI41" s="82"/>
      <c r="DJ41" s="82"/>
      <c r="DK41" s="82"/>
      <c r="DL41" s="82"/>
      <c r="DM41" s="82"/>
      <c r="DN41" s="82"/>
      <c r="DO41" s="82"/>
      <c r="DP41" s="82"/>
      <c r="DQ41" s="82"/>
      <c r="DR41" s="82"/>
      <c r="DS41" s="82"/>
      <c r="DT41" s="82"/>
      <c r="DU41" s="82"/>
      <c r="DV41" s="82"/>
      <c r="DW41" s="82"/>
      <c r="DX41" s="82"/>
      <c r="DY41" s="82"/>
      <c r="DZ41" s="82"/>
      <c r="EA41" s="82"/>
      <c r="EB41" s="82"/>
      <c r="EC41" s="82"/>
      <c r="ED41" s="82"/>
      <c r="EE41" s="82"/>
      <c r="EF41" s="82"/>
      <c r="EG41" s="82"/>
      <c r="EH41" s="82"/>
      <c r="EI41" s="82"/>
      <c r="EJ41" s="82"/>
      <c r="EK41" s="82"/>
      <c r="EL41" s="82"/>
      <c r="EM41" s="82"/>
      <c r="EN41" s="82"/>
      <c r="EO41" s="82"/>
      <c r="EP41" s="82"/>
      <c r="EQ41" s="83"/>
      <c r="ER41" s="1"/>
      <c r="ES41" s="1"/>
      <c r="ET41" s="1"/>
      <c r="EU41" s="1"/>
      <c r="EV41" s="1"/>
    </row>
    <row r="42" s="29" customFormat="true" ht="10.5" hidden="false" customHeight="true" outlineLevel="0" collapsed="false">
      <c r="A42" s="53" t="s">
        <v>264</v>
      </c>
      <c r="F42" s="53" t="n">
        <f aca="false">F41/B41-1</f>
        <v>0.0841464636459846</v>
      </c>
      <c r="G42" s="53" t="n">
        <f aca="false">G41/C41-1</f>
        <v>-0.0105284864582108</v>
      </c>
      <c r="H42" s="53" t="n">
        <f aca="false">H41/D41-1</f>
        <v>-0.0807352961600916</v>
      </c>
      <c r="I42" s="53" t="n">
        <f aca="false">I41/E41-1</f>
        <v>-0.0552663249355809</v>
      </c>
      <c r="J42" s="53" t="n">
        <f aca="false">J41/F41-1</f>
        <v>-0.0422160047016316</v>
      </c>
      <c r="K42" s="53" t="n">
        <f aca="false">K41/G41-1</f>
        <v>-0.0250441400335362</v>
      </c>
      <c r="L42" s="53" t="n">
        <f aca="false">L41/H41-1</f>
        <v>0.0367776806910309</v>
      </c>
      <c r="M42" s="53" t="n">
        <f aca="false">M41/I41-1</f>
        <v>0.023265891271574</v>
      </c>
      <c r="N42" s="53" t="n">
        <f aca="false">N41/J41-1</f>
        <v>0.00100881718118262</v>
      </c>
      <c r="O42" s="53" t="n">
        <f aca="false">O41/K41-1</f>
        <v>0.0102845877895783</v>
      </c>
      <c r="P42" s="53" t="n">
        <f aca="false">P41/L41-1</f>
        <v>-0.0084632136200864</v>
      </c>
      <c r="Q42" s="53" t="n">
        <f aca="false">Q41/M41-1</f>
        <v>-0.0193841464767521</v>
      </c>
      <c r="R42" s="53" t="n">
        <f aca="false">R41/N41-1</f>
        <v>-0.0875515458787922</v>
      </c>
      <c r="S42" s="53" t="n">
        <f aca="false">S41/O41-1</f>
        <v>-0.0961051586913633</v>
      </c>
      <c r="Z42" s="53" t="n">
        <f aca="false">Z41/Y41-1</f>
        <v>-0.115973018760482</v>
      </c>
      <c r="AA42" s="53" t="n">
        <f aca="false">AA41/Z41-1</f>
        <v>0.00352698823351805</v>
      </c>
      <c r="AB42" s="53" t="n">
        <f aca="false">AB41/AA41-1</f>
        <v>0.430870489672487</v>
      </c>
      <c r="AC42" s="53" t="n">
        <f aca="false">AC41/AB41-1</f>
        <v>-0.0211916497396534</v>
      </c>
      <c r="AD42" s="53" t="n">
        <f aca="false">AD41/AC41-1</f>
        <v>-0.000874843373853906</v>
      </c>
      <c r="AE42" s="53" t="n">
        <f aca="false">AE41/AD41-1</f>
        <v>-0.00479078320208315</v>
      </c>
      <c r="AF42" s="53" t="n">
        <f aca="false">AF41/AE41-1</f>
        <v>-0.0666666666666671</v>
      </c>
      <c r="AG42" s="53" t="n">
        <f aca="false">AG41/AF41-1</f>
        <v>0</v>
      </c>
      <c r="AH42" s="53" t="n">
        <f aca="false">AH41/AG41-1</f>
        <v>0</v>
      </c>
      <c r="AI42" s="53" t="n">
        <f aca="false">AI41/AH41-1</f>
        <v>0</v>
      </c>
      <c r="AJ42" s="53" t="n">
        <f aca="false">AJ41/AI41-1</f>
        <v>0</v>
      </c>
      <c r="ER42" s="1"/>
      <c r="ES42" s="1"/>
      <c r="ET42" s="1"/>
      <c r="EU42" s="1"/>
      <c r="EV42" s="1"/>
    </row>
    <row r="43" s="1" customFormat="true" ht="12.8" hidden="false" customHeight="false" outlineLevel="0" collapsed="false">
      <c r="A43" s="3"/>
      <c r="B43" s="3"/>
      <c r="C43" s="3"/>
      <c r="D43" s="3"/>
      <c r="E43" s="3"/>
      <c r="F43" s="3"/>
      <c r="G43" s="3"/>
      <c r="H43" s="3"/>
      <c r="I43" s="3"/>
      <c r="J43" s="3"/>
      <c r="K43" s="3"/>
      <c r="L43" s="3"/>
      <c r="M43" s="3"/>
      <c r="N43" s="3"/>
      <c r="O43" s="3"/>
      <c r="P43" s="3"/>
      <c r="Q43" s="3"/>
      <c r="Y43" s="3"/>
      <c r="Z43" s="3"/>
      <c r="AA43" s="3"/>
      <c r="AB43" s="3"/>
      <c r="AC43" s="3"/>
      <c r="AD43" s="84"/>
      <c r="AE43" s="84"/>
      <c r="AF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row>
    <row r="44" customFormat="false" ht="12.8" hidden="false" customHeight="false" outlineLevel="0" collapsed="false">
      <c r="A44" s="85" t="s">
        <v>281</v>
      </c>
      <c r="B44" s="85" t="n">
        <f aca="false">+B53/B31</f>
        <v>0.234822344493146</v>
      </c>
      <c r="C44" s="85" t="n">
        <f aca="false">+C53/C31</f>
        <v>0.265863513917989</v>
      </c>
      <c r="D44" s="85" t="n">
        <f aca="false">+D53/D31</f>
        <v>0.279304296989184</v>
      </c>
      <c r="E44" s="85" t="n">
        <f aca="false">+E53/E31</f>
        <v>0.277695716395864</v>
      </c>
      <c r="F44" s="85" t="n">
        <f aca="false">+F53/F31</f>
        <v>0.289032774848141</v>
      </c>
      <c r="G44" s="85" t="n">
        <f aca="false">+G53/G31</f>
        <v>0.292563366810139</v>
      </c>
      <c r="H44" s="85" t="n">
        <f aca="false">+H53/H31</f>
        <v>0.283248617550131</v>
      </c>
      <c r="I44" s="85" t="n">
        <f aca="false">+I53/I31</f>
        <v>0.287114337568058</v>
      </c>
      <c r="J44" s="85" t="n">
        <f aca="false">+J53/J31</f>
        <v>0.301713979646492</v>
      </c>
      <c r="K44" s="85" t="n">
        <f aca="false">+K53/K31</f>
        <v>0.298433394959619</v>
      </c>
      <c r="L44" s="85" t="n">
        <f aca="false">+L53/L31</f>
        <v>0.305161413198743</v>
      </c>
      <c r="M44" s="85" t="n">
        <f aca="false">+M53/M31</f>
        <v>0.303140626370734</v>
      </c>
      <c r="N44" s="85" t="n">
        <f aca="false">+N53/N31</f>
        <v>0.306675479180436</v>
      </c>
      <c r="O44" s="85" t="n">
        <f aca="false">+O53/O31</f>
        <v>0.306708189546335</v>
      </c>
      <c r="P44" s="85" t="n">
        <f aca="false">+P53/P31</f>
        <v>0.305921707618175</v>
      </c>
      <c r="Q44" s="85" t="n">
        <f aca="false">+Q53/Q31</f>
        <v>0.298957801909482</v>
      </c>
      <c r="R44" s="85" t="n">
        <f aca="false">+R53/R31</f>
        <v>0.257558536030916</v>
      </c>
      <c r="S44" s="85" t="n">
        <f aca="false">+S53/S31</f>
        <v>0.254001655857596</v>
      </c>
      <c r="T44" s="85"/>
      <c r="U44" s="85"/>
      <c r="V44" s="85"/>
      <c r="W44" s="85"/>
      <c r="X44" s="85"/>
      <c r="Y44" s="85"/>
      <c r="Z44" s="85"/>
      <c r="AA44" s="85"/>
      <c r="AB44" s="85" t="n">
        <f aca="false">+AB53/AB31</f>
        <v>0.266381847526821</v>
      </c>
      <c r="AC44" s="85" t="n">
        <f aca="false">+AC53/AC31</f>
        <v>0.287849978954091</v>
      </c>
      <c r="AD44" s="85" t="n">
        <f aca="false">+AD53/AD31</f>
        <v>0.302165638851416</v>
      </c>
      <c r="AE44" s="85" t="n">
        <f aca="false">+AE53/AE31</f>
        <v>0.304317055909413</v>
      </c>
      <c r="AF44" s="85"/>
      <c r="AG44" s="85"/>
      <c r="AH44" s="85"/>
      <c r="AI44" s="85"/>
      <c r="AJ44" s="85"/>
      <c r="AK44" s="85"/>
      <c r="AL44" s="85"/>
      <c r="AM44" s="85"/>
      <c r="AN44" s="85"/>
      <c r="AO44" s="85"/>
      <c r="AP44" s="85"/>
      <c r="AQ44" s="85"/>
      <c r="AR44" s="85"/>
      <c r="AS44" s="85"/>
      <c r="AT44" s="85"/>
      <c r="AU44" s="85"/>
      <c r="AV44" s="85"/>
      <c r="AW44" s="85"/>
      <c r="AX44" s="85"/>
      <c r="AY44" s="85"/>
      <c r="AZ44" s="85"/>
      <c r="BA44" s="85"/>
      <c r="BB44" s="85"/>
      <c r="BC44" s="85"/>
      <c r="BD44" s="85"/>
      <c r="BE44" s="85"/>
      <c r="BF44" s="85"/>
      <c r="BG44" s="85"/>
      <c r="BH44" s="85"/>
      <c r="BI44" s="85"/>
      <c r="BJ44" s="85"/>
      <c r="BK44" s="85"/>
      <c r="BL44" s="85"/>
      <c r="BM44" s="85"/>
      <c r="BN44" s="85"/>
      <c r="BO44" s="85"/>
      <c r="BP44" s="85"/>
      <c r="BQ44" s="85"/>
      <c r="BR44" s="85"/>
      <c r="BS44" s="85"/>
      <c r="BT44" s="85"/>
      <c r="BU44" s="85"/>
      <c r="BV44" s="85"/>
      <c r="BW44" s="85"/>
      <c r="BX44" s="85"/>
      <c r="BY44" s="85"/>
      <c r="BZ44" s="85"/>
      <c r="CA44" s="85"/>
      <c r="CB44" s="85"/>
      <c r="CC44" s="85"/>
      <c r="CD44" s="85"/>
      <c r="CE44" s="85"/>
      <c r="CF44" s="85"/>
      <c r="CG44" s="85"/>
      <c r="CH44" s="85"/>
      <c r="CI44" s="85"/>
      <c r="CJ44" s="85"/>
      <c r="CK44" s="85"/>
      <c r="CL44" s="85"/>
      <c r="CM44" s="85"/>
      <c r="CN44" s="85"/>
      <c r="CO44" s="85"/>
      <c r="CP44" s="85"/>
      <c r="CQ44" s="85"/>
      <c r="CR44" s="85"/>
      <c r="CS44" s="85"/>
      <c r="CT44" s="85"/>
      <c r="CU44" s="85"/>
      <c r="CV44" s="85"/>
      <c r="CW44" s="85"/>
      <c r="CX44" s="85"/>
      <c r="CY44" s="85"/>
      <c r="CZ44" s="85"/>
      <c r="DA44" s="85"/>
      <c r="DB44" s="85"/>
      <c r="DC44" s="85"/>
      <c r="DD44" s="85"/>
      <c r="DE44" s="85"/>
      <c r="DF44" s="85"/>
      <c r="DG44" s="85"/>
      <c r="DH44" s="85"/>
      <c r="DI44" s="85"/>
      <c r="DJ44" s="85"/>
      <c r="DK44" s="85"/>
      <c r="DL44" s="85"/>
      <c r="DM44" s="85"/>
      <c r="DN44" s="85"/>
      <c r="DO44" s="85"/>
      <c r="DP44" s="85"/>
      <c r="DQ44" s="85"/>
      <c r="DR44" s="85"/>
      <c r="DS44" s="85"/>
      <c r="DT44" s="85"/>
      <c r="DU44" s="85"/>
      <c r="DV44" s="85"/>
      <c r="DW44" s="85"/>
      <c r="DX44" s="85"/>
      <c r="DY44" s="85"/>
      <c r="DZ44" s="85"/>
      <c r="EA44" s="85"/>
      <c r="EB44" s="85"/>
      <c r="EC44" s="85"/>
      <c r="ED44" s="85"/>
      <c r="EE44" s="85"/>
      <c r="EF44" s="85"/>
      <c r="EG44" s="85"/>
      <c r="EH44" s="85"/>
      <c r="EI44" s="85"/>
      <c r="EJ44" s="85"/>
      <c r="EK44" s="85"/>
      <c r="EL44" s="85"/>
      <c r="EM44" s="85"/>
      <c r="EN44" s="85"/>
      <c r="EO44" s="85"/>
      <c r="EP44" s="85"/>
      <c r="EQ44" s="85"/>
      <c r="ER44" s="85"/>
      <c r="ES44" s="85"/>
      <c r="ET44" s="85"/>
      <c r="EU44" s="85"/>
      <c r="EV44" s="85"/>
    </row>
    <row r="45" customFormat="false" ht="12.8" hidden="false" customHeight="false" outlineLevel="0" collapsed="false">
      <c r="A45" s="32"/>
      <c r="B45" s="32"/>
      <c r="C45" s="32"/>
      <c r="D45" s="32"/>
      <c r="E45" s="32"/>
      <c r="F45" s="86" t="n">
        <f aca="false">+(F44-B44)*100</f>
        <v>5.42104303549954</v>
      </c>
      <c r="G45" s="86" t="n">
        <f aca="false">+(G44-C44)*100</f>
        <v>2.669985289215</v>
      </c>
      <c r="H45" s="86" t="n">
        <f aca="false">+(H44-D44)*100</f>
        <v>0.394432056094679</v>
      </c>
      <c r="I45" s="86" t="n">
        <f aca="false">+(I44-E44)*100</f>
        <v>0.9418621172194</v>
      </c>
      <c r="J45" s="86" t="n">
        <f aca="false">+(J44-F44)*100</f>
        <v>1.26812047983507</v>
      </c>
      <c r="K45" s="86" t="n">
        <f aca="false">+(K44-G44)*100</f>
        <v>0.58700281494799</v>
      </c>
      <c r="L45" s="86" t="n">
        <f aca="false">+(L44-H44)*100</f>
        <v>2.19127956486117</v>
      </c>
      <c r="M45" s="86" t="n">
        <f aca="false">+(M44-I44)*100</f>
        <v>1.60262888026762</v>
      </c>
      <c r="N45" s="86" t="n">
        <f aca="false">+(N44-J44)*100</f>
        <v>0.496149953394448</v>
      </c>
      <c r="O45" s="86" t="n">
        <f aca="false">+(O44-K44)*100</f>
        <v>0.827479458671593</v>
      </c>
      <c r="P45" s="86" t="n">
        <f aca="false">+(P44-L44)*100</f>
        <v>0.0760294419432317</v>
      </c>
      <c r="Q45" s="86" t="n">
        <f aca="false">+(Q44-M44)*100</f>
        <v>-0.418282446125251</v>
      </c>
      <c r="R45" s="86" t="n">
        <f aca="false">+(R44-N44)*100</f>
        <v>-4.91169431495201</v>
      </c>
      <c r="S45" s="86" t="n">
        <f aca="false">+(S44-O44)*100</f>
        <v>-5.27065336887382</v>
      </c>
      <c r="T45" s="32"/>
      <c r="U45" s="32"/>
      <c r="V45" s="32"/>
      <c r="W45" s="32"/>
      <c r="X45" s="32"/>
      <c r="Y45" s="32"/>
      <c r="Z45" s="32"/>
      <c r="AA45" s="32"/>
      <c r="AB45" s="32"/>
      <c r="AC45" s="86" t="n">
        <f aca="false">+(AC44-AB44)*100</f>
        <v>2.14681314272704</v>
      </c>
      <c r="AD45" s="86" t="n">
        <f aca="false">+(AD44-AC44)*100</f>
        <v>1.43156598973256</v>
      </c>
      <c r="AE45" s="86" t="n">
        <f aca="false">+(AE44-AD44)*100</f>
        <v>0.215141705799615</v>
      </c>
      <c r="AF45" s="32"/>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2"/>
      <c r="BK45" s="32"/>
      <c r="BL45" s="32"/>
      <c r="BM45" s="32"/>
      <c r="BN45" s="32"/>
      <c r="BO45" s="32"/>
      <c r="BP45" s="32"/>
      <c r="BQ45" s="32"/>
      <c r="BR45" s="32"/>
      <c r="BS45" s="32"/>
      <c r="BT45" s="32"/>
      <c r="BU45" s="32"/>
      <c r="BV45" s="32"/>
      <c r="BW45" s="32"/>
      <c r="BX45" s="32"/>
      <c r="BY45" s="32"/>
      <c r="BZ45" s="32"/>
      <c r="CA45" s="32"/>
      <c r="CB45" s="32"/>
      <c r="CC45" s="32"/>
      <c r="CD45" s="32"/>
      <c r="CE45" s="32"/>
      <c r="CF45" s="32"/>
      <c r="CG45" s="32"/>
      <c r="CH45" s="32"/>
      <c r="CI45" s="32"/>
      <c r="CJ45" s="32"/>
      <c r="CK45" s="32"/>
      <c r="CL45" s="32"/>
      <c r="CM45" s="32"/>
      <c r="CN45" s="32"/>
      <c r="CO45" s="32"/>
      <c r="CP45" s="32"/>
      <c r="CQ45" s="32"/>
      <c r="CR45" s="32"/>
      <c r="CS45" s="32"/>
      <c r="CT45" s="32"/>
      <c r="CU45" s="32"/>
      <c r="CV45" s="32"/>
      <c r="CW45" s="32"/>
      <c r="CX45" s="32"/>
      <c r="CY45" s="32"/>
      <c r="CZ45" s="32"/>
      <c r="DA45" s="32"/>
      <c r="DB45" s="32"/>
      <c r="DC45" s="32"/>
      <c r="DD45" s="32"/>
      <c r="DE45" s="32"/>
      <c r="DF45" s="32"/>
      <c r="DG45" s="32"/>
      <c r="DH45" s="32"/>
      <c r="DI45" s="32"/>
      <c r="DJ45" s="32"/>
      <c r="DK45" s="32"/>
      <c r="DL45" s="32"/>
      <c r="DM45" s="32"/>
      <c r="DN45" s="32"/>
      <c r="DO45" s="32"/>
      <c r="DP45" s="32"/>
      <c r="DQ45" s="32"/>
      <c r="DR45" s="32"/>
      <c r="DS45" s="32"/>
      <c r="DT45" s="32"/>
      <c r="DU45" s="32"/>
      <c r="DV45" s="32"/>
      <c r="DW45" s="32"/>
      <c r="DX45" s="32"/>
      <c r="DY45" s="32"/>
      <c r="DZ45" s="32"/>
      <c r="EA45" s="32"/>
      <c r="EB45" s="32"/>
      <c r="EC45" s="32"/>
      <c r="ED45" s="32"/>
      <c r="EE45" s="32"/>
      <c r="EF45" s="32"/>
      <c r="EG45" s="32"/>
      <c r="EH45" s="32"/>
      <c r="EI45" s="32"/>
      <c r="EJ45" s="32"/>
      <c r="EK45" s="32"/>
      <c r="EL45" s="32"/>
      <c r="EM45" s="32"/>
      <c r="EN45" s="32"/>
      <c r="EO45" s="32"/>
      <c r="EP45" s="32"/>
      <c r="EQ45" s="32"/>
      <c r="ER45" s="32"/>
      <c r="ES45" s="32"/>
      <c r="ET45" s="32"/>
      <c r="EU45" s="32"/>
      <c r="EV45" s="32"/>
    </row>
    <row r="46" customFormat="false" ht="12.8" hidden="false" customHeight="false" outlineLevel="0" collapsed="false">
      <c r="A46" s="85" t="s">
        <v>282</v>
      </c>
      <c r="B46" s="85" t="n">
        <f aca="false">+B55/B33</f>
        <v>0.180680428684457</v>
      </c>
      <c r="C46" s="85" t="n">
        <f aca="false">+C55/C33</f>
        <v>0.19371576823292</v>
      </c>
      <c r="D46" s="85" t="n">
        <f aca="false">+D55/D33</f>
        <v>0.202426191172172</v>
      </c>
      <c r="E46" s="85" t="n">
        <f aca="false">+E55/E33</f>
        <v>0.204750261962976</v>
      </c>
      <c r="F46" s="85" t="n">
        <f aca="false">+F55/F33</f>
        <v>0.205843205111141</v>
      </c>
      <c r="G46" s="85" t="n">
        <f aca="false">+G55/G33</f>
        <v>0.196024366784226</v>
      </c>
      <c r="H46" s="85" t="n">
        <f aca="false">+H55/H33</f>
        <v>0.182366099167392</v>
      </c>
      <c r="I46" s="85" t="n">
        <f aca="false">+I55/I33</f>
        <v>0.183351948739051</v>
      </c>
      <c r="J46" s="85" t="n">
        <f aca="false">+J55/J33</f>
        <v>0.181592180349172</v>
      </c>
      <c r="K46" s="85" t="n">
        <f aca="false">+K55/K33</f>
        <v>0.181672735297363</v>
      </c>
      <c r="L46" s="85" t="n">
        <f aca="false">+L55/L33</f>
        <v>0.185929378985158</v>
      </c>
      <c r="M46" s="85" t="n">
        <f aca="false">+M55/M33</f>
        <v>0.187468945642453</v>
      </c>
      <c r="N46" s="85" t="n">
        <f aca="false">+N55/N33</f>
        <v>0.185356038671051</v>
      </c>
      <c r="O46" s="85" t="n">
        <f aca="false">+O55/O33</f>
        <v>0.18873654182387</v>
      </c>
      <c r="P46" s="85" t="n">
        <f aca="false">+P55/P33</f>
        <v>0.191964668553297</v>
      </c>
      <c r="Q46" s="85" t="n">
        <f aca="false">+Q55/Q33</f>
        <v>0.192363650662577</v>
      </c>
      <c r="R46" s="85" t="n">
        <f aca="false">+R55/R33</f>
        <v>0.194983071714374</v>
      </c>
      <c r="S46" s="85" t="n">
        <f aca="false">+S55/S33</f>
        <v>0.19098423333212</v>
      </c>
      <c r="T46" s="85"/>
      <c r="U46" s="85"/>
      <c r="V46" s="85"/>
      <c r="W46" s="85"/>
      <c r="X46" s="85"/>
      <c r="Y46" s="85"/>
      <c r="Z46" s="85"/>
      <c r="AA46" s="85"/>
      <c r="AB46" s="85" t="n">
        <f aca="false">+AB55/AB33</f>
        <v>0.195435476352684</v>
      </c>
      <c r="AC46" s="85" t="n">
        <f aca="false">+AC55/AC33</f>
        <v>0.191507391017795</v>
      </c>
      <c r="AD46" s="85" t="n">
        <f aca="false">+AD55/AD33</f>
        <v>0.184281770177179</v>
      </c>
      <c r="AE46" s="85" t="n">
        <f aca="false">+AE55/AE33</f>
        <v>0.189822151787286</v>
      </c>
      <c r="AF46" s="85"/>
      <c r="AG46" s="85"/>
      <c r="AH46" s="85"/>
      <c r="AI46" s="85"/>
      <c r="AJ46" s="85"/>
      <c r="AK46" s="85"/>
      <c r="AL46" s="85"/>
      <c r="AM46" s="85"/>
      <c r="AN46" s="85"/>
      <c r="AO46" s="85"/>
      <c r="AP46" s="85"/>
      <c r="AQ46" s="85"/>
      <c r="AR46" s="85"/>
      <c r="AS46" s="85"/>
      <c r="AT46" s="85"/>
      <c r="AU46" s="85"/>
      <c r="AV46" s="85"/>
      <c r="AW46" s="85"/>
      <c r="AX46" s="85"/>
      <c r="AY46" s="85"/>
      <c r="AZ46" s="85"/>
      <c r="BA46" s="85"/>
      <c r="BB46" s="85"/>
      <c r="BC46" s="85"/>
      <c r="BD46" s="85"/>
      <c r="BE46" s="85"/>
      <c r="BF46" s="85"/>
      <c r="BG46" s="85"/>
      <c r="BH46" s="85"/>
      <c r="BI46" s="85"/>
      <c r="BJ46" s="85"/>
      <c r="BK46" s="85"/>
      <c r="BL46" s="85"/>
      <c r="BM46" s="85"/>
      <c r="BN46" s="85"/>
      <c r="BO46" s="85"/>
      <c r="BP46" s="85"/>
      <c r="BQ46" s="85"/>
      <c r="BR46" s="85"/>
      <c r="BS46" s="85"/>
      <c r="BT46" s="85"/>
      <c r="BU46" s="85"/>
      <c r="BV46" s="85"/>
      <c r="BW46" s="85"/>
      <c r="BX46" s="85"/>
      <c r="BY46" s="85"/>
      <c r="BZ46" s="85"/>
      <c r="CA46" s="85"/>
      <c r="CB46" s="85"/>
      <c r="CC46" s="85"/>
      <c r="CD46" s="85"/>
      <c r="CE46" s="85"/>
      <c r="CF46" s="85"/>
      <c r="CG46" s="85"/>
      <c r="CH46" s="85"/>
      <c r="CI46" s="85"/>
      <c r="CJ46" s="85"/>
      <c r="CK46" s="85"/>
      <c r="CL46" s="85"/>
      <c r="CM46" s="85"/>
      <c r="CN46" s="85"/>
      <c r="CO46" s="85"/>
      <c r="CP46" s="85"/>
      <c r="CQ46" s="85"/>
      <c r="CR46" s="85"/>
      <c r="CS46" s="85"/>
      <c r="CT46" s="85"/>
      <c r="CU46" s="85"/>
      <c r="CV46" s="85"/>
      <c r="CW46" s="85"/>
      <c r="CX46" s="85"/>
      <c r="CY46" s="85"/>
      <c r="CZ46" s="85"/>
      <c r="DA46" s="85"/>
      <c r="DB46" s="85"/>
      <c r="DC46" s="85"/>
      <c r="DD46" s="85"/>
      <c r="DE46" s="85"/>
      <c r="DF46" s="85"/>
      <c r="DG46" s="85"/>
      <c r="DH46" s="85"/>
      <c r="DI46" s="85"/>
      <c r="DJ46" s="85"/>
      <c r="DK46" s="85"/>
      <c r="DL46" s="85"/>
      <c r="DM46" s="85"/>
      <c r="DN46" s="85"/>
      <c r="DO46" s="85"/>
      <c r="DP46" s="85"/>
      <c r="DQ46" s="85"/>
      <c r="DR46" s="85"/>
      <c r="DS46" s="85"/>
      <c r="DT46" s="85"/>
      <c r="DU46" s="85"/>
      <c r="DV46" s="85"/>
      <c r="DW46" s="85"/>
      <c r="DX46" s="85"/>
      <c r="DY46" s="85"/>
      <c r="DZ46" s="85"/>
      <c r="EA46" s="85"/>
      <c r="EB46" s="85"/>
      <c r="EC46" s="85"/>
      <c r="ED46" s="85"/>
      <c r="EE46" s="85"/>
      <c r="EF46" s="85"/>
      <c r="EG46" s="85"/>
      <c r="EH46" s="85"/>
      <c r="EI46" s="85"/>
      <c r="EJ46" s="85"/>
      <c r="EK46" s="85"/>
      <c r="EL46" s="85"/>
      <c r="EM46" s="85"/>
      <c r="EN46" s="85"/>
      <c r="EO46" s="85"/>
      <c r="EP46" s="85"/>
      <c r="EQ46" s="85"/>
      <c r="ER46" s="85"/>
      <c r="ES46" s="85"/>
      <c r="ET46" s="85"/>
      <c r="EU46" s="85"/>
      <c r="EV46" s="85"/>
    </row>
    <row r="47" customFormat="false" ht="12.8" hidden="false" customHeight="false" outlineLevel="0" collapsed="false">
      <c r="A47" s="32"/>
      <c r="B47" s="32"/>
      <c r="C47" s="32"/>
      <c r="D47" s="32"/>
      <c r="E47" s="32"/>
      <c r="F47" s="86" t="n">
        <f aca="false">+(F46-B46)*100</f>
        <v>2.51627764266841</v>
      </c>
      <c r="G47" s="86" t="n">
        <f aca="false">+(G46-C46)*100</f>
        <v>0.230859855130558</v>
      </c>
      <c r="H47" s="86" t="n">
        <f aca="false">+(H46-D46)*100</f>
        <v>-2.00600920047803</v>
      </c>
      <c r="I47" s="86" t="n">
        <f aca="false">+(I46-E46)*100</f>
        <v>-2.13983132239247</v>
      </c>
      <c r="J47" s="86" t="n">
        <f aca="false">+(J46-F46)*100</f>
        <v>-2.42510247619684</v>
      </c>
      <c r="K47" s="86" t="n">
        <f aca="false">+(K46-G46)*100</f>
        <v>-1.43516314868628</v>
      </c>
      <c r="L47" s="86" t="n">
        <f aca="false">+(L46-H46)*100</f>
        <v>0.356327981776622</v>
      </c>
      <c r="M47" s="86" t="n">
        <f aca="false">+(M46-I46)*100</f>
        <v>0.411699690340137</v>
      </c>
      <c r="N47" s="86" t="n">
        <f aca="false">+(N46-J46)*100</f>
        <v>0.376385832187842</v>
      </c>
      <c r="O47" s="86" t="n">
        <f aca="false">+(O46-K46)*100</f>
        <v>0.706380652650751</v>
      </c>
      <c r="P47" s="86" t="n">
        <f aca="false">+(P46-L46)*100</f>
        <v>0.603528956813954</v>
      </c>
      <c r="Q47" s="86" t="n">
        <f aca="false">+(Q46-M46)*100</f>
        <v>0.48947050201246</v>
      </c>
      <c r="R47" s="86" t="n">
        <f aca="false">+(R46-N46)*100</f>
        <v>0.962703304332296</v>
      </c>
      <c r="S47" s="86" t="n">
        <f aca="false">+(S46-O46)*100</f>
        <v>0.224769150824916</v>
      </c>
      <c r="T47" s="32"/>
      <c r="U47" s="32"/>
      <c r="V47" s="32"/>
      <c r="W47" s="32"/>
      <c r="X47" s="32"/>
      <c r="Y47" s="32"/>
      <c r="Z47" s="32"/>
      <c r="AA47" s="32"/>
      <c r="AB47" s="85"/>
      <c r="AC47" s="86" t="n">
        <f aca="false">+(AC46-AB46)*100</f>
        <v>-0.392808533488892</v>
      </c>
      <c r="AD47" s="86" t="n">
        <f aca="false">+(AD46-AC46)*100</f>
        <v>-0.72256208406164</v>
      </c>
      <c r="AE47" s="86" t="n">
        <f aca="false">+(AE46-AD46)*100</f>
        <v>0.554038161010795</v>
      </c>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2"/>
      <c r="BM47" s="32"/>
      <c r="BN47" s="32"/>
      <c r="BO47" s="32"/>
      <c r="BP47" s="32"/>
      <c r="BQ47" s="32"/>
      <c r="BR47" s="32"/>
      <c r="BS47" s="32"/>
      <c r="BT47" s="32"/>
      <c r="BU47" s="32"/>
      <c r="BV47" s="32"/>
      <c r="BW47" s="32"/>
      <c r="BX47" s="32"/>
      <c r="BY47" s="32"/>
      <c r="BZ47" s="32"/>
      <c r="CA47" s="32"/>
      <c r="CB47" s="32"/>
      <c r="CC47" s="32"/>
      <c r="CD47" s="32"/>
      <c r="CE47" s="32"/>
      <c r="CF47" s="32"/>
      <c r="CG47" s="32"/>
      <c r="CH47" s="32"/>
      <c r="CI47" s="32"/>
      <c r="CJ47" s="32"/>
      <c r="CK47" s="32"/>
      <c r="CL47" s="32"/>
      <c r="CM47" s="32"/>
      <c r="CN47" s="32"/>
      <c r="CO47" s="32"/>
      <c r="CP47" s="32"/>
      <c r="CQ47" s="32"/>
      <c r="CR47" s="32"/>
      <c r="CS47" s="32"/>
      <c r="CT47" s="32"/>
      <c r="CU47" s="32"/>
      <c r="CV47" s="32"/>
      <c r="CW47" s="32"/>
      <c r="CX47" s="32"/>
      <c r="CY47" s="32"/>
      <c r="CZ47" s="32"/>
      <c r="DA47" s="32"/>
      <c r="DB47" s="32"/>
      <c r="DC47" s="32"/>
      <c r="DD47" s="32"/>
      <c r="DE47" s="32"/>
      <c r="DF47" s="32"/>
      <c r="DG47" s="32"/>
      <c r="DH47" s="32"/>
      <c r="DI47" s="32"/>
      <c r="DJ47" s="32"/>
      <c r="DK47" s="32"/>
      <c r="DL47" s="32"/>
      <c r="DM47" s="32"/>
      <c r="DN47" s="32"/>
      <c r="DO47" s="32"/>
      <c r="DP47" s="32"/>
      <c r="DQ47" s="32"/>
      <c r="DR47" s="32"/>
      <c r="DS47" s="32"/>
      <c r="DT47" s="32"/>
      <c r="DU47" s="32"/>
      <c r="DV47" s="32"/>
      <c r="DW47" s="32"/>
      <c r="DX47" s="32"/>
      <c r="DY47" s="32"/>
      <c r="DZ47" s="32"/>
      <c r="EA47" s="32"/>
      <c r="EB47" s="32"/>
      <c r="EC47" s="32"/>
      <c r="ED47" s="32"/>
      <c r="EE47" s="32"/>
      <c r="EF47" s="32"/>
      <c r="EG47" s="32"/>
      <c r="EH47" s="32"/>
      <c r="EI47" s="32"/>
      <c r="EJ47" s="32"/>
      <c r="EK47" s="32"/>
      <c r="EL47" s="32"/>
      <c r="EM47" s="32"/>
      <c r="EN47" s="32"/>
      <c r="EO47" s="32"/>
      <c r="EP47" s="32"/>
      <c r="EQ47" s="32"/>
      <c r="ER47" s="32"/>
      <c r="ES47" s="32"/>
      <c r="ET47" s="32"/>
      <c r="EU47" s="32"/>
      <c r="EV47" s="32"/>
    </row>
    <row r="48" customFormat="false" ht="12.8" hidden="false" customHeight="false" outlineLevel="0" collapsed="false">
      <c r="A48" s="85" t="s">
        <v>283</v>
      </c>
      <c r="B48" s="85" t="n">
        <f aca="false">+B57/B35</f>
        <v>1.00054854635217</v>
      </c>
      <c r="C48" s="85" t="n">
        <f aca="false">+C57/C35</f>
        <v>0.996735582154516</v>
      </c>
      <c r="D48" s="85" t="n">
        <f aca="false">+D57/D35</f>
        <v>1</v>
      </c>
      <c r="E48" s="85" t="n">
        <f aca="false">+E57/E35</f>
        <v>1</v>
      </c>
      <c r="F48" s="85" t="n">
        <f aca="false">+F57/F35</f>
        <v>0.999286224125625</v>
      </c>
      <c r="G48" s="85" t="n">
        <f aca="false">+G57/G35</f>
        <v>1.00078247261346</v>
      </c>
      <c r="H48" s="85" t="n">
        <f aca="false">+H57/H35</f>
        <v>1.00155763239875</v>
      </c>
      <c r="I48" s="85" t="n">
        <f aca="false">+I57/I35</f>
        <v>1.00078186082877</v>
      </c>
      <c r="J48" s="85" t="n">
        <f aca="false">+J57/J35</f>
        <v>1.0015600624025</v>
      </c>
      <c r="K48" s="85" t="n">
        <f aca="false">+K57/K35</f>
        <v>1.00078616352201</v>
      </c>
      <c r="L48" s="85" t="n">
        <f aca="false">+L57/L35</f>
        <v>1.00076452599388</v>
      </c>
      <c r="M48" s="85" t="n">
        <f aca="false">+M57/M35</f>
        <v>1.00157109190888</v>
      </c>
      <c r="N48" s="85" t="n">
        <f aca="false">+N57/N35</f>
        <v>1.00079428117554</v>
      </c>
      <c r="O48" s="85" t="n">
        <f aca="false">+O57/O35</f>
        <v>1.00079365079365</v>
      </c>
      <c r="P48" s="85" t="n">
        <f aca="false">+P57/P35</f>
        <v>1.00076511094109</v>
      </c>
      <c r="Q48" s="85" t="n">
        <f aca="false">+Q57/Q35</f>
        <v>1.00236779794791</v>
      </c>
      <c r="R48" s="85" t="n">
        <f aca="false">+R57/R35</f>
        <v>1.00224887556222</v>
      </c>
      <c r="S48" s="85" t="n">
        <f aca="false">+S57/S35</f>
        <v>1.00763844684914</v>
      </c>
      <c r="T48" s="85"/>
      <c r="U48" s="85"/>
      <c r="V48" s="85"/>
      <c r="W48" s="85"/>
      <c r="X48" s="85"/>
      <c r="Y48" s="85"/>
      <c r="Z48" s="85"/>
      <c r="AA48" s="85"/>
      <c r="AB48" s="85" t="n">
        <f aca="false">+AB57/AB35</f>
        <v>0.999280782508631</v>
      </c>
      <c r="AC48" s="85" t="n">
        <f aca="false">+AC57/AC35</f>
        <v>1.00057230064861</v>
      </c>
      <c r="AD48" s="85" t="n">
        <f aca="false">+AD57/AD35</f>
        <v>1.00116845180136</v>
      </c>
      <c r="AE48" s="85" t="n">
        <f aca="false">+AE57/AE35</f>
        <v>1.00117808757118</v>
      </c>
      <c r="AF48" s="85"/>
      <c r="AG48" s="85"/>
      <c r="AH48" s="85"/>
      <c r="AI48" s="85"/>
      <c r="AJ48" s="85"/>
      <c r="AK48" s="85"/>
      <c r="AL48" s="85"/>
      <c r="AM48" s="85"/>
      <c r="AN48" s="85"/>
      <c r="AO48" s="85"/>
      <c r="AP48" s="85"/>
      <c r="AQ48" s="85"/>
      <c r="AR48" s="85"/>
      <c r="AS48" s="85"/>
      <c r="AT48" s="85"/>
      <c r="AU48" s="85"/>
      <c r="AV48" s="85"/>
      <c r="AW48" s="85"/>
      <c r="AX48" s="85"/>
      <c r="AY48" s="85"/>
      <c r="AZ48" s="85"/>
      <c r="BA48" s="85"/>
      <c r="BB48" s="85"/>
      <c r="BC48" s="85"/>
      <c r="BD48" s="85"/>
      <c r="BE48" s="85"/>
      <c r="BF48" s="85"/>
      <c r="BG48" s="85"/>
      <c r="BH48" s="85"/>
      <c r="BI48" s="85"/>
      <c r="BJ48" s="85"/>
      <c r="BK48" s="85"/>
      <c r="BL48" s="85"/>
      <c r="BM48" s="85"/>
      <c r="BN48" s="85"/>
      <c r="BO48" s="85"/>
      <c r="BP48" s="85"/>
      <c r="BQ48" s="85"/>
      <c r="BR48" s="85"/>
      <c r="BS48" s="85"/>
      <c r="BT48" s="85"/>
      <c r="BU48" s="85"/>
      <c r="BV48" s="85"/>
      <c r="BW48" s="85"/>
      <c r="BX48" s="85"/>
      <c r="BY48" s="85"/>
      <c r="BZ48" s="85"/>
      <c r="CA48" s="85"/>
      <c r="CB48" s="85"/>
      <c r="CC48" s="85"/>
      <c r="CD48" s="85"/>
      <c r="CE48" s="85"/>
      <c r="CF48" s="85"/>
      <c r="CG48" s="85"/>
      <c r="CH48" s="85"/>
      <c r="CI48" s="85"/>
      <c r="CJ48" s="85"/>
      <c r="CK48" s="85"/>
      <c r="CL48" s="85"/>
      <c r="CM48" s="85"/>
      <c r="CN48" s="85"/>
      <c r="CO48" s="85"/>
      <c r="CP48" s="85"/>
      <c r="CQ48" s="85"/>
      <c r="CR48" s="85"/>
      <c r="CS48" s="85"/>
      <c r="CT48" s="85"/>
      <c r="CU48" s="85"/>
      <c r="CV48" s="85"/>
      <c r="CW48" s="85"/>
      <c r="CX48" s="85"/>
      <c r="CY48" s="85"/>
      <c r="CZ48" s="85"/>
      <c r="DA48" s="85"/>
      <c r="DB48" s="85"/>
      <c r="DC48" s="85"/>
      <c r="DD48" s="85"/>
      <c r="DE48" s="85"/>
      <c r="DF48" s="85"/>
      <c r="DG48" s="85"/>
      <c r="DH48" s="85"/>
      <c r="DI48" s="85"/>
      <c r="DJ48" s="85"/>
      <c r="DK48" s="85"/>
      <c r="DL48" s="85"/>
      <c r="DM48" s="85"/>
      <c r="DN48" s="85"/>
      <c r="DO48" s="85"/>
      <c r="DP48" s="85"/>
      <c r="DQ48" s="85"/>
      <c r="DR48" s="85"/>
      <c r="DS48" s="85"/>
      <c r="DT48" s="85"/>
      <c r="DU48" s="85"/>
      <c r="DV48" s="85"/>
      <c r="DW48" s="85"/>
      <c r="DX48" s="85"/>
      <c r="DY48" s="85"/>
      <c r="DZ48" s="85"/>
      <c r="EA48" s="85"/>
      <c r="EB48" s="85"/>
      <c r="EC48" s="85"/>
      <c r="ED48" s="85"/>
      <c r="EE48" s="85"/>
      <c r="EF48" s="85"/>
      <c r="EG48" s="85"/>
      <c r="EH48" s="85"/>
      <c r="EI48" s="85"/>
      <c r="EJ48" s="85"/>
      <c r="EK48" s="85"/>
      <c r="EL48" s="85"/>
      <c r="EM48" s="85"/>
      <c r="EN48" s="85"/>
      <c r="EO48" s="85"/>
      <c r="EP48" s="85"/>
      <c r="EQ48" s="85"/>
      <c r="ER48" s="85"/>
      <c r="ES48" s="85"/>
      <c r="ET48" s="85"/>
      <c r="EU48" s="85"/>
      <c r="EV48" s="85"/>
    </row>
    <row r="49" customFormat="false" ht="12.8" hidden="false" customHeight="false" outlineLevel="0" collapsed="false">
      <c r="A49" s="32"/>
      <c r="B49" s="32"/>
      <c r="C49" s="32"/>
      <c r="D49" s="32"/>
      <c r="E49" s="32"/>
      <c r="F49" s="86" t="n">
        <f aca="false">+(F48-B48)*100</f>
        <v>-0.126232222654232</v>
      </c>
      <c r="G49" s="86" t="n">
        <f aca="false">+(G48-C48)*100</f>
        <v>0.404689045894269</v>
      </c>
      <c r="H49" s="86" t="n">
        <f aca="false">+(H48-D48)*100</f>
        <v>0.155763239875384</v>
      </c>
      <c r="I49" s="86" t="n">
        <f aca="false">+(I48-E48)*100</f>
        <v>0.0781860828772407</v>
      </c>
      <c r="J49" s="86" t="n">
        <f aca="false">+(J48-F48)*100</f>
        <v>0.227383827687155</v>
      </c>
      <c r="K49" s="86" t="n">
        <f aca="false">+(K48-G48)*100</f>
        <v>0.000369090855412146</v>
      </c>
      <c r="L49" s="86" t="n">
        <f aca="false">+(L48-H48)*100</f>
        <v>-0.079310640487007</v>
      </c>
      <c r="M49" s="86" t="n">
        <f aca="false">+(M48-I48)*100</f>
        <v>0.0789231080104313</v>
      </c>
      <c r="N49" s="86" t="n">
        <f aca="false">+(N48-J48)*100</f>
        <v>-0.0765781226959916</v>
      </c>
      <c r="O49" s="86" t="n">
        <f aca="false">+(O48-K48)*100</f>
        <v>0.000748727163824015</v>
      </c>
      <c r="P49" s="86" t="n">
        <f aca="false">+(P48-L48)*100</f>
        <v>5.84947202675323E-005</v>
      </c>
      <c r="Q49" s="86" t="n">
        <f aca="false">+(Q48-M48)*100</f>
        <v>0.0796706039031703</v>
      </c>
      <c r="R49" s="86" t="n">
        <f aca="false">+(R48-N48)*100</f>
        <v>0.145459438668283</v>
      </c>
      <c r="S49" s="86" t="n">
        <f aca="false">+(S48-O48)*100</f>
        <v>0.684479605548982</v>
      </c>
      <c r="T49" s="32"/>
      <c r="U49" s="32"/>
      <c r="V49" s="32"/>
      <c r="W49" s="32"/>
      <c r="X49" s="32"/>
      <c r="Y49" s="32"/>
      <c r="Z49" s="32"/>
      <c r="AA49" s="32"/>
      <c r="AB49" s="32"/>
      <c r="AC49" s="86" t="n">
        <f aca="false">+(AC48-AB48)*100</f>
        <v>0.129151813997674</v>
      </c>
      <c r="AD49" s="86" t="n">
        <f aca="false">+(AD48-AC48)*100</f>
        <v>0.0596151152755908</v>
      </c>
      <c r="AE49" s="86" t="n">
        <f aca="false">+(AE48-AD48)*100</f>
        <v>0.000963576981294345</v>
      </c>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c r="BT49" s="32"/>
      <c r="BU49" s="32"/>
      <c r="BV49" s="32"/>
      <c r="BW49" s="32"/>
      <c r="BX49" s="32"/>
      <c r="BY49" s="32"/>
      <c r="BZ49" s="32"/>
      <c r="CA49" s="32"/>
      <c r="CB49" s="32"/>
      <c r="CC49" s="32"/>
      <c r="CD49" s="32"/>
      <c r="CE49" s="32"/>
      <c r="CF49" s="32"/>
      <c r="CG49" s="32"/>
      <c r="CH49" s="32"/>
      <c r="CI49" s="32"/>
      <c r="CJ49" s="32"/>
      <c r="CK49" s="32"/>
      <c r="CL49" s="32"/>
      <c r="CM49" s="32"/>
      <c r="CN49" s="32"/>
      <c r="CO49" s="32"/>
      <c r="CP49" s="32"/>
      <c r="CQ49" s="32"/>
      <c r="CR49" s="32"/>
      <c r="CS49" s="32"/>
      <c r="CT49" s="32"/>
      <c r="CU49" s="32"/>
      <c r="CV49" s="32"/>
      <c r="CW49" s="32"/>
      <c r="CX49" s="32"/>
      <c r="CY49" s="32"/>
      <c r="CZ49" s="32"/>
      <c r="DA49" s="32"/>
      <c r="DB49" s="32"/>
      <c r="DC49" s="32"/>
      <c r="DD49" s="32"/>
      <c r="DE49" s="32"/>
      <c r="DF49" s="32"/>
      <c r="DG49" s="32"/>
      <c r="DH49" s="32"/>
      <c r="DI49" s="32"/>
      <c r="DJ49" s="32"/>
      <c r="DK49" s="32"/>
      <c r="DL49" s="32"/>
      <c r="DM49" s="32"/>
      <c r="DN49" s="32"/>
      <c r="DO49" s="32"/>
      <c r="DP49" s="32"/>
      <c r="DQ49" s="32"/>
      <c r="DR49" s="32"/>
      <c r="DS49" s="32"/>
      <c r="DT49" s="32"/>
      <c r="DU49" s="32"/>
      <c r="DV49" s="32"/>
      <c r="DW49" s="32"/>
      <c r="DX49" s="32"/>
      <c r="DY49" s="32"/>
      <c r="DZ49" s="32"/>
      <c r="EA49" s="32"/>
      <c r="EB49" s="32"/>
      <c r="EC49" s="32"/>
      <c r="ED49" s="32"/>
      <c r="EE49" s="32"/>
      <c r="EF49" s="32"/>
      <c r="EG49" s="32"/>
      <c r="EH49" s="32"/>
      <c r="EI49" s="32"/>
      <c r="EJ49" s="32"/>
      <c r="EK49" s="32"/>
      <c r="EL49" s="32"/>
      <c r="EM49" s="32"/>
      <c r="EN49" s="32"/>
      <c r="EO49" s="32"/>
      <c r="EP49" s="32"/>
      <c r="EQ49" s="32"/>
      <c r="ER49" s="32"/>
      <c r="ES49" s="32"/>
      <c r="ET49" s="32"/>
      <c r="EU49" s="32"/>
      <c r="EV49" s="32"/>
    </row>
    <row r="50" s="1" customFormat="true" ht="12.8" hidden="false" customHeight="false" outlineLevel="0" collapsed="false">
      <c r="A50" s="3"/>
      <c r="B50" s="3"/>
      <c r="C50" s="3"/>
      <c r="D50" s="3"/>
      <c r="E50" s="3"/>
      <c r="F50" s="3"/>
      <c r="G50" s="3"/>
      <c r="H50" s="3"/>
      <c r="I50" s="3"/>
      <c r="J50" s="3"/>
      <c r="K50" s="3"/>
      <c r="L50" s="3"/>
      <c r="M50" s="3"/>
      <c r="N50" s="3"/>
      <c r="O50" s="3"/>
      <c r="P50" s="3"/>
      <c r="Q50" s="3"/>
      <c r="Y50" s="3"/>
      <c r="Z50" s="3"/>
      <c r="AA50" s="3"/>
      <c r="AB50" s="3"/>
      <c r="AC50" s="3"/>
      <c r="AD50" s="84"/>
      <c r="AE50" s="84"/>
      <c r="AF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row>
    <row r="51" s="1" customFormat="true" ht="12.8" hidden="false" customHeight="false" outlineLevel="0" collapsed="false">
      <c r="A51" s="3"/>
      <c r="B51" s="3"/>
      <c r="C51" s="3"/>
      <c r="D51" s="3"/>
      <c r="E51" s="3"/>
      <c r="F51" s="3"/>
      <c r="G51" s="3"/>
      <c r="H51" s="3"/>
      <c r="I51" s="3"/>
      <c r="J51" s="3"/>
      <c r="K51" s="3"/>
      <c r="L51" s="3"/>
      <c r="M51" s="3"/>
      <c r="N51" s="3"/>
      <c r="O51" s="3"/>
      <c r="P51" s="3"/>
      <c r="Q51" s="3"/>
      <c r="Y51" s="3"/>
      <c r="Z51" s="3"/>
      <c r="AA51" s="3"/>
      <c r="AB51" s="3"/>
      <c r="AC51" s="3"/>
      <c r="AD51" s="84"/>
      <c r="AE51" s="84"/>
      <c r="AF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row>
    <row r="52" s="1" customFormat="true" ht="12.8" hidden="false" customHeight="false" outlineLevel="0" collapsed="false">
      <c r="A52" s="3"/>
      <c r="B52" s="3"/>
      <c r="C52" s="3"/>
      <c r="D52" s="3"/>
      <c r="E52" s="3"/>
      <c r="F52" s="3"/>
      <c r="G52" s="3"/>
      <c r="H52" s="3"/>
      <c r="I52" s="3"/>
      <c r="J52" s="3"/>
      <c r="K52" s="3"/>
      <c r="L52" s="3"/>
      <c r="M52" s="3"/>
      <c r="N52" s="3"/>
      <c r="O52" s="3"/>
      <c r="P52" s="3"/>
      <c r="Q52" s="3"/>
      <c r="Y52" s="3"/>
      <c r="Z52" s="3"/>
      <c r="AA52" s="3"/>
      <c r="AB52" s="3"/>
      <c r="AC52" s="3"/>
      <c r="AD52" s="84"/>
      <c r="AE52" s="84"/>
      <c r="AF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row>
    <row r="53" s="1" customFormat="true" ht="12.8" hidden="false" customHeight="false" outlineLevel="0" collapsed="false">
      <c r="A53" s="7" t="s">
        <v>109</v>
      </c>
      <c r="B53" s="7" t="n">
        <v>2518</v>
      </c>
      <c r="C53" s="7" t="n">
        <v>3553</v>
      </c>
      <c r="D53" s="7" t="n">
        <v>3822</v>
      </c>
      <c r="E53" s="7" t="n">
        <v>4136</v>
      </c>
      <c r="F53" s="7" t="n">
        <v>4330</v>
      </c>
      <c r="G53" s="7" t="n">
        <v>4894</v>
      </c>
      <c r="H53" s="7" t="n">
        <v>5071</v>
      </c>
      <c r="I53" s="7" t="n">
        <v>5537</v>
      </c>
      <c r="J53" s="7" t="n">
        <v>5633</v>
      </c>
      <c r="K53" s="7" t="n">
        <v>6134</v>
      </c>
      <c r="L53" s="7" t="n">
        <v>6409</v>
      </c>
      <c r="M53" s="7" t="n">
        <v>6911</v>
      </c>
      <c r="N53" s="7" t="n">
        <v>6496</v>
      </c>
      <c r="O53" s="7" t="n">
        <v>7288</v>
      </c>
      <c r="P53" s="7" t="n">
        <v>7682</v>
      </c>
      <c r="Q53" s="7" t="n">
        <v>8204</v>
      </c>
      <c r="R53" s="7" t="n">
        <v>6798</v>
      </c>
      <c r="S53" s="7" t="n">
        <v>7363</v>
      </c>
      <c r="T53" s="7"/>
      <c r="U53" s="7"/>
      <c r="V53" s="7"/>
      <c r="W53" s="7"/>
      <c r="X53" s="7"/>
      <c r="Y53" s="7" t="n">
        <v>10745</v>
      </c>
      <c r="Z53" s="7" t="n">
        <v>6089</v>
      </c>
      <c r="AA53" s="7" t="n">
        <v>6953</v>
      </c>
      <c r="AB53" s="7" t="n">
        <v>14029</v>
      </c>
      <c r="AC53" s="7" t="n">
        <v>19832</v>
      </c>
      <c r="AD53" s="7" t="n">
        <v>25087</v>
      </c>
      <c r="AE53" s="7" t="n">
        <f aca="false">SUM(N53:Q53)</f>
        <v>29670</v>
      </c>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row>
    <row r="54" s="1" customFormat="true" ht="10.5" hidden="false" customHeight="true" outlineLevel="0" collapsed="false">
      <c r="A54" s="53" t="s">
        <v>264</v>
      </c>
      <c r="B54" s="29"/>
      <c r="C54" s="29"/>
      <c r="D54" s="29"/>
      <c r="E54" s="29"/>
      <c r="F54" s="29" t="n">
        <f aca="false">+F53/B53-1</f>
        <v>0.719618745035743</v>
      </c>
      <c r="G54" s="29" t="n">
        <f aca="false">+G53/C53-1</f>
        <v>0.377427526034337</v>
      </c>
      <c r="H54" s="29" t="n">
        <f aca="false">+H53/D53-1</f>
        <v>0.326792255363684</v>
      </c>
      <c r="I54" s="29" t="n">
        <f aca="false">+I53/E53-1</f>
        <v>0.338733075435203</v>
      </c>
      <c r="J54" s="29" t="n">
        <f aca="false">+J53/F53-1</f>
        <v>0.300923787528868</v>
      </c>
      <c r="K54" s="29" t="n">
        <f aca="false">+K53/G53-1</f>
        <v>0.253371475275848</v>
      </c>
      <c r="L54" s="29" t="n">
        <f aca="false">+L53/H53-1</f>
        <v>0.26385328337606</v>
      </c>
      <c r="M54" s="29" t="n">
        <f aca="false">+M53/I53-1</f>
        <v>0.248148817048943</v>
      </c>
      <c r="N54" s="29" t="n">
        <f aca="false">+N53/J53-1</f>
        <v>0.153204331617256</v>
      </c>
      <c r="O54" s="29" t="n">
        <f aca="false">+O53/K53-1</f>
        <v>0.18813172481252</v>
      </c>
      <c r="P54" s="29" t="n">
        <f aca="false">+P53/L53-1</f>
        <v>0.198626930878452</v>
      </c>
      <c r="Q54" s="29" t="n">
        <f aca="false">+Q53/M53-1</f>
        <v>0.18709304008103</v>
      </c>
      <c r="R54" s="29" t="n">
        <f aca="false">+R53/N53-1</f>
        <v>0.0464901477832513</v>
      </c>
      <c r="S54" s="29" t="n">
        <f aca="false">+S53/O53-1</f>
        <v>0.0102908891328211</v>
      </c>
      <c r="T54" s="29"/>
      <c r="U54" s="29"/>
      <c r="V54" s="29"/>
      <c r="W54" s="29"/>
      <c r="X54" s="29"/>
      <c r="Y54" s="29"/>
      <c r="Z54" s="29" t="n">
        <f aca="false">+Z53/Y53-1</f>
        <v>-0.433317822242904</v>
      </c>
      <c r="AA54" s="29" t="n">
        <f aca="false">+AA53/Z53-1</f>
        <v>0.14189522089013</v>
      </c>
      <c r="AB54" s="29" t="n">
        <f aca="false">+AB53/AA53-1</f>
        <v>1.01769020566662</v>
      </c>
      <c r="AC54" s="29" t="n">
        <f aca="false">+AC53/AB53-1</f>
        <v>0.413643167724</v>
      </c>
      <c r="AD54" s="29" t="n">
        <f aca="false">+AD53/AC53-1</f>
        <v>0.264975796692215</v>
      </c>
      <c r="AE54" s="29" t="n">
        <f aca="false">+AE53/AD53-1</f>
        <v>0.182684258779448</v>
      </c>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row>
    <row r="55" s="32" customFormat="true" ht="12.8" hidden="false" customHeight="false" outlineLevel="0" collapsed="false">
      <c r="A55" s="7" t="s">
        <v>111</v>
      </c>
      <c r="B55" s="7" t="n">
        <v>2512</v>
      </c>
      <c r="C55" s="7" t="n">
        <v>2688</v>
      </c>
      <c r="D55" s="7" t="n">
        <v>2770</v>
      </c>
      <c r="E55" s="7" t="n">
        <v>2931</v>
      </c>
      <c r="F55" s="7" t="n">
        <v>3093</v>
      </c>
      <c r="G55" s="7" t="n">
        <v>3057</v>
      </c>
      <c r="H55" s="7" t="n">
        <v>2935</v>
      </c>
      <c r="I55" s="7" t="n">
        <v>3119</v>
      </c>
      <c r="J55" s="7" t="n">
        <v>3214</v>
      </c>
      <c r="K55" s="7" t="n">
        <v>3293</v>
      </c>
      <c r="L55" s="7" t="n">
        <v>3470</v>
      </c>
      <c r="M55" s="7" t="n">
        <v>3773</v>
      </c>
      <c r="N55" s="7" t="n">
        <v>3777</v>
      </c>
      <c r="O55" s="7" t="n">
        <v>4102</v>
      </c>
      <c r="P55" s="7" t="n">
        <v>4477</v>
      </c>
      <c r="Q55" s="7" t="n">
        <v>4892</v>
      </c>
      <c r="R55" s="7" t="n">
        <v>5068</v>
      </c>
      <c r="S55" s="7" t="n">
        <v>5245</v>
      </c>
      <c r="T55" s="7"/>
      <c r="U55" s="7"/>
      <c r="V55" s="7"/>
      <c r="W55" s="7"/>
      <c r="X55" s="7"/>
      <c r="Y55" s="7" t="n">
        <v>2510</v>
      </c>
      <c r="Z55" s="7" t="n">
        <v>3904</v>
      </c>
      <c r="AA55" s="7" t="n">
        <v>8362</v>
      </c>
      <c r="AB55" s="7" t="n">
        <v>10901</v>
      </c>
      <c r="AC55" s="7" t="n">
        <v>12204</v>
      </c>
      <c r="AD55" s="7" t="n">
        <v>13750</v>
      </c>
      <c r="AE55" s="7" t="n">
        <f aca="false">SUM(N55:Q55)</f>
        <v>17248</v>
      </c>
      <c r="AF55" s="7"/>
      <c r="AG55" s="7"/>
      <c r="AH55" s="7"/>
      <c r="AI55" s="7"/>
      <c r="AJ55" s="47"/>
      <c r="AK55" s="47"/>
      <c r="AL55" s="47"/>
      <c r="AM55" s="47"/>
      <c r="AN55" s="47"/>
      <c r="AO55" s="47"/>
      <c r="AP55" s="47"/>
      <c r="AQ55" s="47"/>
      <c r="AR55" s="47"/>
      <c r="AS55" s="47"/>
      <c r="AT55" s="47"/>
      <c r="AU55" s="47"/>
      <c r="AV55" s="47"/>
      <c r="AW55" s="47"/>
      <c r="AX55" s="47"/>
      <c r="AY55" s="47"/>
      <c r="AZ55" s="47"/>
      <c r="BA55" s="47"/>
      <c r="BB55" s="47"/>
      <c r="BC55" s="47"/>
      <c r="BD55" s="47"/>
      <c r="BE55" s="47"/>
      <c r="BF55" s="47"/>
      <c r="BG55" s="47"/>
      <c r="BH55" s="47"/>
      <c r="BI55" s="47"/>
      <c r="BJ55" s="47"/>
      <c r="BK55" s="47"/>
      <c r="BL55" s="47"/>
      <c r="BM55" s="47"/>
      <c r="BN55" s="47"/>
      <c r="BO55" s="47"/>
      <c r="BP55" s="47"/>
      <c r="BQ55" s="47"/>
      <c r="BR55" s="47"/>
      <c r="BS55" s="47"/>
      <c r="BT55" s="47"/>
      <c r="BU55" s="47"/>
      <c r="BV55" s="47"/>
      <c r="BW55" s="47"/>
      <c r="BX55" s="47"/>
      <c r="BY55" s="47"/>
      <c r="BZ55" s="47"/>
      <c r="CA55" s="47"/>
      <c r="CB55" s="47"/>
      <c r="CC55" s="47"/>
      <c r="CD55" s="47"/>
      <c r="CE55" s="47"/>
      <c r="CF55" s="47"/>
      <c r="CG55" s="47"/>
      <c r="CH55" s="47"/>
      <c r="CI55" s="47"/>
      <c r="CJ55" s="47"/>
      <c r="CK55" s="47"/>
      <c r="CL55" s="47"/>
      <c r="CM55" s="47"/>
      <c r="CN55" s="47"/>
      <c r="CO55" s="47"/>
      <c r="CP55" s="47"/>
      <c r="CQ55" s="47"/>
      <c r="CR55" s="47"/>
      <c r="CS55" s="47"/>
      <c r="CT55" s="47"/>
      <c r="CU55" s="47"/>
      <c r="CV55" s="47"/>
      <c r="CW55" s="47"/>
      <c r="CX55" s="47"/>
      <c r="CY55" s="47"/>
      <c r="CZ55" s="47"/>
      <c r="DA55" s="47"/>
      <c r="DB55" s="47"/>
      <c r="DC55" s="47"/>
      <c r="DD55" s="47"/>
      <c r="DE55" s="47"/>
      <c r="DF55" s="47"/>
      <c r="DG55" s="47"/>
      <c r="DH55" s="47"/>
      <c r="DI55" s="47"/>
      <c r="DJ55" s="47"/>
      <c r="DK55" s="47"/>
      <c r="DL55" s="47"/>
      <c r="DM55" s="47"/>
      <c r="DN55" s="47"/>
      <c r="DO55" s="47"/>
      <c r="DP55" s="47"/>
      <c r="DQ55" s="47"/>
      <c r="DR55" s="47"/>
      <c r="DS55" s="47"/>
      <c r="DT55" s="47"/>
      <c r="DU55" s="47"/>
      <c r="DV55" s="47"/>
      <c r="DW55" s="47"/>
      <c r="DX55" s="47"/>
      <c r="DY55" s="47"/>
      <c r="DZ55" s="47"/>
      <c r="EA55" s="47"/>
      <c r="EB55" s="47"/>
      <c r="EC55" s="47"/>
      <c r="ED55" s="47"/>
      <c r="EE55" s="47"/>
      <c r="EF55" s="47"/>
      <c r="EG55" s="47"/>
      <c r="EH55" s="47"/>
      <c r="EI55" s="47"/>
      <c r="EJ55" s="47"/>
      <c r="EK55" s="47"/>
      <c r="EL55" s="47"/>
      <c r="EM55" s="47"/>
      <c r="EN55" s="47"/>
      <c r="EO55" s="47"/>
      <c r="EP55" s="47"/>
      <c r="EQ55" s="1"/>
      <c r="ER55" s="1"/>
      <c r="ES55" s="1"/>
      <c r="ET55" s="1"/>
      <c r="EU55" s="1"/>
      <c r="EV55" s="1"/>
    </row>
    <row r="56" s="1" customFormat="true" ht="10.5" hidden="false" customHeight="true" outlineLevel="0" collapsed="false">
      <c r="A56" s="53" t="s">
        <v>264</v>
      </c>
      <c r="B56" s="29"/>
      <c r="C56" s="29"/>
      <c r="D56" s="29"/>
      <c r="E56" s="29"/>
      <c r="F56" s="29" t="n">
        <f aca="false">+F55/B55-1</f>
        <v>0.231289808917198</v>
      </c>
      <c r="G56" s="29" t="n">
        <f aca="false">+G55/C55-1</f>
        <v>0.137276785714286</v>
      </c>
      <c r="H56" s="29" t="n">
        <f aca="false">+H55/D55-1</f>
        <v>0.0595667870036101</v>
      </c>
      <c r="I56" s="29" t="n">
        <f aca="false">+I55/E55-1</f>
        <v>0.0641419310815421</v>
      </c>
      <c r="J56" s="29" t="n">
        <f aca="false">+J55/F55-1</f>
        <v>0.0391205948916908</v>
      </c>
      <c r="K56" s="29" t="n">
        <f aca="false">+K55/G55-1</f>
        <v>0.0771998691527642</v>
      </c>
      <c r="L56" s="29" t="n">
        <f aca="false">+L55/H55-1</f>
        <v>0.182282793867121</v>
      </c>
      <c r="M56" s="29" t="n">
        <f aca="false">+M55/I55-1</f>
        <v>0.209682590573902</v>
      </c>
      <c r="N56" s="29" t="n">
        <f aca="false">+N55/J55-1</f>
        <v>0.17517112632234</v>
      </c>
      <c r="O56" s="29" t="n">
        <f aca="false">+O55/K55-1</f>
        <v>0.245672638931066</v>
      </c>
      <c r="P56" s="29" t="n">
        <f aca="false">+P55/L55-1</f>
        <v>0.290201729106628</v>
      </c>
      <c r="Q56" s="29" t="n">
        <f aca="false">+Q55/M55-1</f>
        <v>0.296580970050358</v>
      </c>
      <c r="R56" s="29" t="n">
        <f aca="false">+R55/N55-1</f>
        <v>0.341805665872386</v>
      </c>
      <c r="S56" s="29" t="n">
        <f aca="false">+S55/O55-1</f>
        <v>0.278644563627499</v>
      </c>
      <c r="T56" s="29"/>
      <c r="U56" s="29"/>
      <c r="V56" s="29"/>
      <c r="W56" s="29"/>
      <c r="X56" s="29"/>
      <c r="Y56" s="29"/>
      <c r="Z56" s="29" t="n">
        <f aca="false">+Z55/Y55-1</f>
        <v>0.555378486055777</v>
      </c>
      <c r="AA56" s="29" t="n">
        <f aca="false">+AA55/Z55-1</f>
        <v>1.14190573770492</v>
      </c>
      <c r="AB56" s="29" t="n">
        <f aca="false">+AB55/AA55-1</f>
        <v>0.303635493900981</v>
      </c>
      <c r="AC56" s="29" t="n">
        <f aca="false">+AC55/AB55-1</f>
        <v>0.11953031831942</v>
      </c>
      <c r="AD56" s="29" t="n">
        <f aca="false">+AD55/AC55-1</f>
        <v>0.126679777122255</v>
      </c>
      <c r="AE56" s="29" t="n">
        <f aca="false">+AE55/AD55-1</f>
        <v>0.2544</v>
      </c>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row>
    <row r="57" s="1" customFormat="true" ht="12.8" hidden="false" customHeight="false" outlineLevel="0" collapsed="false">
      <c r="A57" s="7" t="s">
        <v>113</v>
      </c>
      <c r="B57" s="7" t="n">
        <v>1824</v>
      </c>
      <c r="C57" s="7" t="n">
        <v>1832</v>
      </c>
      <c r="D57" s="7" t="n">
        <v>1751</v>
      </c>
      <c r="E57" s="7" t="n">
        <v>1540</v>
      </c>
      <c r="F57" s="7" t="n">
        <v>1400</v>
      </c>
      <c r="G57" s="7" t="n">
        <v>1279</v>
      </c>
      <c r="H57" s="7" t="n">
        <v>1286</v>
      </c>
      <c r="I57" s="7" t="n">
        <v>1280</v>
      </c>
      <c r="J57" s="7" t="n">
        <v>1284</v>
      </c>
      <c r="K57" s="7" t="n">
        <v>1273</v>
      </c>
      <c r="L57" s="7" t="n">
        <v>1309</v>
      </c>
      <c r="M57" s="7" t="n">
        <v>1275</v>
      </c>
      <c r="N57" s="7" t="n">
        <v>1260</v>
      </c>
      <c r="O57" s="7" t="n">
        <v>1261</v>
      </c>
      <c r="P57" s="7" t="n">
        <v>1308</v>
      </c>
      <c r="Q57" s="7" t="n">
        <v>1270</v>
      </c>
      <c r="R57" s="7" t="n">
        <v>1337</v>
      </c>
      <c r="S57" s="7" t="n">
        <v>1583</v>
      </c>
      <c r="T57" s="7"/>
      <c r="U57" s="7"/>
      <c r="V57" s="7"/>
      <c r="W57" s="7"/>
      <c r="X57" s="7"/>
      <c r="Y57" s="7" t="n">
        <v>731</v>
      </c>
      <c r="Z57" s="7" t="n">
        <v>1011</v>
      </c>
      <c r="AA57" s="7" t="n">
        <v>2132</v>
      </c>
      <c r="AB57" s="7" t="n">
        <v>6947</v>
      </c>
      <c r="AC57" s="7" t="n">
        <v>5245</v>
      </c>
      <c r="AD57" s="7" t="n">
        <v>5141</v>
      </c>
      <c r="AE57" s="7" t="n">
        <f aca="false">SUM(N57:Q57)</f>
        <v>5099</v>
      </c>
      <c r="AF57" s="7"/>
      <c r="AG57" s="7"/>
      <c r="AH57" s="7"/>
      <c r="AI57" s="7"/>
      <c r="AJ57" s="47"/>
      <c r="AK57" s="47"/>
      <c r="AL57" s="47"/>
      <c r="AM57" s="47"/>
      <c r="AN57" s="47"/>
      <c r="AO57" s="47"/>
      <c r="AP57" s="47"/>
      <c r="AQ57" s="47"/>
      <c r="AR57" s="47"/>
      <c r="AS57" s="47"/>
      <c r="AT57" s="47"/>
      <c r="AU57" s="47"/>
      <c r="AV57" s="47"/>
      <c r="AW57" s="47"/>
      <c r="AX57" s="47"/>
      <c r="AY57" s="47"/>
      <c r="AZ57" s="47"/>
      <c r="BA57" s="47"/>
      <c r="BB57" s="47"/>
      <c r="BC57" s="47"/>
      <c r="BD57" s="47"/>
      <c r="BE57" s="47"/>
      <c r="BF57" s="47"/>
      <c r="BG57" s="47"/>
      <c r="BH57" s="47"/>
      <c r="BI57" s="47"/>
      <c r="BJ57" s="47"/>
      <c r="BK57" s="47"/>
      <c r="BL57" s="47"/>
      <c r="BM57" s="47"/>
      <c r="BN57" s="47"/>
      <c r="BO57" s="47"/>
      <c r="BP57" s="47"/>
      <c r="BQ57" s="47"/>
      <c r="BR57" s="47"/>
      <c r="BS57" s="47"/>
      <c r="BT57" s="47"/>
      <c r="BU57" s="47"/>
      <c r="BV57" s="47"/>
      <c r="BW57" s="47"/>
      <c r="BX57" s="47"/>
      <c r="BY57" s="47"/>
      <c r="BZ57" s="47"/>
      <c r="CA57" s="47"/>
      <c r="CB57" s="47"/>
      <c r="CC57" s="47"/>
      <c r="CD57" s="47"/>
      <c r="CE57" s="47"/>
      <c r="CF57" s="47"/>
      <c r="CG57" s="47"/>
      <c r="CH57" s="47"/>
      <c r="CI57" s="47"/>
      <c r="CJ57" s="47"/>
      <c r="CK57" s="47"/>
      <c r="CL57" s="47"/>
      <c r="CM57" s="47"/>
      <c r="CN57" s="47"/>
      <c r="CO57" s="47"/>
      <c r="CP57" s="47"/>
      <c r="CQ57" s="47"/>
      <c r="CR57" s="47"/>
      <c r="CS57" s="47"/>
      <c r="CT57" s="47"/>
      <c r="CU57" s="47"/>
      <c r="CV57" s="47"/>
      <c r="CW57" s="47"/>
      <c r="CX57" s="47"/>
      <c r="CY57" s="47"/>
      <c r="CZ57" s="47"/>
      <c r="DA57" s="47"/>
      <c r="DB57" s="47"/>
      <c r="DC57" s="47"/>
      <c r="DD57" s="47"/>
      <c r="DE57" s="47"/>
      <c r="DF57" s="47"/>
      <c r="DG57" s="47"/>
      <c r="DH57" s="47"/>
      <c r="DI57" s="47"/>
      <c r="DJ57" s="47"/>
      <c r="DK57" s="47"/>
      <c r="DL57" s="47"/>
      <c r="DM57" s="47"/>
      <c r="DN57" s="47"/>
      <c r="DO57" s="47"/>
      <c r="DP57" s="47"/>
      <c r="DQ57" s="47"/>
      <c r="DR57" s="47"/>
      <c r="DS57" s="47"/>
      <c r="DT57" s="47"/>
      <c r="DU57" s="47"/>
      <c r="DV57" s="47"/>
      <c r="DW57" s="47"/>
      <c r="DX57" s="47"/>
      <c r="DY57" s="47"/>
      <c r="DZ57" s="47"/>
      <c r="EA57" s="47"/>
      <c r="EB57" s="47"/>
      <c r="EC57" s="47"/>
      <c r="ED57" s="47"/>
      <c r="EE57" s="47"/>
      <c r="EF57" s="47"/>
      <c r="EG57" s="47"/>
      <c r="EH57" s="47"/>
      <c r="EI57" s="47"/>
      <c r="EJ57" s="47"/>
      <c r="EK57" s="47"/>
      <c r="EL57" s="47"/>
      <c r="EM57" s="47"/>
      <c r="EN57" s="47"/>
      <c r="EO57" s="47"/>
      <c r="EP57" s="47"/>
    </row>
    <row r="58" s="1" customFormat="true" ht="10.5" hidden="false" customHeight="true" outlineLevel="0" collapsed="false">
      <c r="A58" s="53" t="s">
        <v>264</v>
      </c>
      <c r="B58" s="29"/>
      <c r="C58" s="29"/>
      <c r="D58" s="29"/>
      <c r="E58" s="29"/>
      <c r="F58" s="29" t="n">
        <f aca="false">+F57/B57-1</f>
        <v>-0.232456140350877</v>
      </c>
      <c r="G58" s="29" t="n">
        <f aca="false">+G57/C57-1</f>
        <v>-0.301855895196507</v>
      </c>
      <c r="H58" s="29" t="n">
        <f aca="false">+H57/D57-1</f>
        <v>-0.265562535693889</v>
      </c>
      <c r="I58" s="29" t="n">
        <f aca="false">+I57/E57-1</f>
        <v>-0.168831168831169</v>
      </c>
      <c r="J58" s="29" t="n">
        <f aca="false">+J57/F57-1</f>
        <v>-0.0828571428571429</v>
      </c>
      <c r="K58" s="29" t="n">
        <f aca="false">+K57/G57-1</f>
        <v>-0.00469116497263489</v>
      </c>
      <c r="L58" s="29" t="n">
        <f aca="false">+L57/H57-1</f>
        <v>0.0178849144634525</v>
      </c>
      <c r="M58" s="29" t="n">
        <f aca="false">+M57/I57-1</f>
        <v>-0.00390625</v>
      </c>
      <c r="N58" s="29" t="n">
        <f aca="false">+N57/J57-1</f>
        <v>-0.0186915887850467</v>
      </c>
      <c r="O58" s="29" t="n">
        <f aca="false">+O57/K57-1</f>
        <v>-0.00942655145325999</v>
      </c>
      <c r="P58" s="29" t="n">
        <f aca="false">+P57/L57-1</f>
        <v>-0.000763941940412516</v>
      </c>
      <c r="Q58" s="29" t="n">
        <f aca="false">+Q57/M57-1</f>
        <v>-0.00392156862745097</v>
      </c>
      <c r="R58" s="29" t="n">
        <f aca="false">+R57/N57-1</f>
        <v>0.0611111111111111</v>
      </c>
      <c r="S58" s="29" t="n">
        <f aca="false">+S57/O57-1</f>
        <v>0.255352894528152</v>
      </c>
      <c r="T58" s="29"/>
      <c r="U58" s="29"/>
      <c r="V58" s="29"/>
      <c r="W58" s="29"/>
      <c r="X58" s="29"/>
      <c r="Y58" s="29"/>
      <c r="Z58" s="29" t="n">
        <f aca="false">+Z57/Y57-1</f>
        <v>0.383036935704514</v>
      </c>
      <c r="AA58" s="29" t="n">
        <f aca="false">+AA57/Z57-1</f>
        <v>1.10880316518299</v>
      </c>
      <c r="AB58" s="29" t="n">
        <f aca="false">+AB57/AA57-1</f>
        <v>2.25844277673546</v>
      </c>
      <c r="AC58" s="29" t="n">
        <f aca="false">+AC57/AB57-1</f>
        <v>-0.244997840794588</v>
      </c>
      <c r="AD58" s="29" t="n">
        <f aca="false">+AD57/AC57-1</f>
        <v>-0.0198284080076263</v>
      </c>
      <c r="AE58" s="29" t="n">
        <f aca="false">+AE57/AD57-1</f>
        <v>-0.00816961680606887</v>
      </c>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row>
    <row r="59" s="1" customFormat="true" ht="12.8" hidden="false" customHeight="false" outlineLevel="0" collapsed="false">
      <c r="A59" s="7" t="s">
        <v>284</v>
      </c>
      <c r="B59" s="7" t="n">
        <v>0</v>
      </c>
      <c r="C59" s="7" t="n">
        <v>0</v>
      </c>
      <c r="D59" s="7" t="n">
        <v>0</v>
      </c>
      <c r="E59" s="7" t="n">
        <v>0</v>
      </c>
      <c r="F59" s="7" t="n">
        <v>0</v>
      </c>
      <c r="G59" s="7" t="n">
        <v>0</v>
      </c>
      <c r="H59" s="7" t="n">
        <v>0</v>
      </c>
      <c r="I59" s="7" t="n">
        <v>0</v>
      </c>
      <c r="J59" s="7" t="n">
        <v>0</v>
      </c>
      <c r="K59" s="7" t="n">
        <v>0</v>
      </c>
      <c r="L59" s="7" t="n">
        <v>0</v>
      </c>
      <c r="M59" s="7" t="n">
        <v>0</v>
      </c>
      <c r="N59" s="7" t="n">
        <v>0</v>
      </c>
      <c r="O59" s="7" t="n">
        <v>0</v>
      </c>
      <c r="P59" s="7" t="n">
        <v>0</v>
      </c>
      <c r="Q59" s="7" t="n">
        <v>0</v>
      </c>
      <c r="R59" s="7" t="n">
        <v>0</v>
      </c>
      <c r="S59" s="7" t="n">
        <v>0</v>
      </c>
      <c r="T59" s="7"/>
      <c r="U59" s="7"/>
      <c r="V59" s="7"/>
      <c r="W59" s="7"/>
      <c r="X59" s="7"/>
      <c r="Y59" s="7" t="n">
        <f aca="false">+119+42</f>
        <v>161</v>
      </c>
      <c r="Z59" s="7" t="n">
        <v>135</v>
      </c>
      <c r="AA59" s="7" t="n">
        <v>8</v>
      </c>
      <c r="AB59" s="7" t="n">
        <v>0</v>
      </c>
      <c r="AC59" s="7" t="n">
        <v>0</v>
      </c>
      <c r="AD59" s="7" t="n">
        <v>0</v>
      </c>
      <c r="AE59" s="7" t="n">
        <f aca="false">SUM(N59:Q59)</f>
        <v>0</v>
      </c>
      <c r="AF59" s="7"/>
      <c r="AG59" s="7"/>
      <c r="AH59" s="7"/>
      <c r="AI59" s="7"/>
      <c r="AJ59" s="47"/>
      <c r="AK59" s="47"/>
      <c r="AL59" s="47"/>
      <c r="AM59" s="47"/>
      <c r="AN59" s="47"/>
      <c r="AO59" s="47"/>
      <c r="AP59" s="47"/>
      <c r="AQ59" s="47"/>
      <c r="AR59" s="47"/>
      <c r="AS59" s="47"/>
      <c r="AT59" s="47"/>
      <c r="AU59" s="47"/>
      <c r="AV59" s="47"/>
      <c r="AW59" s="47"/>
      <c r="AX59" s="47"/>
      <c r="AY59" s="47"/>
      <c r="AZ59" s="47"/>
      <c r="BA59" s="47"/>
      <c r="BB59" s="47"/>
      <c r="BC59" s="47"/>
      <c r="BD59" s="47"/>
      <c r="BE59" s="47"/>
      <c r="BF59" s="47"/>
      <c r="BG59" s="47"/>
      <c r="BH59" s="47"/>
      <c r="BI59" s="47"/>
      <c r="BJ59" s="47"/>
      <c r="BK59" s="47"/>
      <c r="BL59" s="47"/>
      <c r="BM59" s="47"/>
      <c r="BN59" s="47"/>
      <c r="BO59" s="47"/>
      <c r="BP59" s="47"/>
      <c r="BQ59" s="47"/>
      <c r="BR59" s="47"/>
      <c r="BS59" s="47"/>
      <c r="BT59" s="47"/>
      <c r="BU59" s="47"/>
      <c r="BV59" s="47"/>
      <c r="BW59" s="47"/>
      <c r="BX59" s="47"/>
      <c r="BY59" s="47"/>
      <c r="BZ59" s="47"/>
      <c r="CA59" s="47"/>
      <c r="CB59" s="47"/>
      <c r="CC59" s="47"/>
      <c r="CD59" s="47"/>
      <c r="CE59" s="47"/>
      <c r="CF59" s="47"/>
      <c r="CG59" s="47"/>
      <c r="CH59" s="47"/>
      <c r="CI59" s="47"/>
      <c r="CJ59" s="47"/>
      <c r="CK59" s="47"/>
      <c r="CL59" s="47"/>
      <c r="CM59" s="47"/>
      <c r="CN59" s="47"/>
      <c r="CO59" s="47"/>
      <c r="CP59" s="47"/>
      <c r="CQ59" s="47"/>
      <c r="CR59" s="47"/>
      <c r="CS59" s="47"/>
      <c r="CT59" s="47"/>
      <c r="CU59" s="47"/>
      <c r="CV59" s="47"/>
      <c r="CW59" s="47"/>
      <c r="CX59" s="47"/>
      <c r="CY59" s="47"/>
      <c r="CZ59" s="47"/>
      <c r="DA59" s="47"/>
      <c r="DB59" s="47"/>
      <c r="DC59" s="47"/>
      <c r="DD59" s="47"/>
      <c r="DE59" s="47"/>
      <c r="DF59" s="47"/>
      <c r="DG59" s="47"/>
      <c r="DH59" s="47"/>
      <c r="DI59" s="47"/>
      <c r="DJ59" s="47"/>
      <c r="DK59" s="47"/>
      <c r="DL59" s="47"/>
      <c r="DM59" s="47"/>
      <c r="DN59" s="47"/>
      <c r="DO59" s="47"/>
      <c r="DP59" s="47"/>
      <c r="DQ59" s="47"/>
      <c r="DR59" s="47"/>
      <c r="DS59" s="47"/>
      <c r="DT59" s="47"/>
      <c r="DU59" s="47"/>
      <c r="DV59" s="47"/>
      <c r="DW59" s="47"/>
      <c r="DX59" s="47"/>
      <c r="DY59" s="47"/>
      <c r="DZ59" s="47"/>
      <c r="EA59" s="47"/>
      <c r="EB59" s="47"/>
      <c r="EC59" s="47"/>
      <c r="ED59" s="47"/>
      <c r="EE59" s="47"/>
      <c r="EF59" s="47"/>
      <c r="EG59" s="47"/>
      <c r="EH59" s="47"/>
      <c r="EI59" s="47"/>
      <c r="EJ59" s="47"/>
      <c r="EK59" s="47"/>
      <c r="EL59" s="47"/>
      <c r="EM59" s="47"/>
      <c r="EN59" s="47"/>
      <c r="EO59" s="47"/>
      <c r="EP59" s="47"/>
    </row>
    <row r="60" s="1" customFormat="true" ht="10.5" hidden="false" customHeight="true" outlineLevel="0" collapsed="false">
      <c r="A60" s="53" t="s">
        <v>264</v>
      </c>
      <c r="B60" s="29"/>
      <c r="C60" s="29"/>
      <c r="D60" s="29"/>
      <c r="E60" s="29"/>
      <c r="F60" s="53" t="s">
        <v>285</v>
      </c>
      <c r="G60" s="53" t="s">
        <v>285</v>
      </c>
      <c r="H60" s="53" t="s">
        <v>285</v>
      </c>
      <c r="I60" s="53" t="s">
        <v>285</v>
      </c>
      <c r="J60" s="53" t="s">
        <v>285</v>
      </c>
      <c r="K60" s="53" t="s">
        <v>285</v>
      </c>
      <c r="L60" s="53" t="s">
        <v>285</v>
      </c>
      <c r="M60" s="53" t="s">
        <v>285</v>
      </c>
      <c r="N60" s="53" t="s">
        <v>285</v>
      </c>
      <c r="O60" s="53" t="s">
        <v>285</v>
      </c>
      <c r="P60" s="53" t="s">
        <v>285</v>
      </c>
      <c r="Q60" s="53" t="s">
        <v>285</v>
      </c>
      <c r="R60" s="53" t="s">
        <v>285</v>
      </c>
      <c r="S60" s="53" t="s">
        <v>285</v>
      </c>
      <c r="T60" s="29"/>
      <c r="U60" s="29"/>
      <c r="V60" s="29"/>
      <c r="W60" s="29"/>
      <c r="X60" s="29"/>
      <c r="Y60" s="29"/>
      <c r="Z60" s="29" t="n">
        <f aca="false">+Z59/Y59-1</f>
        <v>-0.161490683229814</v>
      </c>
      <c r="AA60" s="29" t="n">
        <f aca="false">+AA59/Z59-1</f>
        <v>-0.940740740740741</v>
      </c>
      <c r="AB60" s="53" t="s">
        <v>285</v>
      </c>
      <c r="AC60" s="53" t="s">
        <v>285</v>
      </c>
      <c r="AD60" s="53" t="s">
        <v>285</v>
      </c>
      <c r="AE60" s="53" t="s">
        <v>285</v>
      </c>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row>
    <row r="61" s="1" customFormat="true" ht="12.8" hidden="false" customHeight="false" outlineLevel="0" collapsed="false">
      <c r="A61" s="87" t="s">
        <v>286</v>
      </c>
      <c r="B61" s="87" t="n">
        <f aca="false">SUM(B53:B57)</f>
        <v>6854</v>
      </c>
      <c r="C61" s="87" t="n">
        <f aca="false">SUM(C53:C57)</f>
        <v>8073</v>
      </c>
      <c r="D61" s="87" t="n">
        <f aca="false">SUM(D53:D57)</f>
        <v>8343</v>
      </c>
      <c r="E61" s="87" t="n">
        <f aca="false">SUM(E53:E57)</f>
        <v>8607</v>
      </c>
      <c r="F61" s="87" t="n">
        <f aca="false">SUM(F53:F57)</f>
        <v>8823.95090855395</v>
      </c>
      <c r="G61" s="87" t="n">
        <f aca="false">SUM(G53:G57)</f>
        <v>9230.51470431175</v>
      </c>
      <c r="H61" s="87" t="n">
        <f aca="false">SUM(H53:H57)</f>
        <v>9292.38635904237</v>
      </c>
      <c r="I61" s="87" t="n">
        <f aca="false">SUM(I53:I57)</f>
        <v>9936.40287500652</v>
      </c>
      <c r="J61" s="87" t="n">
        <f aca="false">SUM(J53:J57)</f>
        <v>10131.3400443824</v>
      </c>
      <c r="K61" s="87" t="n">
        <f aca="false">SUM(K53:K57)</f>
        <v>10700.3305713444</v>
      </c>
      <c r="L61" s="87" t="n">
        <f aca="false">SUM(L53:L57)</f>
        <v>11188.4461360772</v>
      </c>
      <c r="M61" s="87" t="n">
        <f aca="false">SUM(M53:M57)</f>
        <v>11959.4578314076</v>
      </c>
      <c r="N61" s="87" t="n">
        <f aca="false">SUM(N53:N57)</f>
        <v>11533.3283754579</v>
      </c>
      <c r="O61" s="87" t="n">
        <f aca="false">SUM(O53:O57)</f>
        <v>12651.4338043637</v>
      </c>
      <c r="P61" s="87" t="n">
        <f aca="false">SUM(P53:P57)</f>
        <v>13467.48882866</v>
      </c>
      <c r="Q61" s="87" t="n">
        <f aca="false">SUM(Q53:Q57)-Q56-Q54</f>
        <v>14366</v>
      </c>
      <c r="R61" s="87" t="n">
        <f aca="false">SUM(R53:R57)-R56-R54</f>
        <v>13203</v>
      </c>
      <c r="S61" s="87" t="n">
        <f aca="false">SUM(S53:S57)-S56-S54</f>
        <v>14191</v>
      </c>
      <c r="T61" s="87" t="n">
        <f aca="false">+P61*1.1</f>
        <v>14814.237711526</v>
      </c>
      <c r="U61" s="87" t="n">
        <f aca="false">+Q61*1.1</f>
        <v>15802.6</v>
      </c>
      <c r="Y61" s="87" t="n">
        <f aca="false">SUM(Y53:Y59)</f>
        <v>14147</v>
      </c>
      <c r="Z61" s="87" t="n">
        <f aca="false">SUM(Z53:Z59)</f>
        <v>11139.5050975995</v>
      </c>
      <c r="AA61" s="87" t="n">
        <f aca="false">SUM(AA53:AA59)</f>
        <v>17457.3926041238</v>
      </c>
      <c r="AB61" s="87" t="n">
        <f aca="false">SUM(AB53:AB59)</f>
        <v>31880.5797684763</v>
      </c>
      <c r="AC61" s="87" t="n">
        <f aca="false">SUM(AC53:AC59)</f>
        <v>37281.2881756453</v>
      </c>
      <c r="AD61" s="87" t="n">
        <f aca="false">SUM(AD53:AD59)</f>
        <v>43978.3718271658</v>
      </c>
      <c r="AE61" s="87" t="n">
        <f aca="false">SUM(AE53:AE59)</f>
        <v>52017.428914642</v>
      </c>
      <c r="AF61" s="87" t="n">
        <f aca="false">AE61*1.12</f>
        <v>58259.520384399</v>
      </c>
      <c r="AG61" s="87" t="n">
        <f aca="false">AF61*1.2</f>
        <v>69911.4244612788</v>
      </c>
      <c r="AH61" s="87" t="n">
        <f aca="false">AG61*1.2</f>
        <v>83893.7093535346</v>
      </c>
      <c r="AI61" s="87" t="n">
        <f aca="false">AH61*1.2</f>
        <v>100672.451224241</v>
      </c>
      <c r="AJ61" s="87" t="n">
        <f aca="false">AI61*1.2</f>
        <v>120806.94146909</v>
      </c>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row>
    <row r="62" s="1" customFormat="true" ht="10.5" hidden="false" customHeight="true" outlineLevel="0" collapsed="false">
      <c r="A62" s="53" t="s">
        <v>264</v>
      </c>
      <c r="B62" s="29"/>
      <c r="C62" s="29"/>
      <c r="D62" s="29"/>
      <c r="E62" s="29"/>
      <c r="F62" s="29" t="n">
        <f aca="false">+F61/B61-1</f>
        <v>0.287416239940758</v>
      </c>
      <c r="G62" s="29" t="n">
        <f aca="false">+G61/C61-1</f>
        <v>0.14338098653682</v>
      </c>
      <c r="H62" s="29" t="n">
        <f aca="false">+H61/D61-1</f>
        <v>0.113794361625599</v>
      </c>
      <c r="I62" s="29" t="n">
        <f aca="false">+I61/E61-1</f>
        <v>0.154456009644071</v>
      </c>
      <c r="J62" s="29" t="n">
        <f aca="false">+J61/F61-1</f>
        <v>0.148163691001622</v>
      </c>
      <c r="K62" s="29" t="n">
        <f aca="false">+K61/G61-1</f>
        <v>0.159234442944563</v>
      </c>
      <c r="L62" s="29" t="n">
        <f aca="false">+L61/H61-1</f>
        <v>0.204044440660803</v>
      </c>
      <c r="M62" s="29" t="n">
        <f aca="false">+M61/I61-1</f>
        <v>0.203600335236989</v>
      </c>
      <c r="N62" s="29" t="n">
        <f aca="false">+N61/J61-1</f>
        <v>0.138381332077871</v>
      </c>
      <c r="O62" s="29" t="n">
        <f aca="false">+O61/K61-1</f>
        <v>0.182340463223107</v>
      </c>
      <c r="P62" s="29" t="n">
        <f aca="false">+P61/L61-1</f>
        <v>0.203696086557895</v>
      </c>
      <c r="Q62" s="29" t="n">
        <f aca="false">+Q61/M61-1</f>
        <v>0.201225022280893</v>
      </c>
      <c r="R62" s="29" t="n">
        <f aca="false">+R61/N61-1</f>
        <v>0.14476927823325</v>
      </c>
      <c r="S62" s="29" t="n">
        <f aca="false">+S61/O61-1</f>
        <v>0.121691044623359</v>
      </c>
      <c r="T62" s="29"/>
      <c r="U62" s="29"/>
      <c r="V62" s="29"/>
      <c r="W62" s="29"/>
      <c r="X62" s="29"/>
      <c r="Y62" s="29"/>
      <c r="Z62" s="29" t="n">
        <f aca="false">+Z61/Y61-1</f>
        <v>-0.21258888120453</v>
      </c>
      <c r="AA62" s="29" t="n">
        <f aca="false">+AA61/Z61-1</f>
        <v>0.567160520253788</v>
      </c>
      <c r="AB62" s="29" t="n">
        <f aca="false">+AB61/AA61-1</f>
        <v>0.826193664278678</v>
      </c>
      <c r="AC62" s="29" t="n">
        <f aca="false">+AC61/AB61-1</f>
        <v>0.16940433475144</v>
      </c>
      <c r="AD62" s="29" t="n">
        <f aca="false">+AD61/AC61-1</f>
        <v>0.179636594636115</v>
      </c>
      <c r="AE62" s="29" t="n">
        <f aca="false">+AE61/AD61-1</f>
        <v>0.1827956960087</v>
      </c>
      <c r="AF62" s="29" t="n">
        <f aca="false">+AF61/AE61-1</f>
        <v>0.12</v>
      </c>
      <c r="AG62" s="29" t="n">
        <f aca="false">+AG61/AF61-1</f>
        <v>0.2</v>
      </c>
      <c r="AH62" s="29" t="n">
        <f aca="false">+AH61/AG61-1</f>
        <v>0.2</v>
      </c>
      <c r="AI62" s="29" t="n">
        <f aca="false">+AI61/AH61-1</f>
        <v>0.2</v>
      </c>
      <c r="AJ62" s="29" t="n">
        <f aca="false">+AJ61/AI61-1</f>
        <v>0.2</v>
      </c>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row>
    <row r="63" s="1" customFormat="true" ht="12.8" hidden="false" customHeight="false" outlineLevel="0" collapsed="false">
      <c r="A63" s="7" t="s">
        <v>287</v>
      </c>
      <c r="B63" s="7" t="n">
        <f aca="false">+4026+254</f>
        <v>4280</v>
      </c>
      <c r="C63" s="7" t="n">
        <f aca="false">+5153+243</f>
        <v>5396</v>
      </c>
      <c r="D63" s="7" t="n">
        <f aca="false">+5173+227</f>
        <v>5400</v>
      </c>
      <c r="E63" s="7" t="n">
        <f aca="false">+5307+223</f>
        <v>5530</v>
      </c>
      <c r="F63" s="7" t="n">
        <f aca="false">+207+5259</f>
        <v>5466</v>
      </c>
      <c r="G63" s="7" t="n">
        <f aca="false">+208+5515</f>
        <v>5723</v>
      </c>
      <c r="H63" s="7" t="n">
        <f aca="false">+205+5626</f>
        <v>5831</v>
      </c>
      <c r="I63" s="7" t="n">
        <f aca="false">+203+6057</f>
        <v>6260</v>
      </c>
      <c r="J63" s="7" t="n">
        <f aca="false">+190+6168</f>
        <v>6358</v>
      </c>
      <c r="K63" s="7" t="n">
        <f aca="false">+173+6488</f>
        <v>6661</v>
      </c>
      <c r="L63" s="7" t="n">
        <f aca="false">+179+6761</f>
        <v>6940</v>
      </c>
      <c r="M63" s="7" t="n">
        <f aca="false">+169+7234</f>
        <v>7403</v>
      </c>
      <c r="N63" s="7" t="n">
        <f aca="false">+171+6937</f>
        <v>7108</v>
      </c>
      <c r="O63" s="7" t="n">
        <f aca="false">+175+7611</f>
        <v>7786</v>
      </c>
      <c r="P63" s="7" t="n">
        <f aca="false">+188+8109</f>
        <v>8297</v>
      </c>
      <c r="Q63" s="7" t="n">
        <f aca="false">+185+8681</f>
        <v>8866</v>
      </c>
      <c r="R63" s="7" t="n">
        <f aca="false">+7258+184</f>
        <v>7442</v>
      </c>
      <c r="S63" s="7" t="n">
        <f aca="false">+7815+188</f>
        <v>8003</v>
      </c>
      <c r="T63" s="7" t="n">
        <f aca="false">+T61-T65</f>
        <v>8444.11549556982</v>
      </c>
      <c r="U63" s="7" t="n">
        <f aca="false">+U61-U65</f>
        <v>9007.482</v>
      </c>
      <c r="V63" s="7"/>
      <c r="W63" s="7"/>
      <c r="X63" s="7"/>
      <c r="Y63" s="7" t="n">
        <f aca="false">+7208+472</f>
        <v>7680</v>
      </c>
      <c r="Z63" s="7" t="n">
        <f aca="false">+575+5154</f>
        <v>5729</v>
      </c>
      <c r="AA63" s="7" t="n">
        <f aca="false">+902+9351</f>
        <v>10253</v>
      </c>
      <c r="AB63" s="7" t="n">
        <f aca="false">+947+19659</f>
        <v>20606</v>
      </c>
      <c r="AC63" s="7" t="n">
        <f aca="false">+823+22457</f>
        <v>23280</v>
      </c>
      <c r="AD63" s="7" t="n">
        <f aca="false">+711+26651</f>
        <v>27362</v>
      </c>
      <c r="AE63" s="7" t="n">
        <f aca="false">SUM(N63:Q63)</f>
        <v>32057</v>
      </c>
      <c r="AF63" s="7" t="n">
        <f aca="false">AF61-AF65</f>
        <v>34955.7122306394</v>
      </c>
      <c r="AG63" s="7" t="n">
        <f aca="false">AG61-AG65</f>
        <v>41597.2975544609</v>
      </c>
      <c r="AH63" s="7" t="n">
        <f aca="false">AH61-AH65</f>
        <v>49497.2885185854</v>
      </c>
      <c r="AI63" s="7" t="n">
        <f aca="false">AI61-AI65</f>
        <v>58893.3839661813</v>
      </c>
      <c r="AJ63" s="7" t="n">
        <f aca="false">AJ61-AJ65</f>
        <v>70068.0260520721</v>
      </c>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row>
    <row r="64" s="1" customFormat="true" ht="10.5" hidden="false" customHeight="true" outlineLevel="0" collapsed="false">
      <c r="A64" s="53" t="s">
        <v>264</v>
      </c>
      <c r="B64" s="29" t="n">
        <f aca="false">+B63/B$61</f>
        <v>0.624452874234024</v>
      </c>
      <c r="C64" s="29" t="n">
        <f aca="false">+C63/C$61</f>
        <v>0.668400842313886</v>
      </c>
      <c r="D64" s="29" t="n">
        <f aca="false">+D63/D$61</f>
        <v>0.647249190938511</v>
      </c>
      <c r="E64" s="29" t="n">
        <f aca="false">+E63/E$61</f>
        <v>0.642500290461253</v>
      </c>
      <c r="F64" s="29" t="n">
        <f aca="false">+F63/F$61</f>
        <v>0.619450409079367</v>
      </c>
      <c r="G64" s="29" t="n">
        <f aca="false">+G63/G$61</f>
        <v>0.620008762602011</v>
      </c>
      <c r="H64" s="29" t="n">
        <f aca="false">+H63/H$61</f>
        <v>0.627502965836745</v>
      </c>
      <c r="I64" s="29" t="n">
        <f aca="false">+I63/I$61</f>
        <v>0.630006661238149</v>
      </c>
      <c r="J64" s="29" t="n">
        <f aca="false">+J63/J$61</f>
        <v>0.627557654974316</v>
      </c>
      <c r="K64" s="29" t="n">
        <f aca="false">+K63/K$61</f>
        <v>0.622504132520749</v>
      </c>
      <c r="L64" s="29" t="n">
        <f aca="false">+L63/L$61</f>
        <v>0.620282737709389</v>
      </c>
      <c r="M64" s="29" t="n">
        <f aca="false">+M63/M$61</f>
        <v>0.619007993870629</v>
      </c>
      <c r="N64" s="29" t="n">
        <f aca="false">+N63/N$61</f>
        <v>0.61630084296614</v>
      </c>
      <c r="O64" s="29" t="n">
        <f aca="false">+O63/O$61</f>
        <v>0.615424316358077</v>
      </c>
      <c r="P64" s="29" t="n">
        <f aca="false">+P63/P$61</f>
        <v>0.616076248924986</v>
      </c>
      <c r="Q64" s="29" t="n">
        <f aca="false">+Q63/Q$61</f>
        <v>0.617151607963247</v>
      </c>
      <c r="R64" s="29" t="n">
        <f aca="false">+R63/R$61</f>
        <v>0.563659774293721</v>
      </c>
      <c r="S64" s="29" t="n">
        <f aca="false">+S63/S$61</f>
        <v>0.563948981748996</v>
      </c>
      <c r="T64" s="29"/>
      <c r="U64" s="29"/>
      <c r="V64" s="29"/>
      <c r="W64" s="29"/>
      <c r="X64" s="29"/>
      <c r="Y64" s="29" t="n">
        <f aca="false">+Y63/Y$61</f>
        <v>0.542871280130063</v>
      </c>
      <c r="Z64" s="29" t="n">
        <f aca="false">+Z63/Z$61</f>
        <v>0.514295738437659</v>
      </c>
      <c r="AA64" s="29" t="n">
        <f aca="false">+AA63/AA$61</f>
        <v>0.5873156566106</v>
      </c>
      <c r="AB64" s="29" t="n">
        <f aca="false">+AB63/AB$61</f>
        <v>0.646349600592124</v>
      </c>
      <c r="AC64" s="29" t="n">
        <f aca="false">+AC63/AC$61</f>
        <v>0.624441942304131</v>
      </c>
      <c r="AD64" s="29" t="n">
        <f aca="false">+AD63/AD$61</f>
        <v>0.62216946337923</v>
      </c>
      <c r="AE64" s="29" t="n">
        <f aca="false">+AE63/AE$61</f>
        <v>0.616274211718613</v>
      </c>
      <c r="AF64" s="29" t="n">
        <f aca="false">+AF63/AF$61</f>
        <v>0.6</v>
      </c>
      <c r="AG64" s="29" t="n">
        <f aca="false">+AG63/AG$61</f>
        <v>0.595</v>
      </c>
      <c r="AH64" s="29" t="n">
        <f aca="false">+AH63/AH$61</f>
        <v>0.59</v>
      </c>
      <c r="AI64" s="29" t="n">
        <f aca="false">+AI63/AI$61</f>
        <v>0.585</v>
      </c>
      <c r="AJ64" s="29" t="n">
        <f aca="false">+AJ63/AJ$61</f>
        <v>0.58</v>
      </c>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row>
    <row r="65" s="1" customFormat="true" ht="12.8" hidden="false" customHeight="false" outlineLevel="0" collapsed="false">
      <c r="A65" s="47" t="s">
        <v>288</v>
      </c>
      <c r="B65" s="47" t="n">
        <f aca="false">B61-B63</f>
        <v>2574</v>
      </c>
      <c r="C65" s="47" t="n">
        <f aca="false">C61-C63</f>
        <v>2677</v>
      </c>
      <c r="D65" s="47" t="n">
        <f aca="false">D61-D63</f>
        <v>2943</v>
      </c>
      <c r="E65" s="47" t="n">
        <f aca="false">E61-E63</f>
        <v>3077</v>
      </c>
      <c r="F65" s="47" t="n">
        <f aca="false">F61-F63</f>
        <v>3357.95090855395</v>
      </c>
      <c r="G65" s="47" t="n">
        <f aca="false">G61-G63</f>
        <v>3507.51470431175</v>
      </c>
      <c r="H65" s="47" t="n">
        <f aca="false">H61-H63</f>
        <v>3461.38635904237</v>
      </c>
      <c r="I65" s="47" t="n">
        <f aca="false">I61-I63</f>
        <v>3676.40287500652</v>
      </c>
      <c r="J65" s="47" t="n">
        <f aca="false">J61-J63</f>
        <v>3773.34004438242</v>
      </c>
      <c r="K65" s="47" t="n">
        <f aca="false">K61-K63</f>
        <v>4039.33057134443</v>
      </c>
      <c r="L65" s="47" t="n">
        <f aca="false">L61-L63</f>
        <v>4248.44613607724</v>
      </c>
      <c r="M65" s="47" t="n">
        <f aca="false">M61-M63</f>
        <v>4556.45783140762</v>
      </c>
      <c r="N65" s="47" t="n">
        <f aca="false">N61-N63</f>
        <v>4425.32837545794</v>
      </c>
      <c r="O65" s="47" t="n">
        <f aca="false">O61-O63</f>
        <v>4865.43380436374</v>
      </c>
      <c r="P65" s="47" t="n">
        <f aca="false">P61-P63</f>
        <v>5170.48882865999</v>
      </c>
      <c r="Q65" s="47" t="n">
        <f aca="false">Q61-Q63</f>
        <v>5500</v>
      </c>
      <c r="R65" s="47" t="n">
        <f aca="false">R61-R63</f>
        <v>5761</v>
      </c>
      <c r="S65" s="47" t="n">
        <f aca="false">S61-S63</f>
        <v>6188</v>
      </c>
      <c r="T65" s="47" t="n">
        <f aca="false">+T61*0.43</f>
        <v>6370.12221595618</v>
      </c>
      <c r="U65" s="47" t="n">
        <f aca="false">+U61*0.43</f>
        <v>6795.118</v>
      </c>
      <c r="V65" s="47"/>
      <c r="W65" s="47"/>
      <c r="X65" s="47"/>
      <c r="Y65" s="47" t="n">
        <f aca="false">Y61-Y63</f>
        <v>6467</v>
      </c>
      <c r="Z65" s="47" t="n">
        <f aca="false">Z61-Z63</f>
        <v>5410.50509759952</v>
      </c>
      <c r="AA65" s="47" t="n">
        <f aca="false">AA61-AA63</f>
        <v>7204.39260412378</v>
      </c>
      <c r="AB65" s="47" t="n">
        <f aca="false">AB61-AB63</f>
        <v>11274.5797684763</v>
      </c>
      <c r="AC65" s="47" t="n">
        <f aca="false">AC61-AC63</f>
        <v>14001.2881756452</v>
      </c>
      <c r="AD65" s="47" t="n">
        <f aca="false">AD61-AD63</f>
        <v>16616.3718271658</v>
      </c>
      <c r="AE65" s="47" t="n">
        <f aca="false">AE61-AE63</f>
        <v>19960.428914642</v>
      </c>
      <c r="AF65" s="47" t="n">
        <f aca="false">+AF61*0.4</f>
        <v>23303.8081537596</v>
      </c>
      <c r="AG65" s="47" t="n">
        <f aca="false">+AG61*0.405</f>
        <v>28314.1269068179</v>
      </c>
      <c r="AH65" s="47" t="n">
        <f aca="false">+AH61*0.41</f>
        <v>34396.4208349492</v>
      </c>
      <c r="AI65" s="47" t="n">
        <f aca="false">+AI61*0.415</f>
        <v>41779.0672580602</v>
      </c>
      <c r="AJ65" s="47" t="n">
        <f aca="false">+AJ61*0.42</f>
        <v>50738.9154170177</v>
      </c>
      <c r="AK65" s="47"/>
      <c r="AL65" s="47"/>
      <c r="AM65" s="47"/>
      <c r="AN65" s="47"/>
      <c r="AO65" s="47"/>
      <c r="AP65" s="47"/>
      <c r="AQ65" s="47"/>
      <c r="AR65" s="47"/>
      <c r="AS65" s="47"/>
      <c r="AT65" s="47"/>
      <c r="AU65" s="47"/>
      <c r="AV65" s="47"/>
      <c r="AW65" s="47"/>
      <c r="AX65" s="47"/>
      <c r="AY65" s="47"/>
      <c r="AZ65" s="47"/>
      <c r="BA65" s="47"/>
      <c r="BB65" s="47"/>
      <c r="BC65" s="47"/>
      <c r="BD65" s="47"/>
      <c r="BE65" s="47"/>
      <c r="BF65" s="47"/>
      <c r="BG65" s="47"/>
      <c r="BH65" s="47"/>
      <c r="BI65" s="47"/>
      <c r="BJ65" s="47"/>
      <c r="BK65" s="47"/>
      <c r="BL65" s="47"/>
      <c r="BM65" s="47"/>
      <c r="BN65" s="47"/>
      <c r="BO65" s="47"/>
      <c r="BP65" s="47"/>
      <c r="BQ65" s="47"/>
      <c r="BR65" s="47"/>
      <c r="BS65" s="47"/>
      <c r="BT65" s="47"/>
      <c r="BU65" s="47"/>
      <c r="BV65" s="47"/>
      <c r="BW65" s="47"/>
      <c r="BX65" s="47"/>
      <c r="BY65" s="47"/>
      <c r="BZ65" s="47"/>
      <c r="CA65" s="47"/>
      <c r="CB65" s="47"/>
      <c r="CC65" s="47"/>
      <c r="CD65" s="47"/>
      <c r="CE65" s="47"/>
      <c r="CF65" s="47"/>
      <c r="CG65" s="47"/>
      <c r="CH65" s="47"/>
      <c r="CI65" s="47"/>
      <c r="CJ65" s="47"/>
      <c r="CK65" s="47"/>
      <c r="CL65" s="47"/>
      <c r="CM65" s="47"/>
      <c r="CN65" s="47"/>
      <c r="CO65" s="47"/>
      <c r="CP65" s="47"/>
      <c r="CQ65" s="47"/>
      <c r="CR65" s="47"/>
      <c r="CS65" s="47"/>
      <c r="CT65" s="47"/>
      <c r="CU65" s="47"/>
      <c r="CV65" s="47"/>
      <c r="CW65" s="47"/>
      <c r="CX65" s="47"/>
      <c r="CY65" s="47"/>
      <c r="CZ65" s="47"/>
      <c r="DA65" s="47"/>
      <c r="DB65" s="47"/>
      <c r="DC65" s="47"/>
      <c r="DD65" s="47"/>
      <c r="DE65" s="47"/>
      <c r="DF65" s="47"/>
      <c r="DG65" s="47"/>
      <c r="DH65" s="47"/>
      <c r="DI65" s="47"/>
      <c r="DJ65" s="47"/>
      <c r="DK65" s="47"/>
      <c r="DL65" s="47"/>
      <c r="DM65" s="47"/>
      <c r="DN65" s="47"/>
      <c r="DO65" s="47"/>
      <c r="DP65" s="47"/>
      <c r="DQ65" s="47"/>
      <c r="DR65" s="47"/>
      <c r="DS65" s="47"/>
      <c r="DT65" s="47"/>
      <c r="DU65" s="47"/>
      <c r="DV65" s="47"/>
      <c r="DW65" s="47"/>
      <c r="DX65" s="47"/>
      <c r="DY65" s="47"/>
      <c r="DZ65" s="47"/>
      <c r="EA65" s="47"/>
      <c r="EB65" s="47"/>
      <c r="EC65" s="47"/>
      <c r="ED65" s="47"/>
      <c r="EE65" s="47"/>
      <c r="EF65" s="47"/>
      <c r="EG65" s="47"/>
      <c r="EH65" s="47"/>
      <c r="EI65" s="47"/>
      <c r="EJ65" s="47"/>
      <c r="EK65" s="47"/>
      <c r="EL65" s="47"/>
      <c r="EM65" s="47"/>
      <c r="EN65" s="47"/>
      <c r="EO65" s="47"/>
      <c r="EP65" s="47"/>
      <c r="EQ65" s="25"/>
    </row>
    <row r="66" s="1" customFormat="true" ht="10.5" hidden="false" customHeight="true" outlineLevel="0" collapsed="false">
      <c r="A66" s="53" t="s">
        <v>264</v>
      </c>
      <c r="B66" s="29" t="n">
        <f aca="false">+B65/B$61</f>
        <v>0.375547125765976</v>
      </c>
      <c r="C66" s="29" t="n">
        <f aca="false">+C65/C$61</f>
        <v>0.331599157686114</v>
      </c>
      <c r="D66" s="29" t="n">
        <f aca="false">+D65/D$61</f>
        <v>0.352750809061489</v>
      </c>
      <c r="E66" s="29" t="n">
        <f aca="false">+E65/E$61</f>
        <v>0.357499709538748</v>
      </c>
      <c r="F66" s="29" t="n">
        <f aca="false">+F65/F$61</f>
        <v>0.380549590920633</v>
      </c>
      <c r="G66" s="29" t="n">
        <f aca="false">+G65/G$61</f>
        <v>0.379991237397989</v>
      </c>
      <c r="H66" s="29" t="n">
        <f aca="false">+H65/H$61</f>
        <v>0.372497034163255</v>
      </c>
      <c r="I66" s="29" t="n">
        <f aca="false">+I65/I$61</f>
        <v>0.369993338761851</v>
      </c>
      <c r="J66" s="29" t="n">
        <f aca="false">+J65/J$61</f>
        <v>0.372442345025686</v>
      </c>
      <c r="K66" s="29" t="n">
        <f aca="false">+K65/K$61</f>
        <v>0.377495867479253</v>
      </c>
      <c r="L66" s="29" t="n">
        <f aca="false">+L65/L$61</f>
        <v>0.379717262290615</v>
      </c>
      <c r="M66" s="29" t="n">
        <f aca="false">+M65/M$61</f>
        <v>0.380992006129373</v>
      </c>
      <c r="N66" s="29" t="n">
        <f aca="false">+N65/N$61</f>
        <v>0.383699157033864</v>
      </c>
      <c r="O66" s="29" t="n">
        <f aca="false">+O65/O$61</f>
        <v>0.384575683641926</v>
      </c>
      <c r="P66" s="29" t="n">
        <f aca="false">+P65/P$61</f>
        <v>0.383923751075014</v>
      </c>
      <c r="Q66" s="29" t="n">
        <f aca="false">+Q65/Q$61</f>
        <v>0.382848392036753</v>
      </c>
      <c r="R66" s="29" t="n">
        <f aca="false">+R65/R$61</f>
        <v>0.436340225706279</v>
      </c>
      <c r="S66" s="29" t="n">
        <f aca="false">+S65/S$61</f>
        <v>0.436051018251004</v>
      </c>
      <c r="T66" s="29" t="n">
        <f aca="false">+T65/T$61</f>
        <v>0.43</v>
      </c>
      <c r="U66" s="29" t="n">
        <f aca="false">+U65/U$61</f>
        <v>0.43</v>
      </c>
      <c r="V66" s="29"/>
      <c r="W66" s="29"/>
      <c r="X66" s="29"/>
      <c r="Y66" s="29" t="n">
        <f aca="false">+Y65/Y$61</f>
        <v>0.457128719869937</v>
      </c>
      <c r="Z66" s="29" t="n">
        <f aca="false">+Z65/Z$61</f>
        <v>0.485704261562343</v>
      </c>
      <c r="AA66" s="29" t="n">
        <f aca="false">+AA65/AA$61</f>
        <v>0.412684343389399</v>
      </c>
      <c r="AB66" s="29" t="n">
        <f aca="false">+AB65/AB$61</f>
        <v>0.353650399407876</v>
      </c>
      <c r="AC66" s="29" t="n">
        <f aca="false">+AC65/AC$61</f>
        <v>0.375558057695866</v>
      </c>
      <c r="AD66" s="29" t="n">
        <f aca="false">+AD65/AD$61</f>
        <v>0.37783053662077</v>
      </c>
      <c r="AE66" s="29" t="n">
        <f aca="false">+AE65/AE$61</f>
        <v>0.383725788281387</v>
      </c>
      <c r="AF66" s="29" t="n">
        <f aca="false">+AF65/AF$61</f>
        <v>0.4</v>
      </c>
      <c r="AG66" s="29" t="n">
        <f aca="false">+AG65/AG$61</f>
        <v>0.405</v>
      </c>
      <c r="AH66" s="29" t="n">
        <f aca="false">+AH65/AH$61</f>
        <v>0.41</v>
      </c>
      <c r="AI66" s="29" t="n">
        <f aca="false">+AI65/AI$61</f>
        <v>0.415</v>
      </c>
      <c r="AJ66" s="29" t="n">
        <f aca="false">+AJ65/AJ$61</f>
        <v>0.42</v>
      </c>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row>
    <row r="67" s="1" customFormat="true" ht="12.8" hidden="false" customHeight="false" outlineLevel="0" collapsed="false">
      <c r="A67" s="7" t="s">
        <v>289</v>
      </c>
      <c r="B67" s="7" t="n">
        <v>574</v>
      </c>
      <c r="C67" s="7" t="n">
        <v>617</v>
      </c>
      <c r="D67" s="7" t="n">
        <v>617</v>
      </c>
      <c r="E67" s="7" t="n">
        <v>605</v>
      </c>
      <c r="F67" s="7" t="n">
        <v>640</v>
      </c>
      <c r="G67" s="7" t="n">
        <v>664</v>
      </c>
      <c r="H67" s="7" t="n">
        <v>683</v>
      </c>
      <c r="I67" s="7" t="n">
        <v>702</v>
      </c>
      <c r="J67" s="7" t="n">
        <v>685</v>
      </c>
      <c r="K67" s="7" t="n">
        <v>682</v>
      </c>
      <c r="L67" s="7" t="n">
        <v>687</v>
      </c>
      <c r="M67" s="7" t="n">
        <v>678</v>
      </c>
      <c r="N67" s="7" t="n">
        <v>668</v>
      </c>
      <c r="O67" s="7" t="n">
        <v>696</v>
      </c>
      <c r="P67" s="7" t="n">
        <v>735</v>
      </c>
      <c r="Q67" s="7" t="n">
        <v>755</v>
      </c>
      <c r="R67" s="7" t="n">
        <v>763</v>
      </c>
      <c r="S67" s="7" t="n">
        <v>805</v>
      </c>
      <c r="T67" s="7" t="n">
        <f aca="false">+S67*1.1</f>
        <v>885.5</v>
      </c>
      <c r="U67" s="7" t="n">
        <f aca="false">+T67*1.1</f>
        <v>974.05</v>
      </c>
      <c r="V67" s="7"/>
      <c r="W67" s="7"/>
      <c r="X67" s="7"/>
      <c r="Y67" s="7" t="n">
        <v>2302</v>
      </c>
      <c r="Z67" s="7" t="n">
        <v>1819</v>
      </c>
      <c r="AA67" s="7" t="n">
        <v>1877</v>
      </c>
      <c r="AB67" s="7" t="n">
        <v>2413</v>
      </c>
      <c r="AC67" s="7" t="n">
        <v>2689</v>
      </c>
      <c r="AD67" s="7" t="n">
        <v>2732</v>
      </c>
      <c r="AE67" s="7" t="n">
        <f aca="false">SUM(N67:Q67)</f>
        <v>2854</v>
      </c>
      <c r="AF67" s="7" t="n">
        <f aca="false">+AF61*0.05</f>
        <v>2912.97601921995</v>
      </c>
      <c r="AG67" s="7" t="n">
        <f aca="false">+AG61*0.05</f>
        <v>3495.57122306394</v>
      </c>
      <c r="AH67" s="7" t="n">
        <f aca="false">+AH61*0.05</f>
        <v>4194.68546767673</v>
      </c>
      <c r="AI67" s="7" t="n">
        <f aca="false">+AI61*0.05</f>
        <v>5033.62256121207</v>
      </c>
      <c r="AJ67" s="7" t="n">
        <f aca="false">+AJ61*0.05</f>
        <v>6040.34707345449</v>
      </c>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row>
    <row r="68" s="1" customFormat="true" ht="10.5" hidden="false" customHeight="true" outlineLevel="0" collapsed="false">
      <c r="A68" s="53" t="s">
        <v>264</v>
      </c>
      <c r="B68" s="29" t="n">
        <f aca="false">+B67/B$61</f>
        <v>0.0837467172454041</v>
      </c>
      <c r="C68" s="29" t="n">
        <f aca="false">+C67/C$61</f>
        <v>0.0764275981667286</v>
      </c>
      <c r="D68" s="29" t="n">
        <f aca="false">+D67/D$61</f>
        <v>0.0739542131127892</v>
      </c>
      <c r="E68" s="29" t="n">
        <f aca="false">+E67/E$61</f>
        <v>0.0702916230974788</v>
      </c>
      <c r="F68" s="29" t="n">
        <f aca="false">+F67/F$61</f>
        <v>0.0725298686079025</v>
      </c>
      <c r="G68" s="29" t="n">
        <f aca="false">+G67/G$61</f>
        <v>0.0719353168561481</v>
      </c>
      <c r="H68" s="29" t="n">
        <f aca="false">+H67/H$61</f>
        <v>0.0735010333847534</v>
      </c>
      <c r="I68" s="29" t="n">
        <f aca="false">+I67/I$61</f>
        <v>0.0706493092953962</v>
      </c>
      <c r="J68" s="29" t="n">
        <f aca="false">+J67/J$61</f>
        <v>0.0676119839033354</v>
      </c>
      <c r="K68" s="29" t="n">
        <f aca="false">+K67/K$61</f>
        <v>0.0637363486532279</v>
      </c>
      <c r="L68" s="29" t="n">
        <f aca="false">+L67/L$61</f>
        <v>0.0614026283582637</v>
      </c>
      <c r="M68" s="29" t="n">
        <f aca="false">+M67/M$61</f>
        <v>0.0566915331411977</v>
      </c>
      <c r="N68" s="29" t="n">
        <f aca="false">+N67/N$61</f>
        <v>0.0579191000424003</v>
      </c>
      <c r="O68" s="29" t="n">
        <f aca="false">+O67/O$61</f>
        <v>0.0550135273805833</v>
      </c>
      <c r="P68" s="29" t="n">
        <f aca="false">+P67/P$61</f>
        <v>0.0545758759744322</v>
      </c>
      <c r="Q68" s="29" t="n">
        <f aca="false">+Q67/Q$61</f>
        <v>0.0525546429068634</v>
      </c>
      <c r="R68" s="29" t="n">
        <f aca="false">+R67/R$61</f>
        <v>0.057789896235704</v>
      </c>
      <c r="S68" s="29" t="n">
        <f aca="false">+S67/S$61</f>
        <v>0.0567260940032415</v>
      </c>
      <c r="T68" s="29"/>
      <c r="U68" s="29"/>
      <c r="V68" s="29"/>
      <c r="W68" s="29"/>
      <c r="X68" s="29"/>
      <c r="Y68" s="29" t="n">
        <f aca="false">+Y67/Y$61</f>
        <v>0.162720011309818</v>
      </c>
      <c r="Z68" s="29" t="n">
        <f aca="false">+Z67/Z$61</f>
        <v>0.163292712204242</v>
      </c>
      <c r="AA68" s="29" t="n">
        <f aca="false">+AA67/AA$61</f>
        <v>0.107518920068087</v>
      </c>
      <c r="AB68" s="29" t="n">
        <f aca="false">+AB67/AB$61</f>
        <v>0.0756887113573132</v>
      </c>
      <c r="AC68" s="29" t="n">
        <f aca="false">+AC67/AC$61</f>
        <v>0.0721273360333252</v>
      </c>
      <c r="AD68" s="29" t="n">
        <f aca="false">+AD67/AD$61</f>
        <v>0.0621214448487704</v>
      </c>
      <c r="AE68" s="29" t="n">
        <f aca="false">+AE67/AE$61</f>
        <v>0.0548662257929601</v>
      </c>
      <c r="AF68" s="29" t="n">
        <f aca="false">+AF67/AF$61</f>
        <v>0.05</v>
      </c>
      <c r="AG68" s="29" t="n">
        <f aca="false">+AG67/AG$61</f>
        <v>0.05</v>
      </c>
      <c r="AH68" s="29" t="n">
        <f aca="false">+AH67/AH$61</f>
        <v>0.05</v>
      </c>
      <c r="AI68" s="29" t="n">
        <f aca="false">+AI67/AI$61</f>
        <v>0.05</v>
      </c>
      <c r="AJ68" s="29" t="n">
        <f aca="false">+AJ67/AJ$61</f>
        <v>0.05</v>
      </c>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row>
    <row r="69" s="1" customFormat="true" ht="12.8" hidden="false" customHeight="false" outlineLevel="0" collapsed="false">
      <c r="A69" s="7" t="s">
        <v>290</v>
      </c>
      <c r="B69" s="7" t="n">
        <v>1263</v>
      </c>
      <c r="C69" s="7" t="n">
        <v>1218</v>
      </c>
      <c r="D69" s="7" t="n">
        <v>1153</v>
      </c>
      <c r="E69" s="7" t="n">
        <v>1122</v>
      </c>
      <c r="F69" s="7" t="n">
        <v>1262</v>
      </c>
      <c r="G69" s="7" t="n">
        <v>1218</v>
      </c>
      <c r="H69" s="7" t="n">
        <v>941</v>
      </c>
      <c r="I69" s="7" t="n">
        <v>935</v>
      </c>
      <c r="J69" s="7" t="n">
        <v>917</v>
      </c>
      <c r="K69" s="7" t="n">
        <v>1115</v>
      </c>
      <c r="L69" s="7" t="n">
        <v>1096</v>
      </c>
      <c r="M69" s="7" t="n">
        <v>1209</v>
      </c>
      <c r="N69" s="7" t="n">
        <v>1057</v>
      </c>
      <c r="O69" s="7" t="n">
        <v>1210</v>
      </c>
      <c r="P69" s="7" t="n">
        <v>1277</v>
      </c>
      <c r="Q69" s="7" t="n">
        <v>1354</v>
      </c>
      <c r="R69" s="7" t="n">
        <v>1326</v>
      </c>
      <c r="S69" s="7" t="n">
        <v>1515</v>
      </c>
      <c r="T69" s="7" t="n">
        <f aca="false">+S69*1.1</f>
        <v>1666.5</v>
      </c>
      <c r="U69" s="7" t="n">
        <f aca="false">+T69*1.1</f>
        <v>1833.15</v>
      </c>
      <c r="V69" s="7"/>
      <c r="W69" s="7"/>
      <c r="X69" s="7"/>
      <c r="Y69" s="7" t="n">
        <v>4626</v>
      </c>
      <c r="Z69" s="7" t="n">
        <v>3583</v>
      </c>
      <c r="AA69" s="7" t="n">
        <v>4789</v>
      </c>
      <c r="AB69" s="7" t="n">
        <v>4756</v>
      </c>
      <c r="AC69" s="7" t="n">
        <v>4356</v>
      </c>
      <c r="AD69" s="7" t="n">
        <v>4337</v>
      </c>
      <c r="AE69" s="7" t="n">
        <f aca="false">SUM(N69:Q69)</f>
        <v>4898</v>
      </c>
      <c r="AF69" s="7" t="n">
        <f aca="false">+AF61*0.09</f>
        <v>5243.35683459591</v>
      </c>
      <c r="AG69" s="7" t="n">
        <f aca="false">+AG61*0.09</f>
        <v>6292.02820151509</v>
      </c>
      <c r="AH69" s="7" t="n">
        <f aca="false">+AH61*0.08</f>
        <v>6711.49674828277</v>
      </c>
      <c r="AI69" s="7" t="n">
        <f aca="false">+AI61*0.08</f>
        <v>8053.79609793932</v>
      </c>
      <c r="AJ69" s="7" t="n">
        <f aca="false">+AJ61*0.08</f>
        <v>9664.55531752718</v>
      </c>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row>
    <row r="70" s="1" customFormat="true" ht="10.5" hidden="false" customHeight="true" outlineLevel="0" collapsed="false">
      <c r="A70" s="53" t="s">
        <v>264</v>
      </c>
      <c r="B70" s="29" t="n">
        <f aca="false">+B69/B$61</f>
        <v>0.184271957980741</v>
      </c>
      <c r="C70" s="29" t="n">
        <f aca="false">+C69/C$61</f>
        <v>0.150873281308064</v>
      </c>
      <c r="D70" s="29" t="n">
        <f aca="false">+D69/D$61</f>
        <v>0.138199688361501</v>
      </c>
      <c r="E70" s="29" t="n">
        <f aca="false">+E69/E$61</f>
        <v>0.130359010108052</v>
      </c>
      <c r="F70" s="29" t="n">
        <f aca="false">+F69/F$61</f>
        <v>0.143019834661208</v>
      </c>
      <c r="G70" s="29" t="n">
        <f aca="false">+G69/G$61</f>
        <v>0.131953638449983</v>
      </c>
      <c r="H70" s="29" t="n">
        <f aca="false">+H69/H$61</f>
        <v>0.101265698997149</v>
      </c>
      <c r="I70" s="29" t="n">
        <f aca="false">+I69/I$61</f>
        <v>0.094098439018797</v>
      </c>
      <c r="J70" s="29" t="n">
        <f aca="false">+J69/J$61</f>
        <v>0.0905112251669468</v>
      </c>
      <c r="K70" s="29" t="n">
        <f aca="false">+K69/K$61</f>
        <v>0.10420238819406</v>
      </c>
      <c r="L70" s="29" t="n">
        <f aca="false">+L69/L$61</f>
        <v>0.0979581960417133</v>
      </c>
      <c r="M70" s="29" t="n">
        <f aca="false">+M69/M$61</f>
        <v>0.10109153918541</v>
      </c>
      <c r="N70" s="29" t="n">
        <f aca="false">+N69/N$61</f>
        <v>0.0916474382407441</v>
      </c>
      <c r="O70" s="29" t="n">
        <f aca="false">+O69/O$61</f>
        <v>0.0956413335208417</v>
      </c>
      <c r="P70" s="29" t="n">
        <f aca="false">+P69/P$61</f>
        <v>0.0948209436997959</v>
      </c>
      <c r="Q70" s="29" t="n">
        <f aca="false">+Q69/Q$61</f>
        <v>0.0942503132395935</v>
      </c>
      <c r="R70" s="29" t="n">
        <f aca="false">+R69/R$61</f>
        <v>0.100431720063622</v>
      </c>
      <c r="S70" s="29" t="n">
        <f aca="false">+S69/S$61</f>
        <v>0.106757804242125</v>
      </c>
      <c r="T70" s="29"/>
      <c r="U70" s="29"/>
      <c r="V70" s="29"/>
      <c r="W70" s="29"/>
      <c r="X70" s="29"/>
      <c r="Y70" s="29" t="n">
        <f aca="false">+Y69/Y$61</f>
        <v>0.326995122640843</v>
      </c>
      <c r="Z70" s="29" t="n">
        <f aca="false">+Z69/Z$61</f>
        <v>0.32164804168653</v>
      </c>
      <c r="AA70" s="29" t="n">
        <f aca="false">+AA69/AA$61</f>
        <v>0.274325044329285</v>
      </c>
      <c r="AB70" s="29" t="n">
        <f aca="false">+AB69/AB$61</f>
        <v>0.149181728642926</v>
      </c>
      <c r="AC70" s="29" t="n">
        <f aca="false">+AC69/AC$61</f>
        <v>0.116841456214639</v>
      </c>
      <c r="AD70" s="29" t="n">
        <f aca="false">+AD69/AD$61</f>
        <v>0.0986166567749332</v>
      </c>
      <c r="AE70" s="29" t="n">
        <f aca="false">+AE69/AE$61</f>
        <v>0.0941607476993408</v>
      </c>
      <c r="AF70" s="29" t="n">
        <f aca="false">+AF69/AF$61</f>
        <v>0.09</v>
      </c>
      <c r="AG70" s="29" t="n">
        <f aca="false">+AG69/AG$61</f>
        <v>0.09</v>
      </c>
      <c r="AH70" s="29" t="n">
        <f aca="false">+AH69/AH$61</f>
        <v>0.08</v>
      </c>
      <c r="AI70" s="29" t="n">
        <f aca="false">+AI69/AI$61</f>
        <v>0.08</v>
      </c>
      <c r="AJ70" s="29" t="n">
        <f aca="false">+AJ69/AJ$61</f>
        <v>0.08</v>
      </c>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row>
    <row r="71" s="1" customFormat="true" ht="12.8" hidden="false" customHeight="false" outlineLevel="0" collapsed="false">
      <c r="A71" s="7" t="s">
        <v>291</v>
      </c>
      <c r="B71" s="7" t="n">
        <v>587</v>
      </c>
      <c r="C71" s="7" t="n">
        <v>704</v>
      </c>
      <c r="D71" s="7" t="n">
        <v>760</v>
      </c>
      <c r="E71" s="7" t="n">
        <v>747</v>
      </c>
      <c r="F71" s="7" t="n">
        <v>775</v>
      </c>
      <c r="G71" s="7" t="n">
        <v>808</v>
      </c>
      <c r="H71" s="7" t="n">
        <v>797</v>
      </c>
      <c r="I71" s="7" t="n">
        <v>784</v>
      </c>
      <c r="J71" s="7" t="n">
        <v>790</v>
      </c>
      <c r="K71" s="7" t="n">
        <v>760</v>
      </c>
      <c r="L71" s="7" t="n">
        <v>774</v>
      </c>
      <c r="M71" s="7" t="n">
        <v>785</v>
      </c>
      <c r="N71" s="7" t="n">
        <v>815</v>
      </c>
      <c r="O71" s="7" t="n">
        <v>840</v>
      </c>
      <c r="P71" s="7" t="n">
        <v>862</v>
      </c>
      <c r="Q71" s="7" t="n">
        <v>885</v>
      </c>
      <c r="R71" s="7" t="n">
        <v>951</v>
      </c>
      <c r="S71" s="7" t="n">
        <v>1043</v>
      </c>
      <c r="T71" s="7" t="n">
        <f aca="false">+S71*1.1</f>
        <v>1147.3</v>
      </c>
      <c r="U71" s="7" t="n">
        <f aca="false">+T71*1.1</f>
        <v>1262.03</v>
      </c>
      <c r="V71" s="7"/>
      <c r="W71" s="7"/>
      <c r="X71" s="7"/>
      <c r="Y71" s="7" t="n">
        <v>4836</v>
      </c>
      <c r="Z71" s="7" t="n">
        <v>2205</v>
      </c>
      <c r="AA71" s="7" t="n">
        <v>2054</v>
      </c>
      <c r="AB71" s="7" t="n">
        <v>2798</v>
      </c>
      <c r="AC71" s="7" t="n">
        <v>3164</v>
      </c>
      <c r="AD71" s="7" t="n">
        <v>3109</v>
      </c>
      <c r="AE71" s="7" t="n">
        <f aca="false">SUM(N71:Q71)</f>
        <v>3402</v>
      </c>
      <c r="AF71" s="7" t="n">
        <f aca="false">+AF61*0.07</f>
        <v>4078.16642690793</v>
      </c>
      <c r="AG71" s="7" t="n">
        <f aca="false">+AG61*0.07</f>
        <v>4893.79971228952</v>
      </c>
      <c r="AH71" s="7" t="n">
        <f aca="false">+AH61*0.07</f>
        <v>5872.55965474742</v>
      </c>
      <c r="AI71" s="7" t="n">
        <f aca="false">+AI61*0.07</f>
        <v>7047.07158569691</v>
      </c>
      <c r="AJ71" s="7" t="n">
        <f aca="false">+AJ61*0.06</f>
        <v>7248.41648814539</v>
      </c>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row>
    <row r="72" s="1" customFormat="true" ht="10.5" hidden="false" customHeight="true" outlineLevel="0" collapsed="false">
      <c r="A72" s="53" t="s">
        <v>264</v>
      </c>
      <c r="B72" s="29" t="n">
        <f aca="false">+B71/B$61</f>
        <v>0.0856434199007879</v>
      </c>
      <c r="C72" s="29" t="n">
        <f aca="false">+C71/C$61</f>
        <v>0.0872042611173046</v>
      </c>
      <c r="D72" s="29" t="n">
        <f aca="false">+D71/D$61</f>
        <v>0.0910943305765312</v>
      </c>
      <c r="E72" s="29" t="n">
        <f aca="false">+E71/E$61</f>
        <v>0.0867898222377135</v>
      </c>
      <c r="F72" s="29" t="n">
        <f aca="false">+F71/F$61</f>
        <v>0.087829137767382</v>
      </c>
      <c r="G72" s="29" t="n">
        <f aca="false">+G71/G$61</f>
        <v>0.0875357470177224</v>
      </c>
      <c r="H72" s="29" t="n">
        <f aca="false">+H71/H$61</f>
        <v>0.0857691414460446</v>
      </c>
      <c r="I72" s="29" t="n">
        <f aca="false">+I71/I$61</f>
        <v>0.0789017927173656</v>
      </c>
      <c r="J72" s="29" t="n">
        <f aca="false">+J71/J$61</f>
        <v>0.0779758646476423</v>
      </c>
      <c r="K72" s="29" t="n">
        <f aca="false">+K71/K$61</f>
        <v>0.0710258430739783</v>
      </c>
      <c r="L72" s="29" t="n">
        <f aca="false">+L71/L$61</f>
        <v>0.0691785070586552</v>
      </c>
      <c r="M72" s="29" t="n">
        <f aca="false">+M71/M$61</f>
        <v>0.0656384270145135</v>
      </c>
      <c r="N72" s="29" t="n">
        <f aca="false">+N71/N$61</f>
        <v>0.0706647702613117</v>
      </c>
      <c r="O72" s="29" t="n">
        <f aca="false">+O71/O$61</f>
        <v>0.0663956364938075</v>
      </c>
      <c r="P72" s="29" t="n">
        <f aca="false">+P71/P$61</f>
        <v>0.0640059933196743</v>
      </c>
      <c r="Q72" s="29" t="n">
        <f aca="false">+Q71/Q$61</f>
        <v>0.0616037867186412</v>
      </c>
      <c r="R72" s="29" t="n">
        <f aca="false">+R71/R$61</f>
        <v>0.072029084299023</v>
      </c>
      <c r="S72" s="29" t="n">
        <f aca="false">+S71/S$61</f>
        <v>0.0734972870128955</v>
      </c>
      <c r="T72" s="29"/>
      <c r="U72" s="29"/>
      <c r="V72" s="29"/>
      <c r="W72" s="29"/>
      <c r="X72" s="29"/>
      <c r="Y72" s="29" t="n">
        <f aca="false">+Y71/Y$61</f>
        <v>0.341839259206899</v>
      </c>
      <c r="Z72" s="29" t="n">
        <f aca="false">+Z71/Z$61</f>
        <v>0.19794416185286</v>
      </c>
      <c r="AA72" s="29" t="n">
        <f aca="false">+AA71/AA$61</f>
        <v>0.117657891219952</v>
      </c>
      <c r="AB72" s="29" t="n">
        <f aca="false">+AB71/AB$61</f>
        <v>0.0877650287516627</v>
      </c>
      <c r="AC72" s="29" t="n">
        <f aca="false">+AC71/AC$61</f>
        <v>0.0848683120897883</v>
      </c>
      <c r="AD72" s="29" t="n">
        <f aca="false">+AD71/AD$61</f>
        <v>0.070693840422704</v>
      </c>
      <c r="AE72" s="29" t="n">
        <f aca="false">+AE71/AE$61</f>
        <v>0.0654011563236336</v>
      </c>
      <c r="AF72" s="29" t="n">
        <f aca="false">+AF71/AF$61</f>
        <v>0.07</v>
      </c>
      <c r="AG72" s="29" t="n">
        <f aca="false">+AG71/AG$61</f>
        <v>0.07</v>
      </c>
      <c r="AH72" s="29" t="n">
        <f aca="false">+AH71/AH$61</f>
        <v>0.07</v>
      </c>
      <c r="AI72" s="29" t="n">
        <f aca="false">+AI71/AI$61</f>
        <v>0.07</v>
      </c>
      <c r="AJ72" s="29" t="n">
        <f aca="false">+AJ71/AJ$61</f>
        <v>0.06</v>
      </c>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row>
    <row r="73" s="1" customFormat="true" ht="12.8" hidden="false" customHeight="false" outlineLevel="0" collapsed="false">
      <c r="A73" s="7" t="s">
        <v>292</v>
      </c>
      <c r="B73" s="7" t="n">
        <v>632</v>
      </c>
      <c r="C73" s="7" t="n">
        <v>851</v>
      </c>
      <c r="D73" s="7" t="n">
        <v>908</v>
      </c>
      <c r="E73" s="7" t="n">
        <v>745</v>
      </c>
      <c r="F73" s="7" t="n">
        <v>942</v>
      </c>
      <c r="G73" s="7" t="n">
        <v>491</v>
      </c>
      <c r="H73" s="7" t="n">
        <v>646</v>
      </c>
      <c r="I73" s="7" t="n">
        <v>603</v>
      </c>
      <c r="J73" s="7" t="n">
        <v>1209</v>
      </c>
      <c r="K73" s="7" t="n">
        <v>686</v>
      </c>
      <c r="L73" s="7" t="n">
        <v>630</v>
      </c>
      <c r="M73" s="7" t="n">
        <v>1114</v>
      </c>
      <c r="N73" s="7" t="n">
        <v>657</v>
      </c>
      <c r="O73" s="7" t="n">
        <v>669</v>
      </c>
      <c r="P73" s="7" t="n">
        <v>1183</v>
      </c>
      <c r="Q73" s="7" t="n">
        <v>732</v>
      </c>
      <c r="R73" s="7" t="n">
        <v>798</v>
      </c>
      <c r="S73" s="7" t="n">
        <v>935</v>
      </c>
      <c r="T73" s="7" t="n">
        <f aca="false">+S73*1.1</f>
        <v>1028.5</v>
      </c>
      <c r="U73" s="7" t="n">
        <f aca="false">+T73*1.1</f>
        <v>1131.35</v>
      </c>
      <c r="V73" s="7"/>
      <c r="W73" s="7"/>
      <c r="X73" s="7"/>
      <c r="Y73" s="7" t="n">
        <v>3299</v>
      </c>
      <c r="Z73" s="7" t="n">
        <v>2666</v>
      </c>
      <c r="AA73" s="7" t="n">
        <v>2316</v>
      </c>
      <c r="AB73" s="7" t="n">
        <v>3136</v>
      </c>
      <c r="AC73" s="7" t="n">
        <v>2682</v>
      </c>
      <c r="AD73" s="7" t="n">
        <v>3639</v>
      </c>
      <c r="AE73" s="7" t="n">
        <f aca="false">SUM(N73:Q73)</f>
        <v>3241</v>
      </c>
      <c r="AF73" s="7" t="n">
        <f aca="false">+AF61*0.06</f>
        <v>3495.57122306394</v>
      </c>
      <c r="AG73" s="7" t="n">
        <f aca="false">+AG61*0.06</f>
        <v>4194.68546767673</v>
      </c>
      <c r="AH73" s="7" t="n">
        <f aca="false">+AH61*0.06</f>
        <v>5033.62256121207</v>
      </c>
      <c r="AI73" s="7" t="n">
        <f aca="false">+AI61*0.05</f>
        <v>5033.62256121207</v>
      </c>
      <c r="AJ73" s="7" t="n">
        <f aca="false">+AJ61*0.05</f>
        <v>6040.34707345449</v>
      </c>
      <c r="AK73" s="59"/>
      <c r="AL73" s="59"/>
      <c r="AM73" s="59"/>
      <c r="AN73" s="59"/>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c r="BU73" s="59"/>
      <c r="BV73" s="59"/>
      <c r="BW73" s="59"/>
      <c r="BX73" s="59"/>
      <c r="BY73" s="59"/>
      <c r="BZ73" s="59"/>
      <c r="CA73" s="59"/>
      <c r="CB73" s="59"/>
      <c r="CC73" s="59"/>
      <c r="CD73" s="59"/>
      <c r="CE73" s="59"/>
      <c r="CF73" s="59"/>
      <c r="CG73" s="59"/>
      <c r="CH73" s="59"/>
      <c r="CI73" s="59"/>
      <c r="CJ73" s="59"/>
      <c r="CK73" s="59"/>
      <c r="CL73" s="59"/>
      <c r="CM73" s="59"/>
      <c r="CN73" s="59"/>
      <c r="CO73" s="59"/>
      <c r="CP73" s="59"/>
      <c r="CQ73" s="59"/>
      <c r="CR73" s="59"/>
      <c r="CS73" s="59"/>
      <c r="CT73" s="59"/>
      <c r="CU73" s="59"/>
      <c r="CV73" s="59"/>
      <c r="CW73" s="59"/>
      <c r="CX73" s="59"/>
      <c r="CY73" s="59"/>
      <c r="CZ73" s="59"/>
      <c r="DA73" s="59"/>
      <c r="DB73" s="59"/>
      <c r="DC73" s="59"/>
      <c r="DD73" s="59"/>
      <c r="DE73" s="59"/>
      <c r="DF73" s="59"/>
      <c r="DG73" s="59"/>
      <c r="DH73" s="59"/>
      <c r="DI73" s="59"/>
      <c r="DJ73" s="59"/>
      <c r="DK73" s="59"/>
      <c r="DL73" s="59"/>
      <c r="DM73" s="59"/>
      <c r="DN73" s="59"/>
      <c r="DO73" s="59"/>
      <c r="DP73" s="59"/>
      <c r="DQ73" s="59"/>
      <c r="DR73" s="59"/>
      <c r="DS73" s="59"/>
      <c r="DT73" s="59"/>
      <c r="DU73" s="59"/>
      <c r="DV73" s="59"/>
      <c r="DW73" s="59"/>
      <c r="DX73" s="59"/>
      <c r="DY73" s="59"/>
      <c r="DZ73" s="59"/>
      <c r="EA73" s="59"/>
      <c r="EB73" s="59"/>
      <c r="EC73" s="59"/>
      <c r="ED73" s="59"/>
      <c r="EE73" s="59"/>
      <c r="EF73" s="59"/>
      <c r="EG73" s="59"/>
      <c r="EH73" s="59"/>
      <c r="EI73" s="59"/>
      <c r="EJ73" s="59"/>
      <c r="EK73" s="59"/>
      <c r="EL73" s="59"/>
      <c r="EM73" s="59"/>
      <c r="EN73" s="59"/>
      <c r="EO73" s="59"/>
      <c r="EP73" s="59"/>
    </row>
    <row r="74" s="1" customFormat="true" ht="10.5" hidden="false" customHeight="true" outlineLevel="0" collapsed="false">
      <c r="A74" s="53" t="s">
        <v>264</v>
      </c>
      <c r="B74" s="29" t="n">
        <f aca="false">+B73/B$61</f>
        <v>0.0922089290925007</v>
      </c>
      <c r="C74" s="29" t="n">
        <f aca="false">+C73/C$61</f>
        <v>0.105413105413105</v>
      </c>
      <c r="D74" s="29" t="n">
        <f aca="false">+D73/D$61</f>
        <v>0.108833752846698</v>
      </c>
      <c r="E74" s="29" t="n">
        <f aca="false">+E73/E$61</f>
        <v>0.0865574532357384</v>
      </c>
      <c r="F74" s="29" t="n">
        <f aca="false">+F73/F$61</f>
        <v>0.106754900357257</v>
      </c>
      <c r="G74" s="29" t="n">
        <f aca="false">+G73/G$61</f>
        <v>0.0531931333981457</v>
      </c>
      <c r="H74" s="29" t="n">
        <f aca="false">+H73/H$61</f>
        <v>0.0695192790139834</v>
      </c>
      <c r="I74" s="29" t="n">
        <f aca="false">+I73/I$61</f>
        <v>0.0606859451639942</v>
      </c>
      <c r="J74" s="29" t="n">
        <f aca="false">+J73/J$61</f>
        <v>0.119332683998734</v>
      </c>
      <c r="K74" s="29" t="n">
        <f aca="false">+K73/K$61</f>
        <v>0.0641101688799331</v>
      </c>
      <c r="L74" s="29" t="n">
        <f aca="false">+L73/L$61</f>
        <v>0.0563080871407659</v>
      </c>
      <c r="M74" s="29" t="n">
        <f aca="false">+M73/M$61</f>
        <v>0.093148035279195</v>
      </c>
      <c r="N74" s="29" t="n">
        <f aca="false">+N73/N$61</f>
        <v>0.0569653424069715</v>
      </c>
      <c r="O74" s="29" t="n">
        <f aca="false">+O73/O$61</f>
        <v>0.0528793819218538</v>
      </c>
      <c r="P74" s="29" t="n">
        <f aca="false">+P73/P$61</f>
        <v>0.0878411718064671</v>
      </c>
      <c r="Q74" s="29" t="n">
        <f aca="false">+Q73/Q$61</f>
        <v>0.0509536405401643</v>
      </c>
      <c r="R74" s="29" t="n">
        <f aca="false">+R73/R$61</f>
        <v>0.0604408089070666</v>
      </c>
      <c r="S74" s="29" t="n">
        <f aca="false">+S73/S$61</f>
        <v>0.0658868296807836</v>
      </c>
      <c r="T74" s="29"/>
      <c r="U74" s="29"/>
      <c r="V74" s="29"/>
      <c r="W74" s="29"/>
      <c r="X74" s="29"/>
      <c r="Y74" s="29" t="n">
        <f aca="false">+Y73/Y$61</f>
        <v>0.233194316816286</v>
      </c>
      <c r="Z74" s="29" t="n">
        <f aca="false">+Z73/Z$61</f>
        <v>0.239328406122325</v>
      </c>
      <c r="AA74" s="29" t="n">
        <f aca="false">+AA73/AA$61</f>
        <v>0.132665859817629</v>
      </c>
      <c r="AB74" s="29" t="n">
        <f aca="false">+AB73/AB$61</f>
        <v>0.0983670944121567</v>
      </c>
      <c r="AC74" s="29" t="n">
        <f aca="false">+AC73/AC$61</f>
        <v>0.0719395742809141</v>
      </c>
      <c r="AD74" s="29" t="n">
        <f aca="false">+AD73/AD$61</f>
        <v>0.0827452188157671</v>
      </c>
      <c r="AE74" s="29" t="n">
        <f aca="false">+AE73/AE$61</f>
        <v>0.0623060398721036</v>
      </c>
      <c r="AF74" s="29" t="n">
        <f aca="false">+AF73/AF$61</f>
        <v>0.06</v>
      </c>
      <c r="AG74" s="29" t="n">
        <f aca="false">+AG73/AG$61</f>
        <v>0.06</v>
      </c>
      <c r="AH74" s="29" t="n">
        <f aca="false">+AH73/AH$61</f>
        <v>0.06</v>
      </c>
      <c r="AI74" s="29" t="n">
        <f aca="false">+AI73/AI$61</f>
        <v>0.05</v>
      </c>
      <c r="AJ74" s="29" t="n">
        <f aca="false">+AJ73/AJ$61</f>
        <v>0.05</v>
      </c>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88"/>
      <c r="BX74" s="88"/>
      <c r="BY74" s="88"/>
      <c r="BZ74" s="88"/>
      <c r="CA74" s="88"/>
      <c r="CB74" s="88"/>
      <c r="CC74" s="88"/>
      <c r="CD74" s="88"/>
      <c r="CE74" s="88"/>
      <c r="CF74" s="88"/>
      <c r="CG74" s="88"/>
      <c r="CH74" s="88"/>
      <c r="CI74" s="88"/>
      <c r="CJ74" s="88"/>
      <c r="CK74" s="88"/>
      <c r="CL74" s="88"/>
      <c r="CM74" s="88"/>
      <c r="CN74" s="88"/>
      <c r="CO74" s="88"/>
      <c r="CP74" s="88"/>
      <c r="CQ74" s="88"/>
      <c r="CR74" s="88"/>
      <c r="CS74" s="88"/>
      <c r="CT74" s="88"/>
      <c r="CU74" s="88"/>
      <c r="CV74" s="88"/>
      <c r="CW74" s="88"/>
      <c r="CX74" s="88"/>
      <c r="CY74" s="88"/>
      <c r="CZ74" s="88"/>
      <c r="DA74" s="88"/>
      <c r="DB74" s="88"/>
      <c r="DC74" s="88"/>
      <c r="DD74" s="88"/>
      <c r="DE74" s="88"/>
      <c r="DF74" s="88"/>
      <c r="DG74" s="88"/>
      <c r="DH74" s="88"/>
      <c r="DI74" s="88"/>
      <c r="DJ74" s="88"/>
      <c r="DK74" s="88"/>
      <c r="DL74" s="88"/>
      <c r="DM74" s="88"/>
      <c r="DN74" s="88"/>
      <c r="DO74" s="88"/>
      <c r="DP74" s="88"/>
      <c r="DQ74" s="88"/>
      <c r="DR74" s="88"/>
      <c r="DS74" s="88"/>
      <c r="DT74" s="88"/>
      <c r="DU74" s="88"/>
      <c r="DV74" s="88"/>
      <c r="DW74" s="88"/>
      <c r="DX74" s="88"/>
      <c r="DY74" s="88"/>
      <c r="DZ74" s="88"/>
      <c r="EA74" s="88"/>
      <c r="EB74" s="88"/>
      <c r="EC74" s="88"/>
      <c r="ED74" s="88"/>
      <c r="EE74" s="88"/>
      <c r="EF74" s="88"/>
      <c r="EG74" s="88"/>
      <c r="EH74" s="88"/>
      <c r="EI74" s="88"/>
      <c r="EJ74" s="88"/>
      <c r="EK74" s="88"/>
      <c r="EL74" s="88"/>
      <c r="EM74" s="88"/>
      <c r="EN74" s="88"/>
      <c r="EO74" s="88"/>
      <c r="EP74" s="88"/>
      <c r="EQ74" s="29"/>
    </row>
    <row r="75" s="1" customFormat="true" ht="12.8" hidden="false" customHeight="false" outlineLevel="0" collapsed="false">
      <c r="A75" s="7" t="s">
        <v>293</v>
      </c>
      <c r="B75" s="7" t="n">
        <f aca="false">SUM(B67:B73)-B72-B70-B68</f>
        <v>3056</v>
      </c>
      <c r="C75" s="7" t="n">
        <f aca="false">SUM(C67:C73)-C72-C70-C68</f>
        <v>3390</v>
      </c>
      <c r="D75" s="7" t="n">
        <f aca="false">SUM(D67:D73)-D72-D70-D68</f>
        <v>3438</v>
      </c>
      <c r="E75" s="7" t="n">
        <f aca="false">SUM(E67:E73)-E72-E70-E68</f>
        <v>3219</v>
      </c>
      <c r="F75" s="7" t="n">
        <f aca="false">SUM(F67:F73)-F72-F70-F68</f>
        <v>3619</v>
      </c>
      <c r="G75" s="7" t="n">
        <f aca="false">SUM(G67:G73)-G72-G70-G68</f>
        <v>3181</v>
      </c>
      <c r="H75" s="7" t="n">
        <f aca="false">SUM(H67:H73)-H72-H70-H68</f>
        <v>3067</v>
      </c>
      <c r="I75" s="7" t="n">
        <f aca="false">SUM(I67:I73)-I72-I70-I68</f>
        <v>3024</v>
      </c>
      <c r="J75" s="7" t="n">
        <f aca="false">SUM(J67:J73)-J72-J70-J68</f>
        <v>3601</v>
      </c>
      <c r="K75" s="7" t="n">
        <f aca="false">SUM(K67:K73)-K72-K70-K68</f>
        <v>3243</v>
      </c>
      <c r="L75" s="7" t="n">
        <f aca="false">SUM(L67:L73)-L72-L70-L68</f>
        <v>3187</v>
      </c>
      <c r="M75" s="7" t="n">
        <f aca="false">SUM(M67:M73)-M72-M70-M68</f>
        <v>3786</v>
      </c>
      <c r="N75" s="7" t="n">
        <f aca="false">SUM(N67:N73)-N72-N70-N68</f>
        <v>3197</v>
      </c>
      <c r="O75" s="7" t="n">
        <f aca="false">SUM(O67:O73)-O72-O70-O68</f>
        <v>3415</v>
      </c>
      <c r="P75" s="7" t="n">
        <f aca="false">SUM(P67:P73)-P72-P70-P68</f>
        <v>4057</v>
      </c>
      <c r="Q75" s="7" t="n">
        <f aca="false">SUM(Q67:Q73)-Q72-Q70-Q68</f>
        <v>3726</v>
      </c>
      <c r="R75" s="7" t="n">
        <f aca="false">SUM(R67:R73)-R72-R70-R68</f>
        <v>3838</v>
      </c>
      <c r="S75" s="7" t="n">
        <f aca="false">SUM(S67:S73)-S72-S70-S68</f>
        <v>4298</v>
      </c>
      <c r="T75" s="7" t="n">
        <f aca="false">SUM(T67:T73)</f>
        <v>4727.8</v>
      </c>
      <c r="U75" s="7" t="n">
        <f aca="false">SUM(U67:U73)</f>
        <v>5200.58</v>
      </c>
      <c r="V75" s="7"/>
      <c r="W75" s="7"/>
      <c r="X75" s="7"/>
      <c r="Y75" s="7" t="n">
        <f aca="false">+Y73+Y71+Y69+Y67</f>
        <v>15063</v>
      </c>
      <c r="Z75" s="7" t="n">
        <f aca="false">+Z73+Z71+Z69+Z67</f>
        <v>10273</v>
      </c>
      <c r="AA75" s="7" t="n">
        <f aca="false">+AA73+AA71+AA69+AA67</f>
        <v>11036</v>
      </c>
      <c r="AB75" s="7" t="n">
        <f aca="false">+AB73+AB71+AB69+AB67</f>
        <v>13103</v>
      </c>
      <c r="AC75" s="7" t="n">
        <f aca="false">+AC73+AC71+AC69+AC67</f>
        <v>12891</v>
      </c>
      <c r="AD75" s="7" t="n">
        <f aca="false">+AD73+AD71+AD69+AD67</f>
        <v>13817</v>
      </c>
      <c r="AE75" s="7" t="n">
        <f aca="false">+AE73+AE71+AE69+AE67</f>
        <v>14395</v>
      </c>
      <c r="AF75" s="7" t="n">
        <f aca="false">+AF73+AF71+AF69+AF67</f>
        <v>15730.0705037877</v>
      </c>
      <c r="AG75" s="7" t="n">
        <f aca="false">+AG73+AG71+AG69+AG67</f>
        <v>18876.0846045453</v>
      </c>
      <c r="AH75" s="7" t="n">
        <f aca="false">+AH73+AH71+AH69+AH67</f>
        <v>21812.364431919</v>
      </c>
      <c r="AI75" s="7" t="n">
        <f aca="false">+AI73+AI71+AI69+AI67</f>
        <v>25168.1128060604</v>
      </c>
      <c r="AJ75" s="7" t="n">
        <f aca="false">+AJ73+AJ71+AJ69+AJ67</f>
        <v>28993.6659525816</v>
      </c>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row>
    <row r="76" s="1" customFormat="true" ht="10.5" hidden="false" customHeight="true" outlineLevel="0" collapsed="false">
      <c r="A76" s="53" t="s">
        <v>264</v>
      </c>
      <c r="B76" s="29" t="n">
        <f aca="false">+B75/B$61</f>
        <v>0.445871024219434</v>
      </c>
      <c r="C76" s="29" t="n">
        <f aca="false">+C75/C$61</f>
        <v>0.419918246005203</v>
      </c>
      <c r="D76" s="29" t="n">
        <f aca="false">+D75/D$61</f>
        <v>0.412081984897519</v>
      </c>
      <c r="E76" s="29" t="n">
        <f aca="false">+E75/E$61</f>
        <v>0.373997908678982</v>
      </c>
      <c r="F76" s="29" t="n">
        <f aca="false">+F75/F$61</f>
        <v>0.410133741393749</v>
      </c>
      <c r="G76" s="29" t="n">
        <f aca="false">+G75/G$61</f>
        <v>0.344617835721999</v>
      </c>
      <c r="H76" s="29" t="n">
        <f aca="false">+H75/H$61</f>
        <v>0.330055152841931</v>
      </c>
      <c r="I76" s="29" t="n">
        <f aca="false">+I75/I$61</f>
        <v>0.304335486195553</v>
      </c>
      <c r="J76" s="29" t="n">
        <f aca="false">+J75/J$61</f>
        <v>0.355431757716658</v>
      </c>
      <c r="K76" s="29" t="n">
        <f aca="false">+K75/K$61</f>
        <v>0.3030747488012</v>
      </c>
      <c r="L76" s="29" t="n">
        <f aca="false">+L75/L$61</f>
        <v>0.284847418599398</v>
      </c>
      <c r="M76" s="29" t="n">
        <f aca="false">+M75/M$61</f>
        <v>0.316569534620316</v>
      </c>
      <c r="N76" s="29" t="n">
        <f aca="false">+N75/N$61</f>
        <v>0.277196650951428</v>
      </c>
      <c r="O76" s="29" t="n">
        <f aca="false">+O75/O$61</f>
        <v>0.269929879317086</v>
      </c>
      <c r="P76" s="29" t="n">
        <f aca="false">+P75/P$61</f>
        <v>0.30124398480037</v>
      </c>
      <c r="Q76" s="29" t="n">
        <f aca="false">+Q75/Q$61</f>
        <v>0.259362383405262</v>
      </c>
      <c r="R76" s="29" t="n">
        <f aca="false">+R75/R$61</f>
        <v>0.290691509505415</v>
      </c>
      <c r="S76" s="29" t="n">
        <f aca="false">+S75/S$61</f>
        <v>0.302868014939046</v>
      </c>
      <c r="T76" s="29" t="n">
        <f aca="false">+T75/T$61</f>
        <v>0.319138931888585</v>
      </c>
      <c r="U76" s="29" t="n">
        <f aca="false">+U75/U$61</f>
        <v>0.329096477794793</v>
      </c>
      <c r="V76" s="29"/>
      <c r="W76" s="29"/>
      <c r="X76" s="29"/>
      <c r="Y76" s="29" t="n">
        <f aca="false">+Y75/Y$61</f>
        <v>1.06474870997385</v>
      </c>
      <c r="Z76" s="29" t="n">
        <f aca="false">+Z75/Z$61</f>
        <v>0.922213321865957</v>
      </c>
      <c r="AA76" s="29" t="n">
        <f aca="false">+AA75/AA$61</f>
        <v>0.632167715434954</v>
      </c>
      <c r="AB76" s="29" t="n">
        <f aca="false">+AB75/AB$61</f>
        <v>0.411002563164059</v>
      </c>
      <c r="AC76" s="29" t="n">
        <f aca="false">+AC75/AC$61</f>
        <v>0.345776678618667</v>
      </c>
      <c r="AD76" s="29" t="n">
        <f aca="false">+AD75/AD$61</f>
        <v>0.314177160862175</v>
      </c>
      <c r="AE76" s="29" t="n">
        <f aca="false">+AE75/AE$61</f>
        <v>0.276734169688038</v>
      </c>
      <c r="AF76" s="29" t="n">
        <f aca="false">+AF75/AF$61</f>
        <v>0.27</v>
      </c>
      <c r="AG76" s="29" t="n">
        <f aca="false">+AG75/AG$61</f>
        <v>0.27</v>
      </c>
      <c r="AH76" s="29" t="n">
        <f aca="false">+AH75/AH$61</f>
        <v>0.26</v>
      </c>
      <c r="AI76" s="29" t="n">
        <f aca="false">+AI75/AI$61</f>
        <v>0.25</v>
      </c>
      <c r="AJ76" s="29" t="n">
        <f aca="false">+AJ75/AJ$61</f>
        <v>0.24</v>
      </c>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row>
    <row r="77" s="1" customFormat="true" ht="12.8" hidden="false" customHeight="false" outlineLevel="0" collapsed="false">
      <c r="A77" s="7" t="s">
        <v>294</v>
      </c>
      <c r="B77" s="7" t="n">
        <f aca="false">B65-B75</f>
        <v>-482</v>
      </c>
      <c r="C77" s="7" t="n">
        <f aca="false">C65-C75</f>
        <v>-713</v>
      </c>
      <c r="D77" s="7" t="n">
        <f aca="false">D65-D75</f>
        <v>-495</v>
      </c>
      <c r="E77" s="7" t="n">
        <f aca="false">E65-E75</f>
        <v>-142</v>
      </c>
      <c r="F77" s="7" t="n">
        <f aca="false">F65-F75</f>
        <v>-261.04909144605</v>
      </c>
      <c r="G77" s="7" t="n">
        <f aca="false">G65-G75</f>
        <v>326.51470431175</v>
      </c>
      <c r="H77" s="7" t="n">
        <f aca="false">H65-H75</f>
        <v>394.38635904237</v>
      </c>
      <c r="I77" s="7" t="n">
        <f aca="false">I65-I75</f>
        <v>652.40287500652</v>
      </c>
      <c r="J77" s="7" t="n">
        <f aca="false">J65-J75</f>
        <v>172.34004438242</v>
      </c>
      <c r="K77" s="7" t="n">
        <f aca="false">K65-K75</f>
        <v>796.33057134443</v>
      </c>
      <c r="L77" s="7" t="n">
        <f aca="false">L65-L75</f>
        <v>1061.44613607724</v>
      </c>
      <c r="M77" s="7" t="n">
        <f aca="false">M65-M75</f>
        <v>770.45783140762</v>
      </c>
      <c r="N77" s="7" t="n">
        <f aca="false">N65-N75</f>
        <v>1228.32837545794</v>
      </c>
      <c r="O77" s="7" t="n">
        <f aca="false">O65-O75</f>
        <v>1450.43380436374</v>
      </c>
      <c r="P77" s="7" t="n">
        <f aca="false">P65-P75</f>
        <v>1113.48882865999</v>
      </c>
      <c r="Q77" s="7" t="n">
        <f aca="false">Q65-Q75</f>
        <v>1774</v>
      </c>
      <c r="R77" s="7" t="n">
        <f aca="false">R65-R75</f>
        <v>1923</v>
      </c>
      <c r="S77" s="7" t="n">
        <f aca="false">S65-S75</f>
        <v>1890</v>
      </c>
      <c r="T77" s="7" t="n">
        <f aca="false">T65-T75</f>
        <v>1642.32221595618</v>
      </c>
      <c r="U77" s="7" t="n">
        <f aca="false">U65-U75</f>
        <v>1594.538</v>
      </c>
      <c r="V77" s="7"/>
      <c r="W77" s="7"/>
      <c r="X77" s="7"/>
      <c r="Y77" s="7" t="n">
        <f aca="false">Y65-Y75</f>
        <v>-8596</v>
      </c>
      <c r="Z77" s="7" t="n">
        <f aca="false">Z65-Z75</f>
        <v>-4862.49490240048</v>
      </c>
      <c r="AA77" s="7" t="n">
        <f aca="false">AA65-AA75</f>
        <v>-3831.60739587622</v>
      </c>
      <c r="AB77" s="7" t="n">
        <f aca="false">AB65-AB75</f>
        <v>-1828.4202315237</v>
      </c>
      <c r="AC77" s="7" t="n">
        <f aca="false">AC65-AC75</f>
        <v>1110.28817564525</v>
      </c>
      <c r="AD77" s="7" t="n">
        <f aca="false">AD65-AD75</f>
        <v>2799.37182716581</v>
      </c>
      <c r="AE77" s="7" t="n">
        <f aca="false">AE65-AE75</f>
        <v>5565.42891464198</v>
      </c>
      <c r="AF77" s="7" t="n">
        <f aca="false">AF65-AF75</f>
        <v>7573.73764997187</v>
      </c>
      <c r="AG77" s="7" t="n">
        <f aca="false">AG65-AG75</f>
        <v>9438.04230227264</v>
      </c>
      <c r="AH77" s="7" t="n">
        <f aca="false">AH65-AH75</f>
        <v>12584.0564030302</v>
      </c>
      <c r="AI77" s="7" t="n">
        <f aca="false">AI65-AI75</f>
        <v>16610.9544519998</v>
      </c>
      <c r="AJ77" s="7" t="n">
        <f aca="false">AJ65-AJ75</f>
        <v>21745.2494644362</v>
      </c>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row>
    <row r="78" s="1" customFormat="true" ht="10.5" hidden="false" customHeight="true" outlineLevel="0" collapsed="false">
      <c r="A78" s="53" t="s">
        <v>264</v>
      </c>
      <c r="B78" s="29" t="n">
        <f aca="false">+B77/B$61</f>
        <v>-0.0703238984534578</v>
      </c>
      <c r="C78" s="29" t="n">
        <f aca="false">+C77/C$61</f>
        <v>-0.0883190883190883</v>
      </c>
      <c r="D78" s="29" t="n">
        <f aca="false">+D77/D$61</f>
        <v>-0.0593311758360302</v>
      </c>
      <c r="E78" s="29" t="n">
        <f aca="false">+E77/E$61</f>
        <v>-0.0164981991402347</v>
      </c>
      <c r="F78" s="29" t="n">
        <f aca="false">+F77/F$61</f>
        <v>-0.0295841504731162</v>
      </c>
      <c r="G78" s="29" t="n">
        <f aca="false">+G77/G$61</f>
        <v>0.0353734016759898</v>
      </c>
      <c r="H78" s="29" t="n">
        <f aca="false">+H77/H$61</f>
        <v>0.0424418813213244</v>
      </c>
      <c r="I78" s="29" t="n">
        <f aca="false">+I77/I$61</f>
        <v>0.0656578525662982</v>
      </c>
      <c r="J78" s="29" t="n">
        <f aca="false">+J77/J$61</f>
        <v>0.0170105873090281</v>
      </c>
      <c r="K78" s="29" t="n">
        <f aca="false">+K77/K$61</f>
        <v>0.0744211186780539</v>
      </c>
      <c r="L78" s="29" t="n">
        <f aca="false">+L77/L$61</f>
        <v>0.0948698436912166</v>
      </c>
      <c r="M78" s="29" t="n">
        <f aca="false">+M77/M$61</f>
        <v>0.0644224715090566</v>
      </c>
      <c r="N78" s="29" t="n">
        <f aca="false">+N77/N$61</f>
        <v>0.106502506082436</v>
      </c>
      <c r="O78" s="29" t="n">
        <f aca="false">+O77/O$61</f>
        <v>0.114645804324839</v>
      </c>
      <c r="P78" s="29" t="n">
        <f aca="false">+P77/P$61</f>
        <v>0.0826797662746441</v>
      </c>
      <c r="Q78" s="29" t="n">
        <f aca="false">+Q77/Q$61</f>
        <v>0.123486008631491</v>
      </c>
      <c r="R78" s="29" t="n">
        <f aca="false">+R77/R$61</f>
        <v>0.145648716200863</v>
      </c>
      <c r="S78" s="29" t="n">
        <f aca="false">+S77/S$61</f>
        <v>0.133183003311958</v>
      </c>
      <c r="T78" s="29" t="n">
        <f aca="false">+T77/T$61</f>
        <v>0.110861068111415</v>
      </c>
      <c r="U78" s="29" t="n">
        <f aca="false">+U77/U$61</f>
        <v>0.100903522205207</v>
      </c>
      <c r="V78" s="29"/>
      <c r="W78" s="29"/>
      <c r="X78" s="29"/>
      <c r="Y78" s="29" t="n">
        <f aca="false">+Y77/Y$61</f>
        <v>-0.607619990103909</v>
      </c>
      <c r="Z78" s="29" t="n">
        <f aca="false">+Z77/Z$61</f>
        <v>-0.436509060303614</v>
      </c>
      <c r="AA78" s="29" t="n">
        <f aca="false">+AA77/AA$61</f>
        <v>-0.219483372045555</v>
      </c>
      <c r="AB78" s="29" t="n">
        <f aca="false">+AB77/AB$61</f>
        <v>-0.0573521637561828</v>
      </c>
      <c r="AC78" s="29" t="n">
        <f aca="false">+AC77/AC$61</f>
        <v>0.0297813790772006</v>
      </c>
      <c r="AD78" s="29" t="n">
        <f aca="false">+AD77/AD$61</f>
        <v>0.0636533757585954</v>
      </c>
      <c r="AE78" s="29" t="n">
        <f aca="false">+AE77/AE$61</f>
        <v>0.106991618593348</v>
      </c>
      <c r="AF78" s="29" t="n">
        <f aca="false">+AF77/AF$61</f>
        <v>0.13</v>
      </c>
      <c r="AG78" s="29" t="n">
        <f aca="false">+AG77/AG$61</f>
        <v>0.135</v>
      </c>
      <c r="AH78" s="29" t="n">
        <f aca="false">+AH77/AH$61</f>
        <v>0.15</v>
      </c>
      <c r="AI78" s="29" t="n">
        <f aca="false">+AI77/AI$61</f>
        <v>0.165</v>
      </c>
      <c r="AJ78" s="29" t="n">
        <f aca="false">+AJ77/AJ$61</f>
        <v>0.18</v>
      </c>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row>
    <row r="79" s="1" customFormat="true" ht="12.8" hidden="false" customHeight="false" outlineLevel="0" collapsed="false">
      <c r="A79" s="7" t="s">
        <v>295</v>
      </c>
      <c r="B79" s="7" t="n">
        <v>-129</v>
      </c>
      <c r="C79" s="7" t="n">
        <v>-139</v>
      </c>
      <c r="D79" s="7" t="n">
        <v>-146</v>
      </c>
      <c r="E79" s="7" t="n">
        <v>-151</v>
      </c>
      <c r="F79" s="7" t="n">
        <v>-168</v>
      </c>
      <c r="G79" s="7" t="n">
        <v>-144</v>
      </c>
      <c r="H79" s="7" t="n">
        <v>-166</v>
      </c>
      <c r="I79" s="7" t="n">
        <v>-155</v>
      </c>
      <c r="J79" s="7" t="n">
        <v>-124</v>
      </c>
      <c r="K79" s="7" t="n">
        <v>-139</v>
      </c>
      <c r="L79" s="7" t="n">
        <v>-143</v>
      </c>
      <c r="M79" s="7" t="n">
        <v>-117</v>
      </c>
      <c r="N79" s="7" t="n">
        <v>-105</v>
      </c>
      <c r="O79" s="7" t="n">
        <v>-108</v>
      </c>
      <c r="P79" s="7" t="n">
        <v>-112</v>
      </c>
      <c r="Q79" s="7" t="n">
        <v>-115</v>
      </c>
      <c r="R79" s="7" t="n">
        <f aca="false">-108+175</f>
        <v>67</v>
      </c>
      <c r="S79" s="7" t="n">
        <f aca="false">-127+172</f>
        <v>45</v>
      </c>
      <c r="T79" s="7" t="n">
        <v>-100</v>
      </c>
      <c r="U79" s="7" t="n">
        <v>-100</v>
      </c>
      <c r="V79" s="7"/>
      <c r="W79" s="7"/>
      <c r="X79" s="7"/>
      <c r="Y79" s="7" t="n">
        <v>-559</v>
      </c>
      <c r="Z79" s="7" t="n">
        <v>-458</v>
      </c>
      <c r="AA79" s="7" t="n">
        <v>-483</v>
      </c>
      <c r="AB79" s="7" t="n">
        <v>-565</v>
      </c>
      <c r="AC79" s="7" t="n">
        <v>-633</v>
      </c>
      <c r="AD79" s="7" t="n">
        <v>-523</v>
      </c>
      <c r="AE79" s="7" t="n">
        <f aca="false">SUM(N79:Q79)</f>
        <v>-440</v>
      </c>
      <c r="AF79" s="7" t="n">
        <f aca="false">AE130*$AN$109</f>
        <v>-17.48</v>
      </c>
      <c r="AG79" s="7" t="n">
        <f aca="false">AF130*$AN$109</f>
        <v>178.670183599325</v>
      </c>
      <c r="AH79" s="7" t="n">
        <f aca="false">AG130*$AN$109</f>
        <v>372.687720830892</v>
      </c>
      <c r="AI79" s="7" t="n">
        <f aca="false">AH130*$AN$109</f>
        <v>616.509115060392</v>
      </c>
      <c r="AJ79" s="7" t="n">
        <f aca="false">AI130*$AN$109</f>
        <v>940.203459267475</v>
      </c>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row>
    <row r="80" s="89" customFormat="true" ht="10.5" hidden="false" customHeight="true" outlineLevel="0" collapsed="false">
      <c r="A80" s="53" t="s">
        <v>264</v>
      </c>
      <c r="B80" s="29" t="n">
        <f aca="false">+B79/B$61</f>
        <v>-0.0188211263495769</v>
      </c>
      <c r="C80" s="29" t="n">
        <f aca="false">+C79/C$61</f>
        <v>-0.0172178867831042</v>
      </c>
      <c r="D80" s="29" t="n">
        <f aca="false">+D79/D$61</f>
        <v>-0.0174997003475968</v>
      </c>
      <c r="E80" s="29" t="n">
        <f aca="false">+E79/E$61</f>
        <v>-0.0175438596491228</v>
      </c>
      <c r="F80" s="29" t="n">
        <f aca="false">+F79/F$61</f>
        <v>-0.0190390905095744</v>
      </c>
      <c r="G80" s="29" t="n">
        <f aca="false">+G79/G$61</f>
        <v>-0.0156004301615743</v>
      </c>
      <c r="H80" s="29" t="n">
        <f aca="false">+H79/H$61</f>
        <v>-0.0178640871769679</v>
      </c>
      <c r="I80" s="29" t="n">
        <f aca="false">+I79/I$61</f>
        <v>-0.0155992064683567</v>
      </c>
      <c r="J80" s="29" t="n">
        <f aca="false">+J79/J$61</f>
        <v>-0.0122392496408957</v>
      </c>
      <c r="K80" s="29" t="n">
        <f aca="false">+K79/K$61</f>
        <v>-0.0129902528780039</v>
      </c>
      <c r="L80" s="29" t="n">
        <f aca="false">+L79/L$61</f>
        <v>-0.0127810420017929</v>
      </c>
      <c r="M80" s="29" t="n">
        <f aca="false">+M79/M$61</f>
        <v>-0.00978305217923323</v>
      </c>
      <c r="N80" s="29" t="n">
        <f aca="false">+N79/N$61</f>
        <v>-0.00910405015636531</v>
      </c>
      <c r="O80" s="29" t="n">
        <f aca="false">+O79/O$61</f>
        <v>-0.0085365818349181</v>
      </c>
      <c r="P80" s="29" t="n">
        <f aca="false">+P79/P$61</f>
        <v>-0.00831632395800872</v>
      </c>
      <c r="Q80" s="29" t="n">
        <f aca="false">+Q79/Q$61</f>
        <v>-0.00800501183349575</v>
      </c>
      <c r="R80" s="29" t="n">
        <f aca="false">+R79/R$61</f>
        <v>0.00507460425660835</v>
      </c>
      <c r="S80" s="29" t="n">
        <f aca="false">+S79/S$61</f>
        <v>0.00317102388837996</v>
      </c>
      <c r="T80" s="29" t="n">
        <f aca="false">+T79/T$61</f>
        <v>-0.00675026295292916</v>
      </c>
      <c r="U80" s="29" t="n">
        <f aca="false">+U79/U$61</f>
        <v>-0.00632807259564882</v>
      </c>
      <c r="V80" s="29"/>
      <c r="W80" s="29"/>
      <c r="X80" s="29"/>
      <c r="Y80" s="29" t="n">
        <f aca="false">+Y79/Y$61</f>
        <v>-0.0395136778115502</v>
      </c>
      <c r="Z80" s="29" t="n">
        <f aca="false">+Z79/Z$61</f>
        <v>-0.0411149324846304</v>
      </c>
      <c r="AA80" s="29" t="n">
        <f aca="false">+AA79/AA$61</f>
        <v>-0.0276673619567853</v>
      </c>
      <c r="AB80" s="29" t="n">
        <f aca="false">+AB79/AB$61</f>
        <v>-0.0177223878644351</v>
      </c>
      <c r="AC80" s="29" t="n">
        <f aca="false">+AC79/AC$61</f>
        <v>-0.0169790270394551</v>
      </c>
      <c r="AD80" s="29" t="n">
        <f aca="false">+AD79/AD$61</f>
        <v>-0.0118922092444755</v>
      </c>
      <c r="AE80" s="29" t="n">
        <f aca="false">+AE79/AE$61</f>
        <v>-0.00845870334579623</v>
      </c>
      <c r="AF80" s="29" t="n">
        <f aca="false">+AF79/AF$61</f>
        <v>-0.000300036798872805</v>
      </c>
      <c r="AG80" s="29" t="n">
        <f aca="false">+AG79/AG$61</f>
        <v>0.00255566504296137</v>
      </c>
      <c r="AH80" s="29" t="n">
        <f aca="false">+AH79/AH$61</f>
        <v>0.00444237981253585</v>
      </c>
      <c r="AI80" s="29" t="n">
        <f aca="false">+AI79/AI$61</f>
        <v>0.00612391083720769</v>
      </c>
      <c r="AJ80" s="29" t="n">
        <f aca="false">+AJ79/AJ$61</f>
        <v>0.00778269400610592</v>
      </c>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1"/>
      <c r="ES80" s="1"/>
      <c r="ET80" s="1"/>
      <c r="EU80" s="1"/>
      <c r="EV80" s="1"/>
    </row>
    <row r="81" s="85" customFormat="true" ht="12.8" hidden="false" customHeight="false" outlineLevel="0" collapsed="false">
      <c r="A81" s="7" t="s">
        <v>284</v>
      </c>
      <c r="B81" s="7" t="n">
        <v>-5557</v>
      </c>
      <c r="C81" s="7" t="n">
        <v>-1704</v>
      </c>
      <c r="D81" s="7" t="n">
        <v>-535</v>
      </c>
      <c r="E81" s="7" t="n">
        <v>767</v>
      </c>
      <c r="F81" s="7" t="n">
        <v>292</v>
      </c>
      <c r="G81" s="7" t="n">
        <v>273</v>
      </c>
      <c r="H81" s="7" t="n">
        <v>-52</v>
      </c>
      <c r="I81" s="7" t="n">
        <v>1331</v>
      </c>
      <c r="J81" s="7" t="n">
        <v>-678</v>
      </c>
      <c r="K81" s="7" t="n">
        <v>420</v>
      </c>
      <c r="L81" s="7" t="n">
        <v>1851</v>
      </c>
      <c r="M81" s="7" t="n">
        <v>256</v>
      </c>
      <c r="N81" s="7" t="n">
        <v>262</v>
      </c>
      <c r="O81" s="7" t="n">
        <v>162</v>
      </c>
      <c r="P81" s="7" t="n">
        <v>1619</v>
      </c>
      <c r="Q81" s="7" t="n">
        <v>-1368</v>
      </c>
      <c r="R81" s="7" t="n">
        <v>-1494</v>
      </c>
      <c r="S81" s="7" t="n">
        <v>1342</v>
      </c>
      <c r="T81" s="7" t="n">
        <v>300</v>
      </c>
      <c r="U81" s="7" t="n">
        <v>300</v>
      </c>
      <c r="V81" s="7"/>
      <c r="W81" s="7"/>
      <c r="X81" s="7"/>
      <c r="Y81" s="7" t="n">
        <v>722</v>
      </c>
      <c r="Z81" s="7" t="n">
        <v>-1625</v>
      </c>
      <c r="AA81" s="7" t="n">
        <v>3292</v>
      </c>
      <c r="AB81" s="7" t="n">
        <v>-7029</v>
      </c>
      <c r="AC81" s="7" t="n">
        <v>1844</v>
      </c>
      <c r="AD81" s="7" t="n">
        <v>1849</v>
      </c>
      <c r="AE81" s="7" t="n">
        <f aca="false">SUM(N81:Q81)</f>
        <v>675</v>
      </c>
      <c r="AF81" s="7" t="n">
        <v>700</v>
      </c>
      <c r="AG81" s="7" t="n">
        <v>700</v>
      </c>
      <c r="AH81" s="7" t="n">
        <v>700</v>
      </c>
      <c r="AI81" s="7" t="n">
        <v>700</v>
      </c>
      <c r="AJ81" s="7" t="n">
        <v>700</v>
      </c>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1"/>
      <c r="ER81" s="1"/>
      <c r="ES81" s="1"/>
      <c r="ET81" s="1"/>
      <c r="EU81" s="1"/>
      <c r="EV81" s="1"/>
    </row>
    <row r="82" s="1" customFormat="true" ht="10.5" hidden="false" customHeight="true" outlineLevel="0" collapsed="false">
      <c r="A82" s="53" t="s">
        <v>264</v>
      </c>
      <c r="B82" s="29" t="n">
        <f aca="false">+B81/B$61</f>
        <v>-0.810767435074409</v>
      </c>
      <c r="C82" s="29" t="n">
        <f aca="false">+C81/C$61</f>
        <v>-0.211073950204385</v>
      </c>
      <c r="D82" s="29" t="n">
        <f aca="false">+D81/D$61</f>
        <v>-0.0641256142874266</v>
      </c>
      <c r="E82" s="29" t="n">
        <f aca="false">+E81/E$61</f>
        <v>0.0891135122574649</v>
      </c>
      <c r="F82" s="29" t="n">
        <f aca="false">+F81/F$61</f>
        <v>0.0330917525523555</v>
      </c>
      <c r="G82" s="29" t="n">
        <f aca="false">+G81/G$61</f>
        <v>0.0295758155146513</v>
      </c>
      <c r="H82" s="29" t="n">
        <f aca="false">+H81/H$61</f>
        <v>-0.00559597911567668</v>
      </c>
      <c r="I82" s="29" t="n">
        <f aca="false">+I81/I$61</f>
        <v>0.133951895544405</v>
      </c>
      <c r="J82" s="29" t="n">
        <f aca="false">+J81/J$61</f>
        <v>-0.0669210585203816</v>
      </c>
      <c r="K82" s="29" t="n">
        <f aca="false">+K81/K$61</f>
        <v>0.0392511238040406</v>
      </c>
      <c r="L82" s="29" t="n">
        <f aca="false">+L81/L$61</f>
        <v>0.165438522694536</v>
      </c>
      <c r="M82" s="29" t="n">
        <f aca="false">+M81/M$61</f>
        <v>0.0214056526314847</v>
      </c>
      <c r="N82" s="29" t="n">
        <f aca="false">+N81/N$61</f>
        <v>0.0227167727711211</v>
      </c>
      <c r="O82" s="29" t="n">
        <f aca="false">+O81/O$61</f>
        <v>0.0128048727523772</v>
      </c>
      <c r="P82" s="29" t="n">
        <f aca="false">+P81/P$61</f>
        <v>0.120215432928715</v>
      </c>
      <c r="Q82" s="29" t="n">
        <f aca="false">+Q81/Q$61</f>
        <v>-0.0952248364193234</v>
      </c>
      <c r="R82" s="29" t="n">
        <f aca="false">+R81/R$61</f>
        <v>-0.113156100886162</v>
      </c>
      <c r="S82" s="29" t="n">
        <f aca="false">+S81/S$61</f>
        <v>0.0945669790712424</v>
      </c>
      <c r="T82" s="29" t="n">
        <f aca="false">+T81/T$61</f>
        <v>0.0202507888587875</v>
      </c>
      <c r="U82" s="29" t="n">
        <f aca="false">+U81/U$61</f>
        <v>0.0189842177869465</v>
      </c>
      <c r="V82" s="29"/>
      <c r="W82" s="29"/>
      <c r="X82" s="29"/>
      <c r="Y82" s="29" t="n">
        <f aca="false">+Y81/Y$61</f>
        <v>0.0510355552413939</v>
      </c>
      <c r="Z82" s="29" t="n">
        <f aca="false">+Z81/Z$61</f>
        <v>-0.145877216784988</v>
      </c>
      <c r="AA82" s="29" t="n">
        <f aca="false">+AA81/AA$61</f>
        <v>0.188573406960118</v>
      </c>
      <c r="AB82" s="29" t="n">
        <f aca="false">+AB81/AB$61</f>
        <v>-0.22047905185684</v>
      </c>
      <c r="AC82" s="29" t="n">
        <f aca="false">+AC81/AC$61</f>
        <v>0.0494618102065644</v>
      </c>
      <c r="AD82" s="29" t="n">
        <f aca="false">+AD81/AD$61</f>
        <v>0.0420433936769314</v>
      </c>
      <c r="AE82" s="29" t="n">
        <f aca="false">+AE81/AE$61</f>
        <v>0.0129764199054829</v>
      </c>
      <c r="AF82" s="29" t="n">
        <f aca="false">+AF81/AF$61</f>
        <v>0.0120152036161878</v>
      </c>
      <c r="AG82" s="29" t="n">
        <f aca="false">+AG81/AG$61</f>
        <v>0.0100126696801565</v>
      </c>
      <c r="AH82" s="29" t="n">
        <f aca="false">+AH81/AH$61</f>
        <v>0.00834389140013044</v>
      </c>
      <c r="AI82" s="29" t="n">
        <f aca="false">+AI81/AI$61</f>
        <v>0.00695324283344207</v>
      </c>
      <c r="AJ82" s="29" t="n">
        <f aca="false">+AJ81/AJ$61</f>
        <v>0.00579436902786835</v>
      </c>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row>
    <row r="83" s="1" customFormat="true" ht="12.8" hidden="false" customHeight="false" outlineLevel="0" collapsed="false">
      <c r="A83" s="7" t="s">
        <v>296</v>
      </c>
      <c r="B83" s="7" t="n">
        <f aca="false">SUM(B77:B81)-B80-B78</f>
        <v>-6168</v>
      </c>
      <c r="C83" s="7" t="n">
        <f aca="false">SUM(C77:C81)-C80-C78</f>
        <v>-2556</v>
      </c>
      <c r="D83" s="7" t="n">
        <f aca="false">SUM(D77:D81)-D80-D78</f>
        <v>-1176</v>
      </c>
      <c r="E83" s="7" t="n">
        <f aca="false">SUM(E77:E81)-E80-E78</f>
        <v>474</v>
      </c>
      <c r="F83" s="7" t="n">
        <f aca="false">SUM(F77:F81)-F80-F78</f>
        <v>-137.04909144605</v>
      </c>
      <c r="G83" s="7" t="n">
        <f aca="false">SUM(G77:G81)-G80-G78</f>
        <v>455.51470431175</v>
      </c>
      <c r="H83" s="7" t="n">
        <f aca="false">SUM(H77:H81)-H80-H78</f>
        <v>176.38635904237</v>
      </c>
      <c r="I83" s="7" t="n">
        <f aca="false">SUM(I77:I81)-I80-I78</f>
        <v>1828.40287500652</v>
      </c>
      <c r="J83" s="7" t="n">
        <f aca="false">SUM(J77:J81)-J80-J78</f>
        <v>-629.65995561758</v>
      </c>
      <c r="K83" s="7" t="n">
        <f aca="false">SUM(K77:K81)-K80-K78</f>
        <v>1077.33057134443</v>
      </c>
      <c r="L83" s="7" t="n">
        <f aca="false">SUM(L77:L81)-L80-L78</f>
        <v>2769.44613607724</v>
      </c>
      <c r="M83" s="7" t="n">
        <f aca="false">SUM(M77:M81)-M80-M78</f>
        <v>909.45783140762</v>
      </c>
      <c r="N83" s="7" t="n">
        <f aca="false">SUM(N77:N81)-N80-N78</f>
        <v>1385.32837545794</v>
      </c>
      <c r="O83" s="7" t="n">
        <f aca="false">SUM(O77:O81)-O80-O78</f>
        <v>1504.43380436374</v>
      </c>
      <c r="P83" s="7" t="n">
        <f aca="false">SUM(P77:P81)-P80-P78</f>
        <v>2620.48882865999</v>
      </c>
      <c r="Q83" s="7" t="n">
        <f aca="false">SUM(Q77:Q81)-Q80-Q78</f>
        <v>291</v>
      </c>
      <c r="R83" s="7" t="n">
        <f aca="false">SUM(R77:R81)-R80-R78</f>
        <v>496</v>
      </c>
      <c r="S83" s="7" t="n">
        <f aca="false">SUM(S77:S81)-S80-S78</f>
        <v>3277</v>
      </c>
      <c r="T83" s="7" t="n">
        <f aca="false">SUM(T77:T81)</f>
        <v>1842.42632676134</v>
      </c>
      <c r="U83" s="7" t="n">
        <f aca="false">SUM(U77:U81)</f>
        <v>1794.63257544961</v>
      </c>
      <c r="V83" s="7"/>
      <c r="W83" s="7"/>
      <c r="X83" s="7"/>
      <c r="Y83" s="7" t="n">
        <f aca="false">+Y81+Y79+Y77</f>
        <v>-8433</v>
      </c>
      <c r="Z83" s="7" t="n">
        <f aca="false">+Z81+Z79+Z77</f>
        <v>-6945.49490240048</v>
      </c>
      <c r="AA83" s="7" t="n">
        <f aca="false">+AA81+AA79+AA77</f>
        <v>-1022.60739587622</v>
      </c>
      <c r="AB83" s="7" t="n">
        <f aca="false">+AB81+AB79+AB77</f>
        <v>-9422.4202315237</v>
      </c>
      <c r="AC83" s="7" t="n">
        <f aca="false">+AC81+AC79+AC77</f>
        <v>2321.28817564525</v>
      </c>
      <c r="AD83" s="7" t="n">
        <f aca="false">+AD81+AD79+AD77</f>
        <v>4125.37182716581</v>
      </c>
      <c r="AE83" s="7" t="n">
        <f aca="false">+AE81+AE79+AE77</f>
        <v>5800.42891464198</v>
      </c>
      <c r="AF83" s="7" t="n">
        <f aca="false">+AF81+AF79+AF77</f>
        <v>8256.25764997187</v>
      </c>
      <c r="AG83" s="7" t="n">
        <f aca="false">+AG81+AG79+AG77</f>
        <v>10316.712485872</v>
      </c>
      <c r="AH83" s="7" t="n">
        <f aca="false">+AH81+AH79+AH77</f>
        <v>13656.7441238611</v>
      </c>
      <c r="AI83" s="7" t="n">
        <f aca="false">+AI81+AI79+AI77</f>
        <v>17927.4635670602</v>
      </c>
      <c r="AJ83" s="7" t="n">
        <f aca="false">+AJ81+AJ79+AJ77</f>
        <v>23385.4529237037</v>
      </c>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row>
    <row r="84" s="1" customFormat="true" ht="10.5" hidden="false" customHeight="true" outlineLevel="0" collapsed="false">
      <c r="A84" s="53" t="s">
        <v>264</v>
      </c>
      <c r="B84" s="29" t="n">
        <f aca="false">+B83/B$61</f>
        <v>-0.899912459877444</v>
      </c>
      <c r="C84" s="29" t="n">
        <f aca="false">+C83/C$61</f>
        <v>-0.316610925306577</v>
      </c>
      <c r="D84" s="29" t="n">
        <f aca="false">+D83/D$61</f>
        <v>-0.140956490471054</v>
      </c>
      <c r="E84" s="29" t="n">
        <f aca="false">+E83/E$61</f>
        <v>0.0550714534681074</v>
      </c>
      <c r="F84" s="29" t="n">
        <f aca="false">+F83/F$61</f>
        <v>-0.0155314884303351</v>
      </c>
      <c r="G84" s="29" t="n">
        <f aca="false">+G83/G$61</f>
        <v>0.0493487870290668</v>
      </c>
      <c r="H84" s="29" t="n">
        <f aca="false">+H83/H$61</f>
        <v>0.0189818150286798</v>
      </c>
      <c r="I84" s="29" t="n">
        <f aca="false">+I83/I$61</f>
        <v>0.184010541642347</v>
      </c>
      <c r="J84" s="29" t="n">
        <f aca="false">+J83/J$61</f>
        <v>-0.0621497208522492</v>
      </c>
      <c r="K84" s="29" t="n">
        <f aca="false">+K83/K$61</f>
        <v>0.100681989604091</v>
      </c>
      <c r="L84" s="29" t="n">
        <f aca="false">+L83/L$61</f>
        <v>0.24752732438396</v>
      </c>
      <c r="M84" s="29" t="n">
        <f aca="false">+M83/M$61</f>
        <v>0.076045071961308</v>
      </c>
      <c r="N84" s="29" t="n">
        <f aca="false">+N83/N$61</f>
        <v>0.120115228697192</v>
      </c>
      <c r="O84" s="29" t="n">
        <f aca="false">+O83/O$61</f>
        <v>0.118914095242299</v>
      </c>
      <c r="P84" s="29" t="n">
        <f aca="false">+P83/P$61</f>
        <v>0.194578875245351</v>
      </c>
      <c r="Q84" s="29" t="n">
        <f aca="false">+Q83/Q$61</f>
        <v>0.0202561603786718</v>
      </c>
      <c r="R84" s="29" t="n">
        <f aca="false">+R83/R$61</f>
        <v>0.0375672195713096</v>
      </c>
      <c r="S84" s="29" t="n">
        <f aca="false">+S83/S$61</f>
        <v>0.230921006271581</v>
      </c>
      <c r="T84" s="29" t="n">
        <f aca="false">+T83/T$61</f>
        <v>0.124368621770384</v>
      </c>
      <c r="U84" s="29" t="n">
        <f aca="false">+U83/U$61</f>
        <v>0.113565652199613</v>
      </c>
      <c r="V84" s="29"/>
      <c r="W84" s="29"/>
      <c r="X84" s="29"/>
      <c r="Y84" s="29" t="n">
        <f aca="false">+Y83/Y$61</f>
        <v>-0.596098112674065</v>
      </c>
      <c r="Z84" s="29" t="n">
        <f aca="false">+Z83/Z$61</f>
        <v>-0.623501209573233</v>
      </c>
      <c r="AA84" s="29" t="n">
        <f aca="false">+AA83/AA$61</f>
        <v>-0.0585773270422216</v>
      </c>
      <c r="AB84" s="29" t="n">
        <f aca="false">+AB83/AB$61</f>
        <v>-0.295553603477458</v>
      </c>
      <c r="AC84" s="29" t="n">
        <f aca="false">+AC83/AC$61</f>
        <v>0.0622641622443099</v>
      </c>
      <c r="AD84" s="29" t="n">
        <f aca="false">+AD83/AD$61</f>
        <v>0.0938045601910513</v>
      </c>
      <c r="AE84" s="29" t="n">
        <f aca="false">+AE83/AE$61</f>
        <v>0.111509335153035</v>
      </c>
      <c r="AF84" s="29" t="n">
        <f aca="false">+AF83/AF$61</f>
        <v>0.141715166817315</v>
      </c>
      <c r="AG84" s="29" t="n">
        <f aca="false">+AG83/AG$61</f>
        <v>0.147568334723118</v>
      </c>
      <c r="AH84" s="29" t="n">
        <f aca="false">+AH83/AH$61</f>
        <v>0.162786271212666</v>
      </c>
      <c r="AI84" s="29" t="n">
        <f aca="false">+AI83/AI$61</f>
        <v>0.17807715367065</v>
      </c>
      <c r="AJ84" s="29" t="n">
        <f aca="false">+AJ83/AJ$61</f>
        <v>0.193577063033974</v>
      </c>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row>
    <row r="85" s="1" customFormat="true" ht="12.8" hidden="false" customHeight="false" outlineLevel="0" collapsed="false">
      <c r="A85" s="7" t="s">
        <v>297</v>
      </c>
      <c r="B85" s="7" t="n">
        <v>-232</v>
      </c>
      <c r="C85" s="7" t="n">
        <v>77</v>
      </c>
      <c r="D85" s="7" t="n">
        <v>58</v>
      </c>
      <c r="E85" s="7" t="n">
        <v>-84</v>
      </c>
      <c r="F85" s="7" t="n">
        <v>55</v>
      </c>
      <c r="G85" s="7" t="n">
        <v>65</v>
      </c>
      <c r="H85" s="7" t="n">
        <v>-40</v>
      </c>
      <c r="I85" s="7" t="n">
        <v>133</v>
      </c>
      <c r="J85" s="7" t="n">
        <v>29</v>
      </c>
      <c r="K85" s="7" t="n">
        <v>57</v>
      </c>
      <c r="L85" s="7" t="n">
        <v>158</v>
      </c>
      <c r="M85" s="7" t="n">
        <v>-6002</v>
      </c>
      <c r="N85" s="7" t="n">
        <v>-402</v>
      </c>
      <c r="O85" s="7" t="n">
        <v>142</v>
      </c>
      <c r="P85" s="7" t="n">
        <v>-4046</v>
      </c>
      <c r="Q85" s="7" t="n">
        <v>-40</v>
      </c>
      <c r="R85" s="7" t="n">
        <v>194</v>
      </c>
      <c r="S85" s="7" t="n">
        <v>840</v>
      </c>
      <c r="T85" s="7" t="n">
        <f aca="false">+T83*0.2</f>
        <v>368.485265352268</v>
      </c>
      <c r="U85" s="7" t="n">
        <f aca="false">+U83*0.2</f>
        <v>358.926515089922</v>
      </c>
      <c r="V85" s="7"/>
      <c r="W85" s="7"/>
      <c r="X85" s="7"/>
      <c r="Y85" s="7" t="n">
        <v>45</v>
      </c>
      <c r="Z85" s="7" t="n">
        <v>-192</v>
      </c>
      <c r="AA85" s="7" t="n">
        <v>-492</v>
      </c>
      <c r="AB85" s="7" t="n">
        <v>-181</v>
      </c>
      <c r="AC85" s="7" t="n">
        <v>213</v>
      </c>
      <c r="AD85" s="7" t="n">
        <v>-5758</v>
      </c>
      <c r="AE85" s="7" t="n">
        <f aca="false">SUM(N85:Q85)</f>
        <v>-4346</v>
      </c>
      <c r="AF85" s="7" t="n">
        <f aca="false">AF83*-0.2</f>
        <v>-1651.25152999437</v>
      </c>
      <c r="AG85" s="7" t="n">
        <f aca="false">AG83*0.05</f>
        <v>515.835624293598</v>
      </c>
      <c r="AH85" s="7" t="n">
        <f aca="false">AH83*0.1</f>
        <v>1365.67441238611</v>
      </c>
      <c r="AI85" s="7" t="n">
        <f aca="false">AI83*0.1</f>
        <v>1792.74635670602</v>
      </c>
      <c r="AJ85" s="7" t="n">
        <f aca="false">AJ83*0.13</f>
        <v>3040.10888008148</v>
      </c>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row>
    <row r="86" s="1" customFormat="true" ht="10.5" hidden="false" customHeight="true" outlineLevel="0" collapsed="false">
      <c r="A86" s="53" t="s">
        <v>264</v>
      </c>
      <c r="B86" s="29" t="n">
        <f aca="false">+B85/B$61</f>
        <v>-0.0338488473883863</v>
      </c>
      <c r="C86" s="29" t="n">
        <f aca="false">+C85/C$61</f>
        <v>0.00953796605970519</v>
      </c>
      <c r="D86" s="29" t="n">
        <f aca="false">+D85/D$61</f>
        <v>0.00695193575452475</v>
      </c>
      <c r="E86" s="29" t="n">
        <f aca="false">+E85/E$61</f>
        <v>-0.00975949808295573</v>
      </c>
      <c r="F86" s="29" t="n">
        <f aca="false">+F85/F$61</f>
        <v>0.00623303558349162</v>
      </c>
      <c r="G86" s="29" t="n">
        <f aca="false">+G85/G$61</f>
        <v>0.00704186083682173</v>
      </c>
      <c r="H86" s="29" t="n">
        <f aca="false">+H85/H$61</f>
        <v>-0.0043045993197513</v>
      </c>
      <c r="I86" s="29" t="n">
        <f aca="false">+I85/I$61</f>
        <v>0.0133851255502674</v>
      </c>
      <c r="J86" s="29" t="n">
        <f aca="false">+J85/J$61</f>
        <v>0.00286240515795143</v>
      </c>
      <c r="K86" s="29" t="n">
        <f aca="false">+K85/K$61</f>
        <v>0.00532693823054837</v>
      </c>
      <c r="L86" s="29" t="n">
        <f aca="false">+L85/L$61</f>
        <v>0.0141217107432397</v>
      </c>
      <c r="M86" s="29" t="n">
        <f aca="false">+M85/M$61</f>
        <v>-0.501862215211605</v>
      </c>
      <c r="N86" s="29" t="n">
        <f aca="false">+N85/N$61</f>
        <v>-0.0348555063129415</v>
      </c>
      <c r="O86" s="29" t="n">
        <f aca="false">+O85/O$61</f>
        <v>0.0112240242644294</v>
      </c>
      <c r="P86" s="29" t="n">
        <f aca="false">+P85/P$61</f>
        <v>-0.300427202983065</v>
      </c>
      <c r="Q86" s="29" t="n">
        <f aca="false">+Q85/Q$61</f>
        <v>-0.00278435194208548</v>
      </c>
      <c r="R86" s="29" t="n">
        <f aca="false">+R85/R$61</f>
        <v>0.0146936302355525</v>
      </c>
      <c r="S86" s="29" t="n">
        <f aca="false">+S85/S$61</f>
        <v>0.0591924459164259</v>
      </c>
      <c r="T86" s="29" t="n">
        <f aca="false">+T85/T$61</f>
        <v>0.0248737243540768</v>
      </c>
      <c r="U86" s="29" t="n">
        <f aca="false">+U85/U$61</f>
        <v>0.0227131304399227</v>
      </c>
      <c r="V86" s="29"/>
      <c r="W86" s="29"/>
      <c r="X86" s="29"/>
      <c r="Y86" s="29" t="n">
        <f aca="false">+Y85/Y$61</f>
        <v>0.00318088640701209</v>
      </c>
      <c r="Z86" s="29" t="n">
        <f aca="false">+Z85/Z$61</f>
        <v>-0.0172359542293647</v>
      </c>
      <c r="AA86" s="29" t="n">
        <f aca="false">+AA85/AA$61</f>
        <v>-0.0281829028628124</v>
      </c>
      <c r="AB86" s="29" t="n">
        <f aca="false">+AB85/AB$61</f>
        <v>-0.00567743752825267</v>
      </c>
      <c r="AC86" s="29" t="n">
        <f aca="false">+AC85/AC$61</f>
        <v>0.00571332189479296</v>
      </c>
      <c r="AD86" s="29" t="n">
        <f aca="false">+AD85/AD$61</f>
        <v>-0.130927993938221</v>
      </c>
      <c r="AE86" s="29" t="n">
        <f aca="false">+AE85/AE$61</f>
        <v>-0.0835489198655237</v>
      </c>
      <c r="AF86" s="29" t="n">
        <f aca="false">+AF85/AF$61</f>
        <v>-0.028343033363463</v>
      </c>
      <c r="AG86" s="29" t="n">
        <f aca="false">+AG85/AG$61</f>
        <v>0.0073784167361559</v>
      </c>
      <c r="AH86" s="29" t="n">
        <f aca="false">+AH85/AH$61</f>
        <v>0.0162786271212666</v>
      </c>
      <c r="AI86" s="29" t="n">
        <f aca="false">+AI85/AI$61</f>
        <v>0.017807715367065</v>
      </c>
      <c r="AJ86" s="29" t="n">
        <f aca="false">+AJ85/AJ$61</f>
        <v>0.0251650181944167</v>
      </c>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row>
    <row r="87" s="1" customFormat="true" ht="12.8" hidden="false" customHeight="false" outlineLevel="0" collapsed="false">
      <c r="A87" s="7" t="s">
        <v>298</v>
      </c>
      <c r="B87" s="7" t="n">
        <v>18</v>
      </c>
      <c r="C87" s="7" t="n">
        <v>17</v>
      </c>
      <c r="D87" s="7" t="n">
        <v>30</v>
      </c>
      <c r="E87" s="7" t="n">
        <v>42</v>
      </c>
      <c r="F87" s="7" t="n">
        <v>36</v>
      </c>
      <c r="G87" s="7" t="n">
        <v>4</v>
      </c>
      <c r="H87" s="7" t="n">
        <v>3</v>
      </c>
      <c r="I87" s="7" t="n">
        <v>5</v>
      </c>
      <c r="J87" s="7" t="n">
        <v>-4</v>
      </c>
      <c r="K87" s="7" t="n">
        <v>-12</v>
      </c>
      <c r="L87" s="7" t="n">
        <v>-12</v>
      </c>
      <c r="M87" s="7" t="n">
        <v>-10</v>
      </c>
      <c r="N87" s="7" t="n">
        <v>-13</v>
      </c>
      <c r="O87" s="7" t="n">
        <v>-12</v>
      </c>
      <c r="P87" s="7" t="n">
        <v>-14</v>
      </c>
      <c r="Q87" s="7" t="n">
        <v>-14</v>
      </c>
      <c r="R87" s="7" t="n">
        <v>-20</v>
      </c>
      <c r="S87" s="7" t="n">
        <v>-21</v>
      </c>
      <c r="T87" s="7" t="n">
        <v>-10</v>
      </c>
      <c r="U87" s="7" t="n">
        <v>-10</v>
      </c>
      <c r="V87" s="7"/>
      <c r="W87" s="7"/>
      <c r="X87" s="7"/>
      <c r="Y87" s="7" t="n">
        <v>-34</v>
      </c>
      <c r="Z87" s="7" t="n">
        <v>-34</v>
      </c>
      <c r="AA87" s="7" t="n">
        <v>-37</v>
      </c>
      <c r="AB87" s="7" t="n">
        <v>107</v>
      </c>
      <c r="AC87" s="7" t="n">
        <v>48</v>
      </c>
      <c r="AD87" s="7" t="n">
        <v>-38</v>
      </c>
      <c r="AE87" s="7" t="n">
        <f aca="false">SUM(N87:Q87)</f>
        <v>-53</v>
      </c>
      <c r="AF87" s="7" t="n">
        <v>-50</v>
      </c>
      <c r="AG87" s="7" t="n">
        <v>-50</v>
      </c>
      <c r="AH87" s="7" t="n">
        <v>-50</v>
      </c>
      <c r="AI87" s="7" t="n">
        <v>100</v>
      </c>
      <c r="AJ87" s="7" t="n">
        <v>100</v>
      </c>
      <c r="AK87" s="59"/>
      <c r="AL87" s="59"/>
      <c r="AM87" s="59"/>
      <c r="AN87" s="59"/>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c r="BU87" s="59"/>
      <c r="BV87" s="59"/>
      <c r="BW87" s="59"/>
      <c r="BX87" s="59"/>
      <c r="BY87" s="59"/>
      <c r="BZ87" s="59"/>
      <c r="CA87" s="59"/>
      <c r="CB87" s="59"/>
      <c r="CC87" s="59"/>
      <c r="CD87" s="59"/>
      <c r="CE87" s="59"/>
      <c r="CF87" s="59"/>
      <c r="CG87" s="59"/>
      <c r="CH87" s="59"/>
      <c r="CI87" s="59"/>
      <c r="CJ87" s="59"/>
      <c r="CK87" s="59"/>
      <c r="CL87" s="59"/>
      <c r="CM87" s="59"/>
      <c r="CN87" s="59"/>
      <c r="CO87" s="59"/>
      <c r="CP87" s="59"/>
      <c r="CQ87" s="59"/>
      <c r="CR87" s="59"/>
      <c r="CS87" s="59"/>
      <c r="CT87" s="59"/>
      <c r="CU87" s="59"/>
      <c r="CV87" s="59"/>
      <c r="CW87" s="59"/>
      <c r="CX87" s="59"/>
      <c r="CY87" s="59"/>
      <c r="CZ87" s="59"/>
      <c r="DA87" s="59"/>
      <c r="DB87" s="59"/>
      <c r="DC87" s="59"/>
      <c r="DD87" s="59"/>
      <c r="DE87" s="59"/>
      <c r="DF87" s="59"/>
      <c r="DG87" s="59"/>
      <c r="DH87" s="59"/>
      <c r="DI87" s="59"/>
      <c r="DJ87" s="59"/>
      <c r="DK87" s="59"/>
      <c r="DL87" s="59"/>
      <c r="DM87" s="59"/>
      <c r="DN87" s="59"/>
      <c r="DO87" s="59"/>
      <c r="DP87" s="59"/>
      <c r="DQ87" s="59"/>
      <c r="DR87" s="59"/>
      <c r="DS87" s="59"/>
      <c r="DT87" s="59"/>
      <c r="DU87" s="59"/>
      <c r="DV87" s="59"/>
      <c r="DW87" s="59"/>
      <c r="DX87" s="59"/>
      <c r="DY87" s="59"/>
      <c r="DZ87" s="59"/>
      <c r="EA87" s="59"/>
      <c r="EB87" s="59"/>
      <c r="EC87" s="59"/>
      <c r="ED87" s="59"/>
      <c r="EE87" s="59"/>
      <c r="EF87" s="59"/>
      <c r="EG87" s="59"/>
      <c r="EH87" s="59"/>
      <c r="EI87" s="59"/>
      <c r="EJ87" s="59"/>
      <c r="EK87" s="59"/>
      <c r="EL87" s="59"/>
      <c r="EM87" s="59"/>
      <c r="EN87" s="59"/>
      <c r="EO87" s="59"/>
      <c r="EP87" s="59"/>
    </row>
    <row r="88" s="7" customFormat="true" ht="10.5" hidden="false" customHeight="true" outlineLevel="0" collapsed="false">
      <c r="A88" s="53" t="s">
        <v>264</v>
      </c>
      <c r="B88" s="29" t="n">
        <f aca="false">+B87/B$61</f>
        <v>0.00262620367668515</v>
      </c>
      <c r="C88" s="29" t="n">
        <f aca="false">+C87/C$61</f>
        <v>0.00210578471448037</v>
      </c>
      <c r="D88" s="29" t="n">
        <f aca="false">+D87/D$61</f>
        <v>0.00359582883854729</v>
      </c>
      <c r="E88" s="29" t="n">
        <f aca="false">+E87/E$61</f>
        <v>0.00487974904147787</v>
      </c>
      <c r="F88" s="29" t="n">
        <f aca="false">+F87/F$61</f>
        <v>0.00407980510919452</v>
      </c>
      <c r="G88" s="29" t="n">
        <f aca="false">+G87/G$61</f>
        <v>0.000433345282265952</v>
      </c>
      <c r="H88" s="29" t="n">
        <f aca="false">+H87/H$61</f>
        <v>0.000322844948981347</v>
      </c>
      <c r="I88" s="29" t="n">
        <f aca="false">+I87/I$61</f>
        <v>0.000503200208656668</v>
      </c>
      <c r="J88" s="29" t="n">
        <f aca="false">+J87/J$61</f>
        <v>-0.000394814504545024</v>
      </c>
      <c r="K88" s="29" t="n">
        <f aca="false">+K87/K$61</f>
        <v>-0.00112146068011545</v>
      </c>
      <c r="L88" s="29" t="n">
        <f aca="false">+L87/L$61</f>
        <v>-0.00107253499315744</v>
      </c>
      <c r="M88" s="29" t="n">
        <f aca="false">+M87/M$61</f>
        <v>-0.00083615830591737</v>
      </c>
      <c r="N88" s="29" t="n">
        <f aca="false">+N87/N$61</f>
        <v>-0.00112716811459761</v>
      </c>
      <c r="O88" s="29" t="n">
        <f aca="false">+O87/O$61</f>
        <v>-0.000948509092768678</v>
      </c>
      <c r="P88" s="29" t="n">
        <f aca="false">+P87/P$61</f>
        <v>-0.00103954049475109</v>
      </c>
      <c r="Q88" s="29" t="n">
        <f aca="false">+Q87/Q$61</f>
        <v>-0.000974523179729918</v>
      </c>
      <c r="R88" s="29" t="n">
        <f aca="false">+R87/R$61</f>
        <v>-0.00151480724077861</v>
      </c>
      <c r="S88" s="29" t="n">
        <f aca="false">+S87/S$61</f>
        <v>-0.00147981114791065</v>
      </c>
      <c r="T88" s="29" t="n">
        <f aca="false">+T87/T$61</f>
        <v>-0.000675026295292916</v>
      </c>
      <c r="U88" s="29" t="n">
        <f aca="false">+U87/U$61</f>
        <v>-0.000632807259564882</v>
      </c>
      <c r="V88" s="29"/>
      <c r="W88" s="29"/>
      <c r="X88" s="29"/>
      <c r="Y88" s="29" t="n">
        <f aca="false">+Y87/Y$61</f>
        <v>-0.00240333639640913</v>
      </c>
      <c r="Z88" s="29" t="n">
        <f aca="false">+Z87/Z$61</f>
        <v>-0.00305220022811667</v>
      </c>
      <c r="AA88" s="29" t="n">
        <f aca="false">+AA87/AA$61</f>
        <v>-0.00211944594700012</v>
      </c>
      <c r="AB88" s="29" t="n">
        <f aca="false">+AB87/AB$61</f>
        <v>0.00335627522388417</v>
      </c>
      <c r="AC88" s="29" t="n">
        <f aca="false">+AC87/AC$61</f>
        <v>0.00128750915938996</v>
      </c>
      <c r="AD88" s="29" t="n">
        <f aca="false">+AD87/AD$61</f>
        <v>-0.000864061092332825</v>
      </c>
      <c r="AE88" s="29" t="n">
        <f aca="false">+AE87/AE$61</f>
        <v>-0.00101888926665273</v>
      </c>
      <c r="AF88" s="29" t="n">
        <f aca="false">+AF87/AF$61</f>
        <v>-0.000858228829727703</v>
      </c>
      <c r="AG88" s="29" t="n">
        <f aca="false">+AG87/AG$61</f>
        <v>-0.000715190691439752</v>
      </c>
      <c r="AH88" s="29" t="n">
        <f aca="false">+AH87/AH$61</f>
        <v>-0.00059599224286646</v>
      </c>
      <c r="AI88" s="29" t="n">
        <f aca="false">+AI87/AI$61</f>
        <v>0.000993320404777434</v>
      </c>
      <c r="AJ88" s="29" t="n">
        <f aca="false">+AJ87/AJ$61</f>
        <v>0.000827767003981195</v>
      </c>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88"/>
      <c r="BX88" s="88"/>
      <c r="BY88" s="88"/>
      <c r="BZ88" s="88"/>
      <c r="CA88" s="88"/>
      <c r="CB88" s="88"/>
      <c r="CC88" s="88"/>
      <c r="CD88" s="88"/>
      <c r="CE88" s="88"/>
      <c r="CF88" s="88"/>
      <c r="CG88" s="88"/>
      <c r="CH88" s="88"/>
      <c r="CI88" s="88"/>
      <c r="CJ88" s="88"/>
      <c r="CK88" s="88"/>
      <c r="CL88" s="88"/>
      <c r="CM88" s="88"/>
      <c r="CN88" s="88"/>
      <c r="CO88" s="88"/>
      <c r="CP88" s="88"/>
      <c r="CQ88" s="88"/>
      <c r="CR88" s="88"/>
      <c r="CS88" s="88"/>
      <c r="CT88" s="88"/>
      <c r="CU88" s="88"/>
      <c r="CV88" s="88"/>
      <c r="CW88" s="88"/>
      <c r="CX88" s="88"/>
      <c r="CY88" s="88"/>
      <c r="CZ88" s="88"/>
      <c r="DA88" s="88"/>
      <c r="DB88" s="88"/>
      <c r="DC88" s="88"/>
      <c r="DD88" s="88"/>
      <c r="DE88" s="88"/>
      <c r="DF88" s="88"/>
      <c r="DG88" s="88"/>
      <c r="DH88" s="88"/>
      <c r="DI88" s="88"/>
      <c r="DJ88" s="88"/>
      <c r="DK88" s="88"/>
      <c r="DL88" s="88"/>
      <c r="DM88" s="88"/>
      <c r="DN88" s="88"/>
      <c r="DO88" s="88"/>
      <c r="DP88" s="88"/>
      <c r="DQ88" s="88"/>
      <c r="DR88" s="88"/>
      <c r="DS88" s="88"/>
      <c r="DT88" s="88"/>
      <c r="DU88" s="88"/>
      <c r="DV88" s="88"/>
      <c r="DW88" s="88"/>
      <c r="DX88" s="88"/>
      <c r="DY88" s="88"/>
      <c r="DZ88" s="88"/>
      <c r="EA88" s="88"/>
      <c r="EB88" s="88"/>
      <c r="EC88" s="88"/>
      <c r="ED88" s="88"/>
      <c r="EE88" s="88"/>
      <c r="EF88" s="88"/>
      <c r="EG88" s="88"/>
      <c r="EH88" s="88"/>
      <c r="EI88" s="88"/>
      <c r="EJ88" s="88"/>
      <c r="EK88" s="88"/>
      <c r="EL88" s="88"/>
      <c r="EM88" s="88"/>
      <c r="EN88" s="88"/>
      <c r="EO88" s="88"/>
      <c r="EP88" s="88"/>
      <c r="EQ88" s="29"/>
      <c r="ER88" s="1"/>
      <c r="ES88" s="1"/>
      <c r="ET88" s="1"/>
      <c r="EU88" s="1"/>
      <c r="EV88" s="1"/>
    </row>
    <row r="89" s="7" customFormat="true" ht="12.8" hidden="false" customHeight="false" outlineLevel="0" collapsed="false">
      <c r="A89" s="7" t="s">
        <v>299</v>
      </c>
      <c r="B89" s="7" t="n">
        <f aca="false">B83-B85+B87</f>
        <v>-5918</v>
      </c>
      <c r="C89" s="7" t="n">
        <f aca="false">C83-C85+C87</f>
        <v>-2616</v>
      </c>
      <c r="D89" s="7" t="n">
        <f aca="false">D83-D85+D87</f>
        <v>-1204</v>
      </c>
      <c r="E89" s="7" t="n">
        <f aca="false">E83-E85+E87</f>
        <v>600</v>
      </c>
      <c r="F89" s="7" t="n">
        <f aca="false">F83-F85+F87</f>
        <v>-156.04909144605</v>
      </c>
      <c r="G89" s="7" t="n">
        <f aca="false">G83-G85+G87</f>
        <v>394.51470431175</v>
      </c>
      <c r="H89" s="7" t="n">
        <f aca="false">H83-H85+H87</f>
        <v>219.38635904237</v>
      </c>
      <c r="I89" s="7" t="n">
        <f aca="false">I83-I85+I87</f>
        <v>1700.40287500652</v>
      </c>
      <c r="J89" s="7" t="n">
        <f aca="false">J83-J85+J87</f>
        <v>-662.65995561758</v>
      </c>
      <c r="K89" s="7" t="n">
        <f aca="false">K83-K85+K87</f>
        <v>1008.33057134443</v>
      </c>
      <c r="L89" s="7" t="n">
        <f aca="false">L83-L85+L87</f>
        <v>2599.44613607724</v>
      </c>
      <c r="M89" s="7" t="n">
        <f aca="false">M83-M85+M87</f>
        <v>6901.45783140762</v>
      </c>
      <c r="N89" s="7" t="n">
        <f aca="false">N83-N85+N87</f>
        <v>1774.32837545794</v>
      </c>
      <c r="O89" s="7" t="n">
        <f aca="false">O83-O85+O87</f>
        <v>1350.43380436374</v>
      </c>
      <c r="P89" s="7" t="n">
        <f aca="false">P83-P85+P87</f>
        <v>6652.48882865999</v>
      </c>
      <c r="Q89" s="7" t="n">
        <f aca="false">Q83-Q85+Q87</f>
        <v>317</v>
      </c>
      <c r="R89" s="7" t="n">
        <f aca="false">R83-R85+R87</f>
        <v>282</v>
      </c>
      <c r="S89" s="7" t="n">
        <f aca="false">S83-S85+S87</f>
        <v>2416</v>
      </c>
      <c r="T89" s="7" t="n">
        <f aca="false">T83-T85+T87</f>
        <v>1463.94106140907</v>
      </c>
      <c r="U89" s="7" t="n">
        <f aca="false">U83-U85+U87</f>
        <v>1425.70606035969</v>
      </c>
      <c r="Y89" s="7" t="n">
        <f aca="false">Y83-Y85+Y87</f>
        <v>-8512</v>
      </c>
      <c r="Z89" s="7" t="n">
        <f aca="false">Z83-Z85+Z87</f>
        <v>-6787.49490240048</v>
      </c>
      <c r="AA89" s="7" t="n">
        <f aca="false">AA83-AA85+AA87</f>
        <v>-567.607395876221</v>
      </c>
      <c r="AB89" s="7" t="n">
        <f aca="false">AB83-AB85+AB87</f>
        <v>-9134.4202315237</v>
      </c>
      <c r="AC89" s="7" t="n">
        <f aca="false">AC83-AC85+AC87</f>
        <v>2156.28817564525</v>
      </c>
      <c r="AD89" s="7" t="n">
        <f aca="false">AD83-AD85+AD87</f>
        <v>9845.37182716581</v>
      </c>
      <c r="AE89" s="7" t="n">
        <f aca="false">AE83-AE85+AE87</f>
        <v>10093.428914642</v>
      </c>
      <c r="AF89" s="7" t="n">
        <f aca="false">AF83-AF85+AF87</f>
        <v>9857.50917996624</v>
      </c>
      <c r="AG89" s="7" t="n">
        <f aca="false">AG83-AG85+AG87</f>
        <v>9750.87686157837</v>
      </c>
      <c r="AH89" s="7" t="n">
        <f aca="false">AH83-AH85+AH87</f>
        <v>12241.069711475</v>
      </c>
      <c r="AI89" s="7" t="n">
        <f aca="false">AI83-AI85+AI87</f>
        <v>16234.7172103542</v>
      </c>
      <c r="AJ89" s="7" t="n">
        <f aca="false">AJ83-AJ85+AJ87</f>
        <v>20445.3440436222</v>
      </c>
      <c r="AK89" s="59"/>
      <c r="AL89" s="59"/>
      <c r="AM89" s="59"/>
      <c r="AN89" s="59"/>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c r="BU89" s="59"/>
      <c r="BV89" s="59"/>
      <c r="BW89" s="59"/>
      <c r="BX89" s="59"/>
      <c r="BY89" s="59"/>
      <c r="BZ89" s="59"/>
      <c r="CA89" s="59"/>
      <c r="CB89" s="59"/>
      <c r="CC89" s="59"/>
      <c r="CD89" s="59"/>
      <c r="CE89" s="59"/>
      <c r="CF89" s="59"/>
      <c r="CG89" s="59"/>
      <c r="CH89" s="59"/>
      <c r="CI89" s="59"/>
      <c r="CJ89" s="59"/>
      <c r="CK89" s="59"/>
      <c r="CL89" s="59"/>
      <c r="CM89" s="59"/>
      <c r="CN89" s="59"/>
      <c r="CO89" s="59"/>
      <c r="CP89" s="59"/>
      <c r="CQ89" s="59"/>
      <c r="CR89" s="59"/>
      <c r="CS89" s="59"/>
      <c r="CT89" s="59"/>
      <c r="CU89" s="59"/>
      <c r="CV89" s="59"/>
      <c r="CW89" s="59"/>
      <c r="CX89" s="59"/>
      <c r="CY89" s="59"/>
      <c r="CZ89" s="59"/>
      <c r="DA89" s="59"/>
      <c r="DB89" s="59"/>
      <c r="DC89" s="59"/>
      <c r="DD89" s="59"/>
      <c r="DE89" s="59"/>
      <c r="DF89" s="59"/>
      <c r="DG89" s="59"/>
      <c r="DH89" s="59"/>
      <c r="DI89" s="59"/>
      <c r="DJ89" s="59"/>
      <c r="DK89" s="59"/>
      <c r="DL89" s="59"/>
      <c r="DM89" s="59"/>
      <c r="DN89" s="59"/>
      <c r="DO89" s="59"/>
      <c r="DP89" s="59"/>
      <c r="DQ89" s="59"/>
      <c r="DR89" s="59"/>
      <c r="DS89" s="59"/>
      <c r="DT89" s="59"/>
      <c r="DU89" s="59"/>
      <c r="DV89" s="59"/>
      <c r="DW89" s="59"/>
      <c r="DX89" s="59"/>
      <c r="DY89" s="59"/>
      <c r="DZ89" s="59"/>
      <c r="EA89" s="59"/>
      <c r="EB89" s="59"/>
      <c r="EC89" s="59"/>
      <c r="ED89" s="59"/>
      <c r="EE89" s="59"/>
      <c r="EF89" s="59"/>
      <c r="EG89" s="59"/>
      <c r="EH89" s="59"/>
      <c r="EI89" s="59"/>
      <c r="EJ89" s="59"/>
      <c r="EK89" s="59"/>
      <c r="EL89" s="59"/>
      <c r="EM89" s="59"/>
      <c r="EN89" s="59"/>
      <c r="EO89" s="59"/>
      <c r="EP89" s="59"/>
      <c r="EQ89" s="1"/>
      <c r="ER89" s="1"/>
      <c r="ES89" s="1"/>
      <c r="ET89" s="1"/>
      <c r="EU89" s="1"/>
      <c r="EV89" s="1"/>
    </row>
    <row r="90" s="7" customFormat="true" ht="10.5" hidden="false" customHeight="true" outlineLevel="0" collapsed="false">
      <c r="A90" s="53" t="s">
        <v>264</v>
      </c>
      <c r="B90" s="29" t="n">
        <f aca="false">+B89/B$61</f>
        <v>-0.863437408812372</v>
      </c>
      <c r="C90" s="29" t="n">
        <f aca="false">+C89/C$61</f>
        <v>-0.324043106651802</v>
      </c>
      <c r="D90" s="29" t="n">
        <f aca="false">+D89/D$61</f>
        <v>-0.144312597387031</v>
      </c>
      <c r="E90" s="29" t="n">
        <f aca="false">+E89/E$61</f>
        <v>0.069710700592541</v>
      </c>
      <c r="F90" s="29" t="n">
        <f aca="false">+F89/F$61</f>
        <v>-0.0176847189046322</v>
      </c>
      <c r="G90" s="29" t="n">
        <f aca="false">+G89/G$61</f>
        <v>0.042740271474511</v>
      </c>
      <c r="H90" s="29" t="n">
        <f aca="false">+H89/H$61</f>
        <v>0.0236092592974125</v>
      </c>
      <c r="I90" s="29" t="n">
        <f aca="false">+I89/I$61</f>
        <v>0.171128616300736</v>
      </c>
      <c r="J90" s="29" t="n">
        <f aca="false">+J89/J$61</f>
        <v>-0.0654069405147457</v>
      </c>
      <c r="K90" s="29" t="n">
        <f aca="false">+K89/K$61</f>
        <v>0.0942335906934268</v>
      </c>
      <c r="L90" s="29" t="n">
        <f aca="false">+L89/L$61</f>
        <v>0.232333078647562</v>
      </c>
      <c r="M90" s="29" t="n">
        <f aca="false">+M89/M$61</f>
        <v>0.577071128866996</v>
      </c>
      <c r="N90" s="29" t="n">
        <f aca="false">+N89/N$61</f>
        <v>0.153843566895536</v>
      </c>
      <c r="O90" s="29" t="n">
        <f aca="false">+O89/O$61</f>
        <v>0.1067415618851</v>
      </c>
      <c r="P90" s="29" t="n">
        <f aca="false">+P89/P$61</f>
        <v>0.493966537733665</v>
      </c>
      <c r="Q90" s="29" t="n">
        <f aca="false">+Q89/Q$61</f>
        <v>0.0220659891410274</v>
      </c>
      <c r="R90" s="29" t="n">
        <f aca="false">+R89/R$61</f>
        <v>0.0213587820949784</v>
      </c>
      <c r="S90" s="29" t="n">
        <f aca="false">+S89/S$61</f>
        <v>0.170248749207244</v>
      </c>
      <c r="T90" s="29" t="n">
        <f aca="false">+T89/T$61</f>
        <v>0.0988198711210144</v>
      </c>
      <c r="U90" s="29" t="n">
        <f aca="false">+U89/U$61</f>
        <v>0.0902197145001258</v>
      </c>
      <c r="V90" s="29"/>
      <c r="W90" s="29"/>
      <c r="X90" s="29"/>
      <c r="Y90" s="29" t="n">
        <f aca="false">+Y89/Y$61</f>
        <v>-0.601682335477486</v>
      </c>
      <c r="Z90" s="29" t="n">
        <f aca="false">+Z89/Z$61</f>
        <v>-0.609317455571985</v>
      </c>
      <c r="AA90" s="29" t="n">
        <f aca="false">+AA89/AA$61</f>
        <v>-0.0325138701264094</v>
      </c>
      <c r="AB90" s="29" t="n">
        <f aca="false">+AB89/AB$61</f>
        <v>-0.286519890725321</v>
      </c>
      <c r="AC90" s="29" t="n">
        <f aca="false">+AC89/AC$61</f>
        <v>0.0578383495089069</v>
      </c>
      <c r="AD90" s="29" t="n">
        <f aca="false">+AD89/AD$61</f>
        <v>0.22386849303694</v>
      </c>
      <c r="AE90" s="29" t="n">
        <f aca="false">+AE89/AE$61</f>
        <v>0.194039365751906</v>
      </c>
      <c r="AF90" s="29" t="n">
        <f aca="false">+AF89/AF$61</f>
        <v>0.16919997135105</v>
      </c>
      <c r="AG90" s="29" t="n">
        <f aca="false">+AG89/AG$61</f>
        <v>0.139474727295522</v>
      </c>
      <c r="AH90" s="29" t="n">
        <f aca="false">+AH89/AH$61</f>
        <v>0.145911651848533</v>
      </c>
      <c r="AI90" s="29" t="n">
        <f aca="false">+AI89/AI$61</f>
        <v>0.161262758708363</v>
      </c>
      <c r="AJ90" s="29" t="n">
        <f aca="false">+AJ89/AJ$61</f>
        <v>0.169239811843539</v>
      </c>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88"/>
      <c r="BX90" s="88"/>
      <c r="BY90" s="88"/>
      <c r="BZ90" s="88"/>
      <c r="CA90" s="88"/>
      <c r="CB90" s="88"/>
      <c r="CC90" s="88"/>
      <c r="CD90" s="88"/>
      <c r="CE90" s="88"/>
      <c r="CF90" s="88"/>
      <c r="CG90" s="88"/>
      <c r="CH90" s="88"/>
      <c r="CI90" s="88"/>
      <c r="CJ90" s="88"/>
      <c r="CK90" s="88"/>
      <c r="CL90" s="88"/>
      <c r="CM90" s="88"/>
      <c r="CN90" s="88"/>
      <c r="CO90" s="88"/>
      <c r="CP90" s="88"/>
      <c r="CQ90" s="88"/>
      <c r="CR90" s="88"/>
      <c r="CS90" s="88"/>
      <c r="CT90" s="88"/>
      <c r="CU90" s="88"/>
      <c r="CV90" s="88"/>
      <c r="CW90" s="88"/>
      <c r="CX90" s="88"/>
      <c r="CY90" s="88"/>
      <c r="CZ90" s="88"/>
      <c r="DA90" s="88"/>
      <c r="DB90" s="88"/>
      <c r="DC90" s="88"/>
      <c r="DD90" s="88"/>
      <c r="DE90" s="88"/>
      <c r="DF90" s="88"/>
      <c r="DG90" s="88"/>
      <c r="DH90" s="88"/>
      <c r="DI90" s="88"/>
      <c r="DJ90" s="88"/>
      <c r="DK90" s="88"/>
      <c r="DL90" s="88"/>
      <c r="DM90" s="88"/>
      <c r="DN90" s="88"/>
      <c r="DO90" s="88"/>
      <c r="DP90" s="88"/>
      <c r="DQ90" s="88"/>
      <c r="DR90" s="88"/>
      <c r="DS90" s="88"/>
      <c r="DT90" s="88"/>
      <c r="DU90" s="88"/>
      <c r="DV90" s="88"/>
      <c r="DW90" s="88"/>
      <c r="DX90" s="88"/>
      <c r="DY90" s="88"/>
      <c r="DZ90" s="88"/>
      <c r="EA90" s="88"/>
      <c r="EB90" s="88"/>
      <c r="EC90" s="88"/>
      <c r="ED90" s="88"/>
      <c r="EE90" s="88"/>
      <c r="EF90" s="88"/>
      <c r="EG90" s="88"/>
      <c r="EH90" s="88"/>
      <c r="EI90" s="88"/>
      <c r="EJ90" s="88"/>
      <c r="EK90" s="88"/>
      <c r="EL90" s="88"/>
      <c r="EM90" s="88"/>
      <c r="EN90" s="88"/>
      <c r="EO90" s="88"/>
      <c r="EP90" s="88"/>
      <c r="EQ90" s="29"/>
      <c r="ER90" s="1"/>
      <c r="ES90" s="1"/>
      <c r="ET90" s="1"/>
      <c r="EU90" s="1"/>
      <c r="EV90" s="1"/>
    </row>
    <row r="91" s="7" customFormat="true" ht="12.8" hidden="false" customHeight="false" outlineLevel="0" collapsed="false">
      <c r="A91" s="7" t="s">
        <v>300</v>
      </c>
      <c r="B91" s="7" t="n">
        <v>12</v>
      </c>
      <c r="C91" s="7" t="n">
        <v>-15</v>
      </c>
      <c r="D91" s="7" t="n">
        <v>2</v>
      </c>
      <c r="E91" s="7" t="n">
        <v>5</v>
      </c>
      <c r="F91" s="7" t="n">
        <v>0</v>
      </c>
      <c r="G91" s="7" t="n">
        <v>0</v>
      </c>
      <c r="H91" s="7" t="n">
        <v>-2</v>
      </c>
      <c r="I91" s="7" t="n">
        <v>271</v>
      </c>
      <c r="J91" s="7" t="n">
        <v>-9</v>
      </c>
      <c r="K91" s="7" t="n">
        <v>-7</v>
      </c>
      <c r="L91" s="7" t="n">
        <v>-13</v>
      </c>
      <c r="M91" s="7" t="n">
        <v>18</v>
      </c>
      <c r="N91" s="7" t="n">
        <v>-2</v>
      </c>
      <c r="O91" s="7" t="n">
        <v>-5</v>
      </c>
      <c r="P91" s="7" t="n">
        <v>26</v>
      </c>
      <c r="Q91" s="7" t="n">
        <v>21</v>
      </c>
      <c r="R91" s="7" t="n">
        <v>19</v>
      </c>
      <c r="S91" s="7" t="n">
        <v>22</v>
      </c>
      <c r="T91" s="7" t="n">
        <v>30</v>
      </c>
      <c r="U91" s="7" t="n">
        <v>30</v>
      </c>
      <c r="Y91" s="7" t="n">
        <v>-6</v>
      </c>
      <c r="Z91" s="7" t="n">
        <v>-20</v>
      </c>
      <c r="AA91" s="7" t="n">
        <v>-74</v>
      </c>
      <c r="AB91" s="7" t="n">
        <v>3</v>
      </c>
      <c r="AC91" s="7" t="n">
        <v>269</v>
      </c>
      <c r="AD91" s="7" t="n">
        <v>-11</v>
      </c>
      <c r="AE91" s="7" t="n">
        <f aca="false">SUM(N91:Q91)</f>
        <v>40</v>
      </c>
      <c r="AF91" s="7" t="n">
        <v>50</v>
      </c>
      <c r="AG91" s="7" t="n">
        <v>50</v>
      </c>
      <c r="AH91" s="7" t="n">
        <v>50</v>
      </c>
      <c r="AI91" s="7" t="n">
        <v>50</v>
      </c>
      <c r="AJ91" s="7" t="n">
        <v>50</v>
      </c>
      <c r="AK91" s="59"/>
      <c r="AL91" s="59"/>
      <c r="AM91" s="59"/>
      <c r="AN91" s="59"/>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c r="BU91" s="59"/>
      <c r="BV91" s="59"/>
      <c r="BW91" s="59"/>
      <c r="BX91" s="59"/>
      <c r="BY91" s="59"/>
      <c r="BZ91" s="59"/>
      <c r="CA91" s="59"/>
      <c r="CB91" s="59"/>
      <c r="CC91" s="59"/>
      <c r="CD91" s="59"/>
      <c r="CE91" s="59"/>
      <c r="CF91" s="59"/>
      <c r="CG91" s="59"/>
      <c r="CH91" s="59"/>
      <c r="CI91" s="59"/>
      <c r="CJ91" s="59"/>
      <c r="CK91" s="59"/>
      <c r="CL91" s="59"/>
      <c r="CM91" s="59"/>
      <c r="CN91" s="59"/>
      <c r="CO91" s="59"/>
      <c r="CP91" s="59"/>
      <c r="CQ91" s="59"/>
      <c r="CR91" s="59"/>
      <c r="CS91" s="59"/>
      <c r="CT91" s="59"/>
      <c r="CU91" s="59"/>
      <c r="CV91" s="59"/>
      <c r="CW91" s="59"/>
      <c r="CX91" s="59"/>
      <c r="CY91" s="59"/>
      <c r="CZ91" s="59"/>
      <c r="DA91" s="59"/>
      <c r="DB91" s="59"/>
      <c r="DC91" s="59"/>
      <c r="DD91" s="59"/>
      <c r="DE91" s="59"/>
      <c r="DF91" s="59"/>
      <c r="DG91" s="59"/>
      <c r="DH91" s="59"/>
      <c r="DI91" s="59"/>
      <c r="DJ91" s="59"/>
      <c r="DK91" s="59"/>
      <c r="DL91" s="59"/>
      <c r="DM91" s="59"/>
      <c r="DN91" s="59"/>
      <c r="DO91" s="59"/>
      <c r="DP91" s="59"/>
      <c r="DQ91" s="59"/>
      <c r="DR91" s="59"/>
      <c r="DS91" s="59"/>
      <c r="DT91" s="59"/>
      <c r="DU91" s="59"/>
      <c r="DV91" s="59"/>
      <c r="DW91" s="59"/>
      <c r="DX91" s="59"/>
      <c r="DY91" s="59"/>
      <c r="DZ91" s="59"/>
      <c r="EA91" s="59"/>
      <c r="EB91" s="59"/>
      <c r="EC91" s="59"/>
      <c r="ED91" s="59"/>
      <c r="EE91" s="59"/>
      <c r="EF91" s="59"/>
      <c r="EG91" s="59"/>
      <c r="EH91" s="59"/>
      <c r="EI91" s="59"/>
      <c r="EJ91" s="59"/>
      <c r="EK91" s="59"/>
      <c r="EL91" s="59"/>
      <c r="EM91" s="59"/>
      <c r="EN91" s="59"/>
      <c r="EO91" s="59"/>
      <c r="EP91" s="59"/>
      <c r="EQ91" s="1"/>
      <c r="ER91" s="1"/>
      <c r="ES91" s="1"/>
      <c r="ET91" s="1"/>
      <c r="EU91" s="1"/>
      <c r="EV91" s="1"/>
    </row>
    <row r="92" s="7" customFormat="true" ht="10.5" hidden="false" customHeight="true" outlineLevel="0" collapsed="false">
      <c r="A92" s="53" t="s">
        <v>264</v>
      </c>
      <c r="B92" s="29" t="n">
        <f aca="false">+B91/B$61</f>
        <v>0.00175080245112343</v>
      </c>
      <c r="C92" s="29" t="n">
        <f aca="false">+C91/C$61</f>
        <v>-0.00185804533630621</v>
      </c>
      <c r="D92" s="29" t="n">
        <f aca="false">+D91/D$61</f>
        <v>0.000239721922569819</v>
      </c>
      <c r="E92" s="29" t="n">
        <f aca="false">+E91/E$61</f>
        <v>0.000580922504937841</v>
      </c>
      <c r="F92" s="29" t="n">
        <f aca="false">+F91/F$61</f>
        <v>0</v>
      </c>
      <c r="G92" s="29" t="n">
        <f aca="false">+G91/G$61</f>
        <v>0</v>
      </c>
      <c r="H92" s="29" t="n">
        <f aca="false">+H91/H$61</f>
        <v>-0.000215229965987565</v>
      </c>
      <c r="I92" s="29" t="n">
        <f aca="false">+I91/I$61</f>
        <v>0.0272734513091914</v>
      </c>
      <c r="J92" s="29" t="n">
        <f aca="false">+J91/J$61</f>
        <v>-0.000888332635226304</v>
      </c>
      <c r="K92" s="29" t="n">
        <f aca="false">+K91/K$61</f>
        <v>-0.000654185396734011</v>
      </c>
      <c r="L92" s="29" t="n">
        <f aca="false">+L91/L$61</f>
        <v>-0.0011619129092539</v>
      </c>
      <c r="M92" s="29" t="n">
        <f aca="false">+M91/M$61</f>
        <v>0.00150508495065127</v>
      </c>
      <c r="N92" s="29" t="n">
        <f aca="false">+N91/N$61</f>
        <v>-0.000173410479168863</v>
      </c>
      <c r="O92" s="29" t="n">
        <f aca="false">+O91/O$61</f>
        <v>-0.000395212121986949</v>
      </c>
      <c r="P92" s="29" t="n">
        <f aca="false">+P91/P$61</f>
        <v>0.00193057520453774</v>
      </c>
      <c r="Q92" s="29" t="n">
        <f aca="false">+Q91/Q$61</f>
        <v>0.00146178476959488</v>
      </c>
      <c r="R92" s="29" t="n">
        <f aca="false">+R91/R$61</f>
        <v>0.00143906687873968</v>
      </c>
      <c r="S92" s="29" t="n">
        <f aca="false">+S91/S$61</f>
        <v>0.0015502783454302</v>
      </c>
      <c r="T92" s="29" t="n">
        <f aca="false">+T91/T$61</f>
        <v>0.00202507888587875</v>
      </c>
      <c r="U92" s="29" t="n">
        <f aca="false">+U91/U$61</f>
        <v>0.00189842177869465</v>
      </c>
      <c r="V92" s="29"/>
      <c r="W92" s="29"/>
      <c r="X92" s="29"/>
      <c r="Y92" s="29" t="n">
        <f aca="false">+Y91/Y$61</f>
        <v>-0.000424118187601612</v>
      </c>
      <c r="Z92" s="29" t="n">
        <f aca="false">+Z91/Z$61</f>
        <v>-0.00179541189889216</v>
      </c>
      <c r="AA92" s="29" t="n">
        <f aca="false">+AA91/AA$61</f>
        <v>-0.00423889189400023</v>
      </c>
      <c r="AB92" s="29" t="n">
        <f aca="false">+AB91/AB$61</f>
        <v>9.41011745014254E-005</v>
      </c>
      <c r="AC92" s="29" t="n">
        <f aca="false">+AC91/AC$61</f>
        <v>0.00721541591408124</v>
      </c>
      <c r="AD92" s="29" t="n">
        <f aca="false">+AD91/AD$61</f>
        <v>-0.000250122947780555</v>
      </c>
      <c r="AE92" s="29" t="n">
        <f aca="false">+AE91/AE$61</f>
        <v>0.000768973031436021</v>
      </c>
      <c r="AF92" s="29" t="n">
        <f aca="false">+AF91/AF$61</f>
        <v>0.000858228829727703</v>
      </c>
      <c r="AG92" s="29" t="n">
        <f aca="false">+AG91/AG$61</f>
        <v>0.000715190691439752</v>
      </c>
      <c r="AH92" s="29" t="n">
        <f aca="false">+AH91/AH$61</f>
        <v>0.00059599224286646</v>
      </c>
      <c r="AI92" s="29" t="n">
        <f aca="false">+AI91/AI$61</f>
        <v>0.000496660202388717</v>
      </c>
      <c r="AJ92" s="29" t="n">
        <f aca="false">+AJ91/AJ$61</f>
        <v>0.000413883501990597</v>
      </c>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88"/>
      <c r="BX92" s="88"/>
      <c r="BY92" s="88"/>
      <c r="BZ92" s="88"/>
      <c r="CA92" s="88"/>
      <c r="CB92" s="88"/>
      <c r="CC92" s="88"/>
      <c r="CD92" s="88"/>
      <c r="CE92" s="88"/>
      <c r="CF92" s="88"/>
      <c r="CG92" s="88"/>
      <c r="CH92" s="88"/>
      <c r="CI92" s="88"/>
      <c r="CJ92" s="88"/>
      <c r="CK92" s="88"/>
      <c r="CL92" s="88"/>
      <c r="CM92" s="88"/>
      <c r="CN92" s="88"/>
      <c r="CO92" s="88"/>
      <c r="CP92" s="88"/>
      <c r="CQ92" s="88"/>
      <c r="CR92" s="88"/>
      <c r="CS92" s="88"/>
      <c r="CT92" s="88"/>
      <c r="CU92" s="88"/>
      <c r="CV92" s="88"/>
      <c r="CW92" s="88"/>
      <c r="CX92" s="88"/>
      <c r="CY92" s="88"/>
      <c r="CZ92" s="88"/>
      <c r="DA92" s="88"/>
      <c r="DB92" s="88"/>
      <c r="DC92" s="88"/>
      <c r="DD92" s="88"/>
      <c r="DE92" s="88"/>
      <c r="DF92" s="88"/>
      <c r="DG92" s="88"/>
      <c r="DH92" s="88"/>
      <c r="DI92" s="88"/>
      <c r="DJ92" s="88"/>
      <c r="DK92" s="88"/>
      <c r="DL92" s="88"/>
      <c r="DM92" s="88"/>
      <c r="DN92" s="88"/>
      <c r="DO92" s="88"/>
      <c r="DP92" s="88"/>
      <c r="DQ92" s="88"/>
      <c r="DR92" s="88"/>
      <c r="DS92" s="88"/>
      <c r="DT92" s="88"/>
      <c r="DU92" s="88"/>
      <c r="DV92" s="88"/>
      <c r="DW92" s="88"/>
      <c r="DX92" s="88"/>
      <c r="DY92" s="88"/>
      <c r="DZ92" s="88"/>
      <c r="EA92" s="88"/>
      <c r="EB92" s="88"/>
      <c r="EC92" s="88"/>
      <c r="ED92" s="88"/>
      <c r="EE92" s="88"/>
      <c r="EF92" s="88"/>
      <c r="EG92" s="88"/>
      <c r="EH92" s="88"/>
      <c r="EI92" s="88"/>
      <c r="EJ92" s="88"/>
      <c r="EK92" s="88"/>
      <c r="EL92" s="88"/>
      <c r="EM92" s="88"/>
      <c r="EN92" s="88"/>
      <c r="EO92" s="88"/>
      <c r="EP92" s="88"/>
      <c r="EQ92" s="29"/>
      <c r="ER92" s="1"/>
      <c r="ES92" s="1"/>
      <c r="ET92" s="1"/>
      <c r="EU92" s="1"/>
      <c r="EV92" s="1"/>
    </row>
    <row r="93" s="7" customFormat="true" ht="12.8" hidden="false" customHeight="false" outlineLevel="0" collapsed="false">
      <c r="A93" s="59" t="s">
        <v>301</v>
      </c>
      <c r="B93" s="59" t="n">
        <f aca="false">B89-B91</f>
        <v>-5930</v>
      </c>
      <c r="C93" s="59" t="n">
        <f aca="false">C89-C91</f>
        <v>-2601</v>
      </c>
      <c r="D93" s="59" t="n">
        <f aca="false">D89-D91</f>
        <v>-1206</v>
      </c>
      <c r="E93" s="59" t="n">
        <f aca="false">E89-E91</f>
        <v>595</v>
      </c>
      <c r="F93" s="59" t="n">
        <f aca="false">F89-F91</f>
        <v>-156.04909144605</v>
      </c>
      <c r="G93" s="59" t="n">
        <f aca="false">G89-G91</f>
        <v>394.51470431175</v>
      </c>
      <c r="H93" s="59" t="n">
        <f aca="false">H89-H91</f>
        <v>221.38635904237</v>
      </c>
      <c r="I93" s="59" t="n">
        <f aca="false">I89-I91</f>
        <v>1429.40287500652</v>
      </c>
      <c r="J93" s="59" t="n">
        <f aca="false">J89-J91</f>
        <v>-653.65995561758</v>
      </c>
      <c r="K93" s="59" t="n">
        <f aca="false">K89-K91</f>
        <v>1015.33057134443</v>
      </c>
      <c r="L93" s="59" t="n">
        <f aca="false">L89-L91</f>
        <v>2612.44613607724</v>
      </c>
      <c r="M93" s="59" t="n">
        <f aca="false">M89-M91</f>
        <v>6883.45783140762</v>
      </c>
      <c r="N93" s="59" t="n">
        <f aca="false">N89-N91</f>
        <v>1776.32837545794</v>
      </c>
      <c r="O93" s="59" t="n">
        <f aca="false">O89-O91</f>
        <v>1355.43380436374</v>
      </c>
      <c r="P93" s="59" t="n">
        <f aca="false">P89-P91</f>
        <v>6626.48882865999</v>
      </c>
      <c r="Q93" s="59" t="n">
        <f aca="false">Q89-Q91</f>
        <v>296</v>
      </c>
      <c r="R93" s="59" t="n">
        <f aca="false">R89-R91</f>
        <v>263</v>
      </c>
      <c r="S93" s="59" t="n">
        <f aca="false">S89-S91</f>
        <v>2394</v>
      </c>
      <c r="T93" s="59" t="n">
        <f aca="false">T89-T91</f>
        <v>1433.94106140907</v>
      </c>
      <c r="U93" s="59" t="n">
        <f aca="false">U89-U91</f>
        <v>1395.70606035969</v>
      </c>
      <c r="V93" s="59"/>
      <c r="W93" s="59"/>
      <c r="X93" s="59"/>
      <c r="Y93" s="59" t="n">
        <f aca="false">Y89-Y91</f>
        <v>-8506</v>
      </c>
      <c r="Z93" s="59" t="n">
        <f aca="false">Z89-Z91</f>
        <v>-6767.49490240048</v>
      </c>
      <c r="AA93" s="59" t="n">
        <f aca="false">AA89-AA91</f>
        <v>-493.607395876221</v>
      </c>
      <c r="AB93" s="59" t="n">
        <f aca="false">AB89-AB91</f>
        <v>-9137.4202315237</v>
      </c>
      <c r="AC93" s="59" t="n">
        <f aca="false">AC89-AC91</f>
        <v>1887.28817564525</v>
      </c>
      <c r="AD93" s="59" t="n">
        <f aca="false">AD89-AD91</f>
        <v>9856.37182716581</v>
      </c>
      <c r="AE93" s="59" t="n">
        <f aca="false">AE89-AE91</f>
        <v>10053.428914642</v>
      </c>
      <c r="AF93" s="59" t="n">
        <f aca="false">AF89-AF91</f>
        <v>9807.50917996624</v>
      </c>
      <c r="AG93" s="59" t="n">
        <f aca="false">AG89-AG91</f>
        <v>9700.87686157837</v>
      </c>
      <c r="AH93" s="59" t="n">
        <f aca="false">AH89-AH91</f>
        <v>12191.069711475</v>
      </c>
      <c r="AI93" s="59" t="n">
        <f aca="false">AI89-AI91</f>
        <v>16184.7172103542</v>
      </c>
      <c r="AJ93" s="59" t="n">
        <f aca="false">AJ89-AJ91</f>
        <v>20395.3440436222</v>
      </c>
      <c r="AK93" s="59" t="n">
        <f aca="false">+AJ93*(1+$AN$107)</f>
        <v>20701.2742042765</v>
      </c>
      <c r="AL93" s="59" t="n">
        <f aca="false">AK93*(1+$AN$107)</f>
        <v>21011.7933173407</v>
      </c>
      <c r="AM93" s="59" t="n">
        <f aca="false">AL93*(1+$AN$107)</f>
        <v>21326.9702171008</v>
      </c>
      <c r="AN93" s="59" t="n">
        <f aca="false">AM93*(1+$AN$107)</f>
        <v>21646.8747703573</v>
      </c>
      <c r="AO93" s="59" t="n">
        <f aca="false">AN93*(1+$AN$107)</f>
        <v>21971.5778919127</v>
      </c>
      <c r="AP93" s="59" t="n">
        <f aca="false">AO93*(1+$AN$107)</f>
        <v>22301.1515602913</v>
      </c>
      <c r="AQ93" s="59" t="n">
        <f aca="false">AP93*(1+$AN$107)</f>
        <v>22635.6688336957</v>
      </c>
      <c r="AR93" s="59" t="n">
        <f aca="false">AQ93*(1+$AN$107)</f>
        <v>22975.2038662011</v>
      </c>
      <c r="AS93" s="59" t="n">
        <f aca="false">AR93*(1+$AN$107)</f>
        <v>23319.8319241942</v>
      </c>
      <c r="AT93" s="59" t="n">
        <f aca="false">AS93*(1+$AN$107)</f>
        <v>23669.6294030571</v>
      </c>
      <c r="AU93" s="59" t="n">
        <f aca="false">AT93*(1+$AN$107)</f>
        <v>24024.6738441029</v>
      </c>
      <c r="AV93" s="59" t="n">
        <f aca="false">AU93*(1+$AN$107)</f>
        <v>24385.0439517645</v>
      </c>
      <c r="AW93" s="59" t="n">
        <f aca="false">AV93*(1+$AN$107)</f>
        <v>24750.8196110409</v>
      </c>
      <c r="AX93" s="59" t="n">
        <f aca="false">AW93*(1+$AN$107)</f>
        <v>25122.0819052065</v>
      </c>
      <c r="AY93" s="59" t="n">
        <f aca="false">AX93*(1+$AN$107)</f>
        <v>25498.9131337846</v>
      </c>
      <c r="AZ93" s="59" t="n">
        <f aca="false">AY93*(1+$AN$107)</f>
        <v>25881.3968307914</v>
      </c>
      <c r="BA93" s="59" t="n">
        <f aca="false">AZ93*(1+$AN$107)</f>
        <v>26269.6177832533</v>
      </c>
      <c r="BB93" s="59" t="n">
        <f aca="false">BA93*(1+$AN$107)</f>
        <v>26663.6620500021</v>
      </c>
      <c r="BC93" s="59" t="n">
        <f aca="false">BB93*(1+$AN$107)</f>
        <v>27063.6169807521</v>
      </c>
      <c r="BD93" s="59" t="n">
        <f aca="false">BC93*(1+$AN$107)</f>
        <v>27469.5712354634</v>
      </c>
      <c r="BE93" s="59" t="n">
        <f aca="false">BD93*(1+$AN$107)</f>
        <v>27881.6148039953</v>
      </c>
      <c r="BF93" s="59" t="n">
        <f aca="false">BE93*(1+$AN$107)</f>
        <v>28299.8390260552</v>
      </c>
      <c r="BG93" s="59" t="n">
        <f aca="false">BF93*(1+$AN$107)</f>
        <v>28724.3366114461</v>
      </c>
      <c r="BH93" s="59" t="n">
        <f aca="false">BG93*(1+$AN$107)</f>
        <v>29155.2016606178</v>
      </c>
      <c r="BI93" s="59" t="n">
        <f aca="false">BH93*(1+$AN$107)</f>
        <v>29592.529685527</v>
      </c>
      <c r="BJ93" s="59" t="n">
        <f aca="false">BI93*(1+$AN$107)</f>
        <v>30036.4176308099</v>
      </c>
      <c r="BK93" s="59" t="n">
        <f aca="false">BJ93*(1+$AN$107)</f>
        <v>30486.9638952721</v>
      </c>
      <c r="BL93" s="59" t="n">
        <f aca="false">BK93*(1+$AN$107)</f>
        <v>30944.2683537011</v>
      </c>
      <c r="BM93" s="59" t="n">
        <f aca="false">BL93*(1+$AN$107)</f>
        <v>31408.4323790067</v>
      </c>
      <c r="BN93" s="59" t="n">
        <f aca="false">BM93*(1+$AN$107)</f>
        <v>31879.5588646918</v>
      </c>
      <c r="BO93" s="59" t="n">
        <f aca="false">BN93*(1+$AN$107)</f>
        <v>32357.7522476621</v>
      </c>
      <c r="BP93" s="59" t="n">
        <f aca="false">BO93*(1+$AN$107)</f>
        <v>32843.1185313771</v>
      </c>
      <c r="BQ93" s="59" t="n">
        <f aca="false">BP93*(1+$AN$107)</f>
        <v>33335.7653093477</v>
      </c>
      <c r="BR93" s="59" t="n">
        <f aca="false">BQ93*(1+$AN$107)</f>
        <v>33835.8017889879</v>
      </c>
      <c r="BS93" s="59" t="n">
        <f aca="false">BR93*(1+$AN$107)</f>
        <v>34343.3388158227</v>
      </c>
      <c r="BT93" s="59" t="n">
        <f aca="false">BS93*(1+$AN$107)</f>
        <v>34858.4888980601</v>
      </c>
      <c r="BU93" s="59" t="n">
        <f aca="false">BT93*(1+$AN$107)</f>
        <v>35381.366231531</v>
      </c>
      <c r="BV93" s="59" t="n">
        <f aca="false">BU93*(1+$AN$107)</f>
        <v>35912.0867250039</v>
      </c>
      <c r="BW93" s="59" t="n">
        <f aca="false">BV93*(1+$AN$107)</f>
        <v>36450.768025879</v>
      </c>
      <c r="BX93" s="59" t="n">
        <f aca="false">BW93*(1+$AN$107)</f>
        <v>36997.5295462672</v>
      </c>
      <c r="BY93" s="59" t="n">
        <f aca="false">BX93*(1+$AN$107)</f>
        <v>37552.4924894612</v>
      </c>
      <c r="BZ93" s="59" t="n">
        <f aca="false">BY93*(1+$AN$107)</f>
        <v>38115.7798768031</v>
      </c>
      <c r="CA93" s="59" t="n">
        <f aca="false">BZ93*(1+$AN$107)</f>
        <v>38687.5165749551</v>
      </c>
      <c r="CB93" s="59" t="n">
        <f aca="false">CA93*(1+$AN$107)</f>
        <v>39267.8293235795</v>
      </c>
      <c r="CC93" s="59" t="n">
        <f aca="false">CB93*(1+$AN$107)</f>
        <v>39856.8467634331</v>
      </c>
      <c r="CD93" s="59" t="n">
        <f aca="false">CC93*(1+$AN$107)</f>
        <v>40454.6994648846</v>
      </c>
      <c r="CE93" s="59" t="n">
        <f aca="false">CD93*(1+$AN$107)</f>
        <v>41061.5199568579</v>
      </c>
      <c r="CF93" s="59" t="n">
        <f aca="false">CE93*(1+$AN$107)</f>
        <v>41677.4427562108</v>
      </c>
      <c r="CG93" s="59" t="n">
        <f aca="false">CF93*(1+$AN$107)</f>
        <v>42302.6043975539</v>
      </c>
      <c r="CH93" s="59" t="n">
        <f aca="false">CG93*(1+$AN$107)</f>
        <v>42937.1434635172</v>
      </c>
      <c r="CI93" s="59" t="n">
        <f aca="false">CH93*(1+$AN$107)</f>
        <v>43581.20061547</v>
      </c>
      <c r="CJ93" s="59" t="n">
        <f aca="false">CI93*(1+$AN$107)</f>
        <v>44234.918624702</v>
      </c>
      <c r="CK93" s="59" t="n">
        <f aca="false">CJ93*(1+$AN$107)</f>
        <v>44898.4424040725</v>
      </c>
      <c r="CL93" s="59" t="n">
        <f aca="false">CK93*(1+$AN$107)</f>
        <v>45571.9190401336</v>
      </c>
      <c r="CM93" s="59" t="n">
        <f aca="false">CL93*(1+$AN$107)</f>
        <v>46255.4978257356</v>
      </c>
      <c r="CN93" s="59" t="n">
        <f aca="false">CM93*(1+$AN$107)</f>
        <v>46949.3302931217</v>
      </c>
      <c r="CO93" s="59" t="n">
        <f aca="false">CN93*(1+$AN$107)</f>
        <v>47653.5702475185</v>
      </c>
      <c r="CP93" s="59" t="n">
        <f aca="false">CO93*(1+$AN$107)</f>
        <v>48368.3738012313</v>
      </c>
      <c r="CQ93" s="59" t="n">
        <f aca="false">CP93*(1+$AN$107)</f>
        <v>49093.8994082497</v>
      </c>
      <c r="CR93" s="59" t="n">
        <f aca="false">CQ93*(1+$AN$107)</f>
        <v>49830.3078993735</v>
      </c>
      <c r="CS93" s="59" t="n">
        <f aca="false">CR93*(1+$AN$107)</f>
        <v>50577.7625178641</v>
      </c>
      <c r="CT93" s="59" t="n">
        <f aca="false">CS93*(1+$AN$107)</f>
        <v>51336.428955632</v>
      </c>
      <c r="CU93" s="59" t="n">
        <f aca="false">CT93*(1+$AN$107)</f>
        <v>52106.4753899665</v>
      </c>
      <c r="CV93" s="59" t="n">
        <f aca="false">CU93*(1+$AN$107)</f>
        <v>52888.072520816</v>
      </c>
      <c r="CW93" s="59" t="n">
        <f aca="false">CV93*(1+$AN$107)</f>
        <v>53681.3936086282</v>
      </c>
      <c r="CX93" s="59" t="n">
        <f aca="false">CW93*(1+$AN$107)</f>
        <v>54486.6145127576</v>
      </c>
      <c r="CY93" s="59" t="n">
        <f aca="false">CX93*(1+$AN$107)</f>
        <v>55303.913730449</v>
      </c>
      <c r="CZ93" s="59" t="n">
        <f aca="false">CY93*(1+$AN$107)</f>
        <v>56133.4724364057</v>
      </c>
      <c r="DA93" s="59" t="n">
        <f aca="false">CZ93*(1+$AN$107)</f>
        <v>56975.4745229518</v>
      </c>
      <c r="DB93" s="59" t="n">
        <f aca="false">DA93*(1+$AN$107)</f>
        <v>57830.1066407961</v>
      </c>
      <c r="DC93" s="59" t="n">
        <f aca="false">DB93*(1+$AN$107)</f>
        <v>58697.558240408</v>
      </c>
      <c r="DD93" s="59" t="n">
        <f aca="false">DC93*(1+$AN$107)</f>
        <v>59578.0216140141</v>
      </c>
      <c r="DE93" s="59" t="n">
        <f aca="false">DD93*(1+$AN$107)</f>
        <v>60471.6919382243</v>
      </c>
      <c r="DF93" s="59" t="n">
        <f aca="false">DE93*(1+$AN$107)</f>
        <v>61378.7673172977</v>
      </c>
      <c r="DG93" s="59" t="n">
        <f aca="false">DF93*(1+$AN$107)</f>
        <v>62299.4488270572</v>
      </c>
      <c r="DH93" s="59" t="n">
        <f aca="false">DG93*(1+$AN$107)</f>
        <v>63233.940559463</v>
      </c>
      <c r="DI93" s="59" t="n">
        <f aca="false">DH93*(1+$AN$107)</f>
        <v>64182.4496678549</v>
      </c>
      <c r="DJ93" s="59" t="n">
        <f aca="false">DI93*(1+$AN$107)</f>
        <v>65145.1864128728</v>
      </c>
      <c r="DK93" s="59" t="n">
        <f aca="false">DJ93*(1+$AN$107)</f>
        <v>66122.3642090658</v>
      </c>
      <c r="DL93" s="59" t="n">
        <f aca="false">DK93*(1+$AN$107)</f>
        <v>67114.1996722018</v>
      </c>
      <c r="DM93" s="59" t="n">
        <f aca="false">DL93*(1+$AN$107)</f>
        <v>68120.9126672849</v>
      </c>
      <c r="DN93" s="59" t="n">
        <f aca="false">DM93*(1+$AN$107)</f>
        <v>69142.7263572941</v>
      </c>
      <c r="DO93" s="59" t="n">
        <f aca="false">DN93*(1+$AN$107)</f>
        <v>70179.8672526535</v>
      </c>
      <c r="DP93" s="59" t="n">
        <f aca="false">DO93*(1+$AN$107)</f>
        <v>71232.5652614433</v>
      </c>
      <c r="DQ93" s="59" t="n">
        <f aca="false">DP93*(1+$AN$107)</f>
        <v>72301.053740365</v>
      </c>
      <c r="DR93" s="59" t="n">
        <f aca="false">DQ93*(1+$AN$107)</f>
        <v>73385.5695464704</v>
      </c>
      <c r="DS93" s="59" t="n">
        <f aca="false">DR93*(1+$AN$107)</f>
        <v>74486.3530896675</v>
      </c>
      <c r="DT93" s="59" t="n">
        <f aca="false">DS93*(1+$AN$107)</f>
        <v>75603.6483860125</v>
      </c>
      <c r="DU93" s="59" t="n">
        <f aca="false">DT93*(1+$AN$107)</f>
        <v>76737.7031118027</v>
      </c>
      <c r="DV93" s="59" t="n">
        <f aca="false">DU93*(1+$AN$107)</f>
        <v>77888.7686584797</v>
      </c>
      <c r="DW93" s="59" t="n">
        <f aca="false">DV93*(1+$AN$107)</f>
        <v>79057.1001883569</v>
      </c>
      <c r="DX93" s="59" t="n">
        <f aca="false">DW93*(1+$AN$107)</f>
        <v>80242.9566911822</v>
      </c>
      <c r="DY93" s="59" t="n">
        <f aca="false">DX93*(1+$AN$107)</f>
        <v>81446.60104155</v>
      </c>
      <c r="DZ93" s="59" t="n">
        <f aca="false">DY93*(1+$AN$107)</f>
        <v>82668.3000571732</v>
      </c>
      <c r="EA93" s="59" t="n">
        <f aca="false">DZ93*(1+$AN$107)</f>
        <v>83908.3245580308</v>
      </c>
      <c r="EB93" s="59" t="n">
        <f aca="false">EA93*(1+$AN$107)</f>
        <v>85166.9494264012</v>
      </c>
      <c r="EC93" s="59"/>
      <c r="ED93" s="59"/>
      <c r="EE93" s="59"/>
      <c r="EF93" s="59"/>
      <c r="EG93" s="59"/>
      <c r="EH93" s="59"/>
      <c r="EI93" s="59"/>
      <c r="EJ93" s="59"/>
      <c r="EK93" s="59"/>
      <c r="EL93" s="59"/>
      <c r="EM93" s="59"/>
      <c r="EN93" s="59"/>
      <c r="EO93" s="59"/>
      <c r="EP93" s="59"/>
      <c r="EQ93" s="22"/>
      <c r="ER93" s="1"/>
      <c r="ES93" s="1"/>
      <c r="ET93" s="1"/>
      <c r="EU93" s="1"/>
      <c r="EV93" s="1"/>
    </row>
    <row r="94" s="7" customFormat="true" ht="10.5" hidden="false" customHeight="true" outlineLevel="0" collapsed="false">
      <c r="A94" s="53" t="s">
        <v>264</v>
      </c>
      <c r="B94" s="29" t="n">
        <f aca="false">+B93/B$61</f>
        <v>-0.865188211263496</v>
      </c>
      <c r="C94" s="29" t="n">
        <f aca="false">+C93/C$61</f>
        <v>-0.322185061315496</v>
      </c>
      <c r="D94" s="29" t="n">
        <f aca="false">+D93/D$61</f>
        <v>-0.144552319309601</v>
      </c>
      <c r="E94" s="29" t="n">
        <f aca="false">+E93/E$61</f>
        <v>0.0691297780876031</v>
      </c>
      <c r="F94" s="29" t="n">
        <f aca="false">+F93/F$61</f>
        <v>-0.0176847189046322</v>
      </c>
      <c r="G94" s="29" t="n">
        <f aca="false">+G93/G$61</f>
        <v>0.042740271474511</v>
      </c>
      <c r="H94" s="29" t="n">
        <f aca="false">+H93/H$61</f>
        <v>0.0238244892634</v>
      </c>
      <c r="I94" s="29" t="n">
        <f aca="false">+I93/I$61</f>
        <v>0.143855164991544</v>
      </c>
      <c r="J94" s="29" t="n">
        <f aca="false">+J93/J$61</f>
        <v>-0.0645186078795194</v>
      </c>
      <c r="K94" s="29" t="n">
        <f aca="false">+K93/K$61</f>
        <v>0.0948877760901608</v>
      </c>
      <c r="L94" s="29" t="n">
        <f aca="false">+L93/L$61</f>
        <v>0.233494991556816</v>
      </c>
      <c r="M94" s="29" t="n">
        <f aca="false">+M93/M$61</f>
        <v>0.575566043916345</v>
      </c>
      <c r="N94" s="29" t="n">
        <f aca="false">+N93/N$61</f>
        <v>0.154016977374705</v>
      </c>
      <c r="O94" s="29" t="n">
        <f aca="false">+O93/O$61</f>
        <v>0.107136774007087</v>
      </c>
      <c r="P94" s="29" t="n">
        <f aca="false">+P93/P$61</f>
        <v>0.492035962529127</v>
      </c>
      <c r="Q94" s="29" t="n">
        <f aca="false">+Q93/Q$61</f>
        <v>0.0206042043714325</v>
      </c>
      <c r="R94" s="29" t="n">
        <f aca="false">+R93/R$61</f>
        <v>0.0199197152162387</v>
      </c>
      <c r="S94" s="29" t="n">
        <f aca="false">+S93/S$61</f>
        <v>0.168698470861814</v>
      </c>
      <c r="T94" s="29" t="n">
        <f aca="false">+T93/T$61</f>
        <v>0.0967947922351357</v>
      </c>
      <c r="U94" s="29" t="n">
        <f aca="false">+U93/U$61</f>
        <v>0.0883212927214311</v>
      </c>
      <c r="V94" s="88"/>
      <c r="W94" s="88"/>
      <c r="X94" s="88"/>
      <c r="Y94" s="29" t="n">
        <f aca="false">+Y93/Y$61</f>
        <v>-0.601258217289885</v>
      </c>
      <c r="Z94" s="29" t="n">
        <f aca="false">+Z93/Z$61</f>
        <v>-0.607522043673093</v>
      </c>
      <c r="AA94" s="29" t="n">
        <f aca="false">+AA93/AA$61</f>
        <v>-0.0282749782324092</v>
      </c>
      <c r="AB94" s="29" t="n">
        <f aca="false">+AB93/AB$61</f>
        <v>-0.286613991899822</v>
      </c>
      <c r="AC94" s="29" t="n">
        <f aca="false">+AC93/AC$61</f>
        <v>0.0506229335948256</v>
      </c>
      <c r="AD94" s="29" t="n">
        <f aca="false">+AD93/AD$61</f>
        <v>0.22411861598472</v>
      </c>
      <c r="AE94" s="29" t="n">
        <f aca="false">+AE93/AE$61</f>
        <v>0.19327039272047</v>
      </c>
      <c r="AF94" s="29" t="n">
        <f aca="false">+AF93/AF$61</f>
        <v>0.168341742521323</v>
      </c>
      <c r="AG94" s="29" t="n">
        <f aca="false">+AG93/AG$61</f>
        <v>0.138759536604083</v>
      </c>
      <c r="AH94" s="29" t="n">
        <f aca="false">+AH93/AH$61</f>
        <v>0.145315659605667</v>
      </c>
      <c r="AI94" s="29" t="n">
        <f aca="false">+AI93/AI$61</f>
        <v>0.160766098505974</v>
      </c>
      <c r="AJ94" s="29" t="n">
        <f aca="false">+AJ93/AJ$61</f>
        <v>0.168825928341548</v>
      </c>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88"/>
      <c r="BX94" s="88"/>
      <c r="BY94" s="88"/>
      <c r="BZ94" s="88"/>
      <c r="CA94" s="88"/>
      <c r="CB94" s="88"/>
      <c r="CC94" s="88"/>
      <c r="CD94" s="88"/>
      <c r="CE94" s="88"/>
      <c r="CF94" s="88"/>
      <c r="CG94" s="88"/>
      <c r="CH94" s="88"/>
      <c r="CI94" s="88"/>
      <c r="CJ94" s="88"/>
      <c r="CK94" s="88"/>
      <c r="CL94" s="88"/>
      <c r="CM94" s="88"/>
      <c r="CN94" s="88"/>
      <c r="CO94" s="88"/>
      <c r="CP94" s="88"/>
      <c r="CQ94" s="88"/>
      <c r="CR94" s="88"/>
      <c r="CS94" s="88"/>
      <c r="CT94" s="88"/>
      <c r="CU94" s="88"/>
      <c r="CV94" s="88"/>
      <c r="CW94" s="88"/>
      <c r="CX94" s="88"/>
      <c r="CY94" s="88"/>
      <c r="CZ94" s="88"/>
      <c r="DA94" s="88"/>
      <c r="DB94" s="88"/>
      <c r="DC94" s="88"/>
      <c r="DD94" s="88"/>
      <c r="DE94" s="88"/>
      <c r="DF94" s="88"/>
      <c r="DG94" s="88"/>
      <c r="DH94" s="88"/>
      <c r="DI94" s="88"/>
      <c r="DJ94" s="88"/>
      <c r="DK94" s="88"/>
      <c r="DL94" s="88"/>
      <c r="DM94" s="88"/>
      <c r="DN94" s="88"/>
      <c r="DO94" s="88"/>
      <c r="DP94" s="88"/>
      <c r="DQ94" s="88"/>
      <c r="DR94" s="88"/>
      <c r="DS94" s="88"/>
      <c r="DT94" s="88"/>
      <c r="DU94" s="88"/>
      <c r="DV94" s="88"/>
      <c r="DW94" s="88"/>
      <c r="DX94" s="88"/>
      <c r="DY94" s="88"/>
      <c r="DZ94" s="88"/>
      <c r="EA94" s="88"/>
      <c r="EB94" s="88"/>
      <c r="EC94" s="88"/>
      <c r="ED94" s="88"/>
      <c r="EE94" s="88"/>
      <c r="EF94" s="88"/>
      <c r="EG94" s="88"/>
      <c r="EH94" s="88"/>
      <c r="EI94" s="88"/>
      <c r="EJ94" s="88"/>
      <c r="EK94" s="88"/>
      <c r="EL94" s="88"/>
      <c r="EM94" s="88"/>
      <c r="EN94" s="88"/>
      <c r="EO94" s="88"/>
      <c r="EP94" s="88"/>
      <c r="EQ94" s="88"/>
      <c r="ER94" s="1"/>
      <c r="ES94" s="1"/>
      <c r="ET94" s="1"/>
      <c r="EU94" s="1"/>
      <c r="EV94" s="1"/>
    </row>
    <row r="95" s="7" customFormat="true" ht="12.8" hidden="false" customHeight="false" outlineLevel="0" collapsed="false">
      <c r="A95" s="90" t="s">
        <v>302</v>
      </c>
      <c r="B95" s="90" t="n">
        <f aca="false">B93/B97</f>
        <v>-3.0290167546001</v>
      </c>
      <c r="C95" s="90" t="n">
        <f aca="false">C93/C97</f>
        <v>-1.32105428359851</v>
      </c>
      <c r="D95" s="90" t="n">
        <f aca="false">D93/D97</f>
        <v>-0.609398686205154</v>
      </c>
      <c r="E95" s="90" t="n">
        <f aca="false">E93/E97</f>
        <v>0.288754352547226</v>
      </c>
      <c r="F95" s="90" t="n">
        <f aca="false">F93/F97</f>
        <v>-0.0776556812371486</v>
      </c>
      <c r="G95" s="90" t="n">
        <f aca="false">G93/G97</f>
        <v>0.189743509191877</v>
      </c>
      <c r="H95" s="90" t="n">
        <f aca="false">H93/H97</f>
        <v>0.105002067464603</v>
      </c>
      <c r="I95" s="90" t="n">
        <f aca="false">I93/I97</f>
        <v>0.673642902590376</v>
      </c>
      <c r="J95" s="90" t="n">
        <f aca="false">J93/J97</f>
        <v>-0.314244486138926</v>
      </c>
      <c r="K95" s="90" t="n">
        <f aca="false">K93/K97</f>
        <v>0.472246777369502</v>
      </c>
      <c r="L95" s="90" t="n">
        <f aca="false">L93/L97</f>
        <v>1.21257583620826</v>
      </c>
      <c r="M95" s="90" t="n">
        <f aca="false">M93/M97</f>
        <v>3.21446615831121</v>
      </c>
      <c r="N95" s="90" t="n">
        <f aca="false">N93/N97</f>
        <v>0.83685730331974</v>
      </c>
      <c r="O95" s="90" t="n">
        <f aca="false">O93/O97</f>
        <v>0.649963462339954</v>
      </c>
      <c r="P95" s="90" t="n">
        <f aca="false">P93/P97</f>
        <v>3.11937524297886</v>
      </c>
      <c r="Q95" s="90" t="n">
        <f aca="false">Q93/Q97</f>
        <v>0.140550807217474</v>
      </c>
      <c r="R95" s="90" t="n">
        <f aca="false">R93/R97</f>
        <v>0.126967820174945</v>
      </c>
      <c r="S95" s="90" t="n">
        <f aca="false">S93/S97</f>
        <v>1.16767671840895</v>
      </c>
      <c r="T95" s="90" t="n">
        <f aca="false">T93/T97</f>
        <v>0.680883694876102</v>
      </c>
      <c r="U95" s="90" t="n">
        <f aca="false">U93/U97</f>
        <v>0.662728423722549</v>
      </c>
      <c r="V95" s="91"/>
      <c r="W95" s="91"/>
      <c r="X95" s="91"/>
      <c r="Y95" s="90" t="n">
        <f aca="false">Y93/Y97</f>
        <v>-6.81377783367365</v>
      </c>
      <c r="Z95" s="90" t="n">
        <f aca="false">Z93/Z97</f>
        <v>-3.86074214296336</v>
      </c>
      <c r="AA95" s="90" t="n">
        <f aca="false">AA93/AA97</f>
        <v>-0.260410127077932</v>
      </c>
      <c r="AB95" s="90" t="n">
        <f aca="false">AB93/AB97</f>
        <v>-4.62677615652625</v>
      </c>
      <c r="AC95" s="90" t="n">
        <f aca="false">AC93/AC97</f>
        <v>0.902274788758067</v>
      </c>
      <c r="AD95" s="90" t="n">
        <f aca="false">AD93/AD97</f>
        <v>4.58329310726148</v>
      </c>
      <c r="AE95" s="90" t="n">
        <f aca="false">AE93/AE97</f>
        <v>4.76560798710927</v>
      </c>
      <c r="AF95" s="90" t="n">
        <f aca="false">AF93/AF97</f>
        <v>4.74391338583684</v>
      </c>
      <c r="AG95" s="90" t="n">
        <f aca="false">AG93/AG97</f>
        <v>4.78809704386154</v>
      </c>
      <c r="AH95" s="90" t="n">
        <f aca="false">AH93/AH97</f>
        <v>6.13999038541932</v>
      </c>
      <c r="AI95" s="90" t="n">
        <f aca="false">AI93/AI97</f>
        <v>8.3177318679199</v>
      </c>
      <c r="AJ95" s="90" t="n">
        <f aca="false">AJ93/AJ97</f>
        <v>10.6955903500337</v>
      </c>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1"/>
      <c r="ER95" s="1"/>
      <c r="ES95" s="1"/>
      <c r="ET95" s="1"/>
      <c r="EU95" s="1"/>
      <c r="EV95" s="1"/>
    </row>
    <row r="96" s="1" customFormat="true" ht="10.5" hidden="false" customHeight="true" outlineLevel="0" collapsed="false">
      <c r="A96" s="53" t="s">
        <v>264</v>
      </c>
      <c r="B96" s="88"/>
      <c r="C96" s="88"/>
      <c r="D96" s="88"/>
      <c r="E96" s="88"/>
      <c r="F96" s="29" t="n">
        <f aca="false">+F95/B95-1</f>
        <v>-0.974362742920053</v>
      </c>
      <c r="G96" s="29" t="n">
        <f aca="false">+G95/C95-1</f>
        <v>-1.14363036519213</v>
      </c>
      <c r="H96" s="29" t="n">
        <f aca="false">+H95/D95-1</f>
        <v>-1.17230438765543</v>
      </c>
      <c r="I96" s="29" t="n">
        <f aca="false">+I95/E95-1</f>
        <v>1.33292726723557</v>
      </c>
      <c r="J96" s="29" t="n">
        <f aca="false">+J95/F95-1</f>
        <v>3.04663871506415</v>
      </c>
      <c r="K96" s="29" t="n">
        <f aca="false">+K95/G95-1</f>
        <v>1.48886920759933</v>
      </c>
      <c r="L96" s="29" t="n">
        <f aca="false">+L95/H95-1</f>
        <v>10.5481139132524</v>
      </c>
      <c r="M96" s="29" t="n">
        <f aca="false">+M95/I95-1</f>
        <v>3.77176579156485</v>
      </c>
      <c r="N96" s="29" t="n">
        <f aca="false">+N95/J95-1</f>
        <v>-3.6630771269914</v>
      </c>
      <c r="O96" s="29" t="n">
        <f aca="false">+O95/K95-1</f>
        <v>0.376321646831271</v>
      </c>
      <c r="P96" s="29" t="n">
        <f aca="false">+P95/L95-1</f>
        <v>1.57251971368091</v>
      </c>
      <c r="Q96" s="29" t="n">
        <f aca="false">+Q95/M95-1</f>
        <v>-0.9562755368091</v>
      </c>
      <c r="R96" s="29" t="n">
        <f aca="false">+R95/N95-1</f>
        <v>-0.848280203003218</v>
      </c>
      <c r="S96" s="29" t="n">
        <f aca="false">+S95/O95-1</f>
        <v>0.796526706601575</v>
      </c>
      <c r="T96" s="88"/>
      <c r="U96" s="88"/>
      <c r="V96" s="29"/>
      <c r="W96" s="29"/>
      <c r="X96" s="29"/>
      <c r="Y96" s="88"/>
      <c r="Z96" s="29" t="n">
        <f aca="false">+Z95/Y95-1</f>
        <v>-0.43339183677466</v>
      </c>
      <c r="AA96" s="29" t="n">
        <f aca="false">+AA95/Z95-1</f>
        <v>-0.932549204936528</v>
      </c>
      <c r="AB96" s="29" t="n">
        <f aca="false">+AB95/AA95-1</f>
        <v>16.7672666130285</v>
      </c>
      <c r="AC96" s="29" t="n">
        <f aca="false">+AC95/AB95-1</f>
        <v>-1.19501154977756</v>
      </c>
      <c r="AD96" s="29" t="n">
        <f aca="false">+AD95/AC95-1</f>
        <v>4.07970871442628</v>
      </c>
      <c r="AE96" s="29" t="n">
        <f aca="false">+AE95/AD95-1</f>
        <v>0.0397781410835241</v>
      </c>
      <c r="AF96" s="29" t="n">
        <f aca="false">+AF95/AE95-1</f>
        <v>-0.00455232602662969</v>
      </c>
      <c r="AG96" s="29" t="n">
        <f aca="false">+AG95/AF95-1</f>
        <v>0.00931375732040429</v>
      </c>
      <c r="AH96" s="29" t="n">
        <f aca="false">+AH95/AG95-1</f>
        <v>0.282344599362483</v>
      </c>
      <c r="AI96" s="29" t="n">
        <f aca="false">+AI95/AH95-1</f>
        <v>0.354681578601831</v>
      </c>
      <c r="AJ96" s="29" t="n">
        <f aca="false">+AJ95/AI95-1</f>
        <v>0.285878232175862</v>
      </c>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row>
    <row r="97" s="1" customFormat="true" ht="12.8" hidden="false" customHeight="false" outlineLevel="0" collapsed="false">
      <c r="A97" s="7" t="s">
        <v>303</v>
      </c>
      <c r="B97" s="7" t="n">
        <v>1957.731</v>
      </c>
      <c r="C97" s="7" t="n">
        <v>1968.882</v>
      </c>
      <c r="D97" s="7" t="n">
        <v>1979</v>
      </c>
      <c r="E97" s="7" t="n">
        <v>2060.575</v>
      </c>
      <c r="F97" s="7" t="n">
        <v>2009.5</v>
      </c>
      <c r="G97" s="7" t="n">
        <v>2079.2</v>
      </c>
      <c r="H97" s="7" t="n">
        <v>2108.4</v>
      </c>
      <c r="I97" s="7" t="n">
        <v>2121.9</v>
      </c>
      <c r="J97" s="7" t="n">
        <v>2080.1</v>
      </c>
      <c r="K97" s="7" t="n">
        <v>2150</v>
      </c>
      <c r="L97" s="7" t="n">
        <v>2154.46</v>
      </c>
      <c r="M97" s="7" t="n">
        <v>2141.4</v>
      </c>
      <c r="N97" s="7" t="n">
        <v>2122.618</v>
      </c>
      <c r="O97" s="7" t="n">
        <v>2085.4</v>
      </c>
      <c r="P97" s="7" t="n">
        <v>2124.3</v>
      </c>
      <c r="Q97" s="7" t="n">
        <v>2106</v>
      </c>
      <c r="R97" s="7" t="n">
        <v>2071.391</v>
      </c>
      <c r="S97" s="7" t="n">
        <v>2050.225</v>
      </c>
      <c r="T97" s="7" t="n">
        <v>2106</v>
      </c>
      <c r="U97" s="7" t="n">
        <v>2106</v>
      </c>
      <c r="V97" s="7"/>
      <c r="W97" s="7"/>
      <c r="X97" s="7"/>
      <c r="Y97" s="7" t="n">
        <v>1248.353</v>
      </c>
      <c r="Z97" s="7" t="n">
        <v>1752.9</v>
      </c>
      <c r="AA97" s="7" t="n">
        <v>1895.5</v>
      </c>
      <c r="AB97" s="7" t="n">
        <v>1974.9</v>
      </c>
      <c r="AC97" s="7" t="n">
        <v>2091.7</v>
      </c>
      <c r="AD97" s="7" t="n">
        <v>2150.5</v>
      </c>
      <c r="AE97" s="7" t="n">
        <f aca="false">AVERAGE(N97:Q97)</f>
        <v>2109.5795</v>
      </c>
      <c r="AF97" s="7" t="n">
        <f aca="false">+AE97*0.98</f>
        <v>2067.38791</v>
      </c>
      <c r="AG97" s="7" t="n">
        <f aca="false">+AF97*0.98</f>
        <v>2026.0401518</v>
      </c>
      <c r="AH97" s="7" t="n">
        <f aca="false">+AG97*0.98</f>
        <v>1985.519348764</v>
      </c>
      <c r="AI97" s="7" t="n">
        <f aca="false">+AH97*0.98</f>
        <v>1945.80896178872</v>
      </c>
      <c r="AJ97" s="7" t="n">
        <f aca="false">+AI97*0.98</f>
        <v>1906.89278255295</v>
      </c>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row>
    <row r="98" s="1" customFormat="true" ht="10.5" hidden="false" customHeight="true" outlineLevel="0" collapsed="false">
      <c r="A98" s="53" t="s">
        <v>264</v>
      </c>
      <c r="B98" s="29"/>
      <c r="C98" s="29" t="n">
        <f aca="false">+C97/B97-1</f>
        <v>0.00569587956670259</v>
      </c>
      <c r="D98" s="29" t="n">
        <f aca="false">+D97/C97-1</f>
        <v>0.00513895703246825</v>
      </c>
      <c r="E98" s="29" t="n">
        <f aca="false">+E97/D97-1</f>
        <v>0.0412203132895401</v>
      </c>
      <c r="F98" s="29" t="n">
        <f aca="false">+F97/E97-1</f>
        <v>-0.0247867706829403</v>
      </c>
      <c r="G98" s="29" t="n">
        <f aca="false">+G97/F97-1</f>
        <v>0.0346852450858421</v>
      </c>
      <c r="H98" s="29" t="n">
        <f aca="false">+H97/G97-1</f>
        <v>0.0140438630242403</v>
      </c>
      <c r="I98" s="29" t="n">
        <f aca="false">+I97/H97-1</f>
        <v>0.00640295959021064</v>
      </c>
      <c r="J98" s="29" t="n">
        <f aca="false">+J97/I97-1</f>
        <v>-0.0196993260756869</v>
      </c>
      <c r="K98" s="29" t="n">
        <f aca="false">+K97/J97-1</f>
        <v>0.0336041536464593</v>
      </c>
      <c r="L98" s="29" t="n">
        <f aca="false">+L97/K97-1</f>
        <v>0.00207441860465107</v>
      </c>
      <c r="M98" s="29" t="n">
        <f aca="false">+M97/L97-1</f>
        <v>-0.0060618438030875</v>
      </c>
      <c r="N98" s="29" t="n">
        <f aca="false">+N97/M97-1</f>
        <v>-0.00877089754366311</v>
      </c>
      <c r="O98" s="29" t="n">
        <f aca="false">+O97/N97-1</f>
        <v>-0.0175340075322078</v>
      </c>
      <c r="P98" s="29" t="n">
        <f aca="false">+P97/O97-1</f>
        <v>0.0186534957322337</v>
      </c>
      <c r="Q98" s="29" t="n">
        <f aca="false">+Q97/P97-1</f>
        <v>-0.00861460245728019</v>
      </c>
      <c r="R98" s="29" t="n">
        <f aca="false">+R97/Q97-1</f>
        <v>-0.0164335232668565</v>
      </c>
      <c r="S98" s="29" t="n">
        <f aca="false">+S97/R97-1</f>
        <v>-0.0102182543035092</v>
      </c>
      <c r="T98" s="29"/>
      <c r="U98" s="29"/>
      <c r="V98" s="29"/>
      <c r="W98" s="29"/>
      <c r="X98" s="29"/>
      <c r="Y98" s="29"/>
      <c r="Z98" s="29" t="n">
        <f aca="false">+Z97/Y97-1</f>
        <v>0.404170134569309</v>
      </c>
      <c r="AA98" s="29" t="n">
        <f aca="false">+AA97/Z97-1</f>
        <v>0.0813509042158709</v>
      </c>
      <c r="AB98" s="29" t="n">
        <f aca="false">+AB97/AA97-1</f>
        <v>0.0418886837246111</v>
      </c>
      <c r="AC98" s="29" t="n">
        <f aca="false">+AC97/AB97-1</f>
        <v>0.0591422350498758</v>
      </c>
      <c r="AD98" s="29" t="n">
        <f aca="false">+AD97/AC97-1</f>
        <v>0.0281111057991108</v>
      </c>
      <c r="AE98" s="29" t="n">
        <f aca="false">+AE97/AD97-1</f>
        <v>-0.0190283654963963</v>
      </c>
      <c r="AF98" s="29" t="n">
        <f aca="false">+AF97/AE97-1</f>
        <v>-0.0199999999999999</v>
      </c>
      <c r="AG98" s="29" t="n">
        <f aca="false">+AG97/AF97-1</f>
        <v>-0.0199999999999999</v>
      </c>
      <c r="AH98" s="29" t="n">
        <f aca="false">+AH97/AG97-1</f>
        <v>-0.0200000000000001</v>
      </c>
      <c r="AI98" s="29" t="n">
        <f aca="false">+AI97/AH97-1</f>
        <v>-0.02</v>
      </c>
      <c r="AJ98" s="29" t="n">
        <f aca="false">+AJ97/AI97-1</f>
        <v>-0.0199999999999977</v>
      </c>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row>
    <row r="99" s="1" customFormat="true" ht="12.8" hidden="false" customHeight="false" outlineLevel="0" collapsed="false">
      <c r="A99" s="3"/>
      <c r="B99" s="3"/>
      <c r="C99" s="3"/>
      <c r="D99" s="3"/>
      <c r="E99" s="3"/>
      <c r="F99" s="85"/>
      <c r="G99" s="85"/>
      <c r="H99" s="85"/>
      <c r="I99" s="85"/>
      <c r="J99" s="85"/>
      <c r="K99" s="85"/>
      <c r="L99" s="85"/>
      <c r="M99" s="85"/>
      <c r="N99" s="85"/>
      <c r="O99" s="85"/>
      <c r="P99" s="85"/>
      <c r="Q99" s="85"/>
      <c r="R99" s="85"/>
      <c r="S99" s="3"/>
      <c r="T99" s="3"/>
      <c r="U99" s="3"/>
      <c r="V99" s="3"/>
      <c r="W99" s="3"/>
      <c r="X99" s="3"/>
      <c r="Y99" s="3"/>
      <c r="Z99" s="3"/>
      <c r="AA99" s="3"/>
      <c r="AB99" s="3"/>
      <c r="AC99" s="3"/>
      <c r="AD99" s="3"/>
      <c r="AE99" s="3"/>
      <c r="AF99" s="3"/>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92"/>
      <c r="BX99" s="92"/>
      <c r="BY99" s="92"/>
      <c r="BZ99" s="92"/>
      <c r="CA99" s="92"/>
      <c r="CB99" s="92"/>
      <c r="CC99" s="92"/>
      <c r="CD99" s="92"/>
      <c r="CE99" s="92"/>
      <c r="CF99" s="92"/>
      <c r="CG99" s="92"/>
      <c r="CH99" s="92"/>
      <c r="CI99" s="92"/>
      <c r="CJ99" s="92"/>
      <c r="CK99" s="92"/>
      <c r="CL99" s="92"/>
      <c r="CM99" s="92"/>
      <c r="CN99" s="92"/>
      <c r="CO99" s="92"/>
      <c r="CP99" s="92"/>
      <c r="CQ99" s="92"/>
      <c r="CR99" s="92"/>
      <c r="CS99" s="92"/>
      <c r="CT99" s="92"/>
      <c r="CU99" s="92"/>
      <c r="CV99" s="92"/>
      <c r="CW99" s="92"/>
      <c r="CX99" s="92"/>
      <c r="CY99" s="92"/>
      <c r="CZ99" s="92"/>
      <c r="DA99" s="92"/>
      <c r="DB99" s="92"/>
      <c r="DC99" s="92"/>
      <c r="DD99" s="92"/>
      <c r="DE99" s="92"/>
      <c r="DF99" s="92"/>
      <c r="DG99" s="92"/>
      <c r="DH99" s="92"/>
      <c r="DI99" s="92"/>
      <c r="DJ99" s="92"/>
      <c r="DK99" s="92"/>
      <c r="DL99" s="92"/>
      <c r="DM99" s="92"/>
      <c r="DN99" s="92"/>
      <c r="DO99" s="92"/>
      <c r="DP99" s="92"/>
      <c r="DQ99" s="92"/>
      <c r="DR99" s="92"/>
      <c r="DS99" s="92"/>
      <c r="DT99" s="92"/>
      <c r="DU99" s="92"/>
      <c r="DV99" s="92"/>
      <c r="DW99" s="92"/>
      <c r="DX99" s="92"/>
      <c r="DY99" s="92"/>
      <c r="DZ99" s="92"/>
      <c r="EA99" s="92"/>
      <c r="EB99" s="92"/>
      <c r="EC99" s="92"/>
      <c r="ED99" s="92"/>
      <c r="EE99" s="92"/>
      <c r="EF99" s="92"/>
      <c r="EG99" s="92"/>
      <c r="EH99" s="92"/>
      <c r="EI99" s="92"/>
      <c r="EJ99" s="92"/>
      <c r="EK99" s="92"/>
      <c r="EL99" s="92"/>
      <c r="EM99" s="92"/>
      <c r="EN99" s="92"/>
      <c r="EO99" s="92"/>
      <c r="EP99" s="92"/>
    </row>
    <row r="100" s="1" customFormat="true" ht="12.8" hidden="false" customHeight="false" outlineLevel="0" collapsed="false">
      <c r="A100" s="3"/>
      <c r="B100" s="3"/>
      <c r="C100" s="3"/>
      <c r="D100" s="3"/>
      <c r="E100" s="3"/>
      <c r="F100" s="85"/>
      <c r="G100" s="85"/>
      <c r="H100" s="85"/>
      <c r="I100" s="85"/>
      <c r="J100" s="85"/>
      <c r="K100" s="85"/>
      <c r="L100" s="85"/>
      <c r="M100" s="85"/>
      <c r="N100" s="85"/>
      <c r="O100" s="85"/>
      <c r="P100" s="85"/>
      <c r="Q100" s="85"/>
      <c r="R100" s="85"/>
      <c r="S100" s="3"/>
      <c r="T100" s="3"/>
      <c r="U100" s="3"/>
      <c r="V100" s="3"/>
      <c r="W100" s="3"/>
      <c r="X100" s="3"/>
      <c r="Y100" s="3"/>
      <c r="Z100" s="3"/>
      <c r="AA100" s="3"/>
      <c r="AB100" s="3"/>
      <c r="AC100" s="3"/>
      <c r="AD100" s="3"/>
      <c r="AE100" s="3"/>
      <c r="AF100" s="3"/>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92"/>
      <c r="BX100" s="92"/>
      <c r="BY100" s="92"/>
      <c r="BZ100" s="92"/>
      <c r="CA100" s="92"/>
      <c r="CB100" s="92"/>
      <c r="CC100" s="92"/>
      <c r="CD100" s="92"/>
      <c r="CE100" s="92"/>
      <c r="CF100" s="92"/>
      <c r="CG100" s="92"/>
      <c r="CH100" s="92"/>
      <c r="CI100" s="92"/>
      <c r="CJ100" s="92"/>
      <c r="CK100" s="92"/>
      <c r="CL100" s="92"/>
      <c r="CM100" s="92"/>
      <c r="CN100" s="92"/>
      <c r="CO100" s="92"/>
      <c r="CP100" s="92"/>
      <c r="CQ100" s="92"/>
      <c r="CR100" s="92"/>
      <c r="CS100" s="92"/>
      <c r="CT100" s="92"/>
      <c r="CU100" s="92"/>
      <c r="CV100" s="92"/>
      <c r="CW100" s="92"/>
      <c r="CX100" s="92"/>
      <c r="CY100" s="92"/>
      <c r="CZ100" s="92"/>
      <c r="DA100" s="92"/>
      <c r="DB100" s="92"/>
      <c r="DC100" s="92"/>
      <c r="DD100" s="92"/>
      <c r="DE100" s="92"/>
      <c r="DF100" s="92"/>
      <c r="DG100" s="92"/>
      <c r="DH100" s="92"/>
      <c r="DI100" s="92"/>
      <c r="DJ100" s="92"/>
      <c r="DK100" s="92"/>
      <c r="DL100" s="92"/>
      <c r="DM100" s="92"/>
      <c r="DN100" s="92"/>
      <c r="DO100" s="92"/>
      <c r="DP100" s="92"/>
      <c r="DQ100" s="92"/>
      <c r="DR100" s="92"/>
      <c r="DS100" s="92"/>
      <c r="DT100" s="92"/>
      <c r="DU100" s="92"/>
      <c r="DV100" s="92"/>
      <c r="DW100" s="92"/>
      <c r="DX100" s="92"/>
      <c r="DY100" s="92"/>
      <c r="DZ100" s="92"/>
      <c r="EA100" s="92"/>
      <c r="EB100" s="92"/>
      <c r="EC100" s="92"/>
      <c r="ED100" s="92"/>
      <c r="EE100" s="92"/>
      <c r="EF100" s="92"/>
      <c r="EG100" s="92"/>
      <c r="EH100" s="92"/>
      <c r="EI100" s="92"/>
      <c r="EJ100" s="92"/>
      <c r="EK100" s="92"/>
      <c r="EL100" s="92"/>
      <c r="EM100" s="92"/>
      <c r="EN100" s="92"/>
      <c r="EO100" s="92"/>
      <c r="EP100" s="92"/>
    </row>
    <row r="101" s="1" customFormat="true" ht="12.8" hidden="false" customHeight="false" outlineLevel="0" collapsed="false">
      <c r="A101" s="3"/>
      <c r="B101" s="3"/>
      <c r="C101" s="3"/>
      <c r="D101" s="3"/>
      <c r="E101" s="3"/>
      <c r="F101" s="85"/>
      <c r="G101" s="85"/>
      <c r="H101" s="85"/>
      <c r="I101" s="85"/>
      <c r="J101" s="85"/>
      <c r="K101" s="85"/>
      <c r="L101" s="85"/>
      <c r="M101" s="85"/>
      <c r="N101" s="85"/>
      <c r="O101" s="85"/>
      <c r="P101" s="85"/>
      <c r="Q101" s="85"/>
      <c r="R101" s="85"/>
      <c r="S101" s="3"/>
      <c r="T101" s="3"/>
      <c r="U101" s="3"/>
      <c r="V101" s="3"/>
      <c r="W101" s="3"/>
      <c r="X101" s="3"/>
      <c r="Y101" s="3"/>
      <c r="Z101" s="3"/>
      <c r="AA101" s="3"/>
      <c r="AB101" s="3"/>
      <c r="AC101" s="3"/>
      <c r="AD101" s="3"/>
      <c r="AE101" s="3"/>
      <c r="AF101" s="3"/>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92"/>
      <c r="BX101" s="92"/>
      <c r="BY101" s="92"/>
      <c r="BZ101" s="92"/>
      <c r="CA101" s="92"/>
      <c r="CB101" s="92"/>
      <c r="CC101" s="92"/>
      <c r="CD101" s="92"/>
      <c r="CE101" s="92"/>
      <c r="CF101" s="92"/>
      <c r="CG101" s="92"/>
      <c r="CH101" s="92"/>
      <c r="CI101" s="92"/>
      <c r="CJ101" s="92"/>
      <c r="CK101" s="92"/>
      <c r="CL101" s="92"/>
      <c r="CM101" s="92"/>
      <c r="CN101" s="92"/>
      <c r="CO101" s="92"/>
      <c r="CP101" s="92"/>
      <c r="CQ101" s="92"/>
      <c r="CR101" s="92"/>
      <c r="CS101" s="92"/>
      <c r="CT101" s="92"/>
      <c r="CU101" s="92"/>
      <c r="CV101" s="92"/>
      <c r="CW101" s="92"/>
      <c r="CX101" s="92"/>
      <c r="CY101" s="92"/>
      <c r="CZ101" s="92"/>
      <c r="DA101" s="92"/>
      <c r="DB101" s="92"/>
      <c r="DC101" s="92"/>
      <c r="DD101" s="92"/>
      <c r="DE101" s="92"/>
      <c r="DF101" s="92"/>
      <c r="DG101" s="92"/>
      <c r="DH101" s="92"/>
      <c r="DI101" s="92"/>
      <c r="DJ101" s="92"/>
      <c r="DK101" s="92"/>
      <c r="DL101" s="92"/>
      <c r="DM101" s="92"/>
      <c r="DN101" s="92"/>
      <c r="DO101" s="92"/>
      <c r="DP101" s="92"/>
      <c r="DQ101" s="92"/>
      <c r="DR101" s="92"/>
      <c r="DS101" s="92"/>
      <c r="DT101" s="92"/>
      <c r="DU101" s="92"/>
      <c r="DV101" s="92"/>
      <c r="DW101" s="92"/>
      <c r="DX101" s="92"/>
      <c r="DY101" s="92"/>
      <c r="DZ101" s="92"/>
      <c r="EA101" s="92"/>
      <c r="EB101" s="92"/>
      <c r="EC101" s="92"/>
      <c r="ED101" s="92"/>
      <c r="EE101" s="92"/>
      <c r="EF101" s="92"/>
      <c r="EG101" s="92"/>
      <c r="EH101" s="92"/>
      <c r="EI101" s="92"/>
      <c r="EJ101" s="92"/>
      <c r="EK101" s="92"/>
      <c r="EL101" s="92"/>
      <c r="EM101" s="92"/>
      <c r="EN101" s="92"/>
      <c r="EO101" s="92"/>
      <c r="EP101" s="92"/>
    </row>
    <row r="102" s="1" customFormat="true" ht="12.8" hidden="false" customHeight="false" outlineLevel="0" collapsed="false">
      <c r="A102" s="3"/>
      <c r="B102" s="3"/>
      <c r="C102" s="3"/>
      <c r="D102" s="3"/>
      <c r="E102" s="3"/>
      <c r="F102" s="85"/>
      <c r="G102" s="85"/>
      <c r="H102" s="85"/>
      <c r="I102" s="85"/>
      <c r="J102" s="85"/>
      <c r="K102" s="85"/>
      <c r="L102" s="85"/>
      <c r="M102" s="85"/>
      <c r="N102" s="85"/>
      <c r="O102" s="85"/>
      <c r="P102" s="85"/>
      <c r="Q102" s="85"/>
      <c r="R102" s="85"/>
      <c r="S102" s="3"/>
      <c r="T102" s="3"/>
      <c r="U102" s="3"/>
      <c r="V102" s="3"/>
      <c r="W102" s="3"/>
      <c r="X102" s="3"/>
      <c r="Y102" s="3"/>
      <c r="Z102" s="3"/>
      <c r="AA102" s="3"/>
      <c r="AB102" s="3"/>
      <c r="AC102" s="3"/>
      <c r="AD102" s="3"/>
      <c r="AE102" s="3"/>
      <c r="AF102" s="3"/>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92"/>
      <c r="BX102" s="92"/>
      <c r="BY102" s="92"/>
      <c r="BZ102" s="92"/>
      <c r="CA102" s="92"/>
      <c r="CB102" s="92"/>
      <c r="CC102" s="92"/>
      <c r="CD102" s="92"/>
      <c r="CE102" s="92"/>
      <c r="CF102" s="92"/>
      <c r="CG102" s="92"/>
      <c r="CH102" s="92"/>
      <c r="CI102" s="92"/>
      <c r="CJ102" s="92"/>
      <c r="CK102" s="92"/>
      <c r="CL102" s="92"/>
      <c r="CM102" s="92"/>
      <c r="CN102" s="92"/>
      <c r="CO102" s="92"/>
      <c r="CP102" s="92"/>
      <c r="CQ102" s="92"/>
      <c r="CR102" s="92"/>
      <c r="CS102" s="92"/>
      <c r="CT102" s="92"/>
      <c r="CU102" s="92"/>
      <c r="CV102" s="92"/>
      <c r="CW102" s="92"/>
      <c r="CX102" s="92"/>
      <c r="CY102" s="92"/>
      <c r="CZ102" s="92"/>
      <c r="DA102" s="92"/>
      <c r="DB102" s="92"/>
      <c r="DC102" s="92"/>
      <c r="DD102" s="92"/>
      <c r="DE102" s="92"/>
      <c r="DF102" s="92"/>
      <c r="DG102" s="92"/>
      <c r="DH102" s="92"/>
      <c r="DI102" s="92"/>
      <c r="DJ102" s="92"/>
      <c r="DK102" s="92"/>
      <c r="DL102" s="92"/>
      <c r="DM102" s="92"/>
      <c r="DN102" s="92"/>
      <c r="DO102" s="92"/>
      <c r="DP102" s="92"/>
      <c r="DQ102" s="92"/>
      <c r="DR102" s="92"/>
      <c r="DS102" s="92"/>
      <c r="DT102" s="92"/>
      <c r="DU102" s="92"/>
      <c r="DV102" s="92"/>
      <c r="DW102" s="92"/>
      <c r="DX102" s="92"/>
      <c r="DY102" s="92"/>
      <c r="DZ102" s="92"/>
      <c r="EA102" s="92"/>
      <c r="EB102" s="92"/>
      <c r="EC102" s="92"/>
      <c r="ED102" s="92"/>
      <c r="EE102" s="92"/>
      <c r="EF102" s="92"/>
      <c r="EG102" s="92"/>
      <c r="EH102" s="92"/>
      <c r="EI102" s="92"/>
      <c r="EJ102" s="92"/>
      <c r="EK102" s="92"/>
      <c r="EL102" s="92"/>
      <c r="EM102" s="92"/>
      <c r="EN102" s="92"/>
      <c r="EO102" s="92"/>
      <c r="EP102" s="92"/>
    </row>
    <row r="103" s="1" customFormat="true" ht="12.8" hidden="false" customHeight="false" outlineLevel="0" collapsed="false">
      <c r="A103" s="78" t="s">
        <v>304</v>
      </c>
      <c r="B103" s="78" t="n">
        <f aca="false">B65/B61</f>
        <v>0.375547125765976</v>
      </c>
      <c r="C103" s="78" t="n">
        <f aca="false">C65/C61</f>
        <v>0.331599157686114</v>
      </c>
      <c r="D103" s="78" t="n">
        <f aca="false">D65/D61</f>
        <v>0.352750809061489</v>
      </c>
      <c r="E103" s="78" t="n">
        <f aca="false">E65/E61</f>
        <v>0.357499709538748</v>
      </c>
      <c r="F103" s="78" t="n">
        <f aca="false">F65/F61</f>
        <v>0.380549590920633</v>
      </c>
      <c r="G103" s="78" t="n">
        <f aca="false">G65/G61</f>
        <v>0.379991237397988</v>
      </c>
      <c r="H103" s="78" t="n">
        <f aca="false">H65/H61</f>
        <v>0.372497034163255</v>
      </c>
      <c r="I103" s="78" t="n">
        <f aca="false">I65/I61</f>
        <v>0.369993338761851</v>
      </c>
      <c r="J103" s="78" t="n">
        <f aca="false">J65/J61</f>
        <v>0.372442345025685</v>
      </c>
      <c r="K103" s="78" t="n">
        <f aca="false">K65/K61</f>
        <v>0.377495867479252</v>
      </c>
      <c r="L103" s="78" t="n">
        <f aca="false">L65/L61</f>
        <v>0.379717262290614</v>
      </c>
      <c r="M103" s="78" t="n">
        <f aca="false">M65/M61</f>
        <v>0.380992006129372</v>
      </c>
      <c r="N103" s="78" t="n">
        <f aca="false">N65/N61</f>
        <v>0.383699157033863</v>
      </c>
      <c r="O103" s="78" t="n">
        <f aca="false">O65/O61</f>
        <v>0.384575683641925</v>
      </c>
      <c r="P103" s="78" t="n">
        <f aca="false">P65/P61</f>
        <v>0.383923751075014</v>
      </c>
      <c r="Q103" s="78" t="n">
        <f aca="false">Q65/Q61</f>
        <v>0.382848392036753</v>
      </c>
      <c r="R103" s="78" t="n">
        <f aca="false">R65/R61</f>
        <v>0.436340225706279</v>
      </c>
      <c r="S103" s="78" t="n">
        <f aca="false">S65/S61</f>
        <v>0.436051018251004</v>
      </c>
      <c r="T103" s="78" t="n">
        <f aca="false">T65/T61</f>
        <v>0.43</v>
      </c>
      <c r="U103" s="78" t="n">
        <f aca="false">U65/U61</f>
        <v>0.43</v>
      </c>
      <c r="V103" s="78"/>
      <c r="W103" s="78"/>
      <c r="X103" s="78"/>
      <c r="Y103" s="78" t="n">
        <f aca="false">Y65/Y61</f>
        <v>0.457128719869937</v>
      </c>
      <c r="Z103" s="78" t="n">
        <f aca="false">Z65/Z61</f>
        <v>0.485704261562342</v>
      </c>
      <c r="AA103" s="78" t="n">
        <f aca="false">AA65/AA61</f>
        <v>0.412684343389399</v>
      </c>
      <c r="AB103" s="78" t="n">
        <f aca="false">AB65/AB61</f>
        <v>0.353650399407876</v>
      </c>
      <c r="AC103" s="78" t="n">
        <f aca="false">AC65/AC61</f>
        <v>0.375558057695868</v>
      </c>
      <c r="AD103" s="78" t="n">
        <f aca="false">AD65/AD61</f>
        <v>0.37783053662077</v>
      </c>
      <c r="AE103" s="78" t="n">
        <f aca="false">AE65/AE61</f>
        <v>0.383725788281386</v>
      </c>
      <c r="AF103" s="78" t="n">
        <f aca="false">AF65/AF61</f>
        <v>0.4</v>
      </c>
      <c r="AG103" s="78" t="n">
        <f aca="false">AG65/AG61</f>
        <v>0.405</v>
      </c>
      <c r="AH103" s="78" t="n">
        <f aca="false">AH65/AH61</f>
        <v>0.41</v>
      </c>
      <c r="AI103" s="78" t="n">
        <f aca="false">AI65/AI61</f>
        <v>0.415</v>
      </c>
      <c r="AJ103" s="78" t="n">
        <f aca="false">AJ65/AJ61</f>
        <v>0.42</v>
      </c>
      <c r="AK103" s="44"/>
      <c r="AR103" s="44"/>
      <c r="AS103" s="44"/>
      <c r="AT103" s="44"/>
      <c r="AU103" s="44"/>
      <c r="AV103" s="44"/>
      <c r="AW103" s="44"/>
      <c r="AX103" s="44"/>
      <c r="AY103" s="44"/>
      <c r="AZ103" s="44"/>
      <c r="BA103" s="44"/>
      <c r="BB103" s="44"/>
      <c r="BC103" s="44"/>
      <c r="BD103" s="44"/>
      <c r="BE103" s="44"/>
      <c r="BF103" s="44"/>
      <c r="BG103" s="44"/>
      <c r="BH103" s="44"/>
      <c r="BI103" s="44"/>
      <c r="BJ103" s="44"/>
      <c r="BK103" s="44"/>
      <c r="BL103" s="44"/>
      <c r="BM103" s="44"/>
      <c r="BN103" s="44"/>
      <c r="BO103" s="44"/>
      <c r="BP103" s="44"/>
      <c r="BQ103" s="44"/>
      <c r="BR103" s="44"/>
      <c r="BS103" s="44"/>
      <c r="BT103" s="44"/>
      <c r="BU103" s="44"/>
      <c r="BV103" s="44"/>
      <c r="BW103" s="44"/>
      <c r="BX103" s="44"/>
      <c r="BY103" s="44"/>
      <c r="BZ103" s="44"/>
      <c r="CA103" s="44"/>
      <c r="CB103" s="44"/>
      <c r="CC103" s="44"/>
      <c r="CD103" s="44"/>
      <c r="CE103" s="44"/>
      <c r="CF103" s="44"/>
      <c r="CG103" s="44"/>
      <c r="CH103" s="44"/>
      <c r="CI103" s="44"/>
      <c r="CJ103" s="44"/>
      <c r="CK103" s="44"/>
      <c r="CL103" s="44"/>
      <c r="CM103" s="44"/>
      <c r="CN103" s="44"/>
      <c r="CO103" s="44"/>
      <c r="CP103" s="44"/>
      <c r="CQ103" s="44"/>
      <c r="CR103" s="44"/>
      <c r="CS103" s="44"/>
      <c r="CT103" s="44"/>
      <c r="CU103" s="44"/>
      <c r="CV103" s="44"/>
      <c r="CW103" s="44"/>
      <c r="CX103" s="44"/>
      <c r="CY103" s="44"/>
      <c r="CZ103" s="44"/>
      <c r="DA103" s="44"/>
      <c r="DB103" s="44"/>
      <c r="DC103" s="44"/>
      <c r="DD103" s="44"/>
      <c r="DE103" s="44"/>
      <c r="DF103" s="44"/>
      <c r="DG103" s="44"/>
      <c r="DH103" s="44"/>
      <c r="DI103" s="44"/>
      <c r="DJ103" s="44"/>
      <c r="DK103" s="44"/>
      <c r="DL103" s="44"/>
      <c r="DM103" s="44"/>
      <c r="DN103" s="44"/>
      <c r="DO103" s="44"/>
      <c r="DP103" s="44"/>
      <c r="DQ103" s="44"/>
      <c r="DR103" s="44"/>
      <c r="DS103" s="44"/>
      <c r="DT103" s="44"/>
      <c r="DU103" s="44"/>
      <c r="DV103" s="44"/>
      <c r="DW103" s="44"/>
      <c r="DX103" s="44"/>
      <c r="DY103" s="44"/>
      <c r="DZ103" s="44"/>
      <c r="EA103" s="44"/>
      <c r="EB103" s="44"/>
      <c r="EC103" s="44"/>
      <c r="ED103" s="44"/>
      <c r="EE103" s="44"/>
      <c r="EF103" s="44"/>
      <c r="EG103" s="44"/>
      <c r="EH103" s="44"/>
      <c r="EI103" s="44"/>
      <c r="EJ103" s="44"/>
      <c r="EK103" s="44"/>
      <c r="EL103" s="44"/>
      <c r="EM103" s="44"/>
      <c r="EN103" s="44"/>
      <c r="EO103" s="44"/>
      <c r="EP103" s="44"/>
    </row>
    <row r="104" s="1" customFormat="true" ht="12.8" hidden="false" customHeight="false" outlineLevel="0" collapsed="false">
      <c r="A104" s="78" t="s">
        <v>305</v>
      </c>
      <c r="B104" s="78" t="n">
        <f aca="false">B77/B61</f>
        <v>-0.0703238984534578</v>
      </c>
      <c r="C104" s="78" t="n">
        <f aca="false">C77/C61</f>
        <v>-0.0883190883190883</v>
      </c>
      <c r="D104" s="78" t="n">
        <f aca="false">D77/D61</f>
        <v>-0.0593311758360302</v>
      </c>
      <c r="E104" s="78" t="n">
        <f aca="false">E77/E61</f>
        <v>-0.0164981991402347</v>
      </c>
      <c r="F104" s="78" t="n">
        <f aca="false">F77/F61</f>
        <v>-0.0295841504731162</v>
      </c>
      <c r="G104" s="78" t="n">
        <f aca="false">G77/G61</f>
        <v>0.0353734016759898</v>
      </c>
      <c r="H104" s="78" t="n">
        <f aca="false">H77/H61</f>
        <v>0.0424418813213244</v>
      </c>
      <c r="I104" s="78" t="n">
        <f aca="false">I77/I61</f>
        <v>0.0656578525662982</v>
      </c>
      <c r="J104" s="78" t="n">
        <f aca="false">J77/J61</f>
        <v>0.0170105873090281</v>
      </c>
      <c r="K104" s="78" t="n">
        <f aca="false">K77/K61</f>
        <v>0.0744211186780539</v>
      </c>
      <c r="L104" s="78" t="n">
        <f aca="false">L77/L61</f>
        <v>0.0948698436912166</v>
      </c>
      <c r="M104" s="78" t="n">
        <f aca="false">M77/M61</f>
        <v>0.0644224715090566</v>
      </c>
      <c r="N104" s="78" t="n">
        <f aca="false">N77/N61</f>
        <v>0.106502506082436</v>
      </c>
      <c r="O104" s="78" t="n">
        <f aca="false">O77/O61</f>
        <v>0.114645804324839</v>
      </c>
      <c r="P104" s="78" t="n">
        <f aca="false">P77/P61</f>
        <v>0.0826797662746441</v>
      </c>
      <c r="Q104" s="78" t="n">
        <f aca="false">Q77/Q61</f>
        <v>0.123486008631491</v>
      </c>
      <c r="R104" s="78" t="n">
        <f aca="false">R77/R61</f>
        <v>0.145648716200863</v>
      </c>
      <c r="S104" s="78" t="n">
        <f aca="false">S77/S61</f>
        <v>0.133183003311958</v>
      </c>
      <c r="T104" s="78" t="n">
        <f aca="false">T77/T61</f>
        <v>0.110861068111415</v>
      </c>
      <c r="U104" s="78" t="n">
        <f aca="false">U77/U61</f>
        <v>0.100903522205207</v>
      </c>
      <c r="V104" s="78"/>
      <c r="W104" s="78"/>
      <c r="X104" s="78"/>
      <c r="Y104" s="78" t="n">
        <f aca="false">Y77/Y61</f>
        <v>-0.607619990103909</v>
      </c>
      <c r="Z104" s="78" t="n">
        <f aca="false">Z77/Z61</f>
        <v>-0.436509060303614</v>
      </c>
      <c r="AA104" s="78" t="n">
        <f aca="false">AA77/AA61</f>
        <v>-0.219483372045555</v>
      </c>
      <c r="AB104" s="78" t="n">
        <f aca="false">AB77/AB61</f>
        <v>-0.0573521637561827</v>
      </c>
      <c r="AC104" s="78" t="n">
        <f aca="false">AC77/AC61</f>
        <v>0.0297813790772006</v>
      </c>
      <c r="AD104" s="78" t="n">
        <f aca="false">AD77/AD61</f>
        <v>0.0636533757585953</v>
      </c>
      <c r="AE104" s="78" t="n">
        <f aca="false">AE77/AE61</f>
        <v>0.106991618593348</v>
      </c>
      <c r="AF104" s="78" t="n">
        <f aca="false">AF77/AF61</f>
        <v>0.13</v>
      </c>
      <c r="AG104" s="78" t="n">
        <f aca="false">AG77/AG61</f>
        <v>0.135</v>
      </c>
      <c r="AH104" s="78" t="n">
        <f aca="false">AH77/AH61</f>
        <v>0.15</v>
      </c>
      <c r="AI104" s="78" t="n">
        <f aca="false">AI77/AI61</f>
        <v>0.165</v>
      </c>
      <c r="AJ104" s="78" t="n">
        <f aca="false">AJ77/AJ61</f>
        <v>0.18</v>
      </c>
      <c r="AK104" s="44"/>
      <c r="AR104" s="44"/>
      <c r="AS104" s="44"/>
      <c r="AT104" s="44"/>
      <c r="AU104" s="44"/>
      <c r="AV104" s="44"/>
      <c r="AW104" s="44"/>
      <c r="AX104" s="44"/>
      <c r="AY104" s="44"/>
      <c r="AZ104" s="44"/>
      <c r="BA104" s="44"/>
      <c r="BB104" s="44"/>
      <c r="BC104" s="44"/>
      <c r="BD104" s="44"/>
      <c r="BE104" s="44"/>
      <c r="BF104" s="44"/>
      <c r="BG104" s="44"/>
      <c r="BH104" s="44"/>
      <c r="BI104" s="44"/>
      <c r="BJ104" s="44"/>
      <c r="BK104" s="44"/>
      <c r="BL104" s="44"/>
      <c r="BM104" s="44"/>
      <c r="BN104" s="44"/>
      <c r="BO104" s="44"/>
      <c r="BP104" s="44"/>
      <c r="BQ104" s="44"/>
      <c r="BR104" s="44"/>
      <c r="BS104" s="44"/>
      <c r="BT104" s="44"/>
      <c r="BU104" s="44"/>
      <c r="BV104" s="44"/>
      <c r="BW104" s="44"/>
      <c r="BX104" s="44"/>
      <c r="BY104" s="44"/>
      <c r="BZ104" s="44"/>
      <c r="CA104" s="44"/>
      <c r="CB104" s="44"/>
      <c r="CC104" s="44"/>
      <c r="CD104" s="44"/>
      <c r="CE104" s="44"/>
      <c r="CF104" s="44"/>
      <c r="CG104" s="44"/>
      <c r="CH104" s="44"/>
      <c r="CI104" s="44"/>
      <c r="CJ104" s="44"/>
      <c r="CK104" s="44"/>
      <c r="CL104" s="44"/>
      <c r="CM104" s="44"/>
      <c r="CN104" s="44"/>
      <c r="CO104" s="44"/>
      <c r="CP104" s="44"/>
      <c r="CQ104" s="44"/>
      <c r="CR104" s="44"/>
      <c r="CS104" s="44"/>
      <c r="CT104" s="44"/>
      <c r="CU104" s="44"/>
      <c r="CV104" s="44"/>
      <c r="CW104" s="44"/>
      <c r="CX104" s="44"/>
      <c r="CY104" s="44"/>
      <c r="CZ104" s="44"/>
      <c r="DA104" s="44"/>
      <c r="DB104" s="44"/>
      <c r="DC104" s="44"/>
      <c r="DD104" s="44"/>
      <c r="DE104" s="44"/>
      <c r="DF104" s="44"/>
      <c r="DG104" s="44"/>
      <c r="DH104" s="44"/>
      <c r="DI104" s="44"/>
      <c r="DJ104" s="44"/>
      <c r="DK104" s="44"/>
      <c r="DL104" s="44"/>
      <c r="DM104" s="44"/>
      <c r="DN104" s="44"/>
      <c r="DO104" s="44"/>
      <c r="DP104" s="44"/>
      <c r="DQ104" s="44"/>
      <c r="DR104" s="44"/>
      <c r="DS104" s="44"/>
      <c r="DT104" s="44"/>
      <c r="DU104" s="44"/>
      <c r="DV104" s="44"/>
      <c r="DW104" s="44"/>
      <c r="DX104" s="44"/>
      <c r="DY104" s="44"/>
      <c r="DZ104" s="44"/>
      <c r="EA104" s="44"/>
      <c r="EB104" s="44"/>
      <c r="EC104" s="44"/>
      <c r="ED104" s="44"/>
      <c r="EE104" s="44"/>
      <c r="EF104" s="44"/>
      <c r="EG104" s="44"/>
      <c r="EH104" s="44"/>
      <c r="EI104" s="44"/>
      <c r="EJ104" s="44"/>
      <c r="EK104" s="44"/>
      <c r="EL104" s="44"/>
      <c r="EM104" s="44"/>
      <c r="EN104" s="44"/>
      <c r="EO104" s="44"/>
      <c r="EP104" s="44"/>
    </row>
    <row r="105" s="1" customFormat="true" ht="12.8" hidden="false" customHeight="false" outlineLevel="0" collapsed="false">
      <c r="A105" s="78" t="s">
        <v>306</v>
      </c>
      <c r="B105" s="78" t="n">
        <f aca="false">+B93/B61</f>
        <v>-0.865188211263496</v>
      </c>
      <c r="C105" s="78" t="n">
        <f aca="false">+C93/C61</f>
        <v>-0.322185061315496</v>
      </c>
      <c r="D105" s="78" t="n">
        <f aca="false">+D93/D61</f>
        <v>-0.144552319309601</v>
      </c>
      <c r="E105" s="78" t="n">
        <f aca="false">+E93/E61</f>
        <v>0.0691297780876031</v>
      </c>
      <c r="F105" s="78" t="n">
        <f aca="false">+F93/F61</f>
        <v>-0.0176847189046322</v>
      </c>
      <c r="G105" s="78" t="n">
        <f aca="false">+G93/G61</f>
        <v>0.042740271474511</v>
      </c>
      <c r="H105" s="78" t="n">
        <f aca="false">+H93/H61</f>
        <v>0.0238244892634</v>
      </c>
      <c r="I105" s="78" t="n">
        <f aca="false">+I93/I61</f>
        <v>0.143855164991544</v>
      </c>
      <c r="J105" s="78" t="n">
        <f aca="false">+J93/J61</f>
        <v>-0.0645186078795194</v>
      </c>
      <c r="K105" s="78" t="n">
        <f aca="false">+K93/K61</f>
        <v>0.0948877760901608</v>
      </c>
      <c r="L105" s="78" t="n">
        <f aca="false">+L93/L61</f>
        <v>0.233494991556816</v>
      </c>
      <c r="M105" s="78" t="n">
        <f aca="false">+M93/M61</f>
        <v>0.575566043916345</v>
      </c>
      <c r="N105" s="78" t="n">
        <f aca="false">+N93/N61</f>
        <v>0.154016977374705</v>
      </c>
      <c r="O105" s="78" t="n">
        <f aca="false">+O93/O61</f>
        <v>0.107136774007087</v>
      </c>
      <c r="P105" s="78" t="n">
        <f aca="false">+P93/P61</f>
        <v>0.492035962529127</v>
      </c>
      <c r="Q105" s="78" t="n">
        <f aca="false">+Q93/Q61</f>
        <v>0.0206042043714325</v>
      </c>
      <c r="R105" s="78" t="n">
        <f aca="false">+R93/R61</f>
        <v>0.0199197152162387</v>
      </c>
      <c r="S105" s="78" t="n">
        <f aca="false">+S93/S61</f>
        <v>0.168698470861814</v>
      </c>
      <c r="T105" s="78" t="n">
        <f aca="false">+T93/T61</f>
        <v>0.0967947922351357</v>
      </c>
      <c r="U105" s="78" t="n">
        <f aca="false">+U93/U61</f>
        <v>0.0883212927214311</v>
      </c>
      <c r="V105" s="78"/>
      <c r="W105" s="78"/>
      <c r="X105" s="78"/>
      <c r="Y105" s="78" t="n">
        <f aca="false">+Y93/Y61</f>
        <v>-0.601258217289885</v>
      </c>
      <c r="Z105" s="78" t="n">
        <f aca="false">+Z93/Z61</f>
        <v>-0.607522043673092</v>
      </c>
      <c r="AA105" s="78" t="n">
        <f aca="false">+AA93/AA61</f>
        <v>-0.0282749782324092</v>
      </c>
      <c r="AB105" s="78" t="n">
        <f aca="false">+AB93/AB61</f>
        <v>-0.286613991899822</v>
      </c>
      <c r="AC105" s="78" t="n">
        <f aca="false">+AC93/AC61</f>
        <v>0.0506229335948257</v>
      </c>
      <c r="AD105" s="78" t="n">
        <f aca="false">+AD93/AD61</f>
        <v>0.22411861598472</v>
      </c>
      <c r="AE105" s="78" t="n">
        <f aca="false">+AE93/AE61</f>
        <v>0.19327039272047</v>
      </c>
      <c r="AF105" s="78" t="n">
        <f aca="false">+AF93/AF61</f>
        <v>0.168341742521323</v>
      </c>
      <c r="AG105" s="78" t="n">
        <f aca="false">+AG93/AG61</f>
        <v>0.138759536604083</v>
      </c>
      <c r="AH105" s="78" t="n">
        <f aca="false">+AH93/AH61</f>
        <v>0.145315659605667</v>
      </c>
      <c r="AI105" s="78" t="n">
        <f aca="false">+AI93/AI61</f>
        <v>0.160766098505974</v>
      </c>
      <c r="AJ105" s="78" t="n">
        <f aca="false">+AJ93/AJ61</f>
        <v>0.168825928341548</v>
      </c>
      <c r="AK105" s="44"/>
      <c r="AR105" s="44"/>
      <c r="AS105" s="44"/>
      <c r="AT105" s="44"/>
      <c r="AU105" s="44"/>
      <c r="AV105" s="44"/>
      <c r="AW105" s="44"/>
      <c r="AX105" s="44"/>
      <c r="AY105" s="44"/>
      <c r="AZ105" s="44"/>
      <c r="BA105" s="44"/>
      <c r="BB105" s="44"/>
      <c r="BC105" s="44"/>
      <c r="BD105" s="44"/>
      <c r="BE105" s="44"/>
      <c r="BF105" s="44"/>
      <c r="BG105" s="44"/>
      <c r="BH105" s="44"/>
      <c r="BI105" s="44"/>
      <c r="BJ105" s="44"/>
      <c r="BK105" s="44"/>
      <c r="BL105" s="44"/>
      <c r="BM105" s="44"/>
      <c r="BN105" s="44"/>
      <c r="BO105" s="44"/>
      <c r="BP105" s="44"/>
      <c r="BQ105" s="44"/>
      <c r="BR105" s="44"/>
      <c r="BS105" s="44"/>
      <c r="BT105" s="44"/>
      <c r="BU105" s="44"/>
      <c r="BV105" s="44"/>
      <c r="BW105" s="44"/>
      <c r="BX105" s="44"/>
      <c r="BY105" s="44"/>
      <c r="BZ105" s="44"/>
      <c r="CA105" s="44"/>
      <c r="CB105" s="44"/>
      <c r="CC105" s="44"/>
      <c r="CD105" s="44"/>
      <c r="CE105" s="44"/>
      <c r="CF105" s="44"/>
      <c r="CG105" s="44"/>
      <c r="CH105" s="44"/>
      <c r="CI105" s="44"/>
      <c r="CJ105" s="44"/>
      <c r="CK105" s="44"/>
      <c r="CL105" s="44"/>
      <c r="CM105" s="44"/>
      <c r="CN105" s="44"/>
      <c r="CO105" s="44"/>
      <c r="CP105" s="44"/>
      <c r="CQ105" s="44"/>
      <c r="CR105" s="44"/>
      <c r="CS105" s="44"/>
      <c r="CT105" s="44"/>
      <c r="CU105" s="44"/>
      <c r="CV105" s="44"/>
      <c r="CW105" s="44"/>
      <c r="CX105" s="44"/>
      <c r="CY105" s="44"/>
      <c r="CZ105" s="44"/>
      <c r="DA105" s="44"/>
      <c r="DB105" s="44"/>
      <c r="DC105" s="44"/>
      <c r="DD105" s="44"/>
      <c r="DE105" s="44"/>
      <c r="DF105" s="44"/>
      <c r="DG105" s="44"/>
      <c r="DH105" s="44"/>
      <c r="DI105" s="44"/>
      <c r="DJ105" s="44"/>
      <c r="DK105" s="44"/>
      <c r="DL105" s="44"/>
      <c r="DM105" s="44"/>
      <c r="DN105" s="44"/>
      <c r="DO105" s="44"/>
      <c r="DP105" s="44"/>
      <c r="DQ105" s="44"/>
      <c r="DR105" s="44"/>
      <c r="DS105" s="44"/>
      <c r="DT105" s="44"/>
      <c r="DU105" s="44"/>
      <c r="DV105" s="44"/>
      <c r="DW105" s="44"/>
      <c r="DX105" s="44"/>
      <c r="DY105" s="44"/>
      <c r="DZ105" s="44"/>
      <c r="EA105" s="44"/>
      <c r="EB105" s="44"/>
      <c r="EC105" s="44"/>
      <c r="ED105" s="44"/>
      <c r="EE105" s="44"/>
      <c r="EF105" s="44"/>
      <c r="EG105" s="44"/>
      <c r="EH105" s="44"/>
      <c r="EI105" s="44"/>
      <c r="EJ105" s="44"/>
      <c r="EK105" s="44"/>
      <c r="EL105" s="44"/>
      <c r="EM105" s="44"/>
      <c r="EN105" s="44"/>
      <c r="EO105" s="44"/>
      <c r="EP105" s="44"/>
    </row>
    <row r="106" s="1" customFormat="true" ht="12.8" hidden="false" customHeight="false" outlineLevel="0" collapsed="false">
      <c r="A106" s="78" t="s">
        <v>307</v>
      </c>
      <c r="B106" s="78" t="n">
        <f aca="false">B85/B83</f>
        <v>0.0376134889753567</v>
      </c>
      <c r="C106" s="78" t="n">
        <f aca="false">C85/C83</f>
        <v>-0.0301251956181534</v>
      </c>
      <c r="D106" s="78" t="n">
        <f aca="false">D85/D83</f>
        <v>-0.0493197278911565</v>
      </c>
      <c r="E106" s="78" t="n">
        <f aca="false">E85/E83</f>
        <v>-0.177215189873418</v>
      </c>
      <c r="F106" s="78" t="n">
        <f aca="false">F85/F83</f>
        <v>-0.401316049743029</v>
      </c>
      <c r="G106" s="78" t="n">
        <f aca="false">G85/G83</f>
        <v>0.14269572284875</v>
      </c>
      <c r="H106" s="78" t="n">
        <f aca="false">H85/H83</f>
        <v>-0.226774906048101</v>
      </c>
      <c r="I106" s="78" t="n">
        <f aca="false">I85/I83</f>
        <v>0.072741080107701</v>
      </c>
      <c r="J106" s="78" t="n">
        <f aca="false">J85/J83</f>
        <v>-0.0460566052220303</v>
      </c>
      <c r="K106" s="78" t="n">
        <f aca="false">K85/K83</f>
        <v>0.0529085514846832</v>
      </c>
      <c r="L106" s="78" t="n">
        <f aca="false">L85/L83</f>
        <v>0.0570511186124016</v>
      </c>
      <c r="M106" s="78" t="n">
        <f aca="false">M85/M83</f>
        <v>-6.59953633112418</v>
      </c>
      <c r="N106" s="78" t="n">
        <f aca="false">N85/N83</f>
        <v>-0.290183906661923</v>
      </c>
      <c r="O106" s="78" t="n">
        <f aca="false">O85/O83</f>
        <v>0.0943876690274552</v>
      </c>
      <c r="P106" s="78" t="n">
        <f aca="false">P85/P83</f>
        <v>-1.54398673856166</v>
      </c>
      <c r="Q106" s="78" t="n">
        <f aca="false">Q85/Q83</f>
        <v>-0.13745704467354</v>
      </c>
      <c r="R106" s="93" t="n">
        <f aca="false">R85/R83</f>
        <v>0.391129032258065</v>
      </c>
      <c r="S106" s="78" t="n">
        <f aca="false">S85/S83</f>
        <v>0.256332010985658</v>
      </c>
      <c r="T106" s="78" t="n">
        <f aca="false">T85/T83</f>
        <v>0.2</v>
      </c>
      <c r="U106" s="78" t="n">
        <f aca="false">U85/U83</f>
        <v>0.2</v>
      </c>
      <c r="V106" s="78"/>
      <c r="W106" s="78"/>
      <c r="X106" s="78"/>
      <c r="Y106" s="78" t="n">
        <f aca="false">Y85/Y83</f>
        <v>-0.00533617929562433</v>
      </c>
      <c r="Z106" s="78" t="n">
        <f aca="false">Z85/Z83</f>
        <v>0.027643818431663</v>
      </c>
      <c r="AA106" s="78" t="n">
        <f aca="false">AA85/AA83</f>
        <v>0.481123060505963</v>
      </c>
      <c r="AB106" s="78" t="n">
        <f aca="false">AB85/AB83</f>
        <v>0.0192095019700401</v>
      </c>
      <c r="AC106" s="78" t="n">
        <f aca="false">AC85/AC83</f>
        <v>0.0917593955954187</v>
      </c>
      <c r="AD106" s="78" t="n">
        <f aca="false">AD85/AD83</f>
        <v>-1.39575297481872</v>
      </c>
      <c r="AE106" s="78" t="n">
        <f aca="false">AE85/AE83</f>
        <v>-0.749254936825349</v>
      </c>
      <c r="AF106" s="78" t="n">
        <f aca="false">AF85/AF83</f>
        <v>-0.2</v>
      </c>
      <c r="AG106" s="78" t="n">
        <f aca="false">AG85/AG83</f>
        <v>0.05</v>
      </c>
      <c r="AH106" s="78" t="n">
        <f aca="false">AH85/AH83</f>
        <v>0.1</v>
      </c>
      <c r="AI106" s="78" t="n">
        <f aca="false">AI85/AI83</f>
        <v>0.1</v>
      </c>
      <c r="AJ106" s="78" t="n">
        <f aca="false">AJ85/AJ83</f>
        <v>0.13</v>
      </c>
      <c r="AK106" s="44"/>
      <c r="AP106" s="94" t="s">
        <v>308</v>
      </c>
      <c r="AQ106" s="94"/>
      <c r="AR106" s="44"/>
      <c r="AS106" s="44"/>
      <c r="AT106" s="44"/>
      <c r="AU106" s="44"/>
      <c r="AV106" s="44"/>
      <c r="AW106" s="44"/>
      <c r="AX106" s="44"/>
      <c r="AY106" s="44"/>
      <c r="AZ106" s="44"/>
      <c r="BA106" s="44"/>
      <c r="BB106" s="44"/>
      <c r="BC106" s="44"/>
      <c r="BD106" s="44"/>
      <c r="BE106" s="44"/>
      <c r="BF106" s="44"/>
      <c r="BG106" s="44"/>
      <c r="BH106" s="44"/>
      <c r="BI106" s="44"/>
      <c r="BJ106" s="44"/>
      <c r="BK106" s="44"/>
      <c r="BL106" s="44"/>
      <c r="BM106" s="44"/>
      <c r="BN106" s="44"/>
      <c r="BO106" s="44"/>
      <c r="BP106" s="44"/>
      <c r="BQ106" s="44"/>
      <c r="BR106" s="44"/>
      <c r="BS106" s="44"/>
      <c r="BT106" s="44"/>
      <c r="BU106" s="44"/>
      <c r="BV106" s="44"/>
      <c r="BW106" s="44"/>
      <c r="BX106" s="44"/>
      <c r="BY106" s="44"/>
      <c r="BZ106" s="44"/>
      <c r="CA106" s="44"/>
      <c r="CB106" s="44"/>
      <c r="CC106" s="44"/>
      <c r="CD106" s="44"/>
      <c r="CE106" s="44"/>
      <c r="CF106" s="44"/>
      <c r="CG106" s="44"/>
      <c r="CH106" s="44"/>
      <c r="CI106" s="44"/>
      <c r="CJ106" s="44"/>
      <c r="CK106" s="44"/>
      <c r="CL106" s="44"/>
      <c r="CM106" s="44"/>
      <c r="CN106" s="44"/>
      <c r="CO106" s="44"/>
      <c r="CP106" s="44"/>
      <c r="CQ106" s="44"/>
      <c r="CR106" s="44"/>
      <c r="CS106" s="44"/>
      <c r="CT106" s="44"/>
      <c r="CU106" s="44"/>
      <c r="CV106" s="44"/>
      <c r="CW106" s="44"/>
      <c r="CX106" s="44"/>
      <c r="CY106" s="44"/>
      <c r="CZ106" s="44"/>
      <c r="DA106" s="44"/>
      <c r="DB106" s="44"/>
      <c r="DC106" s="44"/>
      <c r="DD106" s="44"/>
      <c r="DE106" s="44"/>
      <c r="DF106" s="44"/>
      <c r="DG106" s="44"/>
      <c r="DH106" s="44"/>
      <c r="DI106" s="44"/>
      <c r="DJ106" s="44"/>
      <c r="DK106" s="44"/>
      <c r="DL106" s="44"/>
      <c r="DM106" s="44"/>
      <c r="DN106" s="44"/>
      <c r="DO106" s="44"/>
      <c r="DP106" s="44"/>
      <c r="DQ106" s="44"/>
      <c r="DR106" s="44"/>
      <c r="DS106" s="44"/>
      <c r="DT106" s="44"/>
      <c r="DU106" s="44"/>
      <c r="DV106" s="44"/>
      <c r="DW106" s="44"/>
      <c r="DX106" s="44"/>
      <c r="DY106" s="44"/>
      <c r="DZ106" s="44"/>
      <c r="EA106" s="44"/>
      <c r="EB106" s="44"/>
      <c r="EC106" s="44"/>
      <c r="ED106" s="44"/>
      <c r="EE106" s="44"/>
      <c r="EF106" s="44"/>
      <c r="EG106" s="44"/>
      <c r="EH106" s="44"/>
      <c r="EI106" s="44"/>
      <c r="EJ106" s="44"/>
      <c r="EK106" s="44"/>
      <c r="EL106" s="44"/>
      <c r="EM106" s="44"/>
      <c r="EN106" s="44"/>
      <c r="EO106" s="44"/>
      <c r="EP106" s="44"/>
    </row>
    <row r="107" s="1" customFormat="true" ht="12.8" hidden="false" customHeight="false" outlineLevel="0" collapsed="false">
      <c r="A107" s="78" t="s">
        <v>309</v>
      </c>
      <c r="B107" s="78"/>
      <c r="C107" s="78"/>
      <c r="D107" s="78"/>
      <c r="E107" s="78"/>
      <c r="F107" s="78" t="n">
        <f aca="false">(F77-B77)/(F61-B61)</f>
        <v>0.112160616589242</v>
      </c>
      <c r="G107" s="78" t="n">
        <f aca="false">(G77-C77)/(G61-C61)</f>
        <v>0.898057450535661</v>
      </c>
      <c r="H107" s="78" t="n">
        <f aca="false">(H77-D77)/(H61-D61)</f>
        <v>0.936801282819651</v>
      </c>
      <c r="I107" s="78" t="n">
        <f aca="false">(I77-E77)/(I61-E61)</f>
        <v>0.597563680613089</v>
      </c>
      <c r="J107" s="78" t="n">
        <f aca="false">(J77-F77)/(J61-F61)</f>
        <v>0.331492073745776</v>
      </c>
      <c r="K107" s="78" t="n">
        <f aca="false">(K77-G77)/(K61-G61)</f>
        <v>0.319642669242081</v>
      </c>
      <c r="L107" s="78" t="n">
        <f aca="false">(L77-H77)/(L61-H61)</f>
        <v>0.351813684945133</v>
      </c>
      <c r="M107" s="78" t="n">
        <f aca="false">(M77-I77)/(M61-I61)</f>
        <v>0.0583547945781535</v>
      </c>
      <c r="N107" s="78" t="n">
        <f aca="false">(N77-J77)/(N61-J61)</f>
        <v>0.753207646361396</v>
      </c>
      <c r="O107" s="78" t="n">
        <f aca="false">(O77-K77)/(O61-K61)</f>
        <v>0.335247885375648</v>
      </c>
      <c r="P107" s="78" t="n">
        <f aca="false">(P77-L77)/(P61-L61)</f>
        <v>0.0228353302692064</v>
      </c>
      <c r="Q107" s="78" t="n">
        <f aca="false">(Q77-M77)/(Q61-M61)</f>
        <v>0.417005852500543</v>
      </c>
      <c r="R107" s="78" t="n">
        <f aca="false">(R77-N77)/(R61-N61)</f>
        <v>0.416052841966798</v>
      </c>
      <c r="S107" s="78" t="n">
        <f aca="false">(S77-O77)/(S61-O61)</f>
        <v>0.285513021058888</v>
      </c>
      <c r="T107" s="78" t="n">
        <f aca="false">(T77-P77)/(T61-P61)</f>
        <v>0.392674086479126</v>
      </c>
      <c r="U107" s="78" t="n">
        <f aca="false">(U77-Q77)/(U61-Q61)</f>
        <v>-0.124921342057636</v>
      </c>
      <c r="V107" s="78"/>
      <c r="W107" s="78"/>
      <c r="X107" s="78"/>
      <c r="Y107" s="78"/>
      <c r="Z107" s="78" t="n">
        <f aca="false">(Z77-Y77)/(Z61-Y61)</f>
        <v>-1.2414003078175</v>
      </c>
      <c r="AA107" s="78" t="n">
        <f aca="false">(AA77-Z77)/(AA61-Z61)</f>
        <v>0.163169652112308</v>
      </c>
      <c r="AB107" s="78" t="n">
        <f aca="false">(AB77-AA77)/(AB61-AA61)</f>
        <v>0.138886581830088</v>
      </c>
      <c r="AC107" s="78" t="n">
        <f aca="false">(AC77-AB77)/(AC61-AB61)</f>
        <v>0.544133877560966</v>
      </c>
      <c r="AD107" s="78" t="n">
        <f aca="false">(AD77-AC77)/(AD61-AC61)</f>
        <v>0.2522118192651</v>
      </c>
      <c r="AE107" s="78" t="n">
        <f aca="false">(AE77-AD77)/(AE61-AD61)</f>
        <v>0.344077303765554</v>
      </c>
      <c r="AF107" s="78" t="n">
        <f aca="false">(AF77-AE77)/(AF61-AE61)</f>
        <v>0.321736511722099</v>
      </c>
      <c r="AG107" s="78" t="n">
        <f aca="false">(AG77-AF77)/(AG61-AF61)</f>
        <v>0.16</v>
      </c>
      <c r="AH107" s="78" t="n">
        <f aca="false">(AH77-AG77)/(AH61-AG61)</f>
        <v>0.225</v>
      </c>
      <c r="AI107" s="78" t="n">
        <f aca="false">(AI77-AH77)/(AI61-AH61)</f>
        <v>0.24</v>
      </c>
      <c r="AJ107" s="78" t="n">
        <f aca="false">(AJ77-AI77)/(AJ61-AI61)</f>
        <v>0.255</v>
      </c>
      <c r="AK107" s="95"/>
      <c r="AL107" s="42"/>
      <c r="AM107" s="96" t="s">
        <v>310</v>
      </c>
      <c r="AN107" s="97" t="n">
        <v>0.015</v>
      </c>
      <c r="AO107" s="98"/>
      <c r="AP107" s="99" t="s">
        <v>311</v>
      </c>
      <c r="AQ107" s="99"/>
      <c r="AR107" s="100"/>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95"/>
      <c r="BX107" s="95"/>
      <c r="BY107" s="95"/>
      <c r="BZ107" s="95"/>
      <c r="CA107" s="95"/>
      <c r="CB107" s="95"/>
      <c r="CC107" s="95"/>
      <c r="CD107" s="95"/>
      <c r="CE107" s="95"/>
      <c r="CF107" s="95"/>
      <c r="CG107" s="95"/>
      <c r="CH107" s="95"/>
      <c r="CI107" s="95"/>
      <c r="CJ107" s="95"/>
      <c r="CK107" s="95"/>
      <c r="CL107" s="95"/>
      <c r="CM107" s="95"/>
      <c r="CN107" s="95"/>
      <c r="CO107" s="95"/>
      <c r="CP107" s="95"/>
      <c r="CQ107" s="95"/>
      <c r="CR107" s="95"/>
      <c r="CS107" s="95"/>
      <c r="CT107" s="95"/>
      <c r="CU107" s="95"/>
      <c r="CV107" s="95"/>
      <c r="CW107" s="95"/>
      <c r="CX107" s="95"/>
      <c r="CY107" s="95"/>
      <c r="CZ107" s="95"/>
      <c r="DA107" s="95"/>
      <c r="DB107" s="95"/>
      <c r="DC107" s="95"/>
      <c r="DD107" s="95"/>
      <c r="DE107" s="95"/>
      <c r="DF107" s="95"/>
      <c r="DG107" s="95"/>
      <c r="DH107" s="95"/>
      <c r="DI107" s="95"/>
      <c r="DJ107" s="95"/>
      <c r="DK107" s="95"/>
      <c r="DL107" s="95"/>
      <c r="DM107" s="95"/>
      <c r="DN107" s="95"/>
      <c r="DO107" s="95"/>
      <c r="DP107" s="95"/>
      <c r="DQ107" s="95"/>
      <c r="DR107" s="95"/>
      <c r="DS107" s="95"/>
      <c r="DT107" s="95"/>
      <c r="DU107" s="95"/>
      <c r="DV107" s="95"/>
      <c r="DW107" s="95"/>
      <c r="DX107" s="95"/>
      <c r="DY107" s="95"/>
      <c r="DZ107" s="95"/>
      <c r="EA107" s="95"/>
      <c r="EB107" s="95"/>
      <c r="EC107" s="95"/>
      <c r="ED107" s="95"/>
      <c r="EE107" s="95"/>
      <c r="EF107" s="95"/>
      <c r="EG107" s="95"/>
      <c r="EH107" s="95"/>
      <c r="EI107" s="95"/>
      <c r="EJ107" s="95"/>
      <c r="EK107" s="95"/>
      <c r="EL107" s="95"/>
      <c r="EM107" s="95"/>
      <c r="EN107" s="95"/>
      <c r="EO107" s="95"/>
      <c r="EP107" s="95"/>
    </row>
    <row r="108" s="1" customFormat="true" ht="12.8"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J108" s="95"/>
      <c r="AK108" s="42"/>
      <c r="AL108" s="47"/>
      <c r="AM108" s="101" t="s">
        <v>312</v>
      </c>
      <c r="AN108" s="102" t="n">
        <f aca="false">+Main!G12</f>
        <v>0.104054523303559</v>
      </c>
      <c r="AO108" s="44"/>
      <c r="AP108" s="99" t="s">
        <v>313</v>
      </c>
      <c r="AQ108" s="99"/>
      <c r="AR108" s="42"/>
      <c r="AS108" s="42"/>
      <c r="AT108" s="42"/>
      <c r="AU108" s="42"/>
      <c r="AV108" s="42"/>
      <c r="AW108" s="42"/>
      <c r="AX108" s="42"/>
      <c r="AY108" s="42"/>
      <c r="AZ108" s="42"/>
      <c r="BA108" s="42"/>
      <c r="BB108" s="42"/>
      <c r="BC108" s="42"/>
      <c r="BD108" s="42"/>
      <c r="BE108" s="42"/>
      <c r="BF108" s="42"/>
      <c r="BG108" s="42"/>
      <c r="BH108" s="42"/>
      <c r="BI108" s="42"/>
      <c r="BJ108" s="42"/>
      <c r="BK108" s="42"/>
      <c r="BL108" s="42"/>
      <c r="BM108" s="42"/>
      <c r="BN108" s="42"/>
      <c r="BO108" s="42"/>
      <c r="BP108" s="42"/>
      <c r="BQ108" s="42"/>
      <c r="BR108" s="42"/>
      <c r="BS108" s="42"/>
      <c r="BT108" s="42"/>
      <c r="BU108" s="42"/>
      <c r="BV108" s="42"/>
      <c r="BW108" s="42"/>
      <c r="BX108" s="42"/>
      <c r="BY108" s="42"/>
      <c r="BZ108" s="42"/>
      <c r="CA108" s="42"/>
      <c r="CB108" s="42"/>
      <c r="CC108" s="42"/>
      <c r="CD108" s="42"/>
      <c r="CE108" s="42"/>
      <c r="CF108" s="42"/>
      <c r="CG108" s="42"/>
      <c r="CH108" s="42"/>
      <c r="CI108" s="42"/>
      <c r="CJ108" s="42"/>
      <c r="CK108" s="42"/>
      <c r="CL108" s="42"/>
      <c r="CM108" s="42"/>
      <c r="CN108" s="42"/>
      <c r="CO108" s="42"/>
      <c r="CP108" s="42"/>
      <c r="CQ108" s="42"/>
      <c r="CR108" s="42"/>
      <c r="CS108" s="42"/>
      <c r="CT108" s="42"/>
      <c r="CU108" s="42"/>
      <c r="CV108" s="42"/>
      <c r="CW108" s="42"/>
      <c r="CX108" s="42"/>
      <c r="CY108" s="42"/>
      <c r="CZ108" s="42"/>
      <c r="DA108" s="42"/>
      <c r="DB108" s="42"/>
      <c r="DC108" s="42"/>
      <c r="DD108" s="42"/>
      <c r="DE108" s="42"/>
      <c r="DF108" s="42"/>
      <c r="DG108" s="42"/>
      <c r="DH108" s="42"/>
      <c r="DI108" s="42"/>
      <c r="DJ108" s="42"/>
      <c r="DK108" s="42"/>
      <c r="DL108" s="42"/>
      <c r="DM108" s="42"/>
      <c r="DN108" s="42"/>
      <c r="DO108" s="42"/>
      <c r="DP108" s="42"/>
      <c r="DQ108" s="42"/>
      <c r="DR108" s="42"/>
      <c r="DS108" s="42"/>
      <c r="DT108" s="42"/>
      <c r="DU108" s="42"/>
      <c r="DV108" s="42"/>
      <c r="DW108" s="42"/>
      <c r="DX108" s="42"/>
      <c r="DY108" s="42"/>
      <c r="DZ108" s="42"/>
      <c r="EA108" s="42"/>
      <c r="EB108" s="42"/>
      <c r="EC108" s="42"/>
      <c r="ED108" s="42"/>
      <c r="EE108" s="42"/>
      <c r="EF108" s="42"/>
      <c r="EG108" s="42"/>
      <c r="EH108" s="42"/>
      <c r="EI108" s="42"/>
      <c r="EJ108" s="42"/>
      <c r="EK108" s="42"/>
      <c r="EL108" s="42"/>
      <c r="EM108" s="42"/>
      <c r="EN108" s="42"/>
      <c r="EO108" s="42"/>
      <c r="EP108" s="42"/>
    </row>
    <row r="109" s="1" customFormat="true" ht="12.8"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J109" s="42"/>
      <c r="AK109" s="47"/>
      <c r="AL109" s="47"/>
      <c r="AM109" s="103" t="s">
        <v>314</v>
      </c>
      <c r="AN109" s="104" t="n">
        <v>0.02</v>
      </c>
      <c r="AO109" s="44"/>
      <c r="AP109" s="99" t="s">
        <v>315</v>
      </c>
      <c r="AQ109" s="99"/>
      <c r="AR109" s="42"/>
      <c r="AS109" s="47"/>
      <c r="AT109" s="47"/>
      <c r="AU109" s="47"/>
      <c r="AV109" s="47"/>
      <c r="AW109" s="47"/>
      <c r="AX109" s="47"/>
      <c r="AY109" s="47"/>
      <c r="AZ109" s="47"/>
      <c r="BA109" s="47"/>
      <c r="BB109" s="47"/>
      <c r="BC109" s="47"/>
      <c r="BD109" s="47"/>
      <c r="BE109" s="47"/>
      <c r="BF109" s="47"/>
      <c r="BG109" s="47"/>
      <c r="BH109" s="47"/>
      <c r="BI109" s="47"/>
      <c r="BJ109" s="47"/>
      <c r="BK109" s="47"/>
      <c r="BL109" s="47"/>
      <c r="BM109" s="47"/>
      <c r="BN109" s="47"/>
      <c r="BO109" s="47"/>
      <c r="BP109" s="47"/>
      <c r="BQ109" s="47"/>
      <c r="BR109" s="47"/>
      <c r="BS109" s="47"/>
      <c r="BT109" s="47"/>
      <c r="BU109" s="47"/>
      <c r="BV109" s="47"/>
      <c r="BW109" s="47"/>
      <c r="BX109" s="47"/>
      <c r="BY109" s="47"/>
      <c r="BZ109" s="47"/>
      <c r="CA109" s="47"/>
      <c r="CB109" s="47"/>
      <c r="CC109" s="47"/>
      <c r="CD109" s="47"/>
      <c r="CE109" s="47"/>
      <c r="CF109" s="47"/>
      <c r="CG109" s="47"/>
      <c r="CH109" s="47"/>
      <c r="CI109" s="47"/>
      <c r="CJ109" s="47"/>
      <c r="CK109" s="47"/>
      <c r="CL109" s="47"/>
      <c r="CM109" s="47"/>
      <c r="CN109" s="47"/>
      <c r="CO109" s="47"/>
      <c r="CP109" s="47"/>
      <c r="CQ109" s="47"/>
      <c r="CR109" s="47"/>
      <c r="CS109" s="47"/>
      <c r="CT109" s="47"/>
      <c r="CU109" s="47"/>
      <c r="CV109" s="47"/>
      <c r="CW109" s="47"/>
      <c r="CX109" s="47"/>
      <c r="CY109" s="47"/>
      <c r="CZ109" s="47"/>
      <c r="DA109" s="47"/>
      <c r="DB109" s="47"/>
      <c r="DC109" s="47"/>
      <c r="DD109" s="47"/>
      <c r="DE109" s="47"/>
      <c r="DF109" s="47"/>
      <c r="DG109" s="47"/>
      <c r="DH109" s="47"/>
      <c r="DI109" s="47"/>
      <c r="DJ109" s="47"/>
      <c r="DK109" s="47"/>
      <c r="DL109" s="47"/>
      <c r="DM109" s="47"/>
      <c r="DN109" s="47"/>
      <c r="DO109" s="47"/>
      <c r="DP109" s="47"/>
      <c r="DQ109" s="47"/>
      <c r="DR109" s="47"/>
      <c r="DS109" s="47"/>
      <c r="DT109" s="47"/>
      <c r="DU109" s="47"/>
      <c r="DV109" s="47"/>
      <c r="DW109" s="47"/>
      <c r="DX109" s="47"/>
      <c r="DY109" s="47"/>
      <c r="DZ109" s="47"/>
      <c r="EA109" s="47"/>
      <c r="EB109" s="47"/>
      <c r="EC109" s="47"/>
      <c r="ED109" s="47"/>
      <c r="EE109" s="47"/>
      <c r="EF109" s="47"/>
      <c r="EG109" s="47"/>
      <c r="EH109" s="47"/>
      <c r="EI109" s="47"/>
      <c r="EJ109" s="47"/>
      <c r="EK109" s="47"/>
      <c r="EL109" s="47"/>
      <c r="EM109" s="47"/>
      <c r="EN109" s="47"/>
      <c r="EO109" s="47"/>
      <c r="EP109" s="47"/>
    </row>
    <row r="110" s="1" customFormat="true" ht="12.8" hidden="false" customHeight="false" outlineLevel="0" collapsed="false">
      <c r="A110" s="42" t="s">
        <v>316</v>
      </c>
      <c r="B110" s="42" t="n">
        <f aca="false">+B135-B146</f>
        <v>1614</v>
      </c>
      <c r="C110" s="42" t="n">
        <f aca="false">+C135-C146</f>
        <v>1649</v>
      </c>
      <c r="D110" s="42" t="n">
        <f aca="false">+D135-D146</f>
        <v>1694</v>
      </c>
      <c r="E110" s="42" t="n">
        <f aca="false">+E135-E146</f>
        <v>2051</v>
      </c>
      <c r="F110" s="42" t="n">
        <f aca="false">+F135-F146</f>
        <v>1859</v>
      </c>
      <c r="G110" s="42" t="n">
        <f aca="false">+G135-G146</f>
        <v>1882</v>
      </c>
      <c r="H110" s="42" t="n">
        <f aca="false">+H135-H146</f>
        <v>2201</v>
      </c>
      <c r="I110" s="42" t="n">
        <f aca="false">+I135-I146</f>
        <v>2614</v>
      </c>
      <c r="J110" s="42" t="n">
        <f aca="false">+J135-J146</f>
        <v>2875</v>
      </c>
      <c r="K110" s="42" t="n">
        <f aca="false">+K135-K146</f>
        <v>3031</v>
      </c>
      <c r="L110" s="42" t="n">
        <f aca="false">+L135-L146</f>
        <v>2917</v>
      </c>
      <c r="M110" s="42" t="n">
        <f aca="false">+M135-M146</f>
        <v>2475</v>
      </c>
      <c r="N110" s="42" t="n">
        <f aca="false">+N135-N146</f>
        <v>2616</v>
      </c>
      <c r="O110" s="42" t="n">
        <f aca="false">+O135-O146</f>
        <v>2747</v>
      </c>
      <c r="P110" s="42" t="n">
        <f aca="false">+P135-P146</f>
        <v>2654</v>
      </c>
      <c r="Q110" s="42" t="n">
        <f aca="false">+Q135-Q146</f>
        <v>2814</v>
      </c>
      <c r="R110" s="42" t="n">
        <f aca="false">+R135-R146</f>
        <v>2706</v>
      </c>
      <c r="S110" s="42" t="n">
        <f aca="false">+S135-S146</f>
        <v>2932</v>
      </c>
      <c r="T110" s="42"/>
      <c r="U110" s="42"/>
      <c r="V110" s="42"/>
      <c r="W110" s="42"/>
      <c r="X110" s="42"/>
      <c r="Y110" s="42" t="n">
        <f aca="false">+Y135+Y136-Y146-Y148+Y134</f>
        <v>1560</v>
      </c>
      <c r="Z110" s="42" t="n">
        <f aca="false">+Z135+Z136-Z146-Z148+Z134</f>
        <v>1990</v>
      </c>
      <c r="AA110" s="42" t="n">
        <f aca="false">+AA135+AA136-AA146-AA148+AA134</f>
        <v>1591</v>
      </c>
      <c r="AB110" s="42" t="n">
        <f aca="false">+AB135+AB136-AB146-AB148+AB134</f>
        <v>1941</v>
      </c>
      <c r="AC110" s="42" t="n">
        <f aca="false">+AC135+AC136-AC146-AC148+AC134</f>
        <v>2945</v>
      </c>
      <c r="AD110" s="42" t="n">
        <f aca="false">+AD135+AD136-AD146-AD148+AD134</f>
        <v>2195</v>
      </c>
      <c r="AE110" s="42" t="n">
        <f aca="false">+AE135+AE136-AE146-AE148+AE134</f>
        <v>1857</v>
      </c>
      <c r="AF110" s="42" t="n">
        <f aca="false">+AF135+AF136-AF146-AF148-AF151</f>
        <v>-7418.11290373958</v>
      </c>
      <c r="AG110" s="42" t="n">
        <f aca="false">+AG135+AG136-AG146-AG148-AG151</f>
        <v>-8968.77383671063</v>
      </c>
      <c r="AH110" s="42" t="n">
        <f aca="false">+AH135+AH136-AH146-AH148-AH151</f>
        <v>-10980.882094151</v>
      </c>
      <c r="AI110" s="42" t="n">
        <f aca="false">+AI135+AI136-AI146-AI148-AI151</f>
        <v>-12935.7204449779</v>
      </c>
      <c r="AJ110" s="42" t="n">
        <f aca="false">+AJ135+AJ136-AJ146-AJ148-AJ151</f>
        <v>-15645.3263650517</v>
      </c>
      <c r="AK110" s="47"/>
      <c r="AL110" s="47"/>
      <c r="AM110" s="101" t="s">
        <v>317</v>
      </c>
      <c r="AN110" s="105" t="n">
        <f aca="false">NPV(AN108,AF93:EB93)+Main!E4-Main!E5</f>
        <v>186144.321967012</v>
      </c>
      <c r="AO110" s="44"/>
      <c r="AP110" s="99" t="s">
        <v>318</v>
      </c>
      <c r="AQ110" s="99"/>
      <c r="AR110" s="42"/>
      <c r="AS110" s="47"/>
      <c r="AT110" s="47"/>
      <c r="AU110" s="47"/>
      <c r="AV110" s="47"/>
      <c r="AW110" s="47"/>
      <c r="AX110" s="47"/>
      <c r="AY110" s="47"/>
      <c r="AZ110" s="47"/>
      <c r="BA110" s="47"/>
      <c r="BB110" s="47"/>
      <c r="BC110" s="47"/>
      <c r="BD110" s="47"/>
      <c r="BE110" s="47"/>
      <c r="BF110" s="47"/>
      <c r="BG110" s="47"/>
      <c r="BH110" s="47"/>
      <c r="BI110" s="47"/>
      <c r="BJ110" s="47"/>
      <c r="BK110" s="47"/>
      <c r="BL110" s="47"/>
      <c r="BM110" s="47"/>
      <c r="BN110" s="47"/>
      <c r="BO110" s="47"/>
      <c r="BP110" s="47"/>
      <c r="BQ110" s="47"/>
      <c r="BR110" s="47"/>
      <c r="BS110" s="47"/>
      <c r="BT110" s="47"/>
      <c r="BU110" s="47"/>
      <c r="BV110" s="47"/>
      <c r="BW110" s="47"/>
      <c r="BX110" s="47"/>
      <c r="BY110" s="47"/>
      <c r="BZ110" s="47"/>
      <c r="CA110" s="47"/>
      <c r="CB110" s="47"/>
      <c r="CC110" s="47"/>
      <c r="CD110" s="47"/>
      <c r="CE110" s="47"/>
      <c r="CF110" s="47"/>
      <c r="CG110" s="47"/>
      <c r="CH110" s="47"/>
      <c r="CI110" s="47"/>
      <c r="CJ110" s="47"/>
      <c r="CK110" s="47"/>
      <c r="CL110" s="47"/>
      <c r="CM110" s="47"/>
      <c r="CN110" s="47"/>
      <c r="CO110" s="47"/>
      <c r="CP110" s="47"/>
      <c r="CQ110" s="47"/>
      <c r="CR110" s="47"/>
      <c r="CS110" s="47"/>
      <c r="CT110" s="47"/>
      <c r="CU110" s="47"/>
      <c r="CV110" s="47"/>
      <c r="CW110" s="47"/>
      <c r="CX110" s="47"/>
      <c r="CY110" s="47"/>
      <c r="CZ110" s="47"/>
      <c r="DA110" s="47"/>
      <c r="DB110" s="47"/>
      <c r="DC110" s="47"/>
      <c r="DD110" s="47"/>
      <c r="DE110" s="47"/>
      <c r="DF110" s="47"/>
      <c r="DG110" s="47"/>
      <c r="DH110" s="47"/>
      <c r="DI110" s="47"/>
      <c r="DJ110" s="47"/>
      <c r="DK110" s="47"/>
      <c r="DL110" s="47"/>
      <c r="DM110" s="47"/>
      <c r="DN110" s="47"/>
      <c r="DO110" s="47"/>
      <c r="DP110" s="47"/>
      <c r="DQ110" s="47"/>
      <c r="DR110" s="47"/>
      <c r="DS110" s="47"/>
      <c r="DT110" s="47"/>
      <c r="DU110" s="47"/>
      <c r="DV110" s="47"/>
      <c r="DW110" s="47"/>
      <c r="DX110" s="47"/>
      <c r="DY110" s="47"/>
      <c r="DZ110" s="47"/>
      <c r="EA110" s="47"/>
      <c r="EB110" s="47"/>
      <c r="EC110" s="47"/>
      <c r="ED110" s="47"/>
      <c r="EE110" s="47"/>
      <c r="EF110" s="47"/>
      <c r="EG110" s="47"/>
      <c r="EH110" s="47"/>
      <c r="EI110" s="47"/>
      <c r="EJ110" s="47"/>
      <c r="EK110" s="47"/>
      <c r="EL110" s="47"/>
      <c r="EM110" s="47"/>
      <c r="EN110" s="47"/>
      <c r="EO110" s="47"/>
      <c r="EP110" s="47"/>
      <c r="EQ110" s="25"/>
    </row>
    <row r="111" s="1" customFormat="true" ht="12.8" hidden="false" customHeight="false" outlineLevel="0" collapsed="false">
      <c r="A111" s="106" t="s">
        <v>319</v>
      </c>
      <c r="B111" s="107"/>
      <c r="C111" s="107" t="n">
        <f aca="false">+SUM(C93)/AVERAGE(B144:C144)</f>
        <v>-0.0815028358349262</v>
      </c>
      <c r="D111" s="107" t="n">
        <f aca="false">+SUM(D93)/AVERAGE(C144:D144)</f>
        <v>-0.03882432475936</v>
      </c>
      <c r="E111" s="107" t="n">
        <f aca="false">+SUM(E93)/AVERAGE(D144:E144)</f>
        <v>0.01882285949289</v>
      </c>
      <c r="F111" s="107" t="n">
        <f aca="false">+SUM(F93)/AVERAGE(E144:F144)</f>
        <v>-0.00483423455532993</v>
      </c>
      <c r="G111" s="107" t="n">
        <f aca="false">+SUM(G93)/AVERAGE(F144:G144)</f>
        <v>0.0118617148276958</v>
      </c>
      <c r="H111" s="107" t="n">
        <f aca="false">+SUM(H93)/AVERAGE(G144:H144)</f>
        <v>0.00632378876679577</v>
      </c>
      <c r="I111" s="107" t="n">
        <f aca="false">+SUM(I93)/AVERAGE(H144:I144)</f>
        <v>0.0382971512969274</v>
      </c>
      <c r="J111" s="107" t="n">
        <f aca="false">+SUM(J93)/AVERAGE(I144:J144)</f>
        <v>-0.0166967216434029</v>
      </c>
      <c r="K111" s="107" t="n">
        <f aca="false">+SUM(K93)/AVERAGE(J144:K144)</f>
        <v>0.0250349653284783</v>
      </c>
      <c r="L111" s="107" t="n">
        <f aca="false">+SUM(L93)/AVERAGE(K144:L144)</f>
        <v>0.0589510698531493</v>
      </c>
      <c r="M111" s="107" t="n">
        <f aca="false">+SUM(M93)/AVERAGE(L144:M144)</f>
        <v>0.139963152700921</v>
      </c>
      <c r="N111" s="107" t="n">
        <f aca="false">+SUM(N93)/AVERAGE(M144:N144)</f>
        <v>0.03413849625157</v>
      </c>
      <c r="O111" s="107" t="n">
        <f aca="false">+SUM(O93)/AVERAGE(N144:O144)</f>
        <v>0.0249151465821797</v>
      </c>
      <c r="P111" s="107" t="n">
        <f aca="false">+SUM(P93)/AVERAGE(O144:P144)</f>
        <v>0.111065297230444</v>
      </c>
      <c r="Q111" s="107" t="n">
        <f aca="false">+SUM(Q93)/AVERAGE(P144:Q144)</f>
        <v>0.00473047480542725</v>
      </c>
      <c r="R111" s="107" t="n">
        <f aca="false">+SUM(R93)/AVERAGE(Q144:R144)</f>
        <v>0.0043225652699138</v>
      </c>
      <c r="S111" s="107" t="n">
        <f aca="false">+SUM(S93)/AVERAGE(R144:S144)</f>
        <v>0.0380949349967379</v>
      </c>
      <c r="T111" s="107"/>
      <c r="U111" s="107"/>
      <c r="V111" s="107"/>
      <c r="W111" s="107"/>
      <c r="X111" s="107"/>
      <c r="Y111" s="107"/>
      <c r="Z111" s="107" t="n">
        <f aca="false">+SUM(Z93)/AVERAGE(Y144:Z144)</f>
        <v>-0.208188331276077</v>
      </c>
      <c r="AA111" s="107" t="n">
        <f aca="false">+SUM(AA93)/AVERAGE(Z144:AA144)</f>
        <v>-0.0137063304252057</v>
      </c>
      <c r="AB111" s="107" t="n">
        <f aca="false">+SUM(AB93)/AVERAGE(AA144:AB144)</f>
        <v>-0.257816500843735</v>
      </c>
      <c r="AC111" s="107" t="n">
        <f aca="false">+SUM(AC93)/AVERAGE(AB144:AC144)</f>
        <v>0.0533071330170715</v>
      </c>
      <c r="AD111" s="107" t="n">
        <f aca="false">+SUM(AD93)/AVERAGE(AC144:AD144)</f>
        <v>0.219169105376943</v>
      </c>
      <c r="AE111" s="107" t="n">
        <f aca="false">+SUM(AE93)/AVERAGE(AD144:AE144)</f>
        <v>0.177864282717459</v>
      </c>
      <c r="AF111" s="107"/>
      <c r="AG111" s="107"/>
      <c r="AH111" s="107"/>
      <c r="AI111" s="107"/>
      <c r="AJ111" s="106"/>
      <c r="AK111" s="106"/>
      <c r="AL111" s="106"/>
      <c r="AM111" s="103" t="s">
        <v>1</v>
      </c>
      <c r="AN111" s="108" t="n">
        <f aca="false">AN110/Main!E2</f>
        <v>91.1328484548494</v>
      </c>
      <c r="AO111" s="44"/>
      <c r="AP111" s="99"/>
      <c r="AQ111" s="99"/>
      <c r="AR111" s="44"/>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06"/>
      <c r="BX111" s="106"/>
      <c r="BY111" s="106"/>
      <c r="BZ111" s="106"/>
      <c r="CA111" s="106"/>
      <c r="CB111" s="106"/>
      <c r="CC111" s="106"/>
      <c r="CD111" s="106"/>
      <c r="CE111" s="106"/>
      <c r="CF111" s="106"/>
      <c r="CG111" s="106"/>
      <c r="CH111" s="106"/>
      <c r="CI111" s="106"/>
      <c r="CJ111" s="106"/>
      <c r="CK111" s="106"/>
      <c r="CL111" s="106"/>
      <c r="CM111" s="106"/>
      <c r="CN111" s="106"/>
      <c r="CO111" s="106"/>
      <c r="CP111" s="106"/>
      <c r="CQ111" s="106"/>
      <c r="CR111" s="106"/>
      <c r="CS111" s="106"/>
      <c r="CT111" s="106"/>
      <c r="CU111" s="106"/>
      <c r="CV111" s="106"/>
      <c r="CW111" s="106"/>
      <c r="CX111" s="106"/>
      <c r="CY111" s="106"/>
      <c r="CZ111" s="106"/>
      <c r="DA111" s="106"/>
      <c r="DB111" s="106"/>
      <c r="DC111" s="106"/>
      <c r="DD111" s="106"/>
      <c r="DE111" s="106"/>
      <c r="DF111" s="106"/>
      <c r="DG111" s="106"/>
      <c r="DH111" s="106"/>
      <c r="DI111" s="106"/>
      <c r="DJ111" s="106"/>
      <c r="DK111" s="106"/>
      <c r="DL111" s="106"/>
      <c r="DM111" s="106"/>
      <c r="DN111" s="106"/>
      <c r="DO111" s="106"/>
      <c r="DP111" s="106"/>
      <c r="DQ111" s="106"/>
      <c r="DR111" s="106"/>
      <c r="DS111" s="106"/>
      <c r="DT111" s="106"/>
      <c r="DU111" s="106"/>
      <c r="DV111" s="106"/>
      <c r="DW111" s="106"/>
      <c r="DX111" s="106"/>
      <c r="DY111" s="106"/>
      <c r="DZ111" s="106"/>
      <c r="EA111" s="106"/>
      <c r="EB111" s="106"/>
      <c r="EC111" s="106"/>
      <c r="ED111" s="106"/>
      <c r="EE111" s="106"/>
      <c r="EF111" s="106"/>
      <c r="EG111" s="106"/>
      <c r="EH111" s="106"/>
      <c r="EI111" s="106"/>
      <c r="EJ111" s="106"/>
      <c r="EK111" s="106"/>
      <c r="EL111" s="106"/>
      <c r="EM111" s="106"/>
      <c r="EN111" s="106"/>
      <c r="EO111" s="106"/>
      <c r="EP111" s="106"/>
      <c r="EQ111" s="107"/>
    </row>
    <row r="112" s="1" customFormat="true" ht="12.8" hidden="false" customHeight="false" outlineLevel="0" collapsed="false">
      <c r="A112" s="106" t="s">
        <v>320</v>
      </c>
      <c r="B112" s="107"/>
      <c r="C112" s="107" t="n">
        <f aca="false">+C113*C114*C105</f>
        <v>-0.333953906400462</v>
      </c>
      <c r="D112" s="107" t="n">
        <f aca="false">+D113*D114*D105</f>
        <v>-0.186860861481252</v>
      </c>
      <c r="E112" s="107" t="n">
        <f aca="false">+E113*E114*E105</f>
        <v>0.0875837197320969</v>
      </c>
      <c r="F112" s="107" t="n">
        <f aca="false">+F113*F114*F105</f>
        <v>-0.0210195435676253</v>
      </c>
      <c r="G112" s="107" t="n">
        <f aca="false">+G113*G114*G105</f>
        <v>0.0487898471817648</v>
      </c>
      <c r="H112" s="107" t="n">
        <f aca="false">+H113*H114*H105</f>
        <v>0.0245684562248773</v>
      </c>
      <c r="I112" s="107" t="n">
        <f aca="false">+I113*I114*I105</f>
        <v>0.138729836949242</v>
      </c>
      <c r="J112" s="107" t="n">
        <f aca="false">+J113*J114*J105</f>
        <v>-0.0586058148220362</v>
      </c>
      <c r="K112" s="107" t="n">
        <f aca="false">+K113*K114*K105</f>
        <v>0.0867507323431672</v>
      </c>
      <c r="L112" s="107" t="n">
        <f aca="false">+L113*L114*L105</f>
        <v>0.192587256621986</v>
      </c>
      <c r="M112" s="107" t="n">
        <f aca="false">+M113*M114*M105</f>
        <v>0.378857275106369</v>
      </c>
      <c r="N112" s="107" t="n">
        <f aca="false">+N113*N114*N105</f>
        <v>0.0816083603453907</v>
      </c>
      <c r="O112" s="107" t="n">
        <f aca="false">+O113*O114*O105</f>
        <v>0.0608186033860739</v>
      </c>
      <c r="P112" s="107" t="n">
        <f aca="false">+P113*P114*P105</f>
        <v>0.261235071696759</v>
      </c>
      <c r="Q112" s="107" t="n">
        <f aca="false">+Q113*Q114*Q105</f>
        <v>0.0107294970548255</v>
      </c>
      <c r="R112" s="107" t="n">
        <f aca="false">+R113*R114*R105</f>
        <v>0.0101560086499845</v>
      </c>
      <c r="S112" s="107" t="n">
        <f aca="false">+S113*S114*S105</f>
        <v>0.0919584381662089</v>
      </c>
      <c r="T112" s="107"/>
      <c r="U112" s="107"/>
      <c r="V112" s="107"/>
      <c r="W112" s="107"/>
      <c r="X112" s="107"/>
      <c r="Y112" s="107"/>
      <c r="Z112" s="107" t="n">
        <f aca="false">+Z113*Z114*Z105</f>
        <v>-0.511603787602092</v>
      </c>
      <c r="AA112" s="107" t="n">
        <f aca="false">+AA113*AA114*AA105</f>
        <v>-0.0369411312585109</v>
      </c>
      <c r="AB112" s="107" t="n">
        <f aca="false">+AB113*AB114*AB105</f>
        <v>-0.838372348979144</v>
      </c>
      <c r="AC112" s="107" t="n">
        <f aca="false">+AC113*AC114*AC105</f>
        <v>0.203054298310318</v>
      </c>
      <c r="AD112" s="107" t="n">
        <f aca="false">+AD113*AD114*AD105</f>
        <v>0.600870047682861</v>
      </c>
      <c r="AE112" s="107" t="n">
        <f aca="false">+AE113*AE114*AE105</f>
        <v>0.413729867472252</v>
      </c>
      <c r="AF112" s="107"/>
      <c r="AG112" s="107"/>
      <c r="AH112" s="107"/>
      <c r="AI112" s="107"/>
      <c r="AJ112" s="106"/>
      <c r="AK112" s="106"/>
      <c r="AL112" s="106"/>
      <c r="AM112" s="109" t="s">
        <v>321</v>
      </c>
      <c r="AN112" s="110" t="n">
        <f aca="false">+AN111/Main!E1-1</f>
        <v>0.168369851985249</v>
      </c>
      <c r="AO112" s="44"/>
      <c r="AP112" s="99" t="s">
        <v>322</v>
      </c>
      <c r="AQ112" s="99"/>
      <c r="AR112" s="44"/>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06"/>
      <c r="BX112" s="106"/>
      <c r="BY112" s="106"/>
      <c r="BZ112" s="106"/>
      <c r="CA112" s="106"/>
      <c r="CB112" s="106"/>
      <c r="CC112" s="106"/>
      <c r="CD112" s="106"/>
      <c r="CE112" s="106"/>
      <c r="CF112" s="106"/>
      <c r="CG112" s="106"/>
      <c r="CH112" s="106"/>
      <c r="CI112" s="106"/>
      <c r="CJ112" s="106"/>
      <c r="CK112" s="106"/>
      <c r="CL112" s="106"/>
      <c r="CM112" s="106"/>
      <c r="CN112" s="106"/>
      <c r="CO112" s="106"/>
      <c r="CP112" s="106"/>
      <c r="CQ112" s="106"/>
      <c r="CR112" s="106"/>
      <c r="CS112" s="106"/>
      <c r="CT112" s="106"/>
      <c r="CU112" s="106"/>
      <c r="CV112" s="106"/>
      <c r="CW112" s="106"/>
      <c r="CX112" s="106"/>
      <c r="CY112" s="106"/>
      <c r="CZ112" s="106"/>
      <c r="DA112" s="106"/>
      <c r="DB112" s="106"/>
      <c r="DC112" s="106"/>
      <c r="DD112" s="106"/>
      <c r="DE112" s="106"/>
      <c r="DF112" s="106"/>
      <c r="DG112" s="106"/>
      <c r="DH112" s="106"/>
      <c r="DI112" s="106"/>
      <c r="DJ112" s="106"/>
      <c r="DK112" s="106"/>
      <c r="DL112" s="106"/>
      <c r="DM112" s="106"/>
      <c r="DN112" s="106"/>
      <c r="DO112" s="106"/>
      <c r="DP112" s="106"/>
      <c r="DQ112" s="106"/>
      <c r="DR112" s="106"/>
      <c r="DS112" s="106"/>
      <c r="DT112" s="106"/>
      <c r="DU112" s="106"/>
      <c r="DV112" s="106"/>
      <c r="DW112" s="106"/>
      <c r="DX112" s="106"/>
      <c r="DY112" s="106"/>
      <c r="DZ112" s="106"/>
      <c r="EA112" s="106"/>
      <c r="EB112" s="106"/>
      <c r="EC112" s="106"/>
      <c r="ED112" s="106"/>
      <c r="EE112" s="106"/>
      <c r="EF112" s="106"/>
      <c r="EG112" s="106"/>
      <c r="EH112" s="106"/>
      <c r="EI112" s="106"/>
      <c r="EJ112" s="106"/>
      <c r="EK112" s="106"/>
      <c r="EL112" s="106"/>
      <c r="EM112" s="106"/>
      <c r="EN112" s="106"/>
      <c r="EO112" s="106"/>
      <c r="EP112" s="106"/>
      <c r="EQ112" s="107"/>
    </row>
    <row r="113" s="1" customFormat="true" ht="12.8" hidden="false" customHeight="false" outlineLevel="0" collapsed="false">
      <c r="A113" s="106" t="s">
        <v>323</v>
      </c>
      <c r="B113" s="107"/>
      <c r="C113" s="107" t="n">
        <f aca="false">+SUM(C61)/AVERAGE(B144:C144)</f>
        <v>0.252969009494563</v>
      </c>
      <c r="D113" s="107" t="n">
        <f aca="false">+SUM(D61)/AVERAGE(C144:D144)</f>
        <v>0.26858320188005</v>
      </c>
      <c r="E113" s="107" t="n">
        <f aca="false">+SUM(E61)/AVERAGE(D144:E144)</f>
        <v>0.272282943958495</v>
      </c>
      <c r="F113" s="107" t="n">
        <f aca="false">+SUM(F61)/AVERAGE(E144:F144)</f>
        <v>0.27335659568011</v>
      </c>
      <c r="G113" s="107" t="n">
        <f aca="false">+SUM(G61)/AVERAGE(F144:G144)</f>
        <v>0.277530170456915</v>
      </c>
      <c r="H113" s="107" t="n">
        <f aca="false">+SUM(H61)/AVERAGE(G144:H144)</f>
        <v>0.265432290987685</v>
      </c>
      <c r="I113" s="107" t="n">
        <f aca="false">+SUM(I61)/AVERAGE(H144:I144)</f>
        <v>0.266220203488547</v>
      </c>
      <c r="J113" s="107" t="n">
        <f aca="false">+SUM(J61)/AVERAGE(I144:J144)</f>
        <v>0.258789242238177</v>
      </c>
      <c r="K113" s="107" t="n">
        <f aca="false">+SUM(K61)/AVERAGE(J144:K144)</f>
        <v>0.26383762334877</v>
      </c>
      <c r="L113" s="107" t="n">
        <f aca="false">+SUM(L61)/AVERAGE(K144:L144)</f>
        <v>0.252472523971911</v>
      </c>
      <c r="M113" s="107" t="n">
        <f aca="false">+SUM(M61)/AVERAGE(L144:M144)</f>
        <v>0.243174791460184</v>
      </c>
      <c r="N113" s="107" t="n">
        <f aca="false">+SUM(N61)/AVERAGE(M144:N144)</f>
        <v>0.221654111341993</v>
      </c>
      <c r="O113" s="107" t="n">
        <f aca="false">+SUM(O61)/AVERAGE(N144:O144)</f>
        <v>0.232554571603318</v>
      </c>
      <c r="P113" s="107" t="n">
        <f aca="false">+SUM(P61)/AVERAGE(O144:P144)</f>
        <v>0.225725974702244</v>
      </c>
      <c r="Q113" s="107" t="n">
        <f aca="false">+SUM(Q61)/AVERAGE(P144:Q144)</f>
        <v>0.229587841401243</v>
      </c>
      <c r="R113" s="107" t="n">
        <f aca="false">+SUM(R61)/AVERAGE(Q144:R144)</f>
        <v>0.216999350793429</v>
      </c>
      <c r="S113" s="107" t="n">
        <f aca="false">+SUM(S61)/AVERAGE(R144:S144)</f>
        <v>0.225816717852426</v>
      </c>
      <c r="T113" s="107"/>
      <c r="U113" s="107"/>
      <c r="V113" s="107"/>
      <c r="W113" s="107"/>
      <c r="X113" s="107"/>
      <c r="Y113" s="107"/>
      <c r="Z113" s="107" t="n">
        <f aca="false">+SUM(Z61)/AVERAGE(Y144:Z144)</f>
        <v>0.34268440700088</v>
      </c>
      <c r="AA113" s="107" t="n">
        <f aca="false">+SUM(AA61)/AVERAGE(Z144:AA144)</f>
        <v>0.484751228189996</v>
      </c>
      <c r="AB113" s="107" t="n">
        <f aca="false">+SUM(AB61)/AVERAGE(AA144:AB144)</f>
        <v>0.899525173683244</v>
      </c>
      <c r="AC113" s="107" t="n">
        <f aca="false">+SUM(AC61)/AVERAGE(AB144:AC144)</f>
        <v>1.05302338745774</v>
      </c>
      <c r="AD113" s="107" t="n">
        <f aca="false">+SUM(AD61)/AVERAGE(AC144:AD144)</f>
        <v>0.977915664943629</v>
      </c>
      <c r="AE113" s="107" t="n">
        <f aca="false">+SUM(AE61)/AVERAGE(AD144:AE144)</f>
        <v>0.920287273254042</v>
      </c>
      <c r="AF113" s="107"/>
      <c r="AG113" s="107"/>
      <c r="AH113" s="107"/>
      <c r="AI113" s="107"/>
      <c r="AJ113" s="106"/>
      <c r="AK113" s="106"/>
      <c r="AL113" s="106"/>
      <c r="AM113" s="111"/>
      <c r="AN113" s="111"/>
      <c r="AO113" s="44"/>
      <c r="AP113" s="99" t="s">
        <v>324</v>
      </c>
      <c r="AQ113" s="99"/>
      <c r="AR113" s="44"/>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06"/>
      <c r="BX113" s="106"/>
      <c r="BY113" s="106"/>
      <c r="BZ113" s="106"/>
      <c r="CA113" s="106"/>
      <c r="CB113" s="106"/>
      <c r="CC113" s="106"/>
      <c r="CD113" s="106"/>
      <c r="CE113" s="106"/>
      <c r="CF113" s="106"/>
      <c r="CG113" s="106"/>
      <c r="CH113" s="106"/>
      <c r="CI113" s="106"/>
      <c r="CJ113" s="106"/>
      <c r="CK113" s="106"/>
      <c r="CL113" s="106"/>
      <c r="CM113" s="106"/>
      <c r="CN113" s="106"/>
      <c r="CO113" s="106"/>
      <c r="CP113" s="106"/>
      <c r="CQ113" s="106"/>
      <c r="CR113" s="106"/>
      <c r="CS113" s="106"/>
      <c r="CT113" s="106"/>
      <c r="CU113" s="106"/>
      <c r="CV113" s="106"/>
      <c r="CW113" s="106"/>
      <c r="CX113" s="106"/>
      <c r="CY113" s="106"/>
      <c r="CZ113" s="106"/>
      <c r="DA113" s="106"/>
      <c r="DB113" s="106"/>
      <c r="DC113" s="106"/>
      <c r="DD113" s="106"/>
      <c r="DE113" s="106"/>
      <c r="DF113" s="106"/>
      <c r="DG113" s="106"/>
      <c r="DH113" s="106"/>
      <c r="DI113" s="106"/>
      <c r="DJ113" s="106"/>
      <c r="DK113" s="106"/>
      <c r="DL113" s="106"/>
      <c r="DM113" s="106"/>
      <c r="DN113" s="106"/>
      <c r="DO113" s="106"/>
      <c r="DP113" s="106"/>
      <c r="DQ113" s="106"/>
      <c r="DR113" s="106"/>
      <c r="DS113" s="106"/>
      <c r="DT113" s="106"/>
      <c r="DU113" s="106"/>
      <c r="DV113" s="106"/>
      <c r="DW113" s="106"/>
      <c r="DX113" s="106"/>
      <c r="DY113" s="106"/>
      <c r="DZ113" s="106"/>
      <c r="EA113" s="106"/>
      <c r="EB113" s="106"/>
      <c r="EC113" s="106"/>
      <c r="ED113" s="106"/>
      <c r="EE113" s="106"/>
      <c r="EF113" s="106"/>
      <c r="EG113" s="106"/>
      <c r="EH113" s="106"/>
      <c r="EI113" s="106"/>
      <c r="EJ113" s="106"/>
      <c r="EK113" s="106"/>
      <c r="EL113" s="106"/>
      <c r="EM113" s="106"/>
      <c r="EN113" s="106"/>
      <c r="EO113" s="106"/>
      <c r="EP113" s="106"/>
      <c r="EQ113" s="107"/>
    </row>
    <row r="114" s="1" customFormat="true" ht="12.8" hidden="false" customHeight="false" outlineLevel="0" collapsed="false">
      <c r="A114" s="111" t="s">
        <v>325</v>
      </c>
      <c r="B114" s="112"/>
      <c r="C114" s="112" t="n">
        <f aca="false">+AVERAGE(B144:C144)/AVERAGE(B161:C161)</f>
        <v>4.09745137061052</v>
      </c>
      <c r="D114" s="112" t="n">
        <f aca="false">+AVERAGE(C144:D144)/AVERAGE(C161:D161)</f>
        <v>4.81298419584754</v>
      </c>
      <c r="E114" s="112" t="n">
        <f aca="false">+AVERAGE(D144:E144)/AVERAGE(D161:E161)</f>
        <v>4.65305071023773</v>
      </c>
      <c r="F114" s="112" t="n">
        <f aca="false">+AVERAGE(E144:F144)/AVERAGE(E161:F161)</f>
        <v>4.34806034482759</v>
      </c>
      <c r="G114" s="112" t="n">
        <f aca="false">+AVERAGE(F144:G144)/AVERAGE(F161:G161)</f>
        <v>4.11322038090527</v>
      </c>
      <c r="H114" s="112" t="n">
        <f aca="false">+AVERAGE(G144:H144)/AVERAGE(G161:H161)</f>
        <v>3.88508489623793</v>
      </c>
      <c r="I114" s="112" t="n">
        <f aca="false">+AVERAGE(H144:I144)/AVERAGE(H161:I161)</f>
        <v>3.62245838792643</v>
      </c>
      <c r="J114" s="112" t="n">
        <f aca="false">+AVERAGE(I144:J144)/AVERAGE(I161:J161)</f>
        <v>3.5100192764603</v>
      </c>
      <c r="K114" s="112" t="n">
        <f aca="false">+AVERAGE(J144:K144)/AVERAGE(J161:K161)</f>
        <v>3.46518284347232</v>
      </c>
      <c r="L114" s="112" t="n">
        <f aca="false">+AVERAGE(K144:L144)/AVERAGE(K161:L161)</f>
        <v>3.2669001105787</v>
      </c>
      <c r="M114" s="112" t="n">
        <f aca="false">+AVERAGE(L144:M144)/AVERAGE(L161:M161)</f>
        <v>2.70683581925257</v>
      </c>
      <c r="N114" s="112" t="n">
        <f aca="false">+AVERAGE(M144:N144)/AVERAGE(M161:N161)</f>
        <v>2.39050834998737</v>
      </c>
      <c r="O114" s="112" t="n">
        <f aca="false">+AVERAGE(N144:O144)/AVERAGE(N161:O161)</f>
        <v>2.44102932268414</v>
      </c>
      <c r="P114" s="112" t="n">
        <f aca="false">+AVERAGE(O144:P144)/AVERAGE(O161:P161)</f>
        <v>2.35208546873768</v>
      </c>
      <c r="Q114" s="112" t="n">
        <f aca="false">+AVERAGE(P144:Q144)/AVERAGE(P161:Q161)</f>
        <v>2.26816492976892</v>
      </c>
      <c r="R114" s="112" t="n">
        <f aca="false">+AVERAGE(Q144:R144)/AVERAGE(Q161:R161)</f>
        <v>2.3495327463701</v>
      </c>
      <c r="S114" s="112" t="n">
        <f aca="false">+AVERAGE(R144:S144)/AVERAGE(R161:S161)</f>
        <v>2.41392820788599</v>
      </c>
      <c r="T114" s="112"/>
      <c r="U114" s="112"/>
      <c r="V114" s="112"/>
      <c r="W114" s="112"/>
      <c r="X114" s="112"/>
      <c r="Y114" s="112"/>
      <c r="Z114" s="112" t="n">
        <f aca="false">+AVERAGE(Y144:Z144)/AVERAGE(Y161:Z161)</f>
        <v>2.45740856111508</v>
      </c>
      <c r="AA114" s="112" t="n">
        <f aca="false">+AVERAGE(Z144:AA144)/AVERAGE(Z161:AA161)</f>
        <v>2.69518756023688</v>
      </c>
      <c r="AB114" s="112" t="n">
        <f aca="false">+AVERAGE(AA144:AB144)/AVERAGE(AA161:AB161)</f>
        <v>3.25181804203948</v>
      </c>
      <c r="AC114" s="112" t="n">
        <f aca="false">+AVERAGE(AB144:AC144)/AVERAGE(AB161:AC161)</f>
        <v>3.80913935561476</v>
      </c>
      <c r="AD114" s="112" t="n">
        <f aca="false">+AVERAGE(AC144:AD144)/AVERAGE(AC161:AD161)</f>
        <v>2.7415818787481</v>
      </c>
      <c r="AE114" s="112" t="n">
        <f aca="false">+AVERAGE(AD144:AE144)/AVERAGE(AD161:AE161)</f>
        <v>2.32609864752593</v>
      </c>
      <c r="AF114" s="112"/>
      <c r="AG114" s="112"/>
      <c r="AH114" s="112"/>
      <c r="AI114" s="112"/>
      <c r="AJ114" s="111"/>
      <c r="AK114" s="111"/>
      <c r="AL114" s="111"/>
      <c r="AM114" s="106"/>
      <c r="AN114" s="106"/>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c r="DC114" s="111"/>
      <c r="DD114" s="111"/>
      <c r="DE114" s="111"/>
      <c r="DF114" s="111"/>
      <c r="DG114" s="111"/>
      <c r="DH114" s="111"/>
      <c r="DI114" s="111"/>
      <c r="DJ114" s="111"/>
      <c r="DK114" s="111"/>
      <c r="DL114" s="111"/>
      <c r="DM114" s="111"/>
      <c r="DN114" s="111"/>
      <c r="DO114" s="111"/>
      <c r="DP114" s="111"/>
      <c r="DQ114" s="111"/>
      <c r="DR114" s="111"/>
      <c r="DS114" s="111"/>
      <c r="DT114" s="111"/>
      <c r="DU114" s="111"/>
      <c r="DV114" s="111"/>
      <c r="DW114" s="111"/>
      <c r="DX114" s="111"/>
      <c r="DY114" s="111"/>
      <c r="DZ114" s="111"/>
      <c r="EA114" s="111"/>
      <c r="EB114" s="111"/>
      <c r="EC114" s="111"/>
      <c r="ED114" s="111"/>
      <c r="EE114" s="111"/>
      <c r="EF114" s="111"/>
      <c r="EG114" s="111"/>
      <c r="EH114" s="111"/>
      <c r="EI114" s="111"/>
      <c r="EJ114" s="111"/>
      <c r="EK114" s="111"/>
      <c r="EL114" s="111"/>
      <c r="EM114" s="111"/>
      <c r="EN114" s="111"/>
      <c r="EO114" s="111"/>
      <c r="EP114" s="111"/>
      <c r="EQ114" s="112"/>
    </row>
    <row r="115" s="1" customFormat="true" ht="12.8" hidden="false" customHeight="false" outlineLevel="0" collapsed="false">
      <c r="A115" s="106" t="s">
        <v>326</v>
      </c>
      <c r="B115" s="107"/>
      <c r="C115" s="107" t="n">
        <f aca="false">+C112-C111</f>
        <v>-0.252451070565536</v>
      </c>
      <c r="D115" s="107" t="n">
        <f aca="false">+D112-D111</f>
        <v>-0.148036536721892</v>
      </c>
      <c r="E115" s="107" t="n">
        <f aca="false">+E112-E111</f>
        <v>0.0687608602392069</v>
      </c>
      <c r="F115" s="107" t="n">
        <f aca="false">+F112-F111</f>
        <v>-0.0161853090122954</v>
      </c>
      <c r="G115" s="107" t="n">
        <f aca="false">+G112-G111</f>
        <v>0.036928132354069</v>
      </c>
      <c r="H115" s="107" t="n">
        <f aca="false">+H112-H111</f>
        <v>0.0182446674580816</v>
      </c>
      <c r="I115" s="107" t="n">
        <f aca="false">+I112-I111</f>
        <v>0.100432685652315</v>
      </c>
      <c r="J115" s="107" t="n">
        <f aca="false">+J112-J111</f>
        <v>-0.0419090931786332</v>
      </c>
      <c r="K115" s="107" t="n">
        <f aca="false">+K112-K111</f>
        <v>0.0617157670146889</v>
      </c>
      <c r="L115" s="107" t="n">
        <f aca="false">+L112-L111</f>
        <v>0.133636186768837</v>
      </c>
      <c r="M115" s="107" t="n">
        <f aca="false">+M112-M111</f>
        <v>0.238894122405448</v>
      </c>
      <c r="N115" s="107" t="n">
        <f aca="false">+N112-N111</f>
        <v>0.0474698640938207</v>
      </c>
      <c r="O115" s="107" t="n">
        <f aca="false">+O112-O111</f>
        <v>0.0359034568038942</v>
      </c>
      <c r="P115" s="107" t="n">
        <f aca="false">+P112-P111</f>
        <v>0.150169774466315</v>
      </c>
      <c r="Q115" s="107" t="n">
        <f aca="false">+Q112-Q111</f>
        <v>0.00599902224939827</v>
      </c>
      <c r="R115" s="107" t="n">
        <f aca="false">+R112-R111</f>
        <v>0.00583344338007074</v>
      </c>
      <c r="S115" s="107" t="n">
        <f aca="false">+S112-S111</f>
        <v>0.053863503169471</v>
      </c>
      <c r="T115" s="107"/>
      <c r="U115" s="107"/>
      <c r="V115" s="107"/>
      <c r="W115" s="107"/>
      <c r="X115" s="107"/>
      <c r="Y115" s="107"/>
      <c r="Z115" s="107" t="n">
        <f aca="false">+Z112-Z111</f>
        <v>-0.303415456326015</v>
      </c>
      <c r="AA115" s="107" t="n">
        <f aca="false">+AA112-AA111</f>
        <v>-0.0232348008333051</v>
      </c>
      <c r="AB115" s="107" t="n">
        <f aca="false">+AB112-AB111</f>
        <v>-0.580555848135409</v>
      </c>
      <c r="AC115" s="107" t="n">
        <f aca="false">+AC112-AC111</f>
        <v>0.149747165293247</v>
      </c>
      <c r="AD115" s="107" t="n">
        <f aca="false">+AD112-AD111</f>
        <v>0.381700942305917</v>
      </c>
      <c r="AE115" s="107" t="n">
        <f aca="false">+AE112-AE111</f>
        <v>0.235865584754793</v>
      </c>
      <c r="AF115" s="107"/>
      <c r="AG115" s="107"/>
      <c r="AH115" s="107"/>
      <c r="AI115" s="107"/>
      <c r="AJ115" s="106"/>
      <c r="AK115" s="106"/>
      <c r="AL115" s="106"/>
      <c r="AM115" s="47"/>
      <c r="AN115" s="47"/>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06"/>
      <c r="BX115" s="106"/>
      <c r="BY115" s="106"/>
      <c r="BZ115" s="106"/>
      <c r="CA115" s="106"/>
      <c r="CB115" s="106"/>
      <c r="CC115" s="106"/>
      <c r="CD115" s="106"/>
      <c r="CE115" s="106"/>
      <c r="CF115" s="106"/>
      <c r="CG115" s="106"/>
      <c r="CH115" s="106"/>
      <c r="CI115" s="106"/>
      <c r="CJ115" s="106"/>
      <c r="CK115" s="106"/>
      <c r="CL115" s="106"/>
      <c r="CM115" s="106"/>
      <c r="CN115" s="106"/>
      <c r="CO115" s="106"/>
      <c r="CP115" s="106"/>
      <c r="CQ115" s="106"/>
      <c r="CR115" s="106"/>
      <c r="CS115" s="106"/>
      <c r="CT115" s="106"/>
      <c r="CU115" s="106"/>
      <c r="CV115" s="106"/>
      <c r="CW115" s="106"/>
      <c r="CX115" s="106"/>
      <c r="CY115" s="106"/>
      <c r="CZ115" s="106"/>
      <c r="DA115" s="106"/>
      <c r="DB115" s="106"/>
      <c r="DC115" s="106"/>
      <c r="DD115" s="106"/>
      <c r="DE115" s="106"/>
      <c r="DF115" s="106"/>
      <c r="DG115" s="106"/>
      <c r="DH115" s="106"/>
      <c r="DI115" s="106"/>
      <c r="DJ115" s="106"/>
      <c r="DK115" s="106"/>
      <c r="DL115" s="106"/>
      <c r="DM115" s="106"/>
      <c r="DN115" s="106"/>
      <c r="DO115" s="106"/>
      <c r="DP115" s="106"/>
      <c r="DQ115" s="106"/>
      <c r="DR115" s="106"/>
      <c r="DS115" s="106"/>
      <c r="DT115" s="106"/>
      <c r="DU115" s="106"/>
      <c r="DV115" s="106"/>
      <c r="DW115" s="106"/>
      <c r="DX115" s="106"/>
      <c r="DY115" s="106"/>
      <c r="DZ115" s="106"/>
      <c r="EA115" s="106"/>
      <c r="EB115" s="106"/>
      <c r="EC115" s="106"/>
      <c r="ED115" s="106"/>
      <c r="EE115" s="106"/>
      <c r="EF115" s="106"/>
      <c r="EG115" s="106"/>
      <c r="EH115" s="106"/>
      <c r="EI115" s="106"/>
      <c r="EJ115" s="106"/>
      <c r="EK115" s="106"/>
      <c r="EL115" s="106"/>
      <c r="EM115" s="106"/>
      <c r="EN115" s="106"/>
      <c r="EO115" s="106"/>
      <c r="EP115" s="106"/>
      <c r="EQ115" s="107"/>
    </row>
    <row r="116" s="1" customFormat="true" ht="12.8"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J116" s="42"/>
      <c r="AK116" s="47"/>
      <c r="AL116" s="47"/>
      <c r="AM116" s="47"/>
      <c r="AN116" s="47"/>
      <c r="AO116" s="47"/>
      <c r="AP116" s="47"/>
      <c r="AQ116" s="47"/>
      <c r="AR116" s="47"/>
      <c r="AS116" s="47"/>
      <c r="AT116" s="47"/>
      <c r="AU116" s="47"/>
      <c r="AV116" s="47"/>
      <c r="AW116" s="47"/>
      <c r="AX116" s="47"/>
      <c r="AY116" s="47"/>
      <c r="AZ116" s="47"/>
      <c r="BA116" s="47"/>
      <c r="BB116" s="47"/>
      <c r="BC116" s="47"/>
      <c r="BD116" s="47"/>
      <c r="BE116" s="47"/>
      <c r="BF116" s="47"/>
      <c r="BG116" s="47"/>
      <c r="BH116" s="47"/>
      <c r="BI116" s="47"/>
      <c r="BJ116" s="47"/>
      <c r="BK116" s="47"/>
      <c r="BL116" s="47"/>
      <c r="BM116" s="47"/>
      <c r="BN116" s="47"/>
      <c r="BO116" s="47"/>
      <c r="BP116" s="47"/>
      <c r="BQ116" s="47"/>
      <c r="BR116" s="47"/>
      <c r="BS116" s="47"/>
      <c r="BT116" s="47"/>
      <c r="BU116" s="47"/>
      <c r="BV116" s="47"/>
      <c r="BW116" s="47"/>
      <c r="BX116" s="47"/>
      <c r="BY116" s="47"/>
      <c r="BZ116" s="47"/>
      <c r="CA116" s="47"/>
      <c r="CB116" s="47"/>
      <c r="CC116" s="47"/>
      <c r="CD116" s="47"/>
      <c r="CE116" s="47"/>
      <c r="CF116" s="47"/>
      <c r="CG116" s="47"/>
      <c r="CH116" s="47"/>
      <c r="CI116" s="47"/>
      <c r="CJ116" s="47"/>
      <c r="CK116" s="47"/>
      <c r="CL116" s="47"/>
      <c r="CM116" s="47"/>
      <c r="CN116" s="47"/>
      <c r="CO116" s="47"/>
      <c r="CP116" s="47"/>
      <c r="CQ116" s="47"/>
      <c r="CR116" s="47"/>
      <c r="CS116" s="47"/>
      <c r="CT116" s="47"/>
      <c r="CU116" s="47"/>
      <c r="CV116" s="47"/>
      <c r="CW116" s="47"/>
      <c r="CX116" s="47"/>
      <c r="CY116" s="47"/>
      <c r="CZ116" s="47"/>
      <c r="DA116" s="47"/>
      <c r="DB116" s="47"/>
      <c r="DC116" s="47"/>
      <c r="DD116" s="47"/>
      <c r="DE116" s="47"/>
      <c r="DF116" s="47"/>
      <c r="DG116" s="47"/>
      <c r="DH116" s="47"/>
      <c r="DI116" s="47"/>
      <c r="DJ116" s="47"/>
      <c r="DK116" s="47"/>
      <c r="DL116" s="47"/>
      <c r="DM116" s="47"/>
      <c r="DN116" s="47"/>
      <c r="DO116" s="47"/>
      <c r="DP116" s="47"/>
      <c r="DQ116" s="47"/>
      <c r="DR116" s="47"/>
      <c r="DS116" s="47"/>
      <c r="DT116" s="47"/>
      <c r="DU116" s="47"/>
      <c r="DV116" s="47"/>
      <c r="DW116" s="47"/>
      <c r="DX116" s="47"/>
      <c r="DY116" s="47"/>
      <c r="DZ116" s="47"/>
      <c r="EA116" s="47"/>
      <c r="EB116" s="47"/>
      <c r="EC116" s="47"/>
      <c r="ED116" s="47"/>
      <c r="EE116" s="47"/>
      <c r="EF116" s="47"/>
      <c r="EG116" s="47"/>
      <c r="EH116" s="47"/>
      <c r="EI116" s="47"/>
      <c r="EJ116" s="47"/>
      <c r="EK116" s="47"/>
      <c r="EL116" s="47"/>
      <c r="EM116" s="47"/>
      <c r="EN116" s="47"/>
      <c r="EO116" s="47"/>
      <c r="EP116" s="47"/>
    </row>
    <row r="117" s="1" customFormat="true" ht="12.8"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J117" s="42"/>
      <c r="AK117" s="47"/>
      <c r="AL117" s="47"/>
      <c r="AM117" s="47"/>
      <c r="AN117" s="47"/>
      <c r="AO117" s="47"/>
      <c r="AP117" s="47" t="s">
        <v>15</v>
      </c>
      <c r="AQ117" s="47" t="n">
        <f aca="false">+AN120</f>
        <v>211792.478420584</v>
      </c>
      <c r="AR117" s="47"/>
      <c r="AS117" s="47"/>
      <c r="AT117" s="47"/>
      <c r="AU117" s="47"/>
      <c r="AV117" s="47"/>
      <c r="AW117" s="47"/>
      <c r="AX117" s="47"/>
      <c r="AY117" s="47"/>
      <c r="AZ117" s="47"/>
      <c r="BA117" s="47"/>
      <c r="BB117" s="47"/>
      <c r="BC117" s="47"/>
      <c r="BD117" s="47"/>
      <c r="BE117" s="47"/>
      <c r="BF117" s="47"/>
      <c r="BG117" s="47"/>
      <c r="BH117" s="47"/>
      <c r="BI117" s="47"/>
      <c r="BJ117" s="47"/>
      <c r="BK117" s="47"/>
      <c r="BL117" s="47"/>
      <c r="BM117" s="47"/>
      <c r="BN117" s="47"/>
      <c r="BO117" s="47"/>
      <c r="BP117" s="47"/>
      <c r="BQ117" s="47"/>
      <c r="BR117" s="47"/>
      <c r="BS117" s="47"/>
      <c r="BT117" s="47"/>
      <c r="BU117" s="47"/>
      <c r="BV117" s="47"/>
      <c r="BW117" s="47"/>
      <c r="BX117" s="47"/>
      <c r="BY117" s="47"/>
      <c r="BZ117" s="47"/>
      <c r="CA117" s="47"/>
      <c r="CB117" s="47"/>
      <c r="CC117" s="47"/>
      <c r="CD117" s="47"/>
      <c r="CE117" s="47"/>
      <c r="CF117" s="47"/>
      <c r="CG117" s="47"/>
      <c r="CH117" s="47"/>
      <c r="CI117" s="47"/>
      <c r="CJ117" s="47"/>
      <c r="CK117" s="47"/>
      <c r="CL117" s="47"/>
      <c r="CM117" s="47"/>
      <c r="CN117" s="47"/>
      <c r="CO117" s="47"/>
      <c r="CP117" s="47"/>
      <c r="CQ117" s="47"/>
      <c r="CR117" s="47"/>
      <c r="CS117" s="47"/>
      <c r="CT117" s="47"/>
      <c r="CU117" s="47"/>
      <c r="CV117" s="47"/>
      <c r="CW117" s="47"/>
      <c r="CX117" s="47"/>
      <c r="CY117" s="47"/>
      <c r="CZ117" s="47"/>
      <c r="DA117" s="47"/>
      <c r="DB117" s="47"/>
      <c r="DC117" s="47"/>
      <c r="DD117" s="47"/>
      <c r="DE117" s="47"/>
      <c r="DF117" s="47"/>
      <c r="DG117" s="47"/>
      <c r="DH117" s="47"/>
      <c r="DI117" s="47"/>
      <c r="DJ117" s="47"/>
      <c r="DK117" s="47"/>
      <c r="DL117" s="47"/>
      <c r="DM117" s="47"/>
      <c r="DN117" s="47"/>
      <c r="DO117" s="47"/>
      <c r="DP117" s="47"/>
      <c r="DQ117" s="47"/>
      <c r="DR117" s="47"/>
      <c r="DS117" s="47"/>
      <c r="DT117" s="47"/>
      <c r="DU117" s="47"/>
      <c r="DV117" s="47"/>
      <c r="DW117" s="47"/>
      <c r="DX117" s="47"/>
      <c r="DY117" s="47"/>
      <c r="DZ117" s="47"/>
      <c r="EA117" s="47"/>
      <c r="EB117" s="47"/>
      <c r="EC117" s="47"/>
      <c r="ED117" s="47"/>
      <c r="EE117" s="47"/>
      <c r="EF117" s="47"/>
      <c r="EG117" s="47"/>
      <c r="EH117" s="47"/>
      <c r="EI117" s="47"/>
      <c r="EJ117" s="47"/>
      <c r="EK117" s="47"/>
      <c r="EL117" s="47"/>
      <c r="EM117" s="47"/>
      <c r="EN117" s="47"/>
      <c r="EO117" s="47"/>
      <c r="EP117" s="47"/>
    </row>
    <row r="118" s="1" customFormat="true" ht="12.8" hidden="false" customHeight="false" outlineLevel="0" collapsed="false">
      <c r="A118" s="42" t="s">
        <v>327</v>
      </c>
      <c r="B118" s="42" t="n">
        <f aca="false">+B77*(1-B106)</f>
        <v>-463.870298313878</v>
      </c>
      <c r="C118" s="42" t="n">
        <f aca="false">+C77*(1-C106)</f>
        <v>-734.479264475743</v>
      </c>
      <c r="D118" s="42" t="n">
        <f aca="false">+D77*(1-D106)</f>
        <v>-519.413265306123</v>
      </c>
      <c r="E118" s="42" t="n">
        <f aca="false">+E77*(1-E106)</f>
        <v>-167.164556962025</v>
      </c>
      <c r="F118" s="42" t="n">
        <f aca="false">+F77*(1-F106)</f>
        <v>-365.812281614186</v>
      </c>
      <c r="G118" s="42" t="n">
        <f aca="false">+G77*(1-G106)</f>
        <v>279.922452559239</v>
      </c>
      <c r="H118" s="42" t="n">
        <f aca="false">+H77*(1-H106)</f>
        <v>483.823288560856</v>
      </c>
      <c r="I118" s="42" t="n">
        <f aca="false">+I77*(1-I106)</f>
        <v>604.946385213176</v>
      </c>
      <c r="J118" s="42" t="n">
        <f aca="false">+J77*(1-J106)</f>
        <v>180.277441770488</v>
      </c>
      <c r="K118" s="42" t="n">
        <f aca="false">+K77*(1-K106)</f>
        <v>754.197874311626</v>
      </c>
      <c r="L118" s="42" t="n">
        <f aca="false">+L77*(1-L106)</f>
        <v>1000.88944666722</v>
      </c>
      <c r="M118" s="42" t="n">
        <f aca="false">+M77*(1-M106)</f>
        <v>5855.12228138136</v>
      </c>
      <c r="N118" s="42" t="n">
        <f aca="false">+N77*(1-N106)</f>
        <v>1584.76950211202</v>
      </c>
      <c r="O118" s="42" t="n">
        <f aca="false">+O77*(1-O106)</f>
        <v>1313.53073849122</v>
      </c>
      <c r="P118" s="42" t="n">
        <f aca="false">+P77*(1-P106)</f>
        <v>2832.70081364757</v>
      </c>
      <c r="Q118" s="42" t="n">
        <f aca="false">+Q77*(1-Q106)</f>
        <v>2017.84879725086</v>
      </c>
      <c r="R118" s="42" t="n">
        <f aca="false">+R77*(1-R106)</f>
        <v>1170.85887096774</v>
      </c>
      <c r="S118" s="42" t="n">
        <f aca="false">+(S77*4)*(1-S106)</f>
        <v>5622.12999694843</v>
      </c>
      <c r="T118" s="42"/>
      <c r="U118" s="42"/>
      <c r="V118" s="42"/>
      <c r="W118" s="42"/>
      <c r="X118" s="42"/>
      <c r="Y118" s="42" t="n">
        <f aca="false">+Y77*(1-Y106)</f>
        <v>-8641.86979722519</v>
      </c>
      <c r="Z118" s="42" t="n">
        <f aca="false">+Z77*(1-Z106)</f>
        <v>-4728.07697619364</v>
      </c>
      <c r="AA118" s="42" t="n">
        <f aca="false">+AA77*(1-AA106)</f>
        <v>-1988.13271891497</v>
      </c>
      <c r="AB118" s="42" t="n">
        <f aca="false">+AB77*(1-AB106)</f>
        <v>-1793.29718948418</v>
      </c>
      <c r="AC118" s="42" t="n">
        <f aca="false">+AC77*(1-AC106)</f>
        <v>1008.4088037113</v>
      </c>
      <c r="AD118" s="42" t="n">
        <f aca="false">+AD77*(1-AD106)</f>
        <v>6706.60338255619</v>
      </c>
      <c r="AE118" s="42" t="n">
        <f aca="false">+AE77*(1-AE106)</f>
        <v>9735.35400448802</v>
      </c>
      <c r="AF118" s="42" t="n">
        <f aca="false">+AF77*(1-AF106)</f>
        <v>9088.48517996625</v>
      </c>
      <c r="AG118" s="42" t="n">
        <f aca="false">+AG77*(1-AG106)</f>
        <v>8966.14018715901</v>
      </c>
      <c r="AH118" s="42" t="n">
        <f aca="false">+AH77*(1-AH106)</f>
        <v>11325.6507627272</v>
      </c>
      <c r="AI118" s="42" t="n">
        <f aca="false">+AI77*(1-AI106)</f>
        <v>14949.8590067998</v>
      </c>
      <c r="AJ118" s="42" t="n">
        <f aca="false">+AJ77*(1-AJ106)</f>
        <v>18918.3670340595</v>
      </c>
      <c r="AK118" s="47"/>
      <c r="AL118" s="47"/>
      <c r="AM118" s="113" t="s">
        <v>310</v>
      </c>
      <c r="AN118" s="114" t="n">
        <v>0.015</v>
      </c>
      <c r="AO118" s="47"/>
      <c r="AP118" s="47" t="s">
        <v>328</v>
      </c>
      <c r="AQ118" s="47" t="n">
        <f aca="false">+Main!E5</f>
        <v>14731</v>
      </c>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25"/>
    </row>
    <row r="119" s="1" customFormat="true" ht="12.8" hidden="false" customHeight="false" outlineLevel="0" collapsed="false">
      <c r="A119" s="47" t="s">
        <v>329</v>
      </c>
      <c r="B119" s="47" t="n">
        <f aca="false">B77+B167</f>
        <v>-228</v>
      </c>
      <c r="C119" s="47" t="n">
        <f aca="false">C77+C167</f>
        <v>-470</v>
      </c>
      <c r="D119" s="47" t="n">
        <f aca="false">D77+D167</f>
        <v>-268</v>
      </c>
      <c r="E119" s="47" t="n">
        <f aca="false">E77+E167</f>
        <v>81</v>
      </c>
      <c r="F119" s="47" t="n">
        <f aca="false">F77+F167</f>
        <v>-54.0490914460502</v>
      </c>
      <c r="G119" s="47" t="n">
        <f aca="false">G77+G167</f>
        <v>534.51470431175</v>
      </c>
      <c r="H119" s="47" t="n">
        <f aca="false">H77+H167</f>
        <v>599.38635904237</v>
      </c>
      <c r="I119" s="47" t="n">
        <f aca="false">I77+I167</f>
        <v>855.40287500652</v>
      </c>
      <c r="J119" s="47" t="n">
        <f aca="false">J77+J167</f>
        <v>366.34004438242</v>
      </c>
      <c r="K119" s="47" t="n">
        <f aca="false">K77+K167</f>
        <v>977.33057134443</v>
      </c>
      <c r="L119" s="47" t="n">
        <f aca="false">L77+L167</f>
        <v>1247.44613607724</v>
      </c>
      <c r="M119" s="47" t="n">
        <f aca="false">M77+L167</f>
        <v>956.45783140762</v>
      </c>
      <c r="N119" s="47" t="n">
        <f aca="false">N77+N167</f>
        <v>1406.32837545794</v>
      </c>
      <c r="O119" s="47" t="n">
        <f aca="false">O77+O167</f>
        <v>1631.43380436374</v>
      </c>
      <c r="P119" s="47" t="n">
        <f aca="false">P77+P167</f>
        <v>1308.48882865999</v>
      </c>
      <c r="Q119" s="47" t="n">
        <f aca="false">Q77+Q167</f>
        <v>1967</v>
      </c>
      <c r="R119" s="47" t="n">
        <f aca="false">R77+R167</f>
        <v>2114</v>
      </c>
      <c r="S119" s="47" t="n">
        <f aca="false">S77+S167</f>
        <v>2085</v>
      </c>
      <c r="T119" s="47"/>
      <c r="U119" s="47"/>
      <c r="V119" s="47"/>
      <c r="W119" s="47"/>
      <c r="X119" s="47"/>
      <c r="Y119" s="47" t="n">
        <f aca="false">Y77+Y167</f>
        <v>-8124</v>
      </c>
      <c r="Z119" s="47" t="n">
        <f aca="false">Z77+Z167</f>
        <v>-4287.49490240048</v>
      </c>
      <c r="AA119" s="47" t="n">
        <f aca="false">AA77+AA167</f>
        <v>-2929.60739587622</v>
      </c>
      <c r="AB119" s="47" t="n">
        <f aca="false">AB77+AB167</f>
        <v>-881.420231523698</v>
      </c>
      <c r="AC119" s="47" t="n">
        <f aca="false">AC77+AC167</f>
        <v>1933.28817564525</v>
      </c>
      <c r="AD119" s="47" t="n">
        <f aca="false">AD77+AD167</f>
        <v>3536.37182716581</v>
      </c>
      <c r="AE119" s="47" t="n">
        <f aca="false">AE77+AE167</f>
        <v>6312.42891464198</v>
      </c>
      <c r="AF119" s="47" t="n">
        <f aca="false">AF77+AF167</f>
        <v>17477.8561153197</v>
      </c>
      <c r="AG119" s="47" t="n">
        <f aca="false">AG77+AG167</f>
        <v>19924.7559714645</v>
      </c>
      <c r="AH119" s="47" t="n">
        <f aca="false">AH77+AH167</f>
        <v>20973.4273383836</v>
      </c>
      <c r="AI119" s="47" t="n">
        <f aca="false">AI77+AI167</f>
        <v>21644.5770132119</v>
      </c>
      <c r="AJ119" s="47" t="n">
        <f aca="false">AJ77+AJ167</f>
        <v>27785.5965378906</v>
      </c>
      <c r="AK119" s="47"/>
      <c r="AL119" s="47"/>
      <c r="AM119" s="103" t="s">
        <v>312</v>
      </c>
      <c r="AN119" s="104" t="n">
        <f aca="false">+Main!G12</f>
        <v>0.104054523303559</v>
      </c>
      <c r="AO119" s="47"/>
      <c r="AP119" s="115" t="s">
        <v>330</v>
      </c>
      <c r="AQ119" s="115" t="n">
        <f aca="false">+Main!E4</f>
        <v>9987</v>
      </c>
      <c r="AR119" s="47"/>
      <c r="AS119" s="47"/>
      <c r="AT119" s="47"/>
      <c r="AU119" s="47"/>
      <c r="AV119" s="47"/>
      <c r="AW119" s="47"/>
      <c r="AX119" s="47"/>
      <c r="AY119" s="47"/>
      <c r="AZ119" s="47"/>
      <c r="BA119" s="47"/>
      <c r="BB119" s="47"/>
      <c r="BC119" s="47"/>
      <c r="BD119" s="47"/>
      <c r="BE119" s="47"/>
      <c r="BF119" s="47"/>
      <c r="BG119" s="47"/>
      <c r="BH119" s="47"/>
      <c r="BI119" s="47"/>
      <c r="BJ119" s="47"/>
      <c r="BK119" s="47"/>
      <c r="BL119" s="47"/>
      <c r="BM119" s="47"/>
      <c r="BN119" s="47"/>
      <c r="BO119" s="47"/>
      <c r="BP119" s="47"/>
      <c r="BQ119" s="47"/>
      <c r="BR119" s="47"/>
      <c r="BS119" s="47"/>
      <c r="BT119" s="47"/>
      <c r="BU119" s="47"/>
      <c r="BV119" s="47"/>
      <c r="BW119" s="47"/>
      <c r="BX119" s="47"/>
      <c r="BY119" s="47"/>
      <c r="BZ119" s="47"/>
      <c r="CA119" s="47"/>
      <c r="CB119" s="47"/>
      <c r="CC119" s="47"/>
      <c r="CD119" s="47"/>
      <c r="CE119" s="47"/>
      <c r="CF119" s="47"/>
      <c r="CG119" s="47"/>
      <c r="CH119" s="47"/>
      <c r="CI119" s="47"/>
      <c r="CJ119" s="47"/>
      <c r="CK119" s="47"/>
      <c r="CL119" s="47"/>
      <c r="CM119" s="47"/>
      <c r="CN119" s="47"/>
      <c r="CO119" s="47"/>
      <c r="CP119" s="47"/>
      <c r="CQ119" s="47"/>
      <c r="CR119" s="47"/>
      <c r="CS119" s="47"/>
      <c r="CT119" s="47"/>
      <c r="CU119" s="47"/>
      <c r="CV119" s="47"/>
      <c r="CW119" s="47"/>
      <c r="CX119" s="47"/>
      <c r="CY119" s="47"/>
      <c r="CZ119" s="47"/>
      <c r="DA119" s="47"/>
      <c r="DB119" s="47"/>
      <c r="DC119" s="47"/>
      <c r="DD119" s="47"/>
      <c r="DE119" s="47"/>
      <c r="DF119" s="47"/>
      <c r="DG119" s="47"/>
      <c r="DH119" s="47"/>
      <c r="DI119" s="47"/>
      <c r="DJ119" s="47"/>
      <c r="DK119" s="47"/>
      <c r="DL119" s="47"/>
      <c r="DM119" s="47"/>
      <c r="DN119" s="47"/>
      <c r="DO119" s="47"/>
      <c r="DP119" s="47"/>
      <c r="DQ119" s="47"/>
      <c r="DR119" s="47"/>
      <c r="DS119" s="47"/>
      <c r="DT119" s="47"/>
      <c r="DU119" s="47"/>
      <c r="DV119" s="47"/>
      <c r="DW119" s="47"/>
      <c r="DX119" s="47"/>
      <c r="DY119" s="47"/>
      <c r="DZ119" s="47"/>
      <c r="EA119" s="47"/>
      <c r="EB119" s="47"/>
      <c r="EC119" s="47"/>
      <c r="ED119" s="47"/>
      <c r="EE119" s="47"/>
      <c r="EF119" s="47"/>
      <c r="EG119" s="47"/>
      <c r="EH119" s="47"/>
      <c r="EI119" s="47"/>
      <c r="EJ119" s="47"/>
      <c r="EK119" s="47"/>
      <c r="EL119" s="47"/>
      <c r="EM119" s="47"/>
      <c r="EN119" s="47"/>
      <c r="EO119" s="47"/>
      <c r="EP119" s="47"/>
      <c r="EQ119" s="25"/>
    </row>
    <row r="120" s="1" customFormat="true" ht="12.8" hidden="false" customHeight="false" outlineLevel="0" collapsed="false">
      <c r="A120" s="47" t="s">
        <v>331</v>
      </c>
      <c r="B120" s="47" t="n">
        <v>168</v>
      </c>
      <c r="C120" s="47" t="n">
        <v>364</v>
      </c>
      <c r="D120" s="47" t="n">
        <v>516</v>
      </c>
      <c r="E120" s="47" t="n">
        <v>665</v>
      </c>
      <c r="F120" s="47" t="n">
        <v>761</v>
      </c>
      <c r="G120" s="47" t="n">
        <v>916</v>
      </c>
      <c r="H120" s="47" t="n">
        <v>1092</v>
      </c>
      <c r="I120" s="47" t="n">
        <v>1283</v>
      </c>
      <c r="J120" s="47" t="n">
        <v>1382</v>
      </c>
      <c r="K120" s="47" t="n">
        <v>1570</v>
      </c>
      <c r="L120" s="47" t="n">
        <v>1690</v>
      </c>
      <c r="M120" s="47" t="n">
        <v>1842</v>
      </c>
      <c r="N120" s="47" t="n">
        <v>1868</v>
      </c>
      <c r="O120" s="47" t="n">
        <v>2119</v>
      </c>
      <c r="P120" s="47" t="n">
        <v>2256</v>
      </c>
      <c r="Q120" s="47" t="n">
        <v>2487</v>
      </c>
      <c r="R120" s="47" t="n">
        <v>2481</v>
      </c>
      <c r="S120" s="47" t="n">
        <v>2819</v>
      </c>
      <c r="T120" s="47"/>
      <c r="U120" s="47"/>
      <c r="V120" s="47"/>
      <c r="W120" s="47"/>
      <c r="X120" s="47"/>
      <c r="Y120" s="47" t="n">
        <v>-2725</v>
      </c>
      <c r="Z120" s="47" t="n">
        <v>-2528</v>
      </c>
      <c r="AA120" s="47" t="n">
        <v>-774</v>
      </c>
      <c r="AB120" s="47" t="n">
        <v>1713</v>
      </c>
      <c r="AC120" s="47" t="n">
        <v>4052</v>
      </c>
      <c r="AD120" s="47" t="n">
        <v>6484</v>
      </c>
      <c r="AE120" s="47" t="n">
        <v>8730</v>
      </c>
      <c r="AF120" s="47"/>
      <c r="AG120" s="47"/>
      <c r="AH120" s="47"/>
      <c r="AI120" s="47"/>
      <c r="AJ120" s="47"/>
      <c r="AK120" s="47"/>
      <c r="AL120" s="42"/>
      <c r="AM120" s="101" t="s">
        <v>15</v>
      </c>
      <c r="AN120" s="105" t="n">
        <f aca="false">+NPV(AN119,AF122:AI122,AJ122+AN121)</f>
        <v>211792.478420584</v>
      </c>
      <c r="AO120" s="47"/>
      <c r="AP120" s="47" t="s">
        <v>315</v>
      </c>
      <c r="AQ120" s="47" t="n">
        <f aca="false">+AQ117-AQ118+AQ119</f>
        <v>207048.478420584</v>
      </c>
      <c r="AR120" s="47"/>
      <c r="AS120" s="47"/>
      <c r="AT120" s="47"/>
      <c r="AU120" s="47"/>
      <c r="AV120" s="47"/>
      <c r="AW120" s="47"/>
      <c r="AX120" s="47"/>
      <c r="AY120" s="47"/>
      <c r="AZ120" s="47"/>
      <c r="BA120" s="47"/>
      <c r="BB120" s="47"/>
      <c r="BC120" s="47"/>
      <c r="BD120" s="47"/>
      <c r="BE120" s="47"/>
      <c r="BF120" s="47"/>
      <c r="BG120" s="47"/>
      <c r="BH120" s="47"/>
      <c r="BI120" s="47"/>
      <c r="BJ120" s="47"/>
      <c r="BK120" s="47"/>
      <c r="BL120" s="47"/>
      <c r="BM120" s="47"/>
      <c r="BN120" s="47"/>
      <c r="BO120" s="47"/>
      <c r="BP120" s="47"/>
      <c r="BQ120" s="47"/>
      <c r="BR120" s="47"/>
      <c r="BS120" s="47"/>
      <c r="BT120" s="47"/>
      <c r="BU120" s="47"/>
      <c r="BV120" s="47"/>
      <c r="BW120" s="47"/>
      <c r="BX120" s="47"/>
      <c r="BY120" s="47"/>
      <c r="BZ120" s="47"/>
      <c r="CA120" s="47"/>
      <c r="CB120" s="47"/>
      <c r="CC120" s="47"/>
      <c r="CD120" s="47"/>
      <c r="CE120" s="47"/>
      <c r="CF120" s="47"/>
      <c r="CG120" s="47"/>
      <c r="CH120" s="47"/>
      <c r="CI120" s="47"/>
      <c r="CJ120" s="47"/>
      <c r="CK120" s="47"/>
      <c r="CL120" s="47"/>
      <c r="CM120" s="47"/>
      <c r="CN120" s="47"/>
      <c r="CO120" s="47"/>
      <c r="CP120" s="47"/>
      <c r="CQ120" s="47"/>
      <c r="CR120" s="47"/>
      <c r="CS120" s="47"/>
      <c r="CT120" s="47"/>
      <c r="CU120" s="47"/>
      <c r="CV120" s="47"/>
      <c r="CW120" s="47"/>
      <c r="CX120" s="47"/>
      <c r="CY120" s="47"/>
      <c r="CZ120" s="47"/>
      <c r="DA120" s="47"/>
      <c r="DB120" s="47"/>
      <c r="DC120" s="47"/>
      <c r="DD120" s="47"/>
      <c r="DE120" s="47"/>
      <c r="DF120" s="47"/>
      <c r="DG120" s="47"/>
      <c r="DH120" s="47"/>
      <c r="DI120" s="47"/>
      <c r="DJ120" s="47"/>
      <c r="DK120" s="47"/>
      <c r="DL120" s="47"/>
      <c r="DM120" s="47"/>
      <c r="DN120" s="47"/>
      <c r="DO120" s="47"/>
      <c r="DP120" s="47"/>
      <c r="DQ120" s="47"/>
      <c r="DR120" s="47"/>
      <c r="DS120" s="47"/>
      <c r="DT120" s="47"/>
      <c r="DU120" s="47"/>
      <c r="DV120" s="47"/>
      <c r="DW120" s="47"/>
      <c r="DX120" s="47"/>
      <c r="DY120" s="47"/>
      <c r="DZ120" s="47"/>
      <c r="EA120" s="47"/>
      <c r="EB120" s="47"/>
      <c r="EC120" s="47"/>
      <c r="ED120" s="47"/>
      <c r="EE120" s="47"/>
      <c r="EF120" s="47"/>
      <c r="EG120" s="47"/>
      <c r="EH120" s="47"/>
      <c r="EI120" s="47"/>
      <c r="EJ120" s="47"/>
      <c r="EK120" s="47"/>
      <c r="EL120" s="47"/>
      <c r="EM120" s="47"/>
      <c r="EN120" s="47"/>
      <c r="EO120" s="47"/>
      <c r="EP120" s="47"/>
      <c r="EQ120" s="25"/>
    </row>
    <row r="121" s="1" customFormat="true" ht="12.8" hidden="false" customHeight="false" outlineLevel="0" collapsed="false">
      <c r="A121" s="47" t="s">
        <v>332</v>
      </c>
      <c r="B121" s="47" t="n">
        <f aca="false">B144-B154-B160</f>
        <v>9613</v>
      </c>
      <c r="C121" s="47" t="n">
        <f aca="false">C144-C154-C160</f>
        <v>7369</v>
      </c>
      <c r="D121" s="47" t="n">
        <f aca="false">D144-D154-D160</f>
        <v>6677</v>
      </c>
      <c r="E121" s="47" t="n">
        <f aca="false">E144-E154-E160</f>
        <v>8074</v>
      </c>
      <c r="F121" s="47" t="n">
        <f aca="false">F144-F154-F160</f>
        <v>8253</v>
      </c>
      <c r="G121" s="47" t="n">
        <f aca="false">G144-G154-G160</f>
        <v>9420</v>
      </c>
      <c r="H121" s="47" t="n">
        <f aca="false">H144-H154-H160</f>
        <v>10125</v>
      </c>
      <c r="I121" s="47" t="n">
        <f aca="false">I144-I154-I160</f>
        <v>12028</v>
      </c>
      <c r="J121" s="47" t="n">
        <f aca="false">J144-J154-J160</f>
        <v>11848</v>
      </c>
      <c r="K121" s="47" t="n">
        <f aca="false">K144-K154-K160</f>
        <v>13152</v>
      </c>
      <c r="L121" s="47" t="n">
        <f aca="false">L144-L154-L160</f>
        <v>15593</v>
      </c>
      <c r="M121" s="47" t="n">
        <f aca="false">M144-M154-M160</f>
        <v>22383</v>
      </c>
      <c r="N121" s="47" t="n">
        <f aca="false">N144-N154-N160</f>
        <v>22812</v>
      </c>
      <c r="O121" s="47" t="n">
        <f aca="false">O144-O154-O160</f>
        <v>23447</v>
      </c>
      <c r="P121" s="47" t="n">
        <f aca="false">P144-P154-P160</f>
        <v>28997</v>
      </c>
      <c r="Q121" s="47" t="n">
        <f aca="false">Q144-Q154-Q160</f>
        <v>27918</v>
      </c>
      <c r="R121" s="47" t="n">
        <f aca="false">R144-R154-R160</f>
        <v>25641</v>
      </c>
      <c r="S121" s="47" t="n">
        <f aca="false">S144-S154-S160</f>
        <v>27496</v>
      </c>
      <c r="T121" s="47"/>
      <c r="U121" s="47"/>
      <c r="V121" s="47"/>
      <c r="W121" s="47"/>
      <c r="X121" s="47"/>
      <c r="Y121" s="47" t="n">
        <f aca="false">Y144-Y154-Y160</f>
        <v>14871.6264932495</v>
      </c>
      <c r="Z121" s="47" t="n">
        <f aca="false">Z144-Z154-Z160</f>
        <v>12966.4123616855</v>
      </c>
      <c r="AA121" s="47" t="n">
        <f aca="false">AA144-AA154-AA160</f>
        <v>15144.5726738712</v>
      </c>
      <c r="AB121" s="47" t="n">
        <f aca="false">AB144-AB154-AB160</f>
        <v>8073.77318480239</v>
      </c>
      <c r="AC121" s="47" t="n">
        <f aca="false">AC144-AC154-AC160</f>
        <v>12027.8004897265</v>
      </c>
      <c r="AD121" s="47" t="n">
        <f aca="false">AD144-AD154-AD160</f>
        <v>22382.78393925</v>
      </c>
      <c r="AE121" s="47" t="n">
        <f aca="false">AE144-AE154-AE160</f>
        <v>27917.8145237048</v>
      </c>
      <c r="AF121" s="47"/>
      <c r="AG121" s="47"/>
      <c r="AH121" s="47"/>
      <c r="AI121" s="47"/>
      <c r="AJ121" s="47"/>
      <c r="AK121" s="42"/>
      <c r="AL121" s="44"/>
      <c r="AM121" s="103" t="s">
        <v>333</v>
      </c>
      <c r="AN121" s="108" t="n">
        <f aca="false">+AJ122*(1+AN118)/(AN119-AN118)</f>
        <v>246505.081764533</v>
      </c>
      <c r="AO121" s="42" t="n">
        <f aca="false">+AJ119*10</f>
        <v>277855.965378906</v>
      </c>
      <c r="AP121" s="116" t="s">
        <v>303</v>
      </c>
      <c r="AQ121" s="116" t="n">
        <f aca="false">+Main!E2</f>
        <v>2042.560121</v>
      </c>
      <c r="AR121" s="42"/>
      <c r="AS121" s="42"/>
      <c r="AT121" s="42"/>
      <c r="AU121" s="42"/>
      <c r="AV121" s="42"/>
      <c r="AW121" s="42"/>
      <c r="AX121" s="42"/>
      <c r="AY121" s="42"/>
      <c r="AZ121" s="42"/>
      <c r="BA121" s="42"/>
      <c r="BB121" s="42"/>
      <c r="BC121" s="42"/>
      <c r="BD121" s="42"/>
      <c r="BE121" s="42"/>
      <c r="BF121" s="42"/>
      <c r="BG121" s="42"/>
      <c r="BH121" s="42"/>
      <c r="BI121" s="42"/>
      <c r="BJ121" s="42"/>
      <c r="BK121" s="42"/>
      <c r="BL121" s="42"/>
      <c r="BM121" s="42"/>
      <c r="BN121" s="42"/>
      <c r="BO121" s="42"/>
      <c r="BP121" s="42"/>
      <c r="BQ121" s="42"/>
      <c r="BR121" s="42"/>
      <c r="BS121" s="42"/>
      <c r="BT121" s="42"/>
      <c r="BU121" s="42"/>
      <c r="BV121" s="42"/>
      <c r="BW121" s="42"/>
      <c r="BX121" s="42"/>
      <c r="BY121" s="42"/>
      <c r="BZ121" s="42"/>
      <c r="CA121" s="42"/>
      <c r="CB121" s="42"/>
      <c r="CC121" s="42"/>
      <c r="CD121" s="42"/>
      <c r="CE121" s="42"/>
      <c r="CF121" s="42"/>
      <c r="CG121" s="42"/>
      <c r="CH121" s="42"/>
      <c r="CI121" s="42"/>
      <c r="CJ121" s="42"/>
      <c r="CK121" s="42"/>
      <c r="CL121" s="42"/>
      <c r="CM121" s="42"/>
      <c r="CN121" s="42"/>
      <c r="CO121" s="42"/>
      <c r="CP121" s="42"/>
      <c r="CQ121" s="42"/>
      <c r="CR121" s="42"/>
      <c r="CS121" s="42"/>
      <c r="CT121" s="42"/>
      <c r="CU121" s="42"/>
      <c r="CV121" s="42"/>
      <c r="CW121" s="42"/>
      <c r="CX121" s="42"/>
      <c r="CY121" s="42"/>
      <c r="CZ121" s="42"/>
      <c r="DA121" s="42"/>
      <c r="DB121" s="42"/>
      <c r="DC121" s="42"/>
      <c r="DD121" s="42"/>
      <c r="DE121" s="42"/>
      <c r="DF121" s="42"/>
      <c r="DG121" s="42"/>
      <c r="DH121" s="42"/>
      <c r="DI121" s="42"/>
      <c r="DJ121" s="42"/>
      <c r="DK121" s="42"/>
      <c r="DL121" s="42"/>
      <c r="DM121" s="42"/>
      <c r="DN121" s="42"/>
      <c r="DO121" s="42"/>
      <c r="DP121" s="42"/>
      <c r="DQ121" s="42"/>
      <c r="DR121" s="42"/>
      <c r="DS121" s="42"/>
      <c r="DT121" s="42"/>
      <c r="DU121" s="42"/>
      <c r="DV121" s="42"/>
      <c r="DW121" s="42"/>
      <c r="DX121" s="42"/>
      <c r="DY121" s="42"/>
      <c r="DZ121" s="42"/>
      <c r="EA121" s="42"/>
      <c r="EB121" s="42"/>
      <c r="EC121" s="42"/>
      <c r="ED121" s="42"/>
      <c r="EE121" s="42"/>
      <c r="EF121" s="42"/>
      <c r="EG121" s="42"/>
      <c r="EH121" s="42"/>
      <c r="EI121" s="42"/>
      <c r="EJ121" s="42"/>
      <c r="EK121" s="42"/>
      <c r="EL121" s="42"/>
      <c r="EM121" s="42"/>
      <c r="EN121" s="42"/>
      <c r="EO121" s="42"/>
      <c r="EP121" s="42"/>
      <c r="EQ121" s="25"/>
    </row>
    <row r="122" s="1" customFormat="true" ht="12.8" hidden="false" customHeight="false" outlineLevel="0" collapsed="false">
      <c r="A122" s="47" t="s">
        <v>334</v>
      </c>
      <c r="B122" s="47"/>
      <c r="C122" s="47" t="n">
        <f aca="false">+C118+C167-C183-(C110-B110)</f>
        <v>-583.479264475743</v>
      </c>
      <c r="D122" s="47" t="n">
        <f aca="false">+D118+D167-D183-(D110-C110)</f>
        <v>-411.413265306123</v>
      </c>
      <c r="E122" s="47" t="n">
        <f aca="false">+E118+E167-E183-(E110-D110)</f>
        <v>-360.164556962025</v>
      </c>
      <c r="F122" s="47" t="n">
        <f aca="false">+F118+F167-F183-(F110-E110)</f>
        <v>-23.8122816141855</v>
      </c>
      <c r="G122" s="47" t="n">
        <f aca="false">+G118+G167-G183-(G110-F110)</f>
        <v>414.922452559239</v>
      </c>
      <c r="H122" s="47" t="n">
        <f aca="false">+H118+H167-H183-(H110-G110)</f>
        <v>308.823288560856</v>
      </c>
      <c r="I122" s="47" t="n">
        <f aca="false">+I118+I167-I183-(I110-H110)</f>
        <v>339.946385213176</v>
      </c>
      <c r="J122" s="47" t="n">
        <f aca="false">+J118+J167-J183-(J110-I110)</f>
        <v>56.2774417704883</v>
      </c>
      <c r="K122" s="47" t="n">
        <f aca="false">+K118+K167-K183-(K110-J110)</f>
        <v>680.197874311626</v>
      </c>
      <c r="L122" s="47" t="n">
        <f aca="false">+L118+L167-L183-(L110-K110)</f>
        <v>1258.88944666722</v>
      </c>
      <c r="M122" s="47" t="n">
        <f aca="false">+M118+M167-M183-(M110-L110)</f>
        <v>6429.12228138136</v>
      </c>
      <c r="N122" s="47" t="n">
        <f aca="false">+N118+N167-N183-(N110-M110)</f>
        <v>1547.76950211202</v>
      </c>
      <c r="O122" s="47" t="n">
        <f aca="false">+O118+O167-O183-(O110-N110)</f>
        <v>1274.53073849122</v>
      </c>
      <c r="P122" s="47" t="n">
        <f aca="false">+P118+P167-P183-(P110-O110)</f>
        <v>3022.70081364757</v>
      </c>
      <c r="Q122" s="47" t="n">
        <f aca="false">+Q118+Q167-Q183-(Q110-P110)</f>
        <v>1975.84879725086</v>
      </c>
      <c r="R122" s="47" t="n">
        <f aca="false">+R118+R167-R183-(R110-Q110)</f>
        <v>1404.85887096774</v>
      </c>
      <c r="S122" s="47" t="n">
        <f aca="false">+S118+S167-S183-(S110-R110)</f>
        <v>5521.12999694843</v>
      </c>
      <c r="T122" s="47"/>
      <c r="U122" s="47"/>
      <c r="V122" s="47"/>
      <c r="W122" s="47"/>
      <c r="X122" s="47"/>
      <c r="Y122" s="47"/>
      <c r="Z122" s="47" t="n">
        <f aca="false">+Z118+Z167-Z183-(Z110-Y110)</f>
        <v>-5199.07697619364</v>
      </c>
      <c r="AA122" s="47" t="n">
        <f aca="false">+AA118+AA167-AA183-(AA110-Z110)</f>
        <v>-985.132718914972</v>
      </c>
      <c r="AB122" s="47" t="n">
        <f aca="false">+AB118+AB167-AB183-(AB110-AA110)</f>
        <v>-1448.29718948418</v>
      </c>
      <c r="AC122" s="47" t="n">
        <f aca="false">+AC118+AC167-AC183-(AC110-AB110)</f>
        <v>604.4088037113</v>
      </c>
      <c r="AD122" s="47" t="n">
        <f aca="false">+AD118+AD167-AD183-(AD110-AC110)</f>
        <v>7951.60338255619</v>
      </c>
      <c r="AE122" s="47" t="n">
        <f aca="false">+AE118+AE167-AE183-(AE110-AD110)</f>
        <v>10484.354004488</v>
      </c>
      <c r="AF122" s="47" t="n">
        <f aca="false">+AF118+AF167-AF183-(AF110-AE110)</f>
        <v>18267.7165490537</v>
      </c>
      <c r="AG122" s="47" t="n">
        <f aca="false">+AG118+AG167-AG183-(AG110-AF110)</f>
        <v>9003.51478932186</v>
      </c>
      <c r="AH122" s="47" t="n">
        <f aca="false">+AH118+AH167-AH183-(AH110-AG110)</f>
        <v>17532.4444878443</v>
      </c>
      <c r="AI122" s="47" t="n">
        <f aca="false">+AI118+AI167-AI183-(AI110-AH110)</f>
        <v>16904.6973576267</v>
      </c>
      <c r="AJ122" s="47" t="n">
        <f aca="false">+AJ118+AJ167-AJ183-(AJ110-AI110)</f>
        <v>21627.9729541333</v>
      </c>
      <c r="AK122" s="42"/>
      <c r="AL122" s="44"/>
      <c r="AM122" s="117" t="s">
        <v>321</v>
      </c>
      <c r="AN122" s="118" t="n">
        <f aca="false">+AN120/Main!E7-1</f>
        <v>0.282450645188961</v>
      </c>
      <c r="AO122" s="42"/>
      <c r="AP122" s="42" t="s">
        <v>1</v>
      </c>
      <c r="AQ122" s="42" t="n">
        <f aca="false">+AQ120/AQ121</f>
        <v>101.367140331329</v>
      </c>
      <c r="AR122" s="42"/>
      <c r="AS122" s="42"/>
      <c r="AT122" s="42"/>
      <c r="AU122" s="42"/>
      <c r="AV122" s="42"/>
      <c r="AW122" s="42"/>
      <c r="AX122" s="42"/>
      <c r="AY122" s="42"/>
      <c r="AZ122" s="42"/>
      <c r="BA122" s="42"/>
      <c r="BB122" s="42"/>
      <c r="BC122" s="42"/>
      <c r="BD122" s="42"/>
      <c r="BE122" s="42"/>
      <c r="BF122" s="42"/>
      <c r="BG122" s="42"/>
      <c r="BH122" s="42"/>
      <c r="BI122" s="42"/>
      <c r="BJ122" s="42"/>
      <c r="BK122" s="42"/>
      <c r="BL122" s="42"/>
      <c r="BM122" s="42"/>
      <c r="BN122" s="42"/>
      <c r="BO122" s="42"/>
      <c r="BP122" s="42"/>
      <c r="BQ122" s="42"/>
      <c r="BR122" s="42"/>
      <c r="BS122" s="42"/>
      <c r="BT122" s="42"/>
      <c r="BU122" s="42"/>
      <c r="BV122" s="42"/>
      <c r="BW122" s="42"/>
      <c r="BX122" s="42"/>
      <c r="BY122" s="42"/>
      <c r="BZ122" s="42"/>
      <c r="CA122" s="42"/>
      <c r="CB122" s="42"/>
      <c r="CC122" s="42"/>
      <c r="CD122" s="42"/>
      <c r="CE122" s="42"/>
      <c r="CF122" s="42"/>
      <c r="CG122" s="42"/>
      <c r="CH122" s="42"/>
      <c r="CI122" s="42"/>
      <c r="CJ122" s="42"/>
      <c r="CK122" s="42"/>
      <c r="CL122" s="42"/>
      <c r="CM122" s="42"/>
      <c r="CN122" s="42"/>
      <c r="CO122" s="42"/>
      <c r="CP122" s="42"/>
      <c r="CQ122" s="42"/>
      <c r="CR122" s="42"/>
      <c r="CS122" s="42"/>
      <c r="CT122" s="42"/>
      <c r="CU122" s="42"/>
      <c r="CV122" s="42"/>
      <c r="CW122" s="42"/>
      <c r="CX122" s="42"/>
      <c r="CY122" s="42"/>
      <c r="CZ122" s="42"/>
      <c r="DA122" s="42"/>
      <c r="DB122" s="42"/>
      <c r="DC122" s="42"/>
      <c r="DD122" s="42"/>
      <c r="DE122" s="42"/>
      <c r="DF122" s="42"/>
      <c r="DG122" s="42"/>
      <c r="DH122" s="42"/>
      <c r="DI122" s="42"/>
      <c r="DJ122" s="42"/>
      <c r="DK122" s="42"/>
      <c r="DL122" s="42"/>
      <c r="DM122" s="42"/>
      <c r="DN122" s="42"/>
      <c r="DO122" s="42"/>
      <c r="DP122" s="42"/>
      <c r="DQ122" s="42"/>
      <c r="DR122" s="42"/>
      <c r="DS122" s="42"/>
      <c r="DT122" s="42"/>
      <c r="DU122" s="42"/>
      <c r="DV122" s="42"/>
      <c r="DW122" s="42"/>
      <c r="DX122" s="42"/>
      <c r="DY122" s="42"/>
      <c r="DZ122" s="42"/>
      <c r="EA122" s="42"/>
      <c r="EB122" s="42"/>
      <c r="EC122" s="42"/>
      <c r="ED122" s="42"/>
      <c r="EE122" s="42"/>
      <c r="EF122" s="42"/>
      <c r="EG122" s="42"/>
      <c r="EH122" s="42"/>
      <c r="EI122" s="42"/>
      <c r="EJ122" s="42"/>
      <c r="EK122" s="42"/>
      <c r="EL122" s="42"/>
      <c r="EM122" s="42"/>
      <c r="EN122" s="42"/>
      <c r="EO122" s="42"/>
      <c r="EP122" s="42"/>
      <c r="EQ122" s="25"/>
    </row>
    <row r="123" s="1" customFormat="true" ht="12.8" hidden="false" customHeight="false" outlineLevel="0" collapsed="false">
      <c r="A123" s="47" t="s">
        <v>335</v>
      </c>
      <c r="B123" s="47" t="n">
        <f aca="false">+B110+B138+B139+B140+B141</f>
        <v>15610</v>
      </c>
      <c r="C123" s="47" t="n">
        <f aca="false">+C110+C138+C139+C140+C141</f>
        <v>15472</v>
      </c>
      <c r="D123" s="47" t="n">
        <f aca="false">+D110+D138+D139+D140+D141</f>
        <v>16235</v>
      </c>
      <c r="E123" s="47" t="n">
        <f aca="false">+E110+E138+E139+E140+E141</f>
        <v>15719</v>
      </c>
      <c r="F123" s="47" t="n">
        <f aca="false">+F110+F138+F139+F140+F141</f>
        <v>15287</v>
      </c>
      <c r="G123" s="47" t="n">
        <f aca="false">+G110+G138+G139+G140+G141</f>
        <v>15051</v>
      </c>
      <c r="H123" s="47" t="n">
        <f aca="false">+H110+H138+H139+H140+H141</f>
        <v>15211</v>
      </c>
      <c r="I123" s="47" t="n">
        <f aca="false">+I110+I138+I139+I140+I141</f>
        <v>15504</v>
      </c>
      <c r="J123" s="47" t="n">
        <f aca="false">+J110+J138+J139+J140+J141</f>
        <v>15548</v>
      </c>
      <c r="K123" s="47" t="n">
        <f aca="false">+K110+K138+K139+K140+K141</f>
        <v>15594</v>
      </c>
      <c r="L123" s="47" t="n">
        <f aca="false">+L110+L138+L139+L140+L141</f>
        <v>15367</v>
      </c>
      <c r="M123" s="47" t="n">
        <f aca="false">+M110+M138+M139+M140+M141</f>
        <v>14776</v>
      </c>
      <c r="N123" s="47" t="n">
        <f aca="false">+N110+N138+N139+N140+N141</f>
        <v>14853</v>
      </c>
      <c r="O123" s="47" t="n">
        <f aca="false">+O110+O138+O139+O140+O141</f>
        <v>15942</v>
      </c>
      <c r="P123" s="47" t="n">
        <f aca="false">+P110+P138+P139+P140+P141</f>
        <v>15731</v>
      </c>
      <c r="Q123" s="47" t="n">
        <f aca="false">+Q110+Q138+Q139+Q140+Q141</f>
        <v>15804</v>
      </c>
      <c r="R123" s="47" t="n">
        <f aca="false">+R110+R138+R139+R140+R141</f>
        <v>15915</v>
      </c>
      <c r="S123" s="47" t="n">
        <f aca="false">+S110+S138+S139+S140+S141</f>
        <v>16903</v>
      </c>
      <c r="T123" s="47"/>
      <c r="U123" s="47"/>
      <c r="V123" s="47"/>
      <c r="W123" s="47"/>
      <c r="X123" s="47"/>
      <c r="Y123" s="47" t="n">
        <f aca="false">+Y110+Y138+Y139+Y140+Y141</f>
        <v>5123</v>
      </c>
      <c r="Z123" s="47" t="n">
        <f aca="false">+Z110+Z138+Z139+Z140+Z141</f>
        <v>12751</v>
      </c>
      <c r="AA123" s="47" t="n">
        <f aca="false">+AA110+AA138+AA139+AA140+AA141</f>
        <v>15664</v>
      </c>
      <c r="AB123" s="47" t="n">
        <f aca="false">+AB110+AB138+AB139+AB140+AB141</f>
        <v>15609</v>
      </c>
      <c r="AC123" s="47" t="n">
        <f aca="false">+AC110+AC138+AC139+AC140+AC141</f>
        <v>15835</v>
      </c>
      <c r="AD123" s="47" t="n">
        <f aca="false">+AD110+AD138+AD139+AD140+AD141</f>
        <v>14496</v>
      </c>
      <c r="AE123" s="47" t="n">
        <f aca="false">+AE110+AE138+AE139+AE140+AE141</f>
        <v>14847</v>
      </c>
      <c r="AF123" s="47"/>
      <c r="AG123" s="47"/>
      <c r="AH123" s="47"/>
      <c r="AI123" s="47"/>
      <c r="AJ123" s="47"/>
      <c r="AK123" s="3"/>
      <c r="AL123" s="99"/>
      <c r="AM123" s="3"/>
      <c r="AN123" s="99"/>
      <c r="AO123" s="3"/>
      <c r="AP123" s="3"/>
      <c r="AQ123" s="85" t="n">
        <f aca="false">+AQ122/Main!E1-1</f>
        <v>0.299578722196531</v>
      </c>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c r="CB123" s="3"/>
      <c r="CC123" s="3"/>
      <c r="CD123" s="3"/>
      <c r="CE123" s="3"/>
      <c r="CF123" s="3"/>
      <c r="CG123" s="3"/>
      <c r="CH123" s="3"/>
      <c r="CI123" s="3"/>
      <c r="CJ123" s="3"/>
      <c r="CK123" s="3"/>
      <c r="CL123" s="3"/>
      <c r="CM123" s="3"/>
      <c r="CN123" s="3"/>
      <c r="CO123" s="3"/>
      <c r="CP123" s="3"/>
      <c r="CQ123" s="3"/>
      <c r="CR123" s="3"/>
      <c r="CS123" s="3"/>
      <c r="CT123" s="3"/>
      <c r="CU123" s="3"/>
      <c r="CV123" s="3"/>
      <c r="CW123" s="3"/>
      <c r="CX123" s="3"/>
      <c r="CY123" s="3"/>
      <c r="CZ123" s="3"/>
      <c r="DA123" s="3"/>
      <c r="DB123" s="3"/>
      <c r="DC123" s="3"/>
      <c r="DD123" s="3"/>
      <c r="DE123" s="3"/>
      <c r="DF123" s="3"/>
      <c r="DG123" s="3"/>
      <c r="DH123" s="3"/>
      <c r="DI123" s="3"/>
      <c r="DJ123" s="3"/>
      <c r="DK123" s="3"/>
      <c r="DL123" s="3"/>
      <c r="DM123" s="3"/>
      <c r="DN123" s="3"/>
      <c r="DO123" s="3"/>
      <c r="DP123" s="3"/>
      <c r="DQ123" s="3"/>
      <c r="DR123" s="3"/>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row>
    <row r="124" customFormat="false" ht="12.8" hidden="false" customHeight="false" outlineLevel="0" collapsed="false">
      <c r="A124" s="119" t="s">
        <v>314</v>
      </c>
      <c r="B124" s="119"/>
      <c r="C124" s="119" t="n">
        <f aca="false">+C118/AVERAGE(B123:C123)</f>
        <v>-0.0472607467007106</v>
      </c>
      <c r="D124" s="119" t="n">
        <f aca="false">+D118/AVERAGE(C123:D123)</f>
        <v>-0.0327633182140299</v>
      </c>
      <c r="E124" s="119" t="n">
        <f aca="false">+E118/AVERAGE(D123:E123)</f>
        <v>-0.0104628251212384</v>
      </c>
      <c r="F124" s="119" t="n">
        <f aca="false">+F118/AVERAGE(E123:F123)</f>
        <v>-0.0235962253508473</v>
      </c>
      <c r="G124" s="119" t="n">
        <f aca="false">+G118/AVERAGE(F123:G123)</f>
        <v>0.0184535864301694</v>
      </c>
      <c r="H124" s="119" t="n">
        <f aca="false">+H118/AVERAGE(G123:H123)</f>
        <v>0.0319756320508133</v>
      </c>
      <c r="I124" s="119" t="n">
        <f aca="false">+I118/AVERAGE(H123:I123)</f>
        <v>0.0393909415733795</v>
      </c>
      <c r="J124" s="119" t="n">
        <f aca="false">+J118/AVERAGE(I123:J123)</f>
        <v>0.0116113256325189</v>
      </c>
      <c r="K124" s="119" t="n">
        <f aca="false">+K118/AVERAGE(J123:K123)</f>
        <v>0.0484360589757643</v>
      </c>
      <c r="L124" s="119" t="n">
        <f aca="false">+L118/AVERAGE(K123:L123)</f>
        <v>0.0646548526641402</v>
      </c>
      <c r="M124" s="119" t="n">
        <f aca="false">+M118/AVERAGE(L123:M123)</f>
        <v>0.388489684595518</v>
      </c>
      <c r="N124" s="119" t="n">
        <f aca="false">+N118/AVERAGE(M123:N123)</f>
        <v>0.106974214594621</v>
      </c>
      <c r="O124" s="119" t="n">
        <f aca="false">+O118/AVERAGE(N123:O123)</f>
        <v>0.0853080525079541</v>
      </c>
      <c r="P124" s="119" t="n">
        <f aca="false">+P118/AVERAGE(O123:P123)</f>
        <v>0.178871645480224</v>
      </c>
      <c r="Q124" s="119" t="n">
        <f aca="false">+Q118/AVERAGE(P123:Q123)</f>
        <v>0.12797518929766</v>
      </c>
      <c r="R124" s="119" t="n">
        <f aca="false">+R118/AVERAGE(Q123:R123)</f>
        <v>0.0738269725380839</v>
      </c>
      <c r="S124" s="119" t="n">
        <f aca="false">+S118/AVERAGE(R123:S123)</f>
        <v>0.342624778898679</v>
      </c>
      <c r="T124" s="119"/>
      <c r="U124" s="119"/>
      <c r="V124" s="119"/>
      <c r="W124" s="119"/>
      <c r="X124" s="119"/>
      <c r="Y124" s="119"/>
      <c r="Z124" s="119" t="n">
        <f aca="false">+Z118/AVERAGE(Y123:Z123)</f>
        <v>-0.529045202662374</v>
      </c>
      <c r="AA124" s="119" t="n">
        <f aca="false">+AA118/AVERAGE(Z123:AA123)</f>
        <v>-0.139935436840751</v>
      </c>
      <c r="AB124" s="119" t="n">
        <f aca="false">+AB118/AVERAGE(AA123:AB123)</f>
        <v>-0.114686610781452</v>
      </c>
      <c r="AC124" s="119" t="n">
        <f aca="false">+AC118/AVERAGE(AB123:AC123)</f>
        <v>0.0641399824266188</v>
      </c>
      <c r="AD124" s="119" t="n">
        <f aca="false">+AD118/AVERAGE(AC123:AD123)</f>
        <v>0.442227647130407</v>
      </c>
      <c r="AE124" s="119" t="n">
        <f aca="false">+AE118/AVERAGE(AD123:AE123)</f>
        <v>0.663555464982314</v>
      </c>
      <c r="AF124" s="119"/>
      <c r="AG124" s="119"/>
      <c r="AH124" s="119"/>
      <c r="AI124" s="119"/>
      <c r="AJ124" s="119"/>
      <c r="AK124" s="85"/>
      <c r="AL124" s="85"/>
      <c r="AM124" s="119"/>
      <c r="AN124" s="119"/>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85"/>
      <c r="BX124" s="85"/>
      <c r="BY124" s="85"/>
      <c r="BZ124" s="85"/>
      <c r="CA124" s="85"/>
      <c r="CB124" s="85"/>
      <c r="CC124" s="85"/>
      <c r="CD124" s="85"/>
      <c r="CE124" s="85"/>
      <c r="CF124" s="85"/>
      <c r="CG124" s="85"/>
      <c r="CH124" s="85"/>
      <c r="CI124" s="85"/>
      <c r="CJ124" s="85"/>
      <c r="CK124" s="85"/>
      <c r="CL124" s="85"/>
      <c r="CM124" s="85"/>
      <c r="CN124" s="85"/>
      <c r="CO124" s="85"/>
      <c r="CP124" s="85"/>
      <c r="CQ124" s="85"/>
      <c r="CR124" s="85"/>
      <c r="CS124" s="85"/>
      <c r="CT124" s="85"/>
      <c r="CU124" s="85"/>
      <c r="CV124" s="85"/>
      <c r="CW124" s="85"/>
      <c r="CX124" s="85"/>
      <c r="CY124" s="85"/>
      <c r="CZ124" s="85"/>
      <c r="DA124" s="85"/>
      <c r="DB124" s="85"/>
      <c r="DC124" s="85"/>
      <c r="DD124" s="85"/>
      <c r="DE124" s="85"/>
      <c r="DF124" s="85"/>
      <c r="DG124" s="85"/>
      <c r="DH124" s="85"/>
      <c r="DI124" s="85"/>
      <c r="DJ124" s="85"/>
      <c r="DK124" s="85"/>
      <c r="DL124" s="85"/>
      <c r="DM124" s="85"/>
      <c r="DN124" s="85"/>
      <c r="DO124" s="85"/>
      <c r="DP124" s="85"/>
      <c r="DQ124" s="85"/>
      <c r="DR124" s="85"/>
      <c r="DS124" s="85"/>
      <c r="DT124" s="85"/>
      <c r="DU124" s="85"/>
      <c r="DV124" s="85"/>
      <c r="DW124" s="85"/>
      <c r="DX124" s="85"/>
      <c r="DY124" s="85"/>
      <c r="DZ124" s="85"/>
      <c r="EA124" s="85"/>
      <c r="EB124" s="85"/>
      <c r="EC124" s="85"/>
      <c r="ED124" s="85"/>
      <c r="EE124" s="85"/>
      <c r="EF124" s="85"/>
      <c r="EG124" s="85"/>
      <c r="EH124" s="85"/>
      <c r="EI124" s="85"/>
      <c r="EJ124" s="85"/>
      <c r="EK124" s="85"/>
      <c r="EL124" s="85"/>
      <c r="EM124" s="85"/>
      <c r="EN124" s="85"/>
      <c r="EO124" s="85"/>
      <c r="EP124" s="85"/>
      <c r="EQ124" s="85"/>
      <c r="ER124" s="85"/>
      <c r="ES124" s="85"/>
      <c r="ET124" s="85"/>
      <c r="EU124" s="85"/>
      <c r="EV124" s="85"/>
    </row>
    <row r="125" s="1" customFormat="true" ht="12.8"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J125" s="3"/>
      <c r="AK125" s="44"/>
      <c r="AL125" s="44"/>
      <c r="AM125" s="7"/>
      <c r="AN125" s="7"/>
      <c r="AO125" s="44"/>
      <c r="AP125" s="44"/>
      <c r="AQ125" s="44"/>
      <c r="AR125" s="44"/>
      <c r="AS125" s="44"/>
      <c r="AT125" s="44"/>
      <c r="AU125" s="44"/>
      <c r="AV125" s="44"/>
      <c r="AW125" s="44"/>
      <c r="AX125" s="44"/>
      <c r="AY125" s="44"/>
      <c r="AZ125" s="44"/>
      <c r="BA125" s="44"/>
      <c r="BB125" s="44"/>
      <c r="BC125" s="44"/>
      <c r="BD125" s="44"/>
      <c r="BE125" s="44"/>
      <c r="BF125" s="44"/>
      <c r="BG125" s="44"/>
      <c r="BH125" s="44"/>
      <c r="BI125" s="44"/>
      <c r="BJ125" s="44"/>
      <c r="BK125" s="44"/>
      <c r="BL125" s="44"/>
      <c r="BM125" s="44"/>
      <c r="BN125" s="44"/>
      <c r="BO125" s="44"/>
      <c r="BP125" s="44"/>
      <c r="BQ125" s="44"/>
      <c r="BR125" s="44"/>
      <c r="BS125" s="44"/>
      <c r="BT125" s="44"/>
      <c r="BU125" s="44"/>
      <c r="BV125" s="44"/>
      <c r="BW125" s="44"/>
      <c r="BX125" s="44"/>
      <c r="BY125" s="44"/>
      <c r="BZ125" s="44"/>
      <c r="CA125" s="44"/>
      <c r="CB125" s="44"/>
      <c r="CC125" s="44"/>
      <c r="CD125" s="44"/>
      <c r="CE125" s="44"/>
      <c r="CF125" s="44"/>
      <c r="CG125" s="44"/>
      <c r="CH125" s="44"/>
      <c r="CI125" s="44"/>
      <c r="CJ125" s="44"/>
      <c r="CK125" s="44"/>
      <c r="CL125" s="44"/>
      <c r="CM125" s="44"/>
      <c r="CN125" s="44"/>
      <c r="CO125" s="44"/>
      <c r="CP125" s="44"/>
      <c r="CQ125" s="44"/>
      <c r="CR125" s="44"/>
      <c r="CS125" s="44"/>
      <c r="CT125" s="44"/>
      <c r="CU125" s="44"/>
      <c r="CV125" s="44"/>
      <c r="CW125" s="44"/>
      <c r="CX125" s="44"/>
      <c r="CY125" s="44"/>
      <c r="CZ125" s="44"/>
      <c r="DA125" s="44"/>
      <c r="DB125" s="44"/>
      <c r="DC125" s="44"/>
      <c r="DD125" s="44"/>
      <c r="DE125" s="44"/>
      <c r="DF125" s="44"/>
      <c r="DG125" s="44"/>
      <c r="DH125" s="44"/>
      <c r="DI125" s="44"/>
      <c r="DJ125" s="44"/>
      <c r="DK125" s="44"/>
      <c r="DL125" s="44"/>
      <c r="DM125" s="44"/>
      <c r="DN125" s="44"/>
      <c r="DO125" s="44"/>
      <c r="DP125" s="44"/>
      <c r="DQ125" s="44"/>
      <c r="DR125" s="44"/>
      <c r="DS125" s="44"/>
      <c r="DT125" s="44"/>
      <c r="DU125" s="44"/>
      <c r="DV125" s="44"/>
      <c r="DW125" s="44"/>
      <c r="DX125" s="44"/>
      <c r="DY125" s="44"/>
      <c r="DZ125" s="44"/>
      <c r="EA125" s="44"/>
      <c r="EB125" s="44"/>
      <c r="EC125" s="44"/>
      <c r="ED125" s="44"/>
      <c r="EE125" s="44"/>
      <c r="EF125" s="44"/>
      <c r="EG125" s="44"/>
      <c r="EH125" s="44"/>
      <c r="EI125" s="44"/>
      <c r="EJ125" s="44"/>
      <c r="EK125" s="44"/>
      <c r="EL125" s="44"/>
      <c r="EM125" s="44"/>
      <c r="EN125" s="44"/>
      <c r="EO125" s="44"/>
      <c r="EP125" s="44"/>
    </row>
    <row r="126" s="1" customFormat="true" ht="12.8" hidden="false" customHeight="false" outlineLevel="0" collapsed="false">
      <c r="A126" s="78" t="s">
        <v>336</v>
      </c>
      <c r="B126" s="78" t="n">
        <f aca="false">+B53/B$61</f>
        <v>0.3673767143274</v>
      </c>
      <c r="C126" s="78" t="n">
        <f aca="false">+C53/C$61</f>
        <v>0.440109005326397</v>
      </c>
      <c r="D126" s="78" t="n">
        <f aca="false">+D53/D$61</f>
        <v>0.458108594030924</v>
      </c>
      <c r="E126" s="78" t="n">
        <f aca="false">+E53/E$61</f>
        <v>0.480539096084582</v>
      </c>
      <c r="F126" s="78" t="n">
        <f aca="false">+F53/F$61</f>
        <v>0.49070989230034</v>
      </c>
      <c r="G126" s="78" t="n">
        <f aca="false">+G53/G$61</f>
        <v>0.530197952852393</v>
      </c>
      <c r="H126" s="78" t="n">
        <f aca="false">+H53/H$61</f>
        <v>0.545715578761471</v>
      </c>
      <c r="I126" s="78" t="n">
        <f aca="false">+I53/I$61</f>
        <v>0.557243911066395</v>
      </c>
      <c r="J126" s="78" t="n">
        <f aca="false">+J53/J$61</f>
        <v>0.555997526025529</v>
      </c>
      <c r="K126" s="78" t="n">
        <f aca="false">+K53/K$61</f>
        <v>0.573253317652344</v>
      </c>
      <c r="L126" s="78" t="n">
        <f aca="false">+L53/L$61</f>
        <v>0.57282306426217</v>
      </c>
      <c r="M126" s="78" t="n">
        <f aca="false">+M53/M$61</f>
        <v>0.577869005219493</v>
      </c>
      <c r="N126" s="78" t="n">
        <f aca="false">+N53/N$61</f>
        <v>0.563237236340466</v>
      </c>
      <c r="O126" s="78" t="n">
        <f aca="false">+O53/O$61</f>
        <v>0.576061189008175</v>
      </c>
      <c r="P126" s="78" t="n">
        <f aca="false">+P53/P$61</f>
        <v>0.57041072004842</v>
      </c>
      <c r="Q126" s="78" t="n">
        <f aca="false">+Q53/Q$61</f>
        <v>0.571070583321732</v>
      </c>
      <c r="R126" s="78" t="n">
        <f aca="false">+R53/R$61</f>
        <v>0.51488298114065</v>
      </c>
      <c r="S126" s="78" t="n">
        <f aca="false">+S53/S$61</f>
        <v>0.518849975336481</v>
      </c>
      <c r="T126" s="78"/>
      <c r="U126" s="78"/>
      <c r="V126" s="78"/>
      <c r="W126" s="78"/>
      <c r="X126" s="78"/>
      <c r="Y126" s="78" t="n">
        <f aca="false">+Y53/Y$61</f>
        <v>0.759524987629886</v>
      </c>
      <c r="Z126" s="78" t="n">
        <f aca="false">+Z53/Z$61</f>
        <v>0.546613152617717</v>
      </c>
      <c r="AA126" s="78" t="n">
        <f aca="false">+AA53/AA$61</f>
        <v>0.398283991067347</v>
      </c>
      <c r="AB126" s="78" t="n">
        <f aca="false">+AB53/AB$61</f>
        <v>0.440048459026832</v>
      </c>
      <c r="AC126" s="78" t="n">
        <f aca="false">+AC53/AC$61</f>
        <v>0.531955867687953</v>
      </c>
      <c r="AD126" s="78" t="n">
        <f aca="false">+AD53/AD$61</f>
        <v>0.570439490088252</v>
      </c>
      <c r="AE126" s="78" t="n">
        <f aca="false">+AE53/AE$61</f>
        <v>0.570385746067669</v>
      </c>
      <c r="AF126" s="78"/>
      <c r="AG126" s="78"/>
      <c r="AH126" s="78"/>
      <c r="AI126" s="78"/>
      <c r="AJ126" s="78"/>
      <c r="AK126" s="78"/>
      <c r="AL126" s="78"/>
      <c r="AM126" s="7"/>
      <c r="AN126" s="7"/>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78"/>
      <c r="BX126" s="78"/>
      <c r="BY126" s="78"/>
      <c r="BZ126" s="78"/>
      <c r="CA126" s="78"/>
      <c r="CB126" s="78"/>
      <c r="CC126" s="78"/>
      <c r="CD126" s="78"/>
      <c r="CE126" s="78"/>
      <c r="CF126" s="78"/>
      <c r="CG126" s="78"/>
      <c r="CH126" s="78"/>
      <c r="CI126" s="78"/>
      <c r="CJ126" s="78"/>
      <c r="CK126" s="78"/>
      <c r="CL126" s="78"/>
      <c r="CM126" s="78"/>
      <c r="CN126" s="78"/>
      <c r="CO126" s="78"/>
      <c r="CP126" s="78"/>
      <c r="CQ126" s="78"/>
      <c r="CR126" s="78"/>
      <c r="CS126" s="78"/>
      <c r="CT126" s="78"/>
      <c r="CU126" s="78"/>
      <c r="CV126" s="78"/>
      <c r="CW126" s="78"/>
      <c r="CX126" s="78"/>
      <c r="CY126" s="78"/>
      <c r="CZ126" s="78"/>
      <c r="DA126" s="78"/>
      <c r="DB126" s="78"/>
      <c r="DC126" s="78"/>
      <c r="DD126" s="78"/>
      <c r="DE126" s="78"/>
      <c r="DF126" s="78"/>
      <c r="DG126" s="78"/>
      <c r="DH126" s="78"/>
      <c r="DI126" s="78"/>
      <c r="DJ126" s="78"/>
      <c r="DK126" s="78"/>
      <c r="DL126" s="78"/>
      <c r="DM126" s="78"/>
      <c r="DN126" s="78"/>
      <c r="DO126" s="78"/>
      <c r="DP126" s="78"/>
      <c r="DQ126" s="78"/>
      <c r="DR126" s="78"/>
      <c r="DS126" s="78"/>
      <c r="DT126" s="78"/>
      <c r="DU126" s="78"/>
      <c r="DV126" s="78"/>
      <c r="DW126" s="78"/>
      <c r="DX126" s="78"/>
      <c r="DY126" s="78"/>
      <c r="DZ126" s="78"/>
      <c r="EA126" s="78"/>
      <c r="EB126" s="78"/>
      <c r="EC126" s="78"/>
      <c r="ED126" s="78"/>
      <c r="EE126" s="78"/>
      <c r="EF126" s="78"/>
      <c r="EG126" s="78"/>
      <c r="EH126" s="78"/>
      <c r="EI126" s="78"/>
      <c r="EJ126" s="78"/>
      <c r="EK126" s="78"/>
      <c r="EL126" s="78"/>
      <c r="EM126" s="78"/>
      <c r="EN126" s="78"/>
      <c r="EO126" s="78"/>
      <c r="EP126" s="78"/>
      <c r="EQ126" s="120"/>
    </row>
    <row r="127" s="1" customFormat="true" ht="12.8" hidden="false" customHeight="false" outlineLevel="0" collapsed="false">
      <c r="A127" s="78" t="s">
        <v>337</v>
      </c>
      <c r="B127" s="78" t="n">
        <f aca="false">+B55/B$61</f>
        <v>0.366501313101838</v>
      </c>
      <c r="C127" s="78" t="n">
        <f aca="false">+C55/C$61</f>
        <v>0.332961724266072</v>
      </c>
      <c r="D127" s="78" t="n">
        <f aca="false">+D55/D$61</f>
        <v>0.332014862759199</v>
      </c>
      <c r="E127" s="78" t="n">
        <f aca="false">+E55/E$61</f>
        <v>0.340536772394563</v>
      </c>
      <c r="F127" s="78" t="n">
        <f aca="false">+F55/F$61</f>
        <v>0.350523255631629</v>
      </c>
      <c r="G127" s="78" t="n">
        <f aca="false">+G55/G$61</f>
        <v>0.331184131971754</v>
      </c>
      <c r="H127" s="78" t="n">
        <f aca="false">+H55/H$61</f>
        <v>0.315849975086751</v>
      </c>
      <c r="I127" s="78" t="n">
        <f aca="false">+I55/I$61</f>
        <v>0.31389629016003</v>
      </c>
      <c r="J127" s="78" t="n">
        <f aca="false">+J55/J$61</f>
        <v>0.317233454401926</v>
      </c>
      <c r="K127" s="78" t="n">
        <f aca="false">+K55/K$61</f>
        <v>0.307747501635013</v>
      </c>
      <c r="L127" s="78" t="n">
        <f aca="false">+L55/L$61</f>
        <v>0.310141368854693</v>
      </c>
      <c r="M127" s="78" t="n">
        <f aca="false">+M55/M$61</f>
        <v>0.315482528822623</v>
      </c>
      <c r="N127" s="78" t="n">
        <f aca="false">+N55/N$61</f>
        <v>0.327485689910397</v>
      </c>
      <c r="O127" s="78" t="n">
        <f aca="false">+O55/O$61</f>
        <v>0.324232024878092</v>
      </c>
      <c r="P127" s="78" t="n">
        <f aca="false">+P55/P$61</f>
        <v>0.332430199642903</v>
      </c>
      <c r="Q127" s="78" t="n">
        <f aca="false">+Q55/Q$61</f>
        <v>0.340526242517054</v>
      </c>
      <c r="R127" s="78" t="n">
        <f aca="false">+R55/R$61</f>
        <v>0.3838521548133</v>
      </c>
      <c r="S127" s="78" t="n">
        <f aca="false">+S55/S$61</f>
        <v>0.369600450990064</v>
      </c>
      <c r="T127" s="78"/>
      <c r="U127" s="78"/>
      <c r="V127" s="78"/>
      <c r="W127" s="78"/>
      <c r="X127" s="78"/>
      <c r="Y127" s="78" t="n">
        <f aca="false">+Y55/Y$61</f>
        <v>0.177422775146674</v>
      </c>
      <c r="Z127" s="78" t="n">
        <f aca="false">+Z55/Z$61</f>
        <v>0.350464402663749</v>
      </c>
      <c r="AA127" s="78" t="n">
        <f aca="false">+AA55/AA$61</f>
        <v>0.478994784022027</v>
      </c>
      <c r="AB127" s="78" t="n">
        <f aca="false">+AB55/AB$61</f>
        <v>0.341932301080013</v>
      </c>
      <c r="AC127" s="78" t="n">
        <f aca="false">+AC55/AC$61</f>
        <v>0.327349203774898</v>
      </c>
      <c r="AD127" s="78" t="n">
        <f aca="false">+AD55/AD$61</f>
        <v>0.312653684725693</v>
      </c>
      <c r="AE127" s="78" t="n">
        <f aca="false">+AE55/AE$61</f>
        <v>0.331581171155212</v>
      </c>
      <c r="AF127" s="78"/>
      <c r="AG127" s="78"/>
      <c r="AH127" s="78"/>
      <c r="AI127" s="78"/>
      <c r="AJ127" s="78"/>
      <c r="AK127" s="78"/>
      <c r="AL127" s="121"/>
      <c r="AM127" s="7"/>
      <c r="AN127" s="7"/>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78"/>
      <c r="BX127" s="78"/>
      <c r="BY127" s="78"/>
      <c r="BZ127" s="78"/>
      <c r="CA127" s="78"/>
      <c r="CB127" s="78"/>
      <c r="CC127" s="78"/>
      <c r="CD127" s="78"/>
      <c r="CE127" s="78"/>
      <c r="CF127" s="78"/>
      <c r="CG127" s="78"/>
      <c r="CH127" s="78"/>
      <c r="CI127" s="78"/>
      <c r="CJ127" s="78"/>
      <c r="CK127" s="78"/>
      <c r="CL127" s="78"/>
      <c r="CM127" s="78"/>
      <c r="CN127" s="78"/>
      <c r="CO127" s="78"/>
      <c r="CP127" s="78"/>
      <c r="CQ127" s="78"/>
      <c r="CR127" s="78"/>
      <c r="CS127" s="78"/>
      <c r="CT127" s="78"/>
      <c r="CU127" s="78"/>
      <c r="CV127" s="78"/>
      <c r="CW127" s="78"/>
      <c r="CX127" s="78"/>
      <c r="CY127" s="78"/>
      <c r="CZ127" s="78"/>
      <c r="DA127" s="78"/>
      <c r="DB127" s="78"/>
      <c r="DC127" s="78"/>
      <c r="DD127" s="78"/>
      <c r="DE127" s="78"/>
      <c r="DF127" s="78"/>
      <c r="DG127" s="78"/>
      <c r="DH127" s="78"/>
      <c r="DI127" s="78"/>
      <c r="DJ127" s="78"/>
      <c r="DK127" s="78"/>
      <c r="DL127" s="78"/>
      <c r="DM127" s="78"/>
      <c r="DN127" s="78"/>
      <c r="DO127" s="78"/>
      <c r="DP127" s="78"/>
      <c r="DQ127" s="78"/>
      <c r="DR127" s="78"/>
      <c r="DS127" s="78"/>
      <c r="DT127" s="78"/>
      <c r="DU127" s="78"/>
      <c r="DV127" s="78"/>
      <c r="DW127" s="78"/>
      <c r="DX127" s="78"/>
      <c r="DY127" s="78"/>
      <c r="DZ127" s="78"/>
      <c r="EA127" s="78"/>
      <c r="EB127" s="78"/>
      <c r="EC127" s="78"/>
      <c r="ED127" s="78"/>
      <c r="EE127" s="78"/>
      <c r="EF127" s="78"/>
      <c r="EG127" s="78"/>
      <c r="EH127" s="78"/>
      <c r="EI127" s="78"/>
      <c r="EJ127" s="78"/>
      <c r="EK127" s="78"/>
      <c r="EL127" s="78"/>
      <c r="EM127" s="78"/>
      <c r="EN127" s="78"/>
      <c r="EO127" s="78"/>
      <c r="EP127" s="78"/>
      <c r="EQ127" s="120"/>
    </row>
    <row r="128" s="1" customFormat="true" ht="12.8" hidden="false" customHeight="false" outlineLevel="0" collapsed="false">
      <c r="A128" s="78" t="s">
        <v>338</v>
      </c>
      <c r="B128" s="78" t="n">
        <f aca="false">+B57/B$61</f>
        <v>0.266121972570762</v>
      </c>
      <c r="C128" s="78" t="n">
        <f aca="false">+C57/C$61</f>
        <v>0.226929270407531</v>
      </c>
      <c r="D128" s="78" t="n">
        <f aca="false">+D57/D$61</f>
        <v>0.209876543209877</v>
      </c>
      <c r="E128" s="78" t="n">
        <f aca="false">+E57/E$61</f>
        <v>0.178924131520855</v>
      </c>
      <c r="F128" s="78" t="n">
        <f aca="false">+F57/F$61</f>
        <v>0.158659087579787</v>
      </c>
      <c r="G128" s="78" t="n">
        <f aca="false">+G57/G$61</f>
        <v>0.138562154004538</v>
      </c>
      <c r="H128" s="78" t="n">
        <f aca="false">+H57/H$61</f>
        <v>0.138392868130004</v>
      </c>
      <c r="I128" s="78" t="n">
        <f aca="false">+I57/I$61</f>
        <v>0.128819253416107</v>
      </c>
      <c r="J128" s="78" t="n">
        <f aca="false">+J57/J$61</f>
        <v>0.126735455958952</v>
      </c>
      <c r="K128" s="78" t="n">
        <f aca="false">+K57/K$61</f>
        <v>0.118968287148913</v>
      </c>
      <c r="L128" s="78" t="n">
        <f aca="false">+L57/L$61</f>
        <v>0.116995692170257</v>
      </c>
      <c r="M128" s="78" t="n">
        <f aca="false">+M57/M$61</f>
        <v>0.106610184004464</v>
      </c>
      <c r="N128" s="78" t="n">
        <f aca="false">+N57/N$61</f>
        <v>0.109248601876383</v>
      </c>
      <c r="O128" s="78" t="n">
        <f aca="false">+O57/O$61</f>
        <v>0.0996724971651083</v>
      </c>
      <c r="P128" s="78" t="n">
        <f aca="false">+P57/P$61</f>
        <v>0.0971227833667449</v>
      </c>
      <c r="Q128" s="78" t="n">
        <f aca="false">+Q57/Q$61</f>
        <v>0.088403174161214</v>
      </c>
      <c r="R128" s="78" t="n">
        <f aca="false">+R57/R$61</f>
        <v>0.10126486404605</v>
      </c>
      <c r="S128" s="78" t="n">
        <f aca="false">+S57/S$61</f>
        <v>0.111549573673455</v>
      </c>
      <c r="T128" s="78"/>
      <c r="U128" s="78"/>
      <c r="V128" s="78"/>
      <c r="W128" s="78"/>
      <c r="X128" s="78"/>
      <c r="Y128" s="78" t="n">
        <f aca="false">+Y57/Y$61</f>
        <v>0.0516717325227964</v>
      </c>
      <c r="Z128" s="78" t="n">
        <f aca="false">+Z57/Z$61</f>
        <v>0.0907580714889985</v>
      </c>
      <c r="AA128" s="78" t="n">
        <f aca="false">+AA57/AA$61</f>
        <v>0.12212591240552</v>
      </c>
      <c r="AB128" s="78" t="n">
        <f aca="false">+AB57/AB$61</f>
        <v>0.217906953087134</v>
      </c>
      <c r="AC128" s="78" t="n">
        <f aca="false">+AC57/AC$61</f>
        <v>0.140687198770841</v>
      </c>
      <c r="AD128" s="78" t="n">
        <f aca="false">+AD57/AD$61</f>
        <v>0.116898370412712</v>
      </c>
      <c r="AE128" s="78" t="n">
        <f aca="false">+AE57/AE$61</f>
        <v>0.0980248371823068</v>
      </c>
      <c r="AF128" s="78"/>
      <c r="AG128" s="78"/>
      <c r="AH128" s="78"/>
      <c r="AI128" s="78"/>
      <c r="AJ128" s="78"/>
      <c r="AK128" s="121"/>
      <c r="AL128" s="73"/>
      <c r="AM128" s="7"/>
      <c r="AN128" s="7"/>
      <c r="AO128" s="121"/>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c r="BO128" s="121"/>
      <c r="BP128" s="121"/>
      <c r="BQ128" s="121"/>
      <c r="BR128" s="121"/>
      <c r="BS128" s="121"/>
      <c r="BT128" s="121"/>
      <c r="BU128" s="121"/>
      <c r="BV128" s="121"/>
      <c r="BW128" s="121"/>
      <c r="BX128" s="121"/>
      <c r="BY128" s="121"/>
      <c r="BZ128" s="121"/>
      <c r="CA128" s="121"/>
      <c r="CB128" s="121"/>
      <c r="CC128" s="121"/>
      <c r="CD128" s="121"/>
      <c r="CE128" s="121"/>
      <c r="CF128" s="121"/>
      <c r="CG128" s="121"/>
      <c r="CH128" s="121"/>
      <c r="CI128" s="121"/>
      <c r="CJ128" s="121"/>
      <c r="CK128" s="121"/>
      <c r="CL128" s="121"/>
      <c r="CM128" s="121"/>
      <c r="CN128" s="121"/>
      <c r="CO128" s="121"/>
      <c r="CP128" s="121"/>
      <c r="CQ128" s="121"/>
      <c r="CR128" s="121"/>
      <c r="CS128" s="121"/>
      <c r="CT128" s="121"/>
      <c r="CU128" s="121"/>
      <c r="CV128" s="121"/>
      <c r="CW128" s="121"/>
      <c r="CX128" s="121"/>
      <c r="CY128" s="121"/>
      <c r="CZ128" s="121"/>
      <c r="DA128" s="121"/>
      <c r="DB128" s="121"/>
      <c r="DC128" s="121"/>
      <c r="DD128" s="121"/>
      <c r="DE128" s="121"/>
      <c r="DF128" s="121"/>
      <c r="DG128" s="121"/>
      <c r="DH128" s="121"/>
      <c r="DI128" s="121"/>
      <c r="DJ128" s="121"/>
      <c r="DK128" s="121"/>
      <c r="DL128" s="121"/>
      <c r="DM128" s="121"/>
      <c r="DN128" s="121"/>
      <c r="DO128" s="121"/>
      <c r="DP128" s="121"/>
      <c r="DQ128" s="121"/>
      <c r="DR128" s="121"/>
      <c r="DS128" s="121"/>
      <c r="DT128" s="121"/>
      <c r="DU128" s="121"/>
      <c r="DV128" s="121"/>
      <c r="DW128" s="121"/>
      <c r="DX128" s="121"/>
      <c r="DY128" s="121"/>
      <c r="DZ128" s="121"/>
      <c r="EA128" s="121"/>
      <c r="EB128" s="121"/>
      <c r="EC128" s="121"/>
      <c r="ED128" s="121"/>
      <c r="EE128" s="121"/>
      <c r="EF128" s="121"/>
      <c r="EG128" s="121"/>
      <c r="EH128" s="121"/>
      <c r="EI128" s="121"/>
      <c r="EJ128" s="121"/>
      <c r="EK128" s="121"/>
      <c r="EL128" s="121"/>
      <c r="EM128" s="121"/>
      <c r="EN128" s="121"/>
      <c r="EO128" s="121"/>
      <c r="EP128" s="121"/>
      <c r="EQ128" s="120"/>
    </row>
    <row r="129" s="1" customFormat="true" ht="12.8"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J129" s="3"/>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s="7"/>
      <c r="DL129" s="7"/>
      <c r="DM129" s="7"/>
      <c r="DN129" s="7"/>
      <c r="DO129" s="7"/>
      <c r="DP129" s="7"/>
      <c r="DQ129" s="7"/>
      <c r="DR129" s="7"/>
      <c r="DS129" s="7"/>
      <c r="DT129" s="7"/>
      <c r="DU129" s="7"/>
      <c r="DV129" s="7"/>
      <c r="DW129" s="7"/>
      <c r="DX129" s="7"/>
      <c r="DY129" s="7"/>
      <c r="DZ129" s="7"/>
      <c r="EA129" s="7"/>
      <c r="EB129" s="7"/>
      <c r="EC129" s="7"/>
      <c r="ED129" s="7"/>
      <c r="EE129" s="7"/>
      <c r="EF129" s="7"/>
      <c r="EG129" s="7"/>
      <c r="EH129" s="7"/>
      <c r="EI129" s="7"/>
      <c r="EJ129" s="7"/>
      <c r="EK129" s="7"/>
      <c r="EL129" s="7"/>
      <c r="EM129" s="7"/>
      <c r="EN129" s="7"/>
      <c r="EO129" s="7"/>
      <c r="EP129" s="7"/>
    </row>
    <row r="130" s="1" customFormat="true" ht="12.8" hidden="false" customHeight="false" outlineLevel="0" collapsed="false">
      <c r="A130" s="7" t="s">
        <v>339</v>
      </c>
      <c r="B130" s="7" t="n">
        <f aca="false">B132-B153</f>
        <v>-1681</v>
      </c>
      <c r="C130" s="7" t="n">
        <f aca="false">C132-C153</f>
        <v>-1407</v>
      </c>
      <c r="D130" s="7" t="n">
        <f aca="false">D132-D153</f>
        <v>-634</v>
      </c>
      <c r="E130" s="7" t="n">
        <f aca="false">E132-E153</f>
        <v>-2588</v>
      </c>
      <c r="F130" s="7" t="n">
        <f aca="false">F132-F153</f>
        <v>-2464</v>
      </c>
      <c r="G130" s="7" t="n">
        <f aca="false">G132-G153</f>
        <v>-795</v>
      </c>
      <c r="H130" s="7" t="n">
        <f aca="false">H132-H153</f>
        <v>-2387</v>
      </c>
      <c r="I130" s="7" t="n">
        <f aca="false">I132-I153</f>
        <v>-2455</v>
      </c>
      <c r="J130" s="7" t="n">
        <f aca="false">J132-J153</f>
        <v>-1473</v>
      </c>
      <c r="K130" s="7" t="n">
        <f aca="false">K132-K153</f>
        <v>-1573</v>
      </c>
      <c r="L130" s="7" t="n">
        <f aca="false">L132-L153</f>
        <v>-1983</v>
      </c>
      <c r="M130" s="7" t="n">
        <f aca="false">M132-M153</f>
        <v>263</v>
      </c>
      <c r="N130" s="7" t="n">
        <f aca="false">N132-N153</f>
        <v>250</v>
      </c>
      <c r="O130" s="7" t="n">
        <f aca="false">O132-O153</f>
        <v>89</v>
      </c>
      <c r="P130" s="7" t="n">
        <f aca="false">P132-P153</f>
        <v>868</v>
      </c>
      <c r="Q130" s="7" t="n">
        <f aca="false">Q132-Q153</f>
        <v>-874</v>
      </c>
      <c r="R130" s="7" t="n">
        <f aca="false">R132-R153</f>
        <v>-2136</v>
      </c>
      <c r="S130" s="7" t="n">
        <f aca="false">S132-S153</f>
        <v>-5546</v>
      </c>
      <c r="T130" s="7"/>
      <c r="U130" s="7"/>
      <c r="V130" s="7"/>
      <c r="W130" s="7"/>
      <c r="X130" s="7"/>
      <c r="Y130" s="7" t="n">
        <f aca="false">Y132-Y153</f>
        <v>7559</v>
      </c>
      <c r="Z130" s="7" t="n">
        <f aca="false">Z132-Z153</f>
        <v>-169</v>
      </c>
      <c r="AA130" s="7" t="n">
        <f aca="false">AA132-AA153</f>
        <v>-1471</v>
      </c>
      <c r="AB130" s="7" t="n">
        <f aca="false">AB132-AB153</f>
        <v>-2588</v>
      </c>
      <c r="AC130" s="7" t="n">
        <f aca="false">AC132-AC153</f>
        <v>-2455</v>
      </c>
      <c r="AD130" s="7" t="n">
        <f aca="false">AD132-AD153</f>
        <v>263</v>
      </c>
      <c r="AE130" s="7" t="n">
        <f aca="false">AE132-AE153</f>
        <v>-874</v>
      </c>
      <c r="AF130" s="7" t="n">
        <f aca="false">AE130+AF93</f>
        <v>8933.50917996624</v>
      </c>
      <c r="AG130" s="7" t="n">
        <f aca="false">AF130+AG93</f>
        <v>18634.3860415446</v>
      </c>
      <c r="AH130" s="7" t="n">
        <f aca="false">AG130+AH93</f>
        <v>30825.4557530196</v>
      </c>
      <c r="AI130" s="7" t="n">
        <f aca="false">AH130+AI93</f>
        <v>47010.1729633738</v>
      </c>
      <c r="AJ130" s="7" t="n">
        <f aca="false">AI130+AJ93</f>
        <v>67405.517006996</v>
      </c>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s="7"/>
      <c r="DL130" s="7"/>
      <c r="DM130" s="7"/>
      <c r="DN130" s="7"/>
      <c r="DO130" s="7"/>
      <c r="DP130" s="7"/>
      <c r="DQ130" s="7"/>
      <c r="DR130" s="7"/>
      <c r="DS130" s="7"/>
      <c r="DT130" s="7"/>
      <c r="DU130" s="7"/>
      <c r="DV130" s="7"/>
      <c r="DW130" s="7"/>
      <c r="DX130" s="7"/>
      <c r="DY130" s="7"/>
      <c r="DZ130" s="7"/>
      <c r="EA130" s="7"/>
      <c r="EB130" s="7"/>
      <c r="EC130" s="7"/>
      <c r="ED130" s="7"/>
      <c r="EE130" s="7"/>
      <c r="EF130" s="7"/>
      <c r="EG130" s="7"/>
      <c r="EH130" s="7"/>
      <c r="EI130" s="7"/>
      <c r="EJ130" s="7"/>
      <c r="EK130" s="7"/>
      <c r="EL130" s="7"/>
      <c r="EM130" s="7"/>
      <c r="EN130" s="7"/>
      <c r="EO130" s="7"/>
      <c r="EP130" s="7"/>
    </row>
    <row r="131" s="1" customFormat="true" ht="12.8" hidden="false" customHeight="false" outlineLevel="0" collapsed="false">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c r="CW131" s="7"/>
      <c r="CX131" s="7"/>
      <c r="CY131" s="7"/>
      <c r="CZ131" s="7"/>
      <c r="DA131" s="7"/>
      <c r="DB131" s="7"/>
      <c r="DC131" s="7"/>
      <c r="DD131" s="7"/>
      <c r="DE131" s="7"/>
      <c r="DF131" s="7"/>
      <c r="DG131" s="7"/>
      <c r="DH131" s="7"/>
      <c r="DI131" s="7"/>
      <c r="DJ131" s="7"/>
      <c r="DK131" s="7"/>
      <c r="DL131" s="7"/>
      <c r="DM131" s="7"/>
      <c r="DN131" s="7"/>
      <c r="DO131" s="7"/>
      <c r="DP131" s="7"/>
      <c r="DQ131" s="7"/>
      <c r="DR131" s="7"/>
      <c r="DS131" s="7"/>
      <c r="DT131" s="7"/>
      <c r="DU131" s="7"/>
      <c r="DV131" s="7"/>
      <c r="DW131" s="7"/>
      <c r="DX131" s="7"/>
      <c r="DY131" s="7"/>
      <c r="DZ131" s="7"/>
      <c r="EA131" s="7"/>
      <c r="EB131" s="7"/>
      <c r="EC131" s="7"/>
      <c r="ED131" s="7"/>
      <c r="EE131" s="7"/>
      <c r="EF131" s="7"/>
      <c r="EG131" s="7"/>
      <c r="EH131" s="7"/>
      <c r="EI131" s="7"/>
      <c r="EJ131" s="7"/>
      <c r="EK131" s="7"/>
      <c r="EL131" s="7"/>
      <c r="EM131" s="7"/>
      <c r="EN131" s="7"/>
      <c r="EO131" s="7"/>
      <c r="EP131" s="7"/>
    </row>
    <row r="132" s="1" customFormat="true" ht="12.8" hidden="false" customHeight="false" outlineLevel="0" collapsed="false">
      <c r="A132" s="7" t="s">
        <v>9</v>
      </c>
      <c r="B132" s="7" t="n">
        <f aca="false">+4184+543+2865</f>
        <v>7592</v>
      </c>
      <c r="C132" s="7" t="n">
        <f aca="false">+4397+2941+526</f>
        <v>7864</v>
      </c>
      <c r="D132" s="7" t="n">
        <f aca="false">+4865+3176+593</f>
        <v>8634</v>
      </c>
      <c r="E132" s="7" t="n">
        <f aca="false">+4208+680+1789</f>
        <v>6677</v>
      </c>
      <c r="F132" s="7" t="n">
        <f aca="false">+4045+897+1851</f>
        <v>6793</v>
      </c>
      <c r="G132" s="7" t="n">
        <f aca="false">+4995+909+2556</f>
        <v>8460</v>
      </c>
      <c r="H132" s="7" t="n">
        <f aca="false">+4448+833+1584</f>
        <v>6865</v>
      </c>
      <c r="I132" s="7" t="n">
        <f aca="false">+4680+805+1519</f>
        <v>7004</v>
      </c>
      <c r="J132" s="7" t="n">
        <f aca="false">+5019+808+2157</f>
        <v>7984</v>
      </c>
      <c r="K132" s="7" t="n">
        <f aca="false">+4497+776+2608</f>
        <v>7881</v>
      </c>
      <c r="L132" s="7" t="n">
        <f aca="false">+6150+933+1920</f>
        <v>9003</v>
      </c>
      <c r="M132" s="7" t="n">
        <f aca="false">+5893+545+2172</f>
        <v>8610</v>
      </c>
      <c r="N132" s="7" t="n">
        <f aca="false">+5132+1253+2215</f>
        <v>8600</v>
      </c>
      <c r="O132" s="7" t="n">
        <f aca="false">+6438+1191+2038</f>
        <v>9667</v>
      </c>
      <c r="P132" s="7" t="n">
        <f aca="false">+8432+477+2574</f>
        <v>11483</v>
      </c>
      <c r="Q132" s="7" t="n">
        <f aca="false">+7105+631+1911</f>
        <v>9647</v>
      </c>
      <c r="R132" s="7" t="n">
        <f aca="false">+5558+680+1872+268</f>
        <v>8378</v>
      </c>
      <c r="S132" s="7" t="n">
        <f aca="false">+4870+661+1646</f>
        <v>7177</v>
      </c>
      <c r="T132" s="7"/>
      <c r="U132" s="7"/>
      <c r="V132" s="7"/>
      <c r="W132" s="7"/>
      <c r="X132" s="7"/>
      <c r="Y132" s="7" t="n">
        <f aca="false">+10873+99+1095+1199</f>
        <v>13266</v>
      </c>
      <c r="Z132" s="7" t="n">
        <f aca="false">+5647+250+1494</f>
        <v>7391</v>
      </c>
      <c r="AA132" s="7" t="n">
        <f aca="false">+4295+631+2879</f>
        <v>7805</v>
      </c>
      <c r="AB132" s="7" t="n">
        <f aca="false">+4208+680+1789</f>
        <v>6677</v>
      </c>
      <c r="AC132" s="7" t="n">
        <f aca="false">+4680+805+1519</f>
        <v>7004</v>
      </c>
      <c r="AD132" s="7" t="n">
        <f aca="false">+5893+545+2172</f>
        <v>8610</v>
      </c>
      <c r="AE132" s="7" t="n">
        <f aca="false">+7105+631+1911</f>
        <v>9647</v>
      </c>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c r="CW132" s="7"/>
      <c r="CX132" s="7"/>
      <c r="CY132" s="7"/>
      <c r="CZ132" s="7"/>
      <c r="DA132" s="7"/>
      <c r="DB132" s="7"/>
      <c r="DC132" s="7"/>
      <c r="DD132" s="7"/>
      <c r="DE132" s="7"/>
      <c r="DF132" s="7"/>
      <c r="DG132" s="7"/>
      <c r="DH132" s="7"/>
      <c r="DI132" s="7"/>
      <c r="DJ132" s="7"/>
      <c r="DK132" s="7"/>
      <c r="DL132" s="7"/>
      <c r="DM132" s="7"/>
      <c r="DN132" s="7"/>
      <c r="DO132" s="7"/>
      <c r="DP132" s="7"/>
      <c r="DQ132" s="7"/>
      <c r="DR132" s="7"/>
      <c r="DS132" s="7"/>
      <c r="DT132" s="7"/>
      <c r="DU132" s="7"/>
      <c r="DV132" s="7"/>
      <c r="DW132" s="7"/>
      <c r="DX132" s="7"/>
      <c r="DY132" s="7"/>
      <c r="DZ132" s="7"/>
      <c r="EA132" s="7"/>
      <c r="EB132" s="7"/>
      <c r="EC132" s="7"/>
      <c r="ED132" s="7"/>
      <c r="EE132" s="7"/>
      <c r="EF132" s="7"/>
      <c r="EG132" s="7"/>
      <c r="EH132" s="7"/>
      <c r="EI132" s="7"/>
      <c r="EJ132" s="7"/>
      <c r="EK132" s="7"/>
      <c r="EL132" s="7"/>
      <c r="EM132" s="7"/>
      <c r="EN132" s="7"/>
      <c r="EO132" s="7"/>
      <c r="EP132" s="7"/>
    </row>
    <row r="133" customFormat="false" ht="12.8" hidden="false" customHeight="false" outlineLevel="0" collapsed="false">
      <c r="A133" s="7" t="s">
        <v>340</v>
      </c>
      <c r="B133" s="7" t="n">
        <f aca="false">+6247+624</f>
        <v>6871</v>
      </c>
      <c r="C133" s="7" t="n">
        <f aca="false">+4572+521</f>
        <v>5093</v>
      </c>
      <c r="D133" s="7" t="n">
        <v>3643</v>
      </c>
      <c r="E133" s="7" t="n">
        <f aca="false">+103+1614+4401+870</f>
        <v>6988</v>
      </c>
      <c r="F133" s="7" t="n">
        <f aca="false">+121+1964+4718+740</f>
        <v>7543</v>
      </c>
      <c r="G133" s="7" t="n">
        <f aca="false">+538+1808+5108+59</f>
        <v>7513</v>
      </c>
      <c r="H133" s="7" t="n">
        <f aca="false">+725+3944+5091+50</f>
        <v>9810</v>
      </c>
      <c r="I133" s="7" t="n">
        <f aca="false">+727+4779+6101+353</f>
        <v>11960</v>
      </c>
      <c r="J133" s="7" t="n">
        <f aca="false">+744+4812+5587+354</f>
        <v>11497</v>
      </c>
      <c r="K133" s="7" t="n">
        <f aca="false">+1795+5061+6203+342</f>
        <v>13401</v>
      </c>
      <c r="L133" s="7" t="n">
        <f aca="false">+2913+6552+7921+314</f>
        <v>17700</v>
      </c>
      <c r="M133" s="7" t="n">
        <f aca="false">+1084+7019+8460+302</f>
        <v>16865</v>
      </c>
      <c r="N133" s="7" t="n">
        <f aca="false">+894+7371+8746+338</f>
        <v>17349</v>
      </c>
      <c r="O133" s="7" t="n">
        <f aca="false">+932+7864+8660+331</f>
        <v>17787</v>
      </c>
      <c r="P133" s="7" t="n">
        <f aca="false">+654+7882+10330+315</f>
        <v>19181</v>
      </c>
      <c r="Q133" s="7" t="n">
        <f aca="false">+8874+9178+287</f>
        <v>18339</v>
      </c>
      <c r="R133" s="7" t="n">
        <f aca="false">+9026+8109</f>
        <v>17135</v>
      </c>
      <c r="S133" s="7" t="n">
        <f aca="false">+9486+3773+8759</f>
        <v>22018</v>
      </c>
      <c r="T133" s="7"/>
      <c r="U133" s="7"/>
      <c r="V133" s="7"/>
      <c r="W133" s="7"/>
      <c r="X133" s="7"/>
      <c r="Y133" s="7" t="n">
        <f aca="false">+1364+10527</f>
        <v>11891</v>
      </c>
      <c r="Z133" s="7" t="n">
        <f aca="false">+9052+1079</f>
        <v>10131</v>
      </c>
      <c r="AA133" s="7" t="n">
        <f aca="false">+11806+800</f>
        <v>12606</v>
      </c>
      <c r="AB133" s="7" t="n">
        <f aca="false">+1614+4401+870</f>
        <v>6885</v>
      </c>
      <c r="AC133" s="7" t="n">
        <f aca="false">+4779+6101+353</f>
        <v>11233</v>
      </c>
      <c r="AD133" s="7" t="n">
        <f aca="false">+7019+8460+302</f>
        <v>15781</v>
      </c>
      <c r="AE133" s="7" t="n">
        <f aca="false">+8874+9178+287</f>
        <v>18339</v>
      </c>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c r="CW133" s="7"/>
      <c r="CX133" s="7"/>
      <c r="CY133" s="7"/>
      <c r="CZ133" s="7"/>
      <c r="DA133" s="7"/>
      <c r="DB133" s="7"/>
      <c r="DC133" s="7"/>
      <c r="DD133" s="7"/>
      <c r="DE133" s="7"/>
      <c r="DF133" s="7"/>
      <c r="DG133" s="7"/>
      <c r="DH133" s="7"/>
      <c r="DI133" s="7"/>
      <c r="DJ133" s="7"/>
      <c r="DK133" s="7"/>
      <c r="DL133" s="7"/>
      <c r="DM133" s="7"/>
      <c r="DN133" s="7"/>
      <c r="DO133" s="7"/>
      <c r="DP133" s="7"/>
      <c r="DQ133" s="7"/>
      <c r="DR133" s="7"/>
      <c r="DS133" s="7"/>
      <c r="DT133" s="7"/>
      <c r="DU133" s="7"/>
      <c r="DV133" s="7"/>
      <c r="DW133" s="7"/>
      <c r="DX133" s="7"/>
      <c r="DY133" s="7"/>
      <c r="DZ133" s="7"/>
      <c r="EA133" s="7"/>
      <c r="EB133" s="7"/>
      <c r="EC133" s="7"/>
      <c r="ED133" s="7"/>
      <c r="EE133" s="7"/>
      <c r="EF133" s="7"/>
      <c r="EG133" s="7"/>
      <c r="EH133" s="7"/>
      <c r="EI133" s="7"/>
      <c r="EJ133" s="7"/>
      <c r="EK133" s="7"/>
      <c r="EL133" s="7"/>
      <c r="EM133" s="7"/>
      <c r="EN133" s="7"/>
      <c r="EO133" s="7"/>
      <c r="EP133" s="7"/>
    </row>
    <row r="134" customFormat="false" ht="12.8" hidden="false" customHeight="false" outlineLevel="0" collapsed="false">
      <c r="A134" s="7" t="s">
        <v>341</v>
      </c>
      <c r="B134" s="7"/>
      <c r="C134" s="7"/>
      <c r="D134" s="7"/>
      <c r="E134" s="7"/>
      <c r="F134" s="7"/>
      <c r="G134" s="7"/>
      <c r="H134" s="7"/>
      <c r="I134" s="7"/>
      <c r="J134" s="7"/>
      <c r="K134" s="7"/>
      <c r="L134" s="7"/>
      <c r="M134" s="7"/>
      <c r="N134" s="7"/>
      <c r="O134" s="7"/>
      <c r="P134" s="7"/>
      <c r="Q134" s="7" t="n">
        <v>528</v>
      </c>
      <c r="R134" s="7" t="n">
        <v>533</v>
      </c>
      <c r="S134" s="7" t="n">
        <v>521</v>
      </c>
      <c r="T134" s="7"/>
      <c r="U134" s="7"/>
      <c r="V134" s="7"/>
      <c r="W134" s="7"/>
      <c r="X134" s="7"/>
      <c r="Y134" s="7" t="n">
        <v>440</v>
      </c>
      <c r="Z134" s="7" t="n">
        <v>1180</v>
      </c>
      <c r="AA134" s="7" t="n">
        <v>0</v>
      </c>
      <c r="AB134" s="7" t="n">
        <v>103</v>
      </c>
      <c r="AC134" s="7" t="n">
        <v>727</v>
      </c>
      <c r="AD134" s="7" t="n">
        <v>1084</v>
      </c>
      <c r="AE134" s="7" t="n">
        <v>528</v>
      </c>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c r="CC134" s="7"/>
      <c r="CD134" s="7"/>
      <c r="CE134" s="7"/>
      <c r="CF134" s="7"/>
      <c r="CG134" s="7"/>
      <c r="CH134" s="7"/>
      <c r="CI134" s="7"/>
      <c r="CJ134" s="7"/>
      <c r="CK134" s="7"/>
      <c r="CL134" s="7"/>
      <c r="CM134" s="7"/>
      <c r="CN134" s="7"/>
      <c r="CO134" s="7"/>
      <c r="CP134" s="7"/>
      <c r="CQ134" s="7"/>
      <c r="CR134" s="7"/>
      <c r="CS134" s="7"/>
      <c r="CT134" s="7"/>
      <c r="CU134" s="7"/>
      <c r="CV134" s="7"/>
      <c r="CW134" s="7"/>
      <c r="CX134" s="7"/>
      <c r="CY134" s="7"/>
      <c r="CZ134" s="7"/>
      <c r="DA134" s="7"/>
      <c r="DB134" s="7"/>
      <c r="DC134" s="7"/>
      <c r="DD134" s="7"/>
      <c r="DE134" s="7"/>
      <c r="DF134" s="7"/>
      <c r="DG134" s="7"/>
      <c r="DH134" s="7"/>
      <c r="DI134" s="7"/>
      <c r="DJ134" s="7"/>
      <c r="DK134" s="7"/>
      <c r="DL134" s="7"/>
      <c r="DM134" s="7"/>
      <c r="DN134" s="7"/>
      <c r="DO134" s="7"/>
      <c r="DP134" s="7"/>
      <c r="DQ134" s="7"/>
      <c r="DR134" s="7"/>
      <c r="DS134" s="7"/>
      <c r="DT134" s="7"/>
      <c r="DU134" s="7"/>
      <c r="DV134" s="7"/>
      <c r="DW134" s="7"/>
      <c r="DX134" s="7"/>
      <c r="DY134" s="7"/>
      <c r="DZ134" s="7"/>
      <c r="EA134" s="7"/>
      <c r="EB134" s="7"/>
      <c r="EC134" s="7"/>
      <c r="ED134" s="7"/>
      <c r="EE134" s="7"/>
      <c r="EF134" s="7"/>
      <c r="EG134" s="7"/>
      <c r="EH134" s="7"/>
      <c r="EI134" s="7"/>
      <c r="EJ134" s="7"/>
      <c r="EK134" s="7"/>
      <c r="EL134" s="7"/>
      <c r="EM134" s="7"/>
      <c r="EN134" s="7"/>
      <c r="EO134" s="7"/>
      <c r="EP134" s="7"/>
    </row>
    <row r="135" customFormat="false" ht="12.8" hidden="false" customHeight="false" outlineLevel="0" collapsed="false">
      <c r="A135" s="7" t="s">
        <v>342</v>
      </c>
      <c r="B135" s="7" t="n">
        <v>2476</v>
      </c>
      <c r="C135" s="7" t="n">
        <v>2459</v>
      </c>
      <c r="D135" s="7" t="n">
        <v>2468</v>
      </c>
      <c r="E135" s="7" t="n">
        <v>2779</v>
      </c>
      <c r="F135" s="7" t="n">
        <v>2571</v>
      </c>
      <c r="G135" s="7" t="n">
        <v>2576</v>
      </c>
      <c r="H135" s="7" t="n">
        <v>3000</v>
      </c>
      <c r="I135" s="7" t="n">
        <v>3404</v>
      </c>
      <c r="J135" s="7" t="n">
        <v>3708</v>
      </c>
      <c r="K135" s="7" t="n">
        <v>3783</v>
      </c>
      <c r="L135" s="7" t="n">
        <v>3719</v>
      </c>
      <c r="M135" s="7" t="n">
        <v>3333</v>
      </c>
      <c r="N135" s="7" t="n">
        <v>3489</v>
      </c>
      <c r="O135" s="7" t="n">
        <v>3769</v>
      </c>
      <c r="P135" s="7" t="n">
        <v>3773</v>
      </c>
      <c r="Q135" s="7" t="n">
        <v>3827</v>
      </c>
      <c r="R135" s="7" t="n">
        <v>3895</v>
      </c>
      <c r="S135" s="7" t="n">
        <v>4298</v>
      </c>
      <c r="T135" s="7"/>
      <c r="U135" s="7"/>
      <c r="V135" s="7"/>
      <c r="W135" s="7"/>
      <c r="X135" s="7"/>
      <c r="Y135" s="7" t="n">
        <v>1214</v>
      </c>
      <c r="Z135" s="7" t="n">
        <v>1073</v>
      </c>
      <c r="AA135" s="7" t="n">
        <v>2439</v>
      </c>
      <c r="AB135" s="7" t="n">
        <v>2779</v>
      </c>
      <c r="AC135" s="7" t="n">
        <v>3404</v>
      </c>
      <c r="AD135" s="7" t="n">
        <v>3333</v>
      </c>
      <c r="AE135" s="7" t="n">
        <v>3827</v>
      </c>
      <c r="AF135" s="7" t="n">
        <f aca="false">+(AF195/365)*AF61</f>
        <v>3830.76298417966</v>
      </c>
      <c r="AG135" s="7" t="n">
        <f aca="false">+(AG195/365)*AG61</f>
        <v>4405.37743180661</v>
      </c>
      <c r="AH135" s="7" t="n">
        <f aca="false">+(AH195/365)*AH61</f>
        <v>5056.60713911715</v>
      </c>
      <c r="AI135" s="7" t="n">
        <f aca="false">+(AI195/365)*AI61</f>
        <v>5792.11363207965</v>
      </c>
      <c r="AJ135" s="7" t="n">
        <f aca="false">+(AJ195/365)*AJ61</f>
        <v>6619.55843666245</v>
      </c>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c r="CC135" s="7"/>
      <c r="CD135" s="7"/>
      <c r="CE135" s="7"/>
      <c r="CF135" s="7"/>
      <c r="CG135" s="7"/>
      <c r="CH135" s="7"/>
      <c r="CI135" s="7"/>
      <c r="CJ135" s="7"/>
      <c r="CK135" s="7"/>
      <c r="CL135" s="7"/>
      <c r="CM135" s="7"/>
      <c r="CN135" s="7"/>
      <c r="CO135" s="7"/>
      <c r="CP135" s="7"/>
      <c r="CQ135" s="7"/>
      <c r="CR135" s="7"/>
      <c r="CS135" s="7"/>
      <c r="CT135" s="7"/>
      <c r="CU135" s="7"/>
      <c r="CV135" s="7"/>
      <c r="CW135" s="7"/>
      <c r="CX135" s="7"/>
      <c r="CY135" s="7"/>
      <c r="CZ135" s="7"/>
      <c r="DA135" s="7"/>
      <c r="DB135" s="7"/>
      <c r="DC135" s="7"/>
      <c r="DD135" s="7"/>
      <c r="DE135" s="7"/>
      <c r="DF135" s="7"/>
      <c r="DG135" s="7"/>
      <c r="DH135" s="7"/>
      <c r="DI135" s="7"/>
      <c r="DJ135" s="7"/>
      <c r="DK135" s="7"/>
      <c r="DL135" s="7"/>
      <c r="DM135" s="7"/>
      <c r="DN135" s="7"/>
      <c r="DO135" s="7"/>
      <c r="DP135" s="7"/>
      <c r="DQ135" s="7"/>
      <c r="DR135" s="7"/>
      <c r="DS135" s="7"/>
      <c r="DT135" s="7"/>
      <c r="DU135" s="7"/>
      <c r="DV135" s="7"/>
      <c r="DW135" s="7"/>
      <c r="DX135" s="7"/>
      <c r="DY135" s="7"/>
      <c r="DZ135" s="7"/>
      <c r="EA135" s="7"/>
      <c r="EB135" s="7"/>
      <c r="EC135" s="7"/>
      <c r="ED135" s="7"/>
      <c r="EE135" s="7"/>
      <c r="EF135" s="7"/>
      <c r="EG135" s="7"/>
      <c r="EH135" s="7"/>
      <c r="EI135" s="7"/>
      <c r="EJ135" s="7"/>
      <c r="EK135" s="7"/>
      <c r="EL135" s="7"/>
      <c r="EM135" s="7"/>
      <c r="EN135" s="7"/>
      <c r="EO135" s="7"/>
      <c r="EP135" s="7"/>
    </row>
    <row r="136" customFormat="false" ht="12.8" hidden="false" customHeight="false" outlineLevel="0" collapsed="false">
      <c r="A136" s="7" t="s">
        <v>343</v>
      </c>
      <c r="B136" s="7" t="n">
        <v>1462</v>
      </c>
      <c r="C136" s="7" t="n">
        <v>1369</v>
      </c>
      <c r="D136" s="7" t="n">
        <v>1442</v>
      </c>
      <c r="E136" s="7" t="n">
        <v>1479</v>
      </c>
      <c r="F136" s="7" t="n">
        <v>1562</v>
      </c>
      <c r="G136" s="7" t="n">
        <v>1646</v>
      </c>
      <c r="H136" s="7" t="n">
        <v>1673</v>
      </c>
      <c r="I136" s="7" t="n">
        <v>1681</v>
      </c>
      <c r="J136" s="7" t="n">
        <v>1795</v>
      </c>
      <c r="K136" s="7" t="n">
        <v>1632</v>
      </c>
      <c r="L136" s="7" t="n">
        <v>1616</v>
      </c>
      <c r="M136" s="7" t="n">
        <v>1390</v>
      </c>
      <c r="N136" s="7" t="n">
        <v>1582</v>
      </c>
      <c r="O136" s="7" t="n">
        <v>1777</v>
      </c>
      <c r="P136" s="7" t="n">
        <v>1803</v>
      </c>
      <c r="Q136" s="7" t="n">
        <v>1902</v>
      </c>
      <c r="R136" s="7" t="n">
        <v>2157</v>
      </c>
      <c r="S136" s="7" t="n">
        <v>2179</v>
      </c>
      <c r="T136" s="7"/>
      <c r="U136" s="7"/>
      <c r="V136" s="7"/>
      <c r="W136" s="7"/>
      <c r="X136" s="7"/>
      <c r="Y136" s="7" t="n">
        <v>1299</v>
      </c>
      <c r="Z136" s="7" t="n">
        <v>1215</v>
      </c>
      <c r="AA136" s="7" t="n">
        <v>1454</v>
      </c>
      <c r="AB136" s="7" t="n">
        <v>1479</v>
      </c>
      <c r="AC136" s="7" t="n">
        <v>1681</v>
      </c>
      <c r="AD136" s="7" t="n">
        <v>1390</v>
      </c>
      <c r="AE136" s="7" t="n">
        <v>1902</v>
      </c>
      <c r="AF136" s="122" t="n">
        <f aca="false">+AF61*0.03</f>
        <v>1747.78561153197</v>
      </c>
      <c r="AG136" s="122" t="n">
        <f aca="false">+AG61*0.03</f>
        <v>2097.34273383836</v>
      </c>
      <c r="AH136" s="122" t="n">
        <f aca="false">+AH61*0.03</f>
        <v>2516.81128060604</v>
      </c>
      <c r="AI136" s="122" t="n">
        <f aca="false">+AI61*0.03</f>
        <v>3020.17353672724</v>
      </c>
      <c r="AJ136" s="122" t="n">
        <f aca="false">+AJ61*0.03</f>
        <v>3624.20824407269</v>
      </c>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7"/>
      <c r="CD136" s="7"/>
      <c r="CE136" s="7"/>
      <c r="CF136" s="7"/>
      <c r="CG136" s="7"/>
      <c r="CH136" s="7"/>
      <c r="CI136" s="7"/>
      <c r="CJ136" s="7"/>
      <c r="CK136" s="7"/>
      <c r="CL136" s="7"/>
      <c r="CM136" s="7"/>
      <c r="CN136" s="7"/>
      <c r="CO136" s="7"/>
      <c r="CP136" s="7"/>
      <c r="CQ136" s="7"/>
      <c r="CR136" s="7"/>
      <c r="CS136" s="7"/>
      <c r="CT136" s="7"/>
      <c r="CU136" s="7"/>
      <c r="CV136" s="7"/>
      <c r="CW136" s="7"/>
      <c r="CX136" s="7"/>
      <c r="CY136" s="7"/>
      <c r="CZ136" s="7"/>
      <c r="DA136" s="7"/>
      <c r="DB136" s="7"/>
      <c r="DC136" s="7"/>
      <c r="DD136" s="7"/>
      <c r="DE136" s="7"/>
      <c r="DF136" s="7"/>
      <c r="DG136" s="7"/>
      <c r="DH136" s="7"/>
      <c r="DI136" s="7"/>
      <c r="DJ136" s="7"/>
      <c r="DK136" s="7"/>
      <c r="DL136" s="7"/>
      <c r="DM136" s="7"/>
      <c r="DN136" s="7"/>
      <c r="DO136" s="7"/>
      <c r="DP136" s="7"/>
      <c r="DQ136" s="7"/>
      <c r="DR136" s="7"/>
      <c r="DS136" s="7"/>
      <c r="DT136" s="7"/>
      <c r="DU136" s="7"/>
      <c r="DV136" s="7"/>
      <c r="DW136" s="7"/>
      <c r="DX136" s="7"/>
      <c r="DY136" s="7"/>
      <c r="DZ136" s="7"/>
      <c r="EA136" s="7"/>
      <c r="EB136" s="7"/>
      <c r="EC136" s="7"/>
      <c r="ED136" s="7"/>
      <c r="EE136" s="7"/>
      <c r="EF136" s="7"/>
      <c r="EG136" s="7"/>
      <c r="EH136" s="7"/>
      <c r="EI136" s="7"/>
      <c r="EJ136" s="7"/>
      <c r="EK136" s="7"/>
      <c r="EL136" s="7"/>
      <c r="EM136" s="7"/>
      <c r="EN136" s="7"/>
      <c r="EO136" s="7"/>
      <c r="EP136" s="7"/>
      <c r="ER136" s="123"/>
      <c r="ES136" s="123"/>
      <c r="ET136" s="123"/>
      <c r="EU136" s="123"/>
      <c r="EV136" s="123"/>
    </row>
    <row r="137" customFormat="false" ht="12.8" hidden="false" customHeight="false" outlineLevel="0" collapsed="false">
      <c r="A137" s="7"/>
      <c r="B137" s="7"/>
      <c r="C137" s="7"/>
      <c r="D137" s="7"/>
      <c r="E137" s="7"/>
      <c r="F137" s="7"/>
      <c r="G137" s="7"/>
      <c r="H137" s="7"/>
      <c r="I137" s="7"/>
      <c r="J137" s="7"/>
      <c r="K137" s="7"/>
      <c r="L137" s="7"/>
      <c r="M137" s="7"/>
      <c r="N137" s="7"/>
      <c r="O137" s="7"/>
      <c r="P137" s="7"/>
      <c r="Q137" s="7"/>
      <c r="R137" s="7"/>
      <c r="S137" s="7"/>
      <c r="T137" s="7"/>
      <c r="U137" s="7"/>
      <c r="V137" s="7"/>
      <c r="W137" s="7"/>
      <c r="X137" s="7"/>
      <c r="Y137" s="29" t="n">
        <f aca="false">+Y136/Y$61</f>
        <v>0.0918215876157489</v>
      </c>
      <c r="Z137" s="29" t="n">
        <f aca="false">+Z136/Z$61</f>
        <v>0.109071272857699</v>
      </c>
      <c r="AA137" s="29" t="n">
        <f aca="false">+AA136/AA$61</f>
        <v>0.0832884974848154</v>
      </c>
      <c r="AB137" s="29" t="n">
        <f aca="false">+AB136/AB$61</f>
        <v>0.0463918790292027</v>
      </c>
      <c r="AC137" s="29" t="n">
        <f aca="false">+AC136/AC$61</f>
        <v>0.045089643686136</v>
      </c>
      <c r="AD137" s="29" t="n">
        <f aca="false">+AD136/AD$61</f>
        <v>0.0316064452195428</v>
      </c>
      <c r="AE137" s="29" t="n">
        <f aca="false">+AE136/AE$61</f>
        <v>0.0365646676447828</v>
      </c>
      <c r="AF137" s="29" t="n">
        <f aca="false">+AF136/AF$61</f>
        <v>0.03</v>
      </c>
      <c r="AG137" s="29" t="n">
        <f aca="false">+AG136/AG$61</f>
        <v>0.03</v>
      </c>
      <c r="AH137" s="29" t="n">
        <f aca="false">+AH136/AH$61</f>
        <v>0.03</v>
      </c>
      <c r="AI137" s="29" t="n">
        <f aca="false">+AI136/AI$61</f>
        <v>0.03</v>
      </c>
      <c r="AJ137" s="29" t="n">
        <f aca="false">+AJ136/AJ$61</f>
        <v>0.03</v>
      </c>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c r="CC137" s="7"/>
      <c r="CD137" s="7"/>
      <c r="CE137" s="7"/>
      <c r="CF137" s="7"/>
      <c r="CG137" s="7"/>
      <c r="CH137" s="7"/>
      <c r="CI137" s="7"/>
      <c r="CJ137" s="7"/>
      <c r="CK137" s="7"/>
      <c r="CL137" s="7"/>
      <c r="CM137" s="7"/>
      <c r="CN137" s="7"/>
      <c r="CO137" s="7"/>
      <c r="CP137" s="7"/>
      <c r="CQ137" s="7"/>
      <c r="CR137" s="7"/>
      <c r="CS137" s="7"/>
      <c r="CT137" s="7"/>
      <c r="CU137" s="7"/>
      <c r="CV137" s="7"/>
      <c r="CW137" s="7"/>
      <c r="CX137" s="7"/>
      <c r="CY137" s="7"/>
      <c r="CZ137" s="7"/>
      <c r="DA137" s="7"/>
      <c r="DB137" s="7"/>
      <c r="DC137" s="7"/>
      <c r="DD137" s="7"/>
      <c r="DE137" s="7"/>
      <c r="DF137" s="7"/>
      <c r="DG137" s="7"/>
      <c r="DH137" s="7"/>
      <c r="DI137" s="7"/>
      <c r="DJ137" s="7"/>
      <c r="DK137" s="7"/>
      <c r="DL137" s="7"/>
      <c r="DM137" s="7"/>
      <c r="DN137" s="7"/>
      <c r="DO137" s="7"/>
      <c r="DP137" s="7"/>
      <c r="DQ137" s="7"/>
      <c r="DR137" s="7"/>
      <c r="DS137" s="7"/>
      <c r="DT137" s="7"/>
      <c r="DU137" s="7"/>
      <c r="DV137" s="7"/>
      <c r="DW137" s="7"/>
      <c r="DX137" s="7"/>
      <c r="DY137" s="7"/>
      <c r="DZ137" s="7"/>
      <c r="EA137" s="7"/>
      <c r="EB137" s="7"/>
      <c r="EC137" s="7"/>
      <c r="ED137" s="7"/>
      <c r="EE137" s="7"/>
      <c r="EF137" s="7"/>
      <c r="EG137" s="7"/>
      <c r="EH137" s="7"/>
      <c r="EI137" s="7"/>
      <c r="EJ137" s="7"/>
      <c r="EK137" s="7"/>
      <c r="EL137" s="7"/>
      <c r="EM137" s="7"/>
      <c r="EN137" s="7"/>
      <c r="EO137" s="7"/>
      <c r="EP137" s="7"/>
      <c r="ER137" s="123"/>
      <c r="ES137" s="123"/>
      <c r="ET137" s="123"/>
      <c r="EU137" s="123"/>
      <c r="EV137" s="123"/>
    </row>
    <row r="138" s="1" customFormat="true" ht="12.8" hidden="false" customHeight="false" outlineLevel="0" collapsed="false">
      <c r="A138" s="7" t="s">
        <v>344</v>
      </c>
      <c r="B138" s="7" t="n">
        <v>1853</v>
      </c>
      <c r="C138" s="7" t="n">
        <v>1861</v>
      </c>
      <c r="D138" s="7" t="n">
        <f aca="false">+902+1942</f>
        <v>2844</v>
      </c>
      <c r="E138" s="7" t="n">
        <v>2082</v>
      </c>
      <c r="F138" s="7" t="n">
        <v>2142</v>
      </c>
      <c r="G138" s="7" t="n">
        <v>2116</v>
      </c>
      <c r="H138" s="7" t="n">
        <v>2100</v>
      </c>
      <c r="I138" s="7" t="n">
        <v>2073</v>
      </c>
      <c r="J138" s="7" t="n">
        <v>2033</v>
      </c>
      <c r="K138" s="7" t="n">
        <v>2034</v>
      </c>
      <c r="L138" s="7" t="n">
        <v>1982</v>
      </c>
      <c r="M138" s="7" t="n">
        <v>1952</v>
      </c>
      <c r="N138" s="7" t="n">
        <v>1941</v>
      </c>
      <c r="O138" s="7" t="n">
        <v>1948</v>
      </c>
      <c r="P138" s="7" t="n">
        <v>1930</v>
      </c>
      <c r="Q138" s="7" t="n">
        <v>1897</v>
      </c>
      <c r="R138" s="7" t="n">
        <v>1842</v>
      </c>
      <c r="S138" s="7" t="n">
        <v>1809</v>
      </c>
      <c r="T138" s="7"/>
      <c r="U138" s="7"/>
      <c r="V138" s="7"/>
      <c r="W138" s="7"/>
      <c r="X138" s="7"/>
      <c r="Y138" s="7" t="n">
        <v>1731</v>
      </c>
      <c r="Z138" s="7" t="n">
        <v>1814</v>
      </c>
      <c r="AA138" s="7" t="n">
        <v>1853</v>
      </c>
      <c r="AB138" s="7" t="n">
        <v>2082</v>
      </c>
      <c r="AC138" s="7" t="n">
        <v>2073</v>
      </c>
      <c r="AD138" s="7" t="n">
        <v>1952</v>
      </c>
      <c r="AE138" s="7" t="n">
        <v>1897</v>
      </c>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c r="CC138" s="7"/>
      <c r="CD138" s="7"/>
      <c r="CE138" s="7"/>
      <c r="CF138" s="7"/>
      <c r="CG138" s="7"/>
      <c r="CH138" s="7"/>
      <c r="CI138" s="7"/>
      <c r="CJ138" s="7"/>
      <c r="CK138" s="7"/>
      <c r="CL138" s="7"/>
      <c r="CM138" s="7"/>
      <c r="CN138" s="7"/>
      <c r="CO138" s="7"/>
      <c r="CP138" s="7"/>
      <c r="CQ138" s="7"/>
      <c r="CR138" s="7"/>
      <c r="CS138" s="7"/>
      <c r="CT138" s="7"/>
      <c r="CU138" s="7"/>
      <c r="CV138" s="7"/>
      <c r="CW138" s="7"/>
      <c r="CX138" s="7"/>
      <c r="CY138" s="7"/>
      <c r="CZ138" s="7"/>
      <c r="DA138" s="7"/>
      <c r="DB138" s="7"/>
      <c r="DC138" s="7"/>
      <c r="DD138" s="7"/>
      <c r="DE138" s="7"/>
      <c r="DF138" s="7"/>
      <c r="DG138" s="7"/>
      <c r="DH138" s="7"/>
      <c r="DI138" s="7"/>
      <c r="DJ138" s="7"/>
      <c r="DK138" s="7"/>
      <c r="DL138" s="7"/>
      <c r="DM138" s="7"/>
      <c r="DN138" s="7"/>
      <c r="DO138" s="7"/>
      <c r="DP138" s="7"/>
      <c r="DQ138" s="7"/>
      <c r="DR138" s="7"/>
      <c r="DS138" s="7"/>
      <c r="DT138" s="7"/>
      <c r="DU138" s="7"/>
      <c r="DV138" s="7"/>
      <c r="DW138" s="7"/>
      <c r="DX138" s="7"/>
      <c r="DY138" s="7"/>
      <c r="DZ138" s="7"/>
      <c r="EA138" s="7"/>
      <c r="EB138" s="7"/>
      <c r="EC138" s="7"/>
      <c r="ED138" s="7"/>
      <c r="EE138" s="7"/>
      <c r="EF138" s="7"/>
      <c r="EG138" s="7"/>
      <c r="EH138" s="7"/>
      <c r="EI138" s="7"/>
      <c r="EJ138" s="7"/>
      <c r="EK138" s="7"/>
      <c r="EL138" s="7"/>
      <c r="EM138" s="7"/>
      <c r="EN138" s="7"/>
      <c r="EO138" s="7"/>
      <c r="EP138" s="7"/>
    </row>
    <row r="139" s="1" customFormat="true" ht="12.8" hidden="false" customHeight="false" outlineLevel="0" collapsed="false">
      <c r="A139" s="7" t="s">
        <v>345</v>
      </c>
      <c r="B139" s="7" t="n">
        <v>1439</v>
      </c>
      <c r="C139" s="7" t="n">
        <v>1481</v>
      </c>
      <c r="D139" s="7" t="n">
        <v>1405</v>
      </c>
      <c r="E139" s="7" t="n">
        <v>1449</v>
      </c>
      <c r="F139" s="7" t="n">
        <v>1335</v>
      </c>
      <c r="G139" s="7" t="n">
        <v>1295</v>
      </c>
      <c r="H139" s="7" t="n">
        <v>1259</v>
      </c>
      <c r="I139" s="7" t="n">
        <v>1241</v>
      </c>
      <c r="J139" s="7" t="n">
        <v>1216</v>
      </c>
      <c r="K139" s="7" t="n">
        <v>1181</v>
      </c>
      <c r="L139" s="7" t="n">
        <v>1190</v>
      </c>
      <c r="M139" s="7" t="n">
        <v>1158</v>
      </c>
      <c r="N139" s="7" t="n">
        <v>1162</v>
      </c>
      <c r="O139" s="7" t="n">
        <v>1153</v>
      </c>
      <c r="P139" s="7" t="n">
        <v>1126</v>
      </c>
      <c r="Q139" s="7" t="n">
        <v>1114</v>
      </c>
      <c r="R139" s="7" t="n">
        <v>1458</v>
      </c>
      <c r="S139" s="7" t="n">
        <v>1558</v>
      </c>
      <c r="T139" s="7"/>
      <c r="U139" s="7"/>
      <c r="V139" s="7"/>
      <c r="W139" s="7"/>
      <c r="X139" s="7"/>
      <c r="Y139" s="7" t="n">
        <v>1594</v>
      </c>
      <c r="Z139" s="7" t="n">
        <v>1274</v>
      </c>
      <c r="AA139" s="7" t="n">
        <v>1388</v>
      </c>
      <c r="AB139" s="7" t="n">
        <v>1449</v>
      </c>
      <c r="AC139" s="7" t="n">
        <v>1241</v>
      </c>
      <c r="AD139" s="7" t="n">
        <v>1158</v>
      </c>
      <c r="AE139" s="7" t="n">
        <v>1114</v>
      </c>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c r="CC139" s="7"/>
      <c r="CD139" s="7"/>
      <c r="CE139" s="7"/>
      <c r="CF139" s="7"/>
      <c r="CG139" s="7"/>
      <c r="CH139" s="7"/>
      <c r="CI139" s="7"/>
      <c r="CJ139" s="7"/>
      <c r="CK139" s="7"/>
      <c r="CL139" s="7"/>
      <c r="CM139" s="7"/>
      <c r="CN139" s="7"/>
      <c r="CO139" s="7"/>
      <c r="CP139" s="7"/>
      <c r="CQ139" s="7"/>
      <c r="CR139" s="7"/>
      <c r="CS139" s="7"/>
      <c r="CT139" s="7"/>
      <c r="CU139" s="7"/>
      <c r="CV139" s="7"/>
      <c r="CW139" s="7"/>
      <c r="CX139" s="7"/>
      <c r="CY139" s="7"/>
      <c r="CZ139" s="7"/>
      <c r="DA139" s="7"/>
      <c r="DB139" s="7"/>
      <c r="DC139" s="7"/>
      <c r="DD139" s="7"/>
      <c r="DE139" s="7"/>
      <c r="DF139" s="7"/>
      <c r="DG139" s="7"/>
      <c r="DH139" s="7"/>
      <c r="DI139" s="7"/>
      <c r="DJ139" s="7"/>
      <c r="DK139" s="7"/>
      <c r="DL139" s="7"/>
      <c r="DM139" s="7"/>
      <c r="DN139" s="7"/>
      <c r="DO139" s="7"/>
      <c r="DP139" s="7"/>
      <c r="DQ139" s="7"/>
      <c r="DR139" s="7"/>
      <c r="DS139" s="7"/>
      <c r="DT139" s="7"/>
      <c r="DU139" s="7"/>
      <c r="DV139" s="7"/>
      <c r="DW139" s="7"/>
      <c r="DX139" s="7"/>
      <c r="DY139" s="7"/>
      <c r="DZ139" s="7"/>
      <c r="EA139" s="7"/>
      <c r="EB139" s="7"/>
      <c r="EC139" s="7"/>
      <c r="ED139" s="7"/>
      <c r="EE139" s="7"/>
      <c r="EF139" s="7"/>
      <c r="EG139" s="7"/>
      <c r="EH139" s="7"/>
      <c r="EI139" s="7"/>
      <c r="EJ139" s="7"/>
      <c r="EK139" s="7"/>
      <c r="EL139" s="7"/>
      <c r="EM139" s="7"/>
      <c r="EN139" s="7"/>
      <c r="EO139" s="7"/>
      <c r="EP139" s="7"/>
    </row>
    <row r="140" customFormat="false" ht="12.8" hidden="false" customHeight="false" outlineLevel="0" collapsed="false">
      <c r="A140" s="7" t="s">
        <v>346</v>
      </c>
      <c r="B140" s="7" t="n">
        <v>2269</v>
      </c>
      <c r="C140" s="7" t="n">
        <v>2122</v>
      </c>
      <c r="D140" s="7" t="n">
        <v>1992</v>
      </c>
      <c r="E140" s="7" t="n">
        <v>1874</v>
      </c>
      <c r="F140" s="7" t="n">
        <v>1766</v>
      </c>
      <c r="G140" s="7" t="n">
        <v>1607</v>
      </c>
      <c r="H140" s="7" t="n">
        <v>1511</v>
      </c>
      <c r="I140" s="7" t="n">
        <v>1425</v>
      </c>
      <c r="J140" s="7" t="n">
        <v>1335</v>
      </c>
      <c r="K140" s="7" t="n">
        <v>1265</v>
      </c>
      <c r="L140" s="7" t="n">
        <v>1192</v>
      </c>
      <c r="M140" s="7" t="n">
        <v>1125</v>
      </c>
      <c r="N140" s="7" t="n">
        <v>1065</v>
      </c>
      <c r="O140" s="7" t="n">
        <v>1187</v>
      </c>
      <c r="P140" s="7" t="n">
        <v>1104</v>
      </c>
      <c r="Q140" s="7" t="n">
        <v>1048</v>
      </c>
      <c r="R140" s="7" t="n">
        <v>990</v>
      </c>
      <c r="S140" s="7" t="n">
        <v>1132</v>
      </c>
      <c r="T140" s="7"/>
      <c r="U140" s="7"/>
      <c r="V140" s="7"/>
      <c r="W140" s="7"/>
      <c r="X140" s="7"/>
      <c r="Y140" s="7" t="n">
        <v>71</v>
      </c>
      <c r="Z140" s="7" t="n">
        <v>1564</v>
      </c>
      <c r="AA140" s="7" t="n">
        <v>2412</v>
      </c>
      <c r="AB140" s="7" t="n">
        <v>1874</v>
      </c>
      <c r="AC140" s="7" t="n">
        <v>1425</v>
      </c>
      <c r="AD140" s="7" t="n">
        <v>1125</v>
      </c>
      <c r="AE140" s="7" t="n">
        <v>1048</v>
      </c>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c r="CC140" s="7"/>
      <c r="CD140" s="7"/>
      <c r="CE140" s="7"/>
      <c r="CF140" s="7"/>
      <c r="CG140" s="7"/>
      <c r="CH140" s="7"/>
      <c r="CI140" s="7"/>
      <c r="CJ140" s="7"/>
      <c r="CK140" s="7"/>
      <c r="CL140" s="7"/>
      <c r="CM140" s="7"/>
      <c r="CN140" s="7"/>
      <c r="CO140" s="7"/>
      <c r="CP140" s="7"/>
      <c r="CQ140" s="7"/>
      <c r="CR140" s="7"/>
      <c r="CS140" s="7"/>
      <c r="CT140" s="7"/>
      <c r="CU140" s="7"/>
      <c r="CV140" s="7"/>
      <c r="CW140" s="7"/>
      <c r="CX140" s="7"/>
      <c r="CY140" s="7"/>
      <c r="CZ140" s="7"/>
      <c r="DA140" s="7"/>
      <c r="DB140" s="7"/>
      <c r="DC140" s="7"/>
      <c r="DD140" s="7"/>
      <c r="DE140" s="7"/>
      <c r="DF140" s="7"/>
      <c r="DG140" s="7"/>
      <c r="DH140" s="7"/>
      <c r="DI140" s="7"/>
      <c r="DJ140" s="7"/>
      <c r="DK140" s="7"/>
      <c r="DL140" s="7"/>
      <c r="DM140" s="7"/>
      <c r="DN140" s="7"/>
      <c r="DO140" s="7"/>
      <c r="DP140" s="7"/>
      <c r="DQ140" s="7"/>
      <c r="DR140" s="7"/>
      <c r="DS140" s="7"/>
      <c r="DT140" s="7"/>
      <c r="DU140" s="7"/>
      <c r="DV140" s="7"/>
      <c r="DW140" s="7"/>
      <c r="DX140" s="7"/>
      <c r="DY140" s="7"/>
      <c r="DZ140" s="7"/>
      <c r="EA140" s="7"/>
      <c r="EB140" s="7"/>
      <c r="EC140" s="7"/>
      <c r="ED140" s="7"/>
      <c r="EE140" s="7"/>
      <c r="EF140" s="7"/>
      <c r="EG140" s="7"/>
      <c r="EH140" s="7"/>
      <c r="EI140" s="7"/>
      <c r="EJ140" s="7"/>
      <c r="EK140" s="7"/>
      <c r="EL140" s="7"/>
      <c r="EM140" s="7"/>
      <c r="EN140" s="7"/>
      <c r="EO140" s="7"/>
      <c r="EP140" s="7"/>
      <c r="ER140" s="123"/>
      <c r="ES140" s="123"/>
      <c r="ET140" s="123"/>
      <c r="EU140" s="123"/>
      <c r="EV140" s="123"/>
    </row>
    <row r="141" customFormat="false" ht="12.8" hidden="false" customHeight="false" outlineLevel="0" collapsed="false">
      <c r="A141" s="7" t="s">
        <v>347</v>
      </c>
      <c r="B141" s="7" t="n">
        <v>8435</v>
      </c>
      <c r="C141" s="7" t="n">
        <v>8359</v>
      </c>
      <c r="D141" s="7" t="n">
        <v>8300</v>
      </c>
      <c r="E141" s="7" t="n">
        <v>8263</v>
      </c>
      <c r="F141" s="7" t="n">
        <v>8185</v>
      </c>
      <c r="G141" s="7" t="n">
        <v>8151</v>
      </c>
      <c r="H141" s="7" t="n">
        <v>8140</v>
      </c>
      <c r="I141" s="7" t="n">
        <v>8151</v>
      </c>
      <c r="J141" s="7" t="n">
        <v>8089</v>
      </c>
      <c r="K141" s="7" t="n">
        <v>8083</v>
      </c>
      <c r="L141" s="7" t="n">
        <v>8086</v>
      </c>
      <c r="M141" s="7" t="n">
        <v>8066</v>
      </c>
      <c r="N141" s="7" t="n">
        <v>8069</v>
      </c>
      <c r="O141" s="7" t="n">
        <v>8907</v>
      </c>
      <c r="P141" s="7" t="n">
        <v>8917</v>
      </c>
      <c r="Q141" s="7" t="n">
        <v>8931</v>
      </c>
      <c r="R141" s="7" t="n">
        <v>8919</v>
      </c>
      <c r="S141" s="7" t="n">
        <v>9472</v>
      </c>
      <c r="T141" s="7"/>
      <c r="U141" s="7"/>
      <c r="V141" s="7"/>
      <c r="W141" s="7"/>
      <c r="X141" s="7"/>
      <c r="Y141" s="7" t="n">
        <v>167</v>
      </c>
      <c r="Z141" s="7" t="n">
        <v>6109</v>
      </c>
      <c r="AA141" s="7" t="n">
        <v>8420</v>
      </c>
      <c r="AB141" s="7" t="n">
        <v>8263</v>
      </c>
      <c r="AC141" s="7" t="n">
        <v>8151</v>
      </c>
      <c r="AD141" s="7" t="n">
        <v>8066</v>
      </c>
      <c r="AE141" s="7" t="n">
        <v>8931</v>
      </c>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c r="CC141" s="7"/>
      <c r="CD141" s="7"/>
      <c r="CE141" s="7"/>
      <c r="CF141" s="7"/>
      <c r="CG141" s="7"/>
      <c r="CH141" s="7"/>
      <c r="CI141" s="7"/>
      <c r="CJ141" s="7"/>
      <c r="CK141" s="7"/>
      <c r="CL141" s="7"/>
      <c r="CM141" s="7"/>
      <c r="CN141" s="7"/>
      <c r="CO141" s="7"/>
      <c r="CP141" s="7"/>
      <c r="CQ141" s="7"/>
      <c r="CR141" s="7"/>
      <c r="CS141" s="7"/>
      <c r="CT141" s="7"/>
      <c r="CU141" s="7"/>
      <c r="CV141" s="7"/>
      <c r="CW141" s="7"/>
      <c r="CX141" s="7"/>
      <c r="CY141" s="7"/>
      <c r="CZ141" s="7"/>
      <c r="DA141" s="7"/>
      <c r="DB141" s="7"/>
      <c r="DC141" s="7"/>
      <c r="DD141" s="7"/>
      <c r="DE141" s="7"/>
      <c r="DF141" s="7"/>
      <c r="DG141" s="7"/>
      <c r="DH141" s="7"/>
      <c r="DI141" s="7"/>
      <c r="DJ141" s="7"/>
      <c r="DK141" s="7"/>
      <c r="DL141" s="7"/>
      <c r="DM141" s="7"/>
      <c r="DN141" s="7"/>
      <c r="DO141" s="7"/>
      <c r="DP141" s="7"/>
      <c r="DQ141" s="7"/>
      <c r="DR141" s="7"/>
      <c r="DS141" s="7"/>
      <c r="DT141" s="7"/>
      <c r="DU141" s="7"/>
      <c r="DV141" s="7"/>
      <c r="DW141" s="7"/>
      <c r="DX141" s="7"/>
      <c r="DY141" s="7"/>
      <c r="DZ141" s="7"/>
      <c r="EA141" s="7"/>
      <c r="EB141" s="7"/>
      <c r="EC141" s="7"/>
      <c r="ED141" s="7"/>
      <c r="EE141" s="7"/>
      <c r="EF141" s="7"/>
      <c r="EG141" s="7"/>
      <c r="EH141" s="7"/>
      <c r="EI141" s="7"/>
      <c r="EJ141" s="7"/>
      <c r="EK141" s="7"/>
      <c r="EL141" s="7"/>
      <c r="EM141" s="7"/>
      <c r="EN141" s="7"/>
      <c r="EO141" s="7"/>
      <c r="EP141" s="7"/>
      <c r="ER141" s="123"/>
      <c r="ES141" s="123"/>
      <c r="ET141" s="123"/>
      <c r="EU141" s="123"/>
      <c r="EV141" s="123"/>
    </row>
    <row r="142" s="1" customFormat="true" ht="12.8" hidden="false" customHeight="false" outlineLevel="0" collapsed="false">
      <c r="A142" s="7" t="s">
        <v>348</v>
      </c>
      <c r="B142" s="7" t="n">
        <v>0</v>
      </c>
      <c r="C142" s="7" t="n">
        <v>0</v>
      </c>
      <c r="D142" s="7" t="n">
        <v>0</v>
      </c>
      <c r="E142" s="7" t="n">
        <v>0</v>
      </c>
      <c r="F142" s="7" t="n">
        <v>0</v>
      </c>
      <c r="G142" s="7" t="n">
        <v>0</v>
      </c>
      <c r="H142" s="7" t="n">
        <v>0</v>
      </c>
      <c r="I142" s="7" t="n">
        <v>170</v>
      </c>
      <c r="J142" s="7" t="n">
        <v>0</v>
      </c>
      <c r="K142" s="7" t="n">
        <v>0</v>
      </c>
      <c r="L142" s="7" t="n">
        <v>0</v>
      </c>
      <c r="M142" s="7" t="n">
        <v>6171</v>
      </c>
      <c r="N142" s="7" t="n">
        <v>6592</v>
      </c>
      <c r="O142" s="7" t="n">
        <v>6524</v>
      </c>
      <c r="P142" s="7" t="n">
        <v>10710</v>
      </c>
      <c r="Q142" s="7" t="n">
        <v>10951</v>
      </c>
      <c r="R142" s="7" t="n">
        <v>10844</v>
      </c>
      <c r="S142" s="7" t="n">
        <v>10162</v>
      </c>
      <c r="T142" s="7"/>
      <c r="U142" s="7"/>
      <c r="V142" s="7"/>
      <c r="W142" s="7"/>
      <c r="X142" s="7"/>
      <c r="Y142" s="7" t="n">
        <v>0</v>
      </c>
      <c r="Z142" s="7" t="n">
        <v>0</v>
      </c>
      <c r="AA142" s="7" t="n">
        <v>0</v>
      </c>
      <c r="AB142" s="7" t="n">
        <v>0</v>
      </c>
      <c r="AC142" s="7" t="n">
        <v>170</v>
      </c>
      <c r="AD142" s="7" t="n">
        <v>6171</v>
      </c>
      <c r="AE142" s="7" t="n">
        <v>10951</v>
      </c>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c r="CC142" s="7"/>
      <c r="CD142" s="7"/>
      <c r="CE142" s="7"/>
      <c r="CF142" s="7"/>
      <c r="CG142" s="7"/>
      <c r="CH142" s="7"/>
      <c r="CI142" s="7"/>
      <c r="CJ142" s="7"/>
      <c r="CK142" s="7"/>
      <c r="CL142" s="7"/>
      <c r="CM142" s="7"/>
      <c r="CN142" s="7"/>
      <c r="CO142" s="7"/>
      <c r="CP142" s="7"/>
      <c r="CQ142" s="7"/>
      <c r="CR142" s="7"/>
      <c r="CS142" s="7"/>
      <c r="CT142" s="7"/>
      <c r="CU142" s="7"/>
      <c r="CV142" s="7"/>
      <c r="CW142" s="7"/>
      <c r="CX142" s="7"/>
      <c r="CY142" s="7"/>
      <c r="CZ142" s="7"/>
      <c r="DA142" s="7"/>
      <c r="DB142" s="7"/>
      <c r="DC142" s="7"/>
      <c r="DD142" s="7"/>
      <c r="DE142" s="7"/>
      <c r="DF142" s="7"/>
      <c r="DG142" s="7"/>
      <c r="DH142" s="7"/>
      <c r="DI142" s="7"/>
      <c r="DJ142" s="7"/>
      <c r="DK142" s="7"/>
      <c r="DL142" s="7"/>
      <c r="DM142" s="7"/>
      <c r="DN142" s="7"/>
      <c r="DO142" s="7"/>
      <c r="DP142" s="7"/>
      <c r="DQ142" s="7"/>
      <c r="DR142" s="7"/>
      <c r="DS142" s="7"/>
      <c r="DT142" s="7"/>
      <c r="DU142" s="7"/>
      <c r="DV142" s="7"/>
      <c r="DW142" s="7"/>
      <c r="DX142" s="7"/>
      <c r="DY142" s="7"/>
      <c r="DZ142" s="7"/>
      <c r="EA142" s="7"/>
      <c r="EB142" s="7"/>
      <c r="EC142" s="7"/>
      <c r="ED142" s="7"/>
      <c r="EE142" s="7"/>
      <c r="EF142" s="7"/>
      <c r="EG142" s="7"/>
      <c r="EH142" s="7"/>
      <c r="EI142" s="7"/>
      <c r="EJ142" s="7"/>
      <c r="EK142" s="7"/>
      <c r="EL142" s="7"/>
      <c r="EM142" s="7"/>
      <c r="EN142" s="7"/>
      <c r="EO142" s="7"/>
      <c r="EP142" s="7"/>
    </row>
    <row r="143" s="1" customFormat="true" ht="12.8" hidden="false" customHeight="false" outlineLevel="0" collapsed="false">
      <c r="A143" s="7" t="s">
        <v>284</v>
      </c>
      <c r="B143" s="7" t="n">
        <v>415</v>
      </c>
      <c r="C143" s="7" t="n">
        <v>406</v>
      </c>
      <c r="D143" s="7" t="n">
        <v>384</v>
      </c>
      <c r="E143" s="7" t="n">
        <v>518</v>
      </c>
      <c r="F143" s="7" t="n">
        <v>554</v>
      </c>
      <c r="G143" s="7" t="n">
        <v>704</v>
      </c>
      <c r="H143" s="7" t="n">
        <v>1591</v>
      </c>
      <c r="I143" s="7" t="n">
        <v>1590</v>
      </c>
      <c r="J143" s="7" t="n">
        <v>1942</v>
      </c>
      <c r="K143" s="7" t="n">
        <v>2254</v>
      </c>
      <c r="L143" s="7" t="n">
        <v>2629</v>
      </c>
      <c r="M143" s="7" t="n">
        <v>2574</v>
      </c>
      <c r="N143" s="7" t="n">
        <v>2973</v>
      </c>
      <c r="O143" s="7" t="n">
        <v>3263</v>
      </c>
      <c r="P143" s="7" t="n">
        <v>3317</v>
      </c>
      <c r="Q143" s="7" t="n">
        <v>3618</v>
      </c>
      <c r="R143" s="7" t="n">
        <v>3734</v>
      </c>
      <c r="S143" s="7" t="n">
        <v>5475</v>
      </c>
      <c r="T143" s="7"/>
      <c r="U143" s="7"/>
      <c r="V143" s="7"/>
      <c r="W143" s="7"/>
      <c r="X143" s="7"/>
      <c r="Y143" s="7" t="n">
        <v>88</v>
      </c>
      <c r="Z143" s="7" t="n">
        <f aca="false">+124+517+860</f>
        <v>1501</v>
      </c>
      <c r="AA143" s="7" t="n">
        <v>397</v>
      </c>
      <c r="AB143" s="7" t="n">
        <v>518</v>
      </c>
      <c r="AC143" s="7" t="n">
        <v>1590</v>
      </c>
      <c r="AD143" s="7" t="n">
        <v>2574</v>
      </c>
      <c r="AE143" s="7" t="n">
        <v>3618</v>
      </c>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c r="CC143" s="7"/>
      <c r="CD143" s="7"/>
      <c r="CE143" s="7"/>
      <c r="CF143" s="7"/>
      <c r="CG143" s="7"/>
      <c r="CH143" s="7"/>
      <c r="CI143" s="7"/>
      <c r="CJ143" s="7"/>
      <c r="CK143" s="7"/>
      <c r="CL143" s="7"/>
      <c r="CM143" s="7"/>
      <c r="CN143" s="7"/>
      <c r="CO143" s="7"/>
      <c r="CP143" s="7"/>
      <c r="CQ143" s="7"/>
      <c r="CR143" s="7"/>
      <c r="CS143" s="7"/>
      <c r="CT143" s="7"/>
      <c r="CU143" s="7"/>
      <c r="CV143" s="7"/>
      <c r="CW143" s="7"/>
      <c r="CX143" s="7"/>
      <c r="CY143" s="7"/>
      <c r="CZ143" s="7"/>
      <c r="DA143" s="7"/>
      <c r="DB143" s="7"/>
      <c r="DC143" s="7"/>
      <c r="DD143" s="7"/>
      <c r="DE143" s="7"/>
      <c r="DF143" s="7"/>
      <c r="DG143" s="7"/>
      <c r="DH143" s="7"/>
      <c r="DI143" s="7"/>
      <c r="DJ143" s="7"/>
      <c r="DK143" s="7"/>
      <c r="DL143" s="7"/>
      <c r="DM143" s="7"/>
      <c r="DN143" s="7"/>
      <c r="DO143" s="7"/>
      <c r="DP143" s="7"/>
      <c r="DQ143" s="7"/>
      <c r="DR143" s="7"/>
      <c r="DS143" s="7"/>
      <c r="DT143" s="7"/>
      <c r="DU143" s="7"/>
      <c r="DV143" s="7"/>
      <c r="DW143" s="7"/>
      <c r="DX143" s="7"/>
      <c r="DY143" s="7"/>
      <c r="DZ143" s="7"/>
      <c r="EA143" s="7"/>
      <c r="EB143" s="7"/>
      <c r="EC143" s="7"/>
      <c r="ED143" s="7"/>
      <c r="EE143" s="7"/>
      <c r="EF143" s="7"/>
      <c r="EG143" s="7"/>
      <c r="EH143" s="7"/>
      <c r="EI143" s="7"/>
      <c r="EJ143" s="7"/>
      <c r="EK143" s="7"/>
      <c r="EL143" s="7"/>
      <c r="EM143" s="7"/>
      <c r="EN143" s="7"/>
      <c r="EO143" s="7"/>
      <c r="EP143" s="7"/>
    </row>
    <row r="144" s="1" customFormat="true" ht="12.8" hidden="false" customHeight="false" outlineLevel="0" collapsed="false">
      <c r="A144" s="7" t="s">
        <v>349</v>
      </c>
      <c r="B144" s="7" t="n">
        <f aca="false">SUM(B132:B143)</f>
        <v>32812</v>
      </c>
      <c r="C144" s="7" t="n">
        <f aca="false">SUM(C132:C143)</f>
        <v>31014</v>
      </c>
      <c r="D144" s="7" t="n">
        <f aca="false">SUM(D132:D143)</f>
        <v>31112</v>
      </c>
      <c r="E144" s="7" t="n">
        <f aca="false">SUM(E132:E143)</f>
        <v>32109</v>
      </c>
      <c r="F144" s="7" t="n">
        <f aca="false">SUM(F132:F143)</f>
        <v>32451</v>
      </c>
      <c r="G144" s="7" t="n">
        <f aca="false">SUM(G132:G143)</f>
        <v>34068</v>
      </c>
      <c r="H144" s="7" t="n">
        <f aca="false">SUM(H132:H143)</f>
        <v>35949</v>
      </c>
      <c r="I144" s="7" t="n">
        <f aca="false">SUM(I132:I143)</f>
        <v>38699</v>
      </c>
      <c r="J144" s="7" t="n">
        <f aca="false">SUM(J132:J143)</f>
        <v>39599</v>
      </c>
      <c r="K144" s="7" t="n">
        <f aca="false">SUM(K132:K143)</f>
        <v>41514</v>
      </c>
      <c r="L144" s="7" t="n">
        <f aca="false">SUM(L132:L143)</f>
        <v>47117</v>
      </c>
      <c r="M144" s="7" t="n">
        <f aca="false">SUM(M132:M143)</f>
        <v>51244</v>
      </c>
      <c r="N144" s="7" t="n">
        <f aca="false">SUM(N132:N143)</f>
        <v>52822</v>
      </c>
      <c r="O144" s="7" t="n">
        <f aca="false">SUM(O132:O143)</f>
        <v>55982</v>
      </c>
      <c r="P144" s="7" t="n">
        <f aca="false">SUM(P132:P143)</f>
        <v>63344</v>
      </c>
      <c r="Q144" s="7" t="n">
        <f aca="false">SUM(Q132:Q143)</f>
        <v>61802</v>
      </c>
      <c r="R144" s="7" t="n">
        <f aca="false">SUM(R132:R143)</f>
        <v>59885</v>
      </c>
      <c r="S144" s="7" t="n">
        <f aca="false">SUM(S132:S143)</f>
        <v>65801</v>
      </c>
      <c r="T144" s="7"/>
      <c r="U144" s="7"/>
      <c r="V144" s="7"/>
      <c r="W144" s="7"/>
      <c r="X144" s="7"/>
      <c r="Y144" s="7" t="n">
        <f aca="false">SUM(Y132:Y143)</f>
        <v>31761.0918215876</v>
      </c>
      <c r="Z144" s="7" t="n">
        <f aca="false">SUM(Z132:Z143)</f>
        <v>33252.1090712729</v>
      </c>
      <c r="AA144" s="7" t="n">
        <f aca="false">SUM(AA132:AA143)</f>
        <v>38774.0832884975</v>
      </c>
      <c r="AB144" s="7" t="n">
        <f aca="false">SUM(AB132:AB143)</f>
        <v>32109.046391879</v>
      </c>
      <c r="AC144" s="7" t="n">
        <f aca="false">SUM(AC132:AC143)</f>
        <v>38699.0450896437</v>
      </c>
      <c r="AD144" s="7" t="n">
        <f aca="false">SUM(AD132:AD143)</f>
        <v>51244.0316064452</v>
      </c>
      <c r="AE144" s="7" t="n">
        <f aca="false">SUM(AE132:AE143)</f>
        <v>61802.0365646676</v>
      </c>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c r="CC144" s="7"/>
      <c r="CD144" s="7"/>
      <c r="CE144" s="7"/>
      <c r="CF144" s="7"/>
      <c r="CG144" s="7"/>
      <c r="CH144" s="7"/>
      <c r="CI144" s="7"/>
      <c r="CJ144" s="7"/>
      <c r="CK144" s="7"/>
      <c r="CL144" s="7"/>
      <c r="CM144" s="7"/>
      <c r="CN144" s="7"/>
      <c r="CO144" s="7"/>
      <c r="CP144" s="7"/>
      <c r="CQ144" s="7"/>
      <c r="CR144" s="7"/>
      <c r="CS144" s="7"/>
      <c r="CT144" s="7"/>
      <c r="CU144" s="7"/>
      <c r="CV144" s="7"/>
      <c r="CW144" s="7"/>
      <c r="CX144" s="7"/>
      <c r="CY144" s="7"/>
      <c r="CZ144" s="7"/>
      <c r="DA144" s="7"/>
      <c r="DB144" s="7"/>
      <c r="DC144" s="7"/>
      <c r="DD144" s="7"/>
      <c r="DE144" s="7"/>
      <c r="DF144" s="7"/>
      <c r="DG144" s="7"/>
      <c r="DH144" s="7"/>
      <c r="DI144" s="7"/>
      <c r="DJ144" s="7"/>
      <c r="DK144" s="7"/>
      <c r="DL144" s="7"/>
      <c r="DM144" s="7"/>
      <c r="DN144" s="7"/>
      <c r="DO144" s="7"/>
      <c r="DP144" s="7"/>
      <c r="DQ144" s="7"/>
      <c r="DR144" s="7"/>
      <c r="DS144" s="7"/>
      <c r="DT144" s="7"/>
      <c r="DU144" s="7"/>
      <c r="DV144" s="7"/>
      <c r="DW144" s="7"/>
      <c r="DX144" s="7"/>
      <c r="DY144" s="7"/>
      <c r="DZ144" s="7"/>
      <c r="EA144" s="7"/>
      <c r="EB144" s="7"/>
      <c r="EC144" s="7"/>
      <c r="ED144" s="7"/>
      <c r="EE144" s="7"/>
      <c r="EF144" s="7"/>
      <c r="EG144" s="7"/>
      <c r="EH144" s="7"/>
      <c r="EI144" s="7"/>
      <c r="EJ144" s="7"/>
      <c r="EK144" s="7"/>
      <c r="EL144" s="7"/>
      <c r="EM144" s="7"/>
      <c r="EN144" s="7"/>
      <c r="EO144" s="7"/>
      <c r="EP144" s="7"/>
    </row>
    <row r="145" s="1" customFormat="true" ht="12.8" hidden="false" customHeight="false" outlineLevel="0" collapsed="false">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112"/>
      <c r="AA145" s="112"/>
      <c r="AB145" s="112"/>
      <c r="AC145" s="112"/>
      <c r="AD145" s="112"/>
      <c r="AE145" s="112"/>
      <c r="AF145" s="112"/>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c r="CC145" s="7"/>
      <c r="CD145" s="7"/>
      <c r="CE145" s="7"/>
      <c r="CF145" s="7"/>
      <c r="CG145" s="7"/>
      <c r="CH145" s="7"/>
      <c r="CI145" s="7"/>
      <c r="CJ145" s="7"/>
      <c r="CK145" s="7"/>
      <c r="CL145" s="7"/>
      <c r="CM145" s="7"/>
      <c r="CN145" s="7"/>
      <c r="CO145" s="7"/>
      <c r="CP145" s="7"/>
      <c r="CQ145" s="7"/>
      <c r="CR145" s="7"/>
      <c r="CS145" s="7"/>
      <c r="CT145" s="7"/>
      <c r="CU145" s="7"/>
      <c r="CV145" s="7"/>
      <c r="CW145" s="7"/>
      <c r="CX145" s="7"/>
      <c r="CY145" s="7"/>
      <c r="CZ145" s="7"/>
      <c r="DA145" s="7"/>
      <c r="DB145" s="7"/>
      <c r="DC145" s="7"/>
      <c r="DD145" s="7"/>
      <c r="DE145" s="7"/>
      <c r="DF145" s="7"/>
      <c r="DG145" s="7"/>
      <c r="DH145" s="7"/>
      <c r="DI145" s="7"/>
      <c r="DJ145" s="7"/>
      <c r="DK145" s="7"/>
      <c r="DL145" s="7"/>
      <c r="DM145" s="7"/>
      <c r="DN145" s="7"/>
      <c r="DO145" s="7"/>
      <c r="DP145" s="7"/>
      <c r="DQ145" s="7"/>
      <c r="DR145" s="7"/>
      <c r="DS145" s="7"/>
      <c r="DT145" s="7"/>
      <c r="DU145" s="7"/>
      <c r="DV145" s="7"/>
      <c r="DW145" s="7"/>
      <c r="DX145" s="7"/>
      <c r="DY145" s="7"/>
      <c r="DZ145" s="7"/>
      <c r="EA145" s="7"/>
      <c r="EB145" s="7"/>
      <c r="EC145" s="7"/>
      <c r="ED145" s="7"/>
      <c r="EE145" s="7"/>
      <c r="EF145" s="7"/>
      <c r="EG145" s="7"/>
      <c r="EH145" s="7"/>
      <c r="EI145" s="7"/>
      <c r="EJ145" s="7"/>
      <c r="EK145" s="7"/>
      <c r="EL145" s="7"/>
      <c r="EM145" s="7"/>
      <c r="EN145" s="7"/>
      <c r="EO145" s="7"/>
      <c r="EP145" s="7"/>
    </row>
    <row r="146" s="1" customFormat="true" ht="12.8" hidden="false" customHeight="false" outlineLevel="0" collapsed="false">
      <c r="A146" s="7" t="s">
        <v>350</v>
      </c>
      <c r="B146" s="7" t="n">
        <v>862</v>
      </c>
      <c r="C146" s="7" t="n">
        <v>810</v>
      </c>
      <c r="D146" s="7" t="n">
        <v>774</v>
      </c>
      <c r="E146" s="7" t="n">
        <v>728</v>
      </c>
      <c r="F146" s="7" t="n">
        <v>712</v>
      </c>
      <c r="G146" s="7" t="n">
        <v>694</v>
      </c>
      <c r="H146" s="7" t="n">
        <v>799</v>
      </c>
      <c r="I146" s="7" t="n">
        <v>790</v>
      </c>
      <c r="J146" s="7" t="n">
        <v>833</v>
      </c>
      <c r="K146" s="7" t="n">
        <v>752</v>
      </c>
      <c r="L146" s="7" t="n">
        <v>802</v>
      </c>
      <c r="M146" s="7" t="n">
        <v>858</v>
      </c>
      <c r="N146" s="7" t="n">
        <v>873</v>
      </c>
      <c r="O146" s="7" t="n">
        <v>1022</v>
      </c>
      <c r="P146" s="7" t="n">
        <v>1119</v>
      </c>
      <c r="Q146" s="7" t="n">
        <v>1013</v>
      </c>
      <c r="R146" s="7" t="n">
        <v>1189</v>
      </c>
      <c r="S146" s="7" t="n">
        <v>1366</v>
      </c>
      <c r="T146" s="7"/>
      <c r="U146" s="7"/>
      <c r="V146" s="7"/>
      <c r="W146" s="7"/>
      <c r="X146" s="7"/>
      <c r="Y146" s="7" t="n">
        <v>272</v>
      </c>
      <c r="Z146" s="7" t="n">
        <v>235</v>
      </c>
      <c r="AA146" s="7" t="n">
        <v>860</v>
      </c>
      <c r="AB146" s="7" t="n">
        <v>728</v>
      </c>
      <c r="AC146" s="7" t="n">
        <v>790</v>
      </c>
      <c r="AD146" s="7" t="n">
        <v>858</v>
      </c>
      <c r="AE146" s="7" t="n">
        <v>1013</v>
      </c>
      <c r="AF146" s="7" t="n">
        <f aca="false">+(AF196/365)*AF63</f>
        <v>1053.45982064941</v>
      </c>
      <c r="AG146" s="7" t="n">
        <f aca="false">+(AG196/365)*AG63</f>
        <v>1139.65198779345</v>
      </c>
      <c r="AH146" s="7" t="n">
        <f aca="false">+(AH196/365)*AH63</f>
        <v>1356.0900963996</v>
      </c>
      <c r="AI146" s="7" t="n">
        <f aca="false">+(AI196/365)*AI63</f>
        <v>1613.51736893647</v>
      </c>
      <c r="AJ146" s="7" t="n">
        <f aca="false">+(AJ196/365)*AJ63</f>
        <v>1727.7047519689</v>
      </c>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c r="CC146" s="7"/>
      <c r="CD146" s="7"/>
      <c r="CE146" s="7"/>
      <c r="CF146" s="7"/>
      <c r="CG146" s="7"/>
      <c r="CH146" s="7"/>
      <c r="CI146" s="7"/>
      <c r="CJ146" s="7"/>
      <c r="CK146" s="7"/>
      <c r="CL146" s="7"/>
      <c r="CM146" s="7"/>
      <c r="CN146" s="7"/>
      <c r="CO146" s="7"/>
      <c r="CP146" s="7"/>
      <c r="CQ146" s="7"/>
      <c r="CR146" s="7"/>
      <c r="CS146" s="7"/>
      <c r="CT146" s="7"/>
      <c r="CU146" s="7"/>
      <c r="CV146" s="7"/>
      <c r="CW146" s="7"/>
      <c r="CX146" s="7"/>
      <c r="CY146" s="7"/>
      <c r="CZ146" s="7"/>
      <c r="DA146" s="7"/>
      <c r="DB146" s="7"/>
      <c r="DC146" s="7"/>
      <c r="DD146" s="7"/>
      <c r="DE146" s="7"/>
      <c r="DF146" s="7"/>
      <c r="DG146" s="7"/>
      <c r="DH146" s="7"/>
      <c r="DI146" s="7"/>
      <c r="DJ146" s="7"/>
      <c r="DK146" s="7"/>
      <c r="DL146" s="7"/>
      <c r="DM146" s="7"/>
      <c r="DN146" s="7"/>
      <c r="DO146" s="7"/>
      <c r="DP146" s="7"/>
      <c r="DQ146" s="7"/>
      <c r="DR146" s="7"/>
      <c r="DS146" s="7"/>
      <c r="DT146" s="7"/>
      <c r="DU146" s="7"/>
      <c r="DV146" s="7"/>
      <c r="DW146" s="7"/>
      <c r="DX146" s="7"/>
      <c r="DY146" s="7"/>
      <c r="DZ146" s="7"/>
      <c r="EA146" s="7"/>
      <c r="EB146" s="7"/>
      <c r="EC146" s="7"/>
      <c r="ED146" s="7"/>
      <c r="EE146" s="7"/>
      <c r="EF146" s="7"/>
      <c r="EG146" s="7"/>
      <c r="EH146" s="7"/>
      <c r="EI146" s="7"/>
      <c r="EJ146" s="7"/>
      <c r="EK146" s="7"/>
      <c r="EL146" s="7"/>
      <c r="EM146" s="7"/>
      <c r="EN146" s="7"/>
      <c r="EO146" s="7"/>
      <c r="EP146" s="7"/>
    </row>
    <row r="147" s="1" customFormat="true" ht="12.8" hidden="false" customHeight="false" outlineLevel="0" collapsed="false">
      <c r="A147" s="7" t="s">
        <v>351</v>
      </c>
      <c r="B147" s="7" t="n">
        <f aca="false">++2709</f>
        <v>2709</v>
      </c>
      <c r="C147" s="7" t="n">
        <f aca="false">++2865</f>
        <v>2865</v>
      </c>
      <c r="D147" s="7" t="n">
        <f aca="false">++3036</f>
        <v>3036</v>
      </c>
      <c r="E147" s="7" t="n">
        <f aca="false">++3028</f>
        <v>3028</v>
      </c>
      <c r="F147" s="7" t="n">
        <f aca="false">+3412</f>
        <v>3412</v>
      </c>
      <c r="G147" s="7" t="n">
        <f aca="false">++3931</f>
        <v>3931</v>
      </c>
      <c r="H147" s="7" t="n">
        <f aca="false">++4337</f>
        <v>4337</v>
      </c>
      <c r="I147" s="7" t="n">
        <f aca="false">++4909</f>
        <v>4909</v>
      </c>
      <c r="J147" s="7" t="n">
        <f aca="false">++5346</f>
        <v>5346</v>
      </c>
      <c r="K147" s="7" t="n">
        <f aca="false">+5733</f>
        <v>5733</v>
      </c>
      <c r="L147" s="7" t="n">
        <f aca="false">++6623</f>
        <v>6623</v>
      </c>
      <c r="M147" s="7" t="n">
        <f aca="false">+7042</f>
        <v>7042</v>
      </c>
      <c r="N147" s="7" t="n">
        <f aca="false">+7599</f>
        <v>7599</v>
      </c>
      <c r="O147" s="7" t="n">
        <f aca="false">+8183</f>
        <v>8183</v>
      </c>
      <c r="P147" s="7" t="n">
        <f aca="false">+8611</f>
        <v>8611</v>
      </c>
      <c r="Q147" s="7" t="n">
        <f aca="false">+9076</f>
        <v>9076</v>
      </c>
      <c r="R147" s="7" t="n">
        <f aca="false">+9437</f>
        <v>9437</v>
      </c>
      <c r="S147" s="7" t="n">
        <v>9528</v>
      </c>
      <c r="T147" s="7"/>
      <c r="U147" s="7"/>
      <c r="V147" s="7"/>
      <c r="W147" s="7"/>
      <c r="X147" s="7"/>
      <c r="Y147" s="7" t="n">
        <f aca="false">++2297</f>
        <v>2297</v>
      </c>
      <c r="Z147" s="7" t="n">
        <f aca="false">++2223</f>
        <v>2223</v>
      </c>
      <c r="AA147" s="7" t="n">
        <f aca="false">++2546</f>
        <v>2546</v>
      </c>
      <c r="AB147" s="7" t="n">
        <f aca="false">+3028</f>
        <v>3028</v>
      </c>
      <c r="AC147" s="7" t="n">
        <f aca="false">+4909</f>
        <v>4909</v>
      </c>
      <c r="AD147" s="7" t="n">
        <f aca="false">++7042</f>
        <v>7042</v>
      </c>
      <c r="AE147" s="7" t="n">
        <f aca="false">+9076</f>
        <v>9076</v>
      </c>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c r="CC147" s="7"/>
      <c r="CD147" s="7"/>
      <c r="CE147" s="7"/>
      <c r="CF147" s="7"/>
      <c r="CG147" s="7"/>
      <c r="CH147" s="7"/>
      <c r="CI147" s="7"/>
      <c r="CJ147" s="7"/>
      <c r="CK147" s="7"/>
      <c r="CL147" s="7"/>
      <c r="CM147" s="7"/>
      <c r="CN147" s="7"/>
      <c r="CO147" s="7"/>
      <c r="CP147" s="7"/>
      <c r="CQ147" s="7"/>
      <c r="CR147" s="7"/>
      <c r="CS147" s="7"/>
      <c r="CT147" s="7"/>
      <c r="CU147" s="7"/>
      <c r="CV147" s="7"/>
      <c r="CW147" s="7"/>
      <c r="CX147" s="7"/>
      <c r="CY147" s="7"/>
      <c r="CZ147" s="7"/>
      <c r="DA147" s="7"/>
      <c r="DB147" s="7"/>
      <c r="DC147" s="7"/>
      <c r="DD147" s="7"/>
      <c r="DE147" s="7"/>
      <c r="DF147" s="7"/>
      <c r="DG147" s="7"/>
      <c r="DH147" s="7"/>
      <c r="DI147" s="7"/>
      <c r="DJ147" s="7"/>
      <c r="DK147" s="7"/>
      <c r="DL147" s="7"/>
      <c r="DM147" s="7"/>
      <c r="DN147" s="7"/>
      <c r="DO147" s="7"/>
      <c r="DP147" s="7"/>
      <c r="DQ147" s="7"/>
      <c r="DR147" s="7"/>
      <c r="DS147" s="7"/>
      <c r="DT147" s="7"/>
      <c r="DU147" s="7"/>
      <c r="DV147" s="7"/>
      <c r="DW147" s="7"/>
      <c r="DX147" s="7"/>
      <c r="DY147" s="7"/>
      <c r="DZ147" s="7"/>
      <c r="EA147" s="7"/>
      <c r="EB147" s="7"/>
      <c r="EC147" s="7"/>
      <c r="ED147" s="7"/>
      <c r="EE147" s="7"/>
      <c r="EF147" s="7"/>
      <c r="EG147" s="7"/>
      <c r="EH147" s="7"/>
      <c r="EI147" s="7"/>
      <c r="EJ147" s="7"/>
      <c r="EK147" s="7"/>
      <c r="EL147" s="7"/>
      <c r="EM147" s="7"/>
      <c r="EN147" s="7"/>
      <c r="EO147" s="7"/>
      <c r="EP147" s="7"/>
    </row>
    <row r="148" s="1" customFormat="true" ht="12.8" hidden="false" customHeight="false" outlineLevel="0" collapsed="false">
      <c r="A148" s="7" t="s">
        <v>352</v>
      </c>
      <c r="B148" s="7" t="n">
        <v>1415</v>
      </c>
      <c r="C148" s="7" t="n">
        <v>1449</v>
      </c>
      <c r="D148" s="7" t="n">
        <v>1433</v>
      </c>
      <c r="E148" s="7" t="n">
        <v>1692</v>
      </c>
      <c r="F148" s="7" t="n">
        <v>1658</v>
      </c>
      <c r="G148" s="7" t="n">
        <v>1729</v>
      </c>
      <c r="H148" s="7" t="n">
        <v>1823</v>
      </c>
      <c r="I148" s="7" t="n">
        <v>2077</v>
      </c>
      <c r="J148" s="7" t="n">
        <v>2082</v>
      </c>
      <c r="K148" s="7" t="n">
        <v>2387</v>
      </c>
      <c r="L148" s="7" t="n">
        <v>2523</v>
      </c>
      <c r="M148" s="7" t="n">
        <v>2754</v>
      </c>
      <c r="N148" s="7" t="n">
        <v>2873</v>
      </c>
      <c r="O148" s="7" t="n">
        <v>3107</v>
      </c>
      <c r="P148" s="7" t="n">
        <v>3268</v>
      </c>
      <c r="Q148" s="7" t="n">
        <v>3387</v>
      </c>
      <c r="R148" s="7" t="n">
        <v>3467</v>
      </c>
      <c r="S148" s="7" t="n">
        <v>3758</v>
      </c>
      <c r="T148" s="7"/>
      <c r="U148" s="7"/>
      <c r="V148" s="7"/>
      <c r="W148" s="7"/>
      <c r="X148" s="7"/>
      <c r="Y148" s="7" t="n">
        <v>1121</v>
      </c>
      <c r="Z148" s="7" t="n">
        <v>1243</v>
      </c>
      <c r="AA148" s="7" t="n">
        <v>1442</v>
      </c>
      <c r="AB148" s="7" t="n">
        <v>1692</v>
      </c>
      <c r="AC148" s="7" t="n">
        <v>2077</v>
      </c>
      <c r="AD148" s="7" t="n">
        <v>2754</v>
      </c>
      <c r="AE148" s="7" t="n">
        <v>3387</v>
      </c>
      <c r="AF148" s="7" t="n">
        <f aca="false">+AF61*0.065</f>
        <v>3786.86882498594</v>
      </c>
      <c r="AG148" s="7" t="n">
        <f aca="false">+AG61*0.065</f>
        <v>4544.24258998312</v>
      </c>
      <c r="AH148" s="7" t="n">
        <f aca="false">+AH61*0.065</f>
        <v>5453.09110797975</v>
      </c>
      <c r="AI148" s="7" t="n">
        <f aca="false">+AI61*0.06</f>
        <v>6040.34707345449</v>
      </c>
      <c r="AJ148" s="7" t="n">
        <f aca="false">+AJ61*0.06</f>
        <v>7248.41648814539</v>
      </c>
      <c r="AK148" s="7"/>
      <c r="AL148" s="7"/>
      <c r="AM148" s="32"/>
      <c r="AN148" s="32"/>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c r="CC148" s="7"/>
      <c r="CD148" s="7"/>
      <c r="CE148" s="7"/>
      <c r="CF148" s="7"/>
      <c r="CG148" s="7"/>
      <c r="CH148" s="7"/>
      <c r="CI148" s="7"/>
      <c r="CJ148" s="7"/>
      <c r="CK148" s="7"/>
      <c r="CL148" s="7"/>
      <c r="CM148" s="7"/>
      <c r="CN148" s="7"/>
      <c r="CO148" s="7"/>
      <c r="CP148" s="7"/>
      <c r="CQ148" s="7"/>
      <c r="CR148" s="7"/>
      <c r="CS148" s="7"/>
      <c r="CT148" s="7"/>
      <c r="CU148" s="7"/>
      <c r="CV148" s="7"/>
      <c r="CW148" s="7"/>
      <c r="CX148" s="7"/>
      <c r="CY148" s="7"/>
      <c r="CZ148" s="7"/>
      <c r="DA148" s="7"/>
      <c r="DB148" s="7"/>
      <c r="DC148" s="7"/>
      <c r="DD148" s="7"/>
      <c r="DE148" s="7"/>
      <c r="DF148" s="7"/>
      <c r="DG148" s="7"/>
      <c r="DH148" s="7"/>
      <c r="DI148" s="7"/>
      <c r="DJ148" s="7"/>
      <c r="DK148" s="7"/>
      <c r="DL148" s="7"/>
      <c r="DM148" s="7"/>
      <c r="DN148" s="7"/>
      <c r="DO148" s="7"/>
      <c r="DP148" s="7"/>
      <c r="DQ148" s="7"/>
      <c r="DR148" s="7"/>
      <c r="DS148" s="7"/>
      <c r="DT148" s="7"/>
      <c r="DU148" s="7"/>
      <c r="DV148" s="7"/>
      <c r="DW148" s="7"/>
      <c r="DX148" s="7"/>
      <c r="DY148" s="7"/>
      <c r="DZ148" s="7"/>
      <c r="EA148" s="7"/>
      <c r="EB148" s="7"/>
      <c r="EC148" s="7"/>
      <c r="ED148" s="7"/>
      <c r="EE148" s="7"/>
      <c r="EF148" s="7"/>
      <c r="EG148" s="7"/>
      <c r="EH148" s="7"/>
      <c r="EI148" s="7"/>
      <c r="EJ148" s="7"/>
      <c r="EK148" s="7"/>
      <c r="EL148" s="7"/>
      <c r="EM148" s="7"/>
      <c r="EN148" s="7"/>
      <c r="EO148" s="7"/>
      <c r="EP148" s="7"/>
    </row>
    <row r="149" s="1" customFormat="true" ht="10.5" hidden="false" customHeight="true" outlineLevel="0" collapsed="false">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29" t="n">
        <f aca="false">+Y148/Y$61</f>
        <v>0.0792394147169011</v>
      </c>
      <c r="Z149" s="29" t="n">
        <f aca="false">+Z148/Z$61</f>
        <v>0.111584849516148</v>
      </c>
      <c r="AA149" s="29" t="n">
        <f aca="false">+AA148/AA$61</f>
        <v>0.0826011096101127</v>
      </c>
      <c r="AB149" s="29" t="n">
        <f aca="false">+AB148/AB$61</f>
        <v>0.0530730624188039</v>
      </c>
      <c r="AC149" s="29" t="n">
        <f aca="false">+AC148/AC$61</f>
        <v>0.0557115942511031</v>
      </c>
      <c r="AD149" s="29" t="n">
        <f aca="false">+AD148/AD$61</f>
        <v>0.0626216907443316</v>
      </c>
      <c r="AE149" s="29" t="n">
        <f aca="false">+AE148/AE$61</f>
        <v>0.0651127914368451</v>
      </c>
      <c r="AF149" s="29" t="n">
        <f aca="false">+AF148/AF$61</f>
        <v>0.065</v>
      </c>
      <c r="AG149" s="29" t="n">
        <f aca="false">+AG148/AG$61</f>
        <v>0.065</v>
      </c>
      <c r="AH149" s="29" t="n">
        <f aca="false">+AH148/AH$61</f>
        <v>0.065</v>
      </c>
      <c r="AI149" s="29" t="n">
        <f aca="false">+AI148/AI$61</f>
        <v>0.06</v>
      </c>
      <c r="AJ149" s="29" t="n">
        <f aca="false">+AJ148/AJ$61</f>
        <v>0.06</v>
      </c>
      <c r="AK149" s="32"/>
      <c r="AL149" s="32"/>
      <c r="AM149" s="7"/>
      <c r="AN149" s="7"/>
      <c r="AO149" s="32"/>
      <c r="AP149" s="32"/>
      <c r="AQ149" s="32"/>
      <c r="AR149" s="32"/>
      <c r="AS149" s="32"/>
      <c r="AT149" s="32"/>
      <c r="AU149" s="32"/>
      <c r="AV149" s="32"/>
      <c r="AW149" s="32"/>
      <c r="AX149" s="32"/>
      <c r="AY149" s="32"/>
      <c r="AZ149" s="32"/>
      <c r="BA149" s="32"/>
      <c r="BB149" s="32"/>
      <c r="BC149" s="32"/>
      <c r="BD149" s="32"/>
      <c r="BE149" s="32"/>
      <c r="BF149" s="32"/>
      <c r="BG149" s="32"/>
      <c r="BH149" s="32"/>
      <c r="BI149" s="32"/>
      <c r="BJ149" s="32"/>
      <c r="BK149" s="32"/>
      <c r="BL149" s="32"/>
      <c r="BM149" s="32"/>
      <c r="BN149" s="32"/>
      <c r="BO149" s="32"/>
      <c r="BP149" s="32"/>
      <c r="BQ149" s="32"/>
      <c r="BR149" s="32"/>
      <c r="BS149" s="32"/>
      <c r="BT149" s="32"/>
      <c r="BU149" s="32"/>
      <c r="BV149" s="32"/>
      <c r="BW149" s="32"/>
      <c r="BX149" s="32"/>
      <c r="BY149" s="32"/>
      <c r="BZ149" s="32"/>
      <c r="CA149" s="32"/>
      <c r="CB149" s="32"/>
      <c r="CC149" s="32"/>
      <c r="CD149" s="32"/>
      <c r="CE149" s="32"/>
      <c r="CF149" s="32"/>
      <c r="CG149" s="32"/>
      <c r="CH149" s="32"/>
      <c r="CI149" s="32"/>
      <c r="CJ149" s="32"/>
      <c r="CK149" s="32"/>
      <c r="CL149" s="32"/>
      <c r="CM149" s="32"/>
      <c r="CN149" s="32"/>
      <c r="CO149" s="32"/>
      <c r="CP149" s="32"/>
      <c r="CQ149" s="32"/>
      <c r="CR149" s="32"/>
      <c r="CS149" s="32"/>
      <c r="CT149" s="32"/>
      <c r="CU149" s="32"/>
      <c r="CV149" s="32"/>
      <c r="CW149" s="32"/>
      <c r="CX149" s="32"/>
      <c r="CY149" s="32"/>
      <c r="CZ149" s="32"/>
      <c r="DA149" s="32"/>
      <c r="DB149" s="32"/>
      <c r="DC149" s="32"/>
      <c r="DD149" s="32"/>
      <c r="DE149" s="32"/>
      <c r="DF149" s="32"/>
      <c r="DG149" s="32"/>
      <c r="DH149" s="32"/>
      <c r="DI149" s="32"/>
      <c r="DJ149" s="32"/>
      <c r="DK149" s="32"/>
      <c r="DL149" s="32"/>
      <c r="DM149" s="32"/>
      <c r="DN149" s="32"/>
      <c r="DO149" s="32"/>
      <c r="DP149" s="32"/>
      <c r="DQ149" s="32"/>
      <c r="DR149" s="32"/>
      <c r="DS149" s="32"/>
      <c r="DT149" s="32"/>
      <c r="DU149" s="32"/>
      <c r="DV149" s="32"/>
      <c r="DW149" s="32"/>
      <c r="DX149" s="32"/>
      <c r="DY149" s="32"/>
      <c r="DZ149" s="32"/>
      <c r="EA149" s="32"/>
      <c r="EB149" s="32"/>
      <c r="EC149" s="32"/>
      <c r="ED149" s="32"/>
      <c r="EE149" s="32"/>
      <c r="EF149" s="32"/>
      <c r="EG149" s="32"/>
      <c r="EH149" s="32"/>
      <c r="EI149" s="32"/>
      <c r="EJ149" s="32"/>
      <c r="EK149" s="32"/>
      <c r="EL149" s="32"/>
      <c r="EM149" s="32"/>
      <c r="EN149" s="32"/>
      <c r="EO149" s="32"/>
      <c r="EP149" s="32"/>
      <c r="EQ149" s="32"/>
    </row>
    <row r="150" s="1" customFormat="true" ht="12.8" hidden="false" customHeight="false" outlineLevel="0" collapsed="false">
      <c r="A150" s="7" t="s">
        <v>353</v>
      </c>
      <c r="B150" s="7" t="n">
        <f aca="false">+209+1681</f>
        <v>1890</v>
      </c>
      <c r="C150" s="7" t="n">
        <f aca="false">+215+1711</f>
        <v>1926</v>
      </c>
      <c r="D150" s="7" t="n">
        <f aca="false">+189+1626</f>
        <v>1815</v>
      </c>
      <c r="E150" s="7" t="n">
        <f aca="false">+201+1673</f>
        <v>1874</v>
      </c>
      <c r="F150" s="7" t="n">
        <f aca="false">+1629+193</f>
        <v>1822</v>
      </c>
      <c r="G150" s="7" t="n">
        <f aca="false">+179+1597</f>
        <v>1776</v>
      </c>
      <c r="H150" s="7" t="n">
        <f aca="false">+174+1565</f>
        <v>1739</v>
      </c>
      <c r="I150" s="7" t="n">
        <f aca="false">+190+1550</f>
        <v>1740</v>
      </c>
      <c r="J150" s="7" t="n">
        <f aca="false">+184+1520</f>
        <v>1704</v>
      </c>
      <c r="K150" s="7" t="n">
        <f aca="false">+198+1492</f>
        <v>1690</v>
      </c>
      <c r="L150" s="7" t="n">
        <f aca="false">+178+1496</f>
        <v>1674</v>
      </c>
      <c r="M150" s="7" t="n">
        <f aca="false">+175+1454</f>
        <v>1629</v>
      </c>
      <c r="N150" s="7" t="n">
        <f aca="false">+177+1447</f>
        <v>1624</v>
      </c>
      <c r="O150" s="7" t="n">
        <f aca="false">+1438+176</f>
        <v>1614</v>
      </c>
      <c r="P150" s="7" t="n">
        <f aca="false">+163+1412</f>
        <v>1575</v>
      </c>
      <c r="Q150" s="7" t="n">
        <f aca="false">+1390+169</f>
        <v>1559</v>
      </c>
      <c r="R150" s="7" t="n">
        <f aca="false">+195+1710</f>
        <v>1905</v>
      </c>
      <c r="S150" s="7" t="n">
        <f aca="false">+178+1830</f>
        <v>2008</v>
      </c>
      <c r="T150" s="7"/>
      <c r="U150" s="7"/>
      <c r="V150" s="7"/>
      <c r="W150" s="7"/>
      <c r="X150" s="7"/>
      <c r="Y150" s="7" t="n">
        <f aca="false">+196+1523</f>
        <v>1719</v>
      </c>
      <c r="Z150" s="7" t="n">
        <f aca="false">+175+1544</f>
        <v>1719</v>
      </c>
      <c r="AA150" s="7" t="n">
        <f aca="false">+185+1644</f>
        <v>1829</v>
      </c>
      <c r="AB150" s="7" t="n">
        <f aca="false">+1673+201</f>
        <v>1874</v>
      </c>
      <c r="AC150" s="7" t="n">
        <f aca="false">+190+1550</f>
        <v>1740</v>
      </c>
      <c r="AD150" s="7" t="n">
        <f aca="false">+175+1454</f>
        <v>1629</v>
      </c>
      <c r="AE150" s="7" t="n">
        <f aca="false">+1390+169</f>
        <v>1559</v>
      </c>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c r="CC150" s="7"/>
      <c r="CD150" s="7"/>
      <c r="CE150" s="7"/>
      <c r="CF150" s="7"/>
      <c r="CG150" s="7"/>
      <c r="CH150" s="7"/>
      <c r="CI150" s="7"/>
      <c r="CJ150" s="7"/>
      <c r="CK150" s="7"/>
      <c r="CL150" s="7"/>
      <c r="CM150" s="7"/>
      <c r="CN150" s="7"/>
      <c r="CO150" s="7"/>
      <c r="CP150" s="7"/>
      <c r="CQ150" s="7"/>
      <c r="CR150" s="7"/>
      <c r="CS150" s="7"/>
      <c r="CT150" s="7"/>
      <c r="CU150" s="7"/>
      <c r="CV150" s="7"/>
      <c r="CW150" s="7"/>
      <c r="CX150" s="7"/>
      <c r="CY150" s="7"/>
      <c r="CZ150" s="7"/>
      <c r="DA150" s="7"/>
      <c r="DB150" s="7"/>
      <c r="DC150" s="7"/>
      <c r="DD150" s="7"/>
      <c r="DE150" s="7"/>
      <c r="DF150" s="7"/>
      <c r="DG150" s="7"/>
      <c r="DH150" s="7"/>
      <c r="DI150" s="7"/>
      <c r="DJ150" s="7"/>
      <c r="DK150" s="7"/>
      <c r="DL150" s="7"/>
      <c r="DM150" s="7"/>
      <c r="DN150" s="7"/>
      <c r="DO150" s="7"/>
      <c r="DP150" s="7"/>
      <c r="DQ150" s="7"/>
      <c r="DR150" s="7"/>
      <c r="DS150" s="7"/>
      <c r="DT150" s="7"/>
      <c r="DU150" s="7"/>
      <c r="DV150" s="7"/>
      <c r="DW150" s="7"/>
      <c r="DX150" s="7"/>
      <c r="DY150" s="7"/>
      <c r="DZ150" s="7"/>
      <c r="EA150" s="7"/>
      <c r="EB150" s="7"/>
      <c r="EC150" s="7"/>
      <c r="ED150" s="7"/>
      <c r="EE150" s="7"/>
      <c r="EF150" s="7"/>
      <c r="EG150" s="7"/>
      <c r="EH150" s="7"/>
      <c r="EI150" s="7"/>
      <c r="EJ150" s="7"/>
      <c r="EK150" s="7"/>
      <c r="EL150" s="7"/>
      <c r="EM150" s="7"/>
      <c r="EN150" s="7"/>
      <c r="EO150" s="7"/>
      <c r="EP150" s="7"/>
    </row>
    <row r="151" s="1" customFormat="true" ht="12.8" hidden="false" customHeight="false" outlineLevel="0" collapsed="false">
      <c r="A151" s="7" t="s">
        <v>284</v>
      </c>
      <c r="B151" s="7" t="n">
        <f aca="false">+6166+679</f>
        <v>6845</v>
      </c>
      <c r="C151" s="7" t="n">
        <f aca="false">+6471+659</f>
        <v>7130</v>
      </c>
      <c r="D151" s="7" t="n">
        <f aca="false">+6624+762</f>
        <v>7386</v>
      </c>
      <c r="E151" s="7" t="n">
        <f aca="false">+786+6232</f>
        <v>7018</v>
      </c>
      <c r="F151" s="7" t="n">
        <f aca="false">+6120+798</f>
        <v>6918</v>
      </c>
      <c r="G151" s="7" t="n">
        <f aca="false">+6033+822</f>
        <v>6855</v>
      </c>
      <c r="H151" s="7" t="n">
        <f aca="false">+6609+871</f>
        <v>7480</v>
      </c>
      <c r="I151" s="7" t="n">
        <f aca="false">+645+6397</f>
        <v>7042</v>
      </c>
      <c r="J151" s="7" t="n">
        <f aca="false">+6894+784</f>
        <v>7678</v>
      </c>
      <c r="K151" s="7" t="n">
        <f aca="false">+6981+734</f>
        <v>7715</v>
      </c>
      <c r="L151" s="7" t="n">
        <f aca="false">+7332+638</f>
        <v>7970</v>
      </c>
      <c r="M151" s="7" t="n">
        <f aca="false">+7689+449</f>
        <v>8138</v>
      </c>
      <c r="N151" s="7" t="n">
        <f aca="false">+408+8190</f>
        <v>8598</v>
      </c>
      <c r="O151" s="7" t="n">
        <f aca="false">+467+8381</f>
        <v>8848</v>
      </c>
      <c r="P151" s="7" t="n">
        <f aca="false">+8571+430</f>
        <v>9001</v>
      </c>
      <c r="Q151" s="7" t="n">
        <f aca="false">+412+7751</f>
        <v>8163</v>
      </c>
      <c r="R151" s="7" t="n">
        <f aca="false">+419+7142</f>
        <v>7561</v>
      </c>
      <c r="S151" s="7" t="n">
        <f aca="false">+7572+447</f>
        <v>8019</v>
      </c>
      <c r="T151" s="7"/>
      <c r="U151" s="7"/>
      <c r="V151" s="7"/>
      <c r="W151" s="7"/>
      <c r="X151" s="7"/>
      <c r="Y151" s="7" t="n">
        <f aca="false">+4050+1412</f>
        <v>5462</v>
      </c>
      <c r="Z151" s="7" t="n">
        <f aca="false">+5112+100+1306</f>
        <v>6518</v>
      </c>
      <c r="AA151" s="7" t="n">
        <f aca="false">+6537+935</f>
        <v>7472</v>
      </c>
      <c r="AB151" s="7" t="n">
        <f aca="false">+786+6232</f>
        <v>7018</v>
      </c>
      <c r="AC151" s="7" t="n">
        <f aca="false">+645+6397</f>
        <v>7042</v>
      </c>
      <c r="AD151" s="7" t="n">
        <f aca="false">+7689+449</f>
        <v>8138</v>
      </c>
      <c r="AE151" s="7" t="n">
        <f aca="false">+412+7751</f>
        <v>8163</v>
      </c>
      <c r="AF151" s="122" t="n">
        <f aca="false">+AF61*0.14</f>
        <v>8156.33285381586</v>
      </c>
      <c r="AG151" s="122" t="n">
        <f aca="false">+AG61*0.14</f>
        <v>9787.59942457903</v>
      </c>
      <c r="AH151" s="122" t="n">
        <f aca="false">+AH61*0.14</f>
        <v>11745.1193094948</v>
      </c>
      <c r="AI151" s="122" t="n">
        <f aca="false">+AI61*0.14</f>
        <v>14094.1431713938</v>
      </c>
      <c r="AJ151" s="122" t="n">
        <f aca="false">+AJ61*0.14</f>
        <v>16912.9718056726</v>
      </c>
      <c r="AK151" s="7"/>
      <c r="AL151" s="7"/>
      <c r="AM151" s="32"/>
      <c r="AN151" s="32"/>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c r="CC151" s="7"/>
      <c r="CD151" s="7"/>
      <c r="CE151" s="7"/>
      <c r="CF151" s="7"/>
      <c r="CG151" s="7"/>
      <c r="CH151" s="7"/>
      <c r="CI151" s="7"/>
      <c r="CJ151" s="7"/>
      <c r="CK151" s="7"/>
      <c r="CL151" s="7"/>
      <c r="CM151" s="7"/>
      <c r="CN151" s="7"/>
      <c r="CO151" s="7"/>
      <c r="CP151" s="7"/>
      <c r="CQ151" s="7"/>
      <c r="CR151" s="7"/>
      <c r="CS151" s="7"/>
      <c r="CT151" s="7"/>
      <c r="CU151" s="7"/>
      <c r="CV151" s="7"/>
      <c r="CW151" s="7"/>
      <c r="CX151" s="7"/>
      <c r="CY151" s="7"/>
      <c r="CZ151" s="7"/>
      <c r="DA151" s="7"/>
      <c r="DB151" s="7"/>
      <c r="DC151" s="7"/>
      <c r="DD151" s="7"/>
      <c r="DE151" s="7"/>
      <c r="DF151" s="7"/>
      <c r="DG151" s="7"/>
      <c r="DH151" s="7"/>
      <c r="DI151" s="7"/>
      <c r="DJ151" s="7"/>
      <c r="DK151" s="7"/>
      <c r="DL151" s="7"/>
      <c r="DM151" s="7"/>
      <c r="DN151" s="7"/>
      <c r="DO151" s="7"/>
      <c r="DP151" s="7"/>
      <c r="DQ151" s="7"/>
      <c r="DR151" s="7"/>
      <c r="DS151" s="7"/>
      <c r="DT151" s="7"/>
      <c r="DU151" s="7"/>
      <c r="DV151" s="7"/>
      <c r="DW151" s="7"/>
      <c r="DX151" s="7"/>
      <c r="DY151" s="7"/>
      <c r="DZ151" s="7"/>
      <c r="EA151" s="7"/>
      <c r="EB151" s="7"/>
      <c r="EC151" s="7"/>
      <c r="ED151" s="7"/>
      <c r="EE151" s="7"/>
      <c r="EF151" s="7"/>
      <c r="EG151" s="7"/>
      <c r="EH151" s="7"/>
      <c r="EI151" s="7"/>
      <c r="EJ151" s="7"/>
      <c r="EK151" s="7"/>
      <c r="EL151" s="7"/>
      <c r="EM151" s="7"/>
      <c r="EN151" s="7"/>
      <c r="EO151" s="7"/>
      <c r="EP151" s="7"/>
    </row>
    <row r="152" s="1" customFormat="true" ht="10.5" hidden="false" customHeight="true" outlineLevel="0" collapsed="false">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29" t="n">
        <f aca="false">+Y151/Y$61</f>
        <v>0.386088923446667</v>
      </c>
      <c r="Z152" s="29" t="n">
        <f aca="false">+Z151/Z$61</f>
        <v>0.585124737848955</v>
      </c>
      <c r="AA152" s="29" t="n">
        <f aca="false">+AA151/AA$61</f>
        <v>0.42801351664824</v>
      </c>
      <c r="AB152" s="29" t="n">
        <f aca="false">+AB151/AB$61</f>
        <v>0.220134014217001</v>
      </c>
      <c r="AC152" s="29" t="n">
        <f aca="false">+AC151/AC$61</f>
        <v>0.188888322925502</v>
      </c>
      <c r="AD152" s="29" t="n">
        <f aca="false">+AD151/AD$61</f>
        <v>0.185045504458014</v>
      </c>
      <c r="AE152" s="29" t="n">
        <f aca="false">+AE151/AE$61</f>
        <v>0.156928171390306</v>
      </c>
      <c r="AF152" s="29" t="n">
        <f aca="false">+AF151/AF$61</f>
        <v>0.14</v>
      </c>
      <c r="AG152" s="29" t="n">
        <f aca="false">+AG151/AG$61</f>
        <v>0.14</v>
      </c>
      <c r="AH152" s="29" t="n">
        <f aca="false">+AH151/AH$61</f>
        <v>0.14</v>
      </c>
      <c r="AI152" s="29" t="n">
        <f aca="false">+AI151/AI$61</f>
        <v>0.14</v>
      </c>
      <c r="AJ152" s="29" t="n">
        <f aca="false">+AJ151/AJ$61</f>
        <v>0.14</v>
      </c>
      <c r="AK152" s="32"/>
      <c r="AL152" s="32"/>
      <c r="AM152" s="7"/>
      <c r="AN152" s="7"/>
      <c r="AO152" s="32"/>
      <c r="AP152" s="32"/>
      <c r="AQ152" s="32"/>
      <c r="AR152" s="32"/>
      <c r="AS152" s="32"/>
      <c r="AT152" s="32"/>
      <c r="AU152" s="32"/>
      <c r="AV152" s="32"/>
      <c r="AW152" s="32"/>
      <c r="AX152" s="32"/>
      <c r="AY152" s="32"/>
      <c r="AZ152" s="32"/>
      <c r="BA152" s="32"/>
      <c r="BB152" s="32"/>
      <c r="BC152" s="32"/>
      <c r="BD152" s="32"/>
      <c r="BE152" s="32"/>
      <c r="BF152" s="32"/>
      <c r="BG152" s="32"/>
      <c r="BH152" s="32"/>
      <c r="BI152" s="32"/>
      <c r="BJ152" s="32"/>
      <c r="BK152" s="32"/>
      <c r="BL152" s="32"/>
      <c r="BM152" s="32"/>
      <c r="BN152" s="32"/>
      <c r="BO152" s="32"/>
      <c r="BP152" s="32"/>
      <c r="BQ152" s="32"/>
      <c r="BR152" s="32"/>
      <c r="BS152" s="32"/>
      <c r="BT152" s="32"/>
      <c r="BU152" s="32"/>
      <c r="BV152" s="32"/>
      <c r="BW152" s="32"/>
      <c r="BX152" s="32"/>
      <c r="BY152" s="32"/>
      <c r="BZ152" s="32"/>
      <c r="CA152" s="32"/>
      <c r="CB152" s="32"/>
      <c r="CC152" s="32"/>
      <c r="CD152" s="32"/>
      <c r="CE152" s="32"/>
      <c r="CF152" s="32"/>
      <c r="CG152" s="32"/>
      <c r="CH152" s="32"/>
      <c r="CI152" s="32"/>
      <c r="CJ152" s="32"/>
      <c r="CK152" s="32"/>
      <c r="CL152" s="32"/>
      <c r="CM152" s="32"/>
      <c r="CN152" s="32"/>
      <c r="CO152" s="32"/>
      <c r="CP152" s="32"/>
      <c r="CQ152" s="32"/>
      <c r="CR152" s="32"/>
      <c r="CS152" s="32"/>
      <c r="CT152" s="32"/>
      <c r="CU152" s="32"/>
      <c r="CV152" s="32"/>
      <c r="CW152" s="32"/>
      <c r="CX152" s="32"/>
      <c r="CY152" s="32"/>
      <c r="CZ152" s="32"/>
      <c r="DA152" s="32"/>
      <c r="DB152" s="32"/>
      <c r="DC152" s="32"/>
      <c r="DD152" s="32"/>
      <c r="DE152" s="32"/>
      <c r="DF152" s="32"/>
      <c r="DG152" s="32"/>
      <c r="DH152" s="32"/>
      <c r="DI152" s="32"/>
      <c r="DJ152" s="32"/>
      <c r="DK152" s="32"/>
      <c r="DL152" s="32"/>
      <c r="DM152" s="32"/>
      <c r="DN152" s="32"/>
      <c r="DO152" s="32"/>
      <c r="DP152" s="32"/>
      <c r="DQ152" s="32"/>
      <c r="DR152" s="32"/>
      <c r="DS152" s="32"/>
      <c r="DT152" s="32"/>
      <c r="DU152" s="32"/>
      <c r="DV152" s="32"/>
      <c r="DW152" s="32"/>
      <c r="DX152" s="32"/>
      <c r="DY152" s="32"/>
      <c r="DZ152" s="32"/>
      <c r="EA152" s="32"/>
      <c r="EB152" s="32"/>
      <c r="EC152" s="32"/>
      <c r="ED152" s="32"/>
      <c r="EE152" s="32"/>
      <c r="EF152" s="32"/>
      <c r="EG152" s="32"/>
      <c r="EH152" s="32"/>
      <c r="EI152" s="32"/>
      <c r="EJ152" s="32"/>
      <c r="EK152" s="32"/>
      <c r="EL152" s="32"/>
      <c r="EM152" s="32"/>
      <c r="EN152" s="32"/>
      <c r="EO152" s="32"/>
      <c r="EP152" s="32"/>
      <c r="EQ152" s="32"/>
    </row>
    <row r="153" s="1" customFormat="true" ht="12.8" hidden="false" customHeight="false" outlineLevel="0" collapsed="false">
      <c r="A153" s="7" t="s">
        <v>11</v>
      </c>
      <c r="B153" s="7" t="n">
        <v>9273</v>
      </c>
      <c r="C153" s="7" t="n">
        <v>9271</v>
      </c>
      <c r="D153" s="7" t="n">
        <v>9268</v>
      </c>
      <c r="E153" s="7" t="n">
        <v>9265</v>
      </c>
      <c r="F153" s="7" t="n">
        <v>9257</v>
      </c>
      <c r="G153" s="7" t="n">
        <v>9255</v>
      </c>
      <c r="H153" s="7" t="n">
        <v>9252</v>
      </c>
      <c r="I153" s="7" t="n">
        <v>9459</v>
      </c>
      <c r="J153" s="7" t="n">
        <v>9457</v>
      </c>
      <c r="K153" s="7" t="n">
        <v>9454</v>
      </c>
      <c r="L153" s="7" t="n">
        <v>10986</v>
      </c>
      <c r="M153" s="7" t="n">
        <v>8347</v>
      </c>
      <c r="N153" s="7" t="n">
        <v>8350</v>
      </c>
      <c r="O153" s="7" t="n">
        <v>9578</v>
      </c>
      <c r="P153" s="7" t="n">
        <v>10615</v>
      </c>
      <c r="Q153" s="7" t="n">
        <v>10521</v>
      </c>
      <c r="R153" s="7" t="n">
        <v>10514</v>
      </c>
      <c r="S153" s="7" t="n">
        <f aca="false">+1997+10726</f>
        <v>12723</v>
      </c>
      <c r="T153" s="7"/>
      <c r="U153" s="7"/>
      <c r="V153" s="7"/>
      <c r="W153" s="7"/>
      <c r="X153" s="7"/>
      <c r="Y153" s="7" t="n">
        <v>5707</v>
      </c>
      <c r="Z153" s="7" t="n">
        <v>7560</v>
      </c>
      <c r="AA153" s="7" t="n">
        <v>9276</v>
      </c>
      <c r="AB153" s="7" t="n">
        <v>9265</v>
      </c>
      <c r="AC153" s="7" t="n">
        <v>9459</v>
      </c>
      <c r="AD153" s="7" t="n">
        <v>8347</v>
      </c>
      <c r="AE153" s="7" t="n">
        <v>10521</v>
      </c>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c r="CC153" s="7"/>
      <c r="CD153" s="7"/>
      <c r="CE153" s="7"/>
      <c r="CF153" s="7"/>
      <c r="CG153" s="7"/>
      <c r="CH153" s="7"/>
      <c r="CI153" s="7"/>
      <c r="CJ153" s="7"/>
      <c r="CK153" s="7"/>
      <c r="CL153" s="7"/>
      <c r="CM153" s="7"/>
      <c r="CN153" s="7"/>
      <c r="CO153" s="7"/>
      <c r="CP153" s="7"/>
      <c r="CQ153" s="7"/>
      <c r="CR153" s="7"/>
      <c r="CS153" s="7"/>
      <c r="CT153" s="7"/>
      <c r="CU153" s="7"/>
      <c r="CV153" s="7"/>
      <c r="CW153" s="7"/>
      <c r="CX153" s="7"/>
      <c r="CY153" s="7"/>
      <c r="CZ153" s="7"/>
      <c r="DA153" s="7"/>
      <c r="DB153" s="7"/>
      <c r="DC153" s="7"/>
      <c r="DD153" s="7"/>
      <c r="DE153" s="7"/>
      <c r="DF153" s="7"/>
      <c r="DG153" s="7"/>
      <c r="DH153" s="7"/>
      <c r="DI153" s="7"/>
      <c r="DJ153" s="7"/>
      <c r="DK153" s="7"/>
      <c r="DL153" s="7"/>
      <c r="DM153" s="7"/>
      <c r="DN153" s="7"/>
      <c r="DO153" s="7"/>
      <c r="DP153" s="7"/>
      <c r="DQ153" s="7"/>
      <c r="DR153" s="7"/>
      <c r="DS153" s="7"/>
      <c r="DT153" s="7"/>
      <c r="DU153" s="7"/>
      <c r="DV153" s="7"/>
      <c r="DW153" s="7"/>
      <c r="DX153" s="7"/>
      <c r="DY153" s="7"/>
      <c r="DZ153" s="7"/>
      <c r="EA153" s="7"/>
      <c r="EB153" s="7"/>
      <c r="EC153" s="7"/>
      <c r="ED153" s="7"/>
      <c r="EE153" s="7"/>
      <c r="EF153" s="7"/>
      <c r="EG153" s="7"/>
      <c r="EH153" s="7"/>
      <c r="EI153" s="7"/>
      <c r="EJ153" s="7"/>
      <c r="EK153" s="7"/>
      <c r="EL153" s="7"/>
      <c r="EM153" s="7"/>
      <c r="EN153" s="7"/>
      <c r="EO153" s="7"/>
      <c r="EP153" s="7"/>
    </row>
    <row r="154" s="1" customFormat="true" ht="12.8" hidden="false" customHeight="false" outlineLevel="0" collapsed="false">
      <c r="A154" s="7" t="s">
        <v>354</v>
      </c>
      <c r="B154" s="7" t="n">
        <f aca="false">SUM(B146:B153)</f>
        <v>22994</v>
      </c>
      <c r="C154" s="7" t="n">
        <f aca="false">SUM(C146:C153)</f>
        <v>23451</v>
      </c>
      <c r="D154" s="7" t="n">
        <f aca="false">SUM(D146:D153)</f>
        <v>23712</v>
      </c>
      <c r="E154" s="7" t="n">
        <f aca="false">SUM(E146:E153)</f>
        <v>23605</v>
      </c>
      <c r="F154" s="7" t="n">
        <f aca="false">SUM(F146:F153)</f>
        <v>23779</v>
      </c>
      <c r="G154" s="7" t="n">
        <f aca="false">SUM(G146:G153)</f>
        <v>24240</v>
      </c>
      <c r="H154" s="7" t="n">
        <f aca="false">SUM(H146:H153)</f>
        <v>25430</v>
      </c>
      <c r="I154" s="7" t="n">
        <f aca="false">SUM(I146:I153)</f>
        <v>26017</v>
      </c>
      <c r="J154" s="7" t="n">
        <f aca="false">SUM(J146:J153)</f>
        <v>27100</v>
      </c>
      <c r="K154" s="7" t="n">
        <f aca="false">SUM(K146:K153)</f>
        <v>27731</v>
      </c>
      <c r="L154" s="7" t="n">
        <f aca="false">SUM(L146:L153)</f>
        <v>30578</v>
      </c>
      <c r="M154" s="7" t="n">
        <f aca="false">SUM(M146:M153)</f>
        <v>28768</v>
      </c>
      <c r="N154" s="7" t="n">
        <f aca="false">SUM(N146:N153)</f>
        <v>29917</v>
      </c>
      <c r="O154" s="7" t="n">
        <f aca="false">SUM(O146:O153)</f>
        <v>32352</v>
      </c>
      <c r="P154" s="7" t="n">
        <f aca="false">SUM(P146:P153)</f>
        <v>34189</v>
      </c>
      <c r="Q154" s="7" t="n">
        <f aca="false">SUM(Q146:Q153)</f>
        <v>33719</v>
      </c>
      <c r="R154" s="7" t="n">
        <f aca="false">SUM(R146:R153)</f>
        <v>34073</v>
      </c>
      <c r="S154" s="7" t="n">
        <f aca="false">SUM(S146:S153)</f>
        <v>37402</v>
      </c>
      <c r="T154" s="7"/>
      <c r="U154" s="7"/>
      <c r="V154" s="7"/>
      <c r="W154" s="7"/>
      <c r="X154" s="7"/>
      <c r="Y154" s="7" t="n">
        <f aca="false">SUM(Y146:Y153)</f>
        <v>16578.4653283382</v>
      </c>
      <c r="Z154" s="7" t="n">
        <f aca="false">SUM(Z146:Z153)</f>
        <v>19498.6967095874</v>
      </c>
      <c r="AA154" s="7" t="n">
        <f aca="false">SUM(AA146:AA153)</f>
        <v>23425.5106146263</v>
      </c>
      <c r="AB154" s="7" t="n">
        <f aca="false">SUM(AB146:AB153)</f>
        <v>23605.2732070766</v>
      </c>
      <c r="AC154" s="7" t="n">
        <f aca="false">SUM(AC146:AC153)</f>
        <v>26017.2445999172</v>
      </c>
      <c r="AD154" s="7" t="n">
        <f aca="false">SUM(AD146:AD153)</f>
        <v>28768.2476671952</v>
      </c>
      <c r="AE154" s="7" t="n">
        <f aca="false">SUM(AE146:AE153)</f>
        <v>33719.2220409628</v>
      </c>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c r="CC154" s="7"/>
      <c r="CD154" s="7"/>
      <c r="CE154" s="7"/>
      <c r="CF154" s="7"/>
      <c r="CG154" s="7"/>
      <c r="CH154" s="7"/>
      <c r="CI154" s="7"/>
      <c r="CJ154" s="7"/>
      <c r="CK154" s="7"/>
      <c r="CL154" s="7"/>
      <c r="CM154" s="7"/>
      <c r="CN154" s="7"/>
      <c r="CO154" s="7"/>
      <c r="CP154" s="7"/>
      <c r="CQ154" s="7"/>
      <c r="CR154" s="7"/>
      <c r="CS154" s="7"/>
      <c r="CT154" s="7"/>
      <c r="CU154" s="7"/>
      <c r="CV154" s="7"/>
      <c r="CW154" s="7"/>
      <c r="CX154" s="7"/>
      <c r="CY154" s="7"/>
      <c r="CZ154" s="7"/>
      <c r="DA154" s="7"/>
      <c r="DB154" s="7"/>
      <c r="DC154" s="7"/>
      <c r="DD154" s="7"/>
      <c r="DE154" s="7"/>
      <c r="DF154" s="7"/>
      <c r="DG154" s="7"/>
      <c r="DH154" s="7"/>
      <c r="DI154" s="7"/>
      <c r="DJ154" s="7"/>
      <c r="DK154" s="7"/>
      <c r="DL154" s="7"/>
      <c r="DM154" s="7"/>
      <c r="DN154" s="7"/>
      <c r="DO154" s="7"/>
      <c r="DP154" s="7"/>
      <c r="DQ154" s="7"/>
      <c r="DR154" s="7"/>
      <c r="DS154" s="7"/>
      <c r="DT154" s="7"/>
      <c r="DU154" s="7"/>
      <c r="DV154" s="7"/>
      <c r="DW154" s="7"/>
      <c r="DX154" s="7"/>
      <c r="DY154" s="7"/>
      <c r="DZ154" s="7"/>
      <c r="EA154" s="7"/>
      <c r="EB154" s="7"/>
      <c r="EC154" s="7"/>
      <c r="ED154" s="7"/>
      <c r="EE154" s="7"/>
      <c r="EF154" s="7"/>
      <c r="EG154" s="7"/>
      <c r="EH154" s="7"/>
      <c r="EI154" s="7"/>
      <c r="EJ154" s="7"/>
      <c r="EK154" s="7"/>
      <c r="EL154" s="7"/>
      <c r="EM154" s="7"/>
      <c r="EN154" s="7"/>
      <c r="EO154" s="7"/>
      <c r="EP154" s="7"/>
    </row>
    <row r="155" s="1" customFormat="true" ht="12.8" hidden="false" customHeight="false" outlineLevel="0" collapsed="false">
      <c r="A155" s="7" t="s">
        <v>355</v>
      </c>
      <c r="B155" s="7" t="n">
        <v>0</v>
      </c>
      <c r="C155" s="7" t="n">
        <v>0</v>
      </c>
      <c r="D155" s="7" t="n">
        <v>0</v>
      </c>
      <c r="E155" s="7" t="n">
        <v>0</v>
      </c>
      <c r="F155" s="7" t="n">
        <v>0</v>
      </c>
      <c r="G155" s="7" t="n">
        <v>0</v>
      </c>
      <c r="H155" s="7" t="n">
        <v>0</v>
      </c>
      <c r="I155" s="7" t="n">
        <v>0</v>
      </c>
      <c r="J155" s="7" t="n">
        <v>0</v>
      </c>
      <c r="K155" s="7" t="n">
        <v>0</v>
      </c>
      <c r="L155" s="7" t="n">
        <v>0</v>
      </c>
      <c r="M155" s="7" t="n">
        <v>0</v>
      </c>
      <c r="N155" s="7" t="n">
        <v>0</v>
      </c>
      <c r="O155" s="7" t="n">
        <v>0</v>
      </c>
      <c r="P155" s="7" t="n">
        <v>0</v>
      </c>
      <c r="Q155" s="7" t="n">
        <v>0</v>
      </c>
      <c r="R155" s="7" t="n">
        <v>0</v>
      </c>
      <c r="S155" s="7" t="n">
        <v>0</v>
      </c>
      <c r="T155" s="7"/>
      <c r="U155" s="7"/>
      <c r="V155" s="7"/>
      <c r="W155" s="7"/>
      <c r="X155" s="7"/>
      <c r="Y155" s="7" t="n">
        <v>0</v>
      </c>
      <c r="Z155" s="7" t="n">
        <v>0</v>
      </c>
      <c r="AA155" s="7" t="n">
        <v>0</v>
      </c>
      <c r="AB155" s="7" t="n">
        <v>0</v>
      </c>
      <c r="AC155" s="7" t="n">
        <v>0</v>
      </c>
      <c r="AD155" s="7" t="n">
        <v>0</v>
      </c>
      <c r="AE155" s="7" t="n">
        <v>0</v>
      </c>
      <c r="AF155" s="7" t="n">
        <v>0</v>
      </c>
      <c r="AG155" s="7" t="n">
        <v>0</v>
      </c>
      <c r="AH155" s="7" t="n">
        <v>0</v>
      </c>
      <c r="AI155" s="7" t="n">
        <v>0</v>
      </c>
      <c r="AJ155" s="7" t="n">
        <v>0</v>
      </c>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c r="CC155" s="7"/>
      <c r="CD155" s="7"/>
      <c r="CE155" s="7"/>
      <c r="CF155" s="7"/>
      <c r="CG155" s="7"/>
      <c r="CH155" s="7"/>
      <c r="CI155" s="7"/>
      <c r="CJ155" s="7"/>
      <c r="CK155" s="7"/>
      <c r="CL155" s="7"/>
      <c r="CM155" s="7"/>
      <c r="CN155" s="7"/>
      <c r="CO155" s="7"/>
      <c r="CP155" s="7"/>
      <c r="CQ155" s="7"/>
      <c r="CR155" s="7"/>
      <c r="CS155" s="7"/>
      <c r="CT155" s="7"/>
      <c r="CU155" s="7"/>
      <c r="CV155" s="7"/>
      <c r="CW155" s="7"/>
      <c r="CX155" s="7"/>
      <c r="CY155" s="7"/>
      <c r="CZ155" s="7"/>
      <c r="DA155" s="7"/>
      <c r="DB155" s="7"/>
      <c r="DC155" s="7"/>
      <c r="DD155" s="7"/>
      <c r="DE155" s="7"/>
      <c r="DF155" s="7"/>
      <c r="DG155" s="7"/>
      <c r="DH155" s="7"/>
      <c r="DI155" s="7"/>
      <c r="DJ155" s="7"/>
      <c r="DK155" s="7"/>
      <c r="DL155" s="7"/>
      <c r="DM155" s="7"/>
      <c r="DN155" s="7"/>
      <c r="DO155" s="7"/>
      <c r="DP155" s="7"/>
      <c r="DQ155" s="7"/>
      <c r="DR155" s="7"/>
      <c r="DS155" s="7"/>
      <c r="DT155" s="7"/>
      <c r="DU155" s="7"/>
      <c r="DV155" s="7"/>
      <c r="DW155" s="7"/>
      <c r="DX155" s="7"/>
      <c r="DY155" s="7"/>
      <c r="DZ155" s="7"/>
      <c r="EA155" s="7"/>
      <c r="EB155" s="7"/>
      <c r="EC155" s="7"/>
      <c r="ED155" s="7"/>
      <c r="EE155" s="7"/>
      <c r="EF155" s="7"/>
      <c r="EG155" s="7"/>
      <c r="EH155" s="7"/>
      <c r="EI155" s="7"/>
      <c r="EJ155" s="7"/>
      <c r="EK155" s="7"/>
      <c r="EL155" s="7"/>
      <c r="EM155" s="7"/>
      <c r="EN155" s="7"/>
      <c r="EO155" s="7"/>
      <c r="EP155" s="7"/>
    </row>
    <row r="156" s="1" customFormat="true" ht="12.8" hidden="false" customHeight="false" outlineLevel="0" collapsed="false">
      <c r="A156" s="7" t="s">
        <v>356</v>
      </c>
      <c r="B156" s="7" t="n">
        <v>38977</v>
      </c>
      <c r="C156" s="7" t="n">
        <v>39523</v>
      </c>
      <c r="D156" s="7" t="n">
        <v>40020</v>
      </c>
      <c r="E156" s="7" t="n">
        <v>40550</v>
      </c>
      <c r="F156" s="7" t="n">
        <v>41030</v>
      </c>
      <c r="G156" s="7" t="n">
        <v>41637</v>
      </c>
      <c r="H156" s="7" t="n">
        <v>42147</v>
      </c>
      <c r="I156" s="7" t="n">
        <v>42264</v>
      </c>
      <c r="J156" s="7" t="n">
        <v>42743</v>
      </c>
      <c r="K156" s="7" t="n">
        <v>43062</v>
      </c>
      <c r="L156" s="7" t="n">
        <v>42825</v>
      </c>
      <c r="M156" s="7" t="n">
        <v>42801</v>
      </c>
      <c r="N156" s="7" t="n">
        <v>41406</v>
      </c>
      <c r="O156" s="7" t="n">
        <v>40625</v>
      </c>
      <c r="P156" s="7" t="n">
        <v>39499</v>
      </c>
      <c r="Q156" s="7" t="n">
        <v>38101</v>
      </c>
      <c r="R156" s="7" t="n">
        <v>35527</v>
      </c>
      <c r="S156" s="7" t="n">
        <v>35698</v>
      </c>
      <c r="T156" s="7"/>
      <c r="U156" s="7"/>
      <c r="V156" s="7"/>
      <c r="W156" s="7"/>
      <c r="X156" s="7"/>
      <c r="Y156" s="7" t="n">
        <v>30739</v>
      </c>
      <c r="Z156" s="7" t="n">
        <v>35931</v>
      </c>
      <c r="AA156" s="7" t="n">
        <v>38608</v>
      </c>
      <c r="AB156" s="7" t="n">
        <v>40550</v>
      </c>
      <c r="AC156" s="7" t="n">
        <v>42264</v>
      </c>
      <c r="AD156" s="7" t="n">
        <v>42801</v>
      </c>
      <c r="AE156" s="7" t="n">
        <v>38101</v>
      </c>
      <c r="AF156" s="7" t="n">
        <f aca="false">+AE156*1.04</f>
        <v>39625.04</v>
      </c>
      <c r="AG156" s="7" t="n">
        <f aca="false">+AF156*1.04</f>
        <v>41210.0416</v>
      </c>
      <c r="AH156" s="7" t="n">
        <f aca="false">+AG156*1.04</f>
        <v>42858.443264</v>
      </c>
      <c r="AI156" s="7" t="n">
        <f aca="false">+AH156*1.04</f>
        <v>44572.78099456</v>
      </c>
      <c r="AJ156" s="7" t="n">
        <f aca="false">+AI156*1.04</f>
        <v>46355.6922343424</v>
      </c>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c r="CC156" s="7"/>
      <c r="CD156" s="7"/>
      <c r="CE156" s="7"/>
      <c r="CF156" s="7"/>
      <c r="CG156" s="7"/>
      <c r="CH156" s="7"/>
      <c r="CI156" s="7"/>
      <c r="CJ156" s="7"/>
      <c r="CK156" s="7"/>
      <c r="CL156" s="7"/>
      <c r="CM156" s="7"/>
      <c r="CN156" s="7"/>
      <c r="CO156" s="7"/>
      <c r="CP156" s="7"/>
      <c r="CQ156" s="7"/>
      <c r="CR156" s="7"/>
      <c r="CS156" s="7"/>
      <c r="CT156" s="7"/>
      <c r="CU156" s="7"/>
      <c r="CV156" s="7"/>
      <c r="CW156" s="7"/>
      <c r="CX156" s="7"/>
      <c r="CY156" s="7"/>
      <c r="CZ156" s="7"/>
      <c r="DA156" s="7"/>
      <c r="DB156" s="7"/>
      <c r="DC156" s="7"/>
      <c r="DD156" s="7"/>
      <c r="DE156" s="7"/>
      <c r="DF156" s="7"/>
      <c r="DG156" s="7"/>
      <c r="DH156" s="7"/>
      <c r="DI156" s="7"/>
      <c r="DJ156" s="7"/>
      <c r="DK156" s="7"/>
      <c r="DL156" s="7"/>
      <c r="DM156" s="7"/>
      <c r="DN156" s="7"/>
      <c r="DO156" s="7"/>
      <c r="DP156" s="7"/>
      <c r="DQ156" s="7"/>
      <c r="DR156" s="7"/>
      <c r="DS156" s="7"/>
      <c r="DT156" s="7"/>
      <c r="DU156" s="7"/>
      <c r="DV156" s="7"/>
      <c r="DW156" s="7"/>
      <c r="DX156" s="7"/>
      <c r="DY156" s="7"/>
      <c r="DZ156" s="7"/>
      <c r="EA156" s="7"/>
      <c r="EB156" s="7"/>
      <c r="EC156" s="7"/>
      <c r="ED156" s="7"/>
      <c r="EE156" s="7"/>
      <c r="EF156" s="7"/>
      <c r="EG156" s="7"/>
      <c r="EH156" s="7"/>
      <c r="EI156" s="7"/>
      <c r="EJ156" s="7"/>
      <c r="EK156" s="7"/>
      <c r="EL156" s="7"/>
      <c r="EM156" s="7"/>
      <c r="EN156" s="7"/>
      <c r="EO156" s="7"/>
      <c r="EP156" s="7"/>
    </row>
    <row r="157" s="1" customFormat="true" ht="12.8" hidden="false" customHeight="false" outlineLevel="0" collapsed="false">
      <c r="A157" s="7" t="s">
        <v>357</v>
      </c>
      <c r="B157" s="7" t="n">
        <v>-505</v>
      </c>
      <c r="C157" s="7" t="n">
        <v>-705</v>
      </c>
      <c r="D157" s="7" t="n">
        <v>-410</v>
      </c>
      <c r="E157" s="7" t="n">
        <v>-443</v>
      </c>
      <c r="F157" s="7" t="n">
        <v>-598</v>
      </c>
      <c r="G157" s="7" t="n">
        <v>-443</v>
      </c>
      <c r="H157" s="7" t="n">
        <v>-480</v>
      </c>
      <c r="I157" s="7" t="n">
        <v>-421</v>
      </c>
      <c r="J157" s="7" t="n">
        <v>-437</v>
      </c>
      <c r="K157" s="7" t="n">
        <v>-479</v>
      </c>
      <c r="L157" s="7" t="n">
        <v>-424</v>
      </c>
      <c r="M157" s="7" t="n">
        <v>-517</v>
      </c>
      <c r="N157" s="7" t="n">
        <v>-485</v>
      </c>
      <c r="O157" s="7" t="n">
        <v>-435</v>
      </c>
      <c r="P157" s="7" t="n">
        <v>-430</v>
      </c>
      <c r="Q157" s="7" t="n">
        <v>-432</v>
      </c>
      <c r="R157" s="7" t="n">
        <v>-421</v>
      </c>
      <c r="S157" s="7" t="n">
        <v>-432</v>
      </c>
      <c r="T157" s="7"/>
      <c r="U157" s="7"/>
      <c r="V157" s="7"/>
      <c r="W157" s="7"/>
      <c r="X157" s="7"/>
      <c r="Y157" s="7" t="n">
        <v>-187</v>
      </c>
      <c r="Z157" s="7" t="n">
        <v>-535</v>
      </c>
      <c r="AA157" s="7" t="n">
        <v>-524</v>
      </c>
      <c r="AB157" s="7" t="n">
        <v>-443</v>
      </c>
      <c r="AC157" s="7" t="n">
        <v>-421</v>
      </c>
      <c r="AD157" s="7" t="n">
        <v>-517</v>
      </c>
      <c r="AE157" s="7" t="n">
        <v>-432</v>
      </c>
      <c r="AF157" s="122" t="n">
        <v>-432</v>
      </c>
      <c r="AG157" s="122" t="n">
        <v>-432</v>
      </c>
      <c r="AH157" s="122" t="n">
        <v>-432</v>
      </c>
      <c r="AI157" s="122" t="n">
        <v>-432</v>
      </c>
      <c r="AJ157" s="122" t="n">
        <v>-432</v>
      </c>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c r="CC157" s="7"/>
      <c r="CD157" s="7"/>
      <c r="CE157" s="7"/>
      <c r="CF157" s="7"/>
      <c r="CG157" s="7"/>
      <c r="CH157" s="7"/>
      <c r="CI157" s="7"/>
      <c r="CJ157" s="7"/>
      <c r="CK157" s="7"/>
      <c r="CL157" s="7"/>
      <c r="CM157" s="7"/>
      <c r="CN157" s="7"/>
      <c r="CO157" s="7"/>
      <c r="CP157" s="7"/>
      <c r="CQ157" s="7"/>
      <c r="CR157" s="7"/>
      <c r="CS157" s="7"/>
      <c r="CT157" s="7"/>
      <c r="CU157" s="7"/>
      <c r="CV157" s="7"/>
      <c r="CW157" s="7"/>
      <c r="CX157" s="7"/>
      <c r="CY157" s="7"/>
      <c r="CZ157" s="7"/>
      <c r="DA157" s="7"/>
      <c r="DB157" s="7"/>
      <c r="DC157" s="7"/>
      <c r="DD157" s="7"/>
      <c r="DE157" s="7"/>
      <c r="DF157" s="7"/>
      <c r="DG157" s="7"/>
      <c r="DH157" s="7"/>
      <c r="DI157" s="7"/>
      <c r="DJ157" s="7"/>
      <c r="DK157" s="7"/>
      <c r="DL157" s="7"/>
      <c r="DM157" s="7"/>
      <c r="DN157" s="7"/>
      <c r="DO157" s="7"/>
      <c r="DP157" s="7"/>
      <c r="DQ157" s="7"/>
      <c r="DR157" s="7"/>
      <c r="DS157" s="7"/>
      <c r="DT157" s="7"/>
      <c r="DU157" s="7"/>
      <c r="DV157" s="7"/>
      <c r="DW157" s="7"/>
      <c r="DX157" s="7"/>
      <c r="DY157" s="7"/>
      <c r="DZ157" s="7"/>
      <c r="EA157" s="7"/>
      <c r="EB157" s="7"/>
      <c r="EC157" s="7"/>
      <c r="ED157" s="7"/>
      <c r="EE157" s="7"/>
      <c r="EF157" s="7"/>
      <c r="EG157" s="7"/>
      <c r="EH157" s="7"/>
      <c r="EI157" s="7"/>
      <c r="EJ157" s="7"/>
      <c r="EK157" s="7"/>
      <c r="EL157" s="7"/>
      <c r="EM157" s="7"/>
      <c r="EN157" s="7"/>
      <c r="EO157" s="7"/>
      <c r="EP157" s="7"/>
    </row>
    <row r="158" customFormat="false" ht="12.8" hidden="false" customHeight="false" outlineLevel="0" collapsed="false">
      <c r="A158" s="7" t="s">
        <v>358</v>
      </c>
      <c r="B158" s="7" t="n">
        <v>-29556</v>
      </c>
      <c r="C158" s="7" t="n">
        <v>-32157</v>
      </c>
      <c r="D158" s="7" t="n">
        <v>-33363</v>
      </c>
      <c r="E158" s="7" t="n">
        <v>-32767</v>
      </c>
      <c r="F158" s="7" t="n">
        <v>-32924</v>
      </c>
      <c r="G158" s="7" t="n">
        <v>-32530</v>
      </c>
      <c r="H158" s="7" t="n">
        <v>-32309</v>
      </c>
      <c r="I158" s="7" t="n">
        <v>-30594</v>
      </c>
      <c r="J158" s="7" t="n">
        <v>-31248</v>
      </c>
      <c r="K158" s="7" t="n">
        <v>-30233</v>
      </c>
      <c r="L158" s="7" t="n">
        <v>-27621</v>
      </c>
      <c r="M158" s="7" t="n">
        <v>-20726</v>
      </c>
      <c r="N158" s="7" t="n">
        <v>-18946</v>
      </c>
      <c r="O158" s="7" t="n">
        <v>-17592</v>
      </c>
      <c r="P158" s="7" t="n">
        <v>-10935</v>
      </c>
      <c r="Q158" s="7" t="n">
        <v>-10628</v>
      </c>
      <c r="R158" s="7" t="n">
        <v>-10355</v>
      </c>
      <c r="S158" s="7" t="n">
        <v>-7950</v>
      </c>
      <c r="T158" s="7"/>
      <c r="U158" s="7"/>
      <c r="V158" s="7"/>
      <c r="W158" s="7"/>
      <c r="X158" s="7"/>
      <c r="Y158" s="7" t="n">
        <v>-16362</v>
      </c>
      <c r="Z158" s="7" t="n">
        <v>-23130</v>
      </c>
      <c r="AA158" s="7" t="n">
        <v>-23626</v>
      </c>
      <c r="AB158" s="7" t="n">
        <v>-32767</v>
      </c>
      <c r="AC158" s="7" t="n">
        <v>-30594</v>
      </c>
      <c r="AD158" s="7" t="n">
        <v>-20726</v>
      </c>
      <c r="AE158" s="7" t="n">
        <v>-10628</v>
      </c>
      <c r="AF158" s="7" t="n">
        <f aca="false">+AF93+AE158</f>
        <v>-820.490820033756</v>
      </c>
      <c r="AG158" s="7" t="n">
        <f aca="false">+AG93+AF158</f>
        <v>8880.38604154461</v>
      </c>
      <c r="AH158" s="7" t="n">
        <f aca="false">+AH93+AG158</f>
        <v>21071.4557530196</v>
      </c>
      <c r="AI158" s="7" t="n">
        <f aca="false">+AI93+AH158</f>
        <v>37256.1729633738</v>
      </c>
      <c r="AJ158" s="7" t="n">
        <f aca="false">+AJ93+AI158</f>
        <v>57651.517006996</v>
      </c>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c r="CC158" s="7"/>
      <c r="CD158" s="7"/>
      <c r="CE158" s="7"/>
      <c r="CF158" s="7"/>
      <c r="CG158" s="7"/>
      <c r="CH158" s="7"/>
      <c r="CI158" s="7"/>
      <c r="CJ158" s="7"/>
      <c r="CK158" s="7"/>
      <c r="CL158" s="7"/>
      <c r="CM158" s="7"/>
      <c r="CN158" s="7"/>
      <c r="CO158" s="7"/>
      <c r="CP158" s="7"/>
      <c r="CQ158" s="7"/>
      <c r="CR158" s="7"/>
      <c r="CS158" s="7"/>
      <c r="CT158" s="7"/>
      <c r="CU158" s="7"/>
      <c r="CV158" s="7"/>
      <c r="CW158" s="7"/>
      <c r="CX158" s="7"/>
      <c r="CY158" s="7"/>
      <c r="CZ158" s="7"/>
      <c r="DA158" s="7"/>
      <c r="DB158" s="7"/>
      <c r="DC158" s="7"/>
      <c r="DD158" s="7"/>
      <c r="DE158" s="7"/>
      <c r="DF158" s="7"/>
      <c r="DG158" s="7"/>
      <c r="DH158" s="7"/>
      <c r="DI158" s="7"/>
      <c r="DJ158" s="7"/>
      <c r="DK158" s="7"/>
      <c r="DL158" s="7"/>
      <c r="DM158" s="7"/>
      <c r="DN158" s="7"/>
      <c r="DO158" s="7"/>
      <c r="DP158" s="7"/>
      <c r="DQ158" s="7"/>
      <c r="DR158" s="7"/>
      <c r="DS158" s="7"/>
      <c r="DT158" s="7"/>
      <c r="DU158" s="7"/>
      <c r="DV158" s="7"/>
      <c r="DW158" s="7"/>
      <c r="DX158" s="7"/>
      <c r="DY158" s="7"/>
      <c r="DZ158" s="7"/>
      <c r="EA158" s="7"/>
      <c r="EB158" s="7"/>
      <c r="EC158" s="7"/>
      <c r="ED158" s="7"/>
      <c r="EE158" s="7"/>
      <c r="EF158" s="7"/>
      <c r="EG158" s="7"/>
      <c r="EH158" s="7"/>
      <c r="EI158" s="7"/>
      <c r="EJ158" s="7"/>
      <c r="EK158" s="7"/>
      <c r="EL158" s="7"/>
      <c r="EM158" s="7"/>
      <c r="EN158" s="7"/>
      <c r="EO158" s="7"/>
      <c r="EP158" s="7"/>
    </row>
    <row r="159" customFormat="false" ht="12.8" hidden="false" customHeight="false" outlineLevel="0" collapsed="false">
      <c r="A159" s="7" t="s">
        <v>359</v>
      </c>
      <c r="B159" s="7" t="n">
        <v>697</v>
      </c>
      <c r="C159" s="7" t="n">
        <v>708</v>
      </c>
      <c r="D159" s="7" t="n">
        <v>430</v>
      </c>
      <c r="E159" s="7" t="n">
        <v>734</v>
      </c>
      <c r="F159" s="7" t="n">
        <v>745</v>
      </c>
      <c r="G159" s="7" t="n">
        <v>756</v>
      </c>
      <c r="H159" s="7" t="n">
        <v>767</v>
      </c>
      <c r="I159" s="7" t="n">
        <v>779</v>
      </c>
      <c r="J159" s="7" t="n">
        <v>790</v>
      </c>
      <c r="K159" s="7" t="n">
        <v>802</v>
      </c>
      <c r="L159" s="7" t="n">
        <v>813</v>
      </c>
      <c r="M159" s="7" t="n">
        <v>825</v>
      </c>
      <c r="N159" s="7" t="n">
        <v>837</v>
      </c>
      <c r="O159" s="7" t="n">
        <v>849</v>
      </c>
      <c r="P159" s="7" t="n">
        <v>863</v>
      </c>
      <c r="Q159" s="7" t="n">
        <v>877</v>
      </c>
      <c r="R159" s="7" t="n">
        <v>890</v>
      </c>
      <c r="S159" s="7" t="n">
        <v>180</v>
      </c>
      <c r="T159" s="7"/>
      <c r="U159" s="7"/>
      <c r="V159" s="7"/>
      <c r="W159" s="7"/>
      <c r="X159" s="7"/>
      <c r="Y159" s="7" t="n">
        <v>682</v>
      </c>
      <c r="Z159" s="7" t="n">
        <v>701</v>
      </c>
      <c r="AA159" s="7" t="n">
        <v>687</v>
      </c>
      <c r="AB159" s="7" t="n">
        <v>734</v>
      </c>
      <c r="AC159" s="7" t="n">
        <v>779</v>
      </c>
      <c r="AD159" s="7" t="n">
        <v>825</v>
      </c>
      <c r="AE159" s="7" t="n">
        <v>877</v>
      </c>
      <c r="AF159" s="122" t="n">
        <v>877</v>
      </c>
      <c r="AG159" s="122" t="n">
        <v>877</v>
      </c>
      <c r="AH159" s="122" t="n">
        <v>877</v>
      </c>
      <c r="AI159" s="122" t="n">
        <v>877</v>
      </c>
      <c r="AJ159" s="122" t="n">
        <v>877</v>
      </c>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c r="CC159" s="7"/>
      <c r="CD159" s="7"/>
      <c r="CE159" s="7"/>
      <c r="CF159" s="7"/>
      <c r="CG159" s="7"/>
      <c r="CH159" s="7"/>
      <c r="CI159" s="7"/>
      <c r="CJ159" s="7"/>
      <c r="CK159" s="7"/>
      <c r="CL159" s="7"/>
      <c r="CM159" s="7"/>
      <c r="CN159" s="7"/>
      <c r="CO159" s="7"/>
      <c r="CP159" s="7"/>
      <c r="CQ159" s="7"/>
      <c r="CR159" s="7"/>
      <c r="CS159" s="7"/>
      <c r="CT159" s="7"/>
      <c r="CU159" s="7"/>
      <c r="CV159" s="7"/>
      <c r="CW159" s="7"/>
      <c r="CX159" s="7"/>
      <c r="CY159" s="7"/>
      <c r="CZ159" s="7"/>
      <c r="DA159" s="7"/>
      <c r="DB159" s="7"/>
      <c r="DC159" s="7"/>
      <c r="DD159" s="7"/>
      <c r="DE159" s="7"/>
      <c r="DF159" s="7"/>
      <c r="DG159" s="7"/>
      <c r="DH159" s="7"/>
      <c r="DI159" s="7"/>
      <c r="DJ159" s="7"/>
      <c r="DK159" s="7"/>
      <c r="DL159" s="7"/>
      <c r="DM159" s="7"/>
      <c r="DN159" s="7"/>
      <c r="DO159" s="7"/>
      <c r="DP159" s="7"/>
      <c r="DQ159" s="7"/>
      <c r="DR159" s="7"/>
      <c r="DS159" s="7"/>
      <c r="DT159" s="7"/>
      <c r="DU159" s="7"/>
      <c r="DV159" s="7"/>
      <c r="DW159" s="7"/>
      <c r="DX159" s="7"/>
      <c r="DY159" s="7"/>
      <c r="DZ159" s="7"/>
      <c r="EA159" s="7"/>
      <c r="EB159" s="7"/>
      <c r="EC159" s="7"/>
      <c r="ED159" s="7"/>
      <c r="EE159" s="7"/>
      <c r="EF159" s="7"/>
      <c r="EG159" s="7"/>
      <c r="EH159" s="7"/>
      <c r="EI159" s="7"/>
      <c r="EJ159" s="7"/>
      <c r="EK159" s="7"/>
      <c r="EL159" s="7"/>
      <c r="EM159" s="7"/>
      <c r="EN159" s="7"/>
      <c r="EO159" s="7"/>
      <c r="EP159" s="7"/>
    </row>
    <row r="160" customFormat="false" ht="12.8" hidden="false" customHeight="false" outlineLevel="0" collapsed="false">
      <c r="A160" s="7" t="s">
        <v>360</v>
      </c>
      <c r="B160" s="7" t="n">
        <v>205</v>
      </c>
      <c r="C160" s="7" t="n">
        <v>194</v>
      </c>
      <c r="D160" s="7" t="n">
        <v>723</v>
      </c>
      <c r="E160" s="7" t="n">
        <v>430</v>
      </c>
      <c r="F160" s="7" t="n">
        <v>419</v>
      </c>
      <c r="G160" s="7" t="n">
        <v>408</v>
      </c>
      <c r="H160" s="7" t="n">
        <v>394</v>
      </c>
      <c r="I160" s="7" t="n">
        <v>654</v>
      </c>
      <c r="J160" s="7" t="n">
        <v>651</v>
      </c>
      <c r="K160" s="7" t="n">
        <v>631</v>
      </c>
      <c r="L160" s="7" t="n">
        <v>946</v>
      </c>
      <c r="M160" s="7" t="n">
        <v>93</v>
      </c>
      <c r="N160" s="7" t="n">
        <v>93</v>
      </c>
      <c r="O160" s="7" t="n">
        <v>183</v>
      </c>
      <c r="P160" s="7" t="n">
        <v>158</v>
      </c>
      <c r="Q160" s="7" t="n">
        <v>165</v>
      </c>
      <c r="R160" s="7" t="n">
        <v>171</v>
      </c>
      <c r="S160" s="7" t="n">
        <v>903</v>
      </c>
      <c r="T160" s="7"/>
      <c r="U160" s="7"/>
      <c r="V160" s="7"/>
      <c r="W160" s="7"/>
      <c r="X160" s="7"/>
      <c r="Y160" s="7" t="n">
        <v>311</v>
      </c>
      <c r="Z160" s="7" t="n">
        <v>787</v>
      </c>
      <c r="AA160" s="7" t="n">
        <v>204</v>
      </c>
      <c r="AB160" s="7" t="n">
        <v>430</v>
      </c>
      <c r="AC160" s="7" t="n">
        <v>654</v>
      </c>
      <c r="AD160" s="7" t="n">
        <v>93</v>
      </c>
      <c r="AE160" s="7" t="n">
        <v>165</v>
      </c>
      <c r="AF160" s="122" t="n">
        <v>165</v>
      </c>
      <c r="AG160" s="122" t="n">
        <v>165</v>
      </c>
      <c r="AH160" s="122" t="n">
        <v>165</v>
      </c>
      <c r="AI160" s="122" t="n">
        <v>165</v>
      </c>
      <c r="AJ160" s="122" t="n">
        <v>165</v>
      </c>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c r="CC160" s="7"/>
      <c r="CD160" s="7"/>
      <c r="CE160" s="7"/>
      <c r="CF160" s="7"/>
      <c r="CG160" s="7"/>
      <c r="CH160" s="7"/>
      <c r="CI160" s="7"/>
      <c r="CJ160" s="7"/>
      <c r="CK160" s="7"/>
      <c r="CL160" s="7"/>
      <c r="CM160" s="7"/>
      <c r="CN160" s="7"/>
      <c r="CO160" s="7"/>
      <c r="CP160" s="7"/>
      <c r="CQ160" s="7"/>
      <c r="CR160" s="7"/>
      <c r="CS160" s="7"/>
      <c r="CT160" s="7"/>
      <c r="CU160" s="7"/>
      <c r="CV160" s="7"/>
      <c r="CW160" s="7"/>
      <c r="CX160" s="7"/>
      <c r="CY160" s="7"/>
      <c r="CZ160" s="7"/>
      <c r="DA160" s="7"/>
      <c r="DB160" s="7"/>
      <c r="DC160" s="7"/>
      <c r="DD160" s="7"/>
      <c r="DE160" s="7"/>
      <c r="DF160" s="7"/>
      <c r="DG160" s="7"/>
      <c r="DH160" s="7"/>
      <c r="DI160" s="7"/>
      <c r="DJ160" s="7"/>
      <c r="DK160" s="7"/>
      <c r="DL160" s="7"/>
      <c r="DM160" s="7"/>
      <c r="DN160" s="7"/>
      <c r="DO160" s="7"/>
      <c r="DP160" s="7"/>
      <c r="DQ160" s="7"/>
      <c r="DR160" s="7"/>
      <c r="DS160" s="7"/>
      <c r="DT160" s="7"/>
      <c r="DU160" s="7"/>
      <c r="DV160" s="7"/>
      <c r="DW160" s="7"/>
      <c r="DX160" s="7"/>
      <c r="DY160" s="7"/>
      <c r="DZ160" s="7"/>
      <c r="EA160" s="7"/>
      <c r="EB160" s="7"/>
      <c r="EC160" s="7"/>
      <c r="ED160" s="7"/>
      <c r="EE160" s="7"/>
      <c r="EF160" s="7"/>
      <c r="EG160" s="7"/>
      <c r="EH160" s="7"/>
      <c r="EI160" s="7"/>
      <c r="EJ160" s="7"/>
      <c r="EK160" s="7"/>
      <c r="EL160" s="7"/>
      <c r="EM160" s="7"/>
      <c r="EN160" s="7"/>
      <c r="EO160" s="7"/>
      <c r="EP160" s="7"/>
    </row>
    <row r="161" customFormat="false" ht="12.8" hidden="false" customHeight="false" outlineLevel="0" collapsed="false">
      <c r="A161" s="7" t="s">
        <v>361</v>
      </c>
      <c r="B161" s="7" t="n">
        <f aca="false">SUM(B156:B158)</f>
        <v>8916</v>
      </c>
      <c r="C161" s="7" t="n">
        <f aca="false">SUM(C156:C158)</f>
        <v>6661</v>
      </c>
      <c r="D161" s="7" t="n">
        <f aca="false">SUM(D156:D158)</f>
        <v>6247</v>
      </c>
      <c r="E161" s="7" t="n">
        <f aca="false">SUM(E156:E158)</f>
        <v>7340</v>
      </c>
      <c r="F161" s="7" t="n">
        <f aca="false">SUM(F156:F158)</f>
        <v>7508</v>
      </c>
      <c r="G161" s="7" t="n">
        <f aca="false">SUM(G156:G158)</f>
        <v>8664</v>
      </c>
      <c r="H161" s="7" t="n">
        <f aca="false">SUM(H156:H158)</f>
        <v>9358</v>
      </c>
      <c r="I161" s="7" t="n">
        <f aca="false">SUM(I156:I158)</f>
        <v>11249</v>
      </c>
      <c r="J161" s="7" t="n">
        <f aca="false">SUM(J156:J158)</f>
        <v>11058</v>
      </c>
      <c r="K161" s="7" t="n">
        <f aca="false">SUM(K156:K158)</f>
        <v>12350</v>
      </c>
      <c r="L161" s="7" t="n">
        <f aca="false">SUM(L156:L158)</f>
        <v>14780</v>
      </c>
      <c r="M161" s="7" t="n">
        <f aca="false">SUM(M156:M158)</f>
        <v>21558</v>
      </c>
      <c r="N161" s="7" t="n">
        <f aca="false">SUM(N156:N158)</f>
        <v>21975</v>
      </c>
      <c r="O161" s="7" t="n">
        <f aca="false">SUM(O156:O158)</f>
        <v>22598</v>
      </c>
      <c r="P161" s="7" t="n">
        <f aca="false">SUM(P156:P158)</f>
        <v>28134</v>
      </c>
      <c r="Q161" s="7" t="n">
        <f aca="false">SUM(Q156:Q158)</f>
        <v>27041</v>
      </c>
      <c r="R161" s="7" t="n">
        <f aca="false">SUM(R156:R158)</f>
        <v>24751</v>
      </c>
      <c r="S161" s="7" t="n">
        <f aca="false">SUM(S156:S158)</f>
        <v>27316</v>
      </c>
      <c r="T161" s="7"/>
      <c r="U161" s="7"/>
      <c r="V161" s="7"/>
      <c r="W161" s="7"/>
      <c r="X161" s="7"/>
      <c r="Y161" s="7" t="n">
        <f aca="false">SUM(Y156:Y158)</f>
        <v>14190</v>
      </c>
      <c r="Z161" s="7" t="n">
        <f aca="false">SUM(Z156:Z158)</f>
        <v>12266</v>
      </c>
      <c r="AA161" s="7" t="n">
        <f aca="false">SUM(AA156:AA158)</f>
        <v>14458</v>
      </c>
      <c r="AB161" s="7" t="n">
        <f aca="false">SUM(AB156:AB158)</f>
        <v>7340</v>
      </c>
      <c r="AC161" s="7" t="n">
        <f aca="false">SUM(AC156:AC158)</f>
        <v>11249</v>
      </c>
      <c r="AD161" s="7" t="n">
        <f aca="false">SUM(AD156:AD158)</f>
        <v>21558</v>
      </c>
      <c r="AE161" s="7" t="n">
        <f aca="false">SUM(AE156:AE158)</f>
        <v>27041</v>
      </c>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c r="CC161" s="7"/>
      <c r="CD161" s="7"/>
      <c r="CE161" s="7"/>
      <c r="CF161" s="7"/>
      <c r="CG161" s="7"/>
      <c r="CH161" s="7"/>
      <c r="CI161" s="7"/>
      <c r="CJ161" s="7"/>
      <c r="CK161" s="7"/>
      <c r="CL161" s="7"/>
      <c r="CM161" s="7"/>
      <c r="CN161" s="7"/>
      <c r="CO161" s="7"/>
      <c r="CP161" s="7"/>
      <c r="CQ161" s="7"/>
      <c r="CR161" s="7"/>
      <c r="CS161" s="7"/>
      <c r="CT161" s="7"/>
      <c r="CU161" s="7"/>
      <c r="CV161" s="7"/>
      <c r="CW161" s="7"/>
      <c r="CX161" s="7"/>
      <c r="CY161" s="7"/>
      <c r="CZ161" s="7"/>
      <c r="DA161" s="7"/>
      <c r="DB161" s="7"/>
      <c r="DC161" s="7"/>
      <c r="DD161" s="7"/>
      <c r="DE161" s="7"/>
      <c r="DF161" s="7"/>
      <c r="DG161" s="7"/>
      <c r="DH161" s="7"/>
      <c r="DI161" s="7"/>
      <c r="DJ161" s="7"/>
      <c r="DK161" s="7"/>
      <c r="DL161" s="7"/>
      <c r="DM161" s="7"/>
      <c r="DN161" s="7"/>
      <c r="DO161" s="7"/>
      <c r="DP161" s="7"/>
      <c r="DQ161" s="7"/>
      <c r="DR161" s="7"/>
      <c r="DS161" s="7"/>
      <c r="DT161" s="7"/>
      <c r="DU161" s="7"/>
      <c r="DV161" s="7"/>
      <c r="DW161" s="7"/>
      <c r="DX161" s="7"/>
      <c r="DY161" s="7"/>
      <c r="DZ161" s="7"/>
      <c r="EA161" s="7"/>
      <c r="EB161" s="7"/>
      <c r="EC161" s="7"/>
      <c r="ED161" s="7"/>
      <c r="EE161" s="7"/>
      <c r="EF161" s="7"/>
      <c r="EG161" s="7"/>
      <c r="EH161" s="7"/>
      <c r="EI161" s="7"/>
      <c r="EJ161" s="7"/>
      <c r="EK161" s="7"/>
      <c r="EL161" s="7"/>
      <c r="EM161" s="7"/>
      <c r="EN161" s="7"/>
      <c r="EO161" s="7"/>
      <c r="EP161" s="7"/>
      <c r="ER161" s="123"/>
      <c r="ES161" s="123"/>
      <c r="ET161" s="123"/>
      <c r="EU161" s="123"/>
      <c r="EV161" s="123"/>
    </row>
    <row r="162" customFormat="false" ht="12.8" hidden="false" customHeight="false" outlineLevel="0" collapsed="false">
      <c r="A162" s="7" t="s">
        <v>362</v>
      </c>
      <c r="B162" s="7" t="n">
        <f aca="false">B161+B154+B160+B159</f>
        <v>32812</v>
      </c>
      <c r="C162" s="7" t="n">
        <f aca="false">C161+C154+C160+C159</f>
        <v>31014</v>
      </c>
      <c r="D162" s="7" t="n">
        <f aca="false">D161+D154+D160+D159</f>
        <v>31112</v>
      </c>
      <c r="E162" s="7" t="n">
        <f aca="false">E161+E154+E160+E159</f>
        <v>32109</v>
      </c>
      <c r="F162" s="7" t="n">
        <f aca="false">F161+F154+F160+F159</f>
        <v>32451</v>
      </c>
      <c r="G162" s="7" t="n">
        <f aca="false">G161+G154+G160+G159</f>
        <v>34068</v>
      </c>
      <c r="H162" s="7" t="n">
        <f aca="false">H161+H154+H160+H159</f>
        <v>35949</v>
      </c>
      <c r="I162" s="7" t="n">
        <f aca="false">I161+I154+I160+I159</f>
        <v>38699</v>
      </c>
      <c r="J162" s="7" t="n">
        <f aca="false">J161+J154+J160+J159</f>
        <v>39599</v>
      </c>
      <c r="K162" s="7" t="n">
        <f aca="false">K161+K154+K160+K159</f>
        <v>41514</v>
      </c>
      <c r="L162" s="7" t="n">
        <f aca="false">L161+L154+L160+L159</f>
        <v>47117</v>
      </c>
      <c r="M162" s="7" t="n">
        <f aca="false">M161+M154+M160+M159</f>
        <v>51244</v>
      </c>
      <c r="N162" s="7" t="n">
        <f aca="false">N161+N154+N160+N159</f>
        <v>52822</v>
      </c>
      <c r="O162" s="7" t="n">
        <f aca="false">O161+O154+O160+O159</f>
        <v>55982</v>
      </c>
      <c r="P162" s="7" t="n">
        <f aca="false">P161+P154+P160+P159</f>
        <v>63344</v>
      </c>
      <c r="Q162" s="7" t="n">
        <f aca="false">Q161+Q154+Q160+Q159</f>
        <v>61802</v>
      </c>
      <c r="R162" s="7" t="n">
        <f aca="false">R161+R154+R160+R159</f>
        <v>59885</v>
      </c>
      <c r="S162" s="7" t="n">
        <f aca="false">S161+S154+S160+S159</f>
        <v>65801</v>
      </c>
      <c r="T162" s="7"/>
      <c r="U162" s="7"/>
      <c r="V162" s="7"/>
      <c r="W162" s="7"/>
      <c r="X162" s="7"/>
      <c r="Y162" s="7" t="n">
        <f aca="false">Y161+Y154+Y160+Y159</f>
        <v>31761.4653283382</v>
      </c>
      <c r="Z162" s="7" t="n">
        <f aca="false">Z161+Z154+Z160+Z159</f>
        <v>33252.6967095874</v>
      </c>
      <c r="AA162" s="7" t="n">
        <f aca="false">AA161+AA154+AA160+AA159</f>
        <v>38774.5106146263</v>
      </c>
      <c r="AB162" s="7" t="n">
        <f aca="false">AB161+AB154+AB160+AB159</f>
        <v>32109.2732070766</v>
      </c>
      <c r="AC162" s="7" t="n">
        <f aca="false">AC161+AC154+AC160+AC159</f>
        <v>38699.2445999172</v>
      </c>
      <c r="AD162" s="7" t="n">
        <f aca="false">AD161+AD154+AD160+AD159</f>
        <v>51244.2476671952</v>
      </c>
      <c r="AE162" s="7" t="n">
        <f aca="false">AE161+AE154+AE160+AE159</f>
        <v>61802.2220409628</v>
      </c>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c r="CC162" s="7"/>
      <c r="CD162" s="7"/>
      <c r="CE162" s="7"/>
      <c r="CF162" s="7"/>
      <c r="CG162" s="7"/>
      <c r="CH162" s="7"/>
      <c r="CI162" s="7"/>
      <c r="CJ162" s="7"/>
      <c r="CK162" s="7"/>
      <c r="CL162" s="7"/>
      <c r="CM162" s="7"/>
      <c r="CN162" s="7"/>
      <c r="CO162" s="7"/>
      <c r="CP162" s="7"/>
      <c r="CQ162" s="7"/>
      <c r="CR162" s="7"/>
      <c r="CS162" s="7"/>
      <c r="CT162" s="7"/>
      <c r="CU162" s="7"/>
      <c r="CV162" s="7"/>
      <c r="CW162" s="7"/>
      <c r="CX162" s="7"/>
      <c r="CY162" s="7"/>
      <c r="CZ162" s="7"/>
      <c r="DA162" s="7"/>
      <c r="DB162" s="7"/>
      <c r="DC162" s="7"/>
      <c r="DD162" s="7"/>
      <c r="DE162" s="7"/>
      <c r="DF162" s="7"/>
      <c r="DG162" s="7"/>
      <c r="DH162" s="7"/>
      <c r="DI162" s="7"/>
      <c r="DJ162" s="7"/>
      <c r="DK162" s="7"/>
      <c r="DL162" s="7"/>
      <c r="DM162" s="7"/>
      <c r="DN162" s="7"/>
      <c r="DO162" s="7"/>
      <c r="DP162" s="7"/>
      <c r="DQ162" s="7"/>
      <c r="DR162" s="7"/>
      <c r="DS162" s="7"/>
      <c r="DT162" s="7"/>
      <c r="DU162" s="7"/>
      <c r="DV162" s="7"/>
      <c r="DW162" s="7"/>
      <c r="DX162" s="7"/>
      <c r="DY162" s="7"/>
      <c r="DZ162" s="7"/>
      <c r="EA162" s="7"/>
      <c r="EB162" s="7"/>
      <c r="EC162" s="7"/>
      <c r="ED162" s="7"/>
      <c r="EE162" s="7"/>
      <c r="EF162" s="7"/>
      <c r="EG162" s="7"/>
      <c r="EH162" s="7"/>
      <c r="EI162" s="7"/>
      <c r="EJ162" s="7"/>
      <c r="EK162" s="7"/>
      <c r="EL162" s="7"/>
      <c r="EM162" s="7"/>
      <c r="EN162" s="7"/>
      <c r="EO162" s="7"/>
      <c r="EP162" s="7"/>
    </row>
    <row r="163" s="1" customFormat="true" ht="12.8" hidden="false" customHeight="false" outlineLevel="0" collapsed="false">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c r="CC163" s="7"/>
      <c r="CD163" s="7"/>
      <c r="CE163" s="7"/>
      <c r="CF163" s="7"/>
      <c r="CG163" s="7"/>
      <c r="CH163" s="7"/>
      <c r="CI163" s="7"/>
      <c r="CJ163" s="7"/>
      <c r="CK163" s="7"/>
      <c r="CL163" s="7"/>
      <c r="CM163" s="7"/>
      <c r="CN163" s="7"/>
      <c r="CO163" s="7"/>
      <c r="CP163" s="7"/>
      <c r="CQ163" s="7"/>
      <c r="CR163" s="7"/>
      <c r="CS163" s="7"/>
      <c r="CT163" s="7"/>
      <c r="CU163" s="7"/>
      <c r="CV163" s="7"/>
      <c r="CW163" s="7"/>
      <c r="CX163" s="7"/>
      <c r="CY163" s="7"/>
      <c r="CZ163" s="7"/>
      <c r="DA163" s="7"/>
      <c r="DB163" s="7"/>
      <c r="DC163" s="7"/>
      <c r="DD163" s="7"/>
      <c r="DE163" s="7"/>
      <c r="DF163" s="7"/>
      <c r="DG163" s="7"/>
      <c r="DH163" s="7"/>
      <c r="DI163" s="7"/>
      <c r="DJ163" s="7"/>
      <c r="DK163" s="7"/>
      <c r="DL163" s="7"/>
      <c r="DM163" s="7"/>
      <c r="DN163" s="7"/>
      <c r="DO163" s="7"/>
      <c r="DP163" s="7"/>
      <c r="DQ163" s="7"/>
      <c r="DR163" s="7"/>
      <c r="DS163" s="7"/>
      <c r="DT163" s="7"/>
      <c r="DU163" s="7"/>
      <c r="DV163" s="7"/>
      <c r="DW163" s="7"/>
      <c r="DX163" s="7"/>
      <c r="DY163" s="7"/>
      <c r="DZ163" s="7"/>
      <c r="EA163" s="7"/>
      <c r="EB163" s="7"/>
      <c r="EC163" s="7"/>
      <c r="ED163" s="7"/>
      <c r="EE163" s="7"/>
      <c r="EF163" s="7"/>
      <c r="EG163" s="7"/>
      <c r="EH163" s="7"/>
      <c r="EI163" s="7"/>
      <c r="EJ163" s="7"/>
      <c r="EK163" s="7"/>
      <c r="EL163" s="7"/>
      <c r="EM163" s="7"/>
      <c r="EN163" s="7"/>
      <c r="EO163" s="7"/>
      <c r="EP163" s="7"/>
    </row>
    <row r="164" customFormat="false" ht="12.8" hidden="false" customHeight="false" outlineLevel="0" collapsed="false">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c r="CC164" s="7"/>
      <c r="CD164" s="7"/>
      <c r="CE164" s="7"/>
      <c r="CF164" s="7"/>
      <c r="CG164" s="7"/>
      <c r="CH164" s="7"/>
      <c r="CI164" s="7"/>
      <c r="CJ164" s="7"/>
      <c r="CK164" s="7"/>
      <c r="CL164" s="7"/>
      <c r="CM164" s="7"/>
      <c r="CN164" s="7"/>
      <c r="CO164" s="7"/>
      <c r="CP164" s="7"/>
      <c r="CQ164" s="7"/>
      <c r="CR164" s="7"/>
      <c r="CS164" s="7"/>
      <c r="CT164" s="7"/>
      <c r="CU164" s="7"/>
      <c r="CV164" s="7"/>
      <c r="CW164" s="7"/>
      <c r="CX164" s="7"/>
      <c r="CY164" s="7"/>
      <c r="CZ164" s="7"/>
      <c r="DA164" s="7"/>
      <c r="DB164" s="7"/>
      <c r="DC164" s="7"/>
      <c r="DD164" s="7"/>
      <c r="DE164" s="7"/>
      <c r="DF164" s="7"/>
      <c r="DG164" s="7"/>
      <c r="DH164" s="7"/>
      <c r="DI164" s="7"/>
      <c r="DJ164" s="7"/>
      <c r="DK164" s="7"/>
      <c r="DL164" s="7"/>
      <c r="DM164" s="7"/>
      <c r="DN164" s="7"/>
      <c r="DO164" s="7"/>
      <c r="DP164" s="7"/>
      <c r="DQ164" s="7"/>
      <c r="DR164" s="7"/>
      <c r="DS164" s="7"/>
      <c r="DT164" s="7"/>
      <c r="DU164" s="7"/>
      <c r="DV164" s="7"/>
      <c r="DW164" s="7"/>
      <c r="DX164" s="7"/>
      <c r="DY164" s="7"/>
      <c r="DZ164" s="7"/>
      <c r="EA164" s="7"/>
      <c r="EB164" s="7"/>
      <c r="EC164" s="7"/>
      <c r="ED164" s="7"/>
      <c r="EE164" s="7"/>
      <c r="EF164" s="7"/>
      <c r="EG164" s="7"/>
      <c r="EH164" s="7"/>
      <c r="EI164" s="7"/>
      <c r="EJ164" s="7"/>
      <c r="EK164" s="7"/>
      <c r="EL164" s="7"/>
      <c r="EM164" s="7"/>
      <c r="EN164" s="7"/>
      <c r="EO164" s="7"/>
      <c r="EP164" s="7"/>
      <c r="ER164" s="123"/>
      <c r="ES164" s="123"/>
      <c r="ET164" s="123"/>
      <c r="EU164" s="123"/>
      <c r="EV164" s="123"/>
    </row>
    <row r="165" customFormat="false" ht="12.8" hidden="false" customHeight="false" outlineLevel="0" collapsed="false">
      <c r="A165" s="7" t="s">
        <v>363</v>
      </c>
      <c r="B165" s="7" t="n">
        <f aca="false">B89</f>
        <v>-5918</v>
      </c>
      <c r="C165" s="7" t="n">
        <f aca="false">C89</f>
        <v>-2616</v>
      </c>
      <c r="D165" s="7" t="n">
        <f aca="false">D89</f>
        <v>-1204</v>
      </c>
      <c r="E165" s="7" t="n">
        <f aca="false">E89</f>
        <v>600</v>
      </c>
      <c r="F165" s="7" t="n">
        <f aca="false">F89</f>
        <v>-156.04909144605</v>
      </c>
      <c r="G165" s="7" t="n">
        <f aca="false">G89</f>
        <v>394.51470431175</v>
      </c>
      <c r="H165" s="7" t="n">
        <f aca="false">H89</f>
        <v>219.38635904237</v>
      </c>
      <c r="I165" s="7" t="n">
        <f aca="false">I89</f>
        <v>1700.40287500652</v>
      </c>
      <c r="J165" s="7" t="n">
        <f aca="false">J89</f>
        <v>-662.65995561758</v>
      </c>
      <c r="K165" s="7" t="n">
        <f aca="false">K89</f>
        <v>1008.33057134443</v>
      </c>
      <c r="L165" s="7" t="n">
        <f aca="false">L89</f>
        <v>2599.44613607724</v>
      </c>
      <c r="M165" s="7" t="n">
        <f aca="false">M89</f>
        <v>6901.45783140762</v>
      </c>
      <c r="N165" s="7" t="n">
        <f aca="false">N89</f>
        <v>1774.32837545794</v>
      </c>
      <c r="O165" s="7" t="n">
        <f aca="false">O89</f>
        <v>1350.43380436374</v>
      </c>
      <c r="P165" s="7" t="n">
        <f aca="false">P89</f>
        <v>6652.48882865999</v>
      </c>
      <c r="Q165" s="7" t="n">
        <f aca="false">Q89</f>
        <v>317</v>
      </c>
      <c r="R165" s="7" t="n">
        <f aca="false">R89</f>
        <v>282</v>
      </c>
      <c r="S165" s="7" t="n">
        <f aca="false">S89</f>
        <v>2416</v>
      </c>
      <c r="T165" s="7"/>
      <c r="U165" s="7"/>
      <c r="V165" s="7"/>
      <c r="W165" s="7"/>
      <c r="X165" s="7"/>
      <c r="Y165" s="7" t="n">
        <f aca="false">Y89</f>
        <v>-8512</v>
      </c>
      <c r="Z165" s="7" t="n">
        <f aca="false">Z89</f>
        <v>-6787.49490240048</v>
      </c>
      <c r="AA165" s="7" t="n">
        <f aca="false">AA89</f>
        <v>-567.607395876221</v>
      </c>
      <c r="AB165" s="7" t="n">
        <f aca="false">AB89</f>
        <v>-9134.4202315237</v>
      </c>
      <c r="AC165" s="7" t="n">
        <f aca="false">SUM(F165:I165)</f>
        <v>2158.25484691459</v>
      </c>
      <c r="AD165" s="7" t="n">
        <f aca="false">AD89</f>
        <v>9845.37182716581</v>
      </c>
      <c r="AE165" s="7" t="n">
        <f aca="false">AE89</f>
        <v>10093.428914642</v>
      </c>
      <c r="AF165" s="7" t="n">
        <f aca="false">AF89</f>
        <v>9857.50917996624</v>
      </c>
      <c r="AG165" s="7" t="n">
        <f aca="false">AG89</f>
        <v>9750.87686157837</v>
      </c>
      <c r="AH165" s="7" t="n">
        <f aca="false">AH89</f>
        <v>12241.069711475</v>
      </c>
      <c r="AI165" s="7" t="n">
        <f aca="false">AI89</f>
        <v>16234.7172103542</v>
      </c>
      <c r="AJ165" s="7" t="n">
        <f aca="false">AJ89</f>
        <v>20445.3440436222</v>
      </c>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c r="CC165" s="7"/>
      <c r="CD165" s="7"/>
      <c r="CE165" s="7"/>
      <c r="CF165" s="7"/>
      <c r="CG165" s="7"/>
      <c r="CH165" s="7"/>
      <c r="CI165" s="7"/>
      <c r="CJ165" s="7"/>
      <c r="CK165" s="7"/>
      <c r="CL165" s="7"/>
      <c r="CM165" s="7"/>
      <c r="CN165" s="7"/>
      <c r="CO165" s="7"/>
      <c r="CP165" s="7"/>
      <c r="CQ165" s="7"/>
      <c r="CR165" s="7"/>
      <c r="CS165" s="7"/>
      <c r="CT165" s="7"/>
      <c r="CU165" s="7"/>
      <c r="CV165" s="7"/>
      <c r="CW165" s="7"/>
      <c r="CX165" s="7"/>
      <c r="CY165" s="7"/>
      <c r="CZ165" s="7"/>
      <c r="DA165" s="7"/>
      <c r="DB165" s="7"/>
      <c r="DC165" s="7"/>
      <c r="DD165" s="7"/>
      <c r="DE165" s="7"/>
      <c r="DF165" s="7"/>
      <c r="DG165" s="7"/>
      <c r="DH165" s="7"/>
      <c r="DI165" s="7"/>
      <c r="DJ165" s="7"/>
      <c r="DK165" s="7"/>
      <c r="DL165" s="7"/>
      <c r="DM165" s="7"/>
      <c r="DN165" s="7"/>
      <c r="DO165" s="7"/>
      <c r="DP165" s="7"/>
      <c r="DQ165" s="7"/>
      <c r="DR165" s="7"/>
      <c r="DS165" s="7"/>
      <c r="DT165" s="7"/>
      <c r="DU165" s="7"/>
      <c r="DV165" s="7"/>
      <c r="DW165" s="7"/>
      <c r="DX165" s="7"/>
      <c r="DY165" s="7"/>
      <c r="DZ165" s="7"/>
      <c r="EA165" s="7"/>
      <c r="EB165" s="7"/>
      <c r="EC165" s="7"/>
      <c r="ED165" s="7"/>
      <c r="EE165" s="7"/>
      <c r="EF165" s="7"/>
      <c r="EG165" s="7"/>
      <c r="EH165" s="7"/>
      <c r="EI165" s="7"/>
      <c r="EJ165" s="7"/>
      <c r="EK165" s="7"/>
      <c r="EL165" s="7"/>
      <c r="EM165" s="7"/>
      <c r="EN165" s="7"/>
      <c r="EO165" s="7"/>
      <c r="EP165" s="7"/>
      <c r="ER165" s="123"/>
      <c r="ES165" s="123"/>
      <c r="ET165" s="123"/>
      <c r="EU165" s="123"/>
      <c r="EV165" s="123"/>
    </row>
    <row r="166" s="1" customFormat="true" ht="12.8" hidden="false" customHeight="false" outlineLevel="0" collapsed="false">
      <c r="A166" s="7" t="s">
        <v>301</v>
      </c>
      <c r="B166" s="7" t="n">
        <v>-5918</v>
      </c>
      <c r="C166" s="7" t="n">
        <v>-2616</v>
      </c>
      <c r="D166" s="7" t="n">
        <v>-1204</v>
      </c>
      <c r="E166" s="7" t="n">
        <v>600</v>
      </c>
      <c r="F166" s="7" t="n">
        <v>-157</v>
      </c>
      <c r="G166" s="7" t="n">
        <v>394</v>
      </c>
      <c r="H166" s="7" t="n">
        <v>219</v>
      </c>
      <c r="I166" s="7" t="n">
        <v>1700</v>
      </c>
      <c r="J166" s="7" t="n">
        <v>-663</v>
      </c>
      <c r="K166" s="7" t="n">
        <v>1008</v>
      </c>
      <c r="L166" s="7" t="n">
        <v>2599</v>
      </c>
      <c r="M166" s="7" t="n">
        <v>6901</v>
      </c>
      <c r="N166" s="7" t="n">
        <v>1774</v>
      </c>
      <c r="O166" s="7" t="n">
        <v>1350</v>
      </c>
      <c r="P166" s="7" t="n">
        <v>6652</v>
      </c>
      <c r="Q166" s="7" t="n">
        <v>317</v>
      </c>
      <c r="R166" s="7" t="n">
        <v>282</v>
      </c>
      <c r="S166" s="7" t="n">
        <v>2416</v>
      </c>
      <c r="T166" s="7"/>
      <c r="U166" s="7"/>
      <c r="V166" s="7"/>
      <c r="W166" s="7"/>
      <c r="X166" s="7"/>
      <c r="Y166" s="7" t="n">
        <v>-8512</v>
      </c>
      <c r="Z166" s="7" t="n">
        <v>-6788</v>
      </c>
      <c r="AA166" s="7" t="n">
        <v>-570</v>
      </c>
      <c r="AB166" s="7" t="n">
        <v>-9138</v>
      </c>
      <c r="AC166" s="7" t="n">
        <f aca="false">SUM(F166:I166)</f>
        <v>2156</v>
      </c>
      <c r="AD166" s="7" t="n">
        <f aca="false">SUM(J166:M166)</f>
        <v>9845</v>
      </c>
      <c r="AE166" s="7" t="n">
        <f aca="false">SUM(N166:Q166)</f>
        <v>10093</v>
      </c>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c r="CC166" s="7"/>
      <c r="CD166" s="7"/>
      <c r="CE166" s="7"/>
      <c r="CF166" s="7"/>
      <c r="CG166" s="7"/>
      <c r="CH166" s="7"/>
      <c r="CI166" s="7"/>
      <c r="CJ166" s="7"/>
      <c r="CK166" s="7"/>
      <c r="CL166" s="7"/>
      <c r="CM166" s="7"/>
      <c r="CN166" s="7"/>
      <c r="CO166" s="7"/>
      <c r="CP166" s="7"/>
      <c r="CQ166" s="7"/>
      <c r="CR166" s="7"/>
      <c r="CS166" s="7"/>
      <c r="CT166" s="7"/>
      <c r="CU166" s="7"/>
      <c r="CV166" s="7"/>
      <c r="CW166" s="7"/>
      <c r="CX166" s="7"/>
      <c r="CY166" s="7"/>
      <c r="CZ166" s="7"/>
      <c r="DA166" s="7"/>
      <c r="DB166" s="7"/>
      <c r="DC166" s="7"/>
      <c r="DD166" s="7"/>
      <c r="DE166" s="7"/>
      <c r="DF166" s="7"/>
      <c r="DG166" s="7"/>
      <c r="DH166" s="7"/>
      <c r="DI166" s="7"/>
      <c r="DJ166" s="7"/>
      <c r="DK166" s="7"/>
      <c r="DL166" s="7"/>
      <c r="DM166" s="7"/>
      <c r="DN166" s="7"/>
      <c r="DO166" s="7"/>
      <c r="DP166" s="7"/>
      <c r="DQ166" s="7"/>
      <c r="DR166" s="7"/>
      <c r="DS166" s="7"/>
      <c r="DT166" s="7"/>
      <c r="DU166" s="7"/>
      <c r="DV166" s="7"/>
      <c r="DW166" s="7"/>
      <c r="DX166" s="7"/>
      <c r="DY166" s="7"/>
      <c r="DZ166" s="7"/>
      <c r="EA166" s="7"/>
      <c r="EB166" s="7"/>
      <c r="EC166" s="7"/>
      <c r="ED166" s="7"/>
      <c r="EE166" s="7"/>
      <c r="EF166" s="7"/>
      <c r="EG166" s="7"/>
      <c r="EH166" s="7"/>
      <c r="EI166" s="7"/>
      <c r="EJ166" s="7"/>
      <c r="EK166" s="7"/>
      <c r="EL166" s="7"/>
      <c r="EM166" s="7"/>
      <c r="EN166" s="7"/>
      <c r="EO166" s="7"/>
      <c r="EP166" s="7"/>
    </row>
    <row r="167" s="1" customFormat="true" ht="12.8" hidden="false" customHeight="false" outlineLevel="0" collapsed="false">
      <c r="A167" s="7" t="s">
        <v>364</v>
      </c>
      <c r="B167" s="7" t="n">
        <v>254</v>
      </c>
      <c r="C167" s="7" t="n">
        <v>243</v>
      </c>
      <c r="D167" s="7" t="n">
        <v>227</v>
      </c>
      <c r="E167" s="7" t="n">
        <v>223</v>
      </c>
      <c r="F167" s="7" t="n">
        <v>207</v>
      </c>
      <c r="G167" s="7" t="n">
        <v>208</v>
      </c>
      <c r="H167" s="7" t="n">
        <v>205</v>
      </c>
      <c r="I167" s="7" t="n">
        <v>203</v>
      </c>
      <c r="J167" s="7" t="n">
        <v>194</v>
      </c>
      <c r="K167" s="7" t="n">
        <v>181</v>
      </c>
      <c r="L167" s="7" t="n">
        <v>186</v>
      </c>
      <c r="M167" s="7" t="n">
        <v>176</v>
      </c>
      <c r="N167" s="7" t="n">
        <v>178</v>
      </c>
      <c r="O167" s="7" t="n">
        <v>181</v>
      </c>
      <c r="P167" s="7" t="n">
        <v>195</v>
      </c>
      <c r="Q167" s="7" t="n">
        <v>193</v>
      </c>
      <c r="R167" s="7" t="n">
        <v>191</v>
      </c>
      <c r="S167" s="7" t="n">
        <v>195</v>
      </c>
      <c r="T167" s="7"/>
      <c r="U167" s="7"/>
      <c r="V167" s="7"/>
      <c r="W167" s="7"/>
      <c r="X167" s="7"/>
      <c r="Y167" s="7" t="n">
        <v>472</v>
      </c>
      <c r="Z167" s="7" t="n">
        <v>575</v>
      </c>
      <c r="AA167" s="7" t="n">
        <v>902</v>
      </c>
      <c r="AB167" s="7" t="n">
        <v>947</v>
      </c>
      <c r="AC167" s="7" t="n">
        <f aca="false">SUM(F167:I167)</f>
        <v>823</v>
      </c>
      <c r="AD167" s="7" t="n">
        <f aca="false">SUM(J167:M167)</f>
        <v>737</v>
      </c>
      <c r="AE167" s="7" t="n">
        <f aca="false">SUM(N167:Q167)</f>
        <v>747</v>
      </c>
      <c r="AF167" s="7" t="n">
        <f aca="false">+AF61*0.17</f>
        <v>9904.11846534783</v>
      </c>
      <c r="AG167" s="7" t="n">
        <f aca="false">+AG61*0.15</f>
        <v>10486.7136691918</v>
      </c>
      <c r="AH167" s="7" t="n">
        <f aca="false">+AH61*0.1</f>
        <v>8389.37093535346</v>
      </c>
      <c r="AI167" s="7" t="n">
        <f aca="false">+AI$61*0.05</f>
        <v>5033.62256121207</v>
      </c>
      <c r="AJ167" s="7" t="n">
        <f aca="false">+AJ$61*0.05</f>
        <v>6040.34707345449</v>
      </c>
      <c r="AK167" s="7"/>
      <c r="AL167" s="7"/>
      <c r="AM167" s="32"/>
      <c r="AN167" s="32"/>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c r="CC167" s="7"/>
      <c r="CD167" s="7"/>
      <c r="CE167" s="7"/>
      <c r="CF167" s="7"/>
      <c r="CG167" s="7"/>
      <c r="CH167" s="7"/>
      <c r="CI167" s="7"/>
      <c r="CJ167" s="7"/>
      <c r="CK167" s="7"/>
      <c r="CL167" s="7"/>
      <c r="CM167" s="7"/>
      <c r="CN167" s="7"/>
      <c r="CO167" s="7"/>
      <c r="CP167" s="7"/>
      <c r="CQ167" s="7"/>
      <c r="CR167" s="7"/>
      <c r="CS167" s="7"/>
      <c r="CT167" s="7"/>
      <c r="CU167" s="7"/>
      <c r="CV167" s="7"/>
      <c r="CW167" s="7"/>
      <c r="CX167" s="7"/>
      <c r="CY167" s="7"/>
      <c r="CZ167" s="7"/>
      <c r="DA167" s="7"/>
      <c r="DB167" s="7"/>
      <c r="DC167" s="7"/>
      <c r="DD167" s="7"/>
      <c r="DE167" s="7"/>
      <c r="DF167" s="7"/>
      <c r="DG167" s="7"/>
      <c r="DH167" s="7"/>
      <c r="DI167" s="7"/>
      <c r="DJ167" s="7"/>
      <c r="DK167" s="7"/>
      <c r="DL167" s="7"/>
      <c r="DM167" s="7"/>
      <c r="DN167" s="7"/>
      <c r="DO167" s="7"/>
      <c r="DP167" s="7"/>
      <c r="DQ167" s="7"/>
      <c r="DR167" s="7"/>
      <c r="DS167" s="7"/>
      <c r="DT167" s="7"/>
      <c r="DU167" s="7"/>
      <c r="DV167" s="7"/>
      <c r="DW167" s="7"/>
      <c r="DX167" s="7"/>
      <c r="DY167" s="7"/>
      <c r="DZ167" s="7"/>
      <c r="EA167" s="7"/>
      <c r="EB167" s="7"/>
      <c r="EC167" s="7"/>
      <c r="ED167" s="7"/>
      <c r="EE167" s="7"/>
      <c r="EF167" s="7"/>
      <c r="EG167" s="7"/>
      <c r="EH167" s="7"/>
      <c r="EI167" s="7"/>
      <c r="EJ167" s="7"/>
      <c r="EK167" s="7"/>
      <c r="EL167" s="7"/>
      <c r="EM167" s="7"/>
      <c r="EN167" s="7"/>
      <c r="EO167" s="7"/>
      <c r="EP167" s="7"/>
    </row>
    <row r="168" s="1" customFormat="true" ht="10.5" hidden="false" customHeight="true" outlineLevel="0" collapsed="false">
      <c r="A168" s="32"/>
      <c r="B168" s="29" t="n">
        <f aca="false">+B167/B$61</f>
        <v>0.0370586518821126</v>
      </c>
      <c r="C168" s="29" t="n">
        <f aca="false">+C167/C$61</f>
        <v>0.0301003344481605</v>
      </c>
      <c r="D168" s="29" t="n">
        <f aca="false">+D167/D$61</f>
        <v>0.0272084382116745</v>
      </c>
      <c r="E168" s="29" t="n">
        <f aca="false">+E167/E$61</f>
        <v>0.0259091437202277</v>
      </c>
      <c r="F168" s="29" t="n">
        <f aca="false">+F167/F$61</f>
        <v>0.0234588793778685</v>
      </c>
      <c r="G168" s="29" t="n">
        <f aca="false">+G167/G$61</f>
        <v>0.0225339546778295</v>
      </c>
      <c r="H168" s="29" t="n">
        <f aca="false">+H167/H$61</f>
        <v>0.0220610715137254</v>
      </c>
      <c r="I168" s="29" t="n">
        <f aca="false">+I167/I$61</f>
        <v>0.0204299284714607</v>
      </c>
      <c r="J168" s="29" t="n">
        <f aca="false">+J167/J$61</f>
        <v>0.0191485034704337</v>
      </c>
      <c r="K168" s="29" t="n">
        <f aca="false">+K167/K$61</f>
        <v>0.016915365258408</v>
      </c>
      <c r="L168" s="29" t="n">
        <f aca="false">+L167/L$61</f>
        <v>0.0166242923939404</v>
      </c>
      <c r="M168" s="29" t="n">
        <f aca="false">+M167/M$61</f>
        <v>0.0147163861841457</v>
      </c>
      <c r="N168" s="29" t="n">
        <f aca="false">+N167/N$61</f>
        <v>0.0154335326460288</v>
      </c>
      <c r="O168" s="29" t="n">
        <f aca="false">+O167/O$61</f>
        <v>0.0143066788159276</v>
      </c>
      <c r="P168" s="29" t="n">
        <f aca="false">+P167/P$61</f>
        <v>0.014479314034033</v>
      </c>
      <c r="Q168" s="29" t="n">
        <f aca="false">+Q167/Q$61</f>
        <v>0.0134344981205624</v>
      </c>
      <c r="R168" s="29" t="n">
        <f aca="false">+R167/R$61</f>
        <v>0.0144664091494357</v>
      </c>
      <c r="S168" s="29" t="n">
        <f aca="false">+S167/S$61</f>
        <v>0.0137411035163132</v>
      </c>
      <c r="T168" s="32"/>
      <c r="U168" s="32"/>
      <c r="V168" s="32"/>
      <c r="W168" s="32"/>
      <c r="X168" s="32"/>
      <c r="Y168" s="29" t="n">
        <f aca="false">+Y167/Y$61</f>
        <v>0.0333639640913268</v>
      </c>
      <c r="Z168" s="29" t="n">
        <f aca="false">+Z167/Z$61</f>
        <v>0.0516180920931496</v>
      </c>
      <c r="AA168" s="29" t="n">
        <f aca="false">+AA167/AA$61</f>
        <v>0.0516686552484893</v>
      </c>
      <c r="AB168" s="29" t="n">
        <f aca="false">+AB167/AB$61</f>
        <v>0.0297046040842833</v>
      </c>
      <c r="AC168" s="29" t="n">
        <f aca="false">+AC167/AC$61</f>
        <v>0.0220754174620404</v>
      </c>
      <c r="AD168" s="29" t="n">
        <f aca="false">+AD167/AD$61</f>
        <v>0.0167582375012972</v>
      </c>
      <c r="AE168" s="29" t="n">
        <f aca="false">+AE167/AE$61</f>
        <v>0.0143605713620677</v>
      </c>
      <c r="AF168" s="29" t="n">
        <f aca="false">+AF167/AF$61</f>
        <v>0.17</v>
      </c>
      <c r="AG168" s="29" t="n">
        <f aca="false">+AG167/AG$61</f>
        <v>0.15</v>
      </c>
      <c r="AH168" s="29" t="n">
        <f aca="false">+AH167/AH$61</f>
        <v>0.1</v>
      </c>
      <c r="AI168" s="29" t="n">
        <f aca="false">+AI167/AI$61</f>
        <v>0.05</v>
      </c>
      <c r="AJ168" s="29" t="n">
        <f aca="false">+AJ167/AJ$61</f>
        <v>0.05</v>
      </c>
      <c r="AK168" s="32"/>
      <c r="AL168" s="32"/>
      <c r="AM168" s="7"/>
      <c r="AN168" s="7"/>
      <c r="AO168" s="32"/>
      <c r="AP168" s="32"/>
      <c r="AQ168" s="32"/>
      <c r="AR168" s="32"/>
      <c r="AS168" s="32"/>
      <c r="AT168" s="32"/>
      <c r="AU168" s="32"/>
      <c r="AV168" s="32"/>
      <c r="AW168" s="32"/>
      <c r="AX168" s="32"/>
      <c r="AY168" s="32"/>
      <c r="AZ168" s="32"/>
      <c r="BA168" s="32"/>
      <c r="BB168" s="32"/>
      <c r="BC168" s="32"/>
      <c r="BD168" s="32"/>
      <c r="BE168" s="32"/>
      <c r="BF168" s="32"/>
      <c r="BG168" s="32"/>
      <c r="BH168" s="32"/>
      <c r="BI168" s="32"/>
      <c r="BJ168" s="32"/>
      <c r="BK168" s="32"/>
      <c r="BL168" s="32"/>
      <c r="BM168" s="32"/>
      <c r="BN168" s="32"/>
      <c r="BO168" s="32"/>
      <c r="BP168" s="32"/>
      <c r="BQ168" s="32"/>
      <c r="BR168" s="32"/>
      <c r="BS168" s="32"/>
      <c r="BT168" s="32"/>
      <c r="BU168" s="32"/>
      <c r="BV168" s="32"/>
      <c r="BW168" s="32"/>
      <c r="BX168" s="32"/>
      <c r="BY168" s="32"/>
      <c r="BZ168" s="32"/>
      <c r="CA168" s="32"/>
      <c r="CB168" s="32"/>
      <c r="CC168" s="32"/>
      <c r="CD168" s="32"/>
      <c r="CE168" s="32"/>
      <c r="CF168" s="32"/>
      <c r="CG168" s="32"/>
      <c r="CH168" s="32"/>
      <c r="CI168" s="32"/>
      <c r="CJ168" s="32"/>
      <c r="CK168" s="32"/>
      <c r="CL168" s="32"/>
      <c r="CM168" s="32"/>
      <c r="CN168" s="32"/>
      <c r="CO168" s="32"/>
      <c r="CP168" s="32"/>
      <c r="CQ168" s="32"/>
      <c r="CR168" s="32"/>
      <c r="CS168" s="32"/>
      <c r="CT168" s="32"/>
      <c r="CU168" s="32"/>
      <c r="CV168" s="32"/>
      <c r="CW168" s="32"/>
      <c r="CX168" s="32"/>
      <c r="CY168" s="32"/>
      <c r="CZ168" s="32"/>
      <c r="DA168" s="32"/>
      <c r="DB168" s="32"/>
      <c r="DC168" s="32"/>
      <c r="DD168" s="32"/>
      <c r="DE168" s="32"/>
      <c r="DF168" s="32"/>
      <c r="DG168" s="32"/>
      <c r="DH168" s="32"/>
      <c r="DI168" s="32"/>
      <c r="DJ168" s="32"/>
      <c r="DK168" s="32"/>
      <c r="DL168" s="32"/>
      <c r="DM168" s="32"/>
      <c r="DN168" s="32"/>
      <c r="DO168" s="32"/>
      <c r="DP168" s="32"/>
      <c r="DQ168" s="32"/>
      <c r="DR168" s="32"/>
      <c r="DS168" s="32"/>
      <c r="DT168" s="32"/>
      <c r="DU168" s="32"/>
      <c r="DV168" s="32"/>
      <c r="DW168" s="32"/>
      <c r="DX168" s="32"/>
      <c r="DY168" s="32"/>
      <c r="DZ168" s="32"/>
      <c r="EA168" s="32"/>
      <c r="EB168" s="32"/>
      <c r="EC168" s="32"/>
      <c r="ED168" s="32"/>
      <c r="EE168" s="32"/>
      <c r="EF168" s="32"/>
      <c r="EG168" s="32"/>
      <c r="EH168" s="32"/>
      <c r="EI168" s="32"/>
      <c r="EJ168" s="32"/>
      <c r="EK168" s="32"/>
      <c r="EL168" s="32"/>
      <c r="EM168" s="32"/>
      <c r="EN168" s="32"/>
      <c r="EO168" s="32"/>
      <c r="EP168" s="32"/>
      <c r="EQ168" s="32"/>
    </row>
    <row r="169" s="1" customFormat="true" ht="12.8" hidden="false" customHeight="false" outlineLevel="0" collapsed="false">
      <c r="A169" s="7" t="s">
        <v>365</v>
      </c>
      <c r="B169" s="7" t="n">
        <v>359</v>
      </c>
      <c r="C169" s="7" t="n">
        <v>470</v>
      </c>
      <c r="D169" s="7" t="n">
        <v>482</v>
      </c>
      <c r="E169" s="7" t="n">
        <v>482</v>
      </c>
      <c r="F169" s="7" t="n">
        <v>470</v>
      </c>
      <c r="G169" s="7" t="n">
        <v>504</v>
      </c>
      <c r="H169" s="7" t="n">
        <v>492</v>
      </c>
      <c r="I169" s="7" t="n">
        <v>29</v>
      </c>
      <c r="J169" s="7" t="n">
        <v>484</v>
      </c>
      <c r="K169" s="7" t="n">
        <v>455</v>
      </c>
      <c r="L169" s="7" t="n">
        <v>438</v>
      </c>
      <c r="M169" s="7" t="n">
        <v>14</v>
      </c>
      <c r="N169" s="7" t="n">
        <v>435</v>
      </c>
      <c r="O169" s="7" t="n">
        <v>475</v>
      </c>
      <c r="P169" s="7" t="n">
        <v>465</v>
      </c>
      <c r="Q169" s="7" t="n">
        <v>415</v>
      </c>
      <c r="R169" s="7" t="n">
        <v>473</v>
      </c>
      <c r="S169" s="7" t="n">
        <v>550</v>
      </c>
      <c r="T169" s="7"/>
      <c r="U169" s="7"/>
      <c r="V169" s="7"/>
      <c r="W169" s="7"/>
      <c r="X169" s="7"/>
      <c r="Y169" s="7" t="n">
        <v>4596</v>
      </c>
      <c r="Z169" s="7" t="n">
        <v>827</v>
      </c>
      <c r="AA169" s="7" t="n">
        <v>1168</v>
      </c>
      <c r="AB169" s="7" t="n">
        <v>1793</v>
      </c>
      <c r="AC169" s="7" t="n">
        <f aca="false">SUM(F169:I169)</f>
        <v>1495</v>
      </c>
      <c r="AD169" s="7" t="n">
        <f aca="false">SUM(J169:M169)</f>
        <v>1391</v>
      </c>
      <c r="AE169" s="7" t="n">
        <f aca="false">SUM(N169:Q169)</f>
        <v>1790</v>
      </c>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c r="CC169" s="7"/>
      <c r="CD169" s="7"/>
      <c r="CE169" s="7"/>
      <c r="CF169" s="7"/>
      <c r="CG169" s="7"/>
      <c r="CH169" s="7"/>
      <c r="CI169" s="7"/>
      <c r="CJ169" s="7"/>
      <c r="CK169" s="7"/>
      <c r="CL169" s="7"/>
      <c r="CM169" s="7"/>
      <c r="CN169" s="7"/>
      <c r="CO169" s="7"/>
      <c r="CP169" s="7"/>
      <c r="CQ169" s="7"/>
      <c r="CR169" s="7"/>
      <c r="CS169" s="7"/>
      <c r="CT169" s="7"/>
      <c r="CU169" s="7"/>
      <c r="CV169" s="7"/>
      <c r="CW169" s="7"/>
      <c r="CX169" s="7"/>
      <c r="CY169" s="7"/>
      <c r="CZ169" s="7"/>
      <c r="DA169" s="7"/>
      <c r="DB169" s="7"/>
      <c r="DC169" s="7"/>
      <c r="DD169" s="7"/>
      <c r="DE169" s="7"/>
      <c r="DF169" s="7"/>
      <c r="DG169" s="7"/>
      <c r="DH169" s="7"/>
      <c r="DI169" s="7"/>
      <c r="DJ169" s="7"/>
      <c r="DK169" s="7"/>
      <c r="DL169" s="7"/>
      <c r="DM169" s="7"/>
      <c r="DN169" s="7"/>
      <c r="DO169" s="7"/>
      <c r="DP169" s="7"/>
      <c r="DQ169" s="7"/>
      <c r="DR169" s="7"/>
      <c r="DS169" s="7"/>
      <c r="DT169" s="7"/>
      <c r="DU169" s="7"/>
      <c r="DV169" s="7"/>
      <c r="DW169" s="7"/>
      <c r="DX169" s="7"/>
      <c r="DY169" s="7"/>
      <c r="DZ169" s="7"/>
      <c r="EA169" s="7"/>
      <c r="EB169" s="7"/>
      <c r="EC169" s="7"/>
      <c r="ED169" s="7"/>
      <c r="EE169" s="7"/>
      <c r="EF169" s="7"/>
      <c r="EG169" s="7"/>
      <c r="EH169" s="7"/>
      <c r="EI169" s="7"/>
      <c r="EJ169" s="7"/>
      <c r="EK169" s="7"/>
      <c r="EL169" s="7"/>
      <c r="EM169" s="7"/>
      <c r="EN169" s="7"/>
      <c r="EO169" s="7"/>
      <c r="EP169" s="7"/>
    </row>
    <row r="170" s="1" customFormat="true" ht="12.8" hidden="false" customHeight="false" outlineLevel="0" collapsed="false">
      <c r="A170" s="7" t="s">
        <v>348</v>
      </c>
      <c r="B170" s="7" t="n">
        <v>-281</v>
      </c>
      <c r="C170" s="7" t="n">
        <v>14</v>
      </c>
      <c r="D170" s="7" t="n">
        <v>16</v>
      </c>
      <c r="E170" s="7" t="n">
        <v>-190</v>
      </c>
      <c r="F170" s="7" t="n">
        <v>10</v>
      </c>
      <c r="G170" s="7" t="n">
        <v>6</v>
      </c>
      <c r="H170" s="7" t="n">
        <v>16</v>
      </c>
      <c r="I170" s="7" t="n">
        <v>469</v>
      </c>
      <c r="J170" s="7" t="n">
        <v>-16</v>
      </c>
      <c r="K170" s="7" t="n">
        <v>-7</v>
      </c>
      <c r="L170" s="7" t="n">
        <v>124</v>
      </c>
      <c r="M170" s="7" t="n">
        <v>419</v>
      </c>
      <c r="N170" s="7" t="n">
        <v>-412</v>
      </c>
      <c r="O170" s="7" t="n">
        <v>87</v>
      </c>
      <c r="P170" s="7" t="n">
        <v>-4167</v>
      </c>
      <c r="Q170" s="7" t="n">
        <v>-287</v>
      </c>
      <c r="R170" s="7" t="n">
        <v>106</v>
      </c>
      <c r="S170" s="7" t="n">
        <v>665</v>
      </c>
      <c r="T170" s="7"/>
      <c r="U170" s="7"/>
      <c r="V170" s="7"/>
      <c r="W170" s="7"/>
      <c r="X170" s="7"/>
      <c r="Y170" s="7" t="n">
        <v>-88</v>
      </c>
      <c r="Z170" s="7" t="n">
        <v>-266</v>
      </c>
      <c r="AA170" s="7" t="n">
        <v>-692</v>
      </c>
      <c r="AB170" s="7" t="n">
        <v>-441</v>
      </c>
      <c r="AC170" s="7" t="n">
        <f aca="false">SUM(F170:I170)</f>
        <v>501</v>
      </c>
      <c r="AD170" s="7" t="n">
        <f aca="false">SUM(J170:M170)</f>
        <v>520</v>
      </c>
      <c r="AE170" s="7" t="n">
        <f aca="false">SUM(N170:Q170)</f>
        <v>-4779</v>
      </c>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c r="BV170" s="7"/>
      <c r="BW170" s="7"/>
      <c r="BX170" s="7"/>
      <c r="BY170" s="7"/>
      <c r="BZ170" s="7"/>
      <c r="CA170" s="7"/>
      <c r="CB170" s="7"/>
      <c r="CC170" s="7"/>
      <c r="CD170" s="7"/>
      <c r="CE170" s="7"/>
      <c r="CF170" s="7"/>
      <c r="CG170" s="7"/>
      <c r="CH170" s="7"/>
      <c r="CI170" s="7"/>
      <c r="CJ170" s="7"/>
      <c r="CK170" s="7"/>
      <c r="CL170" s="7"/>
      <c r="CM170" s="7"/>
      <c r="CN170" s="7"/>
      <c r="CO170" s="7"/>
      <c r="CP170" s="7"/>
      <c r="CQ170" s="7"/>
      <c r="CR170" s="7"/>
      <c r="CS170" s="7"/>
      <c r="CT170" s="7"/>
      <c r="CU170" s="7"/>
      <c r="CV170" s="7"/>
      <c r="CW170" s="7"/>
      <c r="CX170" s="7"/>
      <c r="CY170" s="7"/>
      <c r="CZ170" s="7"/>
      <c r="DA170" s="7"/>
      <c r="DB170" s="7"/>
      <c r="DC170" s="7"/>
      <c r="DD170" s="7"/>
      <c r="DE170" s="7"/>
      <c r="DF170" s="7"/>
      <c r="DG170" s="7"/>
      <c r="DH170" s="7"/>
      <c r="DI170" s="7"/>
      <c r="DJ170" s="7"/>
      <c r="DK170" s="7"/>
      <c r="DL170" s="7"/>
      <c r="DM170" s="7"/>
      <c r="DN170" s="7"/>
      <c r="DO170" s="7"/>
      <c r="DP170" s="7"/>
      <c r="DQ170" s="7"/>
      <c r="DR170" s="7"/>
      <c r="DS170" s="7"/>
      <c r="DT170" s="7"/>
      <c r="DU170" s="7"/>
      <c r="DV170" s="7"/>
      <c r="DW170" s="7"/>
      <c r="DX170" s="7"/>
      <c r="DY170" s="7"/>
      <c r="DZ170" s="7"/>
      <c r="EA170" s="7"/>
      <c r="EB170" s="7"/>
      <c r="EC170" s="7"/>
      <c r="ED170" s="7"/>
      <c r="EE170" s="7"/>
      <c r="EF170" s="7"/>
      <c r="EG170" s="7"/>
      <c r="EH170" s="7"/>
      <c r="EI170" s="7"/>
      <c r="EJ170" s="7"/>
      <c r="EK170" s="7"/>
      <c r="EL170" s="7"/>
      <c r="EM170" s="7"/>
      <c r="EN170" s="7"/>
      <c r="EO170" s="7"/>
      <c r="EP170" s="7"/>
    </row>
    <row r="171" s="1" customFormat="true" ht="12.8" hidden="false" customHeight="false" outlineLevel="0" collapsed="false">
      <c r="A171" s="7" t="s">
        <v>366</v>
      </c>
      <c r="B171" s="7" t="n">
        <v>5570</v>
      </c>
      <c r="C171" s="7" t="n">
        <v>1677</v>
      </c>
      <c r="D171" s="7" t="n">
        <v>550</v>
      </c>
      <c r="E171" s="7" t="n">
        <v>-752</v>
      </c>
      <c r="F171" s="7" t="n">
        <v>-320</v>
      </c>
      <c r="G171" s="7" t="n">
        <v>-386</v>
      </c>
      <c r="H171" s="7" t="n">
        <v>96</v>
      </c>
      <c r="I171" s="7" t="n">
        <v>-1000</v>
      </c>
      <c r="J171" s="7" t="n">
        <v>721</v>
      </c>
      <c r="K171" s="7" t="n">
        <v>-333</v>
      </c>
      <c r="L171" s="7" t="n">
        <v>-1664</v>
      </c>
      <c r="M171" s="7" t="n">
        <v>-556</v>
      </c>
      <c r="N171" s="7" t="n">
        <v>-51</v>
      </c>
      <c r="O171" s="7" t="n">
        <v>17</v>
      </c>
      <c r="P171" s="7" t="n">
        <v>-1471</v>
      </c>
      <c r="Q171" s="7" t="n">
        <v>1602</v>
      </c>
      <c r="R171" s="7" t="n">
        <v>1474</v>
      </c>
      <c r="S171" s="7" t="n">
        <v>-1612</v>
      </c>
      <c r="T171" s="7"/>
      <c r="U171" s="7"/>
      <c r="V171" s="7"/>
      <c r="W171" s="7"/>
      <c r="X171" s="7"/>
      <c r="Y171" s="7" t="n">
        <v>-60</v>
      </c>
      <c r="Z171" s="7" t="n">
        <v>125</v>
      </c>
      <c r="AA171" s="7" t="n">
        <v>-1142</v>
      </c>
      <c r="AB171" s="7" t="n">
        <v>7045</v>
      </c>
      <c r="AC171" s="7" t="n">
        <f aca="false">SUM(F171:I171)</f>
        <v>-1610</v>
      </c>
      <c r="AD171" s="7" t="n">
        <f aca="false">SUM(J171:M171)</f>
        <v>-1832</v>
      </c>
      <c r="AE171" s="7" t="n">
        <f aca="false">SUM(N171:Q171)</f>
        <v>97</v>
      </c>
      <c r="AF171" s="7"/>
      <c r="AG171" s="7"/>
      <c r="AH171" s="7"/>
      <c r="AI171" s="7"/>
      <c r="AJ171" s="7"/>
      <c r="AK171" s="7"/>
      <c r="AL171" s="7"/>
      <c r="AM171" s="59"/>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c r="BV171" s="7"/>
      <c r="BW171" s="7"/>
      <c r="BX171" s="7"/>
      <c r="BY171" s="7"/>
      <c r="BZ171" s="7"/>
      <c r="CA171" s="7"/>
      <c r="CB171" s="7"/>
      <c r="CC171" s="7"/>
      <c r="CD171" s="7"/>
      <c r="CE171" s="7"/>
      <c r="CF171" s="7"/>
      <c r="CG171" s="7"/>
      <c r="CH171" s="7"/>
      <c r="CI171" s="7"/>
      <c r="CJ171" s="7"/>
      <c r="CK171" s="7"/>
      <c r="CL171" s="7"/>
      <c r="CM171" s="7"/>
      <c r="CN171" s="7"/>
      <c r="CO171" s="7"/>
      <c r="CP171" s="7"/>
      <c r="CQ171" s="7"/>
      <c r="CR171" s="7"/>
      <c r="CS171" s="7"/>
      <c r="CT171" s="7"/>
      <c r="CU171" s="7"/>
      <c r="CV171" s="7"/>
      <c r="CW171" s="7"/>
      <c r="CX171" s="7"/>
      <c r="CY171" s="7"/>
      <c r="CZ171" s="7"/>
      <c r="DA171" s="7"/>
      <c r="DB171" s="7"/>
      <c r="DC171" s="7"/>
      <c r="DD171" s="7"/>
      <c r="DE171" s="7"/>
      <c r="DF171" s="7"/>
      <c r="DG171" s="7"/>
      <c r="DH171" s="7"/>
      <c r="DI171" s="7"/>
      <c r="DJ171" s="7"/>
      <c r="DK171" s="7"/>
      <c r="DL171" s="7"/>
      <c r="DM171" s="7"/>
      <c r="DN171" s="7"/>
      <c r="DO171" s="7"/>
      <c r="DP171" s="7"/>
      <c r="DQ171" s="7"/>
      <c r="DR171" s="7"/>
      <c r="DS171" s="7"/>
      <c r="DT171" s="7"/>
      <c r="DU171" s="7"/>
      <c r="DV171" s="7"/>
      <c r="DW171" s="7"/>
      <c r="DX171" s="7"/>
      <c r="DY171" s="7"/>
      <c r="DZ171" s="7"/>
      <c r="EA171" s="7"/>
      <c r="EB171" s="7"/>
      <c r="EC171" s="7"/>
      <c r="ED171" s="7"/>
      <c r="EE171" s="7"/>
      <c r="EF171" s="7"/>
      <c r="EG171" s="7"/>
      <c r="EH171" s="7"/>
      <c r="EI171" s="7"/>
      <c r="EJ171" s="7"/>
      <c r="EK171" s="7"/>
      <c r="EL171" s="7"/>
      <c r="EM171" s="7"/>
      <c r="EN171" s="7"/>
      <c r="EO171" s="7"/>
      <c r="EP171" s="7"/>
    </row>
    <row r="172" customFormat="false" ht="12.8" hidden="false" customHeight="false" outlineLevel="0" collapsed="false">
      <c r="A172" s="7" t="s">
        <v>367</v>
      </c>
      <c r="B172" s="7" t="n">
        <v>-15</v>
      </c>
      <c r="C172" s="7" t="n">
        <v>25</v>
      </c>
      <c r="D172" s="7" t="n">
        <v>15</v>
      </c>
      <c r="E172" s="7" t="n">
        <v>71</v>
      </c>
      <c r="F172" s="7" t="n">
        <v>83</v>
      </c>
      <c r="G172" s="7" t="n">
        <v>2</v>
      </c>
      <c r="H172" s="7" t="n">
        <v>71</v>
      </c>
      <c r="I172" s="7" t="n">
        <v>-18</v>
      </c>
      <c r="J172" s="7" t="n">
        <v>150</v>
      </c>
      <c r="K172" s="7" t="n">
        <v>59</v>
      </c>
      <c r="L172" s="7" t="n">
        <v>-36</v>
      </c>
      <c r="M172" s="7" t="n">
        <v>135</v>
      </c>
      <c r="N172" s="7" t="n">
        <v>-51</v>
      </c>
      <c r="O172" s="7" t="n">
        <v>-101</v>
      </c>
      <c r="P172" s="7" t="n">
        <v>22</v>
      </c>
      <c r="Q172" s="7" t="n">
        <f aca="false">-35+10</f>
        <v>-25</v>
      </c>
      <c r="R172" s="7" t="n">
        <v>5</v>
      </c>
      <c r="S172" s="7" t="n">
        <v>-58</v>
      </c>
      <c r="T172" s="7"/>
      <c r="U172" s="7"/>
      <c r="V172" s="7"/>
      <c r="W172" s="7"/>
      <c r="X172" s="7"/>
      <c r="Y172" s="7" t="n">
        <v>16</v>
      </c>
      <c r="Z172" s="7" t="n">
        <v>48</v>
      </c>
      <c r="AA172" s="7" t="n">
        <v>38</v>
      </c>
      <c r="AB172" s="7" t="n">
        <v>96</v>
      </c>
      <c r="AC172" s="7" t="n">
        <f aca="false">SUM(F172:I172)</f>
        <v>138</v>
      </c>
      <c r="AD172" s="7" t="n">
        <f aca="false">SUM(J172:M172)</f>
        <v>308</v>
      </c>
      <c r="AE172" s="7" t="n">
        <f aca="false">SUM(N172:Q172)</f>
        <v>-155</v>
      </c>
      <c r="AF172" s="7"/>
      <c r="AG172" s="7"/>
      <c r="AH172" s="7"/>
      <c r="AI172" s="7"/>
      <c r="AJ172" s="7"/>
      <c r="AK172" s="7"/>
      <c r="AL172" s="7"/>
      <c r="AM172" s="7"/>
      <c r="AN172" s="59"/>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7"/>
      <c r="BQ172" s="7"/>
      <c r="BR172" s="7"/>
      <c r="BS172" s="7"/>
      <c r="BT172" s="7"/>
      <c r="BU172" s="7"/>
      <c r="BV172" s="7"/>
      <c r="BW172" s="7"/>
      <c r="BX172" s="7"/>
      <c r="BY172" s="7"/>
      <c r="BZ172" s="7"/>
      <c r="CA172" s="7"/>
      <c r="CB172" s="7"/>
      <c r="CC172" s="7"/>
      <c r="CD172" s="7"/>
      <c r="CE172" s="7"/>
      <c r="CF172" s="7"/>
      <c r="CG172" s="7"/>
      <c r="CH172" s="7"/>
      <c r="CI172" s="7"/>
      <c r="CJ172" s="7"/>
      <c r="CK172" s="7"/>
      <c r="CL172" s="7"/>
      <c r="CM172" s="7"/>
      <c r="CN172" s="7"/>
      <c r="CO172" s="7"/>
      <c r="CP172" s="7"/>
      <c r="CQ172" s="7"/>
      <c r="CR172" s="7"/>
      <c r="CS172" s="7"/>
      <c r="CT172" s="7"/>
      <c r="CU172" s="7"/>
      <c r="CV172" s="7"/>
      <c r="CW172" s="7"/>
      <c r="CX172" s="7"/>
      <c r="CY172" s="7"/>
      <c r="CZ172" s="7"/>
      <c r="DA172" s="7"/>
      <c r="DB172" s="7"/>
      <c r="DC172" s="7"/>
      <c r="DD172" s="7"/>
      <c r="DE172" s="7"/>
      <c r="DF172" s="7"/>
      <c r="DG172" s="7"/>
      <c r="DH172" s="7"/>
      <c r="DI172" s="7"/>
      <c r="DJ172" s="7"/>
      <c r="DK172" s="7"/>
      <c r="DL172" s="7"/>
      <c r="DM172" s="7"/>
      <c r="DN172" s="7"/>
      <c r="DO172" s="7"/>
      <c r="DP172" s="7"/>
      <c r="DQ172" s="7"/>
      <c r="DR172" s="7"/>
      <c r="DS172" s="7"/>
      <c r="DT172" s="7"/>
      <c r="DU172" s="7"/>
      <c r="DV172" s="7"/>
      <c r="DW172" s="7"/>
      <c r="DX172" s="7"/>
      <c r="DY172" s="7"/>
      <c r="DZ172" s="7"/>
      <c r="EA172" s="7"/>
      <c r="EB172" s="7"/>
      <c r="EC172" s="7"/>
      <c r="ED172" s="7"/>
      <c r="EE172" s="7"/>
      <c r="EF172" s="7"/>
      <c r="EG172" s="7"/>
      <c r="EH172" s="7"/>
      <c r="EI172" s="7"/>
      <c r="EJ172" s="7"/>
      <c r="EK172" s="7"/>
      <c r="EL172" s="7"/>
      <c r="EM172" s="7"/>
      <c r="EN172" s="7"/>
      <c r="EO172" s="7"/>
      <c r="EP172" s="7"/>
    </row>
    <row r="173" customFormat="false" ht="12.8" hidden="false" customHeight="false" outlineLevel="0" collapsed="false">
      <c r="A173" s="7" t="s">
        <v>284</v>
      </c>
      <c r="B173" s="7" t="n">
        <f aca="false">+5+18-18+13+182-181</f>
        <v>19</v>
      </c>
      <c r="C173" s="7" t="n">
        <f aca="false">-7+33-17+2+11</f>
        <v>22</v>
      </c>
      <c r="D173" s="7" t="n">
        <f aca="false">+7-10-30-14+25</f>
        <v>-22</v>
      </c>
      <c r="E173" s="7" t="n">
        <f aca="false">-12-11-42+13+38</f>
        <v>-14</v>
      </c>
      <c r="F173" s="7" t="n">
        <f aca="false">+20+-36+67+4</f>
        <v>55</v>
      </c>
      <c r="G173" s="7" t="n">
        <f aca="false">+6+24-4+74+11</f>
        <v>111</v>
      </c>
      <c r="H173" s="7" t="n">
        <f aca="false">-36-3</f>
        <v>-39</v>
      </c>
      <c r="I173" s="7" t="n">
        <f aca="false">+39-5+9-62-6-204</f>
        <v>-229</v>
      </c>
      <c r="J173" s="7" t="n">
        <v>-29</v>
      </c>
      <c r="K173" s="7" t="n">
        <v>-58</v>
      </c>
      <c r="L173" s="7" t="n">
        <v>-7</v>
      </c>
      <c r="M173" s="7" t="n">
        <f aca="false">+68-6128-62+10</f>
        <v>-6112</v>
      </c>
      <c r="N173" s="7" t="n">
        <v>-27</v>
      </c>
      <c r="O173" s="7" t="n">
        <v>106</v>
      </c>
      <c r="P173" s="7" t="n">
        <v>-16</v>
      </c>
      <c r="Q173" s="7" t="n">
        <v>-20</v>
      </c>
      <c r="R173" s="7" t="n">
        <v>20</v>
      </c>
      <c r="S173" s="7" t="n">
        <v>296</v>
      </c>
      <c r="T173" s="7"/>
      <c r="U173" s="7"/>
      <c r="V173" s="7"/>
      <c r="W173" s="7"/>
      <c r="X173" s="7"/>
      <c r="Y173" s="7" t="n">
        <v>-1444</v>
      </c>
      <c r="Z173" s="7" t="n">
        <f aca="false">+2+404+1690-204+76+339+34</f>
        <v>2341</v>
      </c>
      <c r="AA173" s="7" t="n">
        <f aca="false">+4+109-413-1684+116+37+860</f>
        <v>-971</v>
      </c>
      <c r="AB173" s="7" t="n">
        <f aca="false">+-7+114-14+28+182-107-191</f>
        <v>5</v>
      </c>
      <c r="AC173" s="7" t="n">
        <f aca="false">SUM(F173:I173)</f>
        <v>-102</v>
      </c>
      <c r="AD173" s="7" t="n">
        <f aca="false">SUM(J173:M173)</f>
        <v>-6206</v>
      </c>
      <c r="AE173" s="7" t="n">
        <f aca="false">SUM(N173:Q173)</f>
        <v>43</v>
      </c>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c r="BV173" s="7"/>
      <c r="BW173" s="7"/>
      <c r="BX173" s="7"/>
      <c r="BY173" s="7"/>
      <c r="BZ173" s="7"/>
      <c r="CA173" s="7"/>
      <c r="CB173" s="7"/>
      <c r="CC173" s="7"/>
      <c r="CD173" s="7"/>
      <c r="CE173" s="7"/>
      <c r="CF173" s="7"/>
      <c r="CG173" s="7"/>
      <c r="CH173" s="7"/>
      <c r="CI173" s="7"/>
      <c r="CJ173" s="7"/>
      <c r="CK173" s="7"/>
      <c r="CL173" s="7"/>
      <c r="CM173" s="7"/>
      <c r="CN173" s="7"/>
      <c r="CO173" s="7"/>
      <c r="CP173" s="7"/>
      <c r="CQ173" s="7"/>
      <c r="CR173" s="7"/>
      <c r="CS173" s="7"/>
      <c r="CT173" s="7"/>
      <c r="CU173" s="7"/>
      <c r="CV173" s="7"/>
      <c r="CW173" s="7"/>
      <c r="CX173" s="7"/>
      <c r="CY173" s="7"/>
      <c r="CZ173" s="7"/>
      <c r="DA173" s="7"/>
      <c r="DB173" s="7"/>
      <c r="DC173" s="7"/>
      <c r="DD173" s="7"/>
      <c r="DE173" s="7"/>
      <c r="DF173" s="7"/>
      <c r="DG173" s="7"/>
      <c r="DH173" s="7"/>
      <c r="DI173" s="7"/>
      <c r="DJ173" s="7"/>
      <c r="DK173" s="7"/>
      <c r="DL173" s="7"/>
      <c r="DM173" s="7"/>
      <c r="DN173" s="7"/>
      <c r="DO173" s="7"/>
      <c r="DP173" s="7"/>
      <c r="DQ173" s="7"/>
      <c r="DR173" s="7"/>
      <c r="DS173" s="7"/>
      <c r="DT173" s="7"/>
      <c r="DU173" s="7"/>
      <c r="DV173" s="7"/>
      <c r="DW173" s="7"/>
      <c r="DX173" s="7"/>
      <c r="DY173" s="7"/>
      <c r="DZ173" s="7"/>
      <c r="EA173" s="7"/>
      <c r="EB173" s="7"/>
      <c r="EC173" s="7"/>
      <c r="ED173" s="7"/>
      <c r="EE173" s="7"/>
      <c r="EF173" s="7"/>
      <c r="EG173" s="7"/>
      <c r="EH173" s="7"/>
      <c r="EI173" s="7"/>
      <c r="EJ173" s="7"/>
      <c r="EK173" s="7"/>
      <c r="EL173" s="7"/>
      <c r="EM173" s="7"/>
      <c r="EN173" s="7"/>
      <c r="EO173" s="7"/>
      <c r="EP173" s="7"/>
    </row>
    <row r="174" customFormat="false" ht="12.8" hidden="false" customHeight="false" outlineLevel="0" collapsed="false">
      <c r="A174" s="7" t="s">
        <v>342</v>
      </c>
      <c r="B174" s="7" t="n">
        <v>-26</v>
      </c>
      <c r="C174" s="7" t="n">
        <v>-103</v>
      </c>
      <c r="D174" s="7" t="n">
        <v>-90</v>
      </c>
      <c r="E174" s="7" t="n">
        <v>-323</v>
      </c>
      <c r="F174" s="7" t="n">
        <v>168</v>
      </c>
      <c r="G174" s="7" t="n">
        <v>-13</v>
      </c>
      <c r="H174" s="7" t="n">
        <v>-518</v>
      </c>
      <c r="I174" s="7" t="n">
        <v>-395</v>
      </c>
      <c r="J174" s="7" t="n">
        <v>-422</v>
      </c>
      <c r="K174" s="7" t="n">
        <v>-162</v>
      </c>
      <c r="L174" s="7" t="n">
        <v>196</v>
      </c>
      <c r="M174" s="7" t="n">
        <v>246</v>
      </c>
      <c r="N174" s="7" t="n">
        <v>-123</v>
      </c>
      <c r="O174" s="7" t="n">
        <v>-212</v>
      </c>
      <c r="P174" s="7" t="n">
        <v>-22</v>
      </c>
      <c r="Q174" s="7" t="n">
        <v>-109</v>
      </c>
      <c r="R174" s="7" t="n">
        <v>-74</v>
      </c>
      <c r="S174" s="7" t="n">
        <v>-425</v>
      </c>
      <c r="T174" s="7"/>
      <c r="U174" s="7"/>
      <c r="V174" s="7"/>
      <c r="W174" s="7"/>
      <c r="X174" s="7"/>
      <c r="Y174" s="7" t="n">
        <v>-407</v>
      </c>
      <c r="Z174" s="7" t="n">
        <v>142</v>
      </c>
      <c r="AA174" s="7" t="n">
        <v>-597</v>
      </c>
      <c r="AB174" s="7" t="n">
        <v>-542</v>
      </c>
      <c r="AC174" s="7" t="n">
        <f aca="false">SUM(F174:I174)</f>
        <v>-758</v>
      </c>
      <c r="AD174" s="7" t="n">
        <f aca="false">SUM(J174:M174)</f>
        <v>-142</v>
      </c>
      <c r="AE174" s="7" t="n">
        <f aca="false">SUM(N174:Q174)</f>
        <v>-466</v>
      </c>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c r="BV174" s="7"/>
      <c r="BW174" s="7"/>
      <c r="BX174" s="7"/>
      <c r="BY174" s="7"/>
      <c r="BZ174" s="7"/>
      <c r="CA174" s="7"/>
      <c r="CB174" s="7"/>
      <c r="CC174" s="7"/>
      <c r="CD174" s="7"/>
      <c r="CE174" s="7"/>
      <c r="CF174" s="7"/>
      <c r="CG174" s="7"/>
      <c r="CH174" s="7"/>
      <c r="CI174" s="7"/>
      <c r="CJ174" s="7"/>
      <c r="CK174" s="7"/>
      <c r="CL174" s="7"/>
      <c r="CM174" s="7"/>
      <c r="CN174" s="7"/>
      <c r="CO174" s="7"/>
      <c r="CP174" s="7"/>
      <c r="CQ174" s="7"/>
      <c r="CR174" s="7"/>
      <c r="CS174" s="7"/>
      <c r="CT174" s="7"/>
      <c r="CU174" s="7"/>
      <c r="CV174" s="7"/>
      <c r="CW174" s="7"/>
      <c r="CX174" s="7"/>
      <c r="CY174" s="7"/>
      <c r="CZ174" s="7"/>
      <c r="DA174" s="7"/>
      <c r="DB174" s="7"/>
      <c r="DC174" s="7"/>
      <c r="DD174" s="7"/>
      <c r="DE174" s="7"/>
      <c r="DF174" s="7"/>
      <c r="DG174" s="7"/>
      <c r="DH174" s="7"/>
      <c r="DI174" s="7"/>
      <c r="DJ174" s="7"/>
      <c r="DK174" s="7"/>
      <c r="DL174" s="7"/>
      <c r="DM174" s="7"/>
      <c r="DN174" s="7"/>
      <c r="DO174" s="7"/>
      <c r="DP174" s="7"/>
      <c r="DQ174" s="7"/>
      <c r="DR174" s="7"/>
      <c r="DS174" s="7"/>
      <c r="DT174" s="7"/>
      <c r="DU174" s="7"/>
      <c r="DV174" s="7"/>
      <c r="DW174" s="7"/>
      <c r="DX174" s="7"/>
      <c r="DY174" s="7"/>
      <c r="DZ174" s="7"/>
      <c r="EA174" s="7"/>
      <c r="EB174" s="7"/>
      <c r="EC174" s="7"/>
      <c r="ED174" s="7"/>
      <c r="EE174" s="7"/>
      <c r="EF174" s="7"/>
      <c r="EG174" s="7"/>
      <c r="EH174" s="7"/>
      <c r="EI174" s="7"/>
      <c r="EJ174" s="7"/>
      <c r="EK174" s="7"/>
      <c r="EL174" s="7"/>
      <c r="EM174" s="7"/>
      <c r="EN174" s="7"/>
      <c r="EO174" s="7"/>
      <c r="EP174" s="7"/>
    </row>
    <row r="175" customFormat="false" ht="12.8" hidden="false" customHeight="false" outlineLevel="0" collapsed="false">
      <c r="A175" s="7" t="s">
        <v>368</v>
      </c>
      <c r="B175" s="7" t="n">
        <v>-20</v>
      </c>
      <c r="C175" s="7" t="n">
        <v>78</v>
      </c>
      <c r="D175" s="7" t="n">
        <v>-115</v>
      </c>
      <c r="E175" s="7" t="n">
        <v>-139</v>
      </c>
      <c r="F175" s="7" t="n">
        <v>-119</v>
      </c>
      <c r="G175" s="7" t="n">
        <v>-114</v>
      </c>
      <c r="H175" s="7" t="n">
        <v>-948</v>
      </c>
      <c r="I175" s="7" t="n">
        <v>-281</v>
      </c>
      <c r="J175" s="7" t="n">
        <v>-322</v>
      </c>
      <c r="K175" s="7" t="n">
        <v>-108</v>
      </c>
      <c r="L175" s="7" t="n">
        <v>-234</v>
      </c>
      <c r="M175" s="7" t="n">
        <v>-30</v>
      </c>
      <c r="N175" s="7" t="n">
        <v>-497</v>
      </c>
      <c r="O175" s="7" t="n">
        <v>-251</v>
      </c>
      <c r="P175" s="7" t="n">
        <v>-126</v>
      </c>
      <c r="Q175" s="7" t="n">
        <v>-154</v>
      </c>
      <c r="R175" s="7" t="n">
        <v>-212</v>
      </c>
      <c r="S175" s="7" t="n">
        <v>-163</v>
      </c>
      <c r="T175" s="7"/>
      <c r="U175" s="7"/>
      <c r="V175" s="7"/>
      <c r="W175" s="7"/>
      <c r="X175" s="7"/>
      <c r="Y175" s="7" t="n">
        <v>-478</v>
      </c>
      <c r="Z175" s="7" t="n">
        <v>94</v>
      </c>
      <c r="AA175" s="7" t="n">
        <v>-236</v>
      </c>
      <c r="AB175" s="7" t="n">
        <v>-196</v>
      </c>
      <c r="AC175" s="7" t="n">
        <f aca="false">SUM(F175:I175)</f>
        <v>-1462</v>
      </c>
      <c r="AD175" s="7" t="n">
        <f aca="false">SUM(J175:M175)</f>
        <v>-694</v>
      </c>
      <c r="AE175" s="7" t="n">
        <f aca="false">SUM(N175:Q175)</f>
        <v>-1028</v>
      </c>
      <c r="AF175" s="7"/>
      <c r="AG175" s="7"/>
      <c r="AH175" s="7"/>
      <c r="AI175" s="7"/>
      <c r="AJ175" s="7"/>
      <c r="AK175" s="7"/>
      <c r="AL175" s="59"/>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c r="BV175" s="7"/>
      <c r="BW175" s="7"/>
      <c r="BX175" s="7"/>
      <c r="BY175" s="7"/>
      <c r="BZ175" s="7"/>
      <c r="CA175" s="7"/>
      <c r="CB175" s="7"/>
      <c r="CC175" s="7"/>
      <c r="CD175" s="7"/>
      <c r="CE175" s="7"/>
      <c r="CF175" s="7"/>
      <c r="CG175" s="7"/>
      <c r="CH175" s="7"/>
      <c r="CI175" s="7"/>
      <c r="CJ175" s="7"/>
      <c r="CK175" s="7"/>
      <c r="CL175" s="7"/>
      <c r="CM175" s="7"/>
      <c r="CN175" s="7"/>
      <c r="CO175" s="7"/>
      <c r="CP175" s="7"/>
      <c r="CQ175" s="7"/>
      <c r="CR175" s="7"/>
      <c r="CS175" s="7"/>
      <c r="CT175" s="7"/>
      <c r="CU175" s="7"/>
      <c r="CV175" s="7"/>
      <c r="CW175" s="7"/>
      <c r="CX175" s="7"/>
      <c r="CY175" s="7"/>
      <c r="CZ175" s="7"/>
      <c r="DA175" s="7"/>
      <c r="DB175" s="7"/>
      <c r="DC175" s="7"/>
      <c r="DD175" s="7"/>
      <c r="DE175" s="7"/>
      <c r="DF175" s="7"/>
      <c r="DG175" s="7"/>
      <c r="DH175" s="7"/>
      <c r="DI175" s="7"/>
      <c r="DJ175" s="7"/>
      <c r="DK175" s="7"/>
      <c r="DL175" s="7"/>
      <c r="DM175" s="7"/>
      <c r="DN175" s="7"/>
      <c r="DO175" s="7"/>
      <c r="DP175" s="7"/>
      <c r="DQ175" s="7"/>
      <c r="DR175" s="7"/>
      <c r="DS175" s="7"/>
      <c r="DT175" s="7"/>
      <c r="DU175" s="7"/>
      <c r="DV175" s="7"/>
      <c r="DW175" s="7"/>
      <c r="DX175" s="7"/>
      <c r="DY175" s="7"/>
      <c r="DZ175" s="7"/>
      <c r="EA175" s="7"/>
      <c r="EB175" s="7"/>
      <c r="EC175" s="7"/>
      <c r="ED175" s="7"/>
      <c r="EE175" s="7"/>
      <c r="EF175" s="7"/>
      <c r="EG175" s="7"/>
      <c r="EH175" s="7"/>
      <c r="EI175" s="7"/>
      <c r="EJ175" s="7"/>
      <c r="EK175" s="7"/>
      <c r="EL175" s="7"/>
      <c r="EM175" s="7"/>
      <c r="EN175" s="7"/>
      <c r="EO175" s="7"/>
      <c r="EP175" s="7"/>
    </row>
    <row r="176" customFormat="false" ht="12.8" hidden="false" customHeight="false" outlineLevel="0" collapsed="false">
      <c r="A176" s="7" t="s">
        <v>345</v>
      </c>
      <c r="B176" s="7" t="n">
        <v>42</v>
      </c>
      <c r="C176" s="7" t="n">
        <v>53</v>
      </c>
      <c r="D176" s="7" t="n">
        <v>47</v>
      </c>
      <c r="E176" s="7" t="n">
        <v>51</v>
      </c>
      <c r="F176" s="7" t="n">
        <v>52</v>
      </c>
      <c r="G176" s="7" t="n">
        <v>42</v>
      </c>
      <c r="H176" s="7" t="n">
        <v>47</v>
      </c>
      <c r="I176" s="7" t="n">
        <v>50</v>
      </c>
      <c r="J176" s="7" t="n">
        <v>46</v>
      </c>
      <c r="K176" s="7" t="n">
        <v>47</v>
      </c>
      <c r="L176" s="7" t="n">
        <v>44</v>
      </c>
      <c r="M176" s="7" t="n">
        <v>59</v>
      </c>
      <c r="N176" s="7" t="n">
        <v>43</v>
      </c>
      <c r="O176" s="7" t="n">
        <v>46</v>
      </c>
      <c r="P176" s="7" t="n">
        <v>46</v>
      </c>
      <c r="Q176" s="7" t="n">
        <v>42</v>
      </c>
      <c r="R176" s="7" t="n">
        <v>62</v>
      </c>
      <c r="S176" s="7" t="n">
        <v>38</v>
      </c>
      <c r="T176" s="7"/>
      <c r="U176" s="7"/>
      <c r="V176" s="7"/>
      <c r="W176" s="7"/>
      <c r="X176" s="7"/>
      <c r="Y176" s="7" t="n">
        <v>201</v>
      </c>
      <c r="Z176" s="7" t="n">
        <v>341</v>
      </c>
      <c r="AA176" s="7" t="n">
        <v>165</v>
      </c>
      <c r="AB176" s="7" t="n">
        <v>193</v>
      </c>
      <c r="AC176" s="7" t="n">
        <f aca="false">SUM(F176:I176)</f>
        <v>191</v>
      </c>
      <c r="AD176" s="7" t="n">
        <f aca="false">SUM(J176:M176)</f>
        <v>196</v>
      </c>
      <c r="AE176" s="7" t="n">
        <f aca="false">SUM(N176:Q176)</f>
        <v>177</v>
      </c>
      <c r="AF176" s="7"/>
      <c r="AG176" s="7"/>
      <c r="AH176" s="7"/>
      <c r="AI176" s="7"/>
      <c r="AJ176" s="7"/>
      <c r="AK176" s="59"/>
      <c r="AL176" s="7"/>
      <c r="AM176" s="7"/>
      <c r="AN176" s="7"/>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c r="BU176" s="59"/>
      <c r="BV176" s="59"/>
      <c r="BW176" s="59"/>
      <c r="BX176" s="59"/>
      <c r="BY176" s="59"/>
      <c r="BZ176" s="59"/>
      <c r="CA176" s="59"/>
      <c r="CB176" s="59"/>
      <c r="CC176" s="59"/>
      <c r="CD176" s="59"/>
      <c r="CE176" s="59"/>
      <c r="CF176" s="59"/>
      <c r="CG176" s="59"/>
      <c r="CH176" s="59"/>
      <c r="CI176" s="59"/>
      <c r="CJ176" s="59"/>
      <c r="CK176" s="59"/>
      <c r="CL176" s="59"/>
      <c r="CM176" s="59"/>
      <c r="CN176" s="59"/>
      <c r="CO176" s="59"/>
      <c r="CP176" s="59"/>
      <c r="CQ176" s="59"/>
      <c r="CR176" s="59"/>
      <c r="CS176" s="59"/>
      <c r="CT176" s="59"/>
      <c r="CU176" s="59"/>
      <c r="CV176" s="59"/>
      <c r="CW176" s="59"/>
      <c r="CX176" s="59"/>
      <c r="CY176" s="59"/>
      <c r="CZ176" s="59"/>
      <c r="DA176" s="59"/>
      <c r="DB176" s="59"/>
      <c r="DC176" s="59"/>
      <c r="DD176" s="59"/>
      <c r="DE176" s="59"/>
      <c r="DF176" s="59"/>
      <c r="DG176" s="59"/>
      <c r="DH176" s="59"/>
      <c r="DI176" s="59"/>
      <c r="DJ176" s="59"/>
      <c r="DK176" s="59"/>
      <c r="DL176" s="59"/>
      <c r="DM176" s="59"/>
      <c r="DN176" s="59"/>
      <c r="DO176" s="59"/>
      <c r="DP176" s="59"/>
      <c r="DQ176" s="59"/>
      <c r="DR176" s="59"/>
      <c r="DS176" s="59"/>
      <c r="DT176" s="59"/>
      <c r="DU176" s="59"/>
      <c r="DV176" s="59"/>
      <c r="DW176" s="59"/>
      <c r="DX176" s="59"/>
      <c r="DY176" s="59"/>
      <c r="DZ176" s="59"/>
      <c r="EA176" s="59"/>
      <c r="EB176" s="59"/>
      <c r="EC176" s="59"/>
      <c r="ED176" s="59"/>
      <c r="EE176" s="59"/>
      <c r="EF176" s="59"/>
      <c r="EG176" s="59"/>
      <c r="EH176" s="59"/>
      <c r="EI176" s="59"/>
      <c r="EJ176" s="59"/>
      <c r="EK176" s="59"/>
      <c r="EL176" s="59"/>
      <c r="EM176" s="59"/>
      <c r="EN176" s="59"/>
      <c r="EO176" s="59"/>
      <c r="EP176" s="59"/>
    </row>
    <row r="177" customFormat="false" ht="12.8" hidden="false" customHeight="false" outlineLevel="0" collapsed="false">
      <c r="A177" s="7" t="s">
        <v>350</v>
      </c>
      <c r="B177" s="7" t="n">
        <v>8</v>
      </c>
      <c r="C177" s="7" t="n">
        <v>-53</v>
      </c>
      <c r="D177" s="7" t="n">
        <v>-35</v>
      </c>
      <c r="E177" s="7" t="n">
        <v>-53</v>
      </c>
      <c r="F177" s="7" t="n">
        <v>-7</v>
      </c>
      <c r="G177" s="7" t="n">
        <v>-19</v>
      </c>
      <c r="H177" s="7" t="n">
        <v>112</v>
      </c>
      <c r="I177" s="7" t="n">
        <v>-22</v>
      </c>
      <c r="J177" s="7" t="n">
        <v>46</v>
      </c>
      <c r="K177" s="7" t="n">
        <v>-70</v>
      </c>
      <c r="L177" s="7" t="n">
        <v>48</v>
      </c>
      <c r="M177" s="7" t="n">
        <v>62</v>
      </c>
      <c r="N177" s="7" t="n">
        <v>6</v>
      </c>
      <c r="O177" s="7" t="n">
        <v>125</v>
      </c>
      <c r="P177" s="7" t="n">
        <v>101</v>
      </c>
      <c r="Q177" s="7" t="n">
        <v>-106</v>
      </c>
      <c r="R177" s="7" t="n">
        <v>184</v>
      </c>
      <c r="S177" s="7" t="n">
        <v>161</v>
      </c>
      <c r="T177" s="7"/>
      <c r="U177" s="7"/>
      <c r="V177" s="7"/>
      <c r="W177" s="7"/>
      <c r="X177" s="7"/>
      <c r="Y177" s="7" t="n">
        <v>95</v>
      </c>
      <c r="Z177" s="7" t="n">
        <v>-133</v>
      </c>
      <c r="AA177" s="7" t="n">
        <v>90</v>
      </c>
      <c r="AB177" s="7" t="n">
        <v>-133</v>
      </c>
      <c r="AC177" s="7" t="n">
        <f aca="false">SUM(F177:I177)</f>
        <v>64</v>
      </c>
      <c r="AD177" s="7" t="n">
        <f aca="false">SUM(J177:M177)</f>
        <v>86</v>
      </c>
      <c r="AE177" s="7" t="n">
        <f aca="false">SUM(N177:Q177)</f>
        <v>126</v>
      </c>
      <c r="AF177" s="7"/>
      <c r="AG177" s="7"/>
      <c r="AH177" s="7"/>
      <c r="AI177" s="7"/>
      <c r="AJ177" s="59"/>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c r="BV177" s="7"/>
      <c r="BW177" s="7"/>
      <c r="BX177" s="7"/>
      <c r="BY177" s="7"/>
      <c r="BZ177" s="7"/>
      <c r="CA177" s="7"/>
      <c r="CB177" s="7"/>
      <c r="CC177" s="7"/>
      <c r="CD177" s="7"/>
      <c r="CE177" s="7"/>
      <c r="CF177" s="7"/>
      <c r="CG177" s="7"/>
      <c r="CH177" s="7"/>
      <c r="CI177" s="7"/>
      <c r="CJ177" s="7"/>
      <c r="CK177" s="7"/>
      <c r="CL177" s="7"/>
      <c r="CM177" s="7"/>
      <c r="CN177" s="7"/>
      <c r="CO177" s="7"/>
      <c r="CP177" s="7"/>
      <c r="CQ177" s="7"/>
      <c r="CR177" s="7"/>
      <c r="CS177" s="7"/>
      <c r="CT177" s="7"/>
      <c r="CU177" s="7"/>
      <c r="CV177" s="7"/>
      <c r="CW177" s="7"/>
      <c r="CX177" s="7"/>
      <c r="CY177" s="7"/>
      <c r="CZ177" s="7"/>
      <c r="DA177" s="7"/>
      <c r="DB177" s="7"/>
      <c r="DC177" s="7"/>
      <c r="DD177" s="7"/>
      <c r="DE177" s="7"/>
      <c r="DF177" s="7"/>
      <c r="DG177" s="7"/>
      <c r="DH177" s="7"/>
      <c r="DI177" s="7"/>
      <c r="DJ177" s="7"/>
      <c r="DK177" s="7"/>
      <c r="DL177" s="7"/>
      <c r="DM177" s="7"/>
      <c r="DN177" s="7"/>
      <c r="DO177" s="7"/>
      <c r="DP177" s="7"/>
      <c r="DQ177" s="7"/>
      <c r="DR177" s="7"/>
      <c r="DS177" s="7"/>
      <c r="DT177" s="7"/>
      <c r="DU177" s="7"/>
      <c r="DV177" s="7"/>
      <c r="DW177" s="7"/>
      <c r="DX177" s="7"/>
      <c r="DY177" s="7"/>
      <c r="DZ177" s="7"/>
      <c r="EA177" s="7"/>
      <c r="EB177" s="7"/>
      <c r="EC177" s="7"/>
      <c r="ED177" s="7"/>
      <c r="EE177" s="7"/>
      <c r="EF177" s="7"/>
      <c r="EG177" s="7"/>
      <c r="EH177" s="7"/>
      <c r="EI177" s="7"/>
      <c r="EJ177" s="7"/>
      <c r="EK177" s="7"/>
      <c r="EL177" s="7"/>
      <c r="EM177" s="7"/>
      <c r="EN177" s="7"/>
      <c r="EO177" s="7"/>
      <c r="EP177" s="7"/>
    </row>
    <row r="178" customFormat="false" ht="12.8" hidden="false" customHeight="false" outlineLevel="0" collapsed="false">
      <c r="A178" s="7" t="s">
        <v>369</v>
      </c>
      <c r="B178" s="7" t="n">
        <v>134</v>
      </c>
      <c r="C178" s="7" t="n">
        <v>192</v>
      </c>
      <c r="D178" s="7" t="n">
        <v>159</v>
      </c>
      <c r="E178" s="7" t="n">
        <v>251</v>
      </c>
      <c r="F178" s="7" t="n">
        <v>350</v>
      </c>
      <c r="G178" s="7" t="n">
        <v>588</v>
      </c>
      <c r="H178" s="7" t="n">
        <v>501</v>
      </c>
      <c r="I178" s="7" t="n">
        <v>614</v>
      </c>
      <c r="J178" s="7" t="n">
        <v>696</v>
      </c>
      <c r="K178" s="7" t="n">
        <v>675</v>
      </c>
      <c r="L178" s="7" t="n">
        <v>789</v>
      </c>
      <c r="M178" s="7" t="n">
        <v>658</v>
      </c>
      <c r="N178" s="7" t="n">
        <v>675</v>
      </c>
      <c r="O178" s="7" t="n">
        <v>812</v>
      </c>
      <c r="P178" s="7" t="n">
        <v>592</v>
      </c>
      <c r="Q178" s="7" t="n">
        <v>581</v>
      </c>
      <c r="R178" s="7" t="n">
        <v>443</v>
      </c>
      <c r="S178" s="7" t="n">
        <v>387</v>
      </c>
      <c r="T178" s="7"/>
      <c r="U178" s="7"/>
      <c r="V178" s="7"/>
      <c r="W178" s="7"/>
      <c r="X178" s="7"/>
      <c r="Y178" s="7" t="n">
        <v>481</v>
      </c>
      <c r="Z178" s="7" t="n">
        <v>-3</v>
      </c>
      <c r="AA178" s="7" t="n">
        <v>516</v>
      </c>
      <c r="AB178" s="7" t="n">
        <v>736</v>
      </c>
      <c r="AC178" s="7" t="n">
        <f aca="false">SUM(F178:I178)</f>
        <v>2053</v>
      </c>
      <c r="AD178" s="7" t="n">
        <f aca="false">SUM(J178:M178)</f>
        <v>2818</v>
      </c>
      <c r="AE178" s="7" t="n">
        <f aca="false">SUM(N178:Q178)</f>
        <v>2660</v>
      </c>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c r="BV178" s="7"/>
      <c r="BW178" s="7"/>
      <c r="BX178" s="7"/>
      <c r="BY178" s="7"/>
      <c r="BZ178" s="7"/>
      <c r="CA178" s="7"/>
      <c r="CB178" s="7"/>
      <c r="CC178" s="7"/>
      <c r="CD178" s="7"/>
      <c r="CE178" s="7"/>
      <c r="CF178" s="7"/>
      <c r="CG178" s="7"/>
      <c r="CH178" s="7"/>
      <c r="CI178" s="7"/>
      <c r="CJ178" s="7"/>
      <c r="CK178" s="7"/>
      <c r="CL178" s="7"/>
      <c r="CM178" s="7"/>
      <c r="CN178" s="7"/>
      <c r="CO178" s="7"/>
      <c r="CP178" s="7"/>
      <c r="CQ178" s="7"/>
      <c r="CR178" s="7"/>
      <c r="CS178" s="7"/>
      <c r="CT178" s="7"/>
      <c r="CU178" s="7"/>
      <c r="CV178" s="7"/>
      <c r="CW178" s="7"/>
      <c r="CX178" s="7"/>
      <c r="CY178" s="7"/>
      <c r="CZ178" s="7"/>
      <c r="DA178" s="7"/>
      <c r="DB178" s="7"/>
      <c r="DC178" s="7"/>
      <c r="DD178" s="7"/>
      <c r="DE178" s="7"/>
      <c r="DF178" s="7"/>
      <c r="DG178" s="7"/>
      <c r="DH178" s="7"/>
      <c r="DI178" s="7"/>
      <c r="DJ178" s="7"/>
      <c r="DK178" s="7"/>
      <c r="DL178" s="7"/>
      <c r="DM178" s="7"/>
      <c r="DN178" s="7"/>
      <c r="DO178" s="7"/>
      <c r="DP178" s="7"/>
      <c r="DQ178" s="7"/>
      <c r="DR178" s="7"/>
      <c r="DS178" s="7"/>
      <c r="DT178" s="7"/>
      <c r="DU178" s="7"/>
      <c r="DV178" s="7"/>
      <c r="DW178" s="7"/>
      <c r="DX178" s="7"/>
      <c r="DY178" s="7"/>
      <c r="DZ178" s="7"/>
      <c r="EA178" s="7"/>
      <c r="EB178" s="7"/>
      <c r="EC178" s="7"/>
      <c r="ED178" s="7"/>
      <c r="EE178" s="7"/>
      <c r="EF178" s="7"/>
      <c r="EG178" s="7"/>
      <c r="EH178" s="7"/>
      <c r="EI178" s="7"/>
      <c r="EJ178" s="7"/>
      <c r="EK178" s="7"/>
      <c r="EL178" s="7"/>
      <c r="EM178" s="7"/>
      <c r="EN178" s="7"/>
      <c r="EO178" s="7"/>
      <c r="EP178" s="7"/>
    </row>
    <row r="179" customFormat="false" ht="12.8" hidden="false" customHeight="false" outlineLevel="0" collapsed="false">
      <c r="A179" s="7" t="s">
        <v>370</v>
      </c>
      <c r="B179" s="7" t="n">
        <v>-72</v>
      </c>
      <c r="C179" s="7" t="n">
        <v>486</v>
      </c>
      <c r="D179" s="7" t="n">
        <v>483</v>
      </c>
      <c r="E179" s="7" t="n">
        <v>-405</v>
      </c>
      <c r="F179" s="7" t="n">
        <v>-142</v>
      </c>
      <c r="G179" s="7" t="n">
        <v>-87</v>
      </c>
      <c r="H179" s="7" t="n">
        <v>740</v>
      </c>
      <c r="I179" s="7" t="n">
        <v>-254</v>
      </c>
      <c r="J179" s="7" t="n">
        <v>587</v>
      </c>
      <c r="K179" s="7" t="n">
        <v>158</v>
      </c>
      <c r="L179" s="7" t="n">
        <v>-256</v>
      </c>
      <c r="M179" s="7" t="n">
        <v>-158</v>
      </c>
      <c r="N179" s="7" t="n">
        <v>430</v>
      </c>
      <c r="O179" s="7" t="n">
        <v>-20</v>
      </c>
      <c r="P179" s="7" t="n">
        <v>111</v>
      </c>
      <c r="Q179" s="7" t="n">
        <v>446</v>
      </c>
      <c r="R179" s="7" t="n">
        <v>-541</v>
      </c>
      <c r="S179" s="7" t="n">
        <v>447</v>
      </c>
      <c r="T179" s="7"/>
      <c r="U179" s="7"/>
      <c r="V179" s="7"/>
      <c r="W179" s="7"/>
      <c r="X179" s="7"/>
      <c r="Y179" s="7" t="n">
        <v>960</v>
      </c>
      <c r="Z179" s="7" t="n">
        <v>83</v>
      </c>
      <c r="AA179" s="7" t="n">
        <v>1068</v>
      </c>
      <c r="AB179" s="7" t="n">
        <v>492</v>
      </c>
      <c r="AC179" s="7" t="n">
        <f aca="false">SUM(F179:I179)</f>
        <v>257</v>
      </c>
      <c r="AD179" s="7" t="n">
        <f aca="false">SUM(J179:M179)</f>
        <v>331</v>
      </c>
      <c r="AE179" s="7" t="n">
        <f aca="false">SUM(N179:Q179)</f>
        <v>967</v>
      </c>
      <c r="AF179" s="7"/>
      <c r="AG179" s="7"/>
      <c r="AH179" s="7"/>
      <c r="AI179" s="7"/>
      <c r="AJ179" s="7"/>
      <c r="AK179" s="7"/>
      <c r="AL179" s="7"/>
      <c r="AM179" s="44"/>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c r="BV179" s="7"/>
      <c r="BW179" s="7"/>
      <c r="BX179" s="7"/>
      <c r="BY179" s="7"/>
      <c r="BZ179" s="7"/>
      <c r="CA179" s="7"/>
      <c r="CB179" s="7"/>
      <c r="CC179" s="7"/>
      <c r="CD179" s="7"/>
      <c r="CE179" s="7"/>
      <c r="CF179" s="7"/>
      <c r="CG179" s="7"/>
      <c r="CH179" s="7"/>
      <c r="CI179" s="7"/>
      <c r="CJ179" s="7"/>
      <c r="CK179" s="7"/>
      <c r="CL179" s="7"/>
      <c r="CM179" s="7"/>
      <c r="CN179" s="7"/>
      <c r="CO179" s="7"/>
      <c r="CP179" s="7"/>
      <c r="CQ179" s="7"/>
      <c r="CR179" s="7"/>
      <c r="CS179" s="7"/>
      <c r="CT179" s="7"/>
      <c r="CU179" s="7"/>
      <c r="CV179" s="7"/>
      <c r="CW179" s="7"/>
      <c r="CX179" s="7"/>
      <c r="CY179" s="7"/>
      <c r="CZ179" s="7"/>
      <c r="DA179" s="7"/>
      <c r="DB179" s="7"/>
      <c r="DC179" s="7"/>
      <c r="DD179" s="7"/>
      <c r="DE179" s="7"/>
      <c r="DF179" s="7"/>
      <c r="DG179" s="7"/>
      <c r="DH179" s="7"/>
      <c r="DI179" s="7"/>
      <c r="DJ179" s="7"/>
      <c r="DK179" s="7"/>
      <c r="DL179" s="7"/>
      <c r="DM179" s="7"/>
      <c r="DN179" s="7"/>
      <c r="DO179" s="7"/>
      <c r="DP179" s="7"/>
      <c r="DQ179" s="7"/>
      <c r="DR179" s="7"/>
      <c r="DS179" s="7"/>
      <c r="DT179" s="7"/>
      <c r="DU179" s="7"/>
      <c r="DV179" s="7"/>
      <c r="DW179" s="7"/>
      <c r="DX179" s="7"/>
      <c r="DY179" s="7"/>
      <c r="DZ179" s="7"/>
      <c r="EA179" s="7"/>
      <c r="EB179" s="7"/>
      <c r="EC179" s="7"/>
      <c r="ED179" s="7"/>
      <c r="EE179" s="7"/>
      <c r="EF179" s="7"/>
      <c r="EG179" s="7"/>
      <c r="EH179" s="7"/>
      <c r="EI179" s="7"/>
      <c r="EJ179" s="7"/>
      <c r="EK179" s="7"/>
      <c r="EL179" s="7"/>
      <c r="EM179" s="7"/>
      <c r="EN179" s="7"/>
      <c r="EO179" s="7"/>
      <c r="EP179" s="7"/>
    </row>
    <row r="180" customFormat="false" ht="12.8" hidden="false" customHeight="true" outlineLevel="0" collapsed="false">
      <c r="A180" s="7" t="s">
        <v>371</v>
      </c>
      <c r="B180" s="7" t="n">
        <v>-39</v>
      </c>
      <c r="C180" s="7" t="n">
        <v>-49</v>
      </c>
      <c r="D180" s="7" t="n">
        <v>-81</v>
      </c>
      <c r="E180" s="7" t="n">
        <v>-46</v>
      </c>
      <c r="F180" s="7" t="n">
        <v>-44</v>
      </c>
      <c r="G180" s="7" t="n">
        <v>-46</v>
      </c>
      <c r="H180" s="7" t="n">
        <v>-47</v>
      </c>
      <c r="I180" s="7" t="n">
        <v>-43</v>
      </c>
      <c r="J180" s="7" t="n">
        <v>-56</v>
      </c>
      <c r="K180" s="7" t="n">
        <v>-25</v>
      </c>
      <c r="L180" s="7" t="n">
        <v>-76</v>
      </c>
      <c r="M180" s="7" t="n">
        <v>-64</v>
      </c>
      <c r="N180" s="7" t="n">
        <v>-56</v>
      </c>
      <c r="O180" s="7" t="n">
        <v>-51</v>
      </c>
      <c r="P180" s="7" t="n">
        <v>-54</v>
      </c>
      <c r="Q180" s="7" t="n">
        <v>-48</v>
      </c>
      <c r="R180" s="7" t="n">
        <v>-62</v>
      </c>
      <c r="S180" s="7" t="n">
        <v>-35</v>
      </c>
      <c r="T180" s="7"/>
      <c r="U180" s="7"/>
      <c r="V180" s="7"/>
      <c r="W180" s="7"/>
      <c r="X180" s="7"/>
      <c r="Y180" s="7" t="n">
        <v>-153</v>
      </c>
      <c r="Z180" s="7" t="n">
        <v>-131</v>
      </c>
      <c r="AA180" s="7" t="n">
        <v>-184</v>
      </c>
      <c r="AB180" s="7" t="n">
        <v>-215</v>
      </c>
      <c r="AC180" s="7" t="n">
        <f aca="false">SUM(F180:I180)</f>
        <v>-180</v>
      </c>
      <c r="AD180" s="7" t="n">
        <f aca="false">SUM(J180:M180)</f>
        <v>-221</v>
      </c>
      <c r="AE180" s="7" t="n">
        <f aca="false">SUM(N180:Q180)</f>
        <v>-209</v>
      </c>
      <c r="AF180" s="7"/>
      <c r="AG180" s="7"/>
      <c r="AH180" s="7"/>
      <c r="AI180" s="7"/>
      <c r="AJ180" s="7"/>
      <c r="AK180" s="7"/>
      <c r="AL180" s="7"/>
      <c r="AM180" s="124"/>
      <c r="AN180" s="44"/>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c r="BV180" s="7"/>
      <c r="BW180" s="7"/>
      <c r="BX180" s="7"/>
      <c r="BY180" s="7"/>
      <c r="BZ180" s="7"/>
      <c r="CA180" s="7"/>
      <c r="CB180" s="7"/>
      <c r="CC180" s="7"/>
      <c r="CD180" s="7"/>
      <c r="CE180" s="7"/>
      <c r="CF180" s="7"/>
      <c r="CG180" s="7"/>
      <c r="CH180" s="7"/>
      <c r="CI180" s="7"/>
      <c r="CJ180" s="7"/>
      <c r="CK180" s="7"/>
      <c r="CL180" s="7"/>
      <c r="CM180" s="7"/>
      <c r="CN180" s="7"/>
      <c r="CO180" s="7"/>
      <c r="CP180" s="7"/>
      <c r="CQ180" s="7"/>
      <c r="CR180" s="7"/>
      <c r="CS180" s="7"/>
      <c r="CT180" s="7"/>
      <c r="CU180" s="7"/>
      <c r="CV180" s="7"/>
      <c r="CW180" s="7"/>
      <c r="CX180" s="7"/>
      <c r="CY180" s="7"/>
      <c r="CZ180" s="7"/>
      <c r="DA180" s="7"/>
      <c r="DB180" s="7"/>
      <c r="DC180" s="7"/>
      <c r="DD180" s="7"/>
      <c r="DE180" s="7"/>
      <c r="DF180" s="7"/>
      <c r="DG180" s="7"/>
      <c r="DH180" s="7"/>
      <c r="DI180" s="7"/>
      <c r="DJ180" s="7"/>
      <c r="DK180" s="7"/>
      <c r="DL180" s="7"/>
      <c r="DM180" s="7"/>
      <c r="DN180" s="7"/>
      <c r="DO180" s="7"/>
      <c r="DP180" s="7"/>
      <c r="DQ180" s="7"/>
      <c r="DR180" s="7"/>
      <c r="DS180" s="7"/>
      <c r="DT180" s="7"/>
      <c r="DU180" s="7"/>
      <c r="DV180" s="7"/>
      <c r="DW180" s="7"/>
      <c r="DX180" s="7"/>
      <c r="DY180" s="7"/>
      <c r="DZ180" s="7"/>
      <c r="EA180" s="7"/>
      <c r="EB180" s="7"/>
      <c r="EC180" s="7"/>
      <c r="ED180" s="7"/>
      <c r="EE180" s="7"/>
      <c r="EF180" s="7"/>
      <c r="EG180" s="7"/>
      <c r="EH180" s="7"/>
      <c r="EI180" s="7"/>
      <c r="EJ180" s="7"/>
      <c r="EK180" s="7"/>
      <c r="EL180" s="7"/>
      <c r="EM180" s="7"/>
      <c r="EN180" s="7"/>
      <c r="EO180" s="7"/>
      <c r="EP180" s="7"/>
    </row>
    <row r="181" customFormat="false" ht="12.8" hidden="false" customHeight="true" outlineLevel="0" collapsed="false">
      <c r="A181" s="7" t="s">
        <v>372</v>
      </c>
      <c r="B181" s="7" t="n">
        <f aca="false">SUM(B166:B180)</f>
        <v>15.0370586518821</v>
      </c>
      <c r="C181" s="7" t="n">
        <f aca="false">SUM(C166:C180)</f>
        <v>439.030100334448</v>
      </c>
      <c r="D181" s="7" t="n">
        <f aca="false">SUM(D166:D180)</f>
        <v>432.027208438212</v>
      </c>
      <c r="E181" s="7" t="n">
        <f aca="false">SUM(E166:E180)</f>
        <v>-243.97409085628</v>
      </c>
      <c r="F181" s="7" t="n">
        <f aca="false">SUM(F166:F180)</f>
        <v>606.023458879378</v>
      </c>
      <c r="G181" s="7" t="n">
        <f aca="false">SUM(G166:G180)</f>
        <v>1190.02253395468</v>
      </c>
      <c r="H181" s="7" t="n">
        <f aca="false">SUM(H166:H180)</f>
        <v>947.022061071514</v>
      </c>
      <c r="I181" s="7" t="n">
        <f aca="false">SUM(I166:I180)</f>
        <v>823.020429928472</v>
      </c>
      <c r="J181" s="7" t="n">
        <f aca="false">SUM(J166:J180)</f>
        <v>1416.01914850347</v>
      </c>
      <c r="K181" s="7" t="n">
        <f aca="false">SUM(K166:K180)</f>
        <v>1820.01691536526</v>
      </c>
      <c r="L181" s="7" t="n">
        <f aca="false">SUM(L166:L180)</f>
        <v>2151.01662429239</v>
      </c>
      <c r="M181" s="7" t="n">
        <f aca="false">SUM(M166:M180)</f>
        <v>1750.01471638618</v>
      </c>
      <c r="N181" s="7" t="n">
        <f aca="false">SUM(N166:N180)</f>
        <v>2324.01543353265</v>
      </c>
      <c r="O181" s="7" t="n">
        <f aca="false">SUM(O166:O180)</f>
        <v>2564.01430667882</v>
      </c>
      <c r="P181" s="7" t="n">
        <f aca="false">SUM(P166:P180)</f>
        <v>2328.01447931403</v>
      </c>
      <c r="Q181" s="7" t="n">
        <f aca="false">SUM(Q166:Q180)</f>
        <v>2847.01343449812</v>
      </c>
      <c r="R181" s="7" t="n">
        <f aca="false">SUM(R166:R180)</f>
        <v>2351.01446640915</v>
      </c>
      <c r="S181" s="7" t="n">
        <f aca="false">SUM(S166:S180)</f>
        <v>2862.01374110352</v>
      </c>
      <c r="T181" s="7"/>
      <c r="U181" s="7"/>
      <c r="V181" s="7"/>
      <c r="W181" s="7"/>
      <c r="X181" s="7"/>
      <c r="Y181" s="7" t="n">
        <f aca="false">SUM(Y166:Y180)</f>
        <v>-4320.96663603591</v>
      </c>
      <c r="Z181" s="7" t="n">
        <f aca="false">SUM(Z166:Z180)</f>
        <v>-2744.94838190791</v>
      </c>
      <c r="AA181" s="7" t="n">
        <f aca="false">SUM(AA166:AA180)</f>
        <v>-444.948331344752</v>
      </c>
      <c r="AB181" s="7" t="n">
        <f aca="false">SUM(AB166:AB180)</f>
        <v>642.029704604084</v>
      </c>
      <c r="AC181" s="7" t="n">
        <f aca="false">SUM(AC166:AC180)</f>
        <v>3566.02207541746</v>
      </c>
      <c r="AD181" s="7" t="n">
        <f aca="false">SUM(AD166:AD180)</f>
        <v>7137.0167582375</v>
      </c>
      <c r="AE181" s="7" t="n">
        <f aca="false">SUM(AE166:AE180)</f>
        <v>10063.0143605714</v>
      </c>
      <c r="AF181" s="7"/>
      <c r="AG181" s="7"/>
      <c r="AH181" s="7"/>
      <c r="AI181" s="7"/>
      <c r="AJ181" s="7"/>
      <c r="AK181" s="7"/>
      <c r="AL181" s="7"/>
      <c r="AM181" s="120"/>
      <c r="AN181" s="125"/>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c r="BV181" s="7"/>
      <c r="BW181" s="7"/>
      <c r="BX181" s="7"/>
      <c r="BY181" s="7"/>
      <c r="BZ181" s="7"/>
      <c r="CA181" s="7"/>
      <c r="CB181" s="7"/>
      <c r="CC181" s="7"/>
      <c r="CD181" s="7"/>
      <c r="CE181" s="7"/>
      <c r="CF181" s="7"/>
      <c r="CG181" s="7"/>
      <c r="CH181" s="7"/>
      <c r="CI181" s="7"/>
      <c r="CJ181" s="7"/>
      <c r="CK181" s="7"/>
      <c r="CL181" s="7"/>
      <c r="CM181" s="7"/>
      <c r="CN181" s="7"/>
      <c r="CO181" s="7"/>
      <c r="CP181" s="7"/>
      <c r="CQ181" s="7"/>
      <c r="CR181" s="7"/>
      <c r="CS181" s="7"/>
      <c r="CT181" s="7"/>
      <c r="CU181" s="7"/>
      <c r="CV181" s="7"/>
      <c r="CW181" s="7"/>
      <c r="CX181" s="7"/>
      <c r="CY181" s="7"/>
      <c r="CZ181" s="7"/>
      <c r="DA181" s="7"/>
      <c r="DB181" s="7"/>
      <c r="DC181" s="7"/>
      <c r="DD181" s="7"/>
      <c r="DE181" s="7"/>
      <c r="DF181" s="7"/>
      <c r="DG181" s="7"/>
      <c r="DH181" s="7"/>
      <c r="DI181" s="7"/>
      <c r="DJ181" s="7"/>
      <c r="DK181" s="7"/>
      <c r="DL181" s="7"/>
      <c r="DM181" s="7"/>
      <c r="DN181" s="7"/>
      <c r="DO181" s="7"/>
      <c r="DP181" s="7"/>
      <c r="DQ181" s="7"/>
      <c r="DR181" s="7"/>
      <c r="DS181" s="7"/>
      <c r="DT181" s="7"/>
      <c r="DU181" s="7"/>
      <c r="DV181" s="7"/>
      <c r="DW181" s="7"/>
      <c r="DX181" s="7"/>
      <c r="DY181" s="7"/>
      <c r="DZ181" s="7"/>
      <c r="EA181" s="7"/>
      <c r="EB181" s="7"/>
      <c r="EC181" s="7"/>
      <c r="ED181" s="7"/>
      <c r="EE181" s="7"/>
      <c r="EF181" s="7"/>
      <c r="EG181" s="7"/>
      <c r="EH181" s="7"/>
      <c r="EI181" s="7"/>
      <c r="EJ181" s="7"/>
      <c r="EK181" s="7"/>
      <c r="EL181" s="7"/>
      <c r="EM181" s="7"/>
      <c r="EN181" s="7"/>
      <c r="EO181" s="7"/>
      <c r="EP181" s="7"/>
    </row>
    <row r="182" customFormat="false" ht="12.8" hidden="false" customHeight="true" outlineLevel="0" collapsed="false">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120"/>
      <c r="AN182" s="120"/>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c r="BV182" s="7"/>
      <c r="BW182" s="7"/>
      <c r="BX182" s="7"/>
      <c r="BY182" s="7"/>
      <c r="BZ182" s="7"/>
      <c r="CA182" s="7"/>
      <c r="CB182" s="7"/>
      <c r="CC182" s="7"/>
      <c r="CD182" s="7"/>
      <c r="CE182" s="7"/>
      <c r="CF182" s="7"/>
      <c r="CG182" s="7"/>
      <c r="CH182" s="7"/>
      <c r="CI182" s="7"/>
      <c r="CJ182" s="7"/>
      <c r="CK182" s="7"/>
      <c r="CL182" s="7"/>
      <c r="CM182" s="7"/>
      <c r="CN182" s="7"/>
      <c r="CO182" s="7"/>
      <c r="CP182" s="7"/>
      <c r="CQ182" s="7"/>
      <c r="CR182" s="7"/>
      <c r="CS182" s="7"/>
      <c r="CT182" s="7"/>
      <c r="CU182" s="7"/>
      <c r="CV182" s="7"/>
      <c r="CW182" s="7"/>
      <c r="CX182" s="7"/>
      <c r="CY182" s="7"/>
      <c r="CZ182" s="7"/>
      <c r="DA182" s="7"/>
      <c r="DB182" s="7"/>
      <c r="DC182" s="7"/>
      <c r="DD182" s="7"/>
      <c r="DE182" s="7"/>
      <c r="DF182" s="7"/>
      <c r="DG182" s="7"/>
      <c r="DH182" s="7"/>
      <c r="DI182" s="7"/>
      <c r="DJ182" s="7"/>
      <c r="DK182" s="7"/>
      <c r="DL182" s="7"/>
      <c r="DM182" s="7"/>
      <c r="DN182" s="7"/>
      <c r="DO182" s="7"/>
      <c r="DP182" s="7"/>
      <c r="DQ182" s="7"/>
      <c r="DR182" s="7"/>
      <c r="DS182" s="7"/>
      <c r="DT182" s="7"/>
      <c r="DU182" s="7"/>
      <c r="DV182" s="7"/>
      <c r="DW182" s="7"/>
      <c r="DX182" s="7"/>
      <c r="DY182" s="7"/>
      <c r="DZ182" s="7"/>
      <c r="EA182" s="7"/>
      <c r="EB182" s="7"/>
      <c r="EC182" s="7"/>
      <c r="ED182" s="7"/>
      <c r="EE182" s="7"/>
      <c r="EF182" s="7"/>
      <c r="EG182" s="7"/>
      <c r="EH182" s="7"/>
      <c r="EI182" s="7"/>
      <c r="EJ182" s="7"/>
      <c r="EK182" s="7"/>
      <c r="EL182" s="7"/>
      <c r="EM182" s="7"/>
      <c r="EN182" s="7"/>
      <c r="EO182" s="7"/>
      <c r="EP182" s="7"/>
      <c r="ER182" s="123"/>
      <c r="ES182" s="123"/>
      <c r="ET182" s="123"/>
      <c r="EU182" s="123"/>
      <c r="EV182" s="123"/>
    </row>
    <row r="183" customFormat="false" ht="12.8" hidden="false" customHeight="true" outlineLevel="0" collapsed="false">
      <c r="A183" s="7" t="s">
        <v>373</v>
      </c>
      <c r="B183" s="7" t="n">
        <v>62</v>
      </c>
      <c r="C183" s="7" t="n">
        <v>57</v>
      </c>
      <c r="D183" s="7" t="n">
        <v>74</v>
      </c>
      <c r="E183" s="7" t="n">
        <v>59</v>
      </c>
      <c r="F183" s="7" t="n">
        <v>57</v>
      </c>
      <c r="G183" s="7" t="n">
        <v>50</v>
      </c>
      <c r="H183" s="7" t="n">
        <v>61</v>
      </c>
      <c r="I183" s="7" t="n">
        <v>55</v>
      </c>
      <c r="J183" s="7" t="n">
        <v>57</v>
      </c>
      <c r="K183" s="7" t="n">
        <v>99</v>
      </c>
      <c r="L183" s="7" t="n">
        <v>42</v>
      </c>
      <c r="M183" s="7" t="n">
        <v>44</v>
      </c>
      <c r="N183" s="7" t="n">
        <v>74</v>
      </c>
      <c r="O183" s="7" t="n">
        <v>89</v>
      </c>
      <c r="P183" s="7" t="n">
        <v>98</v>
      </c>
      <c r="Q183" s="7" t="n">
        <v>75</v>
      </c>
      <c r="R183" s="7" t="n">
        <v>65</v>
      </c>
      <c r="S183" s="7" t="n">
        <v>70</v>
      </c>
      <c r="T183" s="7"/>
      <c r="U183" s="7"/>
      <c r="V183" s="7"/>
      <c r="W183" s="7"/>
      <c r="X183" s="7"/>
      <c r="Y183" s="7" t="n">
        <v>588</v>
      </c>
      <c r="Z183" s="7" t="n">
        <v>616</v>
      </c>
      <c r="AA183" s="7" t="n">
        <v>298</v>
      </c>
      <c r="AB183" s="7" t="n">
        <v>252</v>
      </c>
      <c r="AC183" s="7" t="n">
        <f aca="false">SUM(F183:I183)</f>
        <v>223</v>
      </c>
      <c r="AD183" s="7" t="n">
        <f aca="false">SUM(J183:M183)</f>
        <v>242</v>
      </c>
      <c r="AE183" s="7" t="n">
        <f aca="false">SUM(N183:Q183)</f>
        <v>336</v>
      </c>
      <c r="AF183" s="7" t="n">
        <v>10000</v>
      </c>
      <c r="AG183" s="7" t="n">
        <f aca="false">+AF183*1.2</f>
        <v>12000</v>
      </c>
      <c r="AH183" s="7" t="n">
        <f aca="false">+AH$61*0.05</f>
        <v>4194.68546767673</v>
      </c>
      <c r="AI183" s="7" t="n">
        <f aca="false">+AI$61*0.05</f>
        <v>5033.62256121207</v>
      </c>
      <c r="AJ183" s="7" t="n">
        <f aca="false">+AJ$61*0.05</f>
        <v>6040.34707345449</v>
      </c>
      <c r="AK183" s="7"/>
      <c r="AL183" s="44"/>
      <c r="AM183" s="32"/>
      <c r="AN183" s="32"/>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c r="BV183" s="7"/>
      <c r="BW183" s="7"/>
      <c r="BX183" s="7"/>
      <c r="BY183" s="7"/>
      <c r="BZ183" s="7"/>
      <c r="CA183" s="7"/>
      <c r="CB183" s="7"/>
      <c r="CC183" s="7"/>
      <c r="CD183" s="7"/>
      <c r="CE183" s="7"/>
      <c r="CF183" s="7"/>
      <c r="CG183" s="7"/>
      <c r="CH183" s="7"/>
      <c r="CI183" s="7"/>
      <c r="CJ183" s="7"/>
      <c r="CK183" s="7"/>
      <c r="CL183" s="7"/>
      <c r="CM183" s="7"/>
      <c r="CN183" s="7"/>
      <c r="CO183" s="7"/>
      <c r="CP183" s="7"/>
      <c r="CQ183" s="7"/>
      <c r="CR183" s="7"/>
      <c r="CS183" s="7"/>
      <c r="CT183" s="7"/>
      <c r="CU183" s="7"/>
      <c r="CV183" s="7"/>
      <c r="CW183" s="7"/>
      <c r="CX183" s="7"/>
      <c r="CY183" s="7"/>
      <c r="CZ183" s="7"/>
      <c r="DA183" s="7"/>
      <c r="DB183" s="7"/>
      <c r="DC183" s="7"/>
      <c r="DD183" s="7"/>
      <c r="DE183" s="7"/>
      <c r="DF183" s="7"/>
      <c r="DG183" s="7"/>
      <c r="DH183" s="7"/>
      <c r="DI183" s="7"/>
      <c r="DJ183" s="7"/>
      <c r="DK183" s="7"/>
      <c r="DL183" s="7"/>
      <c r="DM183" s="7"/>
      <c r="DN183" s="7"/>
      <c r="DO183" s="7"/>
      <c r="DP183" s="7"/>
      <c r="DQ183" s="7"/>
      <c r="DR183" s="7"/>
      <c r="DS183" s="7"/>
      <c r="DT183" s="7"/>
      <c r="DU183" s="7"/>
      <c r="DV183" s="7"/>
      <c r="DW183" s="7"/>
      <c r="DX183" s="7"/>
      <c r="DY183" s="7"/>
      <c r="DZ183" s="7"/>
      <c r="EA183" s="7"/>
      <c r="EB183" s="7"/>
      <c r="EC183" s="7"/>
      <c r="ED183" s="7"/>
      <c r="EE183" s="7"/>
      <c r="EF183" s="7"/>
      <c r="EG183" s="7"/>
      <c r="EH183" s="7"/>
      <c r="EI183" s="7"/>
      <c r="EJ183" s="7"/>
      <c r="EK183" s="7"/>
      <c r="EL183" s="7"/>
      <c r="EM183" s="7"/>
      <c r="EN183" s="7"/>
      <c r="EO183" s="7"/>
      <c r="EP183" s="7"/>
    </row>
    <row r="184" s="1" customFormat="true" ht="10.5" hidden="false" customHeight="true" outlineLevel="0" collapsed="false">
      <c r="A184" s="126" t="s">
        <v>264</v>
      </c>
      <c r="B184" s="29" t="n">
        <f aca="false">+B183/B$61</f>
        <v>0.00904581266413773</v>
      </c>
      <c r="C184" s="29" t="n">
        <f aca="false">+C183/C$61</f>
        <v>0.00706057227796358</v>
      </c>
      <c r="D184" s="29" t="n">
        <f aca="false">+D183/D$61</f>
        <v>0.0088697111350833</v>
      </c>
      <c r="E184" s="29" t="n">
        <f aca="false">+E183/E$61</f>
        <v>0.00685488555826653</v>
      </c>
      <c r="F184" s="29" t="n">
        <f aca="false">+F183/F$61</f>
        <v>0.00645969142289132</v>
      </c>
      <c r="G184" s="29" t="n">
        <f aca="false">+G183/G$61</f>
        <v>0.00541681602832441</v>
      </c>
      <c r="H184" s="29" t="n">
        <f aca="false">+H183/H$61</f>
        <v>0.00656451396262073</v>
      </c>
      <c r="I184" s="29" t="n">
        <f aca="false">+I183/I$61</f>
        <v>0.00553520229522335</v>
      </c>
      <c r="J184" s="29" t="n">
        <f aca="false">+J183/J$61</f>
        <v>0.00562610668976659</v>
      </c>
      <c r="K184" s="29" t="n">
        <f aca="false">+K183/K$61</f>
        <v>0.00925205061095244</v>
      </c>
      <c r="L184" s="29" t="n">
        <f aca="false">+L183/L$61</f>
        <v>0.00375387247605106</v>
      </c>
      <c r="M184" s="29" t="n">
        <f aca="false">+M183/M$61</f>
        <v>0.00367909654603643</v>
      </c>
      <c r="N184" s="29" t="n">
        <f aca="false">+N183/N$61</f>
        <v>0.00641618772924794</v>
      </c>
      <c r="O184" s="29" t="n">
        <f aca="false">+O183/O$61</f>
        <v>0.0070347757713677</v>
      </c>
      <c r="P184" s="29" t="n">
        <f aca="false">+P183/P$61</f>
        <v>0.00727678346325763</v>
      </c>
      <c r="Q184" s="29" t="n">
        <f aca="false">+Q183/Q$61</f>
        <v>0.00522065989141027</v>
      </c>
      <c r="R184" s="29" t="n">
        <f aca="false">+R183/R$61</f>
        <v>0.00492312353253049</v>
      </c>
      <c r="S184" s="29" t="n">
        <f aca="false">+S183/S$61</f>
        <v>0.00493270382636883</v>
      </c>
      <c r="T184" s="32"/>
      <c r="U184" s="32"/>
      <c r="V184" s="32"/>
      <c r="W184" s="32"/>
      <c r="X184" s="32"/>
      <c r="Y184" s="29" t="n">
        <f aca="false">+Y183/Y$61</f>
        <v>0.0415635823849579</v>
      </c>
      <c r="Z184" s="29" t="n">
        <f aca="false">+Z183/Z$61</f>
        <v>0.0552986864858785</v>
      </c>
      <c r="AA184" s="29" t="n">
        <f aca="false">+AA183/AA$61</f>
        <v>0.0170701322217847</v>
      </c>
      <c r="AB184" s="29" t="n">
        <f aca="false">+AB183/AB$61</f>
        <v>0.00790449865811973</v>
      </c>
      <c r="AC184" s="29" t="n">
        <f aca="false">+AC183/AC$61</f>
        <v>0.00598155296966586</v>
      </c>
      <c r="AD184" s="29" t="n">
        <f aca="false">+AD183/AD$61</f>
        <v>0.0055027048511722</v>
      </c>
      <c r="AE184" s="29" t="n">
        <f aca="false">+AE183/AE$61</f>
        <v>0.00645937346406258</v>
      </c>
      <c r="AF184" s="29" t="n">
        <f aca="false">+AF183/AF$61</f>
        <v>0.171645765945541</v>
      </c>
      <c r="AG184" s="29" t="n">
        <f aca="false">+AG183/AG$61</f>
        <v>0.171645765945541</v>
      </c>
      <c r="AH184" s="29" t="n">
        <f aca="false">+AH183/AH$61</f>
        <v>0.05</v>
      </c>
      <c r="AI184" s="29" t="n">
        <f aca="false">+AI183/AI$61</f>
        <v>0.05</v>
      </c>
      <c r="AJ184" s="29" t="n">
        <f aca="false">+AJ183/AJ$61</f>
        <v>0.05</v>
      </c>
      <c r="AK184" s="32"/>
      <c r="AL184" s="32"/>
      <c r="AM184" s="3"/>
      <c r="AO184" s="32"/>
      <c r="AP184" s="32"/>
      <c r="AQ184" s="32"/>
      <c r="AR184" s="32"/>
      <c r="AS184" s="32"/>
      <c r="AT184" s="32"/>
      <c r="AU184" s="32"/>
      <c r="AV184" s="32"/>
      <c r="AW184" s="32"/>
      <c r="AX184" s="32"/>
      <c r="AY184" s="32"/>
      <c r="AZ184" s="32"/>
      <c r="BA184" s="32"/>
      <c r="BB184" s="32"/>
      <c r="BC184" s="32"/>
      <c r="BD184" s="32"/>
      <c r="BE184" s="32"/>
      <c r="BF184" s="32"/>
      <c r="BG184" s="32"/>
      <c r="BH184" s="32"/>
      <c r="BI184" s="32"/>
      <c r="BJ184" s="32"/>
      <c r="BK184" s="32"/>
      <c r="BL184" s="32"/>
      <c r="BM184" s="32"/>
      <c r="BN184" s="32"/>
      <c r="BO184" s="32"/>
      <c r="BP184" s="32"/>
      <c r="BQ184" s="32"/>
      <c r="BR184" s="32"/>
      <c r="BS184" s="32"/>
      <c r="BT184" s="32"/>
      <c r="BU184" s="32"/>
      <c r="BV184" s="32"/>
      <c r="BW184" s="32"/>
      <c r="BX184" s="32"/>
      <c r="BY184" s="32"/>
      <c r="BZ184" s="32"/>
      <c r="CA184" s="32"/>
      <c r="CB184" s="32"/>
      <c r="CC184" s="32"/>
      <c r="CD184" s="32"/>
      <c r="CE184" s="32"/>
      <c r="CF184" s="32"/>
      <c r="CG184" s="32"/>
      <c r="CH184" s="32"/>
      <c r="CI184" s="32"/>
      <c r="CJ184" s="32"/>
      <c r="CK184" s="32"/>
      <c r="CL184" s="32"/>
      <c r="CM184" s="32"/>
      <c r="CN184" s="32"/>
      <c r="CO184" s="32"/>
      <c r="CP184" s="32"/>
      <c r="CQ184" s="32"/>
      <c r="CR184" s="32"/>
      <c r="CS184" s="32"/>
      <c r="CT184" s="32"/>
      <c r="CU184" s="32"/>
      <c r="CV184" s="32"/>
      <c r="CW184" s="32"/>
      <c r="CX184" s="32"/>
      <c r="CY184" s="32"/>
      <c r="CZ184" s="32"/>
      <c r="DA184" s="32"/>
      <c r="DB184" s="32"/>
      <c r="DC184" s="32"/>
      <c r="DD184" s="32"/>
      <c r="DE184" s="32"/>
      <c r="DF184" s="32"/>
      <c r="DG184" s="32"/>
      <c r="DH184" s="32"/>
      <c r="DI184" s="32"/>
      <c r="DJ184" s="32"/>
      <c r="DK184" s="32"/>
      <c r="DL184" s="32"/>
      <c r="DM184" s="32"/>
      <c r="DN184" s="32"/>
      <c r="DO184" s="32"/>
      <c r="DP184" s="32"/>
      <c r="DQ184" s="32"/>
      <c r="DR184" s="32"/>
      <c r="DS184" s="32"/>
      <c r="DT184" s="32"/>
      <c r="DU184" s="32"/>
      <c r="DV184" s="32"/>
      <c r="DW184" s="32"/>
      <c r="DX184" s="32"/>
      <c r="DY184" s="32"/>
      <c r="DZ184" s="32"/>
      <c r="EA184" s="32"/>
      <c r="EB184" s="32"/>
      <c r="EC184" s="32"/>
      <c r="ED184" s="32"/>
      <c r="EE184" s="32"/>
      <c r="EF184" s="32"/>
      <c r="EG184" s="32"/>
      <c r="EH184" s="32"/>
      <c r="EI184" s="32"/>
      <c r="EJ184" s="32"/>
      <c r="EK184" s="32"/>
      <c r="EL184" s="32"/>
      <c r="EM184" s="32"/>
      <c r="EN184" s="32"/>
      <c r="EO184" s="32"/>
      <c r="EP184" s="32"/>
      <c r="EQ184" s="32"/>
    </row>
    <row r="185" customFormat="false" ht="12.8" hidden="false" customHeight="true" outlineLevel="0" collapsed="false">
      <c r="A185" s="59" t="s">
        <v>374</v>
      </c>
      <c r="B185" s="59" t="n">
        <f aca="false">B181-B183</f>
        <v>-46.9629413481179</v>
      </c>
      <c r="C185" s="59" t="n">
        <f aca="false">C181-C183</f>
        <v>382.030100334448</v>
      </c>
      <c r="D185" s="59" t="n">
        <f aca="false">D181-D183</f>
        <v>358.027208438212</v>
      </c>
      <c r="E185" s="59" t="n">
        <f aca="false">E181-E183</f>
        <v>-302.97409085628</v>
      </c>
      <c r="F185" s="59" t="n">
        <f aca="false">F181-F183</f>
        <v>549.023458879378</v>
      </c>
      <c r="G185" s="59" t="n">
        <f aca="false">G181-G183</f>
        <v>1140.02253395468</v>
      </c>
      <c r="H185" s="59" t="n">
        <f aca="false">H181-H183</f>
        <v>886.022061071514</v>
      </c>
      <c r="I185" s="59" t="n">
        <f aca="false">I181-I183</f>
        <v>768.020429928472</v>
      </c>
      <c r="J185" s="59" t="n">
        <f aca="false">J181-J183</f>
        <v>1359.01914850347</v>
      </c>
      <c r="K185" s="59" t="n">
        <f aca="false">K181-K183</f>
        <v>1721.01691536526</v>
      </c>
      <c r="L185" s="59" t="n">
        <f aca="false">L181-L183</f>
        <v>2109.01662429239</v>
      </c>
      <c r="M185" s="59" t="n">
        <f aca="false">M181-M183</f>
        <v>1706.01471638618</v>
      </c>
      <c r="N185" s="59" t="n">
        <f aca="false">N181-N183</f>
        <v>2250.01543353265</v>
      </c>
      <c r="O185" s="59" t="n">
        <f aca="false">O181-O183</f>
        <v>2475.01430667882</v>
      </c>
      <c r="P185" s="59" t="n">
        <f aca="false">P181-P183</f>
        <v>2230.01447931403</v>
      </c>
      <c r="Q185" s="59" t="n">
        <f aca="false">Q181-Q183</f>
        <v>2772.01343449812</v>
      </c>
      <c r="R185" s="59" t="n">
        <f aca="false">R181-R183</f>
        <v>2286.01446640915</v>
      </c>
      <c r="S185" s="59" t="n">
        <f aca="false">S181-S183</f>
        <v>2792.01374110352</v>
      </c>
      <c r="T185" s="7"/>
      <c r="U185" s="7"/>
      <c r="V185" s="7"/>
      <c r="W185" s="7"/>
      <c r="X185" s="7"/>
      <c r="Y185" s="59" t="n">
        <f aca="false">Y181-Y183</f>
        <v>-4908.96663603591</v>
      </c>
      <c r="Z185" s="59" t="n">
        <f aca="false">Z181-Z183</f>
        <v>-3360.94838190791</v>
      </c>
      <c r="AA185" s="59" t="n">
        <f aca="false">AA181-AA183</f>
        <v>-742.948331344752</v>
      </c>
      <c r="AB185" s="59" t="n">
        <f aca="false">AB181-AB183</f>
        <v>390.029704604084</v>
      </c>
      <c r="AC185" s="59" t="n">
        <f aca="false">AC181-AC183</f>
        <v>3343.02207541746</v>
      </c>
      <c r="AD185" s="59" t="n">
        <f aca="false">AD181-AD183</f>
        <v>6895.0167582375</v>
      </c>
      <c r="AE185" s="59" t="n">
        <f aca="false">AE181-AE183</f>
        <v>9727.01436057136</v>
      </c>
      <c r="AF185" s="59"/>
      <c r="AG185" s="7"/>
      <c r="AH185" s="7"/>
      <c r="AI185" s="7"/>
      <c r="AJ185" s="7"/>
      <c r="AK185" s="44"/>
      <c r="AL185" s="124"/>
      <c r="AM185" s="29"/>
      <c r="AN185" s="29"/>
      <c r="AO185" s="44"/>
      <c r="AP185" s="44"/>
      <c r="AQ185" s="44"/>
      <c r="AR185" s="44"/>
      <c r="AS185" s="44"/>
      <c r="AT185" s="44"/>
      <c r="AU185" s="44"/>
      <c r="AV185" s="44"/>
      <c r="AW185" s="44"/>
      <c r="AX185" s="44"/>
      <c r="AY185" s="44"/>
      <c r="AZ185" s="44"/>
      <c r="BA185" s="44"/>
      <c r="BB185" s="44"/>
      <c r="BC185" s="44"/>
      <c r="BD185" s="44"/>
      <c r="BE185" s="44"/>
      <c r="BF185" s="44"/>
      <c r="BG185" s="44"/>
      <c r="BH185" s="44"/>
      <c r="BI185" s="44"/>
      <c r="BJ185" s="44"/>
      <c r="BK185" s="44"/>
      <c r="BL185" s="44"/>
      <c r="BM185" s="44"/>
      <c r="BN185" s="44"/>
      <c r="BO185" s="44"/>
      <c r="BP185" s="44"/>
      <c r="BQ185" s="44"/>
      <c r="BR185" s="44"/>
      <c r="BS185" s="44"/>
      <c r="BT185" s="44"/>
      <c r="BU185" s="44"/>
      <c r="BV185" s="44"/>
      <c r="BW185" s="44"/>
      <c r="BX185" s="44"/>
      <c r="BY185" s="44"/>
      <c r="BZ185" s="44"/>
      <c r="CA185" s="44"/>
      <c r="CB185" s="44"/>
      <c r="CC185" s="44"/>
      <c r="CD185" s="44"/>
      <c r="CE185" s="44"/>
      <c r="CF185" s="44"/>
      <c r="CG185" s="44"/>
      <c r="CH185" s="44"/>
      <c r="CI185" s="44"/>
      <c r="CJ185" s="44"/>
      <c r="CK185" s="44"/>
      <c r="CL185" s="44"/>
      <c r="CM185" s="44"/>
      <c r="CN185" s="44"/>
      <c r="CO185" s="44"/>
      <c r="CP185" s="44"/>
      <c r="CQ185" s="44"/>
      <c r="CR185" s="44"/>
      <c r="CS185" s="44"/>
      <c r="CT185" s="44"/>
      <c r="CU185" s="44"/>
      <c r="CV185" s="44"/>
      <c r="CW185" s="44"/>
      <c r="CX185" s="44"/>
      <c r="CY185" s="44"/>
      <c r="CZ185" s="44"/>
      <c r="DA185" s="44"/>
      <c r="DB185" s="44"/>
      <c r="DC185" s="44"/>
      <c r="DD185" s="44"/>
      <c r="DE185" s="44"/>
      <c r="DF185" s="44"/>
      <c r="DG185" s="44"/>
      <c r="DH185" s="44"/>
      <c r="DI185" s="44"/>
      <c r="DJ185" s="44"/>
      <c r="DK185" s="44"/>
      <c r="DL185" s="44"/>
      <c r="DM185" s="44"/>
      <c r="DN185" s="44"/>
      <c r="DO185" s="44"/>
      <c r="DP185" s="44"/>
      <c r="DQ185" s="44"/>
      <c r="DR185" s="44"/>
      <c r="DS185" s="44"/>
      <c r="DT185" s="44"/>
      <c r="DU185" s="44"/>
      <c r="DV185" s="44"/>
      <c r="DW185" s="44"/>
      <c r="DX185" s="44"/>
      <c r="DY185" s="44"/>
      <c r="DZ185" s="44"/>
      <c r="EA185" s="44"/>
      <c r="EB185" s="44"/>
      <c r="EC185" s="44"/>
      <c r="ED185" s="44"/>
      <c r="EE185" s="44"/>
      <c r="EF185" s="44"/>
      <c r="EG185" s="44"/>
      <c r="EH185" s="44"/>
      <c r="EI185" s="44"/>
      <c r="EJ185" s="44"/>
      <c r="EK185" s="44"/>
      <c r="EL185" s="44"/>
      <c r="EM185" s="44"/>
      <c r="EN185" s="44"/>
      <c r="EO185" s="44"/>
      <c r="EP185" s="44"/>
    </row>
    <row r="186" customFormat="false" ht="10.5" hidden="false" customHeight="true" outlineLevel="0" collapsed="false">
      <c r="A186" s="53" t="s">
        <v>264</v>
      </c>
      <c r="B186" s="29"/>
      <c r="C186" s="29"/>
      <c r="D186" s="29"/>
      <c r="E186" s="29"/>
      <c r="F186" s="53" t="s">
        <v>285</v>
      </c>
      <c r="G186" s="29" t="n">
        <f aca="false">G185/C185-1</f>
        <v>1.98411704459058</v>
      </c>
      <c r="H186" s="29" t="n">
        <f aca="false">H185/D185-1</f>
        <v>1.47473387549657</v>
      </c>
      <c r="I186" s="53" t="s">
        <v>285</v>
      </c>
      <c r="J186" s="29" t="n">
        <f aca="false">J185/F185-1</f>
        <v>1.47533894321636</v>
      </c>
      <c r="K186" s="29" t="n">
        <f aca="false">K185/G185-1</f>
        <v>0.509634120472287</v>
      </c>
      <c r="L186" s="29" t="n">
        <f aca="false">L185/H185-1</f>
        <v>1.38032066802247</v>
      </c>
      <c r="M186" s="29" t="n">
        <f aca="false">M185/I185-1</f>
        <v>1.22131423840518</v>
      </c>
      <c r="N186" s="29" t="n">
        <f aca="false">N185/J185-1</f>
        <v>0.65561716772742</v>
      </c>
      <c r="O186" s="29" t="n">
        <f aca="false">O185/K185-1</f>
        <v>0.438111551712165</v>
      </c>
      <c r="P186" s="29" t="n">
        <f aca="false">P185/L185-1</f>
        <v>0.0573716933417898</v>
      </c>
      <c r="Q186" s="29" t="n">
        <f aca="false">Q185/M185-1</f>
        <v>0.624847316891861</v>
      </c>
      <c r="R186" s="29" t="n">
        <f aca="false">R185/N185-1</f>
        <v>0.0159994604214706</v>
      </c>
      <c r="S186" s="29" t="n">
        <f aca="false">S185/O185-1</f>
        <v>0.12807983920306</v>
      </c>
      <c r="T186" s="29"/>
      <c r="U186" s="29"/>
      <c r="V186" s="29"/>
      <c r="W186" s="29"/>
      <c r="X186" s="29"/>
      <c r="Y186" s="29"/>
      <c r="Z186" s="29" t="n">
        <f aca="false">+Y185/Z185-1</f>
        <v>0.460589714040547</v>
      </c>
      <c r="AA186" s="29" t="n">
        <f aca="false">+Z185/AA185-1</f>
        <v>3.52379827790248</v>
      </c>
      <c r="AB186" s="53" t="s">
        <v>285</v>
      </c>
      <c r="AC186" s="29" t="n">
        <f aca="false">AC185/AB185-1</f>
        <v>7.57119864450051</v>
      </c>
      <c r="AD186" s="29" t="n">
        <f aca="false">AD185/AC185-1</f>
        <v>1.06251008898183</v>
      </c>
      <c r="AE186" s="29" t="n">
        <f aca="false">AE185/AD185-1</f>
        <v>0.410731068775208</v>
      </c>
      <c r="AF186" s="29"/>
      <c r="AG186" s="29"/>
      <c r="AH186" s="29"/>
      <c r="AI186" s="29"/>
      <c r="AJ186" s="29"/>
      <c r="AK186" s="29"/>
      <c r="AL186" s="29"/>
      <c r="AM186" s="74"/>
      <c r="AN186" s="74"/>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row>
    <row r="187" customFormat="false" ht="12.8" hidden="false" customHeight="false" outlineLevel="0" collapsed="false">
      <c r="A187" s="125" t="s">
        <v>375</v>
      </c>
      <c r="B187" s="125" t="n">
        <f aca="false">B185/B97</f>
        <v>-0.0239884546692666</v>
      </c>
      <c r="C187" s="125" t="n">
        <f aca="false">C185/C97</f>
        <v>0.194034025571085</v>
      </c>
      <c r="D187" s="125" t="n">
        <f aca="false">D185/D97</f>
        <v>0.180913192742906</v>
      </c>
      <c r="E187" s="125" t="n">
        <f aca="false">E185/E97</f>
        <v>-0.14703376040973</v>
      </c>
      <c r="F187" s="125" t="n">
        <f aca="false">F185/F97</f>
        <v>0.273213963114893</v>
      </c>
      <c r="G187" s="125" t="n">
        <f aca="false">G185/G97</f>
        <v>0.548298640801596</v>
      </c>
      <c r="H187" s="125" t="n">
        <f aca="false">H185/H97</f>
        <v>0.420234329857481</v>
      </c>
      <c r="I187" s="125" t="n">
        <f aca="false">I185/I97</f>
        <v>0.361949399089717</v>
      </c>
      <c r="J187" s="125" t="n">
        <f aca="false">J185/J97</f>
        <v>0.653343179896866</v>
      </c>
      <c r="K187" s="125" t="n">
        <f aca="false">K185/K97</f>
        <v>0.800472983890818</v>
      </c>
      <c r="L187" s="125" t="n">
        <f aca="false">L185/L97</f>
        <v>0.978907301269178</v>
      </c>
      <c r="M187" s="125" t="n">
        <f aca="false">M185/M97</f>
        <v>0.796681944702617</v>
      </c>
      <c r="N187" s="125" t="n">
        <f aca="false">N185/N97</f>
        <v>1.06001901120816</v>
      </c>
      <c r="O187" s="125" t="n">
        <f aca="false">O185/O97</f>
        <v>1.18682953230978</v>
      </c>
      <c r="P187" s="125" t="n">
        <f aca="false">P185/P97</f>
        <v>1.04976438323873</v>
      </c>
      <c r="Q187" s="125" t="n">
        <f aca="false">Q185/Q97</f>
        <v>1.31624569539322</v>
      </c>
      <c r="R187" s="125" t="n">
        <f aca="false">R185/R97</f>
        <v>1.10361320794053</v>
      </c>
      <c r="S187" s="125" t="n">
        <f aca="false">S185/S97</f>
        <v>1.3618084557078</v>
      </c>
      <c r="T187" s="125"/>
      <c r="U187" s="125"/>
      <c r="V187" s="125"/>
      <c r="W187" s="125"/>
      <c r="X187" s="125"/>
      <c r="Y187" s="125" t="n">
        <f aca="false">Y185/Y97</f>
        <v>-3.93235457922231</v>
      </c>
      <c r="Z187" s="125" t="n">
        <f aca="false">Z185/Z97</f>
        <v>-1.91736458549142</v>
      </c>
      <c r="AA187" s="125" t="n">
        <f aca="false">AA185/AA97</f>
        <v>-0.391953749060803</v>
      </c>
      <c r="AB187" s="125" t="n">
        <f aca="false">AB185/AB97</f>
        <v>0.197493394401785</v>
      </c>
      <c r="AC187" s="125" t="n">
        <f aca="false">AC185/AC97</f>
        <v>1.59823209610243</v>
      </c>
      <c r="AD187" s="125" t="n">
        <f aca="false">AD185/AD97</f>
        <v>3.20623890176122</v>
      </c>
      <c r="AE187" s="125" t="n">
        <f aca="false">AE185/AE97</f>
        <v>4.61087831037956</v>
      </c>
      <c r="AF187" s="125"/>
      <c r="AG187" s="125"/>
      <c r="AH187" s="125"/>
      <c r="AI187" s="125"/>
      <c r="AJ187" s="125"/>
      <c r="AK187" s="120"/>
      <c r="AL187" s="120"/>
      <c r="AM187" s="47"/>
      <c r="AO187" s="120"/>
      <c r="AP187" s="120"/>
      <c r="AQ187" s="120"/>
      <c r="AR187" s="120"/>
      <c r="AS187" s="120"/>
      <c r="AT187" s="120"/>
      <c r="AU187" s="120"/>
      <c r="AV187" s="120"/>
      <c r="AW187" s="120"/>
      <c r="AX187" s="120"/>
      <c r="AY187" s="120"/>
      <c r="AZ187" s="120"/>
      <c r="BA187" s="120"/>
      <c r="BB187" s="120"/>
      <c r="BC187" s="120"/>
      <c r="BD187" s="120"/>
      <c r="BE187" s="120"/>
      <c r="BF187" s="120"/>
      <c r="BG187" s="120"/>
      <c r="BH187" s="120"/>
      <c r="BI187" s="120"/>
      <c r="BJ187" s="120"/>
      <c r="BK187" s="120"/>
      <c r="BL187" s="120"/>
      <c r="BM187" s="120"/>
      <c r="BN187" s="120"/>
      <c r="BO187" s="120"/>
      <c r="BP187" s="120"/>
      <c r="BQ187" s="120"/>
      <c r="BR187" s="120"/>
      <c r="BS187" s="120"/>
      <c r="BT187" s="120"/>
      <c r="BU187" s="120"/>
      <c r="BV187" s="120"/>
      <c r="BW187" s="120"/>
      <c r="BX187" s="120"/>
      <c r="BY187" s="120"/>
      <c r="BZ187" s="120"/>
      <c r="CA187" s="120"/>
      <c r="CB187" s="120"/>
      <c r="CC187" s="120"/>
      <c r="CD187" s="120"/>
      <c r="CE187" s="120"/>
      <c r="CF187" s="120"/>
      <c r="CG187" s="120"/>
      <c r="CH187" s="120"/>
      <c r="CI187" s="120"/>
      <c r="CJ187" s="120"/>
      <c r="CK187" s="120"/>
      <c r="CL187" s="120"/>
      <c r="CM187" s="120"/>
      <c r="CN187" s="120"/>
      <c r="CO187" s="120"/>
      <c r="CP187" s="120"/>
      <c r="CQ187" s="120"/>
      <c r="CR187" s="120"/>
      <c r="CS187" s="120"/>
      <c r="CT187" s="120"/>
      <c r="CU187" s="120"/>
      <c r="CV187" s="120"/>
      <c r="CW187" s="120"/>
      <c r="CX187" s="120"/>
      <c r="CY187" s="120"/>
      <c r="CZ187" s="120"/>
      <c r="DA187" s="120"/>
      <c r="DB187" s="120"/>
      <c r="DC187" s="120"/>
      <c r="DD187" s="120"/>
      <c r="DE187" s="120"/>
      <c r="DF187" s="120"/>
      <c r="DG187" s="120"/>
      <c r="DH187" s="120"/>
      <c r="DI187" s="120"/>
      <c r="DJ187" s="120"/>
      <c r="DK187" s="120"/>
      <c r="DL187" s="120"/>
      <c r="DM187" s="120"/>
      <c r="DN187" s="120"/>
      <c r="DO187" s="120"/>
      <c r="DP187" s="120"/>
      <c r="DQ187" s="120"/>
      <c r="DR187" s="120"/>
      <c r="DS187" s="120"/>
      <c r="DT187" s="120"/>
      <c r="DU187" s="120"/>
      <c r="DV187" s="120"/>
      <c r="DW187" s="120"/>
      <c r="DX187" s="120"/>
      <c r="DY187" s="120"/>
      <c r="DZ187" s="120"/>
      <c r="EA187" s="120"/>
      <c r="EB187" s="120"/>
      <c r="EC187" s="120"/>
      <c r="ED187" s="120"/>
      <c r="EE187" s="120"/>
      <c r="EF187" s="120"/>
      <c r="EG187" s="120"/>
      <c r="EH187" s="120"/>
      <c r="EI187" s="120"/>
      <c r="EJ187" s="120"/>
      <c r="EK187" s="120"/>
      <c r="EL187" s="120"/>
      <c r="EM187" s="120"/>
      <c r="EN187" s="120"/>
      <c r="EO187" s="120"/>
      <c r="EP187" s="120"/>
      <c r="EQ187" s="120"/>
    </row>
    <row r="188" customFormat="false" ht="12.8" hidden="false" customHeight="false" outlineLevel="0" collapsed="false">
      <c r="AL188" s="3"/>
      <c r="AM188" s="106"/>
      <c r="AN188" s="47"/>
    </row>
    <row r="189" customFormat="false" ht="12.8" hidden="false" customHeight="false" outlineLevel="0" collapsed="false">
      <c r="A189" s="73" t="s">
        <v>376</v>
      </c>
      <c r="B189" s="73" t="n">
        <v>30900</v>
      </c>
      <c r="C189" s="73" t="n">
        <v>32500</v>
      </c>
      <c r="D189" s="73" t="n">
        <v>32600</v>
      </c>
      <c r="E189" s="73" t="n">
        <v>32800</v>
      </c>
      <c r="F189" s="73" t="n">
        <v>32700</v>
      </c>
      <c r="G189" s="73" t="n">
        <v>32200</v>
      </c>
      <c r="H189" s="73" t="n">
        <v>32000</v>
      </c>
      <c r="I189" s="73" t="n">
        <v>30400</v>
      </c>
      <c r="J189" s="73" t="n">
        <v>30700</v>
      </c>
      <c r="K189" s="73" t="n">
        <v>30400</v>
      </c>
      <c r="L189" s="73" t="n">
        <v>30800</v>
      </c>
      <c r="M189" s="73" t="n">
        <v>31100</v>
      </c>
      <c r="N189" s="73" t="n">
        <v>31500</v>
      </c>
      <c r="O189" s="73" t="n">
        <v>32700</v>
      </c>
      <c r="P189" s="73" t="n">
        <v>33600</v>
      </c>
      <c r="Q189" s="73" t="n">
        <v>34000</v>
      </c>
      <c r="R189" s="73" t="n">
        <v>35000</v>
      </c>
      <c r="S189" s="73"/>
      <c r="T189" s="73"/>
      <c r="U189" s="73"/>
      <c r="V189" s="73"/>
      <c r="W189" s="73"/>
      <c r="X189" s="73"/>
      <c r="Y189" s="73" t="n">
        <v>26900</v>
      </c>
      <c r="Z189" s="73" t="n">
        <v>22800</v>
      </c>
      <c r="AA189" s="73" t="n">
        <v>29300</v>
      </c>
      <c r="AB189" s="73" t="n">
        <v>32800</v>
      </c>
      <c r="AC189" s="73" t="n">
        <v>30400</v>
      </c>
      <c r="AD189" s="73" t="n">
        <v>31300</v>
      </c>
      <c r="AE189" s="73" t="n">
        <v>33354</v>
      </c>
      <c r="AF189" s="73"/>
      <c r="AG189" s="73"/>
      <c r="AH189" s="73"/>
      <c r="AI189" s="73"/>
      <c r="AJ189" s="74"/>
      <c r="AK189" s="74"/>
      <c r="AL189" s="74"/>
      <c r="AN189" s="106"/>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74"/>
      <c r="BX189" s="74"/>
      <c r="BY189" s="74"/>
      <c r="BZ189" s="74"/>
      <c r="CA189" s="74"/>
      <c r="CB189" s="74"/>
      <c r="CC189" s="74"/>
      <c r="CD189" s="74"/>
      <c r="CE189" s="74"/>
      <c r="CF189" s="74"/>
      <c r="CG189" s="74"/>
      <c r="CH189" s="74"/>
      <c r="CI189" s="74"/>
      <c r="CJ189" s="74"/>
      <c r="CK189" s="74"/>
      <c r="CL189" s="74"/>
      <c r="CM189" s="74"/>
      <c r="CN189" s="74"/>
      <c r="CO189" s="74"/>
      <c r="CP189" s="74"/>
      <c r="CQ189" s="74"/>
      <c r="CR189" s="74"/>
      <c r="CS189" s="74"/>
      <c r="CT189" s="74"/>
      <c r="CU189" s="74"/>
      <c r="CV189" s="74"/>
      <c r="CW189" s="74"/>
      <c r="CX189" s="74"/>
      <c r="CY189" s="74"/>
      <c r="CZ189" s="74"/>
      <c r="DA189" s="74"/>
      <c r="DB189" s="74"/>
      <c r="DC189" s="74"/>
      <c r="DD189" s="74"/>
      <c r="DE189" s="74"/>
      <c r="DF189" s="74"/>
      <c r="DG189" s="74"/>
      <c r="DH189" s="74"/>
      <c r="DI189" s="74"/>
      <c r="DJ189" s="74"/>
      <c r="DK189" s="74"/>
      <c r="DL189" s="74"/>
      <c r="DM189" s="74"/>
      <c r="DN189" s="74"/>
      <c r="DO189" s="74"/>
      <c r="DP189" s="74"/>
      <c r="DQ189" s="74"/>
      <c r="DR189" s="74"/>
      <c r="DS189" s="74"/>
      <c r="DT189" s="74"/>
      <c r="DU189" s="74"/>
      <c r="DV189" s="74"/>
      <c r="DW189" s="74"/>
      <c r="DX189" s="74"/>
      <c r="DY189" s="74"/>
      <c r="DZ189" s="74"/>
      <c r="EA189" s="74"/>
      <c r="EB189" s="74"/>
      <c r="EC189" s="74"/>
      <c r="ED189" s="74"/>
      <c r="EE189" s="74"/>
      <c r="EF189" s="74"/>
      <c r="EG189" s="74"/>
      <c r="EH189" s="74"/>
      <c r="EI189" s="74"/>
      <c r="EJ189" s="74"/>
      <c r="EK189" s="74"/>
      <c r="EL189" s="74"/>
      <c r="EM189" s="74"/>
      <c r="EN189" s="74"/>
      <c r="EO189" s="74"/>
      <c r="EP189" s="74"/>
      <c r="EQ189" s="74"/>
    </row>
    <row r="190" customFormat="false" ht="12.8" hidden="false" customHeight="false" outlineLevel="0" collapsed="false">
      <c r="A190" s="127" t="s">
        <v>377</v>
      </c>
      <c r="B190" s="127" t="n">
        <f aca="false">+(B61*1000000)/B189</f>
        <v>221812.297734628</v>
      </c>
      <c r="C190" s="127" t="n">
        <f aca="false">+(C61*1000000)/C189</f>
        <v>248400</v>
      </c>
      <c r="D190" s="127" t="n">
        <f aca="false">+(D61*1000000)/D189</f>
        <v>255920.245398773</v>
      </c>
      <c r="E190" s="127" t="n">
        <f aca="false">+(E61*1000000)/E189</f>
        <v>262408.536585366</v>
      </c>
      <c r="F190" s="127" t="n">
        <f aca="false">+(F61*1000000)/F189</f>
        <v>269845.59353376</v>
      </c>
      <c r="G190" s="127" t="n">
        <f aca="false">+(G61*1000000)/G189</f>
        <v>286661.947338874</v>
      </c>
      <c r="H190" s="127" t="n">
        <f aca="false">+(H61*1000000)/H189</f>
        <v>290387.073720074</v>
      </c>
      <c r="I190" s="127" t="n">
        <f aca="false">+(I61*1000000)/I189</f>
        <v>326855.357730478</v>
      </c>
      <c r="J190" s="127" t="n">
        <f aca="false">+(J61*1000000)/J189</f>
        <v>330011.076364248</v>
      </c>
      <c r="K190" s="127" t="n">
        <f aca="false">+(K61*1000000)/K189</f>
        <v>351984.558267909</v>
      </c>
      <c r="L190" s="127" t="n">
        <f aca="false">+(L61*1000000)/L189</f>
        <v>363261.238184326</v>
      </c>
      <c r="M190" s="127" t="n">
        <f aca="false">+(M61*1000000)/M189</f>
        <v>384548.483325004</v>
      </c>
      <c r="N190" s="127" t="n">
        <f aca="false">+(N61*1000000)/N189</f>
        <v>366137.408744696</v>
      </c>
      <c r="O190" s="127" t="n">
        <f aca="false">+(O61*1000000)/O189</f>
        <v>386894.000133448</v>
      </c>
      <c r="P190" s="127" t="n">
        <f aca="false">+(P61*1000000)/P189</f>
        <v>400818.119900595</v>
      </c>
      <c r="Q190" s="127" t="n">
        <f aca="false">+(Q61*1000000)/Q189</f>
        <v>422529.411764706</v>
      </c>
      <c r="R190" s="127" t="n">
        <f aca="false">+(R61*1000000)/R189</f>
        <v>377228.571428572</v>
      </c>
      <c r="S190" s="127" t="e">
        <f aca="false">+(S61*1000000)/S189</f>
        <v>#DIV/0!</v>
      </c>
      <c r="T190" s="127"/>
      <c r="U190" s="127"/>
      <c r="V190" s="127"/>
      <c r="W190" s="127"/>
      <c r="X190" s="127"/>
      <c r="Y190" s="127" t="n">
        <f aca="false">+(Y61*1000000)/Y189</f>
        <v>525910.780669145</v>
      </c>
      <c r="Z190" s="127" t="n">
        <f aca="false">+(Z61*1000000)/Z189</f>
        <v>488574.784982435</v>
      </c>
      <c r="AA190" s="127" t="n">
        <f aca="false">+(AA61*1000000)/AA189</f>
        <v>595815.447239719</v>
      </c>
      <c r="AB190" s="127" t="n">
        <f aca="false">+(AB61*1000000)/AB189</f>
        <v>971968.895380375</v>
      </c>
      <c r="AC190" s="127" t="n">
        <f aca="false">+(AC61*1000000)/AC189</f>
        <v>1226358.16367254</v>
      </c>
      <c r="AD190" s="127" t="n">
        <f aca="false">+(AD61*1000000)/AD189</f>
        <v>1405059.80278485</v>
      </c>
      <c r="AE190" s="127" t="n">
        <f aca="false">+(AE61*1000000)/AE189</f>
        <v>1559555.94275475</v>
      </c>
      <c r="AF190" s="127"/>
      <c r="AG190" s="127"/>
      <c r="AH190" s="127"/>
      <c r="AI190" s="127"/>
      <c r="AJ190" s="127"/>
      <c r="AK190" s="127"/>
      <c r="AL190" s="127"/>
      <c r="AM190" s="7"/>
      <c r="AO190" s="127"/>
      <c r="AP190" s="127"/>
      <c r="AQ190" s="127"/>
      <c r="AR190" s="127"/>
      <c r="AS190" s="127"/>
      <c r="AT190" s="127"/>
      <c r="AU190" s="127"/>
      <c r="AV190" s="127"/>
      <c r="AW190" s="127"/>
      <c r="AX190" s="127"/>
      <c r="AY190" s="127"/>
      <c r="AZ190" s="127"/>
      <c r="BA190" s="127"/>
      <c r="BB190" s="127"/>
      <c r="BC190" s="127"/>
      <c r="BD190" s="127"/>
      <c r="BE190" s="127"/>
      <c r="BF190" s="127"/>
      <c r="BG190" s="127"/>
      <c r="BH190" s="127"/>
      <c r="BI190" s="127"/>
      <c r="BJ190" s="127"/>
      <c r="BK190" s="127"/>
      <c r="BL190" s="127"/>
      <c r="BM190" s="127"/>
      <c r="BN190" s="127"/>
      <c r="BO190" s="127"/>
      <c r="BP190" s="127"/>
      <c r="BQ190" s="127"/>
      <c r="BR190" s="127"/>
      <c r="BS190" s="127"/>
      <c r="BT190" s="127"/>
      <c r="BU190" s="127"/>
      <c r="BV190" s="127"/>
      <c r="BW190" s="127"/>
      <c r="BX190" s="127"/>
      <c r="BY190" s="127"/>
      <c r="BZ190" s="127"/>
      <c r="CA190" s="127"/>
      <c r="CB190" s="127"/>
      <c r="CC190" s="127"/>
      <c r="CD190" s="127"/>
      <c r="CE190" s="127"/>
      <c r="CF190" s="127"/>
      <c r="CG190" s="127"/>
      <c r="CH190" s="127"/>
      <c r="CI190" s="127"/>
      <c r="CJ190" s="127"/>
      <c r="CK190" s="127"/>
      <c r="CL190" s="127"/>
      <c r="CM190" s="127"/>
      <c r="CN190" s="127"/>
      <c r="CO190" s="127"/>
      <c r="CP190" s="127"/>
      <c r="CQ190" s="127"/>
      <c r="CR190" s="127"/>
      <c r="CS190" s="127"/>
      <c r="CT190" s="127"/>
      <c r="CU190" s="127"/>
      <c r="CV190" s="127"/>
      <c r="CW190" s="127"/>
      <c r="CX190" s="127"/>
      <c r="CY190" s="127"/>
      <c r="CZ190" s="127"/>
      <c r="DA190" s="127"/>
      <c r="DB190" s="127"/>
      <c r="DC190" s="127"/>
      <c r="DD190" s="127"/>
      <c r="DE190" s="127"/>
      <c r="DF190" s="127"/>
      <c r="DG190" s="127"/>
      <c r="DH190" s="127"/>
      <c r="DI190" s="127"/>
      <c r="DJ190" s="127"/>
      <c r="DK190" s="127"/>
      <c r="DL190" s="127"/>
      <c r="DM190" s="127"/>
      <c r="DN190" s="127"/>
      <c r="DO190" s="127"/>
      <c r="DP190" s="127"/>
      <c r="DQ190" s="127"/>
      <c r="DR190" s="127"/>
      <c r="DS190" s="127"/>
      <c r="DT190" s="127"/>
      <c r="DU190" s="127"/>
      <c r="DV190" s="127"/>
      <c r="DW190" s="127"/>
      <c r="DX190" s="127"/>
      <c r="DY190" s="127"/>
      <c r="DZ190" s="127"/>
      <c r="EA190" s="127"/>
      <c r="EB190" s="127"/>
      <c r="EC190" s="127"/>
      <c r="ED190" s="127"/>
      <c r="EE190" s="127"/>
      <c r="EF190" s="127"/>
      <c r="EG190" s="127"/>
      <c r="EH190" s="127"/>
      <c r="EI190" s="127"/>
      <c r="EJ190" s="127"/>
      <c r="EK190" s="127"/>
      <c r="EL190" s="127"/>
      <c r="EM190" s="127"/>
      <c r="EN190" s="127"/>
      <c r="EO190" s="127"/>
      <c r="EP190" s="127"/>
      <c r="EQ190" s="127"/>
    </row>
    <row r="191" customFormat="false" ht="12.8" hidden="false" customHeight="false" outlineLevel="0" collapsed="false">
      <c r="AL191" s="47"/>
      <c r="AM191" s="7"/>
      <c r="AN191" s="7"/>
    </row>
    <row r="192" customFormat="false" ht="12.8" hidden="false" customHeight="false" outlineLevel="0" collapsed="false">
      <c r="A192" s="47" t="s">
        <v>378</v>
      </c>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c r="AD192" s="47" t="n">
        <f aca="false">+AE192/1.5</f>
        <v>1333.33333333333</v>
      </c>
      <c r="AE192" s="47" t="n">
        <v>2000</v>
      </c>
      <c r="AF192" s="47"/>
      <c r="AG192" s="47"/>
      <c r="AH192" s="47"/>
      <c r="AI192" s="47"/>
      <c r="AJ192" s="47"/>
      <c r="AK192" s="47"/>
      <c r="AL192" s="106"/>
      <c r="AM192" s="29"/>
      <c r="AN192" s="29"/>
      <c r="AO192" s="47"/>
      <c r="AP192" s="47"/>
      <c r="AQ192" s="47"/>
      <c r="AR192" s="47"/>
      <c r="AS192" s="47"/>
      <c r="AT192" s="47"/>
      <c r="AU192" s="47"/>
      <c r="AV192" s="47"/>
      <c r="AW192" s="47"/>
      <c r="AX192" s="47"/>
      <c r="AY192" s="47"/>
      <c r="AZ192" s="47"/>
      <c r="BA192" s="47"/>
      <c r="BB192" s="47"/>
      <c r="BC192" s="47"/>
      <c r="BD192" s="47"/>
      <c r="BE192" s="47"/>
      <c r="BF192" s="47"/>
      <c r="BG192" s="47"/>
      <c r="BH192" s="47"/>
      <c r="BI192" s="47"/>
      <c r="BJ192" s="47"/>
      <c r="BK192" s="47"/>
      <c r="BL192" s="47"/>
      <c r="BM192" s="47"/>
      <c r="BN192" s="47"/>
      <c r="BO192" s="47"/>
      <c r="BP192" s="47"/>
      <c r="BQ192" s="47"/>
      <c r="BR192" s="47"/>
      <c r="BS192" s="47"/>
      <c r="BT192" s="47"/>
      <c r="BU192" s="47"/>
      <c r="BV192" s="47"/>
      <c r="BW192" s="47"/>
      <c r="BX192" s="47"/>
      <c r="BY192" s="47"/>
      <c r="BZ192" s="47"/>
      <c r="CA192" s="47"/>
      <c r="CB192" s="47"/>
      <c r="CC192" s="47"/>
      <c r="CD192" s="47"/>
      <c r="CE192" s="47"/>
      <c r="CF192" s="47"/>
      <c r="CG192" s="47"/>
      <c r="CH192" s="47"/>
      <c r="CI192" s="47"/>
      <c r="CJ192" s="47"/>
      <c r="CK192" s="47"/>
      <c r="CL192" s="47"/>
      <c r="CM192" s="47"/>
      <c r="CN192" s="47"/>
      <c r="CO192" s="47"/>
      <c r="CP192" s="47"/>
      <c r="CQ192" s="47"/>
      <c r="CR192" s="47"/>
      <c r="CS192" s="47"/>
      <c r="CT192" s="47"/>
      <c r="CU192" s="47"/>
      <c r="CV192" s="47"/>
      <c r="CW192" s="47"/>
      <c r="CX192" s="47"/>
      <c r="CY192" s="47"/>
      <c r="CZ192" s="47"/>
      <c r="DA192" s="47"/>
      <c r="DB192" s="47"/>
      <c r="DC192" s="47"/>
      <c r="DD192" s="47"/>
      <c r="DE192" s="47"/>
      <c r="DF192" s="47"/>
      <c r="DG192" s="47"/>
      <c r="DH192" s="47"/>
      <c r="DI192" s="47"/>
      <c r="DJ192" s="47"/>
      <c r="DK192" s="47"/>
      <c r="DL192" s="47"/>
      <c r="DM192" s="47"/>
      <c r="DN192" s="47"/>
      <c r="DO192" s="47"/>
      <c r="DP192" s="47"/>
      <c r="DQ192" s="47"/>
      <c r="DR192" s="47"/>
      <c r="DS192" s="47"/>
      <c r="DT192" s="47"/>
      <c r="DU192" s="47"/>
      <c r="DV192" s="47"/>
      <c r="DW192" s="47"/>
      <c r="DX192" s="47"/>
      <c r="DY192" s="47"/>
      <c r="DZ192" s="47"/>
      <c r="EA192" s="47"/>
      <c r="EB192" s="47"/>
      <c r="EC192" s="47"/>
      <c r="ED192" s="47"/>
      <c r="EE192" s="47"/>
      <c r="EF192" s="47"/>
      <c r="EG192" s="47"/>
      <c r="EH192" s="47"/>
      <c r="EI192" s="47"/>
      <c r="EJ192" s="47"/>
      <c r="EK192" s="47"/>
      <c r="EL192" s="47"/>
      <c r="EM192" s="47"/>
      <c r="EN192" s="47"/>
      <c r="EO192" s="47"/>
      <c r="EP192" s="47"/>
    </row>
    <row r="193" customFormat="false" ht="10.5" hidden="false" customHeight="true" outlineLevel="0" collapsed="false">
      <c r="A193" s="29" t="s">
        <v>379</v>
      </c>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t="n">
        <f aca="false">+AE192/AD192-1</f>
        <v>0.5</v>
      </c>
      <c r="AF193" s="29"/>
      <c r="AG193" s="29"/>
      <c r="AH193" s="29"/>
      <c r="AI193" s="29"/>
      <c r="AJ193" s="29"/>
      <c r="AK193" s="29"/>
      <c r="AL193" s="29"/>
      <c r="AM193" s="7"/>
      <c r="AN193" s="7"/>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row>
    <row r="194" customFormat="false" ht="12.8" hidden="false" customHeight="false" outlineLevel="0" collapsed="false">
      <c r="AA194" s="128"/>
      <c r="AL194" s="7"/>
      <c r="AM194" s="7"/>
      <c r="AN194" s="7"/>
    </row>
    <row r="195" customFormat="false" ht="12.8" hidden="false" customHeight="false" outlineLevel="0" collapsed="false">
      <c r="A195" s="1" t="s">
        <v>380</v>
      </c>
      <c r="C195" s="3" t="n">
        <f aca="false">+AVERAGE(B135:C135)/C61*90</f>
        <v>27.5083612040134</v>
      </c>
      <c r="D195" s="3" t="n">
        <f aca="false">+AVERAGE(C135:D135)/D61*90</f>
        <v>26.5749730312837</v>
      </c>
      <c r="E195" s="3" t="n">
        <f aca="false">+AVERAGE(D135:E135)/E61*90</f>
        <v>27.4329034506797</v>
      </c>
      <c r="F195" s="3" t="n">
        <f aca="false">+AVERAGE(E135:F135)/F61*90</f>
        <v>27.2836966677383</v>
      </c>
      <c r="G195" s="3" t="n">
        <f aca="false">+AVERAGE(F135:G135)/G61*90</f>
        <v>25.0923168880071</v>
      </c>
      <c r="H195" s="3" t="n">
        <f aca="false">+AVERAGE(G135:H135)/H61*90</f>
        <v>27.0027515327999</v>
      </c>
      <c r="I195" s="3" t="n">
        <f aca="false">+AVERAGE(H135:I135)/I61*90</f>
        <v>29.0024472261357</v>
      </c>
      <c r="J195" s="3" t="n">
        <f aca="false">+AVERAGE(I135:J135)/J61*90</f>
        <v>31.5891085086473</v>
      </c>
      <c r="K195" s="3" t="n">
        <f aca="false">+AVERAGE(J135:K135)/K61*90</f>
        <v>31.503232330293</v>
      </c>
      <c r="L195" s="3" t="n">
        <f aca="false">+AVERAGE(K135:L135)/L61*90</f>
        <v>30.1730906950017</v>
      </c>
      <c r="M195" s="3" t="n">
        <f aca="false">+AVERAGE(L135:M135)/M61*90</f>
        <v>26.5346476799818</v>
      </c>
      <c r="N195" s="3" t="n">
        <f aca="false">+AVERAGE(M135:N135)/N61*90</f>
        <v>26.6176415000246</v>
      </c>
      <c r="O195" s="3" t="n">
        <f aca="false">+AVERAGE(N135:O135)/O61*90</f>
        <v>25.8160462324314</v>
      </c>
      <c r="P195" s="3" t="n">
        <f aca="false">+AVERAGE(O135:P135)/P61*90</f>
        <v>25.2006891795409</v>
      </c>
      <c r="Q195" s="3" t="n">
        <f aca="false">+AVERAGE(P135:Q135)/Q61*90</f>
        <v>23.8062091048309</v>
      </c>
      <c r="R195" s="3" t="n">
        <f aca="false">+AVERAGE(Q135:R135)/R61*90</f>
        <v>26.319018404908</v>
      </c>
      <c r="S195" s="3" t="n">
        <f aca="false">+AVERAGE(R135:S135)/S61*90</f>
        <v>25.980198717497</v>
      </c>
      <c r="T195" s="1" t="n">
        <v>25</v>
      </c>
      <c r="U195" s="1" t="n">
        <v>24</v>
      </c>
      <c r="Z195" s="3" t="n">
        <f aca="false">+AVERAGE(Y135:Z135)/Z61*365</f>
        <v>37.468226491493</v>
      </c>
      <c r="AA195" s="3" t="n">
        <f aca="false">+AVERAGE(Z135:AA135)/AA61*365</f>
        <v>36.7145320343313</v>
      </c>
      <c r="AB195" s="3" t="n">
        <f aca="false">+AVERAGE(AA135:AB135)/AB61*365</f>
        <v>29.8703789866966</v>
      </c>
      <c r="AC195" s="3" t="n">
        <f aca="false">+AVERAGE(AB135:AC135)/AC61*365</f>
        <v>30.2671274308903</v>
      </c>
      <c r="AD195" s="3" t="n">
        <f aca="false">+AVERAGE(AC135:AD135)/AD61*365</f>
        <v>27.956980873051</v>
      </c>
      <c r="AE195" s="3" t="n">
        <f aca="false">+AVERAGE(AD135:AE135)/AE61*365</f>
        <v>25.1204265044362</v>
      </c>
      <c r="AF195" s="129" t="n">
        <v>24</v>
      </c>
      <c r="AG195" s="129" t="n">
        <v>23</v>
      </c>
      <c r="AH195" s="129" t="n">
        <v>22</v>
      </c>
      <c r="AI195" s="129" t="n">
        <v>21</v>
      </c>
      <c r="AJ195" s="129" t="n">
        <v>20</v>
      </c>
      <c r="AL195" s="7"/>
      <c r="AM195" s="81"/>
      <c r="AN195" s="81"/>
    </row>
    <row r="196" customFormat="false" ht="12.8" hidden="false" customHeight="false" outlineLevel="0" collapsed="false">
      <c r="A196" s="1" t="s">
        <v>381</v>
      </c>
      <c r="C196" s="3" t="n">
        <f aca="false">+AVERAGE(B146:C146)/C63*90</f>
        <v>13.943661971831</v>
      </c>
      <c r="D196" s="3" t="n">
        <f aca="false">+AVERAGE(C146:D146)/D63*90</f>
        <v>13.2</v>
      </c>
      <c r="E196" s="3" t="n">
        <f aca="false">+AVERAGE(D146:E146)/E63*90</f>
        <v>12.2224231464738</v>
      </c>
      <c r="F196" s="3" t="n">
        <f aca="false">+AVERAGE(E146:F146)/F63*90</f>
        <v>11.8551042810099</v>
      </c>
      <c r="G196" s="3" t="n">
        <f aca="false">+AVERAGE(F146:G146)/G63*90</f>
        <v>11.0553905294426</v>
      </c>
      <c r="H196" s="3" t="n">
        <f aca="false">+AVERAGE(G146:H146)/H63*90</f>
        <v>11.5220373863831</v>
      </c>
      <c r="I196" s="3" t="n">
        <f aca="false">+AVERAGE(H146:I146)/I63*90</f>
        <v>11.4225239616613</v>
      </c>
      <c r="J196" s="3" t="n">
        <f aca="false">+AVERAGE(I146:J146)/J63*90</f>
        <v>11.4871028625354</v>
      </c>
      <c r="K196" s="3" t="n">
        <f aca="false">+AVERAGE(J146:K146)/K63*90</f>
        <v>10.7078516739228</v>
      </c>
      <c r="L196" s="3" t="n">
        <f aca="false">+AVERAGE(K146:L146)/L63*90</f>
        <v>10.0763688760807</v>
      </c>
      <c r="M196" s="3" t="n">
        <f aca="false">+AVERAGE(L146:M146)/M63*90</f>
        <v>10.0905038497906</v>
      </c>
      <c r="N196" s="3" t="n">
        <f aca="false">+AVERAGE(M146:N146)/N63*90</f>
        <v>10.9587788407428</v>
      </c>
      <c r="O196" s="3" t="n">
        <f aca="false">+AVERAGE(N146:O146)/O63*90</f>
        <v>10.9523503724634</v>
      </c>
      <c r="P196" s="3" t="n">
        <f aca="false">+AVERAGE(O146:P146)/P63*90</f>
        <v>11.6120284440159</v>
      </c>
      <c r="Q196" s="3" t="n">
        <f aca="false">+AVERAGE(P146:Q146)/Q63*90</f>
        <v>10.8211143695015</v>
      </c>
      <c r="R196" s="3" t="n">
        <f aca="false">+AVERAGE(Q146:R146)/R63*90</f>
        <v>13.3149690943295</v>
      </c>
      <c r="S196" s="3" t="n">
        <f aca="false">+AVERAGE(R146:S146)/S63*90</f>
        <v>14.3664875671623</v>
      </c>
      <c r="T196" s="1" t="n">
        <v>14</v>
      </c>
      <c r="U196" s="1" t="n">
        <v>14</v>
      </c>
      <c r="Z196" s="3" t="n">
        <f aca="false">+AVERAGE(Y146:Z146)/Z63*365</f>
        <v>16.1507243847094</v>
      </c>
      <c r="AA196" s="3" t="n">
        <f aca="false">+AVERAGE(Z146:AA146)/AA63*365</f>
        <v>19.4906368867649</v>
      </c>
      <c r="AB196" s="3" t="n">
        <f aca="false">+AVERAGE(AA146:AB146)/AB63*365</f>
        <v>14.0643501892653</v>
      </c>
      <c r="AC196" s="3" t="n">
        <f aca="false">+AVERAGE(AB146:AC146)/AC63*365</f>
        <v>11.9001288659794</v>
      </c>
      <c r="AD196" s="3" t="n">
        <f aca="false">+AVERAGE(AC146:AD146)/AD63*365</f>
        <v>10.9918865580001</v>
      </c>
      <c r="AE196" s="3" t="n">
        <f aca="false">+AVERAGE(AD146:AE146)/AE63*365</f>
        <v>10.6515737592414</v>
      </c>
      <c r="AF196" s="129" t="n">
        <v>11</v>
      </c>
      <c r="AG196" s="129" t="n">
        <v>10</v>
      </c>
      <c r="AH196" s="129" t="n">
        <v>10</v>
      </c>
      <c r="AI196" s="129" t="n">
        <v>10</v>
      </c>
      <c r="AJ196" s="129" t="n">
        <v>9</v>
      </c>
      <c r="AL196" s="7"/>
      <c r="AM196" s="81"/>
      <c r="AN196" s="81"/>
    </row>
    <row r="197" customFormat="false" ht="12.8" hidden="false" customHeight="false" outlineLevel="0" collapsed="false">
      <c r="A197" s="1" t="s">
        <v>382</v>
      </c>
      <c r="C197" s="3" t="n">
        <f aca="false">+C195-C196</f>
        <v>13.5646992321824</v>
      </c>
      <c r="D197" s="3" t="n">
        <f aca="false">+D195-D196</f>
        <v>13.3749730312837</v>
      </c>
      <c r="E197" s="3" t="n">
        <f aca="false">+E195-E196</f>
        <v>15.2104803042059</v>
      </c>
      <c r="F197" s="3" t="n">
        <f aca="false">+F195-F196</f>
        <v>15.4285923867284</v>
      </c>
      <c r="G197" s="3" t="n">
        <f aca="false">+G195-G196</f>
        <v>14.0369263585645</v>
      </c>
      <c r="H197" s="3" t="n">
        <f aca="false">+H195-H196</f>
        <v>15.4807141464168</v>
      </c>
      <c r="I197" s="3" t="n">
        <f aca="false">+I195-I196</f>
        <v>17.5799232644744</v>
      </c>
      <c r="J197" s="3" t="n">
        <f aca="false">+J195-J196</f>
        <v>20.1020056461119</v>
      </c>
      <c r="K197" s="3" t="n">
        <f aca="false">+K195-K196</f>
        <v>20.7953806563702</v>
      </c>
      <c r="L197" s="3" t="n">
        <f aca="false">+L195-L196</f>
        <v>20.096721818921</v>
      </c>
      <c r="M197" s="3" t="n">
        <f aca="false">+M195-M196</f>
        <v>16.4441438301912</v>
      </c>
      <c r="N197" s="3" t="n">
        <f aca="false">+N195-N196</f>
        <v>15.6588626592818</v>
      </c>
      <c r="O197" s="3" t="n">
        <f aca="false">+O195-O196</f>
        <v>14.863695859968</v>
      </c>
      <c r="P197" s="3" t="n">
        <f aca="false">+P195-P196</f>
        <v>13.588660735525</v>
      </c>
      <c r="Q197" s="3" t="n">
        <f aca="false">+Q195-Q196</f>
        <v>12.9850947353294</v>
      </c>
      <c r="R197" s="3" t="n">
        <f aca="false">+R195-R196</f>
        <v>13.0040493105785</v>
      </c>
      <c r="S197" s="3" t="n">
        <f aca="false">+S195-S196</f>
        <v>11.6137111503347</v>
      </c>
      <c r="T197" s="3" t="n">
        <f aca="false">+T195-T196</f>
        <v>11</v>
      </c>
      <c r="U197" s="3" t="n">
        <f aca="false">+U195-U196</f>
        <v>10</v>
      </c>
      <c r="Z197" s="3" t="n">
        <f aca="false">+Z195-Z196</f>
        <v>21.3175021067836</v>
      </c>
      <c r="AA197" s="3" t="n">
        <f aca="false">+AA195-AA196</f>
        <v>17.2238951475664</v>
      </c>
      <c r="AB197" s="3" t="n">
        <f aca="false">+AB195-AB196</f>
        <v>15.8060287974313</v>
      </c>
      <c r="AC197" s="3" t="n">
        <f aca="false">+AC195-AC196</f>
        <v>18.3669985649109</v>
      </c>
      <c r="AD197" s="3" t="n">
        <f aca="false">+AD195-AD196</f>
        <v>16.9650943150509</v>
      </c>
      <c r="AE197" s="3" t="n">
        <f aca="false">+AE195-AE196</f>
        <v>14.4688527451948</v>
      </c>
      <c r="AF197" s="130" t="n">
        <f aca="false">+AF195-AF196</f>
        <v>13</v>
      </c>
      <c r="AG197" s="130" t="n">
        <f aca="false">+AG195-AG196</f>
        <v>13</v>
      </c>
      <c r="AH197" s="130" t="n">
        <f aca="false">+AH195-AH196</f>
        <v>12</v>
      </c>
      <c r="AI197" s="130" t="n">
        <f aca="false">+AI195-AI196</f>
        <v>11</v>
      </c>
      <c r="AJ197" s="130" t="n">
        <f aca="false">+AJ195-AJ196</f>
        <v>11</v>
      </c>
      <c r="AL197" s="7"/>
      <c r="AM197" s="29"/>
      <c r="AN197" s="29"/>
    </row>
    <row r="198" customFormat="false" ht="10.5" hidden="false" customHeight="true" outlineLevel="0" collapsed="false">
      <c r="A198" s="29"/>
      <c r="B198" s="29"/>
      <c r="C198" s="29"/>
      <c r="D198" s="29"/>
      <c r="E198" s="29"/>
      <c r="F198" s="29"/>
      <c r="G198" s="29" t="n">
        <f aca="false">+G195/C195-1</f>
        <v>-0.0878294529466095</v>
      </c>
      <c r="H198" s="29" t="n">
        <f aca="false">+H195/D195-1</f>
        <v>0.0160970436738579</v>
      </c>
      <c r="I198" s="29" t="n">
        <f aca="false">+I195/E195-1</f>
        <v>0.0572139138781964</v>
      </c>
      <c r="J198" s="29" t="n">
        <f aca="false">+J195/F195-1</f>
        <v>0.157801631257686</v>
      </c>
      <c r="K198" s="29" t="n">
        <f aca="false">+K195/G195-1</f>
        <v>0.255493164337882</v>
      </c>
      <c r="L198" s="29" t="n">
        <f aca="false">+L195/H195-1</f>
        <v>0.117408004082504</v>
      </c>
      <c r="M198" s="29" t="n">
        <f aca="false">+M195/I195-1</f>
        <v>-0.0850893556296209</v>
      </c>
      <c r="N198" s="29" t="n">
        <f aca="false">+N195/J195-1</f>
        <v>-0.15737914880573</v>
      </c>
      <c r="O198" s="29" t="n">
        <f aca="false">+O195/K195-1</f>
        <v>-0.180527065865329</v>
      </c>
      <c r="P198" s="29" t="n">
        <f aca="false">+P195/L195-1</f>
        <v>-0.164795895976426</v>
      </c>
      <c r="Q198" s="29" t="n">
        <f aca="false">+Q195/M195-1</f>
        <v>-0.102825506034864</v>
      </c>
      <c r="R198" s="29" t="n">
        <f aca="false">+R195/N195-1</f>
        <v>-0.0112189915517629</v>
      </c>
      <c r="S198" s="29" t="n">
        <f aca="false">+S195/O195-1</f>
        <v>0.00635854474336162</v>
      </c>
      <c r="T198" s="29" t="n">
        <f aca="false">+T195/P195-1</f>
        <v>-0.00796363853826088</v>
      </c>
      <c r="U198" s="29" t="n">
        <f aca="false">+U195/Q195-1</f>
        <v>0.00814035087719289</v>
      </c>
      <c r="V198" s="29"/>
      <c r="W198" s="29"/>
      <c r="X198" s="29"/>
      <c r="Y198" s="29"/>
      <c r="Z198" s="29"/>
      <c r="AA198" s="29" t="n">
        <f aca="false">+AA195/Z195-1</f>
        <v>-0.0201155626443355</v>
      </c>
      <c r="AB198" s="29" t="n">
        <f aca="false">+AB195/AA195-1</f>
        <v>-0.186415369293956</v>
      </c>
      <c r="AC198" s="29" t="n">
        <f aca="false">+AC195/AB195-1</f>
        <v>0.0132823371397603</v>
      </c>
      <c r="AD198" s="29" t="n">
        <f aca="false">+AD195/AC195-1</f>
        <v>-0.0763252661857041</v>
      </c>
      <c r="AE198" s="29" t="n">
        <f aca="false">+AE195/AD195-1</f>
        <v>-0.101461398192287</v>
      </c>
      <c r="AF198" s="29" t="n">
        <f aca="false">+AF195/AE195-1</f>
        <v>-0.0446022086543144</v>
      </c>
      <c r="AG198" s="29" t="n">
        <f aca="false">+AG195/AF195-1</f>
        <v>-0.0416666666666666</v>
      </c>
      <c r="AH198" s="29" t="n">
        <f aca="false">+AH195/AG195-1</f>
        <v>-0.0434782608695652</v>
      </c>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row>
    <row r="199" customFormat="false" ht="10.5" hidden="false" customHeight="true" outlineLevel="0" collapsed="false">
      <c r="A199" s="29"/>
      <c r="B199" s="29"/>
      <c r="C199" s="29"/>
      <c r="D199" s="29"/>
      <c r="E199" s="29"/>
      <c r="F199" s="29"/>
      <c r="G199" s="29" t="n">
        <f aca="false">+G196/C196-1</f>
        <v>-0.207138658999572</v>
      </c>
      <c r="H199" s="29" t="n">
        <f aca="false">+H196/D196-1</f>
        <v>-0.127118379819462</v>
      </c>
      <c r="I199" s="29" t="n">
        <f aca="false">+I196/E196-1</f>
        <v>-0.0654452210683993</v>
      </c>
      <c r="J199" s="29" t="n">
        <f aca="false">+J196/F196-1</f>
        <v>-0.0310416011324324</v>
      </c>
      <c r="K199" s="29" t="n">
        <f aca="false">+K196/G196-1</f>
        <v>-0.0314361446205123</v>
      </c>
      <c r="L199" s="29" t="n">
        <f aca="false">+L196/H196-1</f>
        <v>-0.125469868029669</v>
      </c>
      <c r="M199" s="29" t="n">
        <f aca="false">+M196/I196-1</f>
        <v>-0.116613466195519</v>
      </c>
      <c r="N199" s="29" t="n">
        <f aca="false">+N196/J196-1</f>
        <v>-0.045992799761174</v>
      </c>
      <c r="O199" s="29" t="n">
        <f aca="false">+O196/K196-1</f>
        <v>0.0228335903396977</v>
      </c>
      <c r="P199" s="29" t="n">
        <f aca="false">+P196/L196-1</f>
        <v>0.152402079243104</v>
      </c>
      <c r="Q199" s="29" t="n">
        <f aca="false">+Q196/M196-1</f>
        <v>0.0724057520404258</v>
      </c>
      <c r="R199" s="29" t="n">
        <f aca="false">+R196/N196-1</f>
        <v>0.215004818313041</v>
      </c>
      <c r="S199" s="29" t="n">
        <f aca="false">+S196/O196-1</f>
        <v>0.311726440315752</v>
      </c>
      <c r="T199" s="29" t="n">
        <f aca="false">+T196/P196-1</f>
        <v>0.205646375006488</v>
      </c>
      <c r="U199" s="29" t="n">
        <f aca="false">+U196/Q196-1</f>
        <v>0.293766937669373</v>
      </c>
      <c r="V199" s="29"/>
      <c r="W199" s="29"/>
      <c r="X199" s="29"/>
      <c r="Y199" s="29"/>
      <c r="Z199" s="29"/>
      <c r="AA199" s="29" t="n">
        <f aca="false">+AA196/Z196-1</f>
        <v>0.206796452128026</v>
      </c>
      <c r="AB199" s="29" t="n">
        <f aca="false">+AB196/AA196-1</f>
        <v>-0.278404791440362</v>
      </c>
      <c r="AC199" s="29" t="n">
        <f aca="false">+AC196/AB196-1</f>
        <v>-0.153879937157548</v>
      </c>
      <c r="AD199" s="29" t="n">
        <f aca="false">+AD196/AC196-1</f>
        <v>-0.0763220565262803</v>
      </c>
      <c r="AE199" s="29" t="n">
        <f aca="false">+AE196/AD196-1</f>
        <v>-0.0309603630789853</v>
      </c>
      <c r="AF199" s="29" t="n">
        <f aca="false">+AF196/AE196-1</f>
        <v>0.0327112451769207</v>
      </c>
      <c r="AG199" s="29" t="n">
        <f aca="false">+AG196/AF196-1</f>
        <v>-0.0909090909090909</v>
      </c>
      <c r="AH199" s="29" t="n">
        <f aca="false">+AH196/AG196-1</f>
        <v>0</v>
      </c>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row>
    <row r="200" customFormat="false" ht="10.5" hidden="false" customHeight="true" outlineLevel="0" collapsed="false">
      <c r="A200" s="29"/>
      <c r="B200" s="29"/>
      <c r="C200" s="29"/>
      <c r="D200" s="29"/>
      <c r="E200" s="29"/>
      <c r="F200" s="29"/>
      <c r="G200" s="29" t="n">
        <f aca="false">+G197/C197-1</f>
        <v>0.0348129448577677</v>
      </c>
      <c r="H200" s="29" t="n">
        <f aca="false">+H197/D197-1</f>
        <v>0.157438905499682</v>
      </c>
      <c r="I200" s="29" t="n">
        <f aca="false">+I197/E197-1</f>
        <v>0.155776998022435</v>
      </c>
      <c r="J200" s="29" t="n">
        <f aca="false">+J197/F197-1</f>
        <v>0.302906003492809</v>
      </c>
      <c r="K200" s="29" t="n">
        <f aca="false">+K197/G197-1</f>
        <v>0.481476793791255</v>
      </c>
      <c r="L200" s="29" t="n">
        <f aca="false">+L197/H197-1</f>
        <v>0.298177954120589</v>
      </c>
      <c r="M200" s="29" t="n">
        <f aca="false">+M197/I197-1</f>
        <v>-0.0646066207000156</v>
      </c>
      <c r="N200" s="29" t="n">
        <f aca="false">+N197/J197-1</f>
        <v>-0.221029834786139</v>
      </c>
      <c r="O200" s="29" t="n">
        <f aca="false">+O197/K197-1</f>
        <v>-0.28524050097564</v>
      </c>
      <c r="P200" s="29" t="n">
        <f aca="false">+P197/L197-1</f>
        <v>-0.323836949231623</v>
      </c>
      <c r="Q200" s="29" t="n">
        <f aca="false">+Q197/M197-1</f>
        <v>-0.210351425442478</v>
      </c>
      <c r="R200" s="29" t="n">
        <f aca="false">+R197/N197-1</f>
        <v>-0.169540624148056</v>
      </c>
      <c r="S200" s="29" t="n">
        <f aca="false">+S197/O197-1</f>
        <v>-0.218652530316258</v>
      </c>
      <c r="T200" s="29" t="n">
        <f aca="false">+T197/P197-1</f>
        <v>-0.190501535501394</v>
      </c>
      <c r="U200" s="29" t="n">
        <f aca="false">+U197/Q197-1</f>
        <v>-0.229886250056199</v>
      </c>
      <c r="V200" s="29"/>
      <c r="W200" s="29"/>
      <c r="X200" s="29"/>
      <c r="Y200" s="29"/>
      <c r="Z200" s="29"/>
      <c r="AA200" s="29" t="n">
        <f aca="false">+AA197/Z197-1</f>
        <v>-0.192030329759631</v>
      </c>
      <c r="AB200" s="29" t="n">
        <f aca="false">+AB197/AA197-1</f>
        <v>-0.0823197272154418</v>
      </c>
      <c r="AC200" s="29" t="n">
        <f aca="false">+AC197/AB197-1</f>
        <v>0.16202487040235</v>
      </c>
      <c r="AD200" s="29" t="n">
        <f aca="false">+AD197/AC197-1</f>
        <v>-0.0763273457503441</v>
      </c>
      <c r="AE200" s="29" t="n">
        <f aca="false">+AE197/AD197-1</f>
        <v>-0.147139858081513</v>
      </c>
      <c r="AF200" s="29" t="n">
        <f aca="false">+AF197/AE197-1</f>
        <v>-0.101518259330039</v>
      </c>
      <c r="AG200" s="29" t="n">
        <f aca="false">+AG197/AF197-1</f>
        <v>0</v>
      </c>
      <c r="AH200" s="29" t="n">
        <f aca="false">+AH197/AG197-1</f>
        <v>-0.0769230769230769</v>
      </c>
      <c r="AI200" s="29"/>
      <c r="AJ200" s="29"/>
      <c r="AK200" s="29"/>
      <c r="AL200" s="29"/>
      <c r="AM200" s="7"/>
      <c r="AN200" s="7"/>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row>
    <row r="201" customFormat="false" ht="12.8" hidden="false" customHeight="false" outlineLevel="0" collapsed="false">
      <c r="AA201" s="128"/>
      <c r="AL201" s="7"/>
      <c r="AM201" s="7"/>
      <c r="AN201" s="7"/>
    </row>
    <row r="202" customFormat="false" ht="12.8" hidden="false" customHeight="false" outlineLevel="0" collapsed="false">
      <c r="A202" s="1" t="s">
        <v>383</v>
      </c>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c r="BT202" s="7"/>
      <c r="BU202" s="7"/>
      <c r="BV202" s="7"/>
      <c r="BW202" s="7"/>
      <c r="BX202" s="7"/>
      <c r="BY202" s="7"/>
      <c r="BZ202" s="7"/>
      <c r="CA202" s="7"/>
      <c r="CB202" s="7"/>
      <c r="CC202" s="7"/>
      <c r="CD202" s="7"/>
      <c r="CE202" s="7"/>
      <c r="CF202" s="7"/>
      <c r="CG202" s="7"/>
      <c r="CH202" s="7"/>
      <c r="CI202" s="7"/>
      <c r="CJ202" s="7"/>
      <c r="CK202" s="7"/>
      <c r="CL202" s="7"/>
      <c r="CM202" s="7"/>
      <c r="CN202" s="7"/>
      <c r="CO202" s="7"/>
      <c r="CP202" s="7"/>
      <c r="CQ202" s="7"/>
      <c r="CR202" s="7"/>
      <c r="CS202" s="7"/>
      <c r="CT202" s="7"/>
      <c r="CU202" s="7"/>
      <c r="CV202" s="7"/>
      <c r="CW202" s="7"/>
      <c r="CX202" s="7"/>
      <c r="CY202" s="7"/>
      <c r="CZ202" s="7"/>
      <c r="DA202" s="7"/>
      <c r="DB202" s="7"/>
      <c r="DC202" s="7"/>
      <c r="DD202" s="7"/>
      <c r="DE202" s="7"/>
      <c r="DF202" s="7"/>
      <c r="DG202" s="7"/>
      <c r="DH202" s="7"/>
      <c r="DI202" s="7"/>
      <c r="DJ202" s="7"/>
      <c r="DK202" s="7"/>
      <c r="DL202" s="7"/>
      <c r="DM202" s="7"/>
      <c r="DN202" s="7"/>
      <c r="DO202" s="7"/>
      <c r="DP202" s="7"/>
      <c r="DQ202" s="7"/>
      <c r="DR202" s="7"/>
      <c r="DS202" s="7"/>
      <c r="DT202" s="7"/>
      <c r="DU202" s="7"/>
      <c r="DV202" s="7"/>
      <c r="DW202" s="7"/>
      <c r="DX202" s="7"/>
      <c r="DY202" s="7"/>
      <c r="DZ202" s="7"/>
      <c r="EA202" s="7"/>
      <c r="EB202" s="7"/>
      <c r="EC202" s="7"/>
      <c r="ED202" s="7"/>
      <c r="EE202" s="7"/>
      <c r="EF202" s="7"/>
      <c r="EG202" s="7"/>
      <c r="EH202" s="7"/>
      <c r="EI202" s="7"/>
      <c r="EJ202" s="7"/>
      <c r="EK202" s="7"/>
      <c r="EL202" s="7"/>
      <c r="EM202" s="7"/>
      <c r="EN202" s="7"/>
      <c r="EO202" s="7"/>
      <c r="EP202" s="7"/>
    </row>
    <row r="203" customFormat="false" ht="12.8" hidden="false" customHeight="false" outlineLevel="0" collapsed="false">
      <c r="A203" s="7" t="s">
        <v>384</v>
      </c>
      <c r="B203" s="7"/>
      <c r="C203" s="7"/>
      <c r="D203" s="7"/>
      <c r="E203" s="7"/>
      <c r="F203" s="7"/>
      <c r="G203" s="7"/>
      <c r="H203" s="7"/>
      <c r="I203" s="7"/>
      <c r="J203" s="7"/>
      <c r="K203" s="7"/>
      <c r="L203" s="7"/>
      <c r="M203" s="7"/>
      <c r="N203" s="7"/>
      <c r="O203" s="7"/>
      <c r="P203" s="7"/>
      <c r="Q203" s="7"/>
      <c r="R203" s="7"/>
      <c r="S203" s="7"/>
      <c r="T203" s="7"/>
      <c r="U203" s="7"/>
      <c r="V203" s="7"/>
      <c r="W203" s="7"/>
      <c r="X203" s="7"/>
      <c r="Y203" s="7" t="n">
        <v>0</v>
      </c>
      <c r="Z203" s="7" t="n">
        <v>0</v>
      </c>
      <c r="AA203" s="7" t="n">
        <v>2838</v>
      </c>
      <c r="AB203" s="7" t="n">
        <v>0</v>
      </c>
      <c r="AC203" s="7" t="n">
        <v>0</v>
      </c>
      <c r="AD203" s="7" t="n">
        <v>0</v>
      </c>
      <c r="AE203" s="7" t="n">
        <v>0</v>
      </c>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c r="BT203" s="7"/>
      <c r="BU203" s="7"/>
      <c r="BV203" s="7"/>
      <c r="BW203" s="7"/>
      <c r="BX203" s="7"/>
      <c r="BY203" s="7"/>
      <c r="BZ203" s="7"/>
      <c r="CA203" s="7"/>
      <c r="CB203" s="7"/>
      <c r="CC203" s="7"/>
      <c r="CD203" s="7"/>
      <c r="CE203" s="7"/>
      <c r="CF203" s="7"/>
      <c r="CG203" s="7"/>
      <c r="CH203" s="7"/>
      <c r="CI203" s="7"/>
      <c r="CJ203" s="7"/>
      <c r="CK203" s="7"/>
      <c r="CL203" s="7"/>
      <c r="CM203" s="7"/>
      <c r="CN203" s="7"/>
      <c r="CO203" s="7"/>
      <c r="CP203" s="7"/>
      <c r="CQ203" s="7"/>
      <c r="CR203" s="7"/>
      <c r="CS203" s="7"/>
      <c r="CT203" s="7"/>
      <c r="CU203" s="7"/>
      <c r="CV203" s="7"/>
      <c r="CW203" s="7"/>
      <c r="CX203" s="7"/>
      <c r="CY203" s="7"/>
      <c r="CZ203" s="7"/>
      <c r="DA203" s="7"/>
      <c r="DB203" s="7"/>
      <c r="DC203" s="7"/>
      <c r="DD203" s="7"/>
      <c r="DE203" s="7"/>
      <c r="DF203" s="7"/>
      <c r="DG203" s="7"/>
      <c r="DH203" s="7"/>
      <c r="DI203" s="7"/>
      <c r="DJ203" s="7"/>
      <c r="DK203" s="7"/>
      <c r="DL203" s="7"/>
      <c r="DM203" s="7"/>
      <c r="DN203" s="7"/>
      <c r="DO203" s="7"/>
      <c r="DP203" s="7"/>
      <c r="DQ203" s="7"/>
      <c r="DR203" s="7"/>
      <c r="DS203" s="7"/>
      <c r="DT203" s="7"/>
      <c r="DU203" s="7"/>
      <c r="DV203" s="7"/>
      <c r="DW203" s="7"/>
      <c r="DX203" s="7"/>
      <c r="DY203" s="7"/>
      <c r="DZ203" s="7"/>
      <c r="EA203" s="7"/>
      <c r="EB203" s="7"/>
      <c r="EC203" s="7"/>
      <c r="ED203" s="7"/>
      <c r="EE203" s="7"/>
      <c r="EF203" s="7"/>
      <c r="EG203" s="7"/>
      <c r="EH203" s="7"/>
      <c r="EI203" s="7"/>
      <c r="EJ203" s="7"/>
      <c r="EK203" s="7"/>
      <c r="EL203" s="7"/>
      <c r="EM203" s="7"/>
      <c r="EN203" s="7"/>
      <c r="EO203" s="7"/>
      <c r="EP203" s="7"/>
    </row>
    <row r="204" customFormat="false" ht="12.8" hidden="false" customHeight="false" outlineLevel="0" collapsed="false">
      <c r="A204" s="7" t="s">
        <v>385</v>
      </c>
      <c r="B204" s="7"/>
      <c r="C204" s="7"/>
      <c r="D204" s="7"/>
      <c r="E204" s="7"/>
      <c r="F204" s="7"/>
      <c r="G204" s="7"/>
      <c r="H204" s="7"/>
      <c r="I204" s="7"/>
      <c r="J204" s="7"/>
      <c r="K204" s="7"/>
      <c r="L204" s="7"/>
      <c r="M204" s="7" t="n">
        <v>2529</v>
      </c>
      <c r="N204" s="7" t="n">
        <v>2428</v>
      </c>
      <c r="O204" s="7"/>
      <c r="P204" s="7"/>
      <c r="Q204" s="7" t="n">
        <v>2674</v>
      </c>
      <c r="R204" s="7" t="n">
        <v>1961</v>
      </c>
      <c r="S204" s="7" t="n">
        <v>2020</v>
      </c>
      <c r="T204" s="7"/>
      <c r="U204" s="7"/>
      <c r="V204" s="7"/>
      <c r="W204" s="7"/>
      <c r="X204" s="7"/>
      <c r="Y204" s="7" t="n">
        <v>0</v>
      </c>
      <c r="Z204" s="7" t="n">
        <v>0</v>
      </c>
      <c r="AA204" s="7" t="n">
        <v>3821</v>
      </c>
      <c r="AB204" s="7" t="n">
        <v>1726</v>
      </c>
      <c r="AC204" s="7" t="n">
        <v>1806</v>
      </c>
      <c r="AD204" s="7" t="n">
        <v>2602</v>
      </c>
      <c r="AE204" s="7" t="n">
        <v>2674</v>
      </c>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c r="BT204" s="7"/>
      <c r="BU204" s="7"/>
      <c r="BV204" s="7"/>
      <c r="BW204" s="7"/>
      <c r="BX204" s="7"/>
      <c r="BY204" s="7"/>
      <c r="BZ204" s="7"/>
      <c r="CA204" s="7"/>
      <c r="CB204" s="7"/>
      <c r="CC204" s="7"/>
      <c r="CD204" s="7"/>
      <c r="CE204" s="7"/>
      <c r="CF204" s="7"/>
      <c r="CG204" s="7"/>
      <c r="CH204" s="7"/>
      <c r="CI204" s="7"/>
      <c r="CJ204" s="7"/>
      <c r="CK204" s="7"/>
      <c r="CL204" s="7"/>
      <c r="CM204" s="7"/>
      <c r="CN204" s="7"/>
      <c r="CO204" s="7"/>
      <c r="CP204" s="7"/>
      <c r="CQ204" s="7"/>
      <c r="CR204" s="7"/>
      <c r="CS204" s="7"/>
      <c r="CT204" s="7"/>
      <c r="CU204" s="7"/>
      <c r="CV204" s="7"/>
      <c r="CW204" s="7"/>
      <c r="CX204" s="7"/>
      <c r="CY204" s="7"/>
      <c r="CZ204" s="7"/>
      <c r="DA204" s="7"/>
      <c r="DB204" s="7"/>
      <c r="DC204" s="7"/>
      <c r="DD204" s="7"/>
      <c r="DE204" s="7"/>
      <c r="DF204" s="7"/>
      <c r="DG204" s="7"/>
      <c r="DH204" s="7"/>
      <c r="DI204" s="7"/>
      <c r="DJ204" s="7"/>
      <c r="DK204" s="7"/>
      <c r="DL204" s="7"/>
      <c r="DM204" s="7"/>
      <c r="DN204" s="7"/>
      <c r="DO204" s="7"/>
      <c r="DP204" s="7"/>
      <c r="DQ204" s="7"/>
      <c r="DR204" s="7"/>
      <c r="DS204" s="7"/>
      <c r="DT204" s="7"/>
      <c r="DU204" s="7"/>
      <c r="DV204" s="7"/>
      <c r="DW204" s="7"/>
      <c r="DX204" s="7"/>
      <c r="DY204" s="7"/>
      <c r="DZ204" s="7"/>
      <c r="EA204" s="7"/>
      <c r="EB204" s="7"/>
      <c r="EC204" s="7"/>
      <c r="ED204" s="7"/>
      <c r="EE204" s="7"/>
      <c r="EF204" s="7"/>
      <c r="EG204" s="7"/>
      <c r="EH204" s="7"/>
      <c r="EI204" s="7"/>
      <c r="EJ204" s="7"/>
      <c r="EK204" s="7"/>
      <c r="EL204" s="7"/>
      <c r="EM204" s="7"/>
      <c r="EN204" s="7"/>
      <c r="EO204" s="7"/>
      <c r="EP204" s="7"/>
    </row>
    <row r="205" customFormat="false" ht="12.8" hidden="false" customHeight="false" outlineLevel="0" collapsed="false">
      <c r="A205" s="7" t="s">
        <v>386</v>
      </c>
      <c r="B205" s="7"/>
      <c r="C205" s="7"/>
      <c r="D205" s="7"/>
      <c r="E205" s="7"/>
      <c r="F205" s="7"/>
      <c r="G205" s="7"/>
      <c r="H205" s="7"/>
      <c r="I205" s="7"/>
      <c r="J205" s="7"/>
      <c r="K205" s="7"/>
      <c r="L205" s="7"/>
      <c r="M205" s="7" t="n">
        <v>2054</v>
      </c>
      <c r="N205" s="7" t="n">
        <v>2191</v>
      </c>
      <c r="O205" s="7"/>
      <c r="P205" s="7"/>
      <c r="Q205" s="7" t="n">
        <v>1252</v>
      </c>
      <c r="R205" s="7" t="n">
        <v>1343</v>
      </c>
      <c r="S205" s="7" t="n">
        <v>1763</v>
      </c>
      <c r="T205" s="7"/>
      <c r="U205" s="7"/>
      <c r="V205" s="7"/>
      <c r="W205" s="7"/>
      <c r="X205" s="7"/>
      <c r="Y205" s="7" t="n">
        <v>0</v>
      </c>
      <c r="Z205" s="7" t="n">
        <v>0</v>
      </c>
      <c r="AA205" s="7" t="n">
        <v>3388</v>
      </c>
      <c r="AB205" s="7" t="n">
        <v>364</v>
      </c>
      <c r="AC205" s="7" t="n">
        <v>1425</v>
      </c>
      <c r="AD205" s="7" t="n">
        <v>2054</v>
      </c>
      <c r="AE205" s="7" t="n">
        <v>1252</v>
      </c>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c r="BT205" s="7"/>
      <c r="BU205" s="7"/>
      <c r="BV205" s="7"/>
      <c r="BW205" s="7"/>
      <c r="BX205" s="7"/>
      <c r="BY205" s="7"/>
      <c r="BZ205" s="7"/>
      <c r="CA205" s="7"/>
      <c r="CB205" s="7"/>
      <c r="CC205" s="7"/>
      <c r="CD205" s="7"/>
      <c r="CE205" s="7"/>
      <c r="CF205" s="7"/>
      <c r="CG205" s="7"/>
      <c r="CH205" s="7"/>
      <c r="CI205" s="7"/>
      <c r="CJ205" s="7"/>
      <c r="CK205" s="7"/>
      <c r="CL205" s="7"/>
      <c r="CM205" s="7"/>
      <c r="CN205" s="7"/>
      <c r="CO205" s="7"/>
      <c r="CP205" s="7"/>
      <c r="CQ205" s="7"/>
      <c r="CR205" s="7"/>
      <c r="CS205" s="7"/>
      <c r="CT205" s="7"/>
      <c r="CU205" s="7"/>
      <c r="CV205" s="7"/>
      <c r="CW205" s="7"/>
      <c r="CX205" s="7"/>
      <c r="CY205" s="7"/>
      <c r="CZ205" s="7"/>
      <c r="DA205" s="7"/>
      <c r="DB205" s="7"/>
      <c r="DC205" s="7"/>
      <c r="DD205" s="7"/>
      <c r="DE205" s="7"/>
      <c r="DF205" s="7"/>
      <c r="DG205" s="7"/>
      <c r="DH205" s="7"/>
      <c r="DI205" s="7"/>
      <c r="DJ205" s="7"/>
      <c r="DK205" s="7"/>
      <c r="DL205" s="7"/>
      <c r="DM205" s="7"/>
      <c r="DN205" s="7"/>
      <c r="DO205" s="7"/>
      <c r="DP205" s="7"/>
      <c r="DQ205" s="7"/>
      <c r="DR205" s="7"/>
      <c r="DS205" s="7"/>
      <c r="DT205" s="7"/>
      <c r="DU205" s="7"/>
      <c r="DV205" s="7"/>
      <c r="DW205" s="7"/>
      <c r="DX205" s="7"/>
      <c r="DY205" s="7"/>
      <c r="DZ205" s="7"/>
      <c r="EA205" s="7"/>
      <c r="EB205" s="7"/>
      <c r="EC205" s="7"/>
      <c r="ED205" s="7"/>
      <c r="EE205" s="7"/>
      <c r="EF205" s="7"/>
      <c r="EG205" s="7"/>
      <c r="EH205" s="7"/>
      <c r="EI205" s="7"/>
      <c r="EJ205" s="7"/>
      <c r="EK205" s="7"/>
      <c r="EL205" s="7"/>
      <c r="EM205" s="7"/>
      <c r="EN205" s="7"/>
      <c r="EO205" s="7"/>
      <c r="EP205" s="7"/>
    </row>
    <row r="206" customFormat="false" ht="12.8" hidden="false" customHeight="false" outlineLevel="0" collapsed="false">
      <c r="A206" s="7" t="s">
        <v>387</v>
      </c>
      <c r="B206" s="7"/>
      <c r="C206" s="7"/>
      <c r="D206" s="7"/>
      <c r="E206" s="7"/>
      <c r="F206" s="7"/>
      <c r="G206" s="7"/>
      <c r="H206" s="7"/>
      <c r="I206" s="7"/>
      <c r="J206" s="7"/>
      <c r="K206" s="7"/>
      <c r="L206" s="7"/>
      <c r="M206" s="7" t="n">
        <v>523</v>
      </c>
      <c r="N206" s="7" t="n">
        <v>412</v>
      </c>
      <c r="O206" s="7"/>
      <c r="P206" s="7"/>
      <c r="Q206" s="7" t="n">
        <v>667</v>
      </c>
      <c r="R206" s="7" t="n">
        <v>569</v>
      </c>
      <c r="S206" s="7" t="n">
        <v>813</v>
      </c>
      <c r="T206" s="7"/>
      <c r="U206" s="7"/>
      <c r="V206" s="7"/>
      <c r="W206" s="7"/>
      <c r="X206" s="7"/>
      <c r="Y206" s="7" t="n">
        <v>0</v>
      </c>
      <c r="Z206" s="7" t="n">
        <v>83</v>
      </c>
      <c r="AA206" s="7" t="n">
        <v>1312</v>
      </c>
      <c r="AB206" s="7" t="n">
        <v>110</v>
      </c>
      <c r="AC206" s="7" t="n">
        <v>170</v>
      </c>
      <c r="AD206" s="7" t="n">
        <v>523</v>
      </c>
      <c r="AE206" s="7" t="n">
        <v>667</v>
      </c>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c r="BT206" s="7"/>
      <c r="BU206" s="7"/>
      <c r="BV206" s="7"/>
      <c r="BW206" s="7"/>
      <c r="BX206" s="7"/>
      <c r="BY206" s="7"/>
      <c r="BZ206" s="7"/>
      <c r="CA206" s="7"/>
      <c r="CB206" s="7"/>
      <c r="CC206" s="7"/>
      <c r="CD206" s="7"/>
      <c r="CE206" s="7"/>
      <c r="CF206" s="7"/>
      <c r="CG206" s="7"/>
      <c r="CH206" s="7"/>
      <c r="CI206" s="7"/>
      <c r="CJ206" s="7"/>
      <c r="CK206" s="7"/>
      <c r="CL206" s="7"/>
      <c r="CM206" s="7"/>
      <c r="CN206" s="7"/>
      <c r="CO206" s="7"/>
      <c r="CP206" s="7"/>
      <c r="CQ206" s="7"/>
      <c r="CR206" s="7"/>
      <c r="CS206" s="7"/>
      <c r="CT206" s="7"/>
      <c r="CU206" s="7"/>
      <c r="CV206" s="7"/>
      <c r="CW206" s="7"/>
      <c r="CX206" s="7"/>
      <c r="CY206" s="7"/>
      <c r="CZ206" s="7"/>
      <c r="DA206" s="7"/>
      <c r="DB206" s="7"/>
      <c r="DC206" s="7"/>
      <c r="DD206" s="7"/>
      <c r="DE206" s="7"/>
      <c r="DF206" s="7"/>
      <c r="DG206" s="7"/>
      <c r="DH206" s="7"/>
      <c r="DI206" s="7"/>
      <c r="DJ206" s="7"/>
      <c r="DK206" s="7"/>
      <c r="DL206" s="7"/>
      <c r="DM206" s="7"/>
      <c r="DN206" s="7"/>
      <c r="DO206" s="7"/>
      <c r="DP206" s="7"/>
      <c r="DQ206" s="7"/>
      <c r="DR206" s="7"/>
      <c r="DS206" s="7"/>
      <c r="DT206" s="7"/>
      <c r="DU206" s="7"/>
      <c r="DV206" s="7"/>
      <c r="DW206" s="7"/>
      <c r="DX206" s="7"/>
      <c r="DY206" s="7"/>
      <c r="DZ206" s="7"/>
      <c r="EA206" s="7"/>
      <c r="EB206" s="7"/>
      <c r="EC206" s="7"/>
      <c r="ED206" s="7"/>
      <c r="EE206" s="7"/>
      <c r="EF206" s="7"/>
      <c r="EG206" s="7"/>
      <c r="EH206" s="7"/>
      <c r="EI206" s="7"/>
      <c r="EJ206" s="7"/>
      <c r="EK206" s="7"/>
      <c r="EL206" s="7"/>
      <c r="EM206" s="7"/>
      <c r="EN206" s="7"/>
      <c r="EO206" s="7"/>
      <c r="EP206" s="7"/>
    </row>
    <row r="207" customFormat="false" ht="12.8" hidden="false" customHeight="false" outlineLevel="0" collapsed="false">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c r="BT207" s="7"/>
      <c r="BU207" s="7"/>
      <c r="BV207" s="7"/>
      <c r="BW207" s="7"/>
      <c r="BX207" s="7"/>
      <c r="BY207" s="7"/>
      <c r="BZ207" s="7"/>
      <c r="CA207" s="7"/>
      <c r="CB207" s="7"/>
      <c r="CC207" s="7"/>
      <c r="CD207" s="7"/>
      <c r="CE207" s="7"/>
      <c r="CF207" s="7"/>
      <c r="CG207" s="7"/>
      <c r="CH207" s="7"/>
      <c r="CI207" s="7"/>
      <c r="CJ207" s="7"/>
      <c r="CK207" s="7"/>
      <c r="CL207" s="7"/>
      <c r="CM207" s="7"/>
      <c r="CN207" s="7"/>
      <c r="CO207" s="7"/>
      <c r="CP207" s="7"/>
      <c r="CQ207" s="7"/>
      <c r="CR207" s="7"/>
      <c r="CS207" s="7"/>
      <c r="CT207" s="7"/>
      <c r="CU207" s="7"/>
      <c r="CV207" s="7"/>
      <c r="CW207" s="7"/>
      <c r="CX207" s="7"/>
      <c r="CY207" s="7"/>
      <c r="CZ207" s="7"/>
      <c r="DA207" s="7"/>
      <c r="DB207" s="7"/>
      <c r="DC207" s="7"/>
      <c r="DD207" s="7"/>
      <c r="DE207" s="7"/>
      <c r="DF207" s="7"/>
      <c r="DG207" s="7"/>
      <c r="DH207" s="7"/>
      <c r="DI207" s="7"/>
      <c r="DJ207" s="7"/>
      <c r="DK207" s="7"/>
      <c r="DL207" s="7"/>
      <c r="DM207" s="7"/>
      <c r="DN207" s="7"/>
      <c r="DO207" s="7"/>
      <c r="DP207" s="7"/>
      <c r="DQ207" s="7"/>
      <c r="DR207" s="7"/>
      <c r="DS207" s="7"/>
      <c r="DT207" s="7"/>
      <c r="DU207" s="7"/>
      <c r="DV207" s="7"/>
      <c r="DW207" s="7"/>
      <c r="DX207" s="7"/>
      <c r="DY207" s="7"/>
      <c r="DZ207" s="7"/>
      <c r="EA207" s="7"/>
      <c r="EB207" s="7"/>
      <c r="EC207" s="7"/>
      <c r="ED207" s="7"/>
      <c r="EE207" s="7"/>
      <c r="EF207" s="7"/>
      <c r="EG207" s="7"/>
      <c r="EH207" s="7"/>
      <c r="EI207" s="7"/>
      <c r="EJ207" s="7"/>
      <c r="EK207" s="7"/>
      <c r="EL207" s="7"/>
      <c r="EM207" s="7"/>
      <c r="EN207" s="7"/>
      <c r="EO207" s="7"/>
      <c r="EP207" s="7"/>
      <c r="ER207" s="123"/>
      <c r="ES207" s="123"/>
      <c r="ET207" s="123"/>
      <c r="EU207" s="123"/>
      <c r="EV207" s="123"/>
    </row>
    <row r="208" customFormat="false" ht="12.8" hidden="false" customHeight="false" outlineLevel="0" collapsed="false">
      <c r="A208" s="7" t="s">
        <v>388</v>
      </c>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c r="BT208" s="7"/>
      <c r="BU208" s="7"/>
      <c r="BV208" s="7"/>
      <c r="BW208" s="7"/>
      <c r="BX208" s="7"/>
      <c r="BY208" s="7"/>
      <c r="BZ208" s="7"/>
      <c r="CA208" s="7"/>
      <c r="CB208" s="7"/>
      <c r="CC208" s="7"/>
      <c r="CD208" s="7"/>
      <c r="CE208" s="7"/>
      <c r="CF208" s="7"/>
      <c r="CG208" s="7"/>
      <c r="CH208" s="7"/>
      <c r="CI208" s="7"/>
      <c r="CJ208" s="7"/>
      <c r="CK208" s="7"/>
      <c r="CL208" s="7"/>
      <c r="CM208" s="7"/>
      <c r="CN208" s="7"/>
      <c r="CO208" s="7"/>
      <c r="CP208" s="7"/>
      <c r="CQ208" s="7"/>
      <c r="CR208" s="7"/>
      <c r="CS208" s="7"/>
      <c r="CT208" s="7"/>
      <c r="CU208" s="7"/>
      <c r="CV208" s="7"/>
      <c r="CW208" s="7"/>
      <c r="CX208" s="7"/>
      <c r="CY208" s="7"/>
      <c r="CZ208" s="7"/>
      <c r="DA208" s="7"/>
      <c r="DB208" s="7"/>
      <c r="DC208" s="7"/>
      <c r="DD208" s="7"/>
      <c r="DE208" s="7"/>
      <c r="DF208" s="7"/>
      <c r="DG208" s="7"/>
      <c r="DH208" s="7"/>
      <c r="DI208" s="7"/>
      <c r="DJ208" s="7"/>
      <c r="DK208" s="7"/>
      <c r="DL208" s="7"/>
      <c r="DM208" s="7"/>
      <c r="DN208" s="7"/>
      <c r="DO208" s="7"/>
      <c r="DP208" s="7"/>
      <c r="DQ208" s="7"/>
      <c r="DR208" s="7"/>
      <c r="DS208" s="7"/>
      <c r="DT208" s="7"/>
      <c r="DU208" s="7"/>
      <c r="DV208" s="7"/>
      <c r="DW208" s="7"/>
      <c r="DX208" s="7"/>
      <c r="DY208" s="7"/>
      <c r="DZ208" s="7"/>
      <c r="EA208" s="7"/>
      <c r="EB208" s="7"/>
      <c r="EC208" s="7"/>
      <c r="ED208" s="7"/>
      <c r="EE208" s="7"/>
      <c r="EF208" s="7"/>
      <c r="EG208" s="7"/>
      <c r="EH208" s="7"/>
      <c r="EI208" s="7"/>
      <c r="EJ208" s="7"/>
      <c r="EK208" s="7"/>
      <c r="EL208" s="7"/>
      <c r="EM208" s="7"/>
      <c r="EN208" s="7"/>
      <c r="EO208" s="7"/>
      <c r="EP208" s="7"/>
      <c r="ER208" s="123"/>
      <c r="ES208" s="123"/>
      <c r="ET208" s="123"/>
      <c r="EU208" s="123"/>
      <c r="EV208" s="123"/>
    </row>
    <row r="209" s="1" customFormat="true" ht="12.8" hidden="false" customHeight="false" outlineLevel="0" collapsed="false">
      <c r="A209" s="7" t="s">
        <v>389</v>
      </c>
      <c r="B209" s="7"/>
      <c r="C209" s="7"/>
      <c r="D209" s="7"/>
      <c r="E209" s="7"/>
      <c r="F209" s="7"/>
      <c r="G209" s="7"/>
      <c r="H209" s="7"/>
      <c r="I209" s="7"/>
      <c r="J209" s="7"/>
      <c r="K209" s="7"/>
      <c r="L209" s="7"/>
      <c r="M209" s="7" t="n">
        <v>2602</v>
      </c>
      <c r="N209" s="7" t="n">
        <v>2757</v>
      </c>
      <c r="O209" s="7"/>
      <c r="P209" s="7"/>
      <c r="Q209" s="7" t="n">
        <v>3011</v>
      </c>
      <c r="R209" s="7" t="n">
        <v>2337</v>
      </c>
      <c r="S209" s="7" t="n">
        <v>1900</v>
      </c>
      <c r="T209" s="7"/>
      <c r="U209" s="7"/>
      <c r="V209" s="7"/>
      <c r="W209" s="7"/>
      <c r="X209" s="7"/>
      <c r="Y209" s="7" t="n">
        <v>7953</v>
      </c>
      <c r="Z209" s="7" t="n">
        <v>6299</v>
      </c>
      <c r="AA209" s="7" t="n">
        <v>0</v>
      </c>
      <c r="AB209" s="7" t="n">
        <v>1802</v>
      </c>
      <c r="AC209" s="7" t="n">
        <v>2245</v>
      </c>
      <c r="AD209" s="7" t="n">
        <v>2602</v>
      </c>
      <c r="AE209" s="7" t="n">
        <v>3011</v>
      </c>
      <c r="AF209" s="7"/>
      <c r="AG209" s="7"/>
      <c r="AH209" s="7"/>
      <c r="AI209" s="7"/>
      <c r="AJ209" s="7"/>
      <c r="AK209" s="7"/>
      <c r="AL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c r="BV209" s="7"/>
      <c r="BW209" s="7"/>
      <c r="BX209" s="7"/>
      <c r="BY209" s="7"/>
      <c r="BZ209" s="7"/>
      <c r="CA209" s="7"/>
      <c r="CB209" s="7"/>
      <c r="CC209" s="7"/>
      <c r="CD209" s="7"/>
      <c r="CE209" s="7"/>
      <c r="CF209" s="7"/>
      <c r="CG209" s="7"/>
      <c r="CH209" s="7"/>
      <c r="CI209" s="7"/>
      <c r="CJ209" s="7"/>
      <c r="CK209" s="7"/>
      <c r="CL209" s="7"/>
      <c r="CM209" s="7"/>
      <c r="CN209" s="7"/>
      <c r="CO209" s="7"/>
      <c r="CP209" s="7"/>
      <c r="CQ209" s="7"/>
      <c r="CR209" s="7"/>
      <c r="CS209" s="7"/>
      <c r="CT209" s="7"/>
      <c r="CU209" s="7"/>
      <c r="CV209" s="7"/>
      <c r="CW209" s="7"/>
      <c r="CX209" s="7"/>
      <c r="CY209" s="7"/>
      <c r="CZ209" s="7"/>
      <c r="DA209" s="7"/>
      <c r="DB209" s="7"/>
      <c r="DC209" s="7"/>
      <c r="DD209" s="7"/>
      <c r="DE209" s="7"/>
      <c r="DF209" s="7"/>
      <c r="DG209" s="7"/>
      <c r="DH209" s="7"/>
      <c r="DI209" s="7"/>
      <c r="DJ209" s="7"/>
      <c r="DK209" s="7"/>
      <c r="DL209" s="7"/>
      <c r="DM209" s="7"/>
      <c r="DN209" s="7"/>
      <c r="DO209" s="7"/>
      <c r="DP209" s="7"/>
      <c r="DQ209" s="7"/>
      <c r="DR209" s="7"/>
      <c r="DS209" s="7"/>
      <c r="DT209" s="7"/>
      <c r="DU209" s="7"/>
      <c r="DV209" s="7"/>
      <c r="DW209" s="7"/>
      <c r="DX209" s="7"/>
      <c r="DY209" s="7"/>
      <c r="DZ209" s="7"/>
      <c r="EA209" s="7"/>
      <c r="EB209" s="7"/>
      <c r="EC209" s="7"/>
      <c r="ED209" s="7"/>
      <c r="EE209" s="7"/>
      <c r="EF209" s="7"/>
      <c r="EG209" s="7"/>
      <c r="EH209" s="7"/>
      <c r="EI209" s="7"/>
      <c r="EJ209" s="7"/>
      <c r="EK209" s="7"/>
      <c r="EL209" s="7"/>
      <c r="EM209" s="7"/>
      <c r="EN209" s="7"/>
      <c r="EO209" s="7"/>
      <c r="EP209" s="7"/>
    </row>
    <row r="210" s="1" customFormat="true" ht="12.8" hidden="false" customHeight="false" outlineLevel="0" collapsed="false">
      <c r="A210" s="7" t="s">
        <v>284</v>
      </c>
      <c r="B210" s="7"/>
      <c r="C210" s="7"/>
      <c r="D210" s="7"/>
      <c r="E210" s="7"/>
      <c r="F210" s="7"/>
      <c r="G210" s="7"/>
      <c r="H210" s="7"/>
      <c r="I210" s="7"/>
      <c r="J210" s="7"/>
      <c r="K210" s="7"/>
      <c r="L210" s="7"/>
      <c r="M210" s="7" t="n">
        <v>608</v>
      </c>
      <c r="N210" s="7" t="n">
        <v>814</v>
      </c>
      <c r="O210" s="7"/>
      <c r="P210" s="7"/>
      <c r="Q210" s="7" t="n">
        <v>1455</v>
      </c>
      <c r="R210" s="7" t="n">
        <v>1800</v>
      </c>
      <c r="S210" s="7" t="n">
        <v>2263</v>
      </c>
      <c r="T210" s="7"/>
      <c r="U210" s="7"/>
      <c r="V210" s="7"/>
      <c r="W210" s="7"/>
      <c r="X210" s="7"/>
      <c r="Y210" s="7" t="n">
        <v>204</v>
      </c>
      <c r="Z210" s="7" t="n">
        <v>329</v>
      </c>
      <c r="AA210" s="7" t="n">
        <v>315</v>
      </c>
      <c r="AB210" s="7" t="n">
        <v>312</v>
      </c>
      <c r="AC210" s="7" t="n">
        <v>329</v>
      </c>
      <c r="AD210" s="7" t="n">
        <v>608</v>
      </c>
      <c r="AE210" s="7" t="n">
        <v>1455</v>
      </c>
      <c r="AF210" s="7"/>
      <c r="AG210" s="7"/>
      <c r="AH210" s="7"/>
      <c r="AI210" s="7"/>
      <c r="AJ210" s="7"/>
      <c r="AK210" s="7"/>
      <c r="AL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c r="BV210" s="7"/>
      <c r="BW210" s="7"/>
      <c r="BX210" s="7"/>
      <c r="BY210" s="7"/>
      <c r="BZ210" s="7"/>
      <c r="CA210" s="7"/>
      <c r="CB210" s="7"/>
      <c r="CC210" s="7"/>
      <c r="CD210" s="7"/>
      <c r="CE210" s="7"/>
      <c r="CF210" s="7"/>
      <c r="CG210" s="7"/>
      <c r="CH210" s="7"/>
      <c r="CI210" s="7"/>
      <c r="CJ210" s="7"/>
      <c r="CK210" s="7"/>
      <c r="CL210" s="7"/>
      <c r="CM210" s="7"/>
      <c r="CN210" s="7"/>
      <c r="CO210" s="7"/>
      <c r="CP210" s="7"/>
      <c r="CQ210" s="7"/>
      <c r="CR210" s="7"/>
      <c r="CS210" s="7"/>
      <c r="CT210" s="7"/>
      <c r="CU210" s="7"/>
      <c r="CV210" s="7"/>
      <c r="CW210" s="7"/>
      <c r="CX210" s="7"/>
      <c r="CY210" s="7"/>
      <c r="CZ210" s="7"/>
      <c r="DA210" s="7"/>
      <c r="DB210" s="7"/>
      <c r="DC210" s="7"/>
      <c r="DD210" s="7"/>
      <c r="DE210" s="7"/>
      <c r="DF210" s="7"/>
      <c r="DG210" s="7"/>
      <c r="DH210" s="7"/>
      <c r="DI210" s="7"/>
      <c r="DJ210" s="7"/>
      <c r="DK210" s="7"/>
      <c r="DL210" s="7"/>
      <c r="DM210" s="7"/>
      <c r="DN210" s="7"/>
      <c r="DO210" s="7"/>
      <c r="DP210" s="7"/>
      <c r="DQ210" s="7"/>
      <c r="DR210" s="7"/>
      <c r="DS210" s="7"/>
      <c r="DT210" s="7"/>
      <c r="DU210" s="7"/>
      <c r="DV210" s="7"/>
      <c r="DW210" s="7"/>
      <c r="DX210" s="7"/>
      <c r="DY210" s="7"/>
      <c r="DZ210" s="7"/>
      <c r="EA210" s="7"/>
      <c r="EB210" s="7"/>
      <c r="EC210" s="7"/>
      <c r="ED210" s="7"/>
      <c r="EE210" s="7"/>
      <c r="EF210" s="7"/>
      <c r="EG210" s="7"/>
      <c r="EH210" s="7"/>
      <c r="EI210" s="7"/>
      <c r="EJ210" s="7"/>
      <c r="EK210" s="7"/>
      <c r="EL210" s="7"/>
      <c r="EM210" s="7"/>
      <c r="EN210" s="7"/>
      <c r="EO210" s="7"/>
      <c r="EP210" s="7"/>
    </row>
    <row r="211" customFormat="false" ht="12.8" hidden="false" customHeight="false" outlineLevel="0" collapsed="false">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c r="BV211" s="7"/>
      <c r="BW211" s="7"/>
      <c r="BX211" s="7"/>
      <c r="BY211" s="7"/>
      <c r="BZ211" s="7"/>
      <c r="CA211" s="7"/>
      <c r="CB211" s="7"/>
      <c r="CC211" s="7"/>
      <c r="CD211" s="7"/>
      <c r="CE211" s="7"/>
      <c r="CF211" s="7"/>
      <c r="CG211" s="7"/>
      <c r="CH211" s="7"/>
      <c r="CI211" s="7"/>
      <c r="CJ211" s="7"/>
      <c r="CK211" s="7"/>
      <c r="CL211" s="7"/>
      <c r="CM211" s="7"/>
      <c r="CN211" s="7"/>
      <c r="CO211" s="7"/>
      <c r="CP211" s="7"/>
      <c r="CQ211" s="7"/>
      <c r="CR211" s="7"/>
      <c r="CS211" s="7"/>
      <c r="CT211" s="7"/>
      <c r="CU211" s="7"/>
      <c r="CV211" s="7"/>
      <c r="CW211" s="7"/>
      <c r="CX211" s="7"/>
      <c r="CY211" s="7"/>
      <c r="CZ211" s="7"/>
      <c r="DA211" s="7"/>
      <c r="DB211" s="7"/>
      <c r="DC211" s="7"/>
      <c r="DD211" s="7"/>
      <c r="DE211" s="7"/>
      <c r="DF211" s="7"/>
      <c r="DG211" s="7"/>
      <c r="DH211" s="7"/>
      <c r="DI211" s="7"/>
      <c r="DJ211" s="7"/>
      <c r="DK211" s="7"/>
      <c r="DL211" s="7"/>
      <c r="DM211" s="7"/>
      <c r="DN211" s="7"/>
      <c r="DO211" s="7"/>
      <c r="DP211" s="7"/>
      <c r="DQ211" s="7"/>
      <c r="DR211" s="7"/>
      <c r="DS211" s="7"/>
      <c r="DT211" s="7"/>
      <c r="DU211" s="7"/>
      <c r="DV211" s="7"/>
      <c r="DW211" s="7"/>
      <c r="DX211" s="7"/>
      <c r="DY211" s="7"/>
      <c r="DZ211" s="7"/>
      <c r="EA211" s="7"/>
      <c r="EB211" s="7"/>
      <c r="EC211" s="7"/>
      <c r="ED211" s="7"/>
      <c r="EE211" s="7"/>
      <c r="EF211" s="7"/>
      <c r="EG211" s="7"/>
      <c r="EH211" s="7"/>
      <c r="EI211" s="7"/>
      <c r="EJ211" s="7"/>
      <c r="EK211" s="7"/>
      <c r="EL211" s="7"/>
      <c r="EM211" s="7"/>
      <c r="EN211" s="7"/>
      <c r="EO211" s="7"/>
      <c r="EP211" s="7"/>
    </row>
    <row r="212" customFormat="false" ht="12.8" hidden="false" customHeight="false" outlineLevel="0" collapsed="false">
      <c r="A212" s="7" t="s">
        <v>390</v>
      </c>
      <c r="B212" s="7"/>
      <c r="C212" s="7"/>
      <c r="D212" s="7"/>
      <c r="E212" s="7"/>
      <c r="F212" s="7"/>
      <c r="G212" s="7"/>
      <c r="H212" s="7"/>
      <c r="I212" s="7"/>
      <c r="J212" s="7"/>
      <c r="K212" s="7"/>
      <c r="L212" s="7"/>
      <c r="M212" s="7" t="n">
        <v>144</v>
      </c>
      <c r="N212" s="7" t="n">
        <v>144</v>
      </c>
      <c r="O212" s="7"/>
      <c r="P212" s="7"/>
      <c r="Q212" s="7" t="n">
        <v>119</v>
      </c>
      <c r="R212" s="7" t="n">
        <v>99</v>
      </c>
      <c r="S212" s="7" t="n">
        <v>0</v>
      </c>
      <c r="T212" s="7"/>
      <c r="U212" s="7"/>
      <c r="V212" s="7"/>
      <c r="W212" s="7"/>
      <c r="X212" s="7"/>
      <c r="Y212" s="7"/>
      <c r="Z212" s="7" t="n">
        <v>83</v>
      </c>
      <c r="AA212" s="7" t="n">
        <v>132</v>
      </c>
      <c r="AB212" s="7" t="n">
        <v>110</v>
      </c>
      <c r="AC212" s="7" t="n">
        <v>126</v>
      </c>
      <c r="AD212" s="7" t="n">
        <v>144</v>
      </c>
      <c r="AE212" s="7" t="n">
        <v>119</v>
      </c>
      <c r="AF212" s="7"/>
      <c r="AG212" s="7"/>
      <c r="AH212" s="7"/>
      <c r="AI212" s="7"/>
      <c r="AJ212" s="7"/>
    </row>
    <row r="215" customFormat="false" ht="12.8" hidden="false" customHeight="false" outlineLevel="0" collapsed="false">
      <c r="ER215" s="123"/>
      <c r="ES215" s="123"/>
      <c r="ET215" s="123"/>
      <c r="EU215" s="123"/>
      <c r="EV215" s="123"/>
    </row>
    <row r="216" customFormat="false" ht="12.8" hidden="false" customHeight="false" outlineLevel="0" collapsed="false">
      <c r="A216" s="30" t="s">
        <v>391</v>
      </c>
      <c r="AM216" s="7"/>
      <c r="AN216" s="7"/>
      <c r="ER216" s="123"/>
      <c r="ES216" s="123"/>
      <c r="ET216" s="123"/>
      <c r="EU216" s="123"/>
      <c r="EV216" s="123"/>
    </row>
    <row r="217" s="1" customFormat="true" ht="13.1" hidden="false" customHeight="false" outlineLevel="0" collapsed="false">
      <c r="A217" s="7" t="s">
        <v>392</v>
      </c>
      <c r="B217" s="7"/>
      <c r="C217" s="7"/>
      <c r="D217" s="7"/>
      <c r="E217" s="7"/>
      <c r="F217" s="7"/>
      <c r="G217" s="7"/>
      <c r="H217" s="7"/>
      <c r="I217" s="7"/>
      <c r="J217" s="7"/>
      <c r="K217" s="7"/>
      <c r="L217" s="7"/>
      <c r="M217" s="7"/>
      <c r="N217" s="7"/>
      <c r="O217" s="7"/>
      <c r="P217" s="7"/>
      <c r="Q217" s="131" t="n">
        <v>1756996685</v>
      </c>
      <c r="R217" s="131" t="n">
        <v>1251737898</v>
      </c>
      <c r="S217" s="131" t="n">
        <v>1343010453</v>
      </c>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c r="BV217" s="7"/>
      <c r="BW217" s="7"/>
      <c r="BX217" s="7"/>
      <c r="BY217" s="7"/>
      <c r="BZ217" s="7"/>
      <c r="CA217" s="7"/>
      <c r="CB217" s="7"/>
      <c r="CC217" s="7"/>
      <c r="CD217" s="7"/>
      <c r="CE217" s="7"/>
      <c r="CF217" s="7"/>
      <c r="CG217" s="7"/>
      <c r="CH217" s="7"/>
      <c r="CI217" s="7"/>
      <c r="CJ217" s="7"/>
      <c r="CK217" s="7"/>
      <c r="CL217" s="7"/>
      <c r="CM217" s="7"/>
      <c r="CN217" s="7"/>
      <c r="CO217" s="7"/>
      <c r="CP217" s="7"/>
      <c r="CQ217" s="7"/>
      <c r="CR217" s="7"/>
      <c r="CS217" s="7"/>
      <c r="CT217" s="7"/>
      <c r="CU217" s="7"/>
      <c r="CV217" s="7"/>
      <c r="CW217" s="7"/>
      <c r="CX217" s="7"/>
      <c r="CY217" s="7"/>
      <c r="CZ217" s="7"/>
      <c r="DA217" s="7"/>
      <c r="DB217" s="7"/>
      <c r="DC217" s="7"/>
      <c r="DD217" s="7"/>
      <c r="DE217" s="7"/>
      <c r="DF217" s="7"/>
      <c r="DG217" s="7"/>
      <c r="DH217" s="7"/>
      <c r="DI217" s="7"/>
      <c r="DJ217" s="7"/>
      <c r="DK217" s="7"/>
      <c r="DL217" s="7"/>
      <c r="DM217" s="7"/>
      <c r="DN217" s="7"/>
      <c r="DO217" s="7"/>
      <c r="DP217" s="7"/>
      <c r="DQ217" s="7"/>
      <c r="DR217" s="7"/>
      <c r="DS217" s="7"/>
      <c r="DT217" s="7"/>
      <c r="DU217" s="7"/>
      <c r="DV217" s="7"/>
      <c r="DW217" s="7"/>
      <c r="DX217" s="7"/>
      <c r="DY217" s="7"/>
      <c r="DZ217" s="7"/>
      <c r="EA217" s="7"/>
      <c r="EB217" s="7"/>
      <c r="EC217" s="7"/>
      <c r="ED217" s="7"/>
      <c r="EE217" s="7"/>
      <c r="EF217" s="7"/>
      <c r="EG217" s="7"/>
      <c r="EH217" s="7"/>
      <c r="EI217" s="7"/>
      <c r="EJ217" s="7"/>
      <c r="EK217" s="7"/>
      <c r="EL217" s="7"/>
      <c r="EM217" s="7"/>
      <c r="EN217" s="7"/>
      <c r="EO217" s="7"/>
      <c r="EP217" s="7"/>
      <c r="EQ217" s="7"/>
    </row>
    <row r="218" s="1" customFormat="true" ht="13.1" hidden="false" customHeight="false" outlineLevel="0" collapsed="false">
      <c r="A218" s="7" t="s">
        <v>393</v>
      </c>
      <c r="B218" s="7"/>
      <c r="C218" s="7"/>
      <c r="D218" s="7"/>
      <c r="E218" s="7"/>
      <c r="F218" s="7"/>
      <c r="G218" s="7"/>
      <c r="H218" s="7"/>
      <c r="I218" s="7"/>
      <c r="J218" s="7"/>
      <c r="K218" s="7"/>
      <c r="L218" s="7"/>
      <c r="M218" s="7"/>
      <c r="N218" s="7"/>
      <c r="O218" s="7"/>
      <c r="P218" s="7"/>
      <c r="Q218" s="131" t="n">
        <v>3226135952</v>
      </c>
      <c r="R218" s="131" t="n">
        <v>2674155880</v>
      </c>
      <c r="S218" s="131" t="n">
        <v>1961404914</v>
      </c>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c r="BV218" s="7"/>
      <c r="BW218" s="7"/>
      <c r="BX218" s="7"/>
      <c r="BY218" s="7"/>
      <c r="BZ218" s="7"/>
      <c r="CA218" s="7"/>
      <c r="CB218" s="7"/>
      <c r="CC218" s="7"/>
      <c r="CD218" s="7"/>
      <c r="CE218" s="7"/>
      <c r="CF218" s="7"/>
      <c r="CG218" s="7"/>
      <c r="CH218" s="7"/>
      <c r="CI218" s="7"/>
      <c r="CJ218" s="7"/>
      <c r="CK218" s="7"/>
      <c r="CL218" s="7"/>
      <c r="CM218" s="7"/>
      <c r="CN218" s="7"/>
      <c r="CO218" s="7"/>
      <c r="CP218" s="7"/>
      <c r="CQ218" s="7"/>
      <c r="CR218" s="7"/>
      <c r="CS218" s="7"/>
      <c r="CT218" s="7"/>
      <c r="CU218" s="7"/>
      <c r="CV218" s="7"/>
      <c r="CW218" s="7"/>
      <c r="CX218" s="7"/>
      <c r="CY218" s="7"/>
      <c r="CZ218" s="7"/>
      <c r="DA218" s="7"/>
      <c r="DB218" s="7"/>
      <c r="DC218" s="7"/>
      <c r="DD218" s="7"/>
      <c r="DE218" s="7"/>
      <c r="DF218" s="7"/>
      <c r="DG218" s="7"/>
      <c r="DH218" s="7"/>
      <c r="DI218" s="7"/>
      <c r="DJ218" s="7"/>
      <c r="DK218" s="7"/>
      <c r="DL218" s="7"/>
      <c r="DM218" s="7"/>
      <c r="DN218" s="7"/>
      <c r="DO218" s="7"/>
      <c r="DP218" s="7"/>
      <c r="DQ218" s="7"/>
      <c r="DR218" s="7"/>
      <c r="DS218" s="7"/>
      <c r="DT218" s="7"/>
      <c r="DU218" s="7"/>
      <c r="DV218" s="7"/>
      <c r="DW218" s="7"/>
      <c r="DX218" s="7"/>
      <c r="DY218" s="7"/>
      <c r="DZ218" s="7"/>
      <c r="EA218" s="7"/>
      <c r="EB218" s="7"/>
      <c r="EC218" s="7"/>
      <c r="ED218" s="7"/>
      <c r="EE218" s="7"/>
      <c r="EF218" s="7"/>
      <c r="EG218" s="7"/>
      <c r="EH218" s="7"/>
      <c r="EI218" s="7"/>
      <c r="EJ218" s="7"/>
      <c r="EK218" s="7"/>
      <c r="EL218" s="7"/>
      <c r="EM218" s="7"/>
      <c r="EN218" s="7"/>
      <c r="EO218" s="7"/>
      <c r="EP218" s="7"/>
      <c r="EQ218" s="7"/>
    </row>
    <row r="219" s="1" customFormat="true" ht="13.1" hidden="false" customHeight="false" outlineLevel="0" collapsed="false">
      <c r="A219" s="7" t="s">
        <v>394</v>
      </c>
      <c r="B219" s="7"/>
      <c r="C219" s="7"/>
      <c r="D219" s="7"/>
      <c r="E219" s="7"/>
      <c r="F219" s="7"/>
      <c r="G219" s="7"/>
      <c r="H219" s="7"/>
      <c r="I219" s="7"/>
      <c r="J219" s="7"/>
      <c r="K219" s="7"/>
      <c r="L219" s="7"/>
      <c r="M219" s="7"/>
      <c r="N219" s="7"/>
      <c r="O219" s="7"/>
      <c r="P219" s="7"/>
      <c r="Q219" s="131" t="n">
        <v>115226817</v>
      </c>
      <c r="R219" s="131" t="n">
        <v>94237546</v>
      </c>
      <c r="S219" s="131" t="n">
        <v>58969858</v>
      </c>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c r="BV219" s="7"/>
      <c r="BW219" s="7"/>
      <c r="BX219" s="7"/>
      <c r="BY219" s="7"/>
      <c r="BZ219" s="7"/>
      <c r="CA219" s="7"/>
      <c r="CB219" s="7"/>
      <c r="CC219" s="7"/>
      <c r="CD219" s="7"/>
      <c r="CE219" s="7"/>
      <c r="CF219" s="7"/>
      <c r="CG219" s="7"/>
      <c r="CH219" s="7"/>
      <c r="CI219" s="7"/>
      <c r="CJ219" s="7"/>
      <c r="CK219" s="7"/>
      <c r="CL219" s="7"/>
      <c r="CM219" s="7"/>
      <c r="CN219" s="7"/>
      <c r="CO219" s="7"/>
      <c r="CP219" s="7"/>
      <c r="CQ219" s="7"/>
      <c r="CR219" s="7"/>
      <c r="CS219" s="7"/>
      <c r="CT219" s="7"/>
      <c r="CU219" s="7"/>
      <c r="CV219" s="7"/>
      <c r="CW219" s="7"/>
      <c r="CX219" s="7"/>
      <c r="CY219" s="7"/>
      <c r="CZ219" s="7"/>
      <c r="DA219" s="7"/>
      <c r="DB219" s="7"/>
      <c r="DC219" s="7"/>
      <c r="DD219" s="7"/>
      <c r="DE219" s="7"/>
      <c r="DF219" s="7"/>
      <c r="DG219" s="7"/>
      <c r="DH219" s="7"/>
      <c r="DI219" s="7"/>
      <c r="DJ219" s="7"/>
      <c r="DK219" s="7"/>
      <c r="DL219" s="7"/>
      <c r="DM219" s="7"/>
      <c r="DN219" s="7"/>
      <c r="DO219" s="7"/>
      <c r="DP219" s="7"/>
      <c r="DQ219" s="7"/>
      <c r="DR219" s="7"/>
      <c r="DS219" s="7"/>
      <c r="DT219" s="7"/>
      <c r="DU219" s="7"/>
      <c r="DV219" s="7"/>
      <c r="DW219" s="7"/>
      <c r="DX219" s="7"/>
      <c r="DY219" s="7"/>
      <c r="DZ219" s="7"/>
      <c r="EA219" s="7"/>
      <c r="EB219" s="7"/>
      <c r="EC219" s="7"/>
      <c r="ED219" s="7"/>
      <c r="EE219" s="7"/>
      <c r="EF219" s="7"/>
      <c r="EG219" s="7"/>
      <c r="EH219" s="7"/>
      <c r="EI219" s="7"/>
      <c r="EJ219" s="7"/>
      <c r="EK219" s="7"/>
      <c r="EL219" s="7"/>
      <c r="EM219" s="7"/>
      <c r="EN219" s="7"/>
      <c r="EO219" s="7"/>
      <c r="EP219" s="7"/>
      <c r="EQ219" s="7"/>
    </row>
    <row r="220" s="1" customFormat="true" ht="13.1" hidden="false" customHeight="false" outlineLevel="0" collapsed="false">
      <c r="A220" s="7" t="s">
        <v>395</v>
      </c>
      <c r="B220" s="7"/>
      <c r="C220" s="7"/>
      <c r="D220" s="7"/>
      <c r="E220" s="7"/>
      <c r="F220" s="7"/>
      <c r="G220" s="7"/>
      <c r="H220" s="7"/>
      <c r="I220" s="7"/>
      <c r="J220" s="7"/>
      <c r="K220" s="7"/>
      <c r="L220" s="7"/>
      <c r="M220" s="7"/>
      <c r="N220" s="7"/>
      <c r="O220" s="7"/>
      <c r="P220" s="7"/>
      <c r="Q220" s="131" t="n">
        <v>24081415</v>
      </c>
      <c r="R220" s="131" t="n">
        <v>21493129</v>
      </c>
      <c r="S220" s="131" t="n">
        <v>17476109</v>
      </c>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c r="BV220" s="7"/>
      <c r="BW220" s="7"/>
      <c r="BX220" s="7"/>
      <c r="BY220" s="7"/>
      <c r="BZ220" s="7"/>
      <c r="CA220" s="7"/>
      <c r="CB220" s="7"/>
      <c r="CC220" s="7"/>
      <c r="CD220" s="7"/>
      <c r="CE220" s="7"/>
      <c r="CF220" s="7"/>
      <c r="CG220" s="7"/>
      <c r="CH220" s="7"/>
      <c r="CI220" s="7"/>
      <c r="CJ220" s="7"/>
      <c r="CK220" s="7"/>
      <c r="CL220" s="7"/>
      <c r="CM220" s="7"/>
      <c r="CN220" s="7"/>
      <c r="CO220" s="7"/>
      <c r="CP220" s="7"/>
      <c r="CQ220" s="7"/>
      <c r="CR220" s="7"/>
      <c r="CS220" s="7"/>
      <c r="CT220" s="7"/>
      <c r="CU220" s="7"/>
      <c r="CV220" s="7"/>
      <c r="CW220" s="7"/>
      <c r="CX220" s="7"/>
      <c r="CY220" s="7"/>
      <c r="CZ220" s="7"/>
      <c r="DA220" s="7"/>
      <c r="DB220" s="7"/>
      <c r="DC220" s="7"/>
      <c r="DD220" s="7"/>
      <c r="DE220" s="7"/>
      <c r="DF220" s="7"/>
      <c r="DG220" s="7"/>
      <c r="DH220" s="7"/>
      <c r="DI220" s="7"/>
      <c r="DJ220" s="7"/>
      <c r="DK220" s="7"/>
      <c r="DL220" s="7"/>
      <c r="DM220" s="7"/>
      <c r="DN220" s="7"/>
      <c r="DO220" s="7"/>
      <c r="DP220" s="7"/>
      <c r="DQ220" s="7"/>
      <c r="DR220" s="7"/>
      <c r="DS220" s="7"/>
      <c r="DT220" s="7"/>
      <c r="DU220" s="7"/>
      <c r="DV220" s="7"/>
      <c r="DW220" s="7"/>
      <c r="DX220" s="7"/>
      <c r="DY220" s="7"/>
      <c r="DZ220" s="7"/>
      <c r="EA220" s="7"/>
      <c r="EB220" s="7"/>
      <c r="EC220" s="7"/>
      <c r="ED220" s="7"/>
      <c r="EE220" s="7"/>
      <c r="EF220" s="7"/>
      <c r="EG220" s="7"/>
      <c r="EH220" s="7"/>
      <c r="EI220" s="7"/>
      <c r="EJ220" s="7"/>
      <c r="EK220" s="7"/>
      <c r="EL220" s="7"/>
      <c r="EM220" s="7"/>
      <c r="EN220" s="7"/>
      <c r="EO220" s="7"/>
      <c r="EP220" s="7"/>
      <c r="EQ220" s="7"/>
    </row>
    <row r="221" s="1" customFormat="true" ht="13.1" hidden="false" customHeight="false" outlineLevel="0" collapsed="false">
      <c r="A221" s="7" t="s">
        <v>396</v>
      </c>
      <c r="B221" s="7"/>
      <c r="C221" s="7"/>
      <c r="D221" s="7"/>
      <c r="E221" s="7"/>
      <c r="F221" s="7"/>
      <c r="G221" s="7"/>
      <c r="H221" s="7"/>
      <c r="I221" s="7"/>
      <c r="J221" s="7"/>
      <c r="K221" s="7"/>
      <c r="L221" s="7"/>
      <c r="M221" s="7"/>
      <c r="N221" s="7"/>
      <c r="O221" s="7"/>
      <c r="P221" s="7"/>
      <c r="Q221" s="131" t="n">
        <v>713022</v>
      </c>
      <c r="R221" s="131" t="n">
        <v>641450</v>
      </c>
      <c r="S221" s="131" t="n">
        <v>550971</v>
      </c>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c r="BV221" s="7"/>
      <c r="BW221" s="7"/>
      <c r="BX221" s="7"/>
      <c r="BY221" s="7"/>
      <c r="BZ221" s="7"/>
      <c r="CA221" s="7"/>
      <c r="CB221" s="7"/>
      <c r="CC221" s="7"/>
      <c r="CD221" s="7"/>
      <c r="CE221" s="7"/>
      <c r="CF221" s="7"/>
      <c r="CG221" s="7"/>
      <c r="CH221" s="7"/>
      <c r="CI221" s="7"/>
      <c r="CJ221" s="7"/>
      <c r="CK221" s="7"/>
      <c r="CL221" s="7"/>
      <c r="CM221" s="7"/>
      <c r="CN221" s="7"/>
      <c r="CO221" s="7"/>
      <c r="CP221" s="7"/>
      <c r="CQ221" s="7"/>
      <c r="CR221" s="7"/>
      <c r="CS221" s="7"/>
      <c r="CT221" s="7"/>
      <c r="CU221" s="7"/>
      <c r="CV221" s="7"/>
      <c r="CW221" s="7"/>
      <c r="CX221" s="7"/>
      <c r="CY221" s="7"/>
      <c r="CZ221" s="7"/>
      <c r="DA221" s="7"/>
      <c r="DB221" s="7"/>
      <c r="DC221" s="7"/>
      <c r="DD221" s="7"/>
      <c r="DE221" s="7"/>
      <c r="DF221" s="7"/>
      <c r="DG221" s="7"/>
      <c r="DH221" s="7"/>
      <c r="DI221" s="7"/>
      <c r="DJ221" s="7"/>
      <c r="DK221" s="7"/>
      <c r="DL221" s="7"/>
      <c r="DM221" s="7"/>
      <c r="DN221" s="7"/>
      <c r="DO221" s="7"/>
      <c r="DP221" s="7"/>
      <c r="DQ221" s="7"/>
      <c r="DR221" s="7"/>
      <c r="DS221" s="7"/>
      <c r="DT221" s="7"/>
      <c r="DU221" s="7"/>
      <c r="DV221" s="7"/>
      <c r="DW221" s="7"/>
      <c r="DX221" s="7"/>
      <c r="DY221" s="7"/>
      <c r="DZ221" s="7"/>
      <c r="EA221" s="7"/>
      <c r="EB221" s="7"/>
      <c r="EC221" s="7"/>
      <c r="ED221" s="7"/>
      <c r="EE221" s="7"/>
      <c r="EF221" s="7"/>
      <c r="EG221" s="7"/>
      <c r="EH221" s="7"/>
      <c r="EI221" s="7"/>
      <c r="EJ221" s="7"/>
      <c r="EK221" s="7"/>
      <c r="EL221" s="7"/>
      <c r="EM221" s="7"/>
      <c r="EN221" s="7"/>
      <c r="EO221" s="7"/>
      <c r="EP221" s="7"/>
      <c r="EQ221" s="7"/>
    </row>
    <row r="222" s="1" customFormat="true" ht="13.1" hidden="false" customHeight="false" outlineLevel="0" collapsed="false">
      <c r="A222" s="7" t="s">
        <v>397</v>
      </c>
      <c r="B222" s="7"/>
      <c r="C222" s="7"/>
      <c r="D222" s="7"/>
      <c r="E222" s="7"/>
      <c r="F222" s="7"/>
      <c r="G222" s="7"/>
      <c r="H222" s="7"/>
      <c r="I222" s="7"/>
      <c r="J222" s="7"/>
      <c r="K222" s="7"/>
      <c r="L222" s="7"/>
      <c r="M222" s="7"/>
      <c r="N222" s="7"/>
      <c r="O222" s="7"/>
      <c r="P222" s="7"/>
      <c r="Q222" s="131" t="n">
        <v>326282729</v>
      </c>
      <c r="R222" s="131" t="n">
        <v>144968829</v>
      </c>
      <c r="S222" s="131" t="n">
        <v>130705103</v>
      </c>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c r="BV222" s="7"/>
      <c r="BW222" s="7"/>
      <c r="BX222" s="7"/>
      <c r="BY222" s="7"/>
      <c r="BZ222" s="7"/>
      <c r="CA222" s="7"/>
      <c r="CB222" s="7"/>
      <c r="CC222" s="7"/>
      <c r="CD222" s="7"/>
      <c r="CE222" s="7"/>
      <c r="CF222" s="7"/>
      <c r="CG222" s="7"/>
      <c r="CH222" s="7"/>
      <c r="CI222" s="7"/>
      <c r="CJ222" s="7"/>
      <c r="CK222" s="7"/>
      <c r="CL222" s="7"/>
      <c r="CM222" s="7"/>
      <c r="CN222" s="7"/>
      <c r="CO222" s="7"/>
      <c r="CP222" s="7"/>
      <c r="CQ222" s="7"/>
      <c r="CR222" s="7"/>
      <c r="CS222" s="7"/>
      <c r="CT222" s="7"/>
      <c r="CU222" s="7"/>
      <c r="CV222" s="7"/>
      <c r="CW222" s="7"/>
      <c r="CX222" s="7"/>
      <c r="CY222" s="7"/>
      <c r="CZ222" s="7"/>
      <c r="DA222" s="7"/>
      <c r="DB222" s="7"/>
      <c r="DC222" s="7"/>
      <c r="DD222" s="7"/>
      <c r="DE222" s="7"/>
      <c r="DF222" s="7"/>
      <c r="DG222" s="7"/>
      <c r="DH222" s="7"/>
      <c r="DI222" s="7"/>
      <c r="DJ222" s="7"/>
      <c r="DK222" s="7"/>
      <c r="DL222" s="7"/>
      <c r="DM222" s="7"/>
      <c r="DN222" s="7"/>
      <c r="DO222" s="7"/>
      <c r="DP222" s="7"/>
      <c r="DQ222" s="7"/>
      <c r="DR222" s="7"/>
      <c r="DS222" s="7"/>
      <c r="DT222" s="7"/>
      <c r="DU222" s="7"/>
      <c r="DV222" s="7"/>
      <c r="DW222" s="7"/>
      <c r="DX222" s="7"/>
      <c r="DY222" s="7"/>
      <c r="DZ222" s="7"/>
      <c r="EA222" s="7"/>
      <c r="EB222" s="7"/>
      <c r="EC222" s="7"/>
      <c r="ED222" s="7"/>
      <c r="EE222" s="7"/>
      <c r="EF222" s="7"/>
      <c r="EG222" s="7"/>
      <c r="EH222" s="7"/>
      <c r="EI222" s="7"/>
      <c r="EJ222" s="7"/>
      <c r="EK222" s="7"/>
      <c r="EL222" s="7"/>
      <c r="EM222" s="7"/>
      <c r="EN222" s="7"/>
      <c r="EO222" s="7"/>
      <c r="EP222" s="7"/>
      <c r="EQ222" s="7"/>
    </row>
    <row r="223" s="1" customFormat="true" ht="13.1" hidden="false" customHeight="false" outlineLevel="0" collapsed="false">
      <c r="A223" s="7" t="s">
        <v>398</v>
      </c>
      <c r="B223" s="7"/>
      <c r="C223" s="7"/>
      <c r="D223" s="7"/>
      <c r="E223" s="7"/>
      <c r="F223" s="7"/>
      <c r="G223" s="7"/>
      <c r="H223" s="7"/>
      <c r="I223" s="7"/>
      <c r="J223" s="7"/>
      <c r="K223" s="7"/>
      <c r="L223" s="7"/>
      <c r="M223" s="7"/>
      <c r="N223" s="7"/>
      <c r="O223" s="7"/>
      <c r="P223" s="7"/>
      <c r="Q223" s="131" t="n">
        <v>0</v>
      </c>
      <c r="R223" s="131" t="n">
        <v>0</v>
      </c>
      <c r="S223" s="131" t="n">
        <v>90553975</v>
      </c>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c r="BM223" s="7"/>
      <c r="BN223" s="7"/>
      <c r="BO223" s="7"/>
      <c r="BP223" s="7"/>
      <c r="BQ223" s="7"/>
      <c r="BR223" s="7"/>
      <c r="BS223" s="7"/>
      <c r="BT223" s="7"/>
      <c r="BU223" s="7"/>
      <c r="BV223" s="7"/>
      <c r="BW223" s="7"/>
      <c r="BX223" s="7"/>
      <c r="BY223" s="7"/>
      <c r="BZ223" s="7"/>
      <c r="CA223" s="7"/>
      <c r="CB223" s="7"/>
      <c r="CC223" s="7"/>
      <c r="CD223" s="7"/>
      <c r="CE223" s="7"/>
      <c r="CF223" s="7"/>
      <c r="CG223" s="7"/>
      <c r="CH223" s="7"/>
      <c r="CI223" s="7"/>
      <c r="CJ223" s="7"/>
      <c r="CK223" s="7"/>
      <c r="CL223" s="7"/>
      <c r="CM223" s="7"/>
      <c r="CN223" s="7"/>
      <c r="CO223" s="7"/>
      <c r="CP223" s="7"/>
      <c r="CQ223" s="7"/>
      <c r="CR223" s="7"/>
      <c r="CS223" s="7"/>
      <c r="CT223" s="7"/>
      <c r="CU223" s="7"/>
      <c r="CV223" s="7"/>
      <c r="CW223" s="7"/>
      <c r="CX223" s="7"/>
      <c r="CY223" s="7"/>
      <c r="CZ223" s="7"/>
      <c r="DA223" s="7"/>
      <c r="DB223" s="7"/>
      <c r="DC223" s="7"/>
      <c r="DD223" s="7"/>
      <c r="DE223" s="7"/>
      <c r="DF223" s="7"/>
      <c r="DG223" s="7"/>
      <c r="DH223" s="7"/>
      <c r="DI223" s="7"/>
      <c r="DJ223" s="7"/>
      <c r="DK223" s="7"/>
      <c r="DL223" s="7"/>
      <c r="DM223" s="7"/>
      <c r="DN223" s="7"/>
      <c r="DO223" s="7"/>
      <c r="DP223" s="7"/>
      <c r="DQ223" s="7"/>
      <c r="DR223" s="7"/>
      <c r="DS223" s="7"/>
      <c r="DT223" s="7"/>
      <c r="DU223" s="7"/>
      <c r="DV223" s="7"/>
      <c r="DW223" s="7"/>
      <c r="DX223" s="7"/>
      <c r="DY223" s="7"/>
      <c r="DZ223" s="7"/>
      <c r="EA223" s="7"/>
      <c r="EB223" s="7"/>
      <c r="EC223" s="7"/>
      <c r="ED223" s="7"/>
      <c r="EE223" s="7"/>
      <c r="EF223" s="7"/>
      <c r="EG223" s="7"/>
      <c r="EH223" s="7"/>
      <c r="EI223" s="7"/>
      <c r="EJ223" s="7"/>
      <c r="EK223" s="7"/>
      <c r="EL223" s="7"/>
      <c r="EM223" s="7"/>
      <c r="EN223" s="7"/>
      <c r="EO223" s="7"/>
      <c r="EP223" s="7"/>
      <c r="EQ223" s="7"/>
    </row>
    <row r="224" s="1" customFormat="true" ht="12.8" hidden="false" customHeight="false" outlineLevel="0" collapsed="false">
      <c r="A224" s="7"/>
      <c r="B224" s="7"/>
      <c r="C224" s="7"/>
      <c r="D224" s="7"/>
      <c r="E224" s="7"/>
      <c r="F224" s="7"/>
      <c r="G224" s="7"/>
      <c r="H224" s="7"/>
      <c r="I224" s="7"/>
      <c r="J224" s="7"/>
      <c r="K224" s="7"/>
      <c r="L224" s="7"/>
      <c r="M224" s="7"/>
      <c r="N224" s="7"/>
      <c r="O224" s="7"/>
      <c r="P224" s="7"/>
      <c r="Q224" s="7" t="n">
        <f aca="false">+SUM(Q217:Q223)</f>
        <v>5449436620</v>
      </c>
      <c r="R224" s="7" t="n">
        <f aca="false">+SUM(R217:R223)</f>
        <v>4187234732</v>
      </c>
      <c r="S224" s="7" t="n">
        <f aca="false">+SUM(S217:S223)</f>
        <v>3602671383</v>
      </c>
      <c r="T224" s="7"/>
      <c r="U224" s="7"/>
      <c r="V224" s="7"/>
      <c r="W224" s="7"/>
      <c r="X224" s="7"/>
      <c r="Y224" s="7"/>
      <c r="Z224" s="7"/>
      <c r="AA224" s="7"/>
      <c r="AB224" s="7"/>
      <c r="AC224" s="7"/>
      <c r="AD224" s="7"/>
      <c r="AE224" s="7"/>
      <c r="AF224" s="7"/>
      <c r="AG224" s="7"/>
      <c r="AH224" s="7"/>
      <c r="AI224" s="7"/>
      <c r="AJ224" s="7"/>
      <c r="AK224" s="7"/>
      <c r="AL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c r="BM224" s="7"/>
      <c r="BN224" s="7"/>
      <c r="BO224" s="7"/>
      <c r="BP224" s="7"/>
      <c r="BQ224" s="7"/>
      <c r="BR224" s="7"/>
      <c r="BS224" s="7"/>
      <c r="BT224" s="7"/>
      <c r="BU224" s="7"/>
      <c r="BV224" s="7"/>
      <c r="BW224" s="7"/>
      <c r="BX224" s="7"/>
      <c r="BY224" s="7"/>
      <c r="BZ224" s="7"/>
      <c r="CA224" s="7"/>
      <c r="CB224" s="7"/>
      <c r="CC224" s="7"/>
      <c r="CD224" s="7"/>
      <c r="CE224" s="7"/>
      <c r="CF224" s="7"/>
      <c r="CG224" s="7"/>
      <c r="CH224" s="7"/>
      <c r="CI224" s="7"/>
      <c r="CJ224" s="7"/>
      <c r="CK224" s="7"/>
      <c r="CL224" s="7"/>
      <c r="CM224" s="7"/>
      <c r="CN224" s="7"/>
      <c r="CO224" s="7"/>
      <c r="CP224" s="7"/>
      <c r="CQ224" s="7"/>
      <c r="CR224" s="7"/>
      <c r="CS224" s="7"/>
      <c r="CT224" s="7"/>
      <c r="CU224" s="7"/>
      <c r="CV224" s="7"/>
      <c r="CW224" s="7"/>
      <c r="CX224" s="7"/>
      <c r="CY224" s="7"/>
      <c r="CZ224" s="7"/>
      <c r="DA224" s="7"/>
      <c r="DB224" s="7"/>
      <c r="DC224" s="7"/>
      <c r="DD224" s="7"/>
      <c r="DE224" s="7"/>
      <c r="DF224" s="7"/>
      <c r="DG224" s="7"/>
      <c r="DH224" s="7"/>
      <c r="DI224" s="7"/>
      <c r="DJ224" s="7"/>
      <c r="DK224" s="7"/>
      <c r="DL224" s="7"/>
      <c r="DM224" s="7"/>
      <c r="DN224" s="7"/>
      <c r="DO224" s="7"/>
      <c r="DP224" s="7"/>
      <c r="DQ224" s="7"/>
      <c r="DR224" s="7"/>
      <c r="DS224" s="7"/>
      <c r="DT224" s="7"/>
      <c r="DU224" s="7"/>
      <c r="DV224" s="7"/>
      <c r="DW224" s="7"/>
      <c r="DX224" s="7"/>
      <c r="DY224" s="7"/>
      <c r="DZ224" s="7"/>
      <c r="EA224" s="7"/>
      <c r="EB224" s="7"/>
      <c r="EC224" s="7"/>
      <c r="ED224" s="7"/>
      <c r="EE224" s="7"/>
      <c r="EF224" s="7"/>
      <c r="EG224" s="7"/>
      <c r="EH224" s="7"/>
      <c r="EI224" s="7"/>
      <c r="EJ224" s="7"/>
      <c r="EK224" s="7"/>
      <c r="EL224" s="7"/>
      <c r="EM224" s="7"/>
      <c r="EN224" s="7"/>
      <c r="EO224" s="7"/>
      <c r="EP224" s="7"/>
      <c r="EQ224" s="7"/>
    </row>
    <row r="229" customFormat="false" ht="12.8" hidden="false" customHeight="false" outlineLevel="0" collapsed="false">
      <c r="A229" s="1" t="s">
        <v>399</v>
      </c>
      <c r="O229" s="1" t="n">
        <f aca="false">+120-N229</f>
        <v>120</v>
      </c>
      <c r="S229" s="1" t="n">
        <f aca="false">+136-R229</f>
        <v>136</v>
      </c>
    </row>
    <row r="232" customFormat="false" ht="12.8" hidden="false" customHeight="false" outlineLevel="0" collapsed="false">
      <c r="A232" s="1" t="s">
        <v>400</v>
      </c>
      <c r="O232" s="1" t="n">
        <f aca="false">+3148-N232</f>
        <v>3148</v>
      </c>
      <c r="S232" s="1" t="n">
        <f aca="false">+3529-R232</f>
        <v>3529</v>
      </c>
    </row>
    <row r="235" customFormat="false" ht="12.8" hidden="false" customHeight="false" outlineLevel="0" collapsed="false">
      <c r="A235" s="1" t="s">
        <v>401</v>
      </c>
    </row>
    <row r="238" customFormat="false" ht="12.8" hidden="false" customHeight="false" outlineLevel="0" collapsed="false">
      <c r="A238" s="1" t="s">
        <v>402</v>
      </c>
    </row>
    <row r="241" customFormat="false" ht="12.8" hidden="false" customHeight="false" outlineLevel="0" collapsed="false">
      <c r="AM241" s="89"/>
      <c r="AN241" s="89"/>
    </row>
    <row r="242" customFormat="false" ht="12.8" hidden="false" customHeight="false" outlineLevel="0" collapsed="false">
      <c r="AM242" s="85"/>
      <c r="AN242" s="85"/>
    </row>
  </sheetData>
  <mergeCells count="1">
    <mergeCell ref="AP106:AQ106"/>
  </mergeCells>
  <hyperlinks>
    <hyperlink ref="A1" r:id="rId2"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selection pane="topLeft" activeCell="M30" activeCellId="0" sqref="M30"/>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 width="17.67"/>
    <col collapsed="false" customWidth="true" hidden="false" outlineLevel="0" max="3" min="3" style="4" width="17.67"/>
    <col collapsed="false" customWidth="true" hidden="false" outlineLevel="0" max="4" min="4" style="1" width="22.84"/>
    <col collapsed="false" customWidth="true" hidden="false" outlineLevel="0" max="5" min="5" style="1" width="15.36"/>
    <col collapsed="false" customWidth="true" hidden="false" outlineLevel="0" max="11" min="6" style="1" width="17.67"/>
    <col collapsed="false" customWidth="false" hidden="false" outlineLevel="0" max="16384" min="12" style="1" width="11.53"/>
  </cols>
  <sheetData>
    <row r="1" customFormat="false" ht="12.8" hidden="false" customHeight="false" outlineLevel="0" collapsed="false">
      <c r="A1" s="36" t="s">
        <v>218</v>
      </c>
    </row>
    <row r="3" customFormat="false" ht="13.8" hidden="false" customHeight="false" outlineLevel="0" collapsed="false">
      <c r="B3" s="10"/>
      <c r="F3" s="132"/>
      <c r="G3" s="132"/>
      <c r="H3" s="132"/>
      <c r="I3" s="133"/>
      <c r="J3" s="132"/>
      <c r="K3" s="132"/>
      <c r="L3" s="132"/>
      <c r="M3" s="132"/>
      <c r="N3" s="132"/>
      <c r="O3" s="132"/>
    </row>
    <row r="4" customFormat="false" ht="14.55" hidden="false" customHeight="false" outlineLevel="0" collapsed="false">
      <c r="B4" s="134" t="s">
        <v>403</v>
      </c>
      <c r="C4" s="134" t="s">
        <v>404</v>
      </c>
      <c r="D4" s="134" t="s">
        <v>405</v>
      </c>
      <c r="E4" s="135" t="s">
        <v>406</v>
      </c>
      <c r="F4" s="134" t="s">
        <v>407</v>
      </c>
      <c r="G4" s="134" t="s">
        <v>408</v>
      </c>
      <c r="H4" s="134" t="s">
        <v>409</v>
      </c>
      <c r="I4" s="134" t="s">
        <v>410</v>
      </c>
      <c r="J4" s="134" t="s">
        <v>411</v>
      </c>
      <c r="K4" s="134" t="s">
        <v>412</v>
      </c>
    </row>
    <row r="5" customFormat="false" ht="13.8" hidden="false" customHeight="false" outlineLevel="0" collapsed="false">
      <c r="B5" s="136" t="s">
        <v>413</v>
      </c>
      <c r="C5" s="136" t="s">
        <v>414</v>
      </c>
      <c r="D5" s="136" t="s">
        <v>415</v>
      </c>
      <c r="E5" s="137" t="n">
        <v>0</v>
      </c>
      <c r="F5" s="136" t="s">
        <v>416</v>
      </c>
      <c r="G5" s="136" t="s">
        <v>417</v>
      </c>
      <c r="H5" s="138" t="s">
        <v>418</v>
      </c>
      <c r="I5" s="136" t="s">
        <v>419</v>
      </c>
      <c r="J5" s="136" t="s">
        <v>420</v>
      </c>
      <c r="K5" s="136" t="s">
        <v>414</v>
      </c>
      <c r="M5" s="1" t="s">
        <v>421</v>
      </c>
    </row>
    <row r="6" customFormat="false" ht="13.8" hidden="false" customHeight="false" outlineLevel="0" collapsed="false">
      <c r="B6" s="139" t="s">
        <v>422</v>
      </c>
      <c r="C6" s="139" t="s">
        <v>414</v>
      </c>
      <c r="D6" s="139" t="s">
        <v>415</v>
      </c>
      <c r="E6" s="140" t="n">
        <v>875</v>
      </c>
      <c r="F6" s="139" t="s">
        <v>423</v>
      </c>
      <c r="G6" s="139" t="s">
        <v>424</v>
      </c>
      <c r="H6" s="141" t="s">
        <v>418</v>
      </c>
      <c r="I6" s="139" t="s">
        <v>419</v>
      </c>
      <c r="J6" s="139" t="s">
        <v>420</v>
      </c>
      <c r="K6" s="139" t="s">
        <v>414</v>
      </c>
      <c r="M6" s="25" t="s">
        <v>425</v>
      </c>
    </row>
    <row r="7" customFormat="false" ht="13.8" hidden="false" customHeight="false" outlineLevel="0" collapsed="false">
      <c r="B7" s="136" t="s">
        <v>426</v>
      </c>
      <c r="C7" s="136" t="s">
        <v>414</v>
      </c>
      <c r="D7" s="136" t="s">
        <v>415</v>
      </c>
      <c r="E7" s="137" t="n">
        <v>4500</v>
      </c>
      <c r="F7" s="136" t="s">
        <v>423</v>
      </c>
      <c r="G7" s="136" t="s">
        <v>427</v>
      </c>
      <c r="H7" s="138" t="s">
        <v>428</v>
      </c>
      <c r="I7" s="136" t="s">
        <v>419</v>
      </c>
      <c r="J7" s="136" t="s">
        <v>420</v>
      </c>
      <c r="K7" s="136" t="s">
        <v>414</v>
      </c>
    </row>
    <row r="8" customFormat="false" ht="13.8" hidden="false" customHeight="false" outlineLevel="0" collapsed="false">
      <c r="B8" s="139" t="s">
        <v>429</v>
      </c>
      <c r="C8" s="139" t="s">
        <v>414</v>
      </c>
      <c r="D8" s="139" t="s">
        <v>415</v>
      </c>
      <c r="E8" s="140" t="n">
        <v>4500</v>
      </c>
      <c r="F8" s="139" t="s">
        <v>423</v>
      </c>
      <c r="G8" s="139" t="s">
        <v>427</v>
      </c>
      <c r="H8" s="141" t="s">
        <v>428</v>
      </c>
      <c r="I8" s="139" t="s">
        <v>419</v>
      </c>
      <c r="J8" s="139" t="s">
        <v>420</v>
      </c>
      <c r="K8" s="139" t="s">
        <v>414</v>
      </c>
    </row>
    <row r="9" customFormat="false" ht="13.8" hidden="false" customHeight="false" outlineLevel="0" collapsed="false">
      <c r="B9" s="136" t="s">
        <v>430</v>
      </c>
      <c r="C9" s="136" t="s">
        <v>414</v>
      </c>
      <c r="D9" s="136" t="s">
        <v>415</v>
      </c>
      <c r="E9" s="137" t="n">
        <v>4300</v>
      </c>
      <c r="F9" s="136" t="s">
        <v>423</v>
      </c>
      <c r="G9" s="136" t="s">
        <v>431</v>
      </c>
      <c r="H9" s="138" t="s">
        <v>428</v>
      </c>
      <c r="I9" s="136" t="s">
        <v>419</v>
      </c>
      <c r="J9" s="136" t="s">
        <v>420</v>
      </c>
      <c r="K9" s="136" t="s">
        <v>414</v>
      </c>
    </row>
    <row r="10" customFormat="false" ht="13.8" hidden="false" customHeight="false" outlineLevel="0" collapsed="false">
      <c r="B10" s="139" t="s">
        <v>432</v>
      </c>
      <c r="C10" s="139" t="s">
        <v>414</v>
      </c>
      <c r="D10" s="139" t="s">
        <v>415</v>
      </c>
      <c r="E10" s="140" t="n">
        <v>4150</v>
      </c>
      <c r="F10" s="139" t="s">
        <v>423</v>
      </c>
      <c r="G10" s="139" t="s">
        <v>433</v>
      </c>
      <c r="H10" s="141" t="s">
        <v>428</v>
      </c>
      <c r="I10" s="139" t="s">
        <v>419</v>
      </c>
      <c r="J10" s="139" t="s">
        <v>420</v>
      </c>
      <c r="K10" s="139" t="s">
        <v>414</v>
      </c>
    </row>
    <row r="11" customFormat="false" ht="13.8" hidden="false" customHeight="false" outlineLevel="0" collapsed="false">
      <c r="B11" s="136" t="s">
        <v>434</v>
      </c>
      <c r="C11" s="136" t="s">
        <v>414</v>
      </c>
      <c r="D11" s="136" t="s">
        <v>415</v>
      </c>
      <c r="E11" s="137" t="n">
        <v>4800</v>
      </c>
      <c r="F11" s="136" t="s">
        <v>423</v>
      </c>
      <c r="G11" s="136" t="s">
        <v>435</v>
      </c>
      <c r="H11" s="138" t="s">
        <v>428</v>
      </c>
      <c r="I11" s="136" t="s">
        <v>419</v>
      </c>
      <c r="J11" s="136" t="s">
        <v>420</v>
      </c>
      <c r="K11" s="136" t="s">
        <v>414</v>
      </c>
    </row>
    <row r="12" customFormat="false" ht="13.8" hidden="false" customHeight="false" outlineLevel="0" collapsed="false">
      <c r="B12" s="139" t="s">
        <v>436</v>
      </c>
      <c r="C12" s="139" t="s">
        <v>414</v>
      </c>
      <c r="D12" s="139" t="s">
        <v>415</v>
      </c>
      <c r="E12" s="140" t="n">
        <v>4800</v>
      </c>
      <c r="F12" s="139" t="s">
        <v>423</v>
      </c>
      <c r="G12" s="139" t="s">
        <v>437</v>
      </c>
      <c r="H12" s="141" t="s">
        <v>428</v>
      </c>
      <c r="I12" s="139" t="s">
        <v>419</v>
      </c>
      <c r="J12" s="139" t="s">
        <v>420</v>
      </c>
      <c r="K12" s="139" t="s">
        <v>414</v>
      </c>
    </row>
    <row r="13" customFormat="false" ht="13.8" hidden="false" customHeight="false" outlineLevel="0" collapsed="false">
      <c r="B13" s="136" t="s">
        <v>438</v>
      </c>
      <c r="C13" s="136" t="s">
        <v>414</v>
      </c>
      <c r="D13" s="136" t="s">
        <v>415</v>
      </c>
      <c r="E13" s="137" t="n">
        <v>5350</v>
      </c>
      <c r="F13" s="136" t="s">
        <v>423</v>
      </c>
      <c r="G13" s="136" t="s">
        <v>439</v>
      </c>
      <c r="H13" s="138" t="s">
        <v>428</v>
      </c>
      <c r="I13" s="136" t="s">
        <v>419</v>
      </c>
      <c r="J13" s="136" t="s">
        <v>420</v>
      </c>
      <c r="K13" s="136" t="s">
        <v>414</v>
      </c>
    </row>
    <row r="14" customFormat="false" ht="13.8" hidden="false" customHeight="false" outlineLevel="0" collapsed="false">
      <c r="B14" s="142"/>
      <c r="C14" s="142"/>
      <c r="D14" s="142"/>
      <c r="E14" s="143" t="n">
        <f aca="false">+AVERAGE(E5:E13)</f>
        <v>3697.22222222222</v>
      </c>
      <c r="F14" s="142"/>
      <c r="G14" s="142"/>
      <c r="H14" s="142"/>
      <c r="I14" s="142"/>
      <c r="J14" s="142"/>
      <c r="K14" s="142"/>
    </row>
    <row r="15" customFormat="false" ht="13.8" hidden="false" customHeight="false" outlineLevel="0" collapsed="false">
      <c r="B15" s="142"/>
      <c r="C15" s="142"/>
      <c r="D15" s="142"/>
      <c r="E15" s="142"/>
      <c r="F15" s="142"/>
      <c r="G15" s="142"/>
      <c r="H15" s="142"/>
      <c r="I15" s="142"/>
      <c r="J15" s="142"/>
      <c r="K15" s="142"/>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M26" activeCellId="0" sqref="M26"/>
    </sheetView>
  </sheetViews>
  <sheetFormatPr defaultColWidth="11.53515625" defaultRowHeight="12.8" customHeight="false" zeroHeight="false" outlineLevelRow="0" outlineLevelCol="0"/>
  <cols>
    <col collapsed="false" customWidth="false" hidden="false" outlineLevel="0" max="16384" min="1" style="1" width="11.53"/>
  </cols>
  <sheetData>
    <row r="1" customFormat="false" ht="12.8" hidden="false" customHeight="false" outlineLevel="0" collapsed="false">
      <c r="A1" s="36" t="s">
        <v>218</v>
      </c>
      <c r="G1" s="1" t="s">
        <v>440</v>
      </c>
      <c r="H1" s="1" t="s">
        <v>441</v>
      </c>
    </row>
    <row r="2" customFormat="false" ht="12.8" hidden="false" customHeight="false" outlineLevel="0" collapsed="false">
      <c r="A2" s="43" t="n">
        <v>2026</v>
      </c>
    </row>
    <row r="3" customFormat="false" ht="12.8" hidden="false" customHeight="false" outlineLevel="0" collapsed="false">
      <c r="A3" s="30" t="s">
        <v>2</v>
      </c>
      <c r="B3" s="1" t="s">
        <v>442</v>
      </c>
    </row>
    <row r="4" customFormat="false" ht="12.8" hidden="false" customHeight="false" outlineLevel="0" collapsed="false">
      <c r="A4" s="30" t="s">
        <v>2</v>
      </c>
      <c r="B4" s="1" t="s">
        <v>443</v>
      </c>
    </row>
    <row r="5" customFormat="false" ht="12.8" hidden="false" customHeight="false" outlineLevel="0" collapsed="false">
      <c r="A5" s="30" t="s">
        <v>2</v>
      </c>
      <c r="B5" s="1" t="s">
        <v>444</v>
      </c>
    </row>
    <row r="6" customFormat="false" ht="12.8" hidden="false" customHeight="false" outlineLevel="0" collapsed="false">
      <c r="A6" s="30"/>
      <c r="B6" s="30" t="s">
        <v>2</v>
      </c>
      <c r="C6" s="1" t="s">
        <v>445</v>
      </c>
    </row>
    <row r="7" customFormat="false" ht="12.8" hidden="false" customHeight="false" outlineLevel="0" collapsed="false">
      <c r="A7" s="30" t="s">
        <v>2</v>
      </c>
      <c r="B7" s="1" t="s">
        <v>446</v>
      </c>
    </row>
    <row r="8" customFormat="false" ht="12.8" hidden="false" customHeight="false" outlineLevel="0" collapsed="false">
      <c r="A8" s="30"/>
    </row>
    <row r="10" customFormat="false" ht="12.8" hidden="false" customHeight="false" outlineLevel="0" collapsed="false">
      <c r="B10" s="24" t="s">
        <v>447</v>
      </c>
    </row>
    <row r="11" customFormat="false" ht="12.8" hidden="false" customHeight="false" outlineLevel="0" collapsed="false">
      <c r="B11" s="30" t="s">
        <v>2</v>
      </c>
      <c r="C11" s="1" t="s">
        <v>448</v>
      </c>
    </row>
    <row r="13" customFormat="false" ht="12.8" hidden="false" customHeight="false" outlineLevel="0" collapsed="false">
      <c r="B13" s="24" t="s">
        <v>449</v>
      </c>
    </row>
    <row r="14" customFormat="false" ht="12.8" hidden="false" customHeight="false" outlineLevel="0" collapsed="false">
      <c r="B14" s="30" t="s">
        <v>2</v>
      </c>
      <c r="C14" s="1" t="s">
        <v>450</v>
      </c>
    </row>
    <row r="15" customFormat="false" ht="12.8" hidden="false" customHeight="false" outlineLevel="0" collapsed="false">
      <c r="C15" s="1" t="s">
        <v>451</v>
      </c>
    </row>
    <row r="17" customFormat="false" ht="12.8" hidden="false" customHeight="false" outlineLevel="0" collapsed="false">
      <c r="B17" s="24" t="s">
        <v>452</v>
      </c>
    </row>
    <row r="18" customFormat="false" ht="12.8" hidden="false" customHeight="false" outlineLevel="0" collapsed="false">
      <c r="B18" s="30" t="s">
        <v>2</v>
      </c>
      <c r="C18" s="1" t="s">
        <v>453</v>
      </c>
    </row>
    <row r="19" customFormat="false" ht="12.8" hidden="false" customHeight="false" outlineLevel="0" collapsed="false">
      <c r="C19" s="5" t="s">
        <v>454</v>
      </c>
    </row>
    <row r="21" customFormat="false" ht="12.8" hidden="false" customHeight="false" outlineLevel="0" collapsed="false">
      <c r="B21" s="24"/>
    </row>
    <row r="22" customFormat="false" ht="12.8" hidden="false" customHeight="false" outlineLevel="0" collapsed="false">
      <c r="B22" s="1" t="s">
        <v>455</v>
      </c>
    </row>
    <row r="25" customFormat="false" ht="12.8" hidden="false" customHeight="false" outlineLevel="0" collapsed="false">
      <c r="A25" s="5" t="s">
        <v>456</v>
      </c>
    </row>
  </sheetData>
  <hyperlinks>
    <hyperlink ref="A1" r:id="rId1"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2"/>
</worksheet>
</file>

<file path=docProps/app.xml><?xml version="1.0" encoding="utf-8"?>
<Properties xmlns="http://schemas.openxmlformats.org/officeDocument/2006/extended-properties" xmlns:vt="http://schemas.openxmlformats.org/officeDocument/2006/docPropsVTypes">
  <Template/>
  <TotalTime>20241</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2026-01-31T00:26:24Z</dcterms:created>
  <dc:creator/>
  <dc:description/>
  <dc:language>en-US</dc:language>
  <cp:lastModifiedBy/>
  <dcterms:modified xsi:type="dcterms:W3CDTF">2026-08-27T08:49:10Z</dcterms:modified>
  <cp:revision>449</cp:revision>
  <dc:subject/>
  <dc:title/>
</cp:coreProperties>
</file>

<file path=docProps/custom.xml><?xml version="1.0" encoding="utf-8"?>
<Properties xmlns="http://schemas.openxmlformats.org/officeDocument/2006/custom-properties" xmlns:vt="http://schemas.openxmlformats.org/officeDocument/2006/docPropsVTypes"/>
</file>