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hart1.xml" ContentType="application/vnd.openxmlformats-officedocument.drawingml.chart+xml"/>
  <Override PartName="/xl/charts/colors1.xml" ContentType="application/vnd.ms-office.chartcolorstyle+xml"/>
  <Override PartName="/xl/charts/style3.xml" ContentType="application/vnd.ms-office.chartstyle+xml"/>
  <Override PartName="/xl/charts/chart4.xml" ContentType="application/vnd.openxmlformats-officedocument.drawingml.chart+xml"/>
  <Override PartName="/xl/charts/chart3.xml" ContentType="application/vnd.openxmlformats-officedocument.drawingml.chart+xml"/>
  <Override PartName="/xl/charts/colors2.xml" ContentType="application/vnd.ms-office.chartcolorstyle+xml"/>
  <Override PartName="/xl/charts/style1.xml" ContentType="application/vnd.ms-office.chartstyle+xml"/>
  <Override PartName="/xl/charts/style4.xml" ContentType="application/vnd.ms-office.chartstyle+xml"/>
  <Override PartName="/xl/charts/colors3.xml" ContentType="application/vnd.ms-office.chartcolor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ain" sheetId="1" state="visible" r:id="rId3"/>
    <sheet name="Model" sheetId="2" state="visible" r:id="rId4"/>
    <sheet name="Bond" sheetId="3" state="visible" r:id="rId5"/>
    <sheet name="Board " sheetId="4" state="visible" r:id="rId6"/>
  </sheets>
  <externalReferences>
    <externalReference r:id="rId7"/>
  </externalReferences>
  <calcPr iterateCount="100" refMode="A1" iterate="false" iterateDelta="0.001"/>
  <extLst>
    <ext xmlns:loext="http://schemas.libreoffice.org/" uri="{7626C862-2A13-11E5-B345-FEFF819CDC9F}">
      <loext:extCalcPr stringRefSyntax="CalcA1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3" authorId="0">
      <text>
        <r>
          <rPr>
            <sz val="10"/>
            <rFont val="Arial"/>
            <family val="2"/>
          </rPr>
          <t xml:space="preserve">Monthly transaction Units
</t>
        </r>
      </text>
      <mc:AlternateContent>
        <mc:Choice Requires="v2">
          <commentPr autoFill="true" autoScale="false" colHidden="false" locked="false" rowHidden="false" textHAlign="justify" textVAlign="top">
            <anchor moveWithCells="false" sizeWithCells="false">
              <xdr:from>
                <xdr:col>1</xdr:col>
                <xdr:colOff>1</xdr:colOff>
                <xdr:row>0</xdr:row>
                <xdr:rowOff>1</xdr:rowOff>
              </xdr:from>
              <xdr:to>
                <xdr:col>2</xdr:col>
                <xdr:colOff>1</xdr:colOff>
                <xdr:row>4</xdr:row>
                <xdr:rowOff>1</xdr:rowOff>
              </xdr:to>
            </anchor>
          </commentPr>
        </mc:Choice>
        <mc:Fallback/>
      </mc:AlternateContent>
    </comment>
    <comment ref="A14" authorId="0">
      <text>
        <r>
          <rPr>
            <sz val="10"/>
            <rFont val="Arial"/>
            <family val="2"/>
          </rPr>
          <t xml:space="preserve">Launched in Q2 25</t>
        </r>
      </text>
      <mc:AlternateContent>
        <mc:Choice Requires="v2">
          <commentPr autoFill="true" autoScale="false" colHidden="false" locked="false" rowHidden="false" textHAlign="justify" textVAlign="top">
            <anchor moveWithCells="false" sizeWithCells="false">
              <xdr:from>
                <xdr:col>1</xdr:col>
                <xdr:colOff>1</xdr:colOff>
                <xdr:row>9</xdr:row>
                <xdr:rowOff>1</xdr:rowOff>
              </xdr:from>
              <xdr:to>
                <xdr:col>2</xdr:col>
                <xdr:colOff>1</xdr:colOff>
                <xdr:row>13</xdr:row>
                <xdr:rowOff>1</xdr:rowOff>
              </xdr:to>
            </anchor>
          </commentPr>
        </mc:Choice>
        <mc:Fallback/>
      </mc:AlternateContent>
    </comment>
    <comment ref="A26" authorId="0">
      <text>
        <r>
          <rPr>
            <sz val="10"/>
            <rFont val="Arial"/>
            <family val="2"/>
          </rPr>
          <t xml:space="preserve">Monthly Active Platform Consumers
</t>
        </r>
      </text>
      <mc:AlternateContent>
        <mc:Choice Requires="v2">
          <commentPr autoFill="true" autoScale="false" colHidden="false" locked="false" rowHidden="false" textHAlign="justify" textVAlign="top">
            <anchor moveWithCells="false" sizeWithCells="false">
              <xdr:from>
                <xdr:col>1</xdr:col>
                <xdr:colOff>1</xdr:colOff>
                <xdr:row>21</xdr:row>
                <xdr:rowOff>1</xdr:rowOff>
              </xdr:from>
              <xdr:to>
                <xdr:col>2</xdr:col>
                <xdr:colOff>1</xdr:colOff>
                <xdr:row>25</xdr:row>
                <xdr:rowOff>1</xdr:rowOff>
              </xdr:to>
            </anchor>
          </commentPr>
        </mc:Choice>
        <mc:Fallback/>
      </mc:AlternateContent>
    </comment>
    <comment ref="A211" authorId="0">
      <text>
        <r>
          <rPr>
            <sz val="10"/>
            <rFont val="Arial"/>
            <family val="2"/>
          </rPr>
          <t xml:space="preserve">Fintech firm that provides the infrastructure for the companies to create and operate payments-cards programs</t>
        </r>
      </text>
      <mc:AlternateContent>
        <mc:Choice Requires="v2">
          <commentPr autoFill="true" autoScale="false" colHidden="false" locked="false" rowHidden="false" textHAlign="justify" textVAlign="top">
            <anchor moveWithCells="false" sizeWithCells="false">
              <xdr:from>
                <xdr:col>1</xdr:col>
                <xdr:colOff>1</xdr:colOff>
                <xdr:row>206</xdr:row>
                <xdr:rowOff>1</xdr:rowOff>
              </xdr:from>
              <xdr:to>
                <xdr:col>2</xdr:col>
                <xdr:colOff>2</xdr:colOff>
                <xdr:row>216</xdr:row>
                <xdr:rowOff>1</xdr:rowOff>
              </xdr:to>
            </anchor>
          </commentPr>
        </mc:Choice>
        <mc:Fallback/>
      </mc:AlternateContent>
    </comment>
    <comment ref="S2" authorId="0">
      <text>
        <r>
          <rPr>
            <sz val="10"/>
            <rFont val="Arial"/>
            <family val="2"/>
          </rPr>
          <t xml:space="preserve">Guidance: Booking of 56.25B
</t>
        </r>
      </text>
      <mc:AlternateContent>
        <mc:Choice Requires="v2">
          <commentPr autoFill="true" autoScale="false" colHidden="false" locked="false" rowHidden="false" textHAlign="justify" textVAlign="top">
            <anchor moveWithCells="false" sizeWithCells="false">
              <xdr:from>
                <xdr:col>19</xdr:col>
                <xdr:colOff>1</xdr:colOff>
                <xdr:row>0</xdr:row>
                <xdr:rowOff>0</xdr:rowOff>
              </xdr:from>
              <xdr:to>
                <xdr:col>20</xdr:col>
                <xdr:colOff>1</xdr:colOff>
                <xdr:row>3</xdr:row>
                <xdr:rowOff>1</xdr:rowOff>
              </xdr:to>
            </anchor>
          </commentPr>
        </mc:Choice>
        <mc:Fallback/>
      </mc:AlternateContent>
    </comment>
    <comment ref="S15" authorId="0">
      <text>
        <r>
          <rPr>
            <sz val="10"/>
            <rFont val="Arial"/>
            <family val="2"/>
          </rPr>
          <t xml:space="preserve">10B miles driven as of May 2026</t>
        </r>
      </text>
      <mc:AlternateContent>
        <mc:Choice Requires="v2">
          <commentPr autoFill="true" autoScale="false" colHidden="false" locked="false" rowHidden="false" textHAlign="justify" textVAlign="top">
            <anchor moveWithCells="false" sizeWithCells="false">
              <xdr:from>
                <xdr:col>19</xdr:col>
                <xdr:colOff>1</xdr:colOff>
                <xdr:row>10</xdr:row>
                <xdr:rowOff>1</xdr:rowOff>
              </xdr:from>
              <xdr:to>
                <xdr:col>20</xdr:col>
                <xdr:colOff>1</xdr:colOff>
                <xdr:row>14</xdr:row>
                <xdr:rowOff>1</xdr:rowOff>
              </xdr:to>
            </anchor>
          </commentPr>
        </mc:Choice>
        <mc:Fallback/>
      </mc:AlternateContent>
    </comment>
    <comment ref="S20" authorId="0">
      <text>
        <r>
          <rPr>
            <sz val="10"/>
            <rFont val="Arial"/>
            <family val="2"/>
          </rPr>
          <t xml:space="preserve">Guidance: 5.30 – 5.43 B$</t>
        </r>
      </text>
      <mc:AlternateContent>
        <mc:Choice Requires="v2">
          <commentPr autoFill="true" autoScale="false" colHidden="false" locked="false" rowHidden="false" textHAlign="justify" textVAlign="top">
            <anchor moveWithCells="false" sizeWithCells="false">
              <xdr:from>
                <xdr:col>19</xdr:col>
                <xdr:colOff>1</xdr:colOff>
                <xdr:row>15</xdr:row>
                <xdr:rowOff>1</xdr:rowOff>
              </xdr:from>
              <xdr:to>
                <xdr:col>20</xdr:col>
                <xdr:colOff>1</xdr:colOff>
                <xdr:row>19</xdr:row>
                <xdr:rowOff>1</xdr:rowOff>
              </xdr:to>
            </anchor>
          </commentPr>
        </mc:Choice>
        <mc:Fallback/>
      </mc:AlternateContent>
    </comment>
    <comment ref="S52" authorId="0">
      <text>
        <r>
          <rPr>
            <sz val="10"/>
            <rFont val="Arial"/>
            <family val="2"/>
          </rPr>
          <t xml:space="preserve">Accounting change in the UK</t>
        </r>
      </text>
      <mc:AlternateContent>
        <mc:Choice Requires="v2">
          <commentPr autoFill="true" autoScale="false" colHidden="false" locked="false" rowHidden="false" textHAlign="justify" textVAlign="top">
            <anchor moveWithCells="false" sizeWithCells="false">
              <xdr:from>
                <xdr:col>19</xdr:col>
                <xdr:colOff>3</xdr:colOff>
                <xdr:row>47</xdr:row>
                <xdr:rowOff>1</xdr:rowOff>
              </xdr:from>
              <xdr:to>
                <xdr:col>20</xdr:col>
                <xdr:colOff>5</xdr:colOff>
                <xdr:row>51</xdr:row>
                <xdr:rowOff>1</xdr:rowOff>
              </xdr:to>
            </anchor>
          </commentPr>
        </mc:Choice>
        <mc:Fallback/>
      </mc:AlternateContent>
    </comment>
    <comment ref="T37" authorId="0">
      <text>
        <r>
          <rPr>
            <sz val="10"/>
            <rFont val="Arial"/>
            <family val="2"/>
          </rPr>
          <t xml:space="preserve">Guidance: 58.25B</t>
        </r>
      </text>
      <mc:AlternateContent>
        <mc:Choice Requires="v2">
          <commentPr autoFill="true" autoScale="false" colHidden="false" locked="false" rowHidden="false" textHAlign="justify" textVAlign="top">
            <anchor moveWithCells="false" sizeWithCells="false">
              <xdr:from>
                <xdr:col>20</xdr:col>
                <xdr:colOff>2</xdr:colOff>
                <xdr:row>32</xdr:row>
                <xdr:rowOff>1</xdr:rowOff>
              </xdr:from>
              <xdr:to>
                <xdr:col>21</xdr:col>
                <xdr:colOff>3</xdr:colOff>
                <xdr:row>36</xdr:row>
                <xdr:rowOff>1</xdr:rowOff>
              </xdr:to>
            </anchor>
          </commentPr>
        </mc:Choice>
        <mc:Fallback/>
      </mc:AlternateContent>
    </comment>
    <comment ref="T52" authorId="0">
      <text>
        <r>
          <rPr>
            <sz val="10"/>
            <rFont val="Arial"/>
            <family val="2"/>
          </rPr>
          <t xml:space="preserve">03/03 14.866</t>
        </r>
      </text>
      <mc:AlternateContent>
        <mc:Choice Requires="v2">
          <commentPr autoFill="true" autoScale="false" colHidden="false" locked="false" rowHidden="false" textHAlign="justify" textVAlign="top">
            <anchor moveWithCells="false" sizeWithCells="false">
              <xdr:from>
                <xdr:col>20</xdr:col>
                <xdr:colOff>1</xdr:colOff>
                <xdr:row>47</xdr:row>
                <xdr:rowOff>1</xdr:rowOff>
              </xdr:from>
              <xdr:to>
                <xdr:col>21</xdr:col>
                <xdr:colOff>1</xdr:colOff>
                <xdr:row>51</xdr:row>
                <xdr:rowOff>1</xdr:rowOff>
              </xdr:to>
            </anchor>
          </commentPr>
        </mc:Choice>
        <mc:Fallback/>
      </mc:AlternateContent>
    </comment>
    <comment ref="AC12" authorId="0">
      <text>
        <r>
          <rPr>
            <sz val="10"/>
            <rFont val="Arial"/>
            <family val="2"/>
          </rPr>
          <t xml:space="preserve">Estimated by Baidu’s results:
Q1 660,000
Q2 714,000
Q3 821,000
Q4 839,000</t>
        </r>
      </text>
      <mc:AlternateContent>
        <mc:Choice Requires="v2">
          <commentPr autoFill="true" autoScale="false" colHidden="false" locked="false" rowHidden="false" textHAlign="justify" textVAlign="top">
            <anchor moveWithCells="false" sizeWithCells="false">
              <xdr:from>
                <xdr:col>29</xdr:col>
                <xdr:colOff>1</xdr:colOff>
                <xdr:row>7</xdr:row>
                <xdr:rowOff>1</xdr:rowOff>
              </xdr:from>
              <xdr:to>
                <xdr:col>30</xdr:col>
                <xdr:colOff>1</xdr:colOff>
                <xdr:row>13</xdr:row>
                <xdr:rowOff>1</xdr:rowOff>
              </xdr:to>
            </anchor>
          </commentPr>
        </mc:Choice>
        <mc:Fallback/>
      </mc:AlternateContent>
    </comment>
    <comment ref="AD12" authorId="0">
      <text>
        <r>
          <rPr>
            <sz val="10"/>
            <rFont val="Arial"/>
            <family val="2"/>
          </rPr>
          <t xml:space="preserve">Estimated by Baidu’s results:
Q1 826,000
Q2 899,000
Q3 988,000
Q4 1,100,000</t>
        </r>
      </text>
      <mc:AlternateContent>
        <mc:Choice Requires="v2">
          <commentPr autoFill="true" autoScale="false" colHidden="false" locked="false" rowHidden="false" textHAlign="justify" textVAlign="top">
            <anchor moveWithCells="false" sizeWithCells="false">
              <xdr:from>
                <xdr:col>30</xdr:col>
                <xdr:colOff>1</xdr:colOff>
                <xdr:row>7</xdr:row>
                <xdr:rowOff>1</xdr:rowOff>
              </xdr:from>
              <xdr:to>
                <xdr:col>31</xdr:col>
                <xdr:colOff>1</xdr:colOff>
                <xdr:row>14</xdr:row>
                <xdr:rowOff>1</xdr:rowOff>
              </xdr:to>
            </anchor>
          </commentPr>
        </mc:Choice>
        <mc:Fallback/>
      </mc:AlternateContent>
    </comment>
    <comment ref="AD54" authorId="0">
      <text>
        <r>
          <rPr>
            <sz val="10"/>
            <rFont val="Arial"/>
            <family val="2"/>
          </rPr>
          <t xml:space="preserve">Increase in rate per mile insurance</t>
        </r>
      </text>
      <mc:AlternateContent>
        <mc:Choice Requires="v2">
          <commentPr autoFill="true" autoScale="false" colHidden="false" locked="false" rowHidden="false" textHAlign="justify" textVAlign="top">
            <anchor moveWithCells="false" sizeWithCells="false">
              <xdr:from>
                <xdr:col>30</xdr:col>
                <xdr:colOff>1</xdr:colOff>
                <xdr:row>49</xdr:row>
                <xdr:rowOff>1</xdr:rowOff>
              </xdr:from>
              <xdr:to>
                <xdr:col>31</xdr:col>
                <xdr:colOff>1</xdr:colOff>
                <xdr:row>53</xdr:row>
                <xdr:rowOff>1</xdr:rowOff>
              </xdr:to>
            </anchor>
          </commentPr>
        </mc:Choice>
        <mc:Fallback/>
      </mc:AlternateContent>
    </comment>
    <comment ref="AF2" authorId="0">
      <text>
        <r>
          <rPr>
            <sz val="10"/>
            <rFont val="Arial"/>
            <family val="2"/>
          </rPr>
          <t xml:space="preserve">03/03 58.367</t>
        </r>
      </text>
      <mc:AlternateContent>
        <mc:Choice Requires="v2">
          <commentPr autoFill="true" autoScale="false" colHidden="false" locked="false" rowHidden="false" textHAlign="justify" textVAlign="top">
            <anchor moveWithCells="false" sizeWithCells="false">
              <xdr:from>
                <xdr:col>32</xdr:col>
                <xdr:colOff>1</xdr:colOff>
                <xdr:row>0</xdr:row>
                <xdr:rowOff>1</xdr:rowOff>
              </xdr:from>
              <xdr:to>
                <xdr:col>33</xdr:col>
                <xdr:colOff>1</xdr:colOff>
                <xdr:row>3</xdr:row>
                <xdr:rowOff>1</xdr:rowOff>
              </xdr:to>
            </anchor>
          </commentPr>
        </mc:Choice>
        <mc:Fallback/>
      </mc:AlternateContent>
    </comment>
    <comment ref="AG2" authorId="0">
      <text>
        <r>
          <rPr>
            <sz val="10"/>
            <rFont val="Arial"/>
            <family val="2"/>
          </rPr>
          <t xml:space="preserve">03/03 66.895</t>
        </r>
      </text>
      <mc:AlternateContent>
        <mc:Choice Requires="v2">
          <commentPr autoFill="true" autoScale="false" colHidden="false" locked="false" rowHidden="false" textHAlign="justify" textVAlign="top">
            <anchor moveWithCells="false" sizeWithCells="false">
              <xdr:from>
                <xdr:col>33</xdr:col>
                <xdr:colOff>1</xdr:colOff>
                <xdr:row>0</xdr:row>
                <xdr:rowOff>1</xdr:rowOff>
              </xdr:from>
              <xdr:to>
                <xdr:col>34</xdr:col>
                <xdr:colOff>1</xdr:colOff>
                <xdr:row>3</xdr:row>
                <xdr:rowOff>1</xdr:rowOff>
              </xdr:to>
            </anchor>
          </commentPr>
        </mc:Choice>
        <mc:Fallback/>
      </mc:AlternateContent>
    </comment>
    <comment ref="AH2" authorId="0">
      <text>
        <r>
          <rPr>
            <sz val="10"/>
            <rFont val="Arial"/>
            <family val="2"/>
          </rPr>
          <t xml:space="preserve">03/03 75.302</t>
        </r>
      </text>
      <mc:AlternateContent>
        <mc:Choice Requires="v2">
          <commentPr autoFill="true" autoScale="false" colHidden="false" locked="false" rowHidden="false" textHAlign="justify" textVAlign="top">
            <anchor moveWithCells="false" sizeWithCells="false">
              <xdr:from>
                <xdr:col>34</xdr:col>
                <xdr:colOff>1</xdr:colOff>
                <xdr:row>0</xdr:row>
                <xdr:rowOff>1</xdr:rowOff>
              </xdr:from>
              <xdr:to>
                <xdr:col>35</xdr:col>
                <xdr:colOff>1</xdr:colOff>
                <xdr:row>3</xdr:row>
                <xdr:rowOff>1</xdr:rowOff>
              </xdr:to>
            </anchor>
          </commentPr>
        </mc:Choice>
        <mc:Fallback/>
      </mc:AlternateContent>
    </comment>
  </commentList>
</comments>
</file>

<file path=xl/sharedStrings.xml><?xml version="1.0" encoding="utf-8"?>
<sst xmlns="http://schemas.openxmlformats.org/spreadsheetml/2006/main" count="700" uniqueCount="444">
  <si>
    <t xml:space="preserve">UBER</t>
  </si>
  <si>
    <t xml:space="preserve">Price</t>
  </si>
  <si>
    <t xml:space="preserve">-&gt;</t>
  </si>
  <si>
    <t xml:space="preserve">Waabi (ai company that builds AV)</t>
  </si>
  <si>
    <t xml:space="preserve">Share</t>
  </si>
  <si>
    <t xml:space="preserve">Q126</t>
  </si>
  <si>
    <t xml:space="preserve">Wayve (british based ai company that builds AV)</t>
  </si>
  <si>
    <t xml:space="preserve">MC</t>
  </si>
  <si>
    <t xml:space="preserve">Airport to increase pick-up fees (LAX)</t>
  </si>
  <si>
    <t xml:space="preserve">Cash</t>
  </si>
  <si>
    <t xml:space="preserve">Online Food Delivery marlket projected to expand by 9.7% CAGR up to 2032</t>
  </si>
  <si>
    <t xml:space="preserve">Debt</t>
  </si>
  <si>
    <t xml:space="preserve">Zoox strategic partnership (AMZN)</t>
  </si>
  <si>
    <t xml:space="preserve">EV</t>
  </si>
  <si>
    <t xml:space="preserve">Robotaxi collaboration with Wayve and Nissan in Tokyo powered by Nissan LEAF with Wayve AI</t>
  </si>
  <si>
    <t xml:space="preserve">Robotaxi collaboration with Motional (Hyunday Motor Group) in Las Vegas</t>
  </si>
  <si>
    <t xml:space="preserve">BETA</t>
  </si>
  <si>
    <t xml:space="preserve">EV / Rev</t>
  </si>
  <si>
    <t xml:space="preserve">one of the first SAE Level 4 AV</t>
  </si>
  <si>
    <t xml:space="preserve">Increasing the strategic partnership with Nvidia in order to deploy their L4 (high automation) driverless vehicle in 28 cities by 2028</t>
  </si>
  <si>
    <r>
      <rPr>
        <sz val="10"/>
        <rFont val="Arial"/>
        <family val="2"/>
        <charset val="1"/>
      </rPr>
      <t xml:space="preserve">Using UBER’s network effect to test and improve Nvidia’s </t>
    </r>
    <r>
      <rPr>
        <i val="true"/>
        <sz val="10"/>
        <rFont val="Arial"/>
        <family val="2"/>
        <charset val="1"/>
      </rPr>
      <t xml:space="preserve">DRIVE</t>
    </r>
    <r>
      <rPr>
        <sz val="10"/>
        <rFont val="Arial"/>
        <family val="2"/>
        <charset val="1"/>
      </rPr>
      <t xml:space="preserve"> </t>
    </r>
    <r>
      <rPr>
        <i val="true"/>
        <sz val="10"/>
        <rFont val="Arial"/>
        <family val="2"/>
        <charset val="1"/>
      </rPr>
      <t xml:space="preserve">AGX</t>
    </r>
    <r>
      <rPr>
        <sz val="10"/>
        <rFont val="Arial"/>
        <family val="2"/>
        <charset val="1"/>
      </rPr>
      <t xml:space="preserve"> and </t>
    </r>
    <r>
      <rPr>
        <i val="true"/>
        <sz val="10"/>
        <rFont val="Arial"/>
        <family val="2"/>
        <charset val="1"/>
      </rPr>
      <t xml:space="preserve">Ampamayo</t>
    </r>
  </si>
  <si>
    <t xml:space="preserve"> </t>
  </si>
  <si>
    <t xml:space="preserve">Partnership with Rivianto help them deploy 50,000 R2 robotaxies</t>
  </si>
  <si>
    <t xml:space="preserve">CAPM / Cost of Equity</t>
  </si>
  <si>
    <t xml:space="preserve">Cr. Spread</t>
  </si>
  <si>
    <t xml:space="preserve"> - currently still a L3 automation but this partnership sould help them develop at least an L4 automation</t>
  </si>
  <si>
    <t xml:space="preserve">Cost Debt</t>
  </si>
  <si>
    <t xml:space="preserve"> - the full deployment should happen in 2031 with a total investment of 1.25$ B into the company given certain milestones</t>
  </si>
  <si>
    <t xml:space="preserve">Incremental Margin TTM</t>
  </si>
  <si>
    <t xml:space="preserve">WACC</t>
  </si>
  <si>
    <t xml:space="preserve">Multi – year partnership with Ibotta to use Ibotta’s discounts over CPG (consumer Packed Goods) into Uber Eat.</t>
  </si>
  <si>
    <t xml:space="preserve">Leverage</t>
  </si>
  <si>
    <t xml:space="preserve">Ibotta will reach a bigger audience while UBER Eat ueasers (and UBER One) will have a better experience with the product (higher conversion rate?)</t>
  </si>
  <si>
    <t xml:space="preserve">EV/FCF (TTM)</t>
  </si>
  <si>
    <t xml:space="preserve">UBER to inctease not temporaly the prices for ridesharing services in order to bear oil price hikes</t>
  </si>
  <si>
    <t xml:space="preserve">EV/EBITDA</t>
  </si>
  <si>
    <t xml:space="preserve">the change won’t be temporaly</t>
  </si>
  <si>
    <t xml:space="preserve">P/E</t>
  </si>
  <si>
    <t xml:space="preserve">UBER to parner with Pony.ai and Verne to deploy the first robotaxies in europe (Zagreb)</t>
  </si>
  <si>
    <t xml:space="preserve">P/FCF (TTM)</t>
  </si>
  <si>
    <t xml:space="preserve">Following this strategic partnership, UBER will invest in Verne</t>
  </si>
  <si>
    <t xml:space="preserve">Rating</t>
  </si>
  <si>
    <t xml:space="preserve">BBB+</t>
  </si>
  <si>
    <t xml:space="preserve">Baa1</t>
  </si>
  <si>
    <t xml:space="preserve">Pony.ai will bring the Gen-7 autonomous vehicles, Verne will be the owner of the fleet while UBER will provide the networking (the demand)</t>
  </si>
  <si>
    <t xml:space="preserve">S&amp;P</t>
  </si>
  <si>
    <t xml:space="preserve">Moody’s</t>
  </si>
  <si>
    <t xml:space="preserve">Still waiting for EU approval</t>
  </si>
  <si>
    <r>
      <rPr>
        <sz val="10"/>
        <rFont val="Arial"/>
        <family val="2"/>
        <charset val="1"/>
      </rPr>
      <t xml:space="preserve">UBER to acquire Blacklane to improve it’s luxury and executive driving. </t>
    </r>
    <r>
      <rPr>
        <b val="true"/>
        <i val="true"/>
        <sz val="10"/>
        <rFont val="Arial"/>
        <family val="2"/>
        <charset val="1"/>
      </rPr>
      <t xml:space="preserve">UBER Elite</t>
    </r>
  </si>
  <si>
    <t xml:space="preserve">Blacklane already operates in over 500 cities.</t>
  </si>
  <si>
    <t xml:space="preserve">Founded</t>
  </si>
  <si>
    <t xml:space="preserve">Delaware</t>
  </si>
  <si>
    <t xml:space="preserve">waiting for antitrust approval</t>
  </si>
  <si>
    <t xml:space="preserve">UBERCAB</t>
  </si>
  <si>
    <r>
      <rPr>
        <sz val="10"/>
        <rFont val="Arial"/>
        <family val="2"/>
        <charset val="1"/>
      </rPr>
      <t xml:space="preserve">UBER to deploy fully driverless (Level 4) robotaxies in Dubai together with </t>
    </r>
    <r>
      <rPr>
        <b val="true"/>
        <i val="true"/>
        <sz val="10"/>
        <rFont val="Arial"/>
        <family val="2"/>
        <charset val="1"/>
      </rPr>
      <t xml:space="preserve">WeRide</t>
    </r>
    <r>
      <rPr>
        <sz val="10"/>
        <rFont val="Arial"/>
        <family val="2"/>
        <charset val="1"/>
      </rPr>
      <t xml:space="preserve"> and Tawasul.</t>
    </r>
  </si>
  <si>
    <r>
      <rPr>
        <b val="true"/>
        <i val="true"/>
        <sz val="10"/>
        <rFont val="Arial"/>
        <family val="2"/>
        <charset val="1"/>
      </rPr>
      <t xml:space="preserve">Tawasul</t>
    </r>
    <r>
      <rPr>
        <sz val="10"/>
        <rFont val="Arial"/>
        <family val="2"/>
        <charset val="1"/>
      </rPr>
      <t xml:space="preserve"> will be the fleet operator. WeRide committed to deploy at least 1,200 Robotaxis in the ME (WeRide has been the first company to receive a national licence for self driving vehicles in the UAE).</t>
    </r>
  </si>
  <si>
    <t xml:space="preserve">IPO</t>
  </si>
  <si>
    <r>
      <rPr>
        <b val="true"/>
        <i val="true"/>
        <sz val="10"/>
        <rFont val="Arial"/>
        <family val="2"/>
        <charset val="1"/>
      </rPr>
      <t xml:space="preserve">May 9</t>
    </r>
    <r>
      <rPr>
        <b val="true"/>
        <i val="true"/>
        <vertAlign val="superscript"/>
        <sz val="10"/>
        <rFont val="Arial"/>
        <family val="2"/>
        <charset val="1"/>
      </rPr>
      <t xml:space="preserve">th</t>
    </r>
    <r>
      <rPr>
        <b val="true"/>
        <i val="true"/>
        <sz val="10"/>
        <rFont val="Arial"/>
        <family val="2"/>
        <charset val="1"/>
      </rPr>
      <t xml:space="preserve"> 2019</t>
    </r>
  </si>
  <si>
    <t xml:space="preserve">UBER owns 5.82% of WeRide Class A shares</t>
  </si>
  <si>
    <t xml:space="preserve">Sector</t>
  </si>
  <si>
    <t xml:space="preserve">Technology Platform</t>
  </si>
  <si>
    <t xml:space="preserve">MOIA America will test its AV in LA through Uber in late 2026</t>
  </si>
  <si>
    <t xml:space="preserve">CEO</t>
  </si>
  <si>
    <t xml:space="preserve">Dara Khosrowshahi</t>
  </si>
  <si>
    <t xml:space="preserve">This partnership has been going on since 2025 and aims to deploy thousands of AV. MOIA (and theparent VolksWagen) are advancing  AV testing in Hamburg, Oslo, Berlin, Munich.</t>
  </si>
  <si>
    <t xml:space="preserve">Founder </t>
  </si>
  <si>
    <t xml:space="preserve">Travis Kalanick</t>
  </si>
  <si>
    <t xml:space="preserve">UBER to add Cash App Pay (Block inc. XYZ) into the app to reach the over 59 million transaction done mainly from Millenials and Gen Zs</t>
  </si>
  <si>
    <t xml:space="preserve">investor@uber.com </t>
  </si>
  <si>
    <r>
      <rPr>
        <sz val="10"/>
        <rFont val="Arial"/>
        <family val="2"/>
        <charset val="1"/>
      </rPr>
      <t xml:space="preserve">UBER to launch a robotaxi program in Munich together with </t>
    </r>
    <r>
      <rPr>
        <i val="true"/>
        <sz val="10"/>
        <rFont val="Arial"/>
        <family val="2"/>
        <charset val="1"/>
      </rPr>
      <t xml:space="preserve">NVDA Hyperion</t>
    </r>
  </si>
  <si>
    <t xml:space="preserve">UBER together with AVOMO and WERIDE to launch the first robotaxi fleet in Madrid aiming to deploy hudreds of robotaxies in the region in the foreseeable future as certain milestones are met</t>
  </si>
  <si>
    <t xml:space="preserve">This partnerships have already been tested in the US (AVOMO) and in the ME (WERIDE) and show positive sign as of relationship and clear path </t>
  </si>
  <si>
    <t xml:space="preserve">Segments</t>
  </si>
  <si>
    <t xml:space="preserve">Still 11 cities do expand the partnership with WeRide before 2030. Next sure is Riyadh.</t>
  </si>
  <si>
    <t xml:space="preserve"> Delivery (UberEats)</t>
  </si>
  <si>
    <t xml:space="preserve">UBER expands further the shops where consumers can buy through UBER Eats beyond the food segment.</t>
  </si>
  <si>
    <t xml:space="preserve"> Mobility (Uber, Lime, carsharing, taxi, …)</t>
  </si>
  <si>
    <t xml:space="preserve">Consumers are using delivery apps not anymore just for food delivery, but they want a wider range of goods to choose from. UBER is targeting this niche</t>
  </si>
  <si>
    <t xml:space="preserve"> Freight (on demand platform to automate logistics transactions) UBER freight</t>
  </si>
  <si>
    <t xml:space="preserve">UBER to expand their commercial robotaxies to Zurich with WeRide. Ryderra will manage day-to-day fleet operations</t>
  </si>
  <si>
    <t xml:space="preserve">  Nissan, Kellog, CL, …</t>
  </si>
  <si>
    <t xml:space="preserve">Prashanth Mahendra-Rajan in US gov?</t>
  </si>
  <si>
    <t xml:space="preserve">UBER to deploy in mid-2027 Robotaxies in Houston with Nuro (Level 4 AV) and Lucid</t>
  </si>
  <si>
    <t xml:space="preserve">Reserve increased Uber’s reliability</t>
  </si>
  <si>
    <t xml:space="preserve">Nuro aims to deploy over 35,000 AVs globally</t>
  </si>
  <si>
    <t xml:space="preserve">UBER to acquire Delibvery Hero for 14.8B$ to be approved around Q2 27. It is expected to create synergies for at least 1.2B$</t>
  </si>
  <si>
    <t xml:space="preserve">Advertising (opened in 2022) Uber Journey Ads</t>
  </si>
  <si>
    <t xml:space="preserve">Lime ?</t>
  </si>
  <si>
    <t xml:space="preserve">this merge will increase the servidces provided in Uber One and reach newer markets where Uber Eats failed (i.e. Italy) or has never penetrated</t>
  </si>
  <si>
    <t xml:space="preserve">surpassed the 2 B$</t>
  </si>
  <si>
    <t xml:space="preserve">Freight growth ?</t>
  </si>
  <si>
    <r>
      <rPr>
        <sz val="10"/>
        <rFont val="Arial"/>
        <family val="2"/>
        <charset val="1"/>
      </rPr>
      <t xml:space="preserve">UBER is currently 1</t>
    </r>
    <r>
      <rPr>
        <vertAlign val="superscript"/>
        <sz val="10"/>
        <rFont val="Arial"/>
        <family val="2"/>
        <charset val="1"/>
      </rPr>
      <t xml:space="preserve">st</t>
    </r>
    <r>
      <rPr>
        <sz val="10"/>
        <rFont val="Arial"/>
        <family val="2"/>
        <charset val="1"/>
      </rPr>
      <t xml:space="preserve"> in the Japan delivery market, therefore will use the same approach also for the newer asian markets</t>
    </r>
  </si>
  <si>
    <t xml:space="preserve">Adv data ?</t>
  </si>
  <si>
    <t xml:space="preserve">this merge will also create a newer “quick commerce” segment into Uber Eats to expand its business (which is already Adj. EBITDA profitable for Delivery Hero)</t>
  </si>
  <si>
    <t xml:space="preserve">Delivery Hero is also more efficient in the Advertisement management (3% of revenues) therefore Uber can use their know how to increas the Advertisement impact</t>
  </si>
  <si>
    <t xml:space="preserve">MAPC</t>
  </si>
  <si>
    <t xml:space="preserve">Unique consumers that have completed a Mobility ride or a Delivery order once in a given month</t>
  </si>
  <si>
    <t xml:space="preserve">Uber to acquire Baedal Minjok (SK), Glovo, Foodora(HU), Foodpanda, Hungerstation (SA), PedidosYa, Talabat</t>
  </si>
  <si>
    <t xml:space="preserve">Gross Booking</t>
  </si>
  <si>
    <t xml:space="preserve">Total value of all UBER’s activities (including taxes, …)</t>
  </si>
  <si>
    <t xml:space="preserve">If it fails for regulatory reasons Uber pays Delivery Hero 700M$</t>
  </si>
  <si>
    <t xml:space="preserve">Trips</t>
  </si>
  <si>
    <t xml:space="preserve">Each completed event on Uber’s platform (ridesharing or delivery especially)</t>
  </si>
  <si>
    <t xml:space="preserve">Delivery Hero has to pay Uber 200M$ if it accepts another competing offer</t>
  </si>
  <si>
    <t xml:space="preserve">GameStop to deliver games and consoles through Uber Eats</t>
  </si>
  <si>
    <t xml:space="preserve">Mobility</t>
  </si>
  <si>
    <t xml:space="preserve">Connect consumers with drivers. It also contains ADV and financial partnership products.</t>
  </si>
  <si>
    <t xml:space="preserve">Delivery</t>
  </si>
  <si>
    <t xml:space="preserve">(Grocery and Retail) Food delivery form local restaurants. It also contains ADV.</t>
  </si>
  <si>
    <t xml:space="preserve">Freight</t>
  </si>
  <si>
    <t xml:space="preserve">Connects carriers with shippers, Freight financing program</t>
  </si>
  <si>
    <t xml:space="preserve">Seasonality</t>
  </si>
  <si>
    <r>
      <rPr>
        <b val="true"/>
        <sz val="10"/>
        <rFont val="Arial"/>
        <family val="2"/>
        <charset val="1"/>
      </rPr>
      <t xml:space="preserve">Mobility</t>
    </r>
    <r>
      <rPr>
        <sz val="10"/>
        <rFont val="Arial"/>
        <family val="2"/>
        <charset val="1"/>
      </rPr>
      <t xml:space="preserve"> has a higher Gross booking in Q4 and a slower demand in Q1 mainly</t>
    </r>
  </si>
  <si>
    <t xml:space="preserve">due to business demand and Holiday demand</t>
  </si>
  <si>
    <r>
      <rPr>
        <b val="true"/>
        <sz val="10"/>
        <rFont val="Arial"/>
        <family val="2"/>
        <charset val="1"/>
      </rPr>
      <t xml:space="preserve">Delivery</t>
    </r>
    <r>
      <rPr>
        <sz val="10"/>
        <rFont val="Arial"/>
        <family val="2"/>
        <charset val="1"/>
      </rPr>
      <t xml:space="preserve"> has a higher Gropss booking in Q4</t>
    </r>
  </si>
  <si>
    <t xml:space="preserve">UBER Freight</t>
  </si>
  <si>
    <r>
      <rPr>
        <sz val="10"/>
        <rFont val="Arial"/>
        <family val="2"/>
        <charset val="1"/>
      </rPr>
      <t xml:space="preserve">Despite general increase in cargo theft and frauds (18%) and increase in the total-average amount, </t>
    </r>
    <r>
      <rPr>
        <b val="true"/>
        <i val="true"/>
        <sz val="10"/>
        <rFont val="Arial"/>
        <family val="2"/>
        <charset val="1"/>
      </rPr>
      <t xml:space="preserve">UberFreightNetwork</t>
    </r>
    <r>
      <rPr>
        <sz val="10"/>
        <rFont val="Arial"/>
        <family val="2"/>
        <charset val="1"/>
      </rPr>
      <t xml:space="preserve"> is decreasing the amount of frauds (20%)</t>
    </r>
  </si>
  <si>
    <t xml:space="preserve">Truckload conditions are getting tighter, therefore more expensive. This is leading to a shift towards intermodal may be a suitable solution</t>
  </si>
  <si>
    <t xml:space="preserve">Transplace Holdings Inc.</t>
  </si>
  <si>
    <t xml:space="preserve">Decreasing FTA (First Tender Acceptance) 92% → 85% due to higher shipping costs</t>
  </si>
  <si>
    <t xml:space="preserve"> Transplace Mexico</t>
  </si>
  <si>
    <t xml:space="preserve">on top of that Class 8 tractors’ demand is st ATH but supply is not enough (no short term relief)</t>
  </si>
  <si>
    <t xml:space="preserve"> Leancore Supply Chain Group</t>
  </si>
  <si>
    <t xml:space="preserve">LTL (Less Than truckLoad – nonfull trucks) is more expensive than ever (up 5.2% YoY) </t>
  </si>
  <si>
    <t xml:space="preserve">Aleka Insurance / Raise LLC</t>
  </si>
  <si>
    <t xml:space="preserve">Ad hoc insurance built by Uber, through Raise LLC (Uber’s arm for insurances) </t>
  </si>
  <si>
    <t xml:space="preserve">In 2021 James River made a LPT (JR paid Aleka a premium in order to take Uber’s insurance risk)</t>
  </si>
  <si>
    <t xml:space="preserve">When a drive crashes, he asks Raise for the money to pay the damages, Raise asks to </t>
  </si>
  <si>
    <t xml:space="preserve">JR, which asks to Aleka to pay. Aleka is payd by JR to bear the risk.</t>
  </si>
  <si>
    <t xml:space="preserve">News</t>
  </si>
  <si>
    <r>
      <rPr>
        <b val="true"/>
        <i val="true"/>
        <sz val="10"/>
        <rFont val="Arial"/>
        <family val="2"/>
        <charset val="1"/>
      </rPr>
      <t xml:space="preserve">Baidu</t>
    </r>
    <r>
      <rPr>
        <sz val="10"/>
        <rFont val="Arial"/>
        <family val="2"/>
        <charset val="1"/>
      </rPr>
      <t xml:space="preserve"> collaboration to deploy AV in Dubai through their subsidiary </t>
    </r>
    <r>
      <rPr>
        <b val="true"/>
        <sz val="10"/>
        <rFont val="Arial"/>
        <family val="2"/>
        <charset val="1"/>
      </rPr>
      <t xml:space="preserve">Apollo Go</t>
    </r>
  </si>
  <si>
    <t xml:space="preserve">This follows a prevoious agreement to serve the Apollo Go’s AV through the Uber App</t>
  </si>
  <si>
    <t xml:space="preserve">! REMARK</t>
  </si>
  <si>
    <t xml:space="preserve">If jurisdictions claim that UBER’s drivers should be considered </t>
  </si>
  <si>
    <t xml:space="preserve">as UBER employees and not independent contractors</t>
  </si>
  <si>
    <r>
      <rPr>
        <sz val="10"/>
        <rFont val="Arial"/>
        <family val="2"/>
        <charset val="1"/>
      </rPr>
      <t xml:space="preserve">To remain relevant they can </t>
    </r>
    <r>
      <rPr>
        <i val="true"/>
        <sz val="10"/>
        <rFont val="Arial"/>
        <family val="2"/>
        <charset val="1"/>
      </rPr>
      <t xml:space="preserve">lower fees</t>
    </r>
    <r>
      <rPr>
        <sz val="10"/>
        <rFont val="Arial"/>
        <family val="2"/>
        <charset val="1"/>
      </rPr>
      <t xml:space="preserve"> or increase </t>
    </r>
    <r>
      <rPr>
        <i val="true"/>
        <sz val="10"/>
        <rFont val="Arial"/>
        <family val="2"/>
        <charset val="1"/>
      </rPr>
      <t xml:space="preserve">Driver</t>
    </r>
    <r>
      <rPr>
        <sz val="10"/>
        <rFont val="Arial"/>
        <family val="2"/>
        <charset val="1"/>
      </rPr>
      <t xml:space="preserve"> incentives</t>
    </r>
  </si>
  <si>
    <t xml:space="preserve">High part of the stock is a bet in their R&amp;D for AV.</t>
  </si>
  <si>
    <t xml:space="preserve">They have to create the biggest synergies to speed the AV R&amp;D.</t>
  </si>
  <si>
    <t xml:space="preserve">Many governments are hostile against UBER and LYFT and whant to calssify</t>
  </si>
  <si>
    <r>
      <rPr>
        <sz val="10"/>
        <rFont val="Arial"/>
        <family val="2"/>
        <charset val="1"/>
      </rPr>
      <t xml:space="preserve">Some AV companies may need UBER’s help in order to reach the broader audience (</t>
    </r>
    <r>
      <rPr>
        <i val="true"/>
        <sz val="10"/>
        <rFont val="Arial"/>
        <family val="2"/>
        <charset val="1"/>
      </rPr>
      <t xml:space="preserve">Apollo GO)</t>
    </r>
  </si>
  <si>
    <t xml:space="preserve">Drivers as employees (Switzerland). Others rely heavely on taxi drivers (Italy)</t>
  </si>
  <si>
    <t xml:space="preserve">UBER’s main strength is it’s network effect. The more people use it, the more drivers</t>
  </si>
  <si>
    <r>
      <rPr>
        <sz val="10"/>
        <rFont val="Arial"/>
        <family val="2"/>
        <charset val="1"/>
      </rPr>
      <t xml:space="preserve">This is a </t>
    </r>
    <r>
      <rPr>
        <b val="true"/>
        <sz val="10"/>
        <rFont val="Arial"/>
        <family val="2"/>
        <charset val="1"/>
      </rPr>
      <t xml:space="preserve">huge risk factor. </t>
    </r>
    <r>
      <rPr>
        <sz val="10"/>
        <rFont val="Arial"/>
        <family val="2"/>
        <charset val="1"/>
      </rPr>
      <t xml:space="preserve">With high probability there will be more lawsuits</t>
    </r>
  </si>
  <si>
    <t xml:space="preserve">The best is the experience of the service</t>
  </si>
  <si>
    <t xml:space="preserve">And in more states UBER will have to employ its drivers</t>
  </si>
  <si>
    <t xml:space="preserve">Partnership with Nvidia for the AV race</t>
  </si>
  <si>
    <t xml:space="preserve">https://www.dir.ca.gov/dlse/Lawsuits-Uber-Lyft.html</t>
  </si>
  <si>
    <r>
      <rPr>
        <sz val="10"/>
        <rFont val="Arial"/>
        <family val="2"/>
        <charset val="1"/>
      </rPr>
      <t xml:space="preserve">The California litigation is mainly about the </t>
    </r>
    <r>
      <rPr>
        <i val="true"/>
        <sz val="10"/>
        <rFont val="Arial"/>
        <family val="2"/>
        <charset val="1"/>
      </rPr>
      <t xml:space="preserve">Proposition 22 </t>
    </r>
    <r>
      <rPr>
        <sz val="10"/>
        <rFont val="Arial"/>
        <family val="2"/>
        <charset val="1"/>
      </rPr>
      <t xml:space="preserve">which classifies</t>
    </r>
  </si>
  <si>
    <t xml:space="preserve">They also hold stakes in strategic firms in order to hold a position in the sector even in countries</t>
  </si>
  <si>
    <t xml:space="preserve">drivers as indipendent drivers but they have some benefits as 120% of base wage</t>
  </si>
  <si>
    <t xml:space="preserve">where UBER is not known or can’t operate.</t>
  </si>
  <si>
    <t xml:space="preserve">Proposition 22 states that drivers should use platforms as UBER for independent work</t>
  </si>
  <si>
    <r>
      <rPr>
        <b val="true"/>
        <sz val="10"/>
        <rFont val="Arial"/>
        <family val="2"/>
        <charset val="1"/>
      </rPr>
      <t xml:space="preserve">Careem</t>
    </r>
    <r>
      <rPr>
        <sz val="10"/>
        <rFont val="Arial"/>
        <family val="2"/>
        <charset val="1"/>
      </rPr>
      <t xml:space="preserve"> (Dubai where UBER owns only the ridesharing section. Everything else is owned by </t>
    </r>
    <r>
      <rPr>
        <i val="true"/>
        <sz val="10"/>
        <rFont val="Arial"/>
        <family val="2"/>
        <charset val="1"/>
      </rPr>
      <t xml:space="preserve">Emirates</t>
    </r>
    <r>
      <rPr>
        <sz val="10"/>
        <rFont val="Arial"/>
        <family val="2"/>
        <charset val="1"/>
      </rPr>
      <t xml:space="preserve">)</t>
    </r>
  </si>
  <si>
    <t xml:space="preserve">The ABC case has been dissolved (no longer subject of that order) but now the trial is open for the pre Proposition 22 rule in California.</t>
  </si>
  <si>
    <r>
      <rPr>
        <b val="true"/>
        <sz val="10"/>
        <rFont val="Arial"/>
        <family val="2"/>
        <charset val="1"/>
      </rPr>
      <t xml:space="preserve">Delivery Hero</t>
    </r>
    <r>
      <rPr>
        <sz val="10"/>
        <rFont val="Arial"/>
        <family val="2"/>
        <charset val="1"/>
      </rPr>
      <t xml:space="preserve"> (Taiwan with objective to buy Foodpanda – blocked by antitrust)</t>
    </r>
  </si>
  <si>
    <t xml:space="preserve">Other similar litigations ended with a settlement of a few M$</t>
  </si>
  <si>
    <r>
      <rPr>
        <b val="true"/>
        <i val="true"/>
        <sz val="10"/>
        <rFont val="Arial"/>
        <family val="2"/>
        <charset val="1"/>
      </rPr>
      <t xml:space="preserve">Grab </t>
    </r>
    <r>
      <rPr>
        <sz val="10"/>
        <rFont val="Arial"/>
        <family val="2"/>
        <charset val="1"/>
      </rPr>
      <t xml:space="preserve">to acquire Delivery Hero </t>
    </r>
  </si>
  <si>
    <t xml:space="preserve">(Massacchussets 148 M$, New York 328M$, California 8M$, New Jersey 100M$)</t>
  </si>
  <si>
    <r>
      <rPr>
        <b val="true"/>
        <strike val="true"/>
        <sz val="10"/>
        <rFont val="Arial"/>
        <family val="2"/>
        <charset val="1"/>
      </rPr>
      <t xml:space="preserve">MLU B.V.</t>
    </r>
    <r>
      <rPr>
        <strike val="true"/>
        <sz val="10"/>
        <rFont val="Arial"/>
        <family val="2"/>
        <charset val="1"/>
      </rPr>
      <t xml:space="preserve"> (Russia) → Sold in 2023</t>
    </r>
  </si>
  <si>
    <t xml:space="preserve">or get dismissed (Philadelphia)</t>
  </si>
  <si>
    <r>
      <rPr>
        <b val="true"/>
        <sz val="10"/>
        <rFont val="Arial"/>
        <family val="2"/>
        <charset val="1"/>
      </rPr>
      <t xml:space="preserve">Treydon GO</t>
    </r>
    <r>
      <rPr>
        <sz val="10"/>
        <rFont val="Arial"/>
        <family val="2"/>
        <charset val="1"/>
      </rPr>
      <t xml:space="preserve"> (Turkey version for UberEats)</t>
    </r>
  </si>
  <si>
    <t xml:space="preserve">Also in France, after many disputes, the drivers were considered as Independent Workers</t>
  </si>
  <si>
    <t xml:space="preserve">put/call option that can be exercised in 2013 Q1, it is currently recorded as RNCI</t>
  </si>
  <si>
    <r>
      <rPr>
        <b val="true"/>
        <sz val="10"/>
        <rFont val="Arial"/>
        <family val="2"/>
        <charset val="1"/>
      </rPr>
      <t xml:space="preserve">Getir</t>
    </r>
    <r>
      <rPr>
        <sz val="10"/>
        <rFont val="Arial"/>
        <family val="2"/>
        <charset val="1"/>
      </rPr>
      <t xml:space="preserve"> (acquired its delivery division for the turkish market) – </t>
    </r>
    <r>
      <rPr>
        <i val="true"/>
        <sz val="10"/>
        <rFont val="Arial"/>
        <family val="2"/>
        <charset val="1"/>
      </rPr>
      <t xml:space="preserve">Mubadala Investment Company (UAE sovreign wealth fund)</t>
    </r>
  </si>
  <si>
    <t xml:space="preserve">UBER is currently facing +3,000 alligations for sexual violence from its drivers (1 every 8 minutes for the last 5 years)</t>
  </si>
  <si>
    <t xml:space="preserve">Now Getir customers can use Getir’s “super app” (?) to order and benefit of </t>
  </si>
  <si>
    <t xml:space="preserve">BUILD america 250, no ride-hailing company shall be liable for any harm caused by vehicles or people from the app</t>
  </si>
  <si>
    <t xml:space="preserve">all the Treydon GO restaurants (435 M$)</t>
  </si>
  <si>
    <t xml:space="preserve">This applies unless wrongdoping or company’s conduct rose gross negligence </t>
  </si>
  <si>
    <r>
      <rPr>
        <b val="true"/>
        <sz val="10"/>
        <rFont val="Arial"/>
        <family val="2"/>
        <charset val="1"/>
      </rPr>
      <t xml:space="preserve">Lime </t>
    </r>
    <r>
      <rPr>
        <sz val="10"/>
        <rFont val="Arial"/>
        <family val="2"/>
        <charset val="1"/>
      </rPr>
      <t xml:space="preserve">(</t>
    </r>
    <r>
      <rPr>
        <i val="true"/>
        <sz val="10"/>
        <rFont val="Arial"/>
        <family val="2"/>
        <charset val="1"/>
      </rPr>
      <t xml:space="preserve">Neutron Technologies</t>
    </r>
    <r>
      <rPr>
        <sz val="10"/>
        <rFont val="Arial"/>
        <family val="2"/>
        <charset val="1"/>
      </rPr>
      <t xml:space="preserve">) ??</t>
    </r>
  </si>
  <si>
    <r>
      <rPr>
        <b val="true"/>
        <i val="true"/>
        <sz val="10"/>
        <rFont val="Arial"/>
        <family val="2"/>
        <charset val="1"/>
      </rPr>
      <t xml:space="preserve">UBER Elite, </t>
    </r>
    <r>
      <rPr>
        <sz val="10"/>
        <rFont val="Arial"/>
        <family val="2"/>
        <charset val="1"/>
      </rPr>
      <t xml:space="preserve">executive focused service where for an additional fee, the customer can request a newer car to be driven with (&lt;= 3 y.o.)</t>
    </r>
  </si>
  <si>
    <t xml:space="preserve">In-vehicle amenities (chargers, bottled water, towels) and 24/7 support with the cheuffer</t>
  </si>
  <si>
    <r>
      <rPr>
        <b val="true"/>
        <i val="true"/>
        <sz val="10"/>
        <rFont val="Arial"/>
        <family val="2"/>
        <charset val="1"/>
      </rPr>
      <t xml:space="preserve">Blacklane</t>
    </r>
    <r>
      <rPr>
        <sz val="10"/>
        <rFont val="Arial"/>
        <family val="2"/>
        <charset val="1"/>
      </rPr>
      <t xml:space="preserve"> to be acquired to improve the increasing demand for luxury hauls (550 M$)</t>
    </r>
  </si>
  <si>
    <r>
      <rPr>
        <b val="true"/>
        <sz val="10"/>
        <rFont val="Arial"/>
        <family val="2"/>
        <charset val="1"/>
      </rPr>
      <t xml:space="preserve">SpotHero</t>
    </r>
    <r>
      <rPr>
        <sz val="10"/>
        <rFont val="Arial"/>
        <family val="2"/>
        <charset val="1"/>
      </rPr>
      <t xml:space="preserve">, digital parking aggregator (600M$)</t>
    </r>
  </si>
  <si>
    <t xml:space="preserve">Can Issue up to 5 Billion more shares</t>
  </si>
  <si>
    <t xml:space="preserve">And up to 10 M preferred shares (currently 0)</t>
  </si>
  <si>
    <t xml:space="preserve">As of 2024 they still have to repurchase $5.8B in shares. In jan 25 they stareted ASR</t>
  </si>
  <si>
    <t xml:space="preserve">Accelerated Share Repurchase</t>
  </si>
  <si>
    <t xml:space="preserve">In Feb26 expires a 213M loan to Moove</t>
  </si>
  <si>
    <r>
      <rPr>
        <sz val="10"/>
        <rFont val="Arial"/>
        <family val="2"/>
        <charset val="1"/>
      </rPr>
      <t xml:space="preserve">Currrently developing </t>
    </r>
    <r>
      <rPr>
        <b val="true"/>
        <i val="true"/>
        <sz val="10"/>
        <rFont val="Arial"/>
        <family val="2"/>
        <charset val="1"/>
      </rPr>
      <t xml:space="preserve">UBER AI</t>
    </r>
    <r>
      <rPr>
        <sz val="10"/>
        <rFont val="Arial"/>
        <family val="2"/>
        <charset val="1"/>
      </rPr>
      <t xml:space="preserve"> Solution also to increase driver engagement and retention</t>
    </r>
  </si>
  <si>
    <t xml:space="preserve">and using genAI in order to personalise interactions and the UBER experience</t>
  </si>
  <si>
    <t xml:space="preserve">Mighty AI Gmbh</t>
  </si>
  <si>
    <t xml:space="preserve">An AV (data providen in Austin and Atlanta) does 30% more trips per vehicle per day and </t>
  </si>
  <si>
    <t xml:space="preserve">the average ETA is 25% lower.</t>
  </si>
  <si>
    <t xml:space="preserve">As of Q4 25 in Austin there is a stable demand for AV during the whole week and the Human driver</t>
  </si>
  <si>
    <t xml:space="preserve">is usefull to boost the supply to meet the overall demand.</t>
  </si>
  <si>
    <t xml:space="preserve">Given the FCF increasing, expect a buyback in shares</t>
  </si>
  <si>
    <t xml:space="preserve">Partnering with Nvidia to create real wolrd data to simulate real world scenario for training AIs</t>
  </si>
  <si>
    <t xml:space="preserve">In a few years UBER will start owning vehicles (I guess forecasting AV)</t>
  </si>
  <si>
    <t xml:space="preserve">To launch UBER Air in Dubai through Joby (electric air taxi service) after Joby’s acquisition of Blade’s passenger business</t>
  </si>
  <si>
    <t xml:space="preserve">Capri UBER Air?</t>
  </si>
  <si>
    <t xml:space="preserve">Joby has almost obtained the FAA approval for their service</t>
  </si>
  <si>
    <t xml:space="preserve">! Goal</t>
  </si>
  <si>
    <t xml:space="preserve">AV launch by end 2026 in at least 10 cities</t>
  </si>
  <si>
    <t xml:space="preserve">2026/2027 many other cities as San Francisco, Abu Dhabi, Riyadh, LA, …</t>
  </si>
  <si>
    <t xml:space="preserve">Feb 2026 started deplopyment of at least 1,200 robotaxis in ME</t>
  </si>
  <si>
    <r>
      <rPr>
        <sz val="10"/>
        <rFont val="Arial"/>
        <family val="2"/>
        <charset val="1"/>
      </rPr>
      <t xml:space="preserve">Should be completed in 2027 in collaboration with </t>
    </r>
    <r>
      <rPr>
        <b val="true"/>
        <i val="true"/>
        <sz val="10"/>
        <rFont val="Arial"/>
        <family val="2"/>
        <charset val="1"/>
      </rPr>
      <t xml:space="preserve">WeRide</t>
    </r>
  </si>
  <si>
    <r>
      <rPr>
        <sz val="10"/>
        <rFont val="Arial"/>
        <family val="2"/>
        <charset val="1"/>
      </rPr>
      <t xml:space="preserve">The UAE are aiming for at least </t>
    </r>
    <r>
      <rPr>
        <i val="true"/>
        <sz val="10"/>
        <rFont val="Arial"/>
        <family val="2"/>
        <charset val="1"/>
      </rPr>
      <t xml:space="preserve">25% of trips with AV before 2030</t>
    </r>
    <r>
      <rPr>
        <sz val="10"/>
        <rFont val="Arial"/>
        <family val="2"/>
        <charset val="1"/>
      </rPr>
      <t xml:space="preserve">. Therefore the Middle East is a must to watch for the industry</t>
    </r>
  </si>
  <si>
    <t xml:space="preserve">WeRide and Grab to start the first autonomous passenger driving in Singapore (Punggol) </t>
  </si>
  <si>
    <r>
      <rPr>
        <b val="true"/>
        <i val="true"/>
        <sz val="10"/>
        <rFont val="Arial"/>
        <family val="2"/>
        <charset val="1"/>
      </rPr>
      <t xml:space="preserve">Ai.R.</t>
    </r>
    <r>
      <rPr>
        <sz val="10"/>
        <rFont val="Arial"/>
        <family val="2"/>
        <charset val="1"/>
      </rPr>
      <t xml:space="preserve"> (Autonously Intelligent Ride) training current Grab drivers in order to become “Safety Operators” also in order to remotely operate the Avs</t>
    </r>
  </si>
  <si>
    <t xml:space="preserve">fares will be free until commercially available service in mid-2026</t>
  </si>
  <si>
    <t xml:space="preserve">(UBER holds a stake in both companies WeRide and Grab)</t>
  </si>
  <si>
    <t xml:space="preserve">UCAN</t>
  </si>
  <si>
    <t xml:space="preserve">LATAM</t>
  </si>
  <si>
    <t xml:space="preserve">EMEA</t>
  </si>
  <si>
    <t xml:space="preserve">APAC</t>
  </si>
  <si>
    <t xml:space="preserve">UCAN %</t>
  </si>
  <si>
    <t xml:space="preserve">LATAM %</t>
  </si>
  <si>
    <t xml:space="preserve">EMEA %</t>
  </si>
  <si>
    <t xml:space="preserve">APAC %</t>
  </si>
  <si>
    <t xml:space="preserve">COVID</t>
  </si>
  <si>
    <t xml:space="preserve">Q125</t>
  </si>
  <si>
    <t xml:space="preserve">Main</t>
  </si>
  <si>
    <t xml:space="preserve">03/22</t>
  </si>
  <si>
    <t xml:space="preserve">06/22</t>
  </si>
  <si>
    <t xml:space="preserve">09/22</t>
  </si>
  <si>
    <t xml:space="preserve">12/22</t>
  </si>
  <si>
    <t xml:space="preserve">03/23</t>
  </si>
  <si>
    <t xml:space="preserve">06/23</t>
  </si>
  <si>
    <t xml:space="preserve">09/23</t>
  </si>
  <si>
    <t xml:space="preserve">12/23</t>
  </si>
  <si>
    <t xml:space="preserve">03/24</t>
  </si>
  <si>
    <t xml:space="preserve">06/24</t>
  </si>
  <si>
    <t xml:space="preserve">09/24</t>
  </si>
  <si>
    <t xml:space="preserve">12/24</t>
  </si>
  <si>
    <t xml:space="preserve">03/25</t>
  </si>
  <si>
    <t xml:space="preserve">06/25</t>
  </si>
  <si>
    <t xml:space="preserve">09/25</t>
  </si>
  <si>
    <t xml:space="preserve">12/25</t>
  </si>
  <si>
    <t xml:space="preserve">03/26</t>
  </si>
  <si>
    <t xml:space="preserve">06/26</t>
  </si>
  <si>
    <t xml:space="preserve">09/26</t>
  </si>
  <si>
    <t xml:space="preserve">12/26</t>
  </si>
  <si>
    <t xml:space="preserve">12/19</t>
  </si>
  <si>
    <t xml:space="preserve">12/20</t>
  </si>
  <si>
    <t xml:space="preserve">12/21</t>
  </si>
  <si>
    <t xml:space="preserve">12/27</t>
  </si>
  <si>
    <t xml:space="preserve">12/28</t>
  </si>
  <si>
    <t xml:space="preserve">12/29</t>
  </si>
  <si>
    <t xml:space="preserve">12/30</t>
  </si>
  <si>
    <t xml:space="preserve">12/31</t>
  </si>
  <si>
    <t xml:space="preserve">12/32</t>
  </si>
  <si>
    <t xml:space="preserve">12/33</t>
  </si>
  <si>
    <t xml:space="preserve">12/34</t>
  </si>
  <si>
    <t xml:space="preserve">12/35</t>
  </si>
  <si>
    <t xml:space="preserve">in Millions</t>
  </si>
  <si>
    <t xml:space="preserve">Q122</t>
  </si>
  <si>
    <t xml:space="preserve">Q222</t>
  </si>
  <si>
    <t xml:space="preserve">Q322</t>
  </si>
  <si>
    <t xml:space="preserve">Q422</t>
  </si>
  <si>
    <t xml:space="preserve">Q123</t>
  </si>
  <si>
    <t xml:space="preserve">Q223</t>
  </si>
  <si>
    <t xml:space="preserve">Q323</t>
  </si>
  <si>
    <t xml:space="preserve">Q423</t>
  </si>
  <si>
    <t xml:space="preserve">Q124</t>
  </si>
  <si>
    <t xml:space="preserve">Q224</t>
  </si>
  <si>
    <t xml:space="preserve">Q324</t>
  </si>
  <si>
    <t xml:space="preserve">Q424</t>
  </si>
  <si>
    <t xml:space="preserve">Q225</t>
  </si>
  <si>
    <t xml:space="preserve">Q325</t>
  </si>
  <si>
    <t xml:space="preserve">Q425</t>
  </si>
  <si>
    <t xml:space="preserve">Q226</t>
  </si>
  <si>
    <t xml:space="preserve">Q326</t>
  </si>
  <si>
    <t xml:space="preserve">Q426</t>
  </si>
  <si>
    <t xml:space="preserve">GRAB Group MTUs</t>
  </si>
  <si>
    <t xml:space="preserve">%</t>
  </si>
  <si>
    <t xml:space="preserve">GRAB GMV</t>
  </si>
  <si>
    <t xml:space="preserve">-</t>
  </si>
  <si>
    <t xml:space="preserve">DASH Orders</t>
  </si>
  <si>
    <t xml:space="preserve">ZOOX Trips (‘000)</t>
  </si>
  <si>
    <t xml:space="preserve">Waymo Trips (‘000)</t>
  </si>
  <si>
    <t xml:space="preserve">Apollo Go (‘000)</t>
  </si>
  <si>
    <t xml:space="preserve">Tesla Robotaxi</t>
  </si>
  <si>
    <t xml:space="preserve">Texla FSD (miles)</t>
  </si>
  <si>
    <t xml:space="preserve">LYFT Trips</t>
  </si>
  <si>
    <t xml:space="preserve">LYFT Gross Book</t>
  </si>
  <si>
    <t xml:space="preserve">MAD</t>
  </si>
  <si>
    <t xml:space="preserve">Mobility GB</t>
  </si>
  <si>
    <t xml:space="preserve">Delivery GB</t>
  </si>
  <si>
    <t xml:space="preserve">Freight GB</t>
  </si>
  <si>
    <t xml:space="preserve">Uber One</t>
  </si>
  <si>
    <t xml:space="preserve">Take Rate</t>
  </si>
  <si>
    <t xml:space="preserve">Other</t>
  </si>
  <si>
    <t xml:space="preserve">N.M.</t>
  </si>
  <si>
    <t xml:space="preserve">Revenue</t>
  </si>
  <si>
    <t xml:space="preserve">COGS</t>
  </si>
  <si>
    <t xml:space="preserve">Gross Profit</t>
  </si>
  <si>
    <t xml:space="preserve">O&amp;S</t>
  </si>
  <si>
    <t xml:space="preserve">S&amp;M</t>
  </si>
  <si>
    <t xml:space="preserve">R&amp;D</t>
  </si>
  <si>
    <t xml:space="preserve">G&amp;A</t>
  </si>
  <si>
    <t xml:space="preserve">OpEx</t>
  </si>
  <si>
    <t xml:space="preserve">OpInc / EBIT</t>
  </si>
  <si>
    <t xml:space="preserve">Interest Exp</t>
  </si>
  <si>
    <t xml:space="preserve">Pretax</t>
  </si>
  <si>
    <t xml:space="preserve">Taxes</t>
  </si>
  <si>
    <t xml:space="preserve">Loss from invest</t>
  </si>
  <si>
    <t xml:space="preserve">Pre NCI</t>
  </si>
  <si>
    <t xml:space="preserve">NCI</t>
  </si>
  <si>
    <t xml:space="preserve">Net Inc</t>
  </si>
  <si>
    <t xml:space="preserve">EPS</t>
  </si>
  <si>
    <t xml:space="preserve">Shares</t>
  </si>
  <si>
    <t xml:space="preserve">Gross Margin</t>
  </si>
  <si>
    <t xml:space="preserve">Op Margin</t>
  </si>
  <si>
    <t xml:space="preserve">NI Margin</t>
  </si>
  <si>
    <t xml:space="preserve">Tax Rate</t>
  </si>
  <si>
    <t xml:space="preserve">Incremental Margin</t>
  </si>
  <si>
    <t xml:space="preserve">Terminal</t>
  </si>
  <si>
    <t xml:space="preserve">Discount</t>
  </si>
  <si>
    <t xml:space="preserve">ROIC</t>
  </si>
  <si>
    <t xml:space="preserve">NWC</t>
  </si>
  <si>
    <t xml:space="preserve">NPV</t>
  </si>
  <si>
    <t xml:space="preserve">ROA</t>
  </si>
  <si>
    <t xml:space="preserve">ROE</t>
  </si>
  <si>
    <t xml:space="preserve">Diff</t>
  </si>
  <si>
    <t xml:space="preserve">A. Turnover</t>
  </si>
  <si>
    <t xml:space="preserve">Financial Leverage</t>
  </si>
  <si>
    <t xml:space="preserve">Financial Leverage %</t>
  </si>
  <si>
    <t xml:space="preserve">NOPAT</t>
  </si>
  <si>
    <t xml:space="preserve">Debt (-)</t>
  </si>
  <si>
    <t xml:space="preserve">EBITDA</t>
  </si>
  <si>
    <t xml:space="preserve">Cash (+)</t>
  </si>
  <si>
    <t xml:space="preserve">Adj. EBITDA</t>
  </si>
  <si>
    <t xml:space="preserve">Equity Value</t>
  </si>
  <si>
    <t xml:space="preserve">Book Value</t>
  </si>
  <si>
    <t xml:space="preserve">TV</t>
  </si>
  <si>
    <t xml:space="preserve">UFCF</t>
  </si>
  <si>
    <t xml:space="preserve">Mobility %</t>
  </si>
  <si>
    <t xml:space="preserve">Delivery %</t>
  </si>
  <si>
    <t xml:space="preserve">Freight %</t>
  </si>
  <si>
    <t xml:space="preserve">Net Cash</t>
  </si>
  <si>
    <t xml:space="preserve">Investments</t>
  </si>
  <si>
    <t xml:space="preserve">Short Investments</t>
  </si>
  <si>
    <t xml:space="preserve">A/R</t>
  </si>
  <si>
    <t xml:space="preserve">Prepaid Exp</t>
  </si>
  <si>
    <t xml:space="preserve">PP&amp;E</t>
  </si>
  <si>
    <t xml:space="preserve">Op Lease ROU</t>
  </si>
  <si>
    <t xml:space="preserve">Intangible</t>
  </si>
  <si>
    <t xml:space="preserve">Goodwill</t>
  </si>
  <si>
    <t xml:space="preserve">D/T</t>
  </si>
  <si>
    <t xml:space="preserve">A</t>
  </si>
  <si>
    <t xml:space="preserve">A/P</t>
  </si>
  <si>
    <t xml:space="preserve">Insurance (non – Curr)</t>
  </si>
  <si>
    <t xml:space="preserve">Insurance (Curr)</t>
  </si>
  <si>
    <t xml:space="preserve">Lease</t>
  </si>
  <si>
    <t xml:space="preserve">L</t>
  </si>
  <si>
    <t xml:space="preserve">Stock</t>
  </si>
  <si>
    <t xml:space="preserve">APIC</t>
  </si>
  <si>
    <t xml:space="preserve">Other loss</t>
  </si>
  <si>
    <t xml:space="preserve">Deficit</t>
  </si>
  <si>
    <t xml:space="preserve">NRNCI</t>
  </si>
  <si>
    <t xml:space="preserve">RNCI</t>
  </si>
  <si>
    <t xml:space="preserve">SE</t>
  </si>
  <si>
    <t xml:space="preserve">L+SE</t>
  </si>
  <si>
    <t xml:space="preserve">Model NI</t>
  </si>
  <si>
    <t xml:space="preserve">D&amp;A</t>
  </si>
  <si>
    <t xml:space="preserve">SBC</t>
  </si>
  <si>
    <t xml:space="preserve">Url. Loss</t>
  </si>
  <si>
    <t xml:space="preserve">Unrl. FX transaction</t>
  </si>
  <si>
    <t xml:space="preserve">Prepaid</t>
  </si>
  <si>
    <t xml:space="preserve">Accr. Insurance</t>
  </si>
  <si>
    <t xml:space="preserve">Accr. Exp</t>
  </si>
  <si>
    <t xml:space="preserve">Op. Lease</t>
  </si>
  <si>
    <t xml:space="preserve">CFFO</t>
  </si>
  <si>
    <t xml:space="preserve">CapEx</t>
  </si>
  <si>
    <t xml:space="preserve">FCF</t>
  </si>
  <si>
    <t xml:space="preserve">FCF/share</t>
  </si>
  <si>
    <t xml:space="preserve">Employees</t>
  </si>
  <si>
    <t xml:space="preserve">Rev / Employees</t>
  </si>
  <si>
    <t xml:space="preserve">Advertisement</t>
  </si>
  <si>
    <t xml:space="preserve">ADV Y/Y</t>
  </si>
  <si>
    <t xml:space="preserve">DSO</t>
  </si>
  <si>
    <t xml:space="preserve">DPO</t>
  </si>
  <si>
    <t xml:space="preserve">CCC</t>
  </si>
  <si>
    <t xml:space="preserve">Marketable Securities</t>
  </si>
  <si>
    <t xml:space="preserve"> Didi</t>
  </si>
  <si>
    <t xml:space="preserve"> Grab</t>
  </si>
  <si>
    <t xml:space="preserve"> Aurora</t>
  </si>
  <si>
    <t xml:space="preserve"> Other</t>
  </si>
  <si>
    <t xml:space="preserve">Non Mark. Securities</t>
  </si>
  <si>
    <t xml:space="preserve">Didi</t>
  </si>
  <si>
    <t xml:space="preserve">Notes</t>
  </si>
  <si>
    <t xml:space="preserve">13 F</t>
  </si>
  <si>
    <t xml:space="preserve">Aurora Innovation</t>
  </si>
  <si>
    <t xml:space="preserve">Grab Holding</t>
  </si>
  <si>
    <t xml:space="preserve">Joby Aviation</t>
  </si>
  <si>
    <t xml:space="preserve">Serve Robotics</t>
  </si>
  <si>
    <t xml:space="preserve">Marqeta</t>
  </si>
  <si>
    <t xml:space="preserve">Lucid Group</t>
  </si>
  <si>
    <t xml:space="preserve">WeRide</t>
  </si>
  <si>
    <t xml:space="preserve">isin</t>
  </si>
  <si>
    <t xml:space="preserve">bondType</t>
  </si>
  <si>
    <t xml:space="preserve">immediateIssuer</t>
  </si>
  <si>
    <t xml:space="preserve">coupon</t>
  </si>
  <si>
    <t xml:space="preserve">couponType</t>
  </si>
  <si>
    <t xml:space="preserve">maturityDate</t>
  </si>
  <si>
    <t xml:space="preserve">callable</t>
  </si>
  <si>
    <t xml:space="preserve">currency</t>
  </si>
  <si>
    <t xml:space="preserve">seniorityLevel</t>
  </si>
  <si>
    <t xml:space="preserve">liquidityScore</t>
  </si>
  <si>
    <t xml:space="preserve">US90353TAR14</t>
  </si>
  <si>
    <t xml:space="preserve">—</t>
  </si>
  <si>
    <t xml:space="preserve">Uber Technologies, Inc.</t>
  </si>
  <si>
    <t xml:space="preserve">Non-Interest-Bearing</t>
  </si>
  <si>
    <t xml:space="preserve">15/05/2028</t>
  </si>
  <si>
    <t xml:space="preserve">N</t>
  </si>
  <si>
    <t xml:space="preserve">USD</t>
  </si>
  <si>
    <t xml:space="preserve">Senior</t>
  </si>
  <si>
    <t xml:space="preserve">Zero-coupon bond backed by Aurora stocks priced at 8.50$ a share</t>
  </si>
  <si>
    <t xml:space="preserve">US90353TAM27</t>
  </si>
  <si>
    <t xml:space="preserve">Fixed Listing</t>
  </si>
  <si>
    <t xml:space="preserve">01/12/2028</t>
  </si>
  <si>
    <t xml:space="preserve">convertible bond with a conversion price of 72.54$. If the stock trades at 94.30$ for 20 trading days it can be redeemed.</t>
  </si>
  <si>
    <t xml:space="preserve">US90353TAK60</t>
  </si>
  <si>
    <t xml:space="preserve">15/08/2029</t>
  </si>
  <si>
    <t xml:space="preserve">Y</t>
  </si>
  <si>
    <t xml:space="preserve">USU9029YAG53</t>
  </si>
  <si>
    <t xml:space="preserve">US90353TAN00</t>
  </si>
  <si>
    <t xml:space="preserve">15/01/2030</t>
  </si>
  <si>
    <t xml:space="preserve">US90353TAT79</t>
  </si>
  <si>
    <t xml:space="preserve">15/01/2031</t>
  </si>
  <si>
    <t xml:space="preserve">US90353TAP57</t>
  </si>
  <si>
    <t xml:space="preserve">15/09/2034</t>
  </si>
  <si>
    <t xml:space="preserve">US90353TAU43</t>
  </si>
  <si>
    <t xml:space="preserve">15/09/2035</t>
  </si>
  <si>
    <t xml:space="preserve">US90353TAQ31</t>
  </si>
  <si>
    <t xml:space="preserve">15/09/2054</t>
  </si>
  <si>
    <t xml:space="preserve">auditor</t>
  </si>
  <si>
    <t xml:space="preserve">PwC</t>
  </si>
  <si>
    <t xml:space="preserve">EPS instead of adj. EBITDA and adj. EBITDA less SBC</t>
  </si>
  <si>
    <t xml:space="preserve">EPS will account for 60% of compensation bonus, Gross Booking 30%</t>
  </si>
  <si>
    <t xml:space="preserve">shifting to a 3 years NON-GAAP bonus compensation instead of annual adj. EBITDA margin</t>
  </si>
  <si>
    <t xml:space="preserve">90% of SBC will be based on financial performance, therefore they consider this the main long-term driver</t>
  </si>
  <si>
    <t xml:space="preserve">SBC liked to increase in safety in their departments (Delivery, Mobility, Freight) – 10% compensation</t>
  </si>
  <si>
    <t xml:space="preserve">Cybersecurity</t>
  </si>
  <si>
    <t xml:space="preserve">Nikesh Arora (Palo Alto Networks CEO) expertise in AI cybersecurity</t>
  </si>
  <si>
    <t xml:space="preserve">AV Transparency</t>
  </si>
  <si>
    <t xml:space="preserve">More transparency in the Autonomous, Mobility and Delivery safety guidelines (AM&amp;D)</t>
  </si>
  <si>
    <t xml:space="preserve">AM&amp;D safety program to govern partner deployment for future AV</t>
  </si>
  <si>
    <t xml:space="preserve">Electrification Strategy</t>
  </si>
  <si>
    <t xml:space="preserve">publishing the Electrification Update in order to focus more on EV and less on “Green Vehicles”</t>
  </si>
  <si>
    <t xml:space="preserve">2040 net-zero goal</t>
  </si>
  <si>
    <r>
      <rPr>
        <sz val="10"/>
        <rFont val="Arial"/>
        <family val="2"/>
        <charset val="1"/>
      </rPr>
      <t xml:space="preserve">The Board is aiming to partner with the highest amount of AV companies possible (and often investing in them) in order to have a competitive advantage as soon as someone reahces a </t>
    </r>
    <r>
      <rPr>
        <b val="true"/>
        <i val="true"/>
        <sz val="10"/>
        <rFont val="Arial"/>
        <family val="2"/>
        <charset val="1"/>
      </rPr>
      <t xml:space="preserve">level 5 automation.</t>
    </r>
  </si>
  <si>
    <t xml:space="preserve">6% of UBER is owned by the Public Investment Fund (Saudi’s investment fund)</t>
  </si>
</sst>
</file>

<file path=xl/styles.xml><?xml version="1.0" encoding="utf-8"?>
<styleSheet xmlns="http://schemas.openxmlformats.org/spreadsheetml/2006/main">
  <numFmts count="20">
    <numFmt numFmtId="164" formatCode="General"/>
    <numFmt numFmtId="165" formatCode="#,##0;\(#,##0\);\-"/>
    <numFmt numFmtId="166" formatCode="0.00%;\(0.00%\);\-"/>
    <numFmt numFmtId="167" formatCode="#,##0"/>
    <numFmt numFmtId="168" formatCode="0.00"/>
    <numFmt numFmtId="169" formatCode="#,##0\x"/>
    <numFmt numFmtId="170" formatCode="#,##0.0"/>
    <numFmt numFmtId="171" formatCode="0.0%"/>
    <numFmt numFmtId="172" formatCode="#,##0.00"/>
    <numFmt numFmtId="173" formatCode="0.00%"/>
    <numFmt numFmtId="174" formatCode="#%"/>
    <numFmt numFmtId="175" formatCode="#\x"/>
    <numFmt numFmtId="176" formatCode="mm/dd/yy"/>
    <numFmt numFmtId="177" formatCode="0.00%;\(0.00%\)"/>
    <numFmt numFmtId="178" formatCode="mm/dd"/>
    <numFmt numFmtId="179" formatCode="#,##0;\-#,##0"/>
    <numFmt numFmtId="180" formatCode="#,###.0"/>
    <numFmt numFmtId="181" formatCode="#,##0.00;\(#,##0.00\)"/>
    <numFmt numFmtId="182" formatCode="0%"/>
    <numFmt numFmtId="183" formatCode="#,##0.00;[RED]\-#,##0.00"/>
  </numFmts>
  <fonts count="31">
    <font>
      <sz val="10"/>
      <name val="Arial"/>
      <family val="2"/>
      <charset val="1"/>
    </font>
    <font>
      <sz val="10"/>
      <name val="Arial"/>
      <family val="0"/>
    </font>
    <font>
      <sz val="10"/>
      <name val="Arial"/>
      <family val="0"/>
    </font>
    <font>
      <sz val="10"/>
      <name val="Arial"/>
      <family val="0"/>
    </font>
    <font>
      <b val="true"/>
      <i val="true"/>
      <sz val="10"/>
      <name val="Arial"/>
      <family val="2"/>
      <charset val="1"/>
    </font>
    <font>
      <sz val="11"/>
      <name val="Arial"/>
      <family val="2"/>
      <charset val="1"/>
    </font>
    <font>
      <b val="true"/>
      <sz val="13"/>
      <name val="Arial"/>
      <family val="2"/>
      <charset val="1"/>
    </font>
    <font>
      <i val="true"/>
      <sz val="10"/>
      <name val="Arial"/>
      <family val="2"/>
      <charset val="1"/>
    </font>
    <font>
      <b val="true"/>
      <sz val="10"/>
      <name val="Arial"/>
      <family val="2"/>
      <charset val="1"/>
    </font>
    <font>
      <b val="true"/>
      <i val="true"/>
      <vertAlign val="superscript"/>
      <sz val="10"/>
      <name val="Arial"/>
      <family val="2"/>
      <charset val="1"/>
    </font>
    <font>
      <sz val="10"/>
      <color rgb="FF0000FF"/>
      <name val="Arial"/>
      <family val="2"/>
      <charset val="1"/>
    </font>
    <font>
      <vertAlign val="superscript"/>
      <sz val="10"/>
      <name val="Arial"/>
      <family val="2"/>
      <charset val="1"/>
    </font>
    <font>
      <sz val="11"/>
      <color rgb="FF000000"/>
      <name val="Arial"/>
      <family val="2"/>
      <charset val="1"/>
    </font>
    <font>
      <strike val="true"/>
      <sz val="10"/>
      <name val="Arial"/>
      <family val="2"/>
      <charset val="1"/>
    </font>
    <font>
      <b val="true"/>
      <strike val="true"/>
      <sz val="10"/>
      <name val="Arial"/>
      <family val="2"/>
      <charset val="1"/>
    </font>
    <font>
      <i val="true"/>
      <sz val="8"/>
      <color rgb="FF808080"/>
      <name val="Arial"/>
      <family val="2"/>
      <charset val="1"/>
    </font>
    <font>
      <sz val="12"/>
      <name val="Arial"/>
      <family val="2"/>
      <charset val="1"/>
    </font>
    <font>
      <i val="true"/>
      <sz val="8"/>
      <name val="Arial"/>
      <family val="2"/>
      <charset val="1"/>
    </font>
    <font>
      <sz val="9"/>
      <name val="Arial"/>
      <family val="2"/>
      <charset val="1"/>
    </font>
    <font>
      <i val="true"/>
      <sz val="9"/>
      <name val="Arial"/>
      <family val="2"/>
      <charset val="1"/>
    </font>
    <font>
      <b val="true"/>
      <i val="true"/>
      <sz val="8"/>
      <color rgb="FF808080"/>
      <name val="Arial"/>
      <family val="2"/>
      <charset val="1"/>
    </font>
    <font>
      <b val="true"/>
      <i val="true"/>
      <sz val="9"/>
      <name val="Arial"/>
      <family val="2"/>
      <charset val="1"/>
    </font>
    <font>
      <i val="true"/>
      <sz val="8"/>
      <color rgb="FF666666"/>
      <name val="Arial"/>
      <family val="2"/>
      <charset val="1"/>
    </font>
    <font>
      <sz val="10"/>
      <name val="Arial"/>
      <family val="2"/>
    </font>
    <font>
      <sz val="13"/>
      <color rgb="FF000000"/>
      <name val="Arial"/>
      <family val="2"/>
    </font>
    <font>
      <sz val="10"/>
      <color rgb="FF000000"/>
      <name val="Arial"/>
      <family val="2"/>
    </font>
    <font>
      <b val="true"/>
      <sz val="11"/>
      <color rgb="FF4B4B4B"/>
      <name val="Arial"/>
      <family val="2"/>
      <charset val="1"/>
    </font>
    <font>
      <sz val="11"/>
      <color rgb="FF4B4B4B"/>
      <name val="Arial"/>
      <family val="2"/>
      <charset val="1"/>
    </font>
    <font>
      <sz val="12"/>
      <color rgb="FF000000"/>
      <name val="Arial"/>
      <family val="0"/>
    </font>
    <font>
      <sz val="12"/>
      <color rgb="FF000000"/>
      <name val="Times New Roman"/>
      <family val="0"/>
    </font>
    <font>
      <i val="true"/>
      <sz val="12"/>
      <color rgb="FF000000"/>
      <name val="Arial"/>
      <family val="0"/>
    </font>
  </fonts>
  <fills count="10">
    <fill>
      <patternFill patternType="none"/>
    </fill>
    <fill>
      <patternFill patternType="gray125"/>
    </fill>
    <fill>
      <patternFill patternType="solid">
        <fgColor rgb="FFCCCCCC"/>
        <bgColor rgb="FFDDDDDD"/>
      </patternFill>
    </fill>
    <fill>
      <patternFill patternType="solid">
        <fgColor rgb="FFDDDDDD"/>
        <bgColor rgb="FFE1E1E1"/>
      </patternFill>
    </fill>
    <fill>
      <patternFill patternType="solid">
        <fgColor rgb="FFEEEEEE"/>
        <bgColor rgb="FFF5F5F5"/>
      </patternFill>
    </fill>
    <fill>
      <patternFill patternType="solid">
        <fgColor rgb="FFFFD320"/>
        <bgColor rgb="FFFFFF00"/>
      </patternFill>
    </fill>
    <fill>
      <patternFill patternType="solid">
        <fgColor rgb="FFB2B2B2"/>
        <bgColor rgb="FFB3B3B3"/>
      </patternFill>
    </fill>
    <fill>
      <patternFill patternType="solid">
        <fgColor rgb="FFE1E1E1"/>
        <bgColor rgb="FFDDDDDD"/>
      </patternFill>
    </fill>
    <fill>
      <patternFill patternType="solid">
        <fgColor rgb="FFF5F5F5"/>
        <bgColor rgb="FFEEEEEE"/>
      </patternFill>
    </fill>
    <fill>
      <patternFill patternType="solid">
        <fgColor rgb="FFFFFFFF"/>
        <bgColor rgb="FFF5F5F5"/>
      </patternFill>
    </fill>
  </fills>
  <borders count="8">
    <border diagonalUp="false" diagonalDown="false">
      <left/>
      <right/>
      <top/>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right/>
      <top/>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cellStyleXfs>
  <cellXfs count="1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7"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7" fontId="0" fillId="2"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true" applyBorder="false" applyAlignment="true" applyProtection="true">
      <alignment horizontal="general" vertical="bottom" textRotation="0" wrapText="false" indent="0" shrinkToFit="false"/>
      <protection locked="true" hidden="false"/>
    </xf>
    <xf numFmtId="169" fontId="0" fillId="0" borderId="0" xfId="0" applyFont="true" applyBorder="false" applyAlignment="true" applyProtection="true">
      <alignment horizontal="general" vertical="bottom" textRotation="0" wrapText="false" indent="0" shrinkToFit="false"/>
      <protection locked="true" hidden="false"/>
    </xf>
    <xf numFmtId="170" fontId="5" fillId="0" borderId="0" xfId="0" applyFont="true" applyBorder="false" applyAlignment="true" applyProtection="true">
      <alignment horizontal="general" vertical="bottom" textRotation="0" wrapText="false" indent="0" shrinkToFit="false"/>
      <protection locked="true" hidden="false"/>
    </xf>
    <xf numFmtId="171" fontId="6" fillId="3" borderId="0" xfId="0" applyFont="true" applyBorder="false" applyAlignment="true" applyProtection="true">
      <alignment horizontal="general" vertical="bottom" textRotation="0" wrapText="false" indent="0" shrinkToFit="false"/>
      <protection locked="true" hidden="false"/>
    </xf>
    <xf numFmtId="172" fontId="6" fillId="0" borderId="0" xfId="0" applyFont="true" applyBorder="false" applyAlignment="true" applyProtection="true">
      <alignment horizontal="general" vertical="bottom" textRotation="0" wrapText="false" indent="0" shrinkToFit="false"/>
      <protection locked="true" hidden="false"/>
    </xf>
    <xf numFmtId="173" fontId="6" fillId="3" borderId="0" xfId="0" applyFont="true" applyBorder="false" applyAlignment="true" applyProtection="true">
      <alignment horizontal="general" vertical="bottom" textRotation="0" wrapText="false" indent="0" shrinkToFit="false"/>
      <protection locked="true" hidden="false"/>
    </xf>
    <xf numFmtId="174" fontId="6" fillId="0" borderId="0" xfId="0" applyFont="true" applyBorder="false" applyAlignment="true" applyProtection="true">
      <alignment horizontal="general" vertical="bottom" textRotation="0" wrapText="false" indent="0" shrinkToFit="false"/>
      <protection locked="true" hidden="false"/>
    </xf>
    <xf numFmtId="168" fontId="6"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73" fontId="8" fillId="0" borderId="0" xfId="0" applyFont="true" applyBorder="false" applyAlignment="true" applyProtection="true">
      <alignment horizontal="general" vertical="bottom" textRotation="0" wrapText="false" indent="0" shrinkToFit="false"/>
      <protection locked="true" hidden="false"/>
    </xf>
    <xf numFmtId="175" fontId="6"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75" fontId="6" fillId="0" borderId="0" xfId="0" applyFont="true" applyBorder="fals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right"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76" fontId="0" fillId="0" borderId="0" xfId="0" applyFont="true" applyBorder="false" applyAlignment="true" applyProtection="true">
      <alignment horizontal="left" vertical="bottom" textRotation="0" wrapText="false" indent="0" shrinkToFit="false"/>
      <protection locked="true" hidden="false"/>
    </xf>
    <xf numFmtId="17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7" fontId="5" fillId="0"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73" fontId="15"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77" fontId="7" fillId="0" borderId="0" xfId="0" applyFont="true" applyBorder="false" applyAlignment="true" applyProtection="true">
      <alignment horizontal="general" vertical="bottom" textRotation="0" wrapText="false" indent="0" shrinkToFit="false"/>
      <protection locked="true" hidden="false"/>
    </xf>
    <xf numFmtId="174" fontId="7" fillId="0" borderId="0" xfId="0" applyFont="true" applyBorder="false" applyAlignment="true" applyProtection="true">
      <alignment horizontal="general" vertical="bottom" textRotation="0" wrapText="false" indent="0" shrinkToFit="false"/>
      <protection locked="true" hidden="false"/>
    </xf>
    <xf numFmtId="177" fontId="7" fillId="0" borderId="0" xfId="0" applyFont="true" applyBorder="false" applyAlignment="true" applyProtection="true">
      <alignment horizontal="center"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78" fontId="16" fillId="0" borderId="0" xfId="0" applyFont="true" applyBorder="false" applyAlignment="true" applyProtection="true">
      <alignment horizontal="right"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right" vertical="bottom" textRotation="0" wrapText="false" indent="0" shrinkToFit="false"/>
      <protection locked="true" hidden="false"/>
    </xf>
    <xf numFmtId="179" fontId="0" fillId="0" borderId="0" xfId="0" applyFont="true" applyBorder="false" applyAlignment="true" applyProtection="true">
      <alignment horizontal="left" vertical="bottom" textRotation="0" wrapText="false" indent="0" shrinkToFit="false"/>
      <protection locked="true" hidden="false"/>
    </xf>
    <xf numFmtId="179" fontId="0" fillId="0" borderId="0" xfId="0" applyFont="true" applyBorder="false" applyAlignment="true" applyProtection="true">
      <alignment horizontal="right" vertical="bottom" textRotation="0" wrapText="false" indent="0" shrinkToFit="false"/>
      <protection locked="true" hidden="false"/>
    </xf>
    <xf numFmtId="173" fontId="15" fillId="0" borderId="0" xfId="0" applyFont="true" applyBorder="false" applyAlignment="true" applyProtection="true">
      <alignment horizontal="right" vertical="bottom" textRotation="0" wrapText="false" indent="0" shrinkToFit="false"/>
      <protection locked="true" hidden="false"/>
    </xf>
    <xf numFmtId="165" fontId="0" fillId="0" borderId="0" xfId="0" applyFont="true" applyBorder="false" applyAlignment="true" applyProtection="true">
      <alignment horizontal="left" vertical="bottom" textRotation="0" wrapText="false" indent="0" shrinkToFit="false"/>
      <protection locked="true" hidden="false"/>
    </xf>
    <xf numFmtId="165" fontId="0" fillId="0" borderId="0" xfId="0" applyFont="true" applyBorder="false" applyAlignment="true" applyProtection="true">
      <alignment horizontal="center" vertical="bottom" textRotation="0" wrapText="false" indent="0" shrinkToFit="false"/>
      <protection locked="true" hidden="false"/>
    </xf>
    <xf numFmtId="165" fontId="0" fillId="0" borderId="0" xfId="0" applyFont="true" applyBorder="false" applyAlignment="true" applyProtection="true">
      <alignment horizontal="right" vertical="bottom" textRotation="0" wrapText="false" indent="0" shrinkToFit="false"/>
      <protection locked="true" hidden="false"/>
    </xf>
    <xf numFmtId="173" fontId="15" fillId="0" borderId="0" xfId="0" applyFont="true" applyBorder="false" applyAlignment="true" applyProtection="true">
      <alignment horizontal="left" vertical="bottom" textRotation="0" wrapText="false" indent="0" shrinkToFit="false"/>
      <protection locked="true" hidden="false"/>
    </xf>
    <xf numFmtId="177" fontId="7" fillId="0" borderId="0" xfId="0" applyFont="true" applyBorder="false" applyAlignment="true" applyProtection="true">
      <alignment horizontal="right" vertical="bottom" textRotation="0" wrapText="false" indent="0" shrinkToFit="false"/>
      <protection locked="true" hidden="false"/>
    </xf>
    <xf numFmtId="165" fontId="0" fillId="2" borderId="0" xfId="0" applyFont="true" applyBorder="false" applyAlignment="true" applyProtection="true">
      <alignment horizontal="right" vertical="bottom" textRotation="0" wrapText="false" indent="0" shrinkToFit="false"/>
      <protection locked="true" hidden="false"/>
    </xf>
    <xf numFmtId="173" fontId="17" fillId="0" borderId="0" xfId="0" applyFont="true" applyBorder="false" applyAlignment="true" applyProtection="true">
      <alignment horizontal="left" vertical="bottom" textRotation="0" wrapText="false" indent="0" shrinkToFit="false"/>
      <protection locked="true" hidden="false"/>
    </xf>
    <xf numFmtId="173" fontId="17" fillId="0" borderId="0" xfId="0" applyFont="true" applyBorder="false" applyAlignment="true" applyProtection="true">
      <alignment horizontal="right" vertical="bottom" textRotation="0" wrapText="false" indent="0" shrinkToFit="false"/>
      <protection locked="true" hidden="false"/>
    </xf>
    <xf numFmtId="173" fontId="17"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7" fontId="18" fillId="0" borderId="0" xfId="0" applyFont="true" applyBorder="false" applyAlignment="true" applyProtection="true">
      <alignment horizontal="general" vertical="bottom" textRotation="0" wrapText="false" indent="0" shrinkToFit="false"/>
      <protection locked="true" hidden="false"/>
    </xf>
    <xf numFmtId="180" fontId="0" fillId="4" borderId="0" xfId="0" applyFont="true" applyBorder="false" applyAlignment="true" applyProtection="true">
      <alignment horizontal="left" vertical="bottom" textRotation="0" wrapText="false" indent="0" shrinkToFit="false"/>
      <protection locked="true" hidden="false"/>
    </xf>
    <xf numFmtId="180" fontId="0" fillId="0" borderId="0" xfId="0" applyFont="true" applyBorder="false" applyAlignment="true" applyProtection="true">
      <alignment horizontal="right" vertical="bottom" textRotation="0" wrapText="false" indent="0" shrinkToFit="false"/>
      <protection locked="true" hidden="false"/>
    </xf>
    <xf numFmtId="167" fontId="0" fillId="4" borderId="0" xfId="0" applyFont="true" applyBorder="false" applyAlignment="true" applyProtection="true">
      <alignment horizontal="left" vertical="bottom" textRotation="0" wrapText="false" indent="0" shrinkToFit="false"/>
      <protection locked="true" hidden="false"/>
    </xf>
    <xf numFmtId="167" fontId="0" fillId="0" borderId="0" xfId="0" applyFont="true" applyBorder="false" applyAlignment="true" applyProtection="true">
      <alignment horizontal="right" vertical="bottom" textRotation="0" wrapText="false" indent="0" shrinkToFit="false"/>
      <protection locked="true" hidden="false"/>
    </xf>
    <xf numFmtId="167" fontId="0" fillId="0" borderId="0" xfId="0" applyFont="true" applyBorder="false" applyAlignment="true" applyProtection="true">
      <alignment horizontal="center" vertical="bottom" textRotation="0" wrapText="false" indent="0" shrinkToFit="false"/>
      <protection locked="true" hidden="false"/>
    </xf>
    <xf numFmtId="177" fontId="0" fillId="0" borderId="0" xfId="0" applyFont="true" applyBorder="false" applyAlignment="true" applyProtection="true">
      <alignment horizontal="right" vertical="bottom" textRotation="0" wrapText="false" indent="0" shrinkToFit="false"/>
      <protection locked="true" hidden="false"/>
    </xf>
    <xf numFmtId="168" fontId="0" fillId="0" borderId="0" xfId="0" applyFont="true" applyBorder="false" applyAlignment="true" applyProtection="true">
      <alignment horizontal="left" vertical="bottom" textRotation="0" wrapText="false" indent="0" shrinkToFit="false"/>
      <protection locked="true" hidden="false"/>
    </xf>
    <xf numFmtId="168" fontId="0" fillId="0" borderId="0" xfId="0" applyFont="true" applyBorder="false" applyAlignment="true" applyProtection="true">
      <alignment horizontal="right" vertical="bottom" textRotation="0" wrapText="false" indent="0" shrinkToFit="false"/>
      <protection locked="true" hidden="false"/>
    </xf>
    <xf numFmtId="168" fontId="0" fillId="0" borderId="0" xfId="0" applyFont="true" applyBorder="false" applyAlignment="true" applyProtection="true">
      <alignment horizontal="center" vertical="bottom" textRotation="0" wrapText="false" indent="0" shrinkToFit="false"/>
      <protection locked="true" hidden="false"/>
    </xf>
    <xf numFmtId="167" fontId="0" fillId="4" borderId="0" xfId="0" applyFont="true" applyBorder="false" applyAlignment="true" applyProtection="true">
      <alignment horizontal="general" vertical="bottom" textRotation="0" wrapText="false" indent="0" shrinkToFit="false"/>
      <protection locked="true" hidden="false"/>
    </xf>
    <xf numFmtId="177" fontId="19" fillId="0" borderId="0" xfId="0" applyFont="true" applyBorder="false" applyAlignment="true" applyProtection="true">
      <alignment horizontal="right" vertical="bottom" textRotation="0" wrapText="false" indent="0" shrinkToFit="false"/>
      <protection locked="true" hidden="false"/>
    </xf>
    <xf numFmtId="177" fontId="19"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5" fontId="19" fillId="0" borderId="0" xfId="0" applyFont="true" applyBorder="false" applyAlignment="true" applyProtection="true">
      <alignment horizontal="left" vertical="bottom" textRotation="0" wrapText="false" indent="0" shrinkToFit="false"/>
      <protection locked="true" hidden="false"/>
    </xf>
    <xf numFmtId="165" fontId="19" fillId="0" borderId="0" xfId="0" applyFont="true" applyBorder="false" applyAlignment="true" applyProtection="true">
      <alignment horizontal="general" vertical="bottom" textRotation="0" wrapText="false" indent="0" shrinkToFit="false"/>
      <protection locked="true" hidden="false"/>
    </xf>
    <xf numFmtId="165" fontId="19" fillId="0" borderId="0" xfId="0" applyFont="true" applyBorder="false" applyAlignment="true" applyProtection="true">
      <alignment horizontal="right" vertical="bottom" textRotation="0" wrapText="false" indent="0" shrinkToFit="false"/>
      <protection locked="true" hidden="false"/>
    </xf>
    <xf numFmtId="166" fontId="19" fillId="0" borderId="0" xfId="0" applyFont="true" applyBorder="false" applyAlignment="true" applyProtection="true">
      <alignment horizontal="general" vertical="bottom" textRotation="0" wrapText="false" indent="0" shrinkToFit="false"/>
      <protection locked="true" hidden="false"/>
    </xf>
    <xf numFmtId="166" fontId="18" fillId="0" borderId="0" xfId="0" applyFont="true" applyBorder="false" applyAlignment="true" applyProtection="true">
      <alignment horizontal="general" vertical="bottom" textRotation="0" wrapText="false" indent="0" shrinkToFit="false"/>
      <protection locked="true" hidden="false"/>
    </xf>
    <xf numFmtId="167" fontId="8" fillId="0" borderId="0" xfId="0" applyFont="true" applyBorder="fals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73" fontId="20" fillId="0" borderId="0" xfId="0" applyFont="true" applyBorder="false" applyAlignment="true" applyProtection="true">
      <alignment horizontal="general" vertical="bottom" textRotation="0" wrapText="false" indent="0" shrinkToFit="false"/>
      <protection locked="true" hidden="false"/>
    </xf>
    <xf numFmtId="165" fontId="18" fillId="0" borderId="0" xfId="0" applyFont="true" applyBorder="false" applyAlignment="true" applyProtection="true">
      <alignment horizontal="general" vertical="bottom" textRotation="0" wrapText="false" indent="0" shrinkToFit="false"/>
      <protection locked="true" hidden="false"/>
    </xf>
    <xf numFmtId="181" fontId="8" fillId="0" borderId="0" xfId="0" applyFont="true" applyBorder="false" applyAlignment="true" applyProtection="true">
      <alignment horizontal="general" vertical="bottom" textRotation="0" wrapText="false" indent="0" shrinkToFit="false"/>
      <protection locked="true" hidden="false"/>
    </xf>
    <xf numFmtId="181" fontId="0" fillId="0" borderId="0" xfId="0" applyFont="true" applyBorder="false" applyAlignment="true" applyProtection="true">
      <alignment horizontal="general" vertical="bottom" textRotation="0" wrapText="false" indent="0" shrinkToFit="false"/>
      <protection locked="true" hidden="false"/>
    </xf>
    <xf numFmtId="173" fontId="0"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true" applyBorder="false" applyAlignment="true" applyProtection="true">
      <alignment horizontal="general" vertical="bottom" textRotation="0" wrapText="false" indent="0" shrinkToFit="false"/>
      <protection locked="true" hidden="false"/>
    </xf>
    <xf numFmtId="177" fontId="19" fillId="5"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71" fontId="7" fillId="0" borderId="0" xfId="0" applyFont="true" applyBorder="false" applyAlignment="true" applyProtection="true">
      <alignment horizontal="general" vertical="bottom" textRotation="0" wrapText="false" indent="0" shrinkToFit="false"/>
      <protection locked="true" hidden="false"/>
    </xf>
    <xf numFmtId="177" fontId="7" fillId="6" borderId="1" xfId="0" applyFont="true" applyBorder="true" applyAlignment="true" applyProtection="true">
      <alignment horizontal="general" vertical="bottom" textRotation="0" wrapText="false" indent="0" shrinkToFit="false"/>
      <protection locked="true" hidden="false"/>
    </xf>
    <xf numFmtId="182" fontId="7" fillId="6" borderId="2" xfId="0" applyFont="true" applyBorder="true" applyAlignment="true" applyProtection="true">
      <alignment horizontal="general" vertical="bottom" textRotation="0" wrapText="false" indent="0" shrinkToFit="false"/>
      <protection locked="true" hidden="false"/>
    </xf>
    <xf numFmtId="177" fontId="4" fillId="0" borderId="0" xfId="0" applyFont="true" applyBorder="false" applyAlignment="true" applyProtection="true">
      <alignment horizontal="general" vertical="bottom" textRotation="0" wrapText="false" indent="0" shrinkToFit="false"/>
      <protection locked="true" hidden="false"/>
    </xf>
    <xf numFmtId="177" fontId="0" fillId="0" borderId="0" xfId="0" applyFont="true" applyBorder="fals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general" vertical="bottom" textRotation="0" wrapText="false" indent="0" shrinkToFit="false"/>
      <protection locked="true" hidden="false"/>
    </xf>
    <xf numFmtId="177" fontId="7" fillId="3" borderId="3" xfId="0" applyFont="true" applyBorder="true" applyAlignment="true" applyProtection="true">
      <alignment horizontal="general" vertical="bottom" textRotation="0" wrapText="false" indent="0" shrinkToFit="false"/>
      <protection locked="true" hidden="false"/>
    </xf>
    <xf numFmtId="182" fontId="7" fillId="3" borderId="4" xfId="0" applyFont="true" applyBorder="true" applyAlignment="true" applyProtection="true">
      <alignment horizontal="general" vertical="bottom" textRotation="0" wrapText="false" indent="0" shrinkToFit="false"/>
      <protection locked="true" hidden="false"/>
    </xf>
    <xf numFmtId="177" fontId="7" fillId="6" borderId="3" xfId="0" applyFont="true" applyBorder="true" applyAlignment="true" applyProtection="true">
      <alignment horizontal="general" vertical="bottom" textRotation="0" wrapText="false" indent="0" shrinkToFit="false"/>
      <protection locked="true" hidden="false"/>
    </xf>
    <xf numFmtId="182" fontId="7" fillId="6" borderId="4" xfId="0" applyFont="true" applyBorder="true" applyAlignment="true" applyProtection="true">
      <alignment horizontal="general" vertical="bottom" textRotation="0" wrapText="false" indent="0" shrinkToFit="false"/>
      <protection locked="true" hidden="false"/>
    </xf>
    <xf numFmtId="167" fontId="7" fillId="3" borderId="4" xfId="0" applyFont="true" applyBorder="tru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7" fontId="4" fillId="6" borderId="4" xfId="0" applyFont="true" applyBorder="true" applyAlignment="true" applyProtection="true">
      <alignment horizontal="general" vertical="bottom" textRotation="0" wrapText="false" indent="0" shrinkToFit="false"/>
      <protection locked="true" hidden="false"/>
    </xf>
    <xf numFmtId="177" fontId="7" fillId="3" borderId="5" xfId="0" applyFont="true" applyBorder="true" applyAlignment="true" applyProtection="true">
      <alignment horizontal="general" vertical="bottom" textRotation="0" wrapText="false" indent="0" shrinkToFit="false"/>
      <protection locked="true" hidden="false"/>
    </xf>
    <xf numFmtId="182" fontId="4" fillId="3" borderId="6" xfId="0" applyFont="true" applyBorder="true" applyAlignment="true" applyProtection="true">
      <alignment horizontal="general" vertical="bottom" textRotation="0" wrapText="false" indent="0" shrinkToFit="false"/>
      <protection locked="true" hidden="false"/>
    </xf>
    <xf numFmtId="172" fontId="7" fillId="0" borderId="0" xfId="0" applyFont="true" applyBorder="false" applyAlignment="true" applyProtection="true">
      <alignment horizontal="general" vertical="bottom" textRotation="0" wrapText="false" indent="0" shrinkToFit="false"/>
      <protection locked="true" hidden="false"/>
    </xf>
    <xf numFmtId="172" fontId="0" fillId="0" borderId="0" xfId="0" applyFont="true" applyBorder="false" applyAlignment="true" applyProtection="true">
      <alignment horizontal="general" vertical="bottom" textRotation="0" wrapText="false" indent="0" shrinkToFit="false"/>
      <protection locked="true" hidden="false"/>
    </xf>
    <xf numFmtId="167" fontId="19" fillId="0" borderId="0" xfId="0" applyFont="true" applyBorder="false" applyAlignment="true" applyProtection="true">
      <alignment horizontal="general" vertical="bottom" textRotation="0" wrapText="false" indent="0" shrinkToFit="false"/>
      <protection locked="true" hidden="false"/>
    </xf>
    <xf numFmtId="177" fontId="7" fillId="3" borderId="1" xfId="0" applyFont="true" applyBorder="true" applyAlignment="true" applyProtection="true">
      <alignment horizontal="general" vertical="bottom" textRotation="0" wrapText="false" indent="0" shrinkToFit="false"/>
      <protection locked="true" hidden="false"/>
    </xf>
    <xf numFmtId="182" fontId="7" fillId="3" borderId="2"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5" fontId="19" fillId="0" borderId="7" xfId="0" applyFont="true" applyBorder="true" applyAlignment="true" applyProtection="true">
      <alignment horizontal="general" vertical="bottom" textRotation="0" wrapText="false" indent="0" shrinkToFit="false"/>
      <protection locked="true" hidden="false"/>
    </xf>
    <xf numFmtId="167" fontId="7" fillId="6" borderId="4" xfId="0" applyFont="true" applyBorder="true" applyAlignment="true" applyProtection="true">
      <alignment horizontal="general" vertical="bottom" textRotation="0" wrapText="false" indent="0" shrinkToFit="false"/>
      <protection locked="true" hidden="false"/>
    </xf>
    <xf numFmtId="167" fontId="19" fillId="0" borderId="7" xfId="0" applyFont="true" applyBorder="true" applyAlignment="true" applyProtection="true">
      <alignment horizontal="general" vertical="bottom" textRotation="0" wrapText="false" indent="0" shrinkToFit="false"/>
      <protection locked="true" hidden="false"/>
    </xf>
    <xf numFmtId="164" fontId="8" fillId="3" borderId="5" xfId="0" applyFont="true" applyBorder="true" applyAlignment="true" applyProtection="true">
      <alignment horizontal="general" vertical="bottom" textRotation="0" wrapText="false" indent="0" shrinkToFit="false"/>
      <protection locked="true" hidden="false"/>
    </xf>
    <xf numFmtId="173" fontId="21" fillId="3" borderId="6" xfId="0" applyFont="true" applyBorder="true" applyAlignment="true" applyProtection="true">
      <alignment horizontal="general" vertical="bottom" textRotation="0" wrapText="false" indent="0" shrinkToFit="false"/>
      <protection locked="true" hidden="false"/>
    </xf>
    <xf numFmtId="173" fontId="7" fillId="0" borderId="0" xfId="0" applyFont="true" applyBorder="false" applyAlignment="true" applyProtection="true">
      <alignment horizontal="general" vertical="bottom" textRotation="0" wrapText="false" indent="0" shrinkToFit="false"/>
      <protection locked="true" hidden="false"/>
    </xf>
    <xf numFmtId="181" fontId="7" fillId="0" borderId="0" xfId="0" applyFont="true" applyBorder="false" applyAlignment="true" applyProtection="true">
      <alignment horizontal="general" vertical="bottom" textRotation="0" wrapText="false" indent="0" shrinkToFit="false"/>
      <protection locked="true" hidden="false"/>
    </xf>
    <xf numFmtId="165" fontId="0" fillId="3" borderId="0" xfId="0" applyFont="true" applyBorder="false" applyAlignment="true" applyProtection="true">
      <alignment horizontal="general" vertical="bottom" textRotation="0" wrapText="false" indent="0" shrinkToFit="false"/>
      <protection locked="true" hidden="false"/>
    </xf>
    <xf numFmtId="173" fontId="22" fillId="0" borderId="0" xfId="0" applyFont="true" applyBorder="false" applyAlignment="true" applyProtection="true">
      <alignment horizontal="general" vertical="bottom" textRotation="0" wrapText="false" indent="0" shrinkToFit="false"/>
      <protection locked="true" hidden="false"/>
    </xf>
    <xf numFmtId="173" fontId="19" fillId="0" borderId="0" xfId="0" applyFont="true" applyBorder="false" applyAlignment="true" applyProtection="true">
      <alignment horizontal="general" vertical="bottom" textRotation="0" wrapText="false" indent="0" shrinkToFit="false"/>
      <protection locked="true" hidden="false"/>
    </xf>
    <xf numFmtId="181" fontId="19" fillId="0" borderId="0" xfId="0" applyFont="true" applyBorder="false" applyAlignment="true" applyProtection="true">
      <alignment horizontal="general" vertical="bottom" textRotation="0" wrapText="false" indent="0" shrinkToFit="false"/>
      <protection locked="true" hidden="false"/>
    </xf>
    <xf numFmtId="173" fontId="22" fillId="0" borderId="0" xfId="0" applyFont="true" applyBorder="false" applyAlignment="true" applyProtection="true">
      <alignment horizontal="right" vertical="bottom" textRotation="0" wrapText="false" indent="0" shrinkToFit="false"/>
      <protection locked="true" hidden="false"/>
    </xf>
    <xf numFmtId="165" fontId="0" fillId="0" borderId="0" xfId="20" applyFont="true" applyBorder="tru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7" fontId="0" fillId="3"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4" fontId="26" fillId="0" borderId="0" xfId="0" applyFont="true" applyBorder="false" applyAlignment="true" applyProtection="true">
      <alignment horizontal="general" vertical="center" textRotation="0" wrapText="true" indent="0" shrinkToFit="false"/>
      <protection locked="true" hidden="false"/>
    </xf>
    <xf numFmtId="164" fontId="26" fillId="0" borderId="0" xfId="0" applyFont="true" applyBorder="false" applyAlignment="true" applyProtection="true">
      <alignment horizontal="right" vertical="bottom" textRotation="0" wrapText="false" indent="0" shrinkToFit="false"/>
      <protection locked="true" hidden="false"/>
    </xf>
    <xf numFmtId="164" fontId="26" fillId="7" borderId="0" xfId="0" applyFont="true" applyBorder="false" applyAlignment="true" applyProtection="true">
      <alignment horizontal="general" vertical="center" textRotation="0" wrapText="true" indent="0" shrinkToFit="false"/>
      <protection locked="true" hidden="false"/>
    </xf>
    <xf numFmtId="164" fontId="26" fillId="7" borderId="0" xfId="0" applyFont="true" applyBorder="false" applyAlignment="true" applyProtection="true">
      <alignment horizontal="right" vertical="bottom" textRotation="0" wrapText="false" indent="0" shrinkToFit="false"/>
      <protection locked="true" hidden="false"/>
    </xf>
    <xf numFmtId="164" fontId="27" fillId="8" borderId="0" xfId="0" applyFont="true" applyBorder="false" applyAlignment="true" applyProtection="true">
      <alignment horizontal="left" vertical="bottom" textRotation="0" wrapText="false" indent="0" shrinkToFit="false"/>
      <protection locked="true" hidden="false"/>
    </xf>
    <xf numFmtId="183" fontId="27" fillId="8" borderId="0" xfId="0" applyFont="true" applyBorder="false" applyAlignment="true" applyProtection="true">
      <alignment horizontal="right" vertical="bottom" textRotation="0" wrapText="false" indent="0" shrinkToFit="false"/>
      <protection locked="true" hidden="false"/>
    </xf>
    <xf numFmtId="183" fontId="27" fillId="8" borderId="0" xfId="0" applyFont="true" applyBorder="false" applyAlignment="true" applyProtection="true">
      <alignment horizontal="center" vertical="bottom" textRotation="0" wrapText="false" indent="0" shrinkToFit="false"/>
      <protection locked="true" hidden="false"/>
    </xf>
    <xf numFmtId="164" fontId="27" fillId="9" borderId="0" xfId="0" applyFont="true" applyBorder="false" applyAlignment="true" applyProtection="true">
      <alignment horizontal="left" vertical="bottom" textRotation="0" wrapText="false" indent="0" shrinkToFit="false"/>
      <protection locked="true" hidden="false"/>
    </xf>
    <xf numFmtId="183" fontId="27" fillId="9" borderId="0" xfId="0" applyFont="true" applyBorder="false" applyAlignment="true" applyProtection="true">
      <alignment horizontal="right" vertical="bottom" textRotation="0" wrapText="false" indent="0" shrinkToFit="false"/>
      <protection locked="true" hidden="false"/>
    </xf>
    <xf numFmtId="183" fontId="27" fillId="9" borderId="0" xfId="0" applyFont="true" applyBorder="false" applyAlignment="true" applyProtection="true">
      <alignment horizontal="center"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7" fontId="27" fillId="0" borderId="0" xfId="0" applyFont="true" applyBorder="fals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Untitled1" xfId="20"/>
    <cellStyle name="Untitled2" xfId="2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5F5F5"/>
      <rgbColor rgb="FFEEEEEE"/>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E1E1E1"/>
      <rgbColor rgb="FFFFFF99"/>
      <rgbColor rgb="FFB3B3B3"/>
      <rgbColor rgb="FFFF99CC"/>
      <rgbColor rgb="FFCC99FF"/>
      <rgbColor rgb="FFFFCC99"/>
      <rgbColor rgb="FF3366FF"/>
      <rgbColor rgb="FF33CCCC"/>
      <rgbColor rgb="FF99CC00"/>
      <rgbColor rgb="FFFFD320"/>
      <rgbColor rgb="FFFF9900"/>
      <rgbColor rgb="FFFF6600"/>
      <rgbColor rgb="FF666666"/>
      <rgbColor rgb="FFB2B2B2"/>
      <rgbColor rgb="FF004586"/>
      <rgbColor rgb="FF339966"/>
      <rgbColor rgb="FF003300"/>
      <rgbColor rgb="FF333300"/>
      <rgbColor rgb="FF993300"/>
      <rgbColor rgb="FF993366"/>
      <rgbColor rgb="FF333399"/>
      <rgbColor rgb="FF4B4B4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lang="en-GB" sz="1300" b="0" u="none" strike="noStrike">
                <a:uFillTx/>
                <a:latin typeface="Arial"/>
              </a:defRPr>
            </a:pPr>
            <a:r>
              <a:rPr lang="en-GB" sz="1300" b="0" u="none" strike="noStrike">
                <a:solidFill>
                  <a:srgbClr val="000000"/>
                </a:solidFill>
                <a:uFillTx/>
                <a:latin typeface="Arial"/>
                <a:ea typeface="DejaVu Sans"/>
              </a:rPr>
              <a:t>Employees</a:t>
            </a:r>
          </a:p>
        </c:rich>
      </c:tx>
      <c:overlay val="0"/>
      <c:spPr>
        <a:noFill/>
        <a:ln w="0">
          <a:noFill/>
        </a:ln>
      </c:spPr>
    </c:title>
    <c:autoTitleDeleted val="0"/>
    <c:plotArea>
      <c:barChart>
        <c:barDir val="col"/>
        <c:grouping val="clustered"/>
        <c:varyColors val="0"/>
        <c:ser>
          <c:idx val="0"/>
          <c:order val="0"/>
          <c:spPr>
            <a:solidFill>
              <a:srgbClr val="004586"/>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Model!$Y$2:$AE$2</c:f>
              <c:strCache>
                <c:ptCount val="7"/>
                <c:pt idx="0">
                  <c:v>2019</c:v>
                </c:pt>
                <c:pt idx="1">
                  <c:v>2020</c:v>
                </c:pt>
                <c:pt idx="2">
                  <c:v>2021</c:v>
                </c:pt>
                <c:pt idx="3">
                  <c:v>2022</c:v>
                </c:pt>
                <c:pt idx="4">
                  <c:v>2023</c:v>
                </c:pt>
                <c:pt idx="5">
                  <c:v>2024</c:v>
                </c:pt>
                <c:pt idx="6">
                  <c:v>2025</c:v>
                </c:pt>
              </c:strCache>
            </c:strRef>
          </c:cat>
          <c:val>
            <c:numRef>
              <c:f>Model!$Y$179:$AE$179</c:f>
              <c:numCache>
                <c:formatCode>#,##0;\(#,##0\);\-</c:formatCode>
                <c:ptCount val="7"/>
                <c:pt idx="0">
                  <c:v>26900</c:v>
                </c:pt>
                <c:pt idx="1">
                  <c:v>22800</c:v>
                </c:pt>
                <c:pt idx="2">
                  <c:v>29300</c:v>
                </c:pt>
                <c:pt idx="3">
                  <c:v>32800</c:v>
                </c:pt>
                <c:pt idx="4">
                  <c:v>30400</c:v>
                </c:pt>
                <c:pt idx="5">
                  <c:v>31300</c:v>
                </c:pt>
                <c:pt idx="6">
                  <c:v>33354</c:v>
                </c:pt>
              </c:numCache>
            </c:numRef>
          </c:val>
        </c:ser>
        <c:gapWidth val="100"/>
        <c:overlap val="0"/>
        <c:axId val="24514574"/>
        <c:axId val="5954186"/>
      </c:barChart>
      <c:catAx>
        <c:axId val="24514574"/>
        <c:scaling>
          <c:orientation val="minMax"/>
        </c:scaling>
        <c:delete val="0"/>
        <c:axPos val="b"/>
        <c:numFmt formatCode="General" sourceLinked="0"/>
        <c:majorTickMark val="out"/>
        <c:minorTickMark val="none"/>
        <c:tickLblPos val="nextTo"/>
        <c:spPr>
          <a:ln w="0">
            <a:solidFill>
              <a:srgbClr val="B3B3B3"/>
            </a:solidFill>
          </a:ln>
        </c:spPr>
        <c:txPr>
          <a:bodyPr/>
          <a:lstStyle/>
          <a:p>
            <a:pPr>
              <a:defRPr lang="en-GB" sz="1000" b="0" u="none" strike="noStrike">
                <a:solidFill>
                  <a:srgbClr val="000000"/>
                </a:solidFill>
                <a:uFillTx/>
                <a:latin typeface="Arial"/>
                <a:ea typeface="DejaVu Sans"/>
              </a:defRPr>
            </a:pPr>
          </a:p>
        </c:txPr>
        <c:crossAx val="5954186"/>
        <c:crosses val="autoZero"/>
        <c:auto val="1"/>
        <c:lblAlgn val="ctr"/>
        <c:lblOffset val="100"/>
        <c:noMultiLvlLbl val="0"/>
      </c:catAx>
      <c:valAx>
        <c:axId val="5954186"/>
        <c:scaling>
          <c:orientation val="minMax"/>
        </c:scaling>
        <c:delete val="0"/>
        <c:axPos val="l"/>
        <c:majorGridlines>
          <c:spPr>
            <a:ln w="0">
              <a:solidFill>
                <a:srgbClr val="B3B3B3"/>
              </a:solidFill>
            </a:ln>
          </c:spPr>
        </c:majorGridlines>
        <c:numFmt formatCode="#,##0" sourceLinked="0"/>
        <c:majorTickMark val="out"/>
        <c:minorTickMark val="none"/>
        <c:tickLblPos val="nextTo"/>
        <c:spPr>
          <a:ln w="0">
            <a:solidFill>
              <a:srgbClr val="B3B3B3"/>
            </a:solidFill>
          </a:ln>
        </c:spPr>
        <c:txPr>
          <a:bodyPr/>
          <a:lstStyle/>
          <a:p>
            <a:pPr>
              <a:defRPr lang="en-GB" sz="1000" b="0" u="none" strike="noStrike">
                <a:solidFill>
                  <a:srgbClr val="000000"/>
                </a:solidFill>
                <a:uFillTx/>
                <a:latin typeface="Arial"/>
                <a:ea typeface="DejaVu Sans"/>
              </a:defRPr>
            </a:pPr>
          </a:p>
        </c:txPr>
        <c:crossAx val="24514574"/>
        <c:crosses val="autoZero"/>
        <c:crossBetween val="between"/>
      </c:valAx>
      <c:spPr>
        <a:noFill/>
        <a:ln w="0">
          <a:solidFill>
            <a:srgbClr val="B3B3B3"/>
          </a:solidFill>
        </a:ln>
      </c:spPr>
    </c:plotArea>
    <c:plotVisOnly val="1"/>
    <c:dispBlanksAs val="gap"/>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lang="en-GB" sz="1300" b="0" u="none" strike="noStrike">
                <a:uFillTx/>
                <a:latin typeface="Arial"/>
              </a:defRPr>
            </a:pPr>
            <a:r>
              <a:rPr lang="en-GB" sz="1300" b="0" u="none" strike="noStrike">
                <a:solidFill>
                  <a:srgbClr val="000000"/>
                </a:solidFill>
                <a:uFillTx/>
                <a:latin typeface="Arial"/>
                <a:ea typeface="DejaVu Sans"/>
              </a:rPr>
              <a:t>MAPC</a:t>
            </a:r>
          </a:p>
        </c:rich>
      </c:tx>
      <c:overlay val="0"/>
      <c:spPr>
        <a:noFill/>
        <a:ln w="0">
          <a:noFill/>
        </a:ln>
      </c:spPr>
    </c:title>
    <c:autoTitleDeleted val="0"/>
    <c:plotArea>
      <c:barChart>
        <c:barDir val="col"/>
        <c:grouping val="clustered"/>
        <c:varyColors val="0"/>
        <c:ser>
          <c:idx val="0"/>
          <c:order val="0"/>
          <c:spPr>
            <a:solidFill>
              <a:srgbClr val="004586"/>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Model!$B$2:$R$2</c:f>
              <c:strCache>
                <c:ptCount val="17"/>
                <c:pt idx="0">
                  <c:v>Q122</c:v>
                </c:pt>
                <c:pt idx="1">
                  <c:v>Q222</c:v>
                </c:pt>
                <c:pt idx="2">
                  <c:v>Q322</c:v>
                </c:pt>
                <c:pt idx="3">
                  <c:v>Q422</c:v>
                </c:pt>
                <c:pt idx="4">
                  <c:v>Q123</c:v>
                </c:pt>
                <c:pt idx="5">
                  <c:v>Q223</c:v>
                </c:pt>
                <c:pt idx="6">
                  <c:v>Q323</c:v>
                </c:pt>
                <c:pt idx="7">
                  <c:v>Q423</c:v>
                </c:pt>
                <c:pt idx="8">
                  <c:v>Q124</c:v>
                </c:pt>
                <c:pt idx="9">
                  <c:v>Q224</c:v>
                </c:pt>
                <c:pt idx="10">
                  <c:v>Q324</c:v>
                </c:pt>
                <c:pt idx="11">
                  <c:v>Q424</c:v>
                </c:pt>
                <c:pt idx="12">
                  <c:v>Q125</c:v>
                </c:pt>
                <c:pt idx="13">
                  <c:v>Q225</c:v>
                </c:pt>
                <c:pt idx="14">
                  <c:v>Q325</c:v>
                </c:pt>
                <c:pt idx="15">
                  <c:v>Q425</c:v>
                </c:pt>
                <c:pt idx="16">
                  <c:v>Q126</c:v>
                </c:pt>
              </c:strCache>
            </c:strRef>
          </c:cat>
          <c:val>
            <c:numRef>
              <c:f>Model!$B$26:$R$26</c:f>
              <c:numCache>
                <c:formatCode>#,##0</c:formatCode>
                <c:ptCount val="17"/>
                <c:pt idx="0">
                  <c:v>115</c:v>
                </c:pt>
                <c:pt idx="1">
                  <c:v>122</c:v>
                </c:pt>
                <c:pt idx="2">
                  <c:v>124</c:v>
                </c:pt>
                <c:pt idx="3">
                  <c:v>131</c:v>
                </c:pt>
                <c:pt idx="4">
                  <c:v>130</c:v>
                </c:pt>
                <c:pt idx="5">
                  <c:v>137</c:v>
                </c:pt>
                <c:pt idx="6">
                  <c:v>142</c:v>
                </c:pt>
                <c:pt idx="7">
                  <c:v>150</c:v>
                </c:pt>
                <c:pt idx="8">
                  <c:v>149</c:v>
                </c:pt>
                <c:pt idx="9">
                  <c:v>156</c:v>
                </c:pt>
                <c:pt idx="10">
                  <c:v>161</c:v>
                </c:pt>
                <c:pt idx="11">
                  <c:v>171</c:v>
                </c:pt>
                <c:pt idx="12">
                  <c:v>170</c:v>
                </c:pt>
                <c:pt idx="13">
                  <c:v>180</c:v>
                </c:pt>
                <c:pt idx="14">
                  <c:v>189</c:v>
                </c:pt>
                <c:pt idx="15">
                  <c:v>202</c:v>
                </c:pt>
                <c:pt idx="16">
                  <c:v>199</c:v>
                </c:pt>
              </c:numCache>
            </c:numRef>
          </c:val>
        </c:ser>
        <c:gapWidth val="100"/>
        <c:overlap val="0"/>
        <c:axId val="29463365"/>
        <c:axId val="41261973"/>
      </c:barChart>
      <c:catAx>
        <c:axId val="29463365"/>
        <c:scaling>
          <c:orientation val="minMax"/>
        </c:scaling>
        <c:delete val="0"/>
        <c:axPos val="b"/>
        <c:numFmt formatCode="General" sourceLinked="0"/>
        <c:majorTickMark val="out"/>
        <c:minorTickMark val="none"/>
        <c:tickLblPos val="nextTo"/>
        <c:spPr>
          <a:ln w="0">
            <a:solidFill>
              <a:srgbClr val="B3B3B3"/>
            </a:solidFill>
          </a:ln>
        </c:spPr>
        <c:txPr>
          <a:bodyPr/>
          <a:lstStyle/>
          <a:p>
            <a:pPr>
              <a:defRPr lang="en-GB" sz="1000" b="0" u="none" strike="noStrike">
                <a:solidFill>
                  <a:srgbClr val="000000"/>
                </a:solidFill>
                <a:uFillTx/>
                <a:latin typeface="Arial"/>
                <a:ea typeface="DejaVu Sans"/>
              </a:defRPr>
            </a:pPr>
          </a:p>
        </c:txPr>
        <c:crossAx val="41261973"/>
        <c:crosses val="autoZero"/>
        <c:auto val="1"/>
        <c:lblAlgn val="ctr"/>
        <c:lblOffset val="100"/>
        <c:noMultiLvlLbl val="0"/>
      </c:catAx>
      <c:valAx>
        <c:axId val="41261973"/>
        <c:scaling>
          <c:orientation val="minMax"/>
        </c:scaling>
        <c:delete val="0"/>
        <c:axPos val="l"/>
        <c:majorGridlines>
          <c:spPr>
            <a:ln w="0">
              <a:solidFill>
                <a:srgbClr val="B3B3B3"/>
              </a:solidFill>
            </a:ln>
          </c:spPr>
        </c:majorGridlines>
        <c:numFmt formatCode="#,##0" sourceLinked="0"/>
        <c:majorTickMark val="out"/>
        <c:minorTickMark val="none"/>
        <c:tickLblPos val="nextTo"/>
        <c:spPr>
          <a:ln w="0">
            <a:solidFill>
              <a:srgbClr val="B3B3B3"/>
            </a:solidFill>
          </a:ln>
        </c:spPr>
        <c:txPr>
          <a:bodyPr/>
          <a:lstStyle/>
          <a:p>
            <a:pPr>
              <a:defRPr lang="en-GB" sz="1000" b="0" u="none" strike="noStrike">
                <a:solidFill>
                  <a:srgbClr val="000000"/>
                </a:solidFill>
                <a:uFillTx/>
                <a:latin typeface="Arial"/>
                <a:ea typeface="DejaVu Sans"/>
              </a:defRPr>
            </a:pPr>
          </a:p>
        </c:txPr>
        <c:crossAx val="29463365"/>
        <c:crosses val="autoZero"/>
        <c:crossBetween val="between"/>
      </c:valAx>
      <c:spPr>
        <a:noFill/>
        <a:ln w="0">
          <a:solidFill>
            <a:srgbClr val="B3B3B3"/>
          </a:solidFill>
        </a:ln>
      </c:spPr>
    </c:plotArea>
    <c:plotVisOnly val="1"/>
    <c:dispBlanksAs val="gap"/>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lang="en-GB" sz="1300" b="0" u="none" strike="noStrike">
                <a:uFillTx/>
                <a:latin typeface="Arial"/>
              </a:defRPr>
            </a:pPr>
            <a:r>
              <a:rPr lang="en-GB" sz="1300" b="0" u="none" strike="noStrike">
                <a:solidFill>
                  <a:srgbClr val="000000"/>
                </a:solidFill>
                <a:uFillTx/>
                <a:latin typeface="Arial"/>
                <a:ea typeface="DejaVu Sans"/>
              </a:rPr>
              <a:t>Gross Bookings</a:t>
            </a:r>
          </a:p>
        </c:rich>
      </c:tx>
      <c:overlay val="0"/>
      <c:spPr>
        <a:noFill/>
        <a:ln w="0">
          <a:noFill/>
        </a:ln>
      </c:spPr>
    </c:title>
    <c:autoTitleDeleted val="0"/>
    <c:plotArea>
      <c:barChart>
        <c:barDir val="col"/>
        <c:grouping val="clustered"/>
        <c:varyColors val="0"/>
        <c:ser>
          <c:idx val="0"/>
          <c:order val="0"/>
          <c:spPr>
            <a:solidFill>
              <a:srgbClr val="004586"/>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Model!$B$2:$R$2</c:f>
              <c:strCache>
                <c:ptCount val="17"/>
                <c:pt idx="0">
                  <c:v>Q122</c:v>
                </c:pt>
                <c:pt idx="1">
                  <c:v>Q222</c:v>
                </c:pt>
                <c:pt idx="2">
                  <c:v>Q322</c:v>
                </c:pt>
                <c:pt idx="3">
                  <c:v>Q422</c:v>
                </c:pt>
                <c:pt idx="4">
                  <c:v>Q123</c:v>
                </c:pt>
                <c:pt idx="5">
                  <c:v>Q223</c:v>
                </c:pt>
                <c:pt idx="6">
                  <c:v>Q323</c:v>
                </c:pt>
                <c:pt idx="7">
                  <c:v>Q423</c:v>
                </c:pt>
                <c:pt idx="8">
                  <c:v>Q124</c:v>
                </c:pt>
                <c:pt idx="9">
                  <c:v>Q224</c:v>
                </c:pt>
                <c:pt idx="10">
                  <c:v>Q324</c:v>
                </c:pt>
                <c:pt idx="11">
                  <c:v>Q424</c:v>
                </c:pt>
                <c:pt idx="12">
                  <c:v>Q125</c:v>
                </c:pt>
                <c:pt idx="13">
                  <c:v>Q225</c:v>
                </c:pt>
                <c:pt idx="14">
                  <c:v>Q325</c:v>
                </c:pt>
                <c:pt idx="15">
                  <c:v>Q425</c:v>
                </c:pt>
                <c:pt idx="16">
                  <c:v>Q126</c:v>
                </c:pt>
              </c:strCache>
            </c:strRef>
          </c:cat>
          <c:val>
            <c:numRef>
              <c:f>Model!$B$37:$R$37</c:f>
              <c:numCache>
                <c:formatCode>#,##0</c:formatCode>
                <c:ptCount val="17"/>
                <c:pt idx="0">
                  <c:v>26449</c:v>
                </c:pt>
                <c:pt idx="1">
                  <c:v>29078</c:v>
                </c:pt>
                <c:pt idx="2">
                  <c:v>29119</c:v>
                </c:pt>
                <c:pt idx="3">
                  <c:v>30749</c:v>
                </c:pt>
                <c:pt idx="4">
                  <c:v>31408</c:v>
                </c:pt>
                <c:pt idx="5">
                  <c:v>33601</c:v>
                </c:pt>
                <c:pt idx="6">
                  <c:v>35281</c:v>
                </c:pt>
                <c:pt idx="7">
                  <c:v>37575</c:v>
                </c:pt>
                <c:pt idx="8">
                  <c:v>37651</c:v>
                </c:pt>
                <c:pt idx="9">
                  <c:v>39952</c:v>
                </c:pt>
                <c:pt idx="10">
                  <c:v>40973</c:v>
                </c:pt>
                <c:pt idx="11">
                  <c:v>44197</c:v>
                </c:pt>
                <c:pt idx="12">
                  <c:v>42818</c:v>
                </c:pt>
                <c:pt idx="13">
                  <c:v>46756</c:v>
                </c:pt>
                <c:pt idx="14">
                  <c:v>49740</c:v>
                </c:pt>
                <c:pt idx="15">
                  <c:v>54140</c:v>
                </c:pt>
                <c:pt idx="16">
                  <c:v>53720</c:v>
                </c:pt>
              </c:numCache>
            </c:numRef>
          </c:val>
        </c:ser>
        <c:gapWidth val="100"/>
        <c:overlap val="0"/>
        <c:axId val="23904615"/>
        <c:axId val="55748897"/>
      </c:barChart>
      <c:catAx>
        <c:axId val="23904615"/>
        <c:scaling>
          <c:orientation val="minMax"/>
        </c:scaling>
        <c:delete val="0"/>
        <c:axPos val="b"/>
        <c:numFmt formatCode="General" sourceLinked="0"/>
        <c:majorTickMark val="out"/>
        <c:minorTickMark val="none"/>
        <c:tickLblPos val="nextTo"/>
        <c:spPr>
          <a:ln w="0">
            <a:solidFill>
              <a:srgbClr val="B3B3B3"/>
            </a:solidFill>
          </a:ln>
        </c:spPr>
        <c:txPr>
          <a:bodyPr/>
          <a:lstStyle/>
          <a:p>
            <a:pPr>
              <a:defRPr lang="en-GB" sz="1000" b="0" u="none" strike="noStrike">
                <a:solidFill>
                  <a:srgbClr val="000000"/>
                </a:solidFill>
                <a:uFillTx/>
                <a:latin typeface="Arial"/>
                <a:ea typeface="DejaVu Sans"/>
              </a:defRPr>
            </a:pPr>
          </a:p>
        </c:txPr>
        <c:crossAx val="55748897"/>
        <c:crosses val="autoZero"/>
        <c:auto val="1"/>
        <c:lblAlgn val="ctr"/>
        <c:lblOffset val="100"/>
        <c:noMultiLvlLbl val="0"/>
      </c:catAx>
      <c:valAx>
        <c:axId val="55748897"/>
        <c:scaling>
          <c:orientation val="minMax"/>
        </c:scaling>
        <c:delete val="0"/>
        <c:axPos val="l"/>
        <c:majorGridlines>
          <c:spPr>
            <a:ln w="0">
              <a:solidFill>
                <a:srgbClr val="B3B3B3"/>
              </a:solidFill>
            </a:ln>
          </c:spPr>
        </c:majorGridlines>
        <c:numFmt formatCode="#,##0" sourceLinked="0"/>
        <c:majorTickMark val="out"/>
        <c:minorTickMark val="none"/>
        <c:tickLblPos val="nextTo"/>
        <c:spPr>
          <a:ln w="0">
            <a:solidFill>
              <a:srgbClr val="B3B3B3"/>
            </a:solidFill>
          </a:ln>
        </c:spPr>
        <c:txPr>
          <a:bodyPr/>
          <a:lstStyle/>
          <a:p>
            <a:pPr>
              <a:defRPr lang="en-GB" sz="1000" b="0" u="none" strike="noStrike">
                <a:solidFill>
                  <a:srgbClr val="000000"/>
                </a:solidFill>
                <a:uFillTx/>
                <a:latin typeface="Arial"/>
                <a:ea typeface="DejaVu Sans"/>
              </a:defRPr>
            </a:pPr>
          </a:p>
        </c:txPr>
        <c:crossAx val="23904615"/>
        <c:crosses val="autoZero"/>
        <c:crossBetween val="between"/>
      </c:valAx>
      <c:spPr>
        <a:noFill/>
        <a:ln w="0">
          <a:solidFill>
            <a:srgbClr val="B3B3B3"/>
          </a:solidFill>
        </a:ln>
      </c:spPr>
    </c:plotArea>
    <c:plotVisOnly val="1"/>
    <c:dispBlanksAs val="gap"/>
  </c:chart>
  <c:spPr>
    <a:solidFill>
      <a:srgbClr val="FFFFFF"/>
    </a:solidFill>
    <a:ln w="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lang="en-GB" sz="1300" b="0" u="none" strike="noStrike">
                <a:uFillTx/>
                <a:latin typeface="Arial"/>
              </a:defRPr>
            </a:pPr>
            <a:r>
              <a:rPr lang="en-GB" sz="1300" b="0" u="none" strike="noStrike">
                <a:solidFill>
                  <a:srgbClr val="000000"/>
                </a:solidFill>
                <a:uFillTx/>
                <a:latin typeface="Arial"/>
                <a:ea typeface="DejaVu Sans"/>
              </a:rPr>
              <a:t>Revenues</a:t>
            </a:r>
          </a:p>
        </c:rich>
      </c:tx>
      <c:overlay val="0"/>
      <c:spPr>
        <a:noFill/>
        <a:ln w="0">
          <a:noFill/>
        </a:ln>
      </c:spPr>
    </c:title>
    <c:autoTitleDeleted val="0"/>
    <c:plotArea>
      <c:barChart>
        <c:barDir val="col"/>
        <c:grouping val="clustered"/>
        <c:varyColors val="0"/>
        <c:ser>
          <c:idx val="0"/>
          <c:order val="0"/>
          <c:spPr>
            <a:solidFill>
              <a:srgbClr val="004586"/>
            </a:solidFill>
            <a:ln w="0">
              <a:noFill/>
            </a:ln>
          </c:spPr>
          <c:invertIfNegative val="0"/>
          <c:dPt>
            <c:idx val="8"/>
            <c:invertIfNegative val="0"/>
            <c:spPr>
              <a:solidFill>
                <a:srgbClr val="004586"/>
              </a:solidFill>
              <a:ln w="0">
                <a:noFill/>
              </a:ln>
            </c:spPr>
          </c:dPt>
          <c:dPt>
            <c:idx val="9"/>
            <c:invertIfNegative val="0"/>
            <c:spPr>
              <a:solidFill>
                <a:srgbClr val="004586"/>
              </a:solidFill>
              <a:ln w="0">
                <a:noFill/>
              </a:ln>
            </c:spPr>
          </c:dPt>
          <c:dPt>
            <c:idx val="10"/>
            <c:invertIfNegative val="0"/>
            <c:spPr>
              <a:solidFill>
                <a:srgbClr val="004586"/>
              </a:solidFill>
              <a:ln w="0">
                <a:noFill/>
              </a:ln>
            </c:spPr>
          </c:dPt>
          <c:dLbls>
            <c:dLbl>
              <c:idx val="8"/>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dLbl>
            <c:dLbl>
              <c:idx val="9"/>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dLbl>
            <c:dLbl>
              <c:idx val="10"/>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dLbl>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Model!$Y$2:$AO$2</c:f>
              <c:strCache>
                <c:ptCount val="17"/>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strCache>
            </c:strRef>
          </c:cat>
          <c:val>
            <c:numRef>
              <c:f>Model!$Y$52:$AO$52</c:f>
              <c:numCache>
                <c:formatCode>#,##0</c:formatCode>
                <c:ptCount val="17"/>
                <c:pt idx="0">
                  <c:v>14147</c:v>
                </c:pt>
                <c:pt idx="1">
                  <c:v>11139.5050975995</c:v>
                </c:pt>
                <c:pt idx="2">
                  <c:v>17457.3926041238</c:v>
                </c:pt>
                <c:pt idx="3">
                  <c:v>31880.5797684763</c:v>
                </c:pt>
                <c:pt idx="4">
                  <c:v>37281.2881756453</c:v>
                </c:pt>
                <c:pt idx="5">
                  <c:v>43978.3718271658</c:v>
                </c:pt>
                <c:pt idx="6">
                  <c:v>52017.428914642</c:v>
                </c:pt>
                <c:pt idx="7">
                  <c:v>58259.520384399</c:v>
                </c:pt>
                <c:pt idx="8">
                  <c:v>66998.4484420589</c:v>
                </c:pt>
                <c:pt idx="9">
                  <c:v>77718.2001927883</c:v>
                </c:pt>
                <c:pt idx="10">
                  <c:v>90153.1122236344</c:v>
                </c:pt>
                <c:pt idx="11">
                  <c:v>103676.07905718</c:v>
                </c:pt>
                <c:pt idx="12">
                  <c:v>118190.730125185</c:v>
                </c:pt>
                <c:pt idx="13">
                  <c:v>133555.525041459</c:v>
                </c:pt>
                <c:pt idx="14">
                  <c:v>149582.188046434</c:v>
                </c:pt>
                <c:pt idx="15">
                  <c:v>166036.228731541</c:v>
                </c:pt>
                <c:pt idx="16">
                  <c:v>182639.851604696</c:v>
                </c:pt>
              </c:numCache>
            </c:numRef>
          </c:val>
        </c:ser>
        <c:gapWidth val="100"/>
        <c:overlap val="0"/>
        <c:axId val="967392"/>
        <c:axId val="80566134"/>
      </c:barChart>
      <c:catAx>
        <c:axId val="967392"/>
        <c:scaling>
          <c:orientation val="minMax"/>
        </c:scaling>
        <c:delete val="0"/>
        <c:axPos val="b"/>
        <c:numFmt formatCode="General" sourceLinked="0"/>
        <c:majorTickMark val="out"/>
        <c:minorTickMark val="none"/>
        <c:tickLblPos val="nextTo"/>
        <c:spPr>
          <a:ln w="0">
            <a:solidFill>
              <a:srgbClr val="B3B3B3"/>
            </a:solidFill>
          </a:ln>
        </c:spPr>
        <c:txPr>
          <a:bodyPr/>
          <a:lstStyle/>
          <a:p>
            <a:pPr>
              <a:defRPr lang="en-GB" sz="1000" b="0" u="none" strike="noStrike">
                <a:solidFill>
                  <a:srgbClr val="000000"/>
                </a:solidFill>
                <a:uFillTx/>
                <a:latin typeface="Arial"/>
                <a:ea typeface="DejaVu Sans"/>
              </a:defRPr>
            </a:pPr>
          </a:p>
        </c:txPr>
        <c:crossAx val="80566134"/>
        <c:crosses val="autoZero"/>
        <c:auto val="1"/>
        <c:lblAlgn val="ctr"/>
        <c:lblOffset val="100"/>
        <c:noMultiLvlLbl val="0"/>
      </c:catAx>
      <c:valAx>
        <c:axId val="80566134"/>
        <c:scaling>
          <c:orientation val="minMax"/>
        </c:scaling>
        <c:delete val="0"/>
        <c:axPos val="l"/>
        <c:majorGridlines>
          <c:spPr>
            <a:ln w="0">
              <a:solidFill>
                <a:srgbClr val="B3B3B3"/>
              </a:solidFill>
            </a:ln>
          </c:spPr>
        </c:majorGridlines>
        <c:numFmt formatCode="#,##0" sourceLinked="0"/>
        <c:majorTickMark val="out"/>
        <c:minorTickMark val="none"/>
        <c:tickLblPos val="nextTo"/>
        <c:spPr>
          <a:ln w="0">
            <a:solidFill>
              <a:srgbClr val="B3B3B3"/>
            </a:solidFill>
          </a:ln>
        </c:spPr>
        <c:txPr>
          <a:bodyPr/>
          <a:lstStyle/>
          <a:p>
            <a:pPr>
              <a:defRPr lang="en-GB" sz="1000" b="0" u="none" strike="noStrike">
                <a:solidFill>
                  <a:srgbClr val="000000"/>
                </a:solidFill>
                <a:uFillTx/>
                <a:latin typeface="Arial"/>
                <a:ea typeface="DejaVu Sans"/>
              </a:defRPr>
            </a:pPr>
          </a:p>
        </c:txPr>
        <c:crossAx val="967392"/>
        <c:crosses val="autoZero"/>
        <c:crossBetween val="between"/>
      </c:valAx>
      <c:spPr>
        <a:noFill/>
        <a:ln w="0">
          <a:solidFill>
            <a:srgbClr val="B3B3B3"/>
          </a:solidFill>
        </a:ln>
      </c:spPr>
    </c:plotArea>
    <c:plotVisOnly val="1"/>
    <c:dispBlanksAs val="gap"/>
  </c:chart>
  <c:spPr>
    <a:solidFill>
      <a:srgbClr val="FFFFFF"/>
    </a:solidFill>
    <a:ln w="0">
      <a:noFill/>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48600</xdr:colOff>
      <xdr:row>0</xdr:row>
      <xdr:rowOff>185760</xdr:rowOff>
    </xdr:from>
    <xdr:to>
      <xdr:col>19</xdr:col>
      <xdr:colOff>51840</xdr:colOff>
      <xdr:row>199</xdr:row>
      <xdr:rowOff>142200</xdr:rowOff>
    </xdr:to>
    <xdr:sp>
      <xdr:nvSpPr>
        <xdr:cNvPr id="1" name="Line 1"/>
        <xdr:cNvSpPr/>
      </xdr:nvSpPr>
      <xdr:spPr>
        <a:xfrm flipH="1">
          <a:off x="16544520" y="185760"/>
          <a:ext cx="3240" cy="30988800"/>
        </a:xfrm>
        <a:prstGeom prst="line">
          <a:avLst/>
        </a:prstGeom>
        <a:ln w="0">
          <a:solidFill>
            <a:srgbClr val="3465A4"/>
          </a:solidFill>
        </a:ln>
      </xdr:spPr>
      <xdr:style>
        <a:lnRef idx="0"/>
        <a:fillRef idx="0"/>
        <a:effectRef idx="0"/>
        <a:fontRef idx="minor"/>
      </xdr:style>
    </xdr:sp>
    <xdr:clientData/>
  </xdr:twoCellAnchor>
  <xdr:twoCellAnchor editAs="oneCell">
    <xdr:from>
      <xdr:col>31</xdr:col>
      <xdr:colOff>135360</xdr:colOff>
      <xdr:row>1</xdr:row>
      <xdr:rowOff>10080</xdr:rowOff>
    </xdr:from>
    <xdr:to>
      <xdr:col>31</xdr:col>
      <xdr:colOff>138960</xdr:colOff>
      <xdr:row>180</xdr:row>
      <xdr:rowOff>8640</xdr:rowOff>
    </xdr:to>
    <xdr:sp>
      <xdr:nvSpPr>
        <xdr:cNvPr id="2" name="Vertical line 1"/>
        <xdr:cNvSpPr/>
      </xdr:nvSpPr>
      <xdr:spPr>
        <a:xfrm flipH="1">
          <a:off x="26316360" y="200520"/>
          <a:ext cx="3600" cy="27868680"/>
        </a:xfrm>
        <a:prstGeom prst="line">
          <a:avLst/>
        </a:prstGeom>
        <a:ln w="0">
          <a:solidFill>
            <a:srgbClr val="3465A4"/>
          </a:solidFill>
        </a:ln>
      </xdr:spPr>
      <xdr:style>
        <a:lnRef idx="0"/>
        <a:fillRef idx="0"/>
        <a:effectRef idx="0"/>
        <a:fontRef idx="minor"/>
      </xdr:style>
    </xdr:sp>
    <xdr:clientData/>
  </xdr:twoCellAnchor>
  <xdr:twoCellAnchor editAs="oneCell">
    <xdr:from>
      <xdr:col>25</xdr:col>
      <xdr:colOff>525600</xdr:colOff>
      <xdr:row>221</xdr:row>
      <xdr:rowOff>43560</xdr:rowOff>
    </xdr:from>
    <xdr:to>
      <xdr:col>32</xdr:col>
      <xdr:colOff>565560</xdr:colOff>
      <xdr:row>241</xdr:row>
      <xdr:rowOff>27360</xdr:rowOff>
    </xdr:to>
    <xdr:graphicFrame>
      <xdr:nvGraphicFramePr>
        <xdr:cNvPr id="3" name=""/>
        <xdr:cNvGraphicFramePr/>
      </xdr:nvGraphicFramePr>
      <xdr:xfrm>
        <a:off x="21804480" y="34679160"/>
        <a:ext cx="5754960" cy="32349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657000</xdr:colOff>
      <xdr:row>215</xdr:row>
      <xdr:rowOff>123480</xdr:rowOff>
    </xdr:from>
    <xdr:to>
      <xdr:col>17</xdr:col>
      <xdr:colOff>629640</xdr:colOff>
      <xdr:row>235</xdr:row>
      <xdr:rowOff>107280</xdr:rowOff>
    </xdr:to>
    <xdr:graphicFrame>
      <xdr:nvGraphicFramePr>
        <xdr:cNvPr id="4" name=""/>
        <xdr:cNvGraphicFramePr/>
      </xdr:nvGraphicFramePr>
      <xdr:xfrm>
        <a:off x="9505080" y="33783480"/>
        <a:ext cx="5754960" cy="3234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548640</xdr:colOff>
      <xdr:row>216</xdr:row>
      <xdr:rowOff>152280</xdr:rowOff>
    </xdr:from>
    <xdr:to>
      <xdr:col>9</xdr:col>
      <xdr:colOff>614160</xdr:colOff>
      <xdr:row>236</xdr:row>
      <xdr:rowOff>136080</xdr:rowOff>
    </xdr:to>
    <xdr:graphicFrame>
      <xdr:nvGraphicFramePr>
        <xdr:cNvPr id="5" name=""/>
        <xdr:cNvGraphicFramePr/>
      </xdr:nvGraphicFramePr>
      <xdr:xfrm>
        <a:off x="2894400" y="33975000"/>
        <a:ext cx="5754960" cy="32349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36</xdr:col>
      <xdr:colOff>66240</xdr:colOff>
      <xdr:row>4</xdr:row>
      <xdr:rowOff>37800</xdr:rowOff>
    </xdr:from>
    <xdr:to>
      <xdr:col>43</xdr:col>
      <xdr:colOff>131760</xdr:colOff>
      <xdr:row>25</xdr:row>
      <xdr:rowOff>34200</xdr:rowOff>
    </xdr:to>
    <xdr:graphicFrame>
      <xdr:nvGraphicFramePr>
        <xdr:cNvPr id="6" name=""/>
        <xdr:cNvGraphicFramePr/>
      </xdr:nvGraphicFramePr>
      <xdr:xfrm>
        <a:off x="30311280" y="714600"/>
        <a:ext cx="5754960" cy="32349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14</xdr:col>
      <xdr:colOff>803520</xdr:colOff>
      <xdr:row>1</xdr:row>
      <xdr:rowOff>142920</xdr:rowOff>
    </xdr:from>
    <xdr:to>
      <xdr:col>19</xdr:col>
      <xdr:colOff>808200</xdr:colOff>
      <xdr:row>40</xdr:row>
      <xdr:rowOff>99360</xdr:rowOff>
    </xdr:to>
    <xdr:sp>
      <xdr:nvSpPr>
        <xdr:cNvPr id="7" name="Text Frame 1"/>
        <xdr:cNvSpPr/>
      </xdr:nvSpPr>
      <xdr:spPr>
        <a:xfrm>
          <a:off x="12182760" y="305640"/>
          <a:ext cx="4068720" cy="6296040"/>
        </a:xfrm>
        <a:prstGeom prst="rect">
          <a:avLst/>
        </a:prstGeom>
        <a:noFill/>
        <a:ln w="0">
          <a:noFill/>
        </a:ln>
      </xdr:spPr>
      <xdr:style>
        <a:lnRef idx="0"/>
        <a:fillRef idx="0"/>
        <a:effectRef idx="0"/>
        <a:fontRef idx="minor"/>
      </xdr:style>
      <xdr:txBody>
        <a:bodyPr lIns="0" tIns="0" rIns="0" bIns="0" anchor="t">
          <a:noAutofit/>
        </a:bodyPr>
        <a:p>
          <a:pPr>
            <a:lnSpc>
              <a:spcPct val="100000"/>
            </a:lnSpc>
          </a:pPr>
          <a:r>
            <a:rPr lang="en-US" sz="1200" b="0" u="none" strike="noStrike">
              <a:solidFill>
                <a:srgbClr val="000000"/>
              </a:solidFill>
              <a:effectLst/>
              <a:uFillTx/>
              <a:latin typeface="Arial"/>
              <a:ea typeface="Arial"/>
            </a:rPr>
            <a:t>This business will reward mainly one app among all other (customers want to make it easy, one app for everything).</a:t>
          </a:r>
          <a:endParaRPr lang="en-GB" sz="1200" b="0" u="none" strike="noStrike">
            <a:effectLst/>
            <a:uFillTx/>
            <a:latin typeface="Times New Roman"/>
          </a:endParaRPr>
        </a:p>
        <a:p>
          <a:pPr>
            <a:lnSpc>
              <a:spcPct val="100000"/>
            </a:lnSpc>
          </a:pPr>
          <a:r>
            <a:rPr lang="en-US" sz="1200" b="0" u="none" strike="noStrike">
              <a:solidFill>
                <a:srgbClr val="000000"/>
              </a:solidFill>
              <a:effectLst/>
              <a:uFillTx/>
              <a:latin typeface="Arial"/>
              <a:ea typeface="Arial"/>
            </a:rPr>
            <a:t>Who has the most amount of taxis deployed around the globe will win the majority stake. This is what Uber is pursuing with it’s strategy, buying stakes in robotaxis makers </a:t>
          </a:r>
          <a:endParaRPr lang="en-GB" sz="1200" b="0" u="none" strike="noStrike">
            <a:effectLst/>
            <a:uFillTx/>
            <a:latin typeface="Times New Roman"/>
          </a:endParaRPr>
        </a:p>
        <a:p>
          <a:pPr>
            <a:lnSpc>
              <a:spcPct val="100000"/>
            </a:lnSpc>
          </a:pPr>
          <a:r>
            <a:rPr lang="en-US" sz="1200" b="0" u="none" strike="noStrike">
              <a:solidFill>
                <a:srgbClr val="000000"/>
              </a:solidFill>
              <a:effectLst/>
              <a:uFillTx/>
              <a:latin typeface="Arial"/>
              <a:ea typeface="Arial"/>
            </a:rPr>
            <a:t>Board’s strategy is to strike a deal with everyone, hold a stake in the most promising in order to own those who will win, which I think will be the winning strategy.</a:t>
          </a:r>
          <a:endParaRPr lang="en-GB" sz="1200" b="0" u="none" strike="noStrike">
            <a:effectLst/>
            <a:uFillTx/>
            <a:latin typeface="Times New Roman"/>
          </a:endParaRPr>
        </a:p>
        <a:p>
          <a:pPr>
            <a:lnSpc>
              <a:spcPct val="100000"/>
            </a:lnSpc>
          </a:pPr>
          <a:endParaRPr lang="en-GB" sz="1200" b="0" u="none" strike="noStrike">
            <a:effectLst/>
            <a:uFillTx/>
            <a:latin typeface="Times New Roman"/>
          </a:endParaRPr>
        </a:p>
        <a:p>
          <a:pPr>
            <a:lnSpc>
              <a:spcPct val="100000"/>
            </a:lnSpc>
          </a:pPr>
          <a:r>
            <a:rPr lang="en-US" sz="1200" b="0" u="none" strike="noStrike">
              <a:solidFill>
                <a:srgbClr val="000000"/>
              </a:solidFill>
              <a:effectLst/>
              <a:uFillTx/>
              <a:latin typeface="Arial"/>
              <a:ea typeface="Arial"/>
            </a:rPr>
            <a:t>Uber finds itself in pole position for the development of the AV run given it’s network (over 199 million monthly active users). Therefore they don’t even have to be so active in they seek for the best alternative. They just have to sit, gather data on which is their best performing partner (whether it is ZOOX, Waymo, Pony.ai, …) and to strike a deal with the one that produces them the biggest amount of money.</a:t>
          </a:r>
          <a:endParaRPr lang="en-GB" sz="1200" b="0" u="none" strike="noStrike">
            <a:effectLst/>
            <a:uFillTx/>
            <a:latin typeface="Times New Roman"/>
          </a:endParaRPr>
        </a:p>
        <a:p>
          <a:pPr>
            <a:lnSpc>
              <a:spcPct val="100000"/>
            </a:lnSpc>
          </a:pPr>
          <a:endParaRPr lang="en-GB" sz="1200" b="0" u="none" strike="noStrike">
            <a:effectLst/>
            <a:uFillTx/>
            <a:latin typeface="Times New Roman"/>
          </a:endParaRPr>
        </a:p>
        <a:p>
          <a:pPr>
            <a:lnSpc>
              <a:spcPct val="100000"/>
            </a:lnSpc>
          </a:pPr>
          <a:r>
            <a:rPr lang="en-US" sz="1200" b="0" u="none" strike="noStrike">
              <a:solidFill>
                <a:srgbClr val="000000"/>
              </a:solidFill>
              <a:effectLst/>
              <a:uFillTx/>
              <a:latin typeface="Arial"/>
              <a:ea typeface="Arial"/>
            </a:rPr>
            <a:t>They can do this for the </a:t>
          </a:r>
          <a:r>
            <a:rPr lang="en-US" sz="1200" b="0" i="1" u="none" strike="noStrike">
              <a:solidFill>
                <a:srgbClr val="000000"/>
              </a:solidFill>
              <a:effectLst/>
              <a:uFillTx/>
              <a:latin typeface="Arial"/>
              <a:ea typeface="Arial"/>
            </a:rPr>
            <a:t>Mobility</a:t>
          </a:r>
          <a:r>
            <a:rPr lang="en-US" sz="1200" b="0" u="none" strike="noStrike">
              <a:solidFill>
                <a:srgbClr val="000000"/>
              </a:solidFill>
              <a:effectLst/>
              <a:uFillTx/>
              <a:latin typeface="Arial"/>
              <a:ea typeface="Arial"/>
            </a:rPr>
            <a:t> but they can copy the same exact strategy for the </a:t>
          </a:r>
          <a:r>
            <a:rPr lang="en-US" sz="1200" b="0" i="1" u="none" strike="noStrike">
              <a:solidFill>
                <a:srgbClr val="000000"/>
              </a:solidFill>
              <a:effectLst/>
              <a:uFillTx/>
              <a:latin typeface="Arial"/>
              <a:ea typeface="Arial"/>
            </a:rPr>
            <a:t>Delivery</a:t>
          </a:r>
          <a:r>
            <a:rPr lang="en-US" sz="1200" b="0" u="none" strike="noStrike">
              <a:solidFill>
                <a:srgbClr val="000000"/>
              </a:solidFill>
              <a:effectLst/>
              <a:uFillTx/>
              <a:latin typeface="Arial"/>
              <a:ea typeface="Arial"/>
            </a:rPr>
            <a:t> (as the current partnerships with Starship, Avride, Coco, Serve, Cartken) and with their </a:t>
          </a:r>
          <a:r>
            <a:rPr lang="en-US" sz="1200" b="0" i="1" u="none" strike="noStrike">
              <a:solidFill>
                <a:srgbClr val="000000"/>
              </a:solidFill>
              <a:effectLst/>
              <a:uFillTx/>
              <a:latin typeface="Arial"/>
              <a:ea typeface="Arial"/>
            </a:rPr>
            <a:t>Freight</a:t>
          </a:r>
          <a:r>
            <a:rPr lang="en-US" sz="1200" b="0" u="none" strike="noStrike">
              <a:solidFill>
                <a:srgbClr val="000000"/>
              </a:solidFill>
              <a:effectLst/>
              <a:uFillTx/>
              <a:latin typeface="Arial"/>
              <a:ea typeface="Arial"/>
            </a:rPr>
            <a:t> infrastructure (Aurora, which is currently truck exclusive but that will upgrade to Autonomous vehicle).</a:t>
          </a:r>
          <a:endParaRPr lang="en-GB" sz="1200" b="0" u="none" strike="noStrike">
            <a:effectLst/>
            <a:uFillTx/>
            <a:latin typeface="Times New Roman"/>
          </a:endParaRPr>
        </a:p>
        <a:p>
          <a:pPr>
            <a:lnSpc>
              <a:spcPct val="100000"/>
            </a:lnSpc>
          </a:pPr>
          <a:endParaRPr lang="en-GB" sz="1200" b="0" u="none" strike="noStrike">
            <a:effectLst/>
            <a:uFillTx/>
            <a:latin typeface="Times New Roman"/>
          </a:endParaRPr>
        </a:p>
        <a:p>
          <a:pPr>
            <a:lnSpc>
              <a:spcPct val="100000"/>
            </a:lnSpc>
          </a:pPr>
          <a:r>
            <a:rPr lang="en-US" sz="1200" b="0" u="none" strike="noStrike">
              <a:solidFill>
                <a:srgbClr val="000000"/>
              </a:solidFill>
              <a:effectLst/>
              <a:uFillTx/>
              <a:latin typeface="Arial"/>
              <a:ea typeface="Arial"/>
            </a:rPr>
            <a:t>On top of that, the board is aiming to upgrade the customer’s experience by adding to their portfolio the possibility to book hotels where it is possible to arrive with a Uber cab or a micromobility service offered by the platform.</a:t>
          </a:r>
          <a:endParaRPr lang="en-GB" sz="1200" b="0" u="none" strike="noStrike">
            <a:effectLst/>
            <a:uFillTx/>
            <a:latin typeface="Times New Roman"/>
          </a:endParaRPr>
        </a:p>
        <a:p>
          <a:pPr>
            <a:lnSpc>
              <a:spcPct val="100000"/>
            </a:lnSpc>
          </a:pPr>
          <a:endParaRPr lang="en-GB" sz="1200" b="0" u="none" strike="noStrike">
            <a:effectLst/>
            <a:uFillTx/>
            <a:latin typeface="Times New Roman"/>
          </a:endParaRPr>
        </a:p>
        <a:p>
          <a:pPr>
            <a:lnSpc>
              <a:spcPct val="100000"/>
            </a:lnSpc>
          </a:pPr>
          <a:r>
            <a:rPr lang="en-US" sz="1200" b="0" u="none" strike="noStrike">
              <a:solidFill>
                <a:srgbClr val="000000"/>
              </a:solidFill>
              <a:effectLst/>
              <a:uFillTx/>
              <a:latin typeface="Arial"/>
              <a:ea typeface="Arial"/>
            </a:rPr>
            <a:t>Given it’s wide availability across the world it is in a premium position for a future partnership with any personal AI assistent for the organisation of a trip around the world. Something like “Hey ChatGPT, organise me a dinner in London” and the LLM reserves a table using the Uber app at a suitable time given the user’s calendar, after it books a Uber cab in order to arrive to the restaurant.</a:t>
          </a:r>
          <a:endParaRPr lang="en-GB" sz="1200" b="0" u="none" strike="noStrike">
            <a:effectLst/>
            <a:uFillTx/>
            <a:latin typeface="Times New Roman"/>
          </a:endParaRPr>
        </a:p>
      </xdr:txBody>
    </xdr:sp>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Bond%20Analysis.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Main"/>
      <sheetName val="Zero-rate curve US"/>
      <sheetName val="Credit Spread US"/>
      <sheetName val="Zero-rate curve ECB"/>
    </sheetNames>
    <sheetDataSet>
      <sheetData sheetId="0"/>
      <sheetData sheetId="1"/>
      <sheetData sheetId="2">
        <row r="6">
          <cell r="J6">
            <v>0.784782608695652</v>
          </cell>
        </row>
      </sheetData>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investor@uber.com" TargetMode="External"/><Relationship Id="rId2" Type="http://schemas.openxmlformats.org/officeDocument/2006/relationships/hyperlink" Target="https://transportation.house.gov/uploadedfiles/fong_041_rev1.pdf"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Uber.ods" TargetMode="External"/><Relationship Id="rId3" Type="http://schemas.openxmlformats.org/officeDocument/2006/relationships/drawing" Target="../drawings/drawing1.xml"/><Relationship Id="rId4"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hyperlink" Target="Uber.ods" TargetMode="External"/>
</Relationships>
</file>

<file path=xl/worksheets/_rels/sheet4.xml.rels><?xml version="1.0" encoding="UTF-8"?>
<Relationships xmlns="http://schemas.openxmlformats.org/package/2006/relationships"><Relationship Id="rId1" Type="http://schemas.openxmlformats.org/officeDocument/2006/relationships/hyperlink" Target="UBER.ods" TargetMode="External"/><Relationship Id="rId2"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80"/>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L22" activeCellId="0" sqref="L22"/>
    </sheetView>
  </sheetViews>
  <sheetFormatPr defaultColWidth="11.53515625" defaultRowHeight="12.8" customHeight="false" zeroHeight="false" outlineLevelRow="0" outlineLevelCol="0"/>
  <cols>
    <col collapsed="false" customWidth="true" hidden="false" outlineLevel="0" max="1" min="1" style="1" width="27.82"/>
    <col collapsed="false" customWidth="true" hidden="false" outlineLevel="0" max="2" min="2" style="1" width="13.68"/>
    <col collapsed="false" customWidth="false" hidden="false" outlineLevel="0" max="3" min="3" style="1" width="11.53"/>
    <col collapsed="false" customWidth="true" hidden="false" outlineLevel="0" max="4" min="4" style="1" width="12.94"/>
    <col collapsed="false" customWidth="true" hidden="false" outlineLevel="0" max="6" min="5" style="1" width="11.44"/>
    <col collapsed="false" customWidth="false" hidden="false" outlineLevel="0" max="8" min="7" style="1" width="11.53"/>
    <col collapsed="false" customWidth="true" hidden="false" outlineLevel="0" max="9" min="9" style="1" width="10.65"/>
    <col collapsed="false" customWidth="false" hidden="false" outlineLevel="0" max="10" min="10" style="1" width="11.55"/>
    <col collapsed="false" customWidth="true" hidden="false" outlineLevel="0" max="11" min="11" style="1" width="16.45"/>
    <col collapsed="false" customWidth="false" hidden="false" outlineLevel="0" max="12" min="12" style="1" width="11.53"/>
    <col collapsed="false" customWidth="true" hidden="false" outlineLevel="0" max="13" min="13" style="1" width="13.03"/>
    <col collapsed="false" customWidth="false" hidden="false" outlineLevel="0" max="16" min="14" style="1" width="11.53"/>
    <col collapsed="false" customWidth="true" hidden="false" outlineLevel="0" max="17" min="17" style="1" width="3.38"/>
    <col collapsed="false" customWidth="false" hidden="false" outlineLevel="0" max="16384" min="18" style="1" width="11.53"/>
  </cols>
  <sheetData>
    <row r="1" customFormat="false" ht="12.8" hidden="false" customHeight="false" outlineLevel="0" collapsed="false">
      <c r="A1" s="2" t="s">
        <v>0</v>
      </c>
      <c r="D1" s="1" t="s">
        <v>1</v>
      </c>
      <c r="E1" s="3" t="n">
        <v>75</v>
      </c>
      <c r="H1" s="4"/>
      <c r="I1" s="5"/>
      <c r="J1" s="4"/>
      <c r="L1" s="4" t="s">
        <v>2</v>
      </c>
      <c r="M1" s="5" t="s">
        <v>3</v>
      </c>
      <c r="N1" s="4"/>
    </row>
    <row r="2" customFormat="false" ht="12.8" hidden="false" customHeight="false" outlineLevel="0" collapsed="false">
      <c r="D2" s="1" t="s">
        <v>4</v>
      </c>
      <c r="E2" s="3" t="n">
        <v>2035.599013</v>
      </c>
      <c r="F2" s="4" t="s">
        <v>5</v>
      </c>
      <c r="H2" s="4"/>
      <c r="L2" s="4" t="s">
        <v>2</v>
      </c>
      <c r="M2" s="1" t="s">
        <v>6</v>
      </c>
    </row>
    <row r="3" customFormat="false" ht="12.8" hidden="false" customHeight="false" outlineLevel="0" collapsed="false">
      <c r="D3" s="1" t="s">
        <v>7</v>
      </c>
      <c r="E3" s="3" t="n">
        <f aca="false">E1*E2</f>
        <v>152669.925975</v>
      </c>
      <c r="L3" s="4" t="s">
        <v>2</v>
      </c>
      <c r="M3" s="1" t="s">
        <v>8</v>
      </c>
    </row>
    <row r="4" s="6" customFormat="true" ht="13.8" hidden="false" customHeight="false" outlineLevel="0" collapsed="false">
      <c r="A4" s="1"/>
      <c r="B4" s="1"/>
      <c r="C4" s="1"/>
      <c r="D4" s="1" t="s">
        <v>9</v>
      </c>
      <c r="E4" s="3" t="n">
        <v>8911</v>
      </c>
      <c r="F4" s="4" t="s">
        <v>5</v>
      </c>
      <c r="G4" s="1"/>
      <c r="H4" s="1"/>
      <c r="I4" s="1"/>
      <c r="J4" s="1"/>
      <c r="K4" s="1"/>
      <c r="L4" s="4" t="s">
        <v>2</v>
      </c>
      <c r="M4" s="1" t="s">
        <v>10</v>
      </c>
      <c r="N4" s="1"/>
      <c r="W4" s="1"/>
      <c r="X4" s="1"/>
      <c r="Y4" s="1"/>
      <c r="Z4" s="1"/>
      <c r="AA4" s="1"/>
      <c r="AB4" s="1"/>
      <c r="AC4" s="1"/>
      <c r="AD4" s="1"/>
      <c r="AE4" s="1"/>
      <c r="AF4" s="1"/>
      <c r="AG4" s="1"/>
      <c r="AH4" s="1"/>
      <c r="AI4" s="1"/>
      <c r="AJ4" s="1"/>
      <c r="AK4" s="1"/>
      <c r="AL4" s="1"/>
      <c r="AM4" s="1"/>
      <c r="AN4" s="1"/>
      <c r="AO4" s="1"/>
      <c r="AP4" s="1"/>
      <c r="AQ4" s="1"/>
    </row>
    <row r="5" customFormat="false" ht="13.8" hidden="false" customHeight="false" outlineLevel="0" collapsed="false">
      <c r="D5" s="1" t="s">
        <v>11</v>
      </c>
      <c r="E5" s="3" t="n">
        <v>10514</v>
      </c>
      <c r="F5" s="4" t="s">
        <v>5</v>
      </c>
      <c r="L5" s="4" t="s">
        <v>2</v>
      </c>
      <c r="M5" s="1" t="s">
        <v>12</v>
      </c>
      <c r="O5" s="6"/>
      <c r="P5" s="6"/>
      <c r="Q5" s="6"/>
      <c r="R5" s="6"/>
      <c r="S5" s="6"/>
      <c r="T5" s="6"/>
      <c r="U5" s="6"/>
      <c r="V5" s="6"/>
    </row>
    <row r="6" s="8" customFormat="true" ht="13.8" hidden="false" customHeight="false" outlineLevel="0" collapsed="false">
      <c r="A6" s="1"/>
      <c r="B6" s="1"/>
      <c r="C6" s="1"/>
      <c r="D6" s="1" t="s">
        <v>13</v>
      </c>
      <c r="E6" s="7" t="n">
        <f aca="false">E3-E4+E5</f>
        <v>154272.925975</v>
      </c>
      <c r="F6" s="1"/>
      <c r="G6" s="1"/>
      <c r="H6" s="1"/>
      <c r="I6" s="1"/>
      <c r="J6" s="1"/>
      <c r="K6" s="6"/>
      <c r="L6" s="4" t="s">
        <v>2</v>
      </c>
      <c r="M6" s="1" t="s">
        <v>14</v>
      </c>
      <c r="N6" s="1"/>
      <c r="O6" s="6"/>
      <c r="P6" s="6"/>
      <c r="Q6" s="6"/>
      <c r="R6" s="6"/>
      <c r="S6" s="6"/>
      <c r="T6" s="6"/>
      <c r="U6" s="6"/>
      <c r="V6" s="6"/>
      <c r="W6" s="1"/>
      <c r="X6" s="1"/>
      <c r="Y6" s="1"/>
      <c r="Z6" s="1"/>
      <c r="AA6" s="1"/>
      <c r="AB6" s="1"/>
      <c r="AC6" s="1"/>
      <c r="AD6" s="1"/>
      <c r="AE6" s="1"/>
      <c r="AF6" s="1"/>
      <c r="AG6" s="1"/>
      <c r="AH6" s="1"/>
      <c r="AI6" s="1"/>
      <c r="AJ6" s="1"/>
      <c r="AK6" s="1"/>
      <c r="AL6" s="1"/>
      <c r="AM6" s="1"/>
      <c r="AN6" s="1"/>
      <c r="AO6" s="1"/>
      <c r="AP6" s="1"/>
      <c r="AQ6" s="1"/>
    </row>
    <row r="7" s="8" customFormat="true" ht="13.8" hidden="false" customHeight="false" outlineLevel="0" collapsed="false">
      <c r="A7" s="1"/>
      <c r="B7" s="1"/>
      <c r="C7" s="1"/>
      <c r="D7" s="1"/>
      <c r="E7" s="1"/>
      <c r="F7" s="1"/>
      <c r="G7" s="1"/>
      <c r="H7" s="4"/>
      <c r="I7" s="1"/>
      <c r="J7" s="1"/>
      <c r="K7" s="6"/>
      <c r="L7" s="4" t="s">
        <v>2</v>
      </c>
      <c r="M7" s="1" t="s">
        <v>15</v>
      </c>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s="8" customFormat="true" ht="16.15" hidden="false" customHeight="false" outlineLevel="0" collapsed="false">
      <c r="A8" s="6" t="s">
        <v>16</v>
      </c>
      <c r="B8" s="9" t="n">
        <v>1.2</v>
      </c>
      <c r="C8" s="1"/>
      <c r="D8" s="1" t="s">
        <v>17</v>
      </c>
      <c r="E8" s="10" t="n">
        <f aca="false">+E6/(SUM(Model!O68:R68))</f>
        <v>24.6406057090173</v>
      </c>
      <c r="F8" s="1"/>
      <c r="G8" s="1"/>
      <c r="H8" s="4"/>
      <c r="I8" s="1"/>
      <c r="J8" s="1"/>
      <c r="K8" s="6"/>
      <c r="L8" s="1"/>
      <c r="M8" s="1" t="s">
        <v>18</v>
      </c>
      <c r="N8" s="1"/>
      <c r="W8" s="6"/>
      <c r="X8" s="6"/>
      <c r="Y8" s="6"/>
      <c r="Z8" s="6"/>
      <c r="AA8" s="6"/>
      <c r="AB8" s="6"/>
      <c r="AC8" s="6"/>
      <c r="AD8" s="6"/>
      <c r="AE8" s="6"/>
      <c r="AF8" s="6"/>
      <c r="AG8" s="6"/>
      <c r="AH8" s="6"/>
      <c r="AI8" s="6"/>
      <c r="AJ8" s="6"/>
      <c r="AK8" s="6"/>
      <c r="AL8" s="6"/>
      <c r="AM8" s="6"/>
      <c r="AN8" s="6"/>
      <c r="AO8" s="6"/>
      <c r="AP8" s="1"/>
      <c r="AQ8" s="1"/>
    </row>
    <row r="9" customFormat="false" ht="16.15" hidden="false" customHeight="false" outlineLevel="0" collapsed="false">
      <c r="D9" s="6"/>
      <c r="E9" s="11"/>
      <c r="H9" s="4"/>
      <c r="L9" s="4" t="s">
        <v>2</v>
      </c>
      <c r="M9" s="1" t="s">
        <v>19</v>
      </c>
      <c r="O9" s="8"/>
      <c r="P9" s="8"/>
      <c r="Q9" s="8"/>
      <c r="R9" s="8"/>
      <c r="S9" s="8"/>
      <c r="T9" s="8"/>
      <c r="U9" s="8"/>
      <c r="V9" s="8"/>
      <c r="W9" s="6"/>
      <c r="X9" s="6"/>
      <c r="Y9" s="6"/>
      <c r="Z9" s="6"/>
      <c r="AA9" s="6"/>
      <c r="AB9" s="6"/>
      <c r="AC9" s="6"/>
      <c r="AD9" s="6"/>
      <c r="AE9" s="6"/>
      <c r="AF9" s="6"/>
      <c r="AG9" s="6"/>
      <c r="AH9" s="6"/>
      <c r="AI9" s="6"/>
      <c r="AJ9" s="6"/>
      <c r="AK9" s="6"/>
      <c r="AL9" s="6"/>
      <c r="AM9" s="6"/>
      <c r="AN9" s="6"/>
      <c r="AO9" s="6"/>
    </row>
    <row r="10" customFormat="false" ht="16.15" hidden="false" customHeight="false" outlineLevel="0" collapsed="false">
      <c r="C10" s="6"/>
      <c r="D10" s="6"/>
      <c r="E10" s="6"/>
      <c r="F10" s="6"/>
      <c r="G10" s="6"/>
      <c r="H10" s="4"/>
      <c r="K10" s="8"/>
      <c r="M10" s="1" t="s">
        <v>20</v>
      </c>
      <c r="O10" s="8"/>
      <c r="P10" s="8"/>
      <c r="Q10" s="8"/>
      <c r="R10" s="8"/>
      <c r="S10" s="8"/>
      <c r="T10" s="8"/>
      <c r="U10" s="8"/>
      <c r="V10" s="8"/>
      <c r="W10" s="6"/>
      <c r="X10" s="6"/>
      <c r="Y10" s="6"/>
      <c r="Z10" s="6"/>
      <c r="AA10" s="6"/>
      <c r="AB10" s="6"/>
      <c r="AC10" s="6"/>
      <c r="AD10" s="6"/>
      <c r="AE10" s="6"/>
      <c r="AF10" s="6"/>
      <c r="AG10" s="6"/>
      <c r="AH10" s="6"/>
      <c r="AI10" s="6"/>
      <c r="AJ10" s="6"/>
      <c r="AK10" s="6"/>
      <c r="AL10" s="6"/>
      <c r="AM10" s="6"/>
      <c r="AN10" s="6"/>
      <c r="AO10" s="6"/>
    </row>
    <row r="11" customFormat="false" ht="16.15" hidden="false" customHeight="false" outlineLevel="0" collapsed="false">
      <c r="A11" s="6"/>
      <c r="B11" s="9"/>
      <c r="C11" s="6"/>
      <c r="D11" s="6"/>
      <c r="E11" s="6"/>
      <c r="F11" s="6"/>
      <c r="G11" s="6"/>
      <c r="H11" s="4"/>
      <c r="I11" s="1" t="s">
        <v>21</v>
      </c>
      <c r="K11" s="8"/>
      <c r="L11" s="4" t="s">
        <v>2</v>
      </c>
      <c r="M11" s="1" t="s">
        <v>22</v>
      </c>
      <c r="N11" s="6"/>
      <c r="O11" s="8"/>
      <c r="P11" s="8"/>
      <c r="Q11" s="8"/>
      <c r="R11" s="8"/>
      <c r="AP11" s="6"/>
      <c r="AQ11" s="6"/>
    </row>
    <row r="12" customFormat="false" ht="16.15" hidden="false" customHeight="false" outlineLevel="0" collapsed="false">
      <c r="A12" s="8" t="s">
        <v>23</v>
      </c>
      <c r="B12" s="12" t="n">
        <f aca="false">0.045+B8*(0.1-0.0495)</f>
        <v>0.1056</v>
      </c>
      <c r="D12" s="8" t="s">
        <v>24</v>
      </c>
      <c r="E12" s="13" t="n">
        <f aca="false">+'[1]Credit Spread US'!J6</f>
        <v>0.780434782608696</v>
      </c>
      <c r="F12" s="6"/>
      <c r="G12" s="6"/>
      <c r="K12" s="8"/>
      <c r="L12" s="6"/>
      <c r="M12" s="1" t="s">
        <v>25</v>
      </c>
      <c r="N12" s="6"/>
      <c r="W12" s="8"/>
      <c r="X12" s="8"/>
      <c r="Y12" s="8"/>
      <c r="Z12" s="8"/>
      <c r="AA12" s="8"/>
      <c r="AB12" s="8"/>
      <c r="AC12" s="8"/>
      <c r="AD12" s="8"/>
      <c r="AE12" s="8"/>
      <c r="AF12" s="8"/>
      <c r="AG12" s="8"/>
      <c r="AH12" s="8"/>
      <c r="AI12" s="8"/>
      <c r="AJ12" s="8"/>
      <c r="AK12" s="8"/>
      <c r="AL12" s="8"/>
      <c r="AM12" s="8"/>
      <c r="AN12" s="8"/>
      <c r="AO12" s="8"/>
      <c r="AP12" s="6"/>
      <c r="AQ12" s="6"/>
    </row>
    <row r="13" customFormat="false" ht="16.15" hidden="false" customHeight="false" outlineLevel="0" collapsed="false">
      <c r="A13" s="8" t="s">
        <v>26</v>
      </c>
      <c r="B13" s="14" t="n">
        <f aca="false">+0.0495+(E12/10)</f>
        <v>0.12754347826087</v>
      </c>
      <c r="D13" s="8"/>
      <c r="E13" s="13"/>
      <c r="H13" s="4"/>
      <c r="K13" s="8"/>
      <c r="L13" s="6"/>
      <c r="M13" s="1" t="s">
        <v>27</v>
      </c>
      <c r="N13" s="6"/>
      <c r="W13" s="8"/>
      <c r="X13" s="8"/>
      <c r="Y13" s="8"/>
      <c r="Z13" s="8"/>
      <c r="AA13" s="8"/>
      <c r="AB13" s="8"/>
      <c r="AC13" s="8"/>
      <c r="AD13" s="8"/>
      <c r="AE13" s="8"/>
      <c r="AF13" s="8"/>
      <c r="AG13" s="8"/>
      <c r="AH13" s="8"/>
      <c r="AI13" s="8"/>
      <c r="AJ13" s="8"/>
      <c r="AK13" s="8"/>
      <c r="AL13" s="8"/>
      <c r="AM13" s="8"/>
      <c r="AN13" s="8"/>
      <c r="AO13" s="8"/>
      <c r="AP13" s="6"/>
      <c r="AQ13" s="6"/>
    </row>
    <row r="14" customFormat="false" ht="16.15" hidden="false" customHeight="false" outlineLevel="0" collapsed="false">
      <c r="A14" s="8" t="s">
        <v>28</v>
      </c>
      <c r="B14" s="15" t="n">
        <f aca="false">((Model!S68+Model!R68+Model!Q68+Model!P68)-(Model!O68+Model!N68+Model!M68+Model!L68))/((Model!S52+Model!R52+Model!Q52+Model!P52)-(Model!O52+Model!N52+Model!M52+Model!L52))</f>
        <v>0.277374523752824</v>
      </c>
      <c r="C14" s="0"/>
      <c r="D14" s="8" t="s">
        <v>29</v>
      </c>
      <c r="E14" s="14" t="n">
        <f aca="false">+(E4/(E4+E5))*B12+(E5/(E4+E5)*B13*(1-0.22))</f>
        <v>0.10228959905993</v>
      </c>
      <c r="F14" s="8"/>
      <c r="G14" s="8"/>
      <c r="K14" s="8"/>
      <c r="L14" s="4" t="s">
        <v>2</v>
      </c>
      <c r="M14" s="1" t="s">
        <v>30</v>
      </c>
      <c r="W14" s="8"/>
      <c r="X14" s="8"/>
      <c r="Y14" s="8"/>
      <c r="Z14" s="8"/>
      <c r="AA14" s="8"/>
      <c r="AB14" s="8"/>
      <c r="AC14" s="8"/>
      <c r="AD14" s="8"/>
      <c r="AE14" s="8"/>
      <c r="AF14" s="8"/>
      <c r="AG14" s="8"/>
      <c r="AH14" s="8"/>
      <c r="AI14" s="8"/>
      <c r="AJ14" s="8"/>
      <c r="AK14" s="8"/>
      <c r="AL14" s="8"/>
      <c r="AM14" s="8"/>
      <c r="AN14" s="8"/>
      <c r="AO14" s="8"/>
    </row>
    <row r="15" customFormat="false" ht="16.15" hidden="false" customHeight="false" outlineLevel="0" collapsed="false">
      <c r="A15" s="8" t="s">
        <v>31</v>
      </c>
      <c r="B15" s="16" t="n">
        <f aca="false">(E5-E4)/Model!S111</f>
        <v>0.568641362185172</v>
      </c>
      <c r="C15" s="8"/>
      <c r="D15" s="17"/>
      <c r="E15" s="18"/>
      <c r="F15" s="8"/>
      <c r="G15" s="8"/>
      <c r="H15" s="4"/>
      <c r="J15" s="6"/>
      <c r="K15" s="8"/>
      <c r="L15" s="4"/>
      <c r="M15" s="4" t="s">
        <v>2</v>
      </c>
      <c r="N15" s="1" t="s">
        <v>32</v>
      </c>
      <c r="AP15" s="8"/>
      <c r="AQ15" s="8"/>
    </row>
    <row r="16" customFormat="false" ht="16.15" hidden="false" customHeight="false" outlineLevel="0" collapsed="false">
      <c r="A16" s="8" t="s">
        <v>33</v>
      </c>
      <c r="B16" s="19" t="n">
        <f aca="false">+E6/SUM(Model!P175:S175)</f>
        <v>15.304768556658</v>
      </c>
      <c r="C16" s="8"/>
      <c r="D16" s="17"/>
      <c r="E16" s="18"/>
      <c r="F16" s="8"/>
      <c r="G16" s="8"/>
      <c r="H16" s="6"/>
      <c r="J16" s="6"/>
      <c r="K16" s="8"/>
      <c r="L16" s="4" t="s">
        <v>2</v>
      </c>
      <c r="M16" s="1" t="s">
        <v>34</v>
      </c>
      <c r="N16" s="17"/>
      <c r="AP16" s="8"/>
      <c r="AQ16" s="8"/>
    </row>
    <row r="17" customFormat="false" ht="16.15" hidden="false" customHeight="false" outlineLevel="0" collapsed="false">
      <c r="A17" s="8" t="s">
        <v>35</v>
      </c>
      <c r="B17" s="19" t="n">
        <f aca="false">E6/(SUM(Model!O111:R111))</f>
        <v>16.5121402092476</v>
      </c>
      <c r="C17" s="8"/>
      <c r="D17" s="8"/>
      <c r="E17" s="8"/>
      <c r="F17" s="8"/>
      <c r="G17" s="8"/>
      <c r="H17" s="6"/>
      <c r="J17" s="6"/>
      <c r="K17" s="8"/>
      <c r="L17" s="8"/>
      <c r="M17" s="20" t="s">
        <v>36</v>
      </c>
      <c r="N17" s="17"/>
      <c r="AP17" s="8"/>
      <c r="AQ17" s="8"/>
    </row>
    <row r="18" customFormat="false" ht="16.15" hidden="false" customHeight="false" outlineLevel="0" collapsed="false">
      <c r="A18" s="8" t="s">
        <v>37</v>
      </c>
      <c r="B18" s="19" t="n">
        <f aca="false">+E1/SUM(Model!P86:S86)</f>
        <v>16.4669749953498</v>
      </c>
      <c r="C18" s="8"/>
      <c r="D18" s="8"/>
      <c r="E18" s="8"/>
      <c r="F18" s="8"/>
      <c r="G18" s="8"/>
      <c r="H18" s="4"/>
      <c r="K18" s="8"/>
      <c r="L18" s="4" t="s">
        <v>2</v>
      </c>
      <c r="M18" s="1" t="s">
        <v>38</v>
      </c>
      <c r="N18" s="17"/>
    </row>
    <row r="19" customFormat="false" ht="16.15" hidden="false" customHeight="false" outlineLevel="0" collapsed="false">
      <c r="A19" s="8" t="s">
        <v>39</v>
      </c>
      <c r="B19" s="19" t="n">
        <f aca="false">E3/SUM(Model!P175:S175)</f>
        <v>15.145741664277</v>
      </c>
      <c r="C19" s="8"/>
      <c r="D19" s="8"/>
      <c r="E19" s="8"/>
      <c r="F19" s="8"/>
      <c r="G19" s="8"/>
      <c r="H19" s="4"/>
      <c r="I19" s="4"/>
      <c r="L19" s="8"/>
      <c r="M19" s="1" t="s">
        <v>40</v>
      </c>
      <c r="N19" s="8"/>
    </row>
    <row r="20" customFormat="false" ht="16.15" hidden="false" customHeight="false" outlineLevel="0" collapsed="false">
      <c r="A20" s="8" t="s">
        <v>41</v>
      </c>
      <c r="B20" s="21" t="s">
        <v>42</v>
      </c>
      <c r="C20" s="22" t="s">
        <v>43</v>
      </c>
      <c r="D20" s="8"/>
      <c r="E20" s="8"/>
      <c r="F20" s="8"/>
      <c r="G20" s="8"/>
      <c r="H20" s="4"/>
      <c r="J20" s="17"/>
      <c r="L20" s="8"/>
      <c r="M20" s="1" t="s">
        <v>44</v>
      </c>
      <c r="N20" s="8"/>
    </row>
    <row r="21" customFormat="false" ht="16.15" hidden="false" customHeight="false" outlineLevel="0" collapsed="false">
      <c r="A21" s="8"/>
      <c r="B21" s="22" t="s">
        <v>45</v>
      </c>
      <c r="C21" s="22" t="s">
        <v>46</v>
      </c>
      <c r="F21" s="8"/>
      <c r="G21" s="8"/>
      <c r="H21" s="8"/>
      <c r="I21" s="20"/>
      <c r="J21" s="17"/>
      <c r="L21" s="8"/>
      <c r="M21" s="20" t="s">
        <v>47</v>
      </c>
      <c r="N21" s="8"/>
    </row>
    <row r="22" customFormat="false" ht="16.15" hidden="false" customHeight="false" outlineLevel="0" collapsed="false">
      <c r="A22" s="8"/>
      <c r="B22" s="22"/>
      <c r="C22" s="8"/>
      <c r="F22" s="8"/>
      <c r="G22" s="8"/>
      <c r="H22" s="8"/>
      <c r="I22" s="20"/>
      <c r="J22" s="17"/>
      <c r="L22" s="4" t="s">
        <v>2</v>
      </c>
      <c r="M22" s="1" t="s">
        <v>48</v>
      </c>
      <c r="N22" s="8"/>
    </row>
    <row r="23" customFormat="false" ht="16.15" hidden="false" customHeight="false" outlineLevel="0" collapsed="false">
      <c r="H23" s="4"/>
      <c r="J23" s="8"/>
      <c r="M23" s="1" t="s">
        <v>49</v>
      </c>
      <c r="N23" s="8"/>
    </row>
    <row r="24" customFormat="false" ht="16.15" hidden="false" customHeight="false" outlineLevel="0" collapsed="false">
      <c r="D24" s="1" t="s">
        <v>50</v>
      </c>
      <c r="E24" s="1" t="n">
        <v>2009</v>
      </c>
      <c r="F24" s="1" t="s">
        <v>51</v>
      </c>
      <c r="H24" s="8"/>
      <c r="J24" s="8"/>
      <c r="M24" s="20" t="s">
        <v>52</v>
      </c>
    </row>
    <row r="25" customFormat="false" ht="16.15" hidden="false" customHeight="false" outlineLevel="0" collapsed="false">
      <c r="D25" s="1" t="s">
        <v>53</v>
      </c>
      <c r="E25" s="1" t="n">
        <v>2010</v>
      </c>
      <c r="H25" s="8"/>
      <c r="J25" s="8"/>
      <c r="L25" s="4" t="s">
        <v>2</v>
      </c>
      <c r="M25" s="1" t="s">
        <v>54</v>
      </c>
    </row>
    <row r="26" customFormat="false" ht="16.15" hidden="false" customHeight="false" outlineLevel="0" collapsed="false">
      <c r="D26" s="23" t="s">
        <v>0</v>
      </c>
      <c r="E26" s="1" t="n">
        <v>2011</v>
      </c>
      <c r="H26" s="8"/>
      <c r="I26" s="20"/>
      <c r="J26" s="8"/>
      <c r="M26" s="20" t="s">
        <v>55</v>
      </c>
    </row>
    <row r="27" customFormat="false" ht="16.15" hidden="false" customHeight="false" outlineLevel="0" collapsed="false">
      <c r="D27" s="20" t="s">
        <v>56</v>
      </c>
      <c r="E27" s="20" t="s">
        <v>57</v>
      </c>
      <c r="H27" s="4"/>
      <c r="J27" s="8"/>
      <c r="M27" s="20" t="s">
        <v>58</v>
      </c>
    </row>
    <row r="28" customFormat="false" ht="12.8" hidden="false" customHeight="false" outlineLevel="0" collapsed="false">
      <c r="C28" s="1" t="s">
        <v>59</v>
      </c>
      <c r="D28" s="23" t="s">
        <v>60</v>
      </c>
      <c r="L28" s="4" t="s">
        <v>2</v>
      </c>
      <c r="M28" s="5" t="s">
        <v>61</v>
      </c>
    </row>
    <row r="29" customFormat="false" ht="12.8" hidden="false" customHeight="false" outlineLevel="0" collapsed="false">
      <c r="C29" s="1" t="s">
        <v>62</v>
      </c>
      <c r="D29" s="23" t="s">
        <v>63</v>
      </c>
      <c r="I29" s="20"/>
      <c r="M29" s="1" t="s">
        <v>64</v>
      </c>
    </row>
    <row r="30" customFormat="false" ht="12.8" hidden="false" customHeight="false" outlineLevel="0" collapsed="false">
      <c r="C30" s="1" t="s">
        <v>65</v>
      </c>
      <c r="D30" s="23" t="s">
        <v>66</v>
      </c>
      <c r="H30" s="4"/>
      <c r="L30" s="4" t="s">
        <v>2</v>
      </c>
      <c r="M30" s="1" t="s">
        <v>67</v>
      </c>
    </row>
    <row r="31" customFormat="false" ht="12.8" hidden="false" customHeight="false" outlineLevel="0" collapsed="false">
      <c r="A31" s="24" t="s">
        <v>68</v>
      </c>
      <c r="L31" s="4" t="s">
        <v>2</v>
      </c>
      <c r="M31" s="1" t="s">
        <v>69</v>
      </c>
    </row>
    <row r="32" customFormat="false" ht="12.8" hidden="false" customHeight="false" outlineLevel="0" collapsed="false">
      <c r="I32" s="20"/>
      <c r="L32" s="4" t="s">
        <v>2</v>
      </c>
      <c r="M32" s="1" t="s">
        <v>70</v>
      </c>
    </row>
    <row r="33" customFormat="false" ht="12.8" hidden="false" customHeight="false" outlineLevel="0" collapsed="false">
      <c r="G33" s="4"/>
      <c r="H33" s="4"/>
      <c r="I33" s="5"/>
      <c r="M33" s="1" t="s">
        <v>71</v>
      </c>
    </row>
    <row r="34" customFormat="false" ht="12.8" hidden="false" customHeight="false" outlineLevel="0" collapsed="false">
      <c r="A34" s="1" t="s">
        <v>72</v>
      </c>
      <c r="G34" s="4"/>
      <c r="M34" s="1" t="s">
        <v>73</v>
      </c>
    </row>
    <row r="35" customFormat="false" ht="12.8" hidden="false" customHeight="false" outlineLevel="0" collapsed="false">
      <c r="A35" s="1" t="s">
        <v>74</v>
      </c>
      <c r="G35" s="4"/>
      <c r="H35" s="4"/>
      <c r="L35" s="4" t="s">
        <v>2</v>
      </c>
      <c r="M35" s="1" t="s">
        <v>75</v>
      </c>
    </row>
    <row r="36" customFormat="false" ht="12.8" hidden="false" customHeight="false" outlineLevel="0" collapsed="false">
      <c r="A36" s="1" t="s">
        <v>76</v>
      </c>
      <c r="M36" s="1" t="s">
        <v>77</v>
      </c>
    </row>
    <row r="37" customFormat="false" ht="12.8" hidden="false" customHeight="false" outlineLevel="0" collapsed="false">
      <c r="A37" s="1" t="s">
        <v>78</v>
      </c>
      <c r="G37" s="4"/>
      <c r="L37" s="4" t="s">
        <v>2</v>
      </c>
      <c r="M37" s="1" t="s">
        <v>79</v>
      </c>
    </row>
    <row r="38" customFormat="false" ht="12.8" hidden="false" customHeight="false" outlineLevel="0" collapsed="false">
      <c r="A38" s="1" t="s">
        <v>80</v>
      </c>
      <c r="G38" s="4" t="s">
        <v>2</v>
      </c>
      <c r="H38" s="1" t="s">
        <v>81</v>
      </c>
      <c r="L38" s="4" t="s">
        <v>2</v>
      </c>
      <c r="M38" s="1" t="s">
        <v>82</v>
      </c>
    </row>
    <row r="39" customFormat="false" ht="12.8" hidden="false" customHeight="false" outlineLevel="0" collapsed="false">
      <c r="G39" s="4" t="s">
        <v>2</v>
      </c>
      <c r="H39" s="1" t="s">
        <v>83</v>
      </c>
      <c r="M39" s="1" t="s">
        <v>84</v>
      </c>
    </row>
    <row r="40" customFormat="false" ht="12.8" hidden="false" customHeight="false" outlineLevel="0" collapsed="false">
      <c r="L40" s="4" t="s">
        <v>2</v>
      </c>
      <c r="M40" s="1" t="s">
        <v>85</v>
      </c>
    </row>
    <row r="41" customFormat="false" ht="12.8" hidden="false" customHeight="false" outlineLevel="0" collapsed="false">
      <c r="A41" s="1" t="s">
        <v>86</v>
      </c>
      <c r="I41" s="1" t="s">
        <v>87</v>
      </c>
      <c r="M41" s="1" t="s">
        <v>88</v>
      </c>
    </row>
    <row r="42" customFormat="false" ht="12.8" hidden="false" customHeight="false" outlineLevel="0" collapsed="false">
      <c r="B42" s="25" t="s">
        <v>2</v>
      </c>
      <c r="C42" s="1" t="s">
        <v>89</v>
      </c>
      <c r="I42" s="1" t="s">
        <v>90</v>
      </c>
      <c r="M42" s="1" t="s">
        <v>91</v>
      </c>
    </row>
    <row r="43" customFormat="false" ht="12.8" hidden="false" customHeight="false" outlineLevel="0" collapsed="false">
      <c r="I43" s="1" t="s">
        <v>92</v>
      </c>
      <c r="M43" s="1" t="s">
        <v>93</v>
      </c>
    </row>
    <row r="44" customFormat="false" ht="12.8" hidden="false" customHeight="false" outlineLevel="0" collapsed="false">
      <c r="M44" s="1" t="s">
        <v>94</v>
      </c>
    </row>
    <row r="45" customFormat="false" ht="12.8" hidden="false" customHeight="false" outlineLevel="0" collapsed="false">
      <c r="B45" s="20" t="s">
        <v>95</v>
      </c>
      <c r="C45" s="1" t="s">
        <v>96</v>
      </c>
      <c r="M45" s="4" t="s">
        <v>2</v>
      </c>
      <c r="N45" s="1" t="s">
        <v>97</v>
      </c>
    </row>
    <row r="46" customFormat="false" ht="12.8" hidden="false" customHeight="false" outlineLevel="0" collapsed="false">
      <c r="B46" s="20" t="s">
        <v>98</v>
      </c>
      <c r="C46" s="1" t="s">
        <v>99</v>
      </c>
      <c r="L46" s="4"/>
      <c r="M46" s="4" t="s">
        <v>2</v>
      </c>
      <c r="N46" s="1" t="s">
        <v>100</v>
      </c>
    </row>
    <row r="47" customFormat="false" ht="12.8" hidden="false" customHeight="false" outlineLevel="0" collapsed="false">
      <c r="B47" s="20" t="s">
        <v>101</v>
      </c>
      <c r="C47" s="1" t="s">
        <v>102</v>
      </c>
      <c r="L47" s="4"/>
      <c r="M47" s="4" t="s">
        <v>2</v>
      </c>
      <c r="N47" s="1" t="s">
        <v>103</v>
      </c>
    </row>
    <row r="48" customFormat="false" ht="12.8" hidden="false" customHeight="false" outlineLevel="0" collapsed="false">
      <c r="L48" s="4" t="s">
        <v>2</v>
      </c>
      <c r="M48" s="1" t="s">
        <v>104</v>
      </c>
    </row>
    <row r="49" customFormat="false" ht="12.8" hidden="false" customHeight="false" outlineLevel="0" collapsed="false">
      <c r="M49" s="4"/>
    </row>
    <row r="50" customFormat="false" ht="12.8" hidden="false" customHeight="false" outlineLevel="0" collapsed="false">
      <c r="L50" s="4"/>
      <c r="M50" s="4"/>
    </row>
    <row r="51" customFormat="false" ht="12.8" hidden="false" customHeight="false" outlineLevel="0" collapsed="false">
      <c r="B51" s="2" t="s">
        <v>105</v>
      </c>
      <c r="C51" s="1" t="s">
        <v>106</v>
      </c>
      <c r="L51" s="4"/>
      <c r="M51" s="4"/>
    </row>
    <row r="52" customFormat="false" ht="12.8" hidden="false" customHeight="false" outlineLevel="0" collapsed="false">
      <c r="B52" s="2" t="s">
        <v>107</v>
      </c>
      <c r="C52" s="1" t="s">
        <v>108</v>
      </c>
      <c r="L52" s="4"/>
    </row>
    <row r="53" customFormat="false" ht="12.8" hidden="false" customHeight="false" outlineLevel="0" collapsed="false">
      <c r="B53" s="20" t="s">
        <v>109</v>
      </c>
      <c r="C53" s="1" t="s">
        <v>110</v>
      </c>
    </row>
    <row r="55" customFormat="false" ht="12.8" hidden="false" customHeight="false" outlineLevel="0" collapsed="false">
      <c r="L55" s="4"/>
    </row>
    <row r="59" customFormat="false" ht="12.8" hidden="false" customHeight="false" outlineLevel="0" collapsed="false">
      <c r="A59" s="1" t="s">
        <v>111</v>
      </c>
      <c r="B59" s="17" t="s">
        <v>112</v>
      </c>
    </row>
    <row r="60" customFormat="false" ht="12.8" hidden="false" customHeight="false" outlineLevel="0" collapsed="false">
      <c r="B60" s="1" t="s">
        <v>113</v>
      </c>
    </row>
    <row r="61" customFormat="false" ht="12.8" hidden="false" customHeight="false" outlineLevel="0" collapsed="false">
      <c r="B61" s="17" t="s">
        <v>114</v>
      </c>
    </row>
    <row r="64" customFormat="false" ht="12.8" hidden="false" customHeight="false" outlineLevel="0" collapsed="false">
      <c r="A64" s="20" t="s">
        <v>115</v>
      </c>
      <c r="B64" s="1" t="s">
        <v>116</v>
      </c>
    </row>
    <row r="65" customFormat="false" ht="12.8" hidden="false" customHeight="false" outlineLevel="0" collapsed="false">
      <c r="B65" s="4" t="s">
        <v>2</v>
      </c>
      <c r="C65" s="1" t="s">
        <v>117</v>
      </c>
    </row>
    <row r="66" customFormat="false" ht="12.8" hidden="false" customHeight="false" outlineLevel="0" collapsed="false">
      <c r="A66" s="20" t="s">
        <v>118</v>
      </c>
      <c r="B66" s="25" t="s">
        <v>5</v>
      </c>
      <c r="C66" s="1" t="s">
        <v>119</v>
      </c>
    </row>
    <row r="67" customFormat="false" ht="12.8" hidden="false" customHeight="false" outlineLevel="0" collapsed="false">
      <c r="A67" s="23" t="s">
        <v>120</v>
      </c>
      <c r="B67" s="25" t="s">
        <v>5</v>
      </c>
      <c r="C67" s="1" t="s">
        <v>121</v>
      </c>
    </row>
    <row r="68" customFormat="false" ht="12.8" hidden="false" customHeight="false" outlineLevel="0" collapsed="false">
      <c r="A68" s="23" t="s">
        <v>122</v>
      </c>
      <c r="B68" s="25" t="s">
        <v>5</v>
      </c>
      <c r="C68" s="1" t="s">
        <v>123</v>
      </c>
    </row>
    <row r="69" customFormat="false" ht="12.8" hidden="false" customHeight="false" outlineLevel="0" collapsed="false">
      <c r="A69" s="23"/>
    </row>
    <row r="75" customFormat="false" ht="12.8" hidden="false" customHeight="false" outlineLevel="0" collapsed="false">
      <c r="A75" s="23" t="s">
        <v>124</v>
      </c>
      <c r="B75" s="4" t="s">
        <v>2</v>
      </c>
      <c r="C75" s="1" t="s">
        <v>125</v>
      </c>
    </row>
    <row r="76" customFormat="false" ht="12.8" hidden="false" customHeight="false" outlineLevel="0" collapsed="false">
      <c r="B76" s="4" t="s">
        <v>2</v>
      </c>
      <c r="C76" s="1" t="s">
        <v>126</v>
      </c>
    </row>
    <row r="77" customFormat="false" ht="12.8" hidden="false" customHeight="false" outlineLevel="0" collapsed="false">
      <c r="B77" s="4"/>
      <c r="C77" s="4" t="s">
        <v>2</v>
      </c>
      <c r="D77" s="1" t="s">
        <v>127</v>
      </c>
    </row>
    <row r="78" customFormat="false" ht="12.8" hidden="false" customHeight="false" outlineLevel="0" collapsed="false">
      <c r="B78" s="4"/>
      <c r="D78" s="1" t="s">
        <v>128</v>
      </c>
    </row>
    <row r="82" customFormat="false" ht="12.8" hidden="false" customHeight="false" outlineLevel="0" collapsed="false">
      <c r="A82" s="1" t="s">
        <v>129</v>
      </c>
      <c r="B82" s="4" t="s">
        <v>2</v>
      </c>
      <c r="C82" s="20" t="s">
        <v>130</v>
      </c>
    </row>
    <row r="83" customFormat="false" ht="12.8" hidden="false" customHeight="false" outlineLevel="0" collapsed="false">
      <c r="C83" s="4" t="s">
        <v>2</v>
      </c>
      <c r="D83" s="1" t="s">
        <v>131</v>
      </c>
    </row>
    <row r="88" customFormat="false" ht="12.8" hidden="false" customHeight="false" outlineLevel="0" collapsed="false">
      <c r="A88" s="1" t="s">
        <v>132</v>
      </c>
      <c r="B88" s="4" t="s">
        <v>2</v>
      </c>
      <c r="C88" s="1" t="s">
        <v>133</v>
      </c>
    </row>
    <row r="89" customFormat="false" ht="12.8" hidden="false" customHeight="false" outlineLevel="0" collapsed="false">
      <c r="C89" s="1" t="s">
        <v>134</v>
      </c>
    </row>
    <row r="90" customFormat="false" ht="12.8" hidden="false" customHeight="false" outlineLevel="0" collapsed="false">
      <c r="B90" s="4" t="s">
        <v>2</v>
      </c>
      <c r="C90" s="1" t="s">
        <v>135</v>
      </c>
    </row>
    <row r="91" customFormat="false" ht="12.8" hidden="false" customHeight="false" outlineLevel="0" collapsed="false">
      <c r="B91" s="4" t="s">
        <v>2</v>
      </c>
      <c r="C91" s="1" t="s">
        <v>136</v>
      </c>
    </row>
    <row r="92" customFormat="false" ht="12.8" hidden="false" customHeight="false" outlineLevel="0" collapsed="false">
      <c r="C92" s="1" t="s">
        <v>137</v>
      </c>
    </row>
    <row r="93" customFormat="false" ht="12.8" hidden="false" customHeight="false" outlineLevel="0" collapsed="false">
      <c r="I93" s="4"/>
      <c r="K93" s="5"/>
    </row>
    <row r="94" customFormat="false" ht="12.8" hidden="false" customHeight="false" outlineLevel="0" collapsed="false">
      <c r="J94" s="5"/>
      <c r="L94" s="4" t="s">
        <v>2</v>
      </c>
      <c r="M94" s="5" t="s">
        <v>138</v>
      </c>
    </row>
    <row r="95" customFormat="false" ht="12.8" hidden="false" customHeight="false" outlineLevel="0" collapsed="false">
      <c r="B95" s="4" t="s">
        <v>2</v>
      </c>
      <c r="C95" s="1" t="s">
        <v>139</v>
      </c>
      <c r="M95" s="1" t="s">
        <v>140</v>
      </c>
    </row>
    <row r="96" customFormat="false" ht="12.8" hidden="false" customHeight="false" outlineLevel="0" collapsed="false">
      <c r="C96" s="1" t="s">
        <v>141</v>
      </c>
      <c r="J96" s="4"/>
      <c r="M96" s="4" t="s">
        <v>2</v>
      </c>
      <c r="N96" s="1" t="s">
        <v>142</v>
      </c>
    </row>
    <row r="97" customFormat="false" ht="12.8" hidden="false" customHeight="false" outlineLevel="0" collapsed="false">
      <c r="C97" s="1" t="s">
        <v>143</v>
      </c>
      <c r="D97" s="5"/>
      <c r="N97" s="1" t="s">
        <v>144</v>
      </c>
    </row>
    <row r="98" customFormat="false" ht="12.8" hidden="false" customHeight="false" outlineLevel="0" collapsed="false">
      <c r="C98" s="4" t="s">
        <v>2</v>
      </c>
      <c r="D98" s="5" t="s">
        <v>145</v>
      </c>
      <c r="J98" s="4"/>
      <c r="K98" s="5"/>
      <c r="M98" s="4" t="s">
        <v>2</v>
      </c>
      <c r="N98" s="5" t="s">
        <v>146</v>
      </c>
    </row>
    <row r="99" customFormat="false" ht="12.8" hidden="false" customHeight="false" outlineLevel="0" collapsed="false">
      <c r="L99" s="4"/>
      <c r="N99" s="1" t="s">
        <v>147</v>
      </c>
    </row>
    <row r="100" customFormat="false" ht="13.8" hidden="false" customHeight="false" outlineLevel="0" collapsed="false">
      <c r="B100" s="4" t="s">
        <v>2</v>
      </c>
      <c r="C100" s="1" t="s">
        <v>148</v>
      </c>
      <c r="N100" s="1" t="s">
        <v>149</v>
      </c>
      <c r="R100" s="26"/>
    </row>
    <row r="101" customFormat="false" ht="13.8" hidden="false" customHeight="false" outlineLevel="0" collapsed="false">
      <c r="C101" s="1" t="s">
        <v>150</v>
      </c>
      <c r="J101" s="4"/>
      <c r="K101" s="5"/>
      <c r="O101" s="4" t="s">
        <v>2</v>
      </c>
      <c r="P101" s="1" t="s">
        <v>151</v>
      </c>
      <c r="R101" s="26"/>
    </row>
    <row r="102" customFormat="false" ht="13.8" hidden="false" customHeight="false" outlineLevel="0" collapsed="false">
      <c r="C102" s="4" t="s">
        <v>2</v>
      </c>
      <c r="D102" s="17" t="s">
        <v>152</v>
      </c>
      <c r="O102" s="4" t="s">
        <v>2</v>
      </c>
      <c r="P102" s="26" t="s">
        <v>153</v>
      </c>
      <c r="R102" s="26"/>
    </row>
    <row r="103" customFormat="false" ht="13.1" hidden="false" customHeight="false" outlineLevel="0" collapsed="false">
      <c r="C103" s="4" t="s">
        <v>2</v>
      </c>
      <c r="D103" s="17" t="s">
        <v>154</v>
      </c>
      <c r="M103" s="4" t="s">
        <v>2</v>
      </c>
      <c r="N103" s="5" t="s">
        <v>155</v>
      </c>
    </row>
    <row r="104" customFormat="false" ht="13.1" hidden="false" customHeight="false" outlineLevel="0" collapsed="false">
      <c r="C104" s="4"/>
      <c r="D104" s="4" t="s">
        <v>2</v>
      </c>
      <c r="E104" s="20" t="s">
        <v>156</v>
      </c>
      <c r="J104" s="4"/>
      <c r="N104" s="1" t="s">
        <v>157</v>
      </c>
    </row>
    <row r="105" customFormat="false" ht="13.1" hidden="false" customHeight="false" outlineLevel="0" collapsed="false">
      <c r="C105" s="27" t="s">
        <v>2</v>
      </c>
      <c r="D105" s="28" t="s">
        <v>158</v>
      </c>
      <c r="L105" s="4"/>
      <c r="N105" s="1" t="s">
        <v>159</v>
      </c>
    </row>
    <row r="106" customFormat="false" ht="13.1" hidden="false" customHeight="false" outlineLevel="0" collapsed="false">
      <c r="C106" s="4" t="s">
        <v>2</v>
      </c>
      <c r="D106" s="17" t="s">
        <v>160</v>
      </c>
      <c r="L106" s="4"/>
      <c r="M106" s="4" t="s">
        <v>2</v>
      </c>
      <c r="N106" s="1" t="s">
        <v>161</v>
      </c>
    </row>
    <row r="107" customFormat="false" ht="13.1" hidden="false" customHeight="false" outlineLevel="0" collapsed="false">
      <c r="C107" s="4"/>
      <c r="D107" s="4" t="s">
        <v>2</v>
      </c>
      <c r="E107" s="1" t="s">
        <v>162</v>
      </c>
    </row>
    <row r="108" customFormat="false" ht="12.8" hidden="false" customHeight="false" outlineLevel="0" collapsed="false">
      <c r="C108" s="4" t="s">
        <v>2</v>
      </c>
      <c r="D108" s="17" t="s">
        <v>163</v>
      </c>
      <c r="L108" s="4" t="s">
        <v>2</v>
      </c>
      <c r="M108" s="1" t="s">
        <v>164</v>
      </c>
    </row>
    <row r="109" customFormat="false" ht="12.8" hidden="false" customHeight="false" outlineLevel="0" collapsed="false">
      <c r="C109" s="4"/>
      <c r="D109" s="4" t="s">
        <v>2</v>
      </c>
      <c r="E109" s="1" t="s">
        <v>165</v>
      </c>
      <c r="M109" s="4" t="s">
        <v>2</v>
      </c>
      <c r="N109" s="29" t="s">
        <v>166</v>
      </c>
    </row>
    <row r="110" customFormat="false" ht="12.8" hidden="false" customHeight="false" outlineLevel="0" collapsed="false">
      <c r="C110" s="4"/>
      <c r="D110" s="17"/>
      <c r="E110" s="1" t="s">
        <v>167</v>
      </c>
      <c r="N110" s="1" t="s">
        <v>168</v>
      </c>
    </row>
    <row r="111" customFormat="false" ht="12.8" hidden="false" customHeight="false" outlineLevel="0" collapsed="false">
      <c r="C111" s="4" t="s">
        <v>2</v>
      </c>
      <c r="D111" s="17" t="s">
        <v>169</v>
      </c>
      <c r="L111" s="4"/>
    </row>
    <row r="112" customFormat="false" ht="12.8" hidden="false" customHeight="false" outlineLevel="0" collapsed="false">
      <c r="B112" s="4" t="s">
        <v>2</v>
      </c>
      <c r="C112" s="2" t="s">
        <v>170</v>
      </c>
      <c r="D112" s="17"/>
    </row>
    <row r="113" customFormat="false" ht="12.8" hidden="false" customHeight="false" outlineLevel="0" collapsed="false">
      <c r="C113" s="5" t="s">
        <v>171</v>
      </c>
      <c r="D113" s="17"/>
    </row>
    <row r="114" customFormat="false" ht="12.8" hidden="false" customHeight="false" outlineLevel="0" collapsed="false">
      <c r="C114" s="4" t="s">
        <v>2</v>
      </c>
      <c r="D114" s="20" t="s">
        <v>172</v>
      </c>
    </row>
    <row r="115" customFormat="false" ht="12.8" hidden="false" customHeight="false" outlineLevel="0" collapsed="false">
      <c r="B115" s="4" t="s">
        <v>2</v>
      </c>
      <c r="C115" s="30" t="s">
        <v>173</v>
      </c>
      <c r="D115" s="20"/>
    </row>
    <row r="116" customFormat="false" ht="12.8" hidden="false" customHeight="false" outlineLevel="0" collapsed="false">
      <c r="B116" s="4"/>
      <c r="C116" s="31"/>
      <c r="D116" s="17"/>
    </row>
    <row r="117" customFormat="false" ht="12.8" hidden="false" customHeight="false" outlineLevel="0" collapsed="false">
      <c r="C117" s="4"/>
      <c r="D117" s="17"/>
    </row>
    <row r="118" customFormat="false" ht="12.8" hidden="false" customHeight="false" outlineLevel="0" collapsed="false">
      <c r="C118" s="4"/>
      <c r="D118" s="17"/>
    </row>
    <row r="119" customFormat="false" ht="12.8" hidden="false" customHeight="false" outlineLevel="0" collapsed="false">
      <c r="C119" s="4"/>
      <c r="D119" s="17"/>
    </row>
    <row r="120" customFormat="false" ht="12.8" hidden="false" customHeight="false" outlineLevel="0" collapsed="false">
      <c r="B120" s="4" t="s">
        <v>2</v>
      </c>
      <c r="C120" s="5" t="s">
        <v>174</v>
      </c>
    </row>
    <row r="121" s="3" customFormat="true" ht="12.8" hidden="false" customHeight="false" outlineLevel="0" collapsed="false">
      <c r="A121" s="1"/>
      <c r="B121" s="1"/>
      <c r="C121" s="4" t="s">
        <v>2</v>
      </c>
      <c r="D121" s="1" t="s">
        <v>175</v>
      </c>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row>
    <row r="122" s="3" customFormat="true" ht="12.8" hidden="false" customHeight="false" outlineLevel="0" collapsed="false">
      <c r="A122" s="1"/>
      <c r="B122" s="4" t="s">
        <v>2</v>
      </c>
      <c r="C122" s="5" t="s">
        <v>176</v>
      </c>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row>
    <row r="123" s="3" customFormat="true" ht="12.8" hidden="false" customHeight="false" outlineLevel="0" collapsed="false">
      <c r="A123" s="1"/>
      <c r="B123" s="1"/>
      <c r="C123" s="5" t="s">
        <v>177</v>
      </c>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row>
    <row r="124" s="3" customFormat="true" ht="12.8" hidden="false" customHeight="false" outlineLevel="0" collapsed="false">
      <c r="A124" s="1"/>
      <c r="B124" s="1"/>
      <c r="C124" s="4"/>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row>
    <row r="125" s="3" customFormat="true" ht="12.8" hidden="false" customHeight="false" outlineLevel="0" collapsed="false">
      <c r="A125" s="1"/>
      <c r="B125" s="4" t="s">
        <v>2</v>
      </c>
      <c r="C125" s="5" t="s">
        <v>178</v>
      </c>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row>
    <row r="126" s="3" customFormat="true" ht="12.8" hidden="false" customHeight="false" outlineLevel="0" collapsed="false">
      <c r="A126" s="1"/>
      <c r="B126" s="4"/>
      <c r="C126" s="5"/>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row>
    <row r="127" s="3" customFormat="true" ht="12.8" hidden="false" customHeight="false" outlineLevel="0" collapsed="false">
      <c r="A127" s="1"/>
      <c r="B127" s="4"/>
      <c r="C127" s="5"/>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row>
    <row r="128" s="3" customFormat="true" ht="12.8" hidden="false" customHeight="false" outlineLevel="0" collapsed="false">
      <c r="A128" s="1"/>
      <c r="B128" s="4" t="s">
        <v>2</v>
      </c>
      <c r="C128" s="5" t="s">
        <v>179</v>
      </c>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row>
    <row r="129" s="32" customFormat="true" ht="12.8" hidden="false" customHeight="false" outlineLevel="0" collapsed="false">
      <c r="A129" s="1"/>
      <c r="B129" s="1"/>
      <c r="C129" s="5" t="s">
        <v>180</v>
      </c>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row>
    <row r="130" s="32" customFormat="true" ht="12.8" hidden="false" customHeight="false" outlineLevel="0" collapsed="false">
      <c r="A130" s="1"/>
      <c r="B130" s="1"/>
      <c r="C130" s="4" t="s">
        <v>2</v>
      </c>
      <c r="D130" s="20" t="s">
        <v>181</v>
      </c>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row>
    <row r="131" s="32" customFormat="true" ht="12.8" hidden="false" customHeight="false" outlineLevel="0" collapsed="false">
      <c r="A131" s="1"/>
      <c r="B131" s="1"/>
      <c r="C131" s="5"/>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row>
    <row r="132" s="32" customFormat="true" ht="12.8" hidden="false" customHeight="false" outlineLevel="0" collapsed="false">
      <c r="A132" s="1"/>
      <c r="B132" s="1"/>
      <c r="C132" s="5"/>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row>
    <row r="133" s="32" customFormat="true" ht="12.8" hidden="false" customHeight="false" outlineLevel="0" collapsed="false">
      <c r="A133" s="1"/>
      <c r="B133" s="4" t="s">
        <v>2</v>
      </c>
      <c r="C133" s="5" t="s">
        <v>182</v>
      </c>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row>
    <row r="134" s="32" customFormat="true" ht="12.8" hidden="false" customHeight="false" outlineLevel="0" collapsed="false">
      <c r="A134" s="1"/>
      <c r="B134" s="1"/>
      <c r="C134" s="5" t="s">
        <v>183</v>
      </c>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row>
    <row r="135" s="23" customFormat="true" ht="12.8" hidden="false" customHeight="false" outlineLevel="0" collapsed="false">
      <c r="A135" s="1"/>
      <c r="B135" s="4" t="s">
        <v>2</v>
      </c>
      <c r="C135" s="5" t="s">
        <v>184</v>
      </c>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row>
    <row r="136" customFormat="false" ht="12.8" hidden="false" customHeight="false" outlineLevel="0" collapsed="false">
      <c r="C136" s="5" t="s">
        <v>185</v>
      </c>
    </row>
    <row r="137" customFormat="false" ht="12.8" hidden="false" customHeight="false" outlineLevel="0" collapsed="false">
      <c r="B137" s="4" t="s">
        <v>2</v>
      </c>
      <c r="C137" s="5" t="s">
        <v>186</v>
      </c>
    </row>
    <row r="138" customFormat="false" ht="12.8" hidden="false" customHeight="false" outlineLevel="0" collapsed="false">
      <c r="B138" s="4" t="s">
        <v>2</v>
      </c>
      <c r="C138" s="5" t="s">
        <v>187</v>
      </c>
      <c r="AM138" s="3"/>
      <c r="AN138" s="3"/>
      <c r="AO138" s="3"/>
    </row>
    <row r="139" customFormat="false" ht="12.8" hidden="false" customHeight="false" outlineLevel="0" collapsed="false">
      <c r="B139" s="4" t="s">
        <v>2</v>
      </c>
      <c r="C139" s="5" t="s">
        <v>188</v>
      </c>
      <c r="W139" s="3"/>
      <c r="X139" s="3"/>
      <c r="Y139" s="3"/>
      <c r="Z139" s="3"/>
      <c r="AA139" s="3"/>
      <c r="AB139" s="3"/>
      <c r="AC139" s="3"/>
      <c r="AD139" s="3"/>
      <c r="AE139" s="3"/>
      <c r="AF139" s="3"/>
      <c r="AG139" s="3"/>
      <c r="AH139" s="3"/>
      <c r="AI139" s="3"/>
      <c r="AJ139" s="3"/>
      <c r="AK139" s="3"/>
      <c r="AL139" s="3"/>
      <c r="AM139" s="3"/>
      <c r="AN139" s="3"/>
      <c r="AO139" s="3"/>
    </row>
    <row r="140" s="6" customFormat="true" ht="12.8" hidden="false" customHeight="false" outlineLevel="0" collapsed="false">
      <c r="A140" s="1"/>
      <c r="B140" s="4"/>
      <c r="C140" s="5"/>
      <c r="D140" s="1"/>
      <c r="E140" s="1"/>
      <c r="F140" s="1"/>
      <c r="G140" s="1"/>
      <c r="H140" s="1"/>
      <c r="I140" s="1"/>
      <c r="J140" s="1"/>
      <c r="K140" s="1"/>
      <c r="L140" s="1"/>
      <c r="M140" s="1"/>
      <c r="N140" s="1"/>
      <c r="O140" s="1"/>
      <c r="P140" s="1"/>
      <c r="Q140" s="1"/>
      <c r="R140" s="1"/>
      <c r="S140" s="1"/>
      <c r="T140" s="1"/>
      <c r="U140" s="1"/>
      <c r="V140" s="1"/>
      <c r="W140" s="3"/>
      <c r="X140" s="3"/>
      <c r="Y140" s="3"/>
      <c r="Z140" s="3"/>
      <c r="AA140" s="3"/>
      <c r="AB140" s="3"/>
      <c r="AC140" s="3"/>
      <c r="AD140" s="3"/>
      <c r="AE140" s="3"/>
      <c r="AF140" s="3"/>
      <c r="AG140" s="3"/>
      <c r="AH140" s="3"/>
      <c r="AI140" s="3"/>
      <c r="AJ140" s="3"/>
      <c r="AK140" s="3"/>
      <c r="AL140" s="3"/>
      <c r="AM140" s="3"/>
      <c r="AN140" s="3"/>
      <c r="AO140" s="3"/>
      <c r="AP140" s="3"/>
      <c r="AQ140" s="3"/>
    </row>
    <row r="141" s="6" customFormat="true" ht="12.8" hidden="false" customHeight="false" outlineLevel="0" collapsed="false">
      <c r="A141" s="1"/>
      <c r="B141" s="4" t="s">
        <v>2</v>
      </c>
      <c r="C141" s="5" t="s">
        <v>189</v>
      </c>
      <c r="D141" s="1"/>
      <c r="E141" s="1"/>
      <c r="F141" s="1"/>
      <c r="G141" s="1"/>
      <c r="H141" s="1"/>
      <c r="I141" s="1"/>
      <c r="J141" s="1"/>
      <c r="K141" s="1"/>
      <c r="L141" s="1"/>
      <c r="M141" s="1"/>
      <c r="N141" s="1"/>
      <c r="O141" s="1"/>
      <c r="P141" s="1"/>
      <c r="Q141" s="1"/>
      <c r="R141" s="1"/>
      <c r="S141" s="3"/>
      <c r="T141" s="1"/>
      <c r="U141" s="1"/>
      <c r="V141" s="1"/>
      <c r="W141" s="3"/>
      <c r="X141" s="3"/>
      <c r="Y141" s="3"/>
      <c r="Z141" s="3"/>
      <c r="AA141" s="3"/>
      <c r="AB141" s="3"/>
      <c r="AC141" s="3"/>
      <c r="AD141" s="3"/>
      <c r="AE141" s="3"/>
      <c r="AF141" s="3"/>
      <c r="AG141" s="3"/>
      <c r="AH141" s="3"/>
      <c r="AI141" s="3"/>
      <c r="AJ141" s="3"/>
      <c r="AK141" s="3"/>
      <c r="AL141" s="3"/>
      <c r="AM141" s="3"/>
      <c r="AN141" s="3"/>
      <c r="AO141" s="3"/>
      <c r="AP141" s="3"/>
      <c r="AQ141" s="3"/>
    </row>
    <row r="142" s="6" customFormat="true" ht="12.8" hidden="false" customHeight="false" outlineLevel="0" collapsed="false">
      <c r="A142" s="1"/>
      <c r="B142" s="4"/>
      <c r="C142" s="5" t="s">
        <v>190</v>
      </c>
      <c r="D142" s="1"/>
      <c r="E142" s="1"/>
      <c r="F142" s="1"/>
      <c r="G142" s="1"/>
      <c r="H142" s="1"/>
      <c r="I142" s="1"/>
      <c r="J142" s="1"/>
      <c r="K142" s="1"/>
      <c r="L142" s="1"/>
      <c r="M142" s="1"/>
      <c r="N142" s="1"/>
      <c r="O142" s="1"/>
      <c r="P142" s="1"/>
      <c r="Q142" s="1"/>
      <c r="R142" s="1"/>
      <c r="S142" s="3"/>
      <c r="T142" s="1"/>
      <c r="U142" s="1"/>
      <c r="V142" s="1"/>
      <c r="W142" s="3"/>
      <c r="X142" s="3"/>
      <c r="Y142" s="3"/>
      <c r="Z142" s="3"/>
      <c r="AA142" s="3"/>
      <c r="AB142" s="3"/>
      <c r="AC142" s="3"/>
      <c r="AD142" s="3"/>
      <c r="AE142" s="3"/>
      <c r="AF142" s="3"/>
      <c r="AG142" s="3"/>
      <c r="AH142" s="3"/>
      <c r="AI142" s="3"/>
      <c r="AJ142" s="3"/>
      <c r="AK142" s="3"/>
      <c r="AL142" s="3"/>
      <c r="AM142" s="3"/>
      <c r="AN142" s="3"/>
      <c r="AO142" s="3"/>
      <c r="AP142" s="3"/>
      <c r="AQ142" s="3"/>
    </row>
    <row r="143" s="6" customFormat="true" ht="12.8" hidden="false" customHeight="false" outlineLevel="0" collapsed="false">
      <c r="A143" s="1"/>
      <c r="B143" s="4"/>
      <c r="C143" s="5" t="s">
        <v>191</v>
      </c>
      <c r="D143" s="1"/>
      <c r="E143" s="1"/>
      <c r="F143" s="1"/>
      <c r="G143" s="1"/>
      <c r="H143" s="1"/>
      <c r="I143" s="1"/>
      <c r="J143" s="1"/>
      <c r="K143" s="1"/>
      <c r="L143" s="1"/>
      <c r="M143" s="1"/>
      <c r="N143" s="1"/>
      <c r="O143" s="1"/>
      <c r="P143" s="1"/>
      <c r="Q143" s="1"/>
      <c r="R143" s="1"/>
      <c r="S143" s="3"/>
      <c r="T143" s="1"/>
      <c r="U143" s="1"/>
      <c r="V143" s="1"/>
      <c r="W143" s="3"/>
      <c r="X143" s="3"/>
      <c r="Y143" s="3"/>
      <c r="Z143" s="3"/>
      <c r="AA143" s="3"/>
      <c r="AB143" s="3"/>
      <c r="AC143" s="3"/>
      <c r="AD143" s="3"/>
      <c r="AE143" s="3"/>
      <c r="AF143" s="3"/>
      <c r="AG143" s="3"/>
      <c r="AH143" s="3"/>
      <c r="AI143" s="3"/>
      <c r="AJ143" s="3"/>
      <c r="AK143" s="3"/>
      <c r="AL143" s="3"/>
      <c r="AM143" s="3"/>
      <c r="AN143" s="3"/>
      <c r="AO143" s="3"/>
      <c r="AP143" s="3"/>
      <c r="AQ143" s="3"/>
    </row>
    <row r="144" s="23" customFormat="true" ht="12.8" hidden="false" customHeight="false" outlineLevel="0" collapsed="false">
      <c r="A144" s="1"/>
      <c r="B144" s="4"/>
      <c r="C144" s="5"/>
      <c r="D144" s="1"/>
      <c r="E144" s="1"/>
      <c r="F144" s="1"/>
      <c r="G144" s="1"/>
      <c r="H144" s="1"/>
      <c r="I144" s="1"/>
      <c r="J144" s="1"/>
      <c r="K144" s="1"/>
      <c r="L144" s="1"/>
      <c r="M144" s="1"/>
      <c r="N144" s="1"/>
      <c r="O144" s="1"/>
      <c r="P144" s="1"/>
      <c r="Q144" s="1"/>
      <c r="R144" s="1"/>
      <c r="S144" s="3"/>
      <c r="T144" s="1"/>
      <c r="U144" s="1"/>
      <c r="V144" s="1"/>
      <c r="W144" s="3"/>
      <c r="X144" s="3"/>
      <c r="Y144" s="3"/>
      <c r="Z144" s="3"/>
      <c r="AA144" s="3"/>
      <c r="AB144" s="3"/>
      <c r="AC144" s="3"/>
      <c r="AD144" s="3"/>
      <c r="AE144" s="3"/>
      <c r="AF144" s="3"/>
      <c r="AG144" s="3"/>
      <c r="AH144" s="3"/>
      <c r="AI144" s="3"/>
      <c r="AJ144" s="3"/>
      <c r="AK144" s="3"/>
      <c r="AL144" s="3"/>
      <c r="AM144" s="3"/>
      <c r="AN144" s="3"/>
      <c r="AO144" s="3"/>
      <c r="AP144" s="3"/>
      <c r="AQ144" s="3"/>
    </row>
    <row r="145" s="23" customFormat="true" ht="12.8" hidden="false" customHeight="false" outlineLevel="0" collapsed="false">
      <c r="A145" s="1"/>
      <c r="B145" s="1"/>
      <c r="C145" s="4"/>
      <c r="D145" s="1"/>
      <c r="E145" s="1"/>
      <c r="F145" s="1"/>
      <c r="G145" s="1"/>
      <c r="H145" s="1"/>
      <c r="I145" s="1"/>
      <c r="J145" s="1"/>
      <c r="K145" s="1"/>
      <c r="L145" s="1"/>
      <c r="M145" s="1"/>
      <c r="N145" s="1"/>
      <c r="O145" s="1"/>
      <c r="P145" s="1"/>
      <c r="Q145" s="1"/>
      <c r="R145" s="1"/>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row>
    <row r="146" s="23" customFormat="true" ht="12.8" hidden="false" customHeight="false" outlineLevel="0" collapsed="false">
      <c r="A146" s="1"/>
      <c r="B146" s="1"/>
      <c r="C146" s="4"/>
      <c r="D146" s="1"/>
      <c r="E146" s="1"/>
      <c r="F146" s="1"/>
      <c r="G146" s="1"/>
      <c r="H146" s="1"/>
      <c r="I146" s="1"/>
      <c r="J146" s="1"/>
      <c r="K146" s="1"/>
      <c r="L146" s="1"/>
      <c r="M146" s="1"/>
      <c r="N146" s="1"/>
      <c r="O146" s="1"/>
      <c r="P146" s="1"/>
      <c r="Q146" s="1"/>
      <c r="R146" s="1"/>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row>
    <row r="147" customFormat="false" ht="12.8" hidden="false" customHeight="false" outlineLevel="0" collapsed="false">
      <c r="C147" s="4"/>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2"/>
      <c r="AN147" s="32"/>
      <c r="AO147" s="32"/>
      <c r="AP147" s="3"/>
      <c r="AQ147" s="3"/>
    </row>
    <row r="148" customFormat="false" ht="12.8" hidden="false" customHeight="false" outlineLevel="0" collapsed="false">
      <c r="A148" s="1" t="s">
        <v>192</v>
      </c>
      <c r="B148" s="4" t="s">
        <v>2</v>
      </c>
      <c r="C148" s="5" t="s">
        <v>193</v>
      </c>
      <c r="M148" s="3"/>
      <c r="N148" s="3"/>
      <c r="O148" s="3"/>
      <c r="P148" s="3"/>
      <c r="Q148" s="3"/>
      <c r="R148" s="3"/>
      <c r="S148" s="3"/>
      <c r="T148" s="3"/>
      <c r="U148" s="3"/>
      <c r="V148" s="3"/>
      <c r="W148" s="32"/>
      <c r="X148" s="32"/>
      <c r="Y148" s="32"/>
      <c r="Z148" s="32"/>
      <c r="AA148" s="32"/>
      <c r="AB148" s="32"/>
      <c r="AC148" s="32"/>
      <c r="AD148" s="32"/>
      <c r="AE148" s="32"/>
      <c r="AF148" s="32"/>
      <c r="AG148" s="32"/>
      <c r="AH148" s="32"/>
      <c r="AI148" s="32"/>
      <c r="AJ148" s="32"/>
      <c r="AK148" s="32"/>
      <c r="AL148" s="32"/>
      <c r="AM148" s="32"/>
      <c r="AN148" s="32"/>
      <c r="AO148" s="32"/>
      <c r="AP148" s="3"/>
      <c r="AQ148" s="3"/>
    </row>
    <row r="149" s="33" customFormat="true" ht="12.8" hidden="false" customHeight="false" outlineLevel="0" collapsed="false">
      <c r="A149" s="1"/>
      <c r="B149" s="1"/>
      <c r="C149" s="5" t="s">
        <v>194</v>
      </c>
      <c r="D149" s="1"/>
      <c r="E149" s="1"/>
      <c r="F149" s="1"/>
      <c r="G149" s="1"/>
      <c r="H149" s="1"/>
      <c r="I149" s="1"/>
      <c r="J149" s="1"/>
      <c r="K149" s="1"/>
      <c r="L149" s="1"/>
      <c r="M149" s="3"/>
      <c r="N149" s="3"/>
      <c r="O149" s="3"/>
      <c r="P149" s="3"/>
      <c r="Q149" s="3"/>
      <c r="R149" s="3"/>
      <c r="S149" s="3"/>
      <c r="T149" s="3"/>
      <c r="U149" s="3"/>
      <c r="V149" s="3"/>
      <c r="W149" s="32"/>
      <c r="X149" s="32"/>
      <c r="Y149" s="32"/>
      <c r="Z149" s="32"/>
      <c r="AA149" s="32"/>
      <c r="AB149" s="32"/>
      <c r="AC149" s="32"/>
      <c r="AD149" s="32"/>
      <c r="AE149" s="32"/>
      <c r="AF149" s="32"/>
      <c r="AG149" s="32"/>
      <c r="AH149" s="32"/>
      <c r="AI149" s="32"/>
      <c r="AJ149" s="32"/>
      <c r="AK149" s="32"/>
      <c r="AL149" s="32"/>
      <c r="AM149" s="32"/>
      <c r="AN149" s="32"/>
      <c r="AO149" s="32"/>
      <c r="AP149" s="32"/>
      <c r="AQ149" s="32"/>
    </row>
    <row r="150" s="33" customFormat="true" ht="12.8" hidden="false" customHeight="false" outlineLevel="0" collapsed="false">
      <c r="A150" s="1"/>
      <c r="B150" s="1"/>
      <c r="C150" s="4" t="s">
        <v>2</v>
      </c>
      <c r="D150" s="34" t="s">
        <v>195</v>
      </c>
      <c r="E150" s="1"/>
      <c r="F150" s="1"/>
      <c r="G150" s="1"/>
      <c r="H150" s="1"/>
      <c r="I150" s="1"/>
      <c r="J150" s="1"/>
      <c r="K150" s="1"/>
      <c r="L150" s="1"/>
      <c r="M150" s="3"/>
      <c r="N150" s="3"/>
      <c r="O150" s="3"/>
      <c r="P150" s="3"/>
      <c r="Q150" s="3"/>
      <c r="R150" s="3"/>
      <c r="S150" s="32"/>
      <c r="T150" s="3"/>
      <c r="U150" s="3"/>
      <c r="V150" s="3"/>
      <c r="W150" s="32"/>
      <c r="X150" s="32"/>
      <c r="Y150" s="32"/>
      <c r="Z150" s="32"/>
      <c r="AA150" s="32"/>
      <c r="AB150" s="32"/>
      <c r="AC150" s="32"/>
      <c r="AD150" s="32"/>
      <c r="AE150" s="32"/>
      <c r="AF150" s="32"/>
      <c r="AG150" s="32"/>
      <c r="AH150" s="32"/>
      <c r="AI150" s="32"/>
      <c r="AJ150" s="32"/>
      <c r="AK150" s="32"/>
      <c r="AL150" s="32"/>
      <c r="AM150" s="32"/>
      <c r="AN150" s="32"/>
      <c r="AO150" s="32"/>
      <c r="AP150" s="32"/>
      <c r="AQ150" s="32"/>
    </row>
    <row r="151" s="33" customFormat="true" ht="12.8" hidden="false" customHeight="false" outlineLevel="0" collapsed="false">
      <c r="A151" s="1"/>
      <c r="B151" s="1"/>
      <c r="C151" s="4"/>
      <c r="D151" s="1" t="s">
        <v>196</v>
      </c>
      <c r="E151" s="1"/>
      <c r="F151" s="1"/>
      <c r="G151" s="1"/>
      <c r="H151" s="1"/>
      <c r="I151" s="1"/>
      <c r="J151" s="1"/>
      <c r="K151" s="1"/>
      <c r="L151" s="1"/>
      <c r="M151" s="3"/>
      <c r="N151" s="3"/>
      <c r="O151" s="3"/>
      <c r="P151" s="3"/>
      <c r="Q151" s="3"/>
      <c r="R151" s="3"/>
      <c r="S151" s="32"/>
      <c r="T151" s="3"/>
      <c r="U151" s="3"/>
      <c r="V151" s="3"/>
      <c r="W151" s="32"/>
      <c r="X151" s="32"/>
      <c r="Y151" s="32"/>
      <c r="Z151" s="32"/>
      <c r="AA151" s="32"/>
      <c r="AB151" s="32"/>
      <c r="AC151" s="32"/>
      <c r="AD151" s="32"/>
      <c r="AE151" s="32"/>
      <c r="AF151" s="32"/>
      <c r="AG151" s="32"/>
      <c r="AH151" s="32"/>
      <c r="AI151" s="32"/>
      <c r="AJ151" s="32"/>
      <c r="AK151" s="32"/>
      <c r="AL151" s="32"/>
      <c r="AM151" s="32"/>
      <c r="AN151" s="32"/>
      <c r="AO151" s="32"/>
      <c r="AP151" s="32"/>
      <c r="AQ151" s="32"/>
    </row>
    <row r="152" s="33" customFormat="true" ht="12.8" hidden="false" customHeight="false" outlineLevel="0" collapsed="false">
      <c r="A152" s="1"/>
      <c r="B152" s="1"/>
      <c r="C152" s="4"/>
      <c r="D152" s="1" t="s">
        <v>197</v>
      </c>
      <c r="E152" s="1"/>
      <c r="F152" s="1"/>
      <c r="G152" s="1"/>
      <c r="H152" s="1"/>
      <c r="I152" s="1"/>
      <c r="J152" s="1"/>
      <c r="K152" s="1"/>
      <c r="L152" s="1"/>
      <c r="M152" s="3"/>
      <c r="N152" s="3"/>
      <c r="O152" s="3"/>
      <c r="P152" s="3"/>
      <c r="Q152" s="3"/>
      <c r="R152" s="3"/>
      <c r="S152" s="32"/>
      <c r="T152" s="3"/>
      <c r="U152" s="3"/>
      <c r="V152" s="3"/>
      <c r="W152" s="32"/>
      <c r="X152" s="32"/>
      <c r="Y152" s="32"/>
      <c r="Z152" s="32"/>
      <c r="AA152" s="32"/>
      <c r="AB152" s="32"/>
      <c r="AC152" s="32"/>
      <c r="AD152" s="32"/>
      <c r="AE152" s="32"/>
      <c r="AF152" s="32"/>
      <c r="AG152" s="32"/>
      <c r="AH152" s="32"/>
      <c r="AI152" s="32"/>
      <c r="AJ152" s="32"/>
      <c r="AK152" s="32"/>
      <c r="AL152" s="32"/>
      <c r="AM152" s="32"/>
      <c r="AN152" s="32"/>
      <c r="AO152" s="32"/>
      <c r="AP152" s="32"/>
      <c r="AQ152" s="32"/>
    </row>
    <row r="153" customFormat="false" ht="12.8" hidden="false" customHeight="false" outlineLevel="0" collapsed="false">
      <c r="C153" s="4" t="s">
        <v>2</v>
      </c>
      <c r="D153" s="1" t="s">
        <v>198</v>
      </c>
      <c r="M153" s="3"/>
      <c r="N153" s="3"/>
      <c r="O153" s="3"/>
      <c r="P153" s="3"/>
      <c r="Q153" s="3"/>
      <c r="R153" s="3"/>
      <c r="S153" s="32"/>
      <c r="T153" s="3"/>
      <c r="U153" s="3"/>
      <c r="V153" s="3"/>
      <c r="W153" s="32"/>
      <c r="X153" s="32"/>
      <c r="Y153" s="32"/>
      <c r="Z153" s="32"/>
      <c r="AA153" s="32"/>
      <c r="AB153" s="32"/>
      <c r="AC153" s="32"/>
      <c r="AD153" s="32"/>
      <c r="AE153" s="32"/>
      <c r="AF153" s="32"/>
      <c r="AG153" s="32"/>
      <c r="AH153" s="32"/>
      <c r="AI153" s="32"/>
      <c r="AJ153" s="32"/>
      <c r="AK153" s="32"/>
      <c r="AL153" s="32"/>
      <c r="AM153" s="23"/>
      <c r="AN153" s="23"/>
      <c r="AO153" s="23"/>
      <c r="AP153" s="32"/>
      <c r="AQ153" s="32"/>
    </row>
    <row r="154" customFormat="false" ht="12.8" hidden="false" customHeight="false" outlineLevel="0" collapsed="false">
      <c r="C154" s="4"/>
      <c r="D154" s="4" t="s">
        <v>2</v>
      </c>
      <c r="E154" s="20" t="s">
        <v>199</v>
      </c>
      <c r="M154" s="3"/>
      <c r="N154" s="3"/>
      <c r="O154" s="3"/>
      <c r="P154" s="3"/>
      <c r="Q154" s="3"/>
      <c r="R154" s="3"/>
      <c r="S154" s="32"/>
      <c r="T154" s="32"/>
      <c r="U154" s="32"/>
      <c r="V154" s="32"/>
      <c r="W154" s="23"/>
      <c r="X154" s="23"/>
      <c r="Y154" s="23"/>
      <c r="Z154" s="23"/>
      <c r="AA154" s="23"/>
      <c r="AB154" s="23"/>
      <c r="AC154" s="23"/>
      <c r="AD154" s="23"/>
      <c r="AE154" s="23"/>
      <c r="AF154" s="23"/>
      <c r="AG154" s="23"/>
      <c r="AH154" s="23"/>
      <c r="AI154" s="23"/>
      <c r="AJ154" s="23"/>
      <c r="AK154" s="23"/>
      <c r="AL154" s="23"/>
      <c r="AP154" s="32"/>
      <c r="AQ154" s="32"/>
    </row>
    <row r="155" customFormat="false" ht="12.8" hidden="false" customHeight="false" outlineLevel="0" collapsed="false">
      <c r="C155" s="4"/>
      <c r="D155" s="4" t="s">
        <v>2</v>
      </c>
      <c r="E155" s="1" t="s">
        <v>200</v>
      </c>
      <c r="M155" s="3"/>
      <c r="N155" s="3"/>
      <c r="O155" s="3"/>
      <c r="P155" s="3"/>
      <c r="Q155" s="3"/>
      <c r="R155" s="3"/>
      <c r="S155" s="32"/>
      <c r="T155" s="32"/>
      <c r="U155" s="32"/>
      <c r="V155" s="32"/>
      <c r="AP155" s="23"/>
      <c r="AQ155" s="23"/>
    </row>
    <row r="156" customFormat="false" ht="12.8" hidden="false" customHeight="false" outlineLevel="0" collapsed="false">
      <c r="C156" s="4"/>
      <c r="D156" s="1" t="s">
        <v>201</v>
      </c>
      <c r="M156" s="32"/>
      <c r="N156" s="32"/>
      <c r="O156" s="32"/>
      <c r="P156" s="32"/>
      <c r="Q156" s="32"/>
      <c r="R156" s="32"/>
      <c r="S156" s="23"/>
      <c r="T156" s="32"/>
      <c r="U156" s="32"/>
      <c r="V156" s="32"/>
    </row>
    <row r="157" customFormat="false" ht="12.8" hidden="false" customHeight="false" outlineLevel="0" collapsed="false">
      <c r="C157" s="4"/>
      <c r="M157" s="32"/>
      <c r="N157" s="32"/>
      <c r="O157" s="32"/>
      <c r="P157" s="32"/>
      <c r="Q157" s="32"/>
      <c r="R157" s="32"/>
      <c r="T157" s="32"/>
      <c r="U157" s="32"/>
      <c r="V157" s="32"/>
    </row>
    <row r="158" customFormat="false" ht="12.8" hidden="false" customHeight="false" outlineLevel="0" collapsed="false">
      <c r="M158" s="32"/>
      <c r="N158" s="32"/>
      <c r="O158" s="32"/>
      <c r="P158" s="32"/>
      <c r="Q158" s="32"/>
      <c r="R158" s="32"/>
      <c r="T158" s="32"/>
      <c r="U158" s="32"/>
      <c r="V158" s="32"/>
    </row>
    <row r="159" customFormat="false" ht="12.8" hidden="false" customHeight="false" outlineLevel="0" collapsed="false">
      <c r="A159" s="23"/>
      <c r="B159" s="23"/>
      <c r="C159" s="23" t="n">
        <v>2017</v>
      </c>
      <c r="D159" s="23" t="n">
        <v>2018</v>
      </c>
      <c r="E159" s="23" t="n">
        <v>2019</v>
      </c>
      <c r="F159" s="35" t="n">
        <v>2020</v>
      </c>
      <c r="G159" s="35" t="n">
        <f aca="false">F159+1</f>
        <v>2021</v>
      </c>
      <c r="H159" s="35" t="n">
        <f aca="false">G159+1</f>
        <v>2022</v>
      </c>
      <c r="I159" s="35" t="n">
        <f aca="false">H159+1</f>
        <v>2023</v>
      </c>
      <c r="J159" s="35" t="n">
        <f aca="false">I159+1</f>
        <v>2024</v>
      </c>
      <c r="K159" s="35" t="n">
        <f aca="false">J159+1</f>
        <v>2025</v>
      </c>
      <c r="L159" s="35" t="n">
        <f aca="false">K159+1</f>
        <v>2026</v>
      </c>
      <c r="M159" s="32"/>
      <c r="N159" s="32"/>
      <c r="O159" s="32"/>
      <c r="P159" s="32"/>
      <c r="Q159" s="32"/>
      <c r="R159" s="32"/>
      <c r="T159" s="32"/>
      <c r="U159" s="32"/>
      <c r="V159" s="32"/>
    </row>
    <row r="160" customFormat="false" ht="13.8" hidden="false" customHeight="false" outlineLevel="0" collapsed="false">
      <c r="A160" s="36"/>
      <c r="B160" s="36" t="s">
        <v>202</v>
      </c>
      <c r="C160" s="36" t="n">
        <v>4367</v>
      </c>
      <c r="D160" s="36" t="n">
        <v>6521</v>
      </c>
      <c r="E160" s="36" t="n">
        <v>8805</v>
      </c>
      <c r="F160" s="36" t="n">
        <v>6611</v>
      </c>
      <c r="G160" s="36" t="n">
        <v>10094</v>
      </c>
      <c r="H160" s="36" t="n">
        <v>19474</v>
      </c>
      <c r="I160" s="36" t="n">
        <v>20436</v>
      </c>
      <c r="J160" s="36" t="n">
        <v>23681</v>
      </c>
      <c r="K160" s="36" t="n">
        <v>26469</v>
      </c>
      <c r="L160" s="36"/>
      <c r="M160" s="32"/>
      <c r="N160" s="32"/>
      <c r="O160" s="32"/>
      <c r="P160" s="32"/>
      <c r="Q160" s="32"/>
      <c r="R160" s="32"/>
      <c r="T160" s="23"/>
      <c r="U160" s="23"/>
      <c r="V160" s="23"/>
      <c r="W160" s="6"/>
      <c r="X160" s="6"/>
      <c r="Y160" s="6"/>
      <c r="Z160" s="6"/>
      <c r="AA160" s="6"/>
      <c r="AB160" s="6"/>
      <c r="AC160" s="6"/>
      <c r="AD160" s="6"/>
      <c r="AE160" s="6"/>
      <c r="AF160" s="6"/>
      <c r="AG160" s="6"/>
      <c r="AH160" s="6"/>
      <c r="AI160" s="6"/>
      <c r="AJ160" s="6"/>
      <c r="AK160" s="6"/>
      <c r="AL160" s="6"/>
      <c r="AM160" s="6"/>
      <c r="AN160" s="6"/>
      <c r="AO160" s="6"/>
    </row>
    <row r="161" customFormat="false" ht="13.8" hidden="false" customHeight="false" outlineLevel="0" collapsed="false">
      <c r="A161" s="36"/>
      <c r="B161" s="36" t="s">
        <v>203</v>
      </c>
      <c r="C161" s="36" t="n">
        <v>1645</v>
      </c>
      <c r="D161" s="36" t="n">
        <v>2002</v>
      </c>
      <c r="E161" s="36" t="n">
        <v>1947</v>
      </c>
      <c r="F161" s="36" t="n">
        <v>1295</v>
      </c>
      <c r="G161" s="36" t="n">
        <v>1417</v>
      </c>
      <c r="H161" s="36" t="n">
        <v>1978</v>
      </c>
      <c r="I161" s="36" t="n">
        <v>2512</v>
      </c>
      <c r="J161" s="36" t="n">
        <v>2795</v>
      </c>
      <c r="K161" s="36" t="n">
        <v>3327</v>
      </c>
      <c r="L161" s="36"/>
      <c r="M161" s="32"/>
      <c r="N161" s="32"/>
      <c r="O161" s="32"/>
      <c r="P161" s="32"/>
      <c r="Q161" s="32"/>
      <c r="R161" s="32"/>
      <c r="S161" s="23"/>
      <c r="W161" s="6"/>
      <c r="X161" s="6"/>
      <c r="Y161" s="6"/>
      <c r="Z161" s="6"/>
      <c r="AA161" s="6"/>
      <c r="AB161" s="6"/>
      <c r="AC161" s="6"/>
      <c r="AD161" s="6"/>
      <c r="AE161" s="6"/>
      <c r="AF161" s="6"/>
      <c r="AG161" s="6"/>
      <c r="AH161" s="6"/>
      <c r="AI161" s="6"/>
      <c r="AJ161" s="6"/>
      <c r="AK161" s="6"/>
      <c r="AL161" s="6"/>
      <c r="AM161" s="6"/>
      <c r="AN161" s="6"/>
      <c r="AO161" s="6"/>
      <c r="AP161" s="6"/>
      <c r="AQ161" s="6"/>
    </row>
    <row r="162" s="38" customFormat="true" ht="13.8" hidden="false" customHeight="false" outlineLevel="0" collapsed="false">
      <c r="A162" s="36"/>
      <c r="B162" s="36" t="s">
        <v>204</v>
      </c>
      <c r="C162" s="36" t="n">
        <v>1157</v>
      </c>
      <c r="D162" s="36" t="n">
        <v>1721</v>
      </c>
      <c r="E162" s="36" t="n">
        <v>2148</v>
      </c>
      <c r="F162" s="36" t="n">
        <v>2086</v>
      </c>
      <c r="G162" s="36" t="n">
        <v>3213</v>
      </c>
      <c r="H162" s="36" t="n">
        <v>6944</v>
      </c>
      <c r="I162" s="36" t="n">
        <v>9904</v>
      </c>
      <c r="J162" s="36" t="n">
        <v>12529</v>
      </c>
      <c r="K162" s="36" t="n">
        <v>16364</v>
      </c>
      <c r="L162" s="36"/>
      <c r="M162" s="37"/>
      <c r="N162" s="37"/>
      <c r="O162" s="37"/>
      <c r="P162" s="23"/>
      <c r="Q162" s="23"/>
      <c r="R162" s="23"/>
      <c r="S162" s="6"/>
      <c r="T162" s="1"/>
      <c r="U162" s="1"/>
      <c r="V162" s="1"/>
      <c r="W162" s="6"/>
      <c r="X162" s="6"/>
      <c r="Y162" s="6"/>
      <c r="Z162" s="6"/>
      <c r="AA162" s="6"/>
      <c r="AB162" s="6"/>
      <c r="AC162" s="6"/>
      <c r="AD162" s="6"/>
      <c r="AE162" s="6"/>
      <c r="AF162" s="6"/>
      <c r="AG162" s="6"/>
      <c r="AH162" s="6"/>
      <c r="AI162" s="6"/>
      <c r="AJ162" s="6"/>
      <c r="AK162" s="6"/>
      <c r="AL162" s="6"/>
      <c r="AM162" s="6"/>
      <c r="AN162" s="6"/>
      <c r="AO162" s="6"/>
      <c r="AP162" s="6"/>
      <c r="AQ162" s="6"/>
    </row>
    <row r="163" s="38" customFormat="true" ht="13.8" hidden="false" customHeight="false" outlineLevel="0" collapsed="false">
      <c r="A163" s="36"/>
      <c r="B163" s="36" t="s">
        <v>205</v>
      </c>
      <c r="C163" s="36" t="n">
        <v>763</v>
      </c>
      <c r="D163" s="36" t="n">
        <v>1026</v>
      </c>
      <c r="E163" s="36" t="n">
        <v>1247</v>
      </c>
      <c r="F163" s="36" t="n">
        <v>1147</v>
      </c>
      <c r="G163" s="36" t="n">
        <v>2731</v>
      </c>
      <c r="H163" s="36" t="n">
        <v>3481</v>
      </c>
      <c r="I163" s="36" t="n">
        <v>4429</v>
      </c>
      <c r="J163" s="36" t="n">
        <v>5036</v>
      </c>
      <c r="K163" s="36" t="n">
        <v>5857</v>
      </c>
      <c r="L163" s="36"/>
      <c r="M163" s="36"/>
      <c r="N163" s="36"/>
      <c r="O163" s="36"/>
      <c r="P163" s="6"/>
      <c r="Q163" s="6"/>
      <c r="R163" s="6"/>
      <c r="S163" s="6"/>
      <c r="T163" s="1"/>
      <c r="U163" s="1"/>
      <c r="V163" s="1"/>
      <c r="W163" s="6"/>
      <c r="X163" s="6"/>
      <c r="Y163" s="6"/>
      <c r="Z163" s="6"/>
      <c r="AA163" s="6"/>
      <c r="AB163" s="6"/>
      <c r="AC163" s="6"/>
      <c r="AD163" s="6"/>
      <c r="AE163" s="6"/>
      <c r="AF163" s="6"/>
      <c r="AG163" s="6"/>
      <c r="AH163" s="6"/>
      <c r="AI163" s="6"/>
      <c r="AJ163" s="6"/>
      <c r="AK163" s="6"/>
      <c r="AL163" s="6"/>
      <c r="AM163" s="6"/>
      <c r="AN163" s="6"/>
      <c r="AO163" s="6"/>
      <c r="AP163" s="6"/>
      <c r="AQ163" s="6"/>
    </row>
    <row r="164" s="38" customFormat="true" ht="10.5" hidden="false" customHeight="true" outlineLevel="0" collapsed="false">
      <c r="B164" s="38" t="s">
        <v>206</v>
      </c>
      <c r="D164" s="38" t="n">
        <f aca="false">D160/C160-1</f>
        <v>0.49324479047401</v>
      </c>
      <c r="E164" s="38" t="n">
        <f aca="false">E160/D160-1</f>
        <v>0.350253028676583</v>
      </c>
      <c r="F164" s="38" t="n">
        <f aca="false">F160/E160-1</f>
        <v>-0.249176604202158</v>
      </c>
      <c r="G164" s="38" t="n">
        <f aca="false">G160/F160-1</f>
        <v>0.526849190742702</v>
      </c>
      <c r="H164" s="38" t="n">
        <f aca="false">H160/G160-1</f>
        <v>0.929264909847434</v>
      </c>
      <c r="I164" s="38" t="n">
        <f aca="false">I160/H160-1</f>
        <v>0.0493991989319091</v>
      </c>
      <c r="J164" s="38" t="n">
        <f aca="false">J160/I159-1</f>
        <v>10.7058823529412</v>
      </c>
      <c r="K164" s="38" t="n">
        <f aca="false">K160/J160-1</f>
        <v>0.117731514716439</v>
      </c>
      <c r="L164" s="38" t="n">
        <f aca="false">L160/K160-1</f>
        <v>-1</v>
      </c>
    </row>
    <row r="165" s="38" customFormat="true" ht="10.5" hidden="false" customHeight="true" outlineLevel="0" collapsed="false">
      <c r="B165" s="38" t="s">
        <v>207</v>
      </c>
      <c r="D165" s="38" t="n">
        <f aca="false">D161/C161-1</f>
        <v>0.217021276595745</v>
      </c>
      <c r="E165" s="38" t="n">
        <f aca="false">E161/D161-1</f>
        <v>-0.0274725274725275</v>
      </c>
      <c r="F165" s="38" t="n">
        <f aca="false">F161/E161-1</f>
        <v>-0.33487416538264</v>
      </c>
      <c r="G165" s="38" t="n">
        <f aca="false">G161/F161-1</f>
        <v>0.0942084942084942</v>
      </c>
      <c r="H165" s="38" t="n">
        <f aca="false">H161/G161-1</f>
        <v>0.39590684544813</v>
      </c>
      <c r="I165" s="38" t="n">
        <f aca="false">I161/H161-1</f>
        <v>0.269969666329626</v>
      </c>
      <c r="J165" s="38" t="n">
        <f aca="false">J161/I160-1</f>
        <v>-0.86323155216285</v>
      </c>
      <c r="K165" s="38" t="n">
        <f aca="false">K161/J161-1</f>
        <v>0.190339892665474</v>
      </c>
      <c r="L165" s="38" t="n">
        <f aca="false">L161/K161-1</f>
        <v>-1</v>
      </c>
    </row>
    <row r="166" customFormat="false" ht="10.5" hidden="false" customHeight="true" outlineLevel="0" collapsed="false">
      <c r="A166" s="38"/>
      <c r="B166" s="38" t="s">
        <v>208</v>
      </c>
      <c r="C166" s="38"/>
      <c r="D166" s="38" t="n">
        <f aca="false">D162/C162-1</f>
        <v>0.487467588591184</v>
      </c>
      <c r="E166" s="38" t="n">
        <f aca="false">E162/D162-1</f>
        <v>0.248111563044741</v>
      </c>
      <c r="F166" s="38" t="n">
        <f aca="false">F162/E162-1</f>
        <v>-0.0288640595903166</v>
      </c>
      <c r="G166" s="38" t="n">
        <f aca="false">G162/F162-1</f>
        <v>0.540268456375839</v>
      </c>
      <c r="H166" s="38" t="n">
        <f aca="false">H162/G162-1</f>
        <v>1.16122004357299</v>
      </c>
      <c r="I166" s="38" t="n">
        <f aca="false">I162/H162-1</f>
        <v>0.426267281105991</v>
      </c>
      <c r="J166" s="38" t="n">
        <f aca="false">J162/I161-1</f>
        <v>3.98765923566879</v>
      </c>
      <c r="K166" s="38" t="n">
        <f aca="false">K162/J162-1</f>
        <v>0.306089871498124</v>
      </c>
      <c r="L166" s="38" t="n">
        <f aca="false">L162/K162-1</f>
        <v>-1</v>
      </c>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row>
    <row r="167" customFormat="false" ht="10.5" hidden="false" customHeight="true" outlineLevel="0" collapsed="false">
      <c r="A167" s="38"/>
      <c r="B167" s="38" t="s">
        <v>209</v>
      </c>
      <c r="C167" s="38"/>
      <c r="D167" s="38" t="n">
        <f aca="false">D163/C163-1</f>
        <v>0.344692005242464</v>
      </c>
      <c r="E167" s="38" t="n">
        <f aca="false">E163/D163-1</f>
        <v>0.215399610136452</v>
      </c>
      <c r="F167" s="38" t="n">
        <f aca="false">F163/E163-1</f>
        <v>-0.0801924619085807</v>
      </c>
      <c r="G167" s="38" t="n">
        <f aca="false">G163/F163-1</f>
        <v>1.38099389712293</v>
      </c>
      <c r="H167" s="38" t="n">
        <f aca="false">H163/G163-1</f>
        <v>0.27462467960454</v>
      </c>
      <c r="I167" s="38" t="n">
        <f aca="false">I163/H163-1</f>
        <v>0.272335535765585</v>
      </c>
      <c r="J167" s="38" t="n">
        <f aca="false">J163/I162-1</f>
        <v>-0.491518578352181</v>
      </c>
      <c r="K167" s="38" t="n">
        <f aca="false">K163/J163-1</f>
        <v>0.163026211278793</v>
      </c>
      <c r="L167" s="38" t="n">
        <f aca="false">L163/K163-1</f>
        <v>-1</v>
      </c>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row>
    <row r="168" s="25" customFormat="true" ht="13.8" hidden="false" customHeight="false" outlineLevel="0" collapsed="false">
      <c r="A168" s="1"/>
      <c r="B168" s="1"/>
      <c r="C168" s="1"/>
      <c r="D168" s="1"/>
      <c r="E168" s="1"/>
      <c r="F168" s="39" t="s">
        <v>210</v>
      </c>
      <c r="G168" s="1"/>
      <c r="H168" s="36"/>
      <c r="I168" s="36"/>
      <c r="J168" s="40"/>
      <c r="K168" s="40"/>
      <c r="L168" s="40"/>
      <c r="M168" s="41"/>
      <c r="N168" s="41"/>
      <c r="O168" s="41"/>
      <c r="P168" s="23"/>
      <c r="Q168" s="23"/>
      <c r="R168" s="23"/>
      <c r="S168" s="23"/>
      <c r="T168" s="6"/>
      <c r="U168" s="6"/>
      <c r="V168" s="6"/>
      <c r="W168" s="1"/>
      <c r="X168" s="1"/>
      <c r="Y168" s="1"/>
      <c r="Z168" s="1"/>
      <c r="AA168" s="1"/>
      <c r="AB168" s="1"/>
      <c r="AC168" s="1"/>
      <c r="AD168" s="1"/>
      <c r="AE168" s="1"/>
      <c r="AF168" s="1"/>
      <c r="AG168" s="1"/>
      <c r="AH168" s="1"/>
      <c r="AI168" s="1"/>
      <c r="AJ168" s="1"/>
      <c r="AK168" s="1"/>
      <c r="AL168" s="1"/>
      <c r="AM168" s="1"/>
      <c r="AN168" s="1"/>
      <c r="AO168" s="1"/>
      <c r="AP168" s="23"/>
      <c r="AQ168" s="23"/>
    </row>
    <row r="169" customFormat="false" ht="13.8" hidden="false" customHeight="false" outlineLevel="0" collapsed="false">
      <c r="H169" s="40"/>
      <c r="I169" s="40"/>
      <c r="J169" s="36"/>
      <c r="M169" s="41"/>
      <c r="N169" s="23"/>
      <c r="O169" s="23"/>
      <c r="P169" s="23"/>
      <c r="Q169" s="23"/>
      <c r="R169" s="23"/>
      <c r="S169" s="23"/>
      <c r="T169" s="6"/>
      <c r="U169" s="6"/>
      <c r="V169" s="6"/>
    </row>
    <row r="170" customFormat="false" ht="12.8" hidden="false" customHeight="false" outlineLevel="0" collapsed="false">
      <c r="A170" s="25"/>
      <c r="B170" s="25"/>
      <c r="C170" s="25"/>
      <c r="D170" s="25"/>
      <c r="E170" s="25"/>
      <c r="F170" s="25"/>
      <c r="G170" s="25"/>
      <c r="H170" s="25" t="s">
        <v>211</v>
      </c>
      <c r="I170" s="42"/>
      <c r="J170" s="42"/>
      <c r="K170" s="25"/>
      <c r="L170" s="25" t="s">
        <v>5</v>
      </c>
      <c r="M170" s="35"/>
      <c r="N170" s="35"/>
      <c r="O170" s="35"/>
      <c r="P170" s="35"/>
      <c r="Q170" s="35"/>
      <c r="R170" s="35"/>
      <c r="S170" s="25"/>
      <c r="T170" s="35"/>
      <c r="U170" s="35"/>
      <c r="V170" s="35"/>
      <c r="W170" s="25"/>
      <c r="X170" s="25"/>
      <c r="Y170" s="25"/>
      <c r="Z170" s="25"/>
      <c r="AA170" s="25"/>
      <c r="AB170" s="25"/>
      <c r="AC170" s="25"/>
      <c r="AD170" s="25"/>
      <c r="AE170" s="25"/>
      <c r="AF170" s="25"/>
      <c r="AG170" s="25"/>
      <c r="AH170" s="25"/>
      <c r="AI170" s="25"/>
      <c r="AJ170" s="25"/>
      <c r="AK170" s="25"/>
      <c r="AL170" s="25"/>
      <c r="AM170" s="25"/>
      <c r="AN170" s="25"/>
      <c r="AO170" s="25"/>
      <c r="AP170" s="25"/>
      <c r="AQ170" s="25"/>
    </row>
    <row r="171" customFormat="false" ht="13.8" hidden="false" customHeight="false" outlineLevel="0" collapsed="false">
      <c r="A171" s="33"/>
      <c r="B171" s="43" t="s">
        <v>202</v>
      </c>
      <c r="C171" s="33"/>
      <c r="D171" s="33"/>
      <c r="E171" s="33"/>
      <c r="F171" s="33"/>
      <c r="G171" s="33"/>
      <c r="H171" s="44" t="n">
        <v>6219</v>
      </c>
      <c r="I171" s="44"/>
      <c r="J171" s="40"/>
      <c r="L171" s="33" t="n">
        <v>7128</v>
      </c>
      <c r="T171" s="23"/>
      <c r="U171" s="23"/>
      <c r="V171" s="23"/>
      <c r="W171" s="33"/>
      <c r="X171" s="33"/>
      <c r="Y171" s="33"/>
      <c r="Z171" s="33"/>
      <c r="AA171" s="33"/>
      <c r="AB171" s="33"/>
      <c r="AC171" s="33"/>
      <c r="AD171" s="33"/>
      <c r="AE171" s="33"/>
      <c r="AF171" s="33"/>
      <c r="AG171" s="33"/>
      <c r="AH171" s="33"/>
      <c r="AI171" s="33"/>
      <c r="AJ171" s="33"/>
      <c r="AK171" s="33"/>
      <c r="AL171" s="33"/>
      <c r="AM171" s="33"/>
      <c r="AN171" s="33"/>
      <c r="AO171" s="33"/>
      <c r="AP171" s="33"/>
      <c r="AQ171" s="33"/>
    </row>
    <row r="172" customFormat="false" ht="13.8" hidden="false" customHeight="false" outlineLevel="0" collapsed="false">
      <c r="A172" s="33"/>
      <c r="B172" s="43" t="s">
        <v>203</v>
      </c>
      <c r="C172" s="33"/>
      <c r="D172" s="33"/>
      <c r="E172" s="33"/>
      <c r="F172" s="33"/>
      <c r="G172" s="33"/>
      <c r="H172" s="44" t="n">
        <v>717</v>
      </c>
      <c r="I172" s="44"/>
      <c r="J172" s="44"/>
      <c r="K172" s="33"/>
      <c r="L172" s="33" t="n">
        <v>978</v>
      </c>
      <c r="T172" s="23"/>
      <c r="U172" s="23"/>
      <c r="V172" s="23"/>
      <c r="W172" s="33"/>
      <c r="X172" s="33"/>
      <c r="Y172" s="33"/>
      <c r="Z172" s="33"/>
      <c r="AA172" s="33"/>
      <c r="AB172" s="33"/>
      <c r="AC172" s="33"/>
      <c r="AD172" s="33"/>
      <c r="AE172" s="33"/>
      <c r="AF172" s="33"/>
      <c r="AG172" s="33"/>
      <c r="AH172" s="33"/>
      <c r="AI172" s="33"/>
      <c r="AJ172" s="33"/>
      <c r="AK172" s="33"/>
      <c r="AL172" s="33"/>
      <c r="AM172" s="33"/>
      <c r="AN172" s="33"/>
      <c r="AO172" s="33"/>
      <c r="AP172" s="33"/>
      <c r="AQ172" s="33"/>
    </row>
    <row r="173" s="38" customFormat="true" ht="13.8" hidden="false" customHeight="false" outlineLevel="0" collapsed="false">
      <c r="A173" s="33"/>
      <c r="B173" s="43" t="s">
        <v>204</v>
      </c>
      <c r="C173" s="33"/>
      <c r="D173" s="33"/>
      <c r="E173" s="33"/>
      <c r="F173" s="33"/>
      <c r="G173" s="33"/>
      <c r="H173" s="33" t="n">
        <v>3321</v>
      </c>
      <c r="I173" s="33"/>
      <c r="J173" s="44"/>
      <c r="K173" s="33"/>
      <c r="L173" s="33" t="n">
        <v>3420</v>
      </c>
      <c r="M173" s="1"/>
      <c r="N173" s="1"/>
      <c r="O173" s="1"/>
      <c r="P173" s="1"/>
      <c r="Q173" s="1"/>
      <c r="R173" s="1"/>
      <c r="S173" s="33"/>
      <c r="T173" s="23"/>
      <c r="U173" s="23"/>
      <c r="V173" s="23"/>
      <c r="W173" s="33"/>
      <c r="X173" s="33"/>
      <c r="Y173" s="33"/>
      <c r="Z173" s="33"/>
      <c r="AA173" s="33"/>
      <c r="AB173" s="33"/>
      <c r="AC173" s="33"/>
      <c r="AD173" s="33"/>
      <c r="AE173" s="33"/>
      <c r="AF173" s="33"/>
      <c r="AG173" s="33"/>
      <c r="AH173" s="33"/>
      <c r="AI173" s="33"/>
      <c r="AJ173" s="33"/>
      <c r="AK173" s="33"/>
      <c r="AL173" s="33"/>
      <c r="AM173" s="33"/>
      <c r="AN173" s="33"/>
      <c r="AO173" s="33"/>
      <c r="AP173" s="33"/>
      <c r="AQ173" s="33"/>
    </row>
    <row r="174" s="38" customFormat="true" ht="13.8" hidden="false" customHeight="false" outlineLevel="0" collapsed="false">
      <c r="A174" s="33"/>
      <c r="B174" s="43" t="s">
        <v>205</v>
      </c>
      <c r="C174" s="33"/>
      <c r="D174" s="33"/>
      <c r="E174" s="33"/>
      <c r="F174" s="33"/>
      <c r="G174" s="33"/>
      <c r="H174" s="33" t="n">
        <v>1276</v>
      </c>
      <c r="I174" s="33"/>
      <c r="J174" s="33"/>
      <c r="K174" s="33"/>
      <c r="L174" s="33" t="n">
        <v>1677</v>
      </c>
      <c r="M174" s="33"/>
      <c r="N174" s="33"/>
      <c r="O174" s="33"/>
      <c r="P174" s="33"/>
      <c r="Q174" s="33"/>
      <c r="R174" s="33"/>
      <c r="S174" s="33"/>
      <c r="T174" s="1"/>
      <c r="U174" s="1"/>
      <c r="V174" s="1"/>
      <c r="W174" s="33"/>
      <c r="X174" s="33"/>
      <c r="Y174" s="33"/>
      <c r="Z174" s="33"/>
      <c r="AA174" s="33"/>
      <c r="AB174" s="33"/>
      <c r="AC174" s="33"/>
      <c r="AD174" s="33"/>
      <c r="AE174" s="33"/>
      <c r="AF174" s="33"/>
      <c r="AG174" s="33"/>
      <c r="AH174" s="33"/>
      <c r="AI174" s="33"/>
      <c r="AJ174" s="33"/>
      <c r="AK174" s="33"/>
      <c r="AL174" s="33"/>
      <c r="AM174" s="33"/>
      <c r="AN174" s="33"/>
      <c r="AO174" s="33"/>
      <c r="AP174" s="33"/>
      <c r="AQ174" s="33"/>
    </row>
    <row r="175" s="38" customFormat="true" ht="10.5" hidden="false" customHeight="true" outlineLevel="0" collapsed="false">
      <c r="L175" s="38" t="n">
        <f aca="false">L171/H171-1</f>
        <v>0.14616497829233</v>
      </c>
    </row>
    <row r="176" s="38" customFormat="true" ht="10.5" hidden="false" customHeight="true" outlineLevel="0" collapsed="false">
      <c r="L176" s="38" t="n">
        <f aca="false">L172/H172-1</f>
        <v>0.364016736401674</v>
      </c>
    </row>
    <row r="177" customFormat="false" ht="10.5" hidden="false" customHeight="true" outlineLevel="0" collapsed="false">
      <c r="A177" s="38"/>
      <c r="B177" s="38"/>
      <c r="C177" s="38"/>
      <c r="D177" s="38"/>
      <c r="E177" s="38"/>
      <c r="F177" s="38"/>
      <c r="G177" s="38"/>
      <c r="H177" s="38"/>
      <c r="I177" s="38"/>
      <c r="J177" s="38"/>
      <c r="K177" s="38"/>
      <c r="L177" s="38" t="n">
        <f aca="false">L173/H173-1</f>
        <v>0.0298102981029811</v>
      </c>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row>
    <row r="178" customFormat="false" ht="10.5" hidden="false" customHeight="true" outlineLevel="0" collapsed="false">
      <c r="A178" s="38"/>
      <c r="B178" s="38"/>
      <c r="C178" s="38"/>
      <c r="D178" s="38"/>
      <c r="E178" s="38"/>
      <c r="F178" s="38"/>
      <c r="G178" s="38"/>
      <c r="H178" s="38"/>
      <c r="I178" s="38"/>
      <c r="J178" s="38"/>
      <c r="K178" s="38"/>
      <c r="L178" s="38" t="n">
        <f aca="false">L174/H174-1</f>
        <v>0.314263322884013</v>
      </c>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row>
    <row r="179" customFormat="false" ht="12.8" hidden="false" customHeight="false" outlineLevel="0" collapsed="false">
      <c r="L179" s="40"/>
      <c r="T179" s="33"/>
      <c r="U179" s="33"/>
      <c r="V179" s="33"/>
    </row>
    <row r="180" customFormat="false" ht="12.8" hidden="false" customHeight="false" outlineLevel="0" collapsed="false">
      <c r="T180" s="33"/>
      <c r="U180" s="33"/>
      <c r="V180" s="33"/>
    </row>
  </sheetData>
  <hyperlinks>
    <hyperlink ref="A31" r:id="rId1" display="investor@uber.com "/>
    <hyperlink ref="N109" r:id="rId2" display="BUILD america 250, no ride-hailing company shall be liable for any harm caused by vehicles or people from the app"/>
  </hyperlink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V230"/>
  <sheetViews>
    <sheetView showFormulas="false" showGridLines="false" showRowColHeaders="true" showZeros="true" rightToLeft="false" tabSelected="true" showOutlineSymbols="true" defaultGridColor="true" view="normal" topLeftCell="A1" colorId="64" zoomScale="55" zoomScaleNormal="55" zoomScalePageLayoutView="100" workbookViewId="0">
      <pane xSplit="1" ySplit="2" topLeftCell="AA136" activePane="bottomRight" state="frozen"/>
      <selection pane="topLeft" activeCell="A1" activeCellId="0" sqref="A1"/>
      <selection pane="topRight" activeCell="AA1" activeCellId="0" sqref="AA1"/>
      <selection pane="bottomLeft" activeCell="A136" activeCellId="0" sqref="A136"/>
      <selection pane="bottomRight" activeCell="AE180" activeCellId="0" sqref="AE180"/>
    </sheetView>
  </sheetViews>
  <sheetFormatPr defaultColWidth="11.53515625" defaultRowHeight="12.8" customHeight="false" zeroHeight="false" outlineLevelRow="0" outlineLevelCol="0"/>
  <cols>
    <col collapsed="false" customWidth="true" hidden="false" outlineLevel="0" max="1" min="1" style="1" width="21.75"/>
    <col collapsed="false" customWidth="false" hidden="false" outlineLevel="0" max="16" min="2" style="1" width="11.53"/>
    <col collapsed="false" customWidth="true" hidden="false" outlineLevel="0" max="18" min="17" style="1" width="12.85"/>
    <col collapsed="false" customWidth="true" hidden="false" outlineLevel="0" max="19" min="19" style="1" width="13.62"/>
    <col collapsed="false" customWidth="false" hidden="false" outlineLevel="0" max="24" min="20" style="1" width="11.53"/>
    <col collapsed="false" customWidth="true" hidden="false" outlineLevel="0" max="25" min="25" style="1" width="10.2"/>
    <col collapsed="false" customWidth="true" hidden="false" outlineLevel="0" max="26" min="26" style="1" width="11.89"/>
    <col collapsed="false" customWidth="false" hidden="false" outlineLevel="0" max="43" min="27" style="1" width="11.53"/>
    <col collapsed="false" customWidth="true" hidden="false" outlineLevel="0" max="44" min="44" style="1" width="14.53"/>
    <col collapsed="false" customWidth="false" hidden="false" outlineLevel="0" max="46" min="45" style="1" width="11.53"/>
    <col collapsed="false" customWidth="true" hidden="false" outlineLevel="0" max="47" min="47" style="1" width="16.23"/>
    <col collapsed="false" customWidth="true" hidden="false" outlineLevel="0" max="49" min="48" style="1" width="11.45"/>
    <col collapsed="false" customWidth="false" hidden="false" outlineLevel="0" max="16384" min="50" style="1" width="11.53"/>
  </cols>
  <sheetData>
    <row r="1" s="47" customFormat="true" ht="15" hidden="false" customHeight="false" outlineLevel="0" collapsed="false">
      <c r="A1" s="29" t="s">
        <v>212</v>
      </c>
      <c r="B1" s="45" t="s">
        <v>213</v>
      </c>
      <c r="C1" s="45" t="s">
        <v>214</v>
      </c>
      <c r="D1" s="45" t="s">
        <v>215</v>
      </c>
      <c r="E1" s="45" t="s">
        <v>216</v>
      </c>
      <c r="F1" s="45" t="s">
        <v>217</v>
      </c>
      <c r="G1" s="45" t="s">
        <v>218</v>
      </c>
      <c r="H1" s="45" t="s">
        <v>219</v>
      </c>
      <c r="I1" s="45" t="s">
        <v>220</v>
      </c>
      <c r="J1" s="45" t="s">
        <v>221</v>
      </c>
      <c r="K1" s="45" t="s">
        <v>222</v>
      </c>
      <c r="L1" s="45" t="s">
        <v>223</v>
      </c>
      <c r="M1" s="45" t="s">
        <v>224</v>
      </c>
      <c r="N1" s="45" t="s">
        <v>225</v>
      </c>
      <c r="O1" s="45" t="s">
        <v>226</v>
      </c>
      <c r="P1" s="45" t="s">
        <v>227</v>
      </c>
      <c r="Q1" s="45" t="s">
        <v>228</v>
      </c>
      <c r="R1" s="45" t="s">
        <v>229</v>
      </c>
      <c r="S1" s="45" t="s">
        <v>230</v>
      </c>
      <c r="T1" s="45" t="s">
        <v>231</v>
      </c>
      <c r="U1" s="45" t="s">
        <v>232</v>
      </c>
      <c r="V1" s="45"/>
      <c r="W1" s="46"/>
      <c r="X1" s="46"/>
      <c r="Y1" s="45" t="s">
        <v>233</v>
      </c>
      <c r="Z1" s="45" t="s">
        <v>234</v>
      </c>
      <c r="AA1" s="45" t="s">
        <v>235</v>
      </c>
      <c r="AB1" s="45" t="s">
        <v>216</v>
      </c>
      <c r="AC1" s="45" t="s">
        <v>220</v>
      </c>
      <c r="AD1" s="45" t="s">
        <v>224</v>
      </c>
      <c r="AE1" s="45" t="s">
        <v>228</v>
      </c>
      <c r="AF1" s="45" t="s">
        <v>232</v>
      </c>
      <c r="AG1" s="45" t="s">
        <v>236</v>
      </c>
      <c r="AH1" s="45" t="s">
        <v>237</v>
      </c>
      <c r="AI1" s="45" t="s">
        <v>238</v>
      </c>
      <c r="AJ1" s="45" t="s">
        <v>239</v>
      </c>
      <c r="AK1" s="45" t="s">
        <v>240</v>
      </c>
      <c r="AL1" s="45" t="s">
        <v>241</v>
      </c>
      <c r="AM1" s="45" t="s">
        <v>242</v>
      </c>
      <c r="AN1" s="45" t="s">
        <v>243</v>
      </c>
      <c r="AO1" s="45" t="s">
        <v>244</v>
      </c>
      <c r="AP1" s="45"/>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T1" s="46"/>
      <c r="CU1" s="46"/>
      <c r="CV1" s="46"/>
      <c r="CW1" s="46"/>
      <c r="CX1" s="46"/>
      <c r="CY1" s="46"/>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c r="ED1" s="46"/>
      <c r="EE1" s="46"/>
      <c r="EF1" s="46"/>
      <c r="EG1" s="46"/>
      <c r="EH1" s="46"/>
      <c r="EI1" s="46"/>
      <c r="EJ1" s="46"/>
      <c r="EK1" s="46"/>
      <c r="EL1" s="46"/>
      <c r="EM1" s="46"/>
      <c r="EN1" s="46"/>
      <c r="EO1" s="46"/>
      <c r="EP1" s="46"/>
      <c r="EQ1" s="46"/>
      <c r="ER1" s="46"/>
      <c r="ES1" s="46"/>
      <c r="ET1" s="46"/>
      <c r="EU1" s="46"/>
      <c r="EV1" s="46"/>
    </row>
    <row r="2" customFormat="false" ht="15" hidden="false" customHeight="false" outlineLevel="0" collapsed="false">
      <c r="A2" s="39" t="s">
        <v>245</v>
      </c>
      <c r="B2" s="47" t="s">
        <v>246</v>
      </c>
      <c r="C2" s="47" t="s">
        <v>247</v>
      </c>
      <c r="D2" s="47" t="s">
        <v>248</v>
      </c>
      <c r="E2" s="47" t="s">
        <v>249</v>
      </c>
      <c r="F2" s="47" t="s">
        <v>250</v>
      </c>
      <c r="G2" s="47" t="s">
        <v>251</v>
      </c>
      <c r="H2" s="47" t="s">
        <v>252</v>
      </c>
      <c r="I2" s="47" t="s">
        <v>253</v>
      </c>
      <c r="J2" s="47" t="s">
        <v>254</v>
      </c>
      <c r="K2" s="47" t="s">
        <v>255</v>
      </c>
      <c r="L2" s="47" t="s">
        <v>256</v>
      </c>
      <c r="M2" s="47" t="s">
        <v>257</v>
      </c>
      <c r="N2" s="47" t="s">
        <v>211</v>
      </c>
      <c r="O2" s="47" t="s">
        <v>258</v>
      </c>
      <c r="P2" s="47" t="s">
        <v>259</v>
      </c>
      <c r="Q2" s="47" t="s">
        <v>260</v>
      </c>
      <c r="R2" s="47" t="s">
        <v>5</v>
      </c>
      <c r="S2" s="47" t="s">
        <v>261</v>
      </c>
      <c r="T2" s="47" t="s">
        <v>262</v>
      </c>
      <c r="U2" s="47" t="s">
        <v>263</v>
      </c>
      <c r="V2" s="47"/>
      <c r="W2" s="47"/>
      <c r="X2" s="47"/>
      <c r="Y2" s="47" t="n">
        <v>2019</v>
      </c>
      <c r="Z2" s="47" t="n">
        <v>2020</v>
      </c>
      <c r="AA2" s="47" t="n">
        <f aca="false">Z2+1</f>
        <v>2021</v>
      </c>
      <c r="AB2" s="47" t="n">
        <f aca="false">AA2+1</f>
        <v>2022</v>
      </c>
      <c r="AC2" s="47" t="n">
        <f aca="false">AB2+1</f>
        <v>2023</v>
      </c>
      <c r="AD2" s="47" t="n">
        <f aca="false">AC2+1</f>
        <v>2024</v>
      </c>
      <c r="AE2" s="47" t="n">
        <f aca="false">AD2+1</f>
        <v>2025</v>
      </c>
      <c r="AF2" s="47" t="n">
        <f aca="false">AE2+1</f>
        <v>2026</v>
      </c>
      <c r="AG2" s="47" t="n">
        <f aca="false">AF2+1</f>
        <v>2027</v>
      </c>
      <c r="AH2" s="47" t="n">
        <f aca="false">AG2+1</f>
        <v>2028</v>
      </c>
      <c r="AI2" s="47" t="n">
        <f aca="false">AH2+1</f>
        <v>2029</v>
      </c>
      <c r="AJ2" s="47" t="n">
        <f aca="false">AI2+1</f>
        <v>2030</v>
      </c>
      <c r="AK2" s="47" t="n">
        <f aca="false">AJ2+1</f>
        <v>2031</v>
      </c>
      <c r="AL2" s="47" t="n">
        <f aca="false">AK2+1</f>
        <v>2032</v>
      </c>
      <c r="AM2" s="47" t="n">
        <f aca="false">AL2+1</f>
        <v>2033</v>
      </c>
      <c r="AN2" s="47" t="n">
        <f aca="false">AM2+1</f>
        <v>2034</v>
      </c>
      <c r="AO2" s="47" t="n">
        <f aca="false">AN2+1</f>
        <v>2035</v>
      </c>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47"/>
      <c r="BW2" s="47"/>
      <c r="BX2" s="47"/>
      <c r="BY2" s="47"/>
      <c r="BZ2" s="47"/>
      <c r="CA2" s="47"/>
      <c r="CB2" s="47"/>
      <c r="CC2" s="47"/>
      <c r="CD2" s="47"/>
      <c r="CE2" s="47"/>
      <c r="CF2" s="47"/>
      <c r="CG2" s="47"/>
      <c r="CH2" s="47"/>
      <c r="CI2" s="47"/>
      <c r="CJ2" s="47"/>
      <c r="CK2" s="47"/>
      <c r="CL2" s="47"/>
      <c r="CM2" s="47"/>
      <c r="CN2" s="47"/>
      <c r="CO2" s="47"/>
      <c r="CP2" s="47"/>
      <c r="CQ2" s="47"/>
      <c r="CR2" s="47"/>
      <c r="CS2" s="47"/>
      <c r="CT2" s="47"/>
      <c r="CU2" s="47"/>
      <c r="CV2" s="47"/>
      <c r="CW2" s="47"/>
      <c r="CX2" s="47"/>
      <c r="CY2" s="47"/>
      <c r="CZ2" s="47"/>
      <c r="DA2" s="47"/>
      <c r="DB2" s="47"/>
      <c r="DC2" s="47"/>
      <c r="DD2" s="47"/>
      <c r="DE2" s="47"/>
      <c r="DF2" s="47"/>
      <c r="DG2" s="47"/>
      <c r="DH2" s="47"/>
      <c r="DI2" s="47"/>
      <c r="DJ2" s="47"/>
      <c r="DK2" s="47"/>
      <c r="DL2" s="47"/>
      <c r="DM2" s="47"/>
      <c r="DN2" s="47"/>
      <c r="DO2" s="47"/>
      <c r="DP2" s="47"/>
      <c r="DQ2" s="47"/>
      <c r="DR2" s="47"/>
      <c r="DS2" s="47"/>
      <c r="DT2" s="47"/>
      <c r="DU2" s="47"/>
      <c r="DV2" s="47"/>
      <c r="DW2" s="47"/>
      <c r="DX2" s="47"/>
      <c r="DY2" s="47"/>
      <c r="DZ2" s="47"/>
      <c r="EA2" s="47"/>
      <c r="EB2" s="47"/>
      <c r="EC2" s="47"/>
      <c r="ED2" s="47"/>
      <c r="EE2" s="47"/>
      <c r="EF2" s="47"/>
      <c r="EG2" s="47"/>
      <c r="EH2" s="47"/>
      <c r="EI2" s="47"/>
      <c r="EJ2" s="47"/>
      <c r="EK2" s="47"/>
      <c r="EL2" s="47"/>
      <c r="EM2" s="47"/>
      <c r="EN2" s="47"/>
      <c r="EO2" s="47"/>
      <c r="EP2" s="47"/>
      <c r="EQ2" s="47"/>
      <c r="ER2" s="47"/>
      <c r="ES2" s="47"/>
      <c r="ET2" s="47"/>
      <c r="EU2" s="47"/>
      <c r="EV2" s="46"/>
    </row>
    <row r="3" customFormat="false" ht="12.8" hidden="false" customHeight="false" outlineLevel="0" collapsed="false">
      <c r="A3" s="48" t="s">
        <v>264</v>
      </c>
      <c r="B3" s="49" t="n">
        <v>30.9</v>
      </c>
      <c r="C3" s="49" t="n">
        <v>32.6</v>
      </c>
      <c r="D3" s="49" t="n">
        <v>33.5</v>
      </c>
      <c r="E3" s="49" t="n">
        <v>33.6</v>
      </c>
      <c r="F3" s="49" t="n">
        <v>33.3</v>
      </c>
      <c r="G3" s="49" t="n">
        <v>34.9</v>
      </c>
      <c r="H3" s="49" t="n">
        <v>36</v>
      </c>
      <c r="I3" s="49" t="n">
        <v>37.7</v>
      </c>
      <c r="J3" s="49" t="n">
        <v>38.5</v>
      </c>
      <c r="K3" s="49" t="n">
        <v>40.9</v>
      </c>
      <c r="L3" s="49" t="n">
        <v>41.9</v>
      </c>
      <c r="M3" s="49" t="n">
        <v>43.9</v>
      </c>
      <c r="N3" s="49" t="n">
        <v>44.5</v>
      </c>
      <c r="O3" s="49" t="n">
        <v>46.2</v>
      </c>
      <c r="P3" s="49" t="n">
        <v>47.7</v>
      </c>
      <c r="Q3" s="49" t="n">
        <v>50.5</v>
      </c>
      <c r="R3" s="49" t="n">
        <v>51.6</v>
      </c>
      <c r="S3" s="49"/>
      <c r="T3" s="49"/>
      <c r="U3" s="49"/>
      <c r="V3" s="49"/>
      <c r="W3" s="49"/>
      <c r="X3" s="49"/>
      <c r="Y3" s="49"/>
      <c r="Z3" s="49" t="n">
        <v>27.7</v>
      </c>
      <c r="AA3" s="49" t="n">
        <v>28.1</v>
      </c>
      <c r="AB3" s="49" t="n">
        <v>32.7</v>
      </c>
      <c r="AC3" s="49" t="n">
        <v>35.5</v>
      </c>
      <c r="AD3" s="49" t="n">
        <v>41.3</v>
      </c>
      <c r="AE3" s="49" t="n">
        <v>50.5</v>
      </c>
      <c r="AF3" s="49"/>
      <c r="AG3" s="49"/>
      <c r="AH3" s="49"/>
      <c r="AI3" s="49"/>
      <c r="AJ3" s="49"/>
      <c r="AK3" s="49"/>
      <c r="AL3" s="49"/>
      <c r="AM3" s="49"/>
      <c r="AN3" s="49"/>
      <c r="AO3" s="49"/>
      <c r="AP3" s="49"/>
      <c r="AQ3" s="49"/>
      <c r="AR3" s="49"/>
      <c r="AS3" s="49"/>
      <c r="AT3" s="49"/>
      <c r="AU3" s="49"/>
      <c r="AV3" s="49"/>
      <c r="AW3" s="49"/>
      <c r="AX3" s="49"/>
      <c r="AY3" s="49"/>
      <c r="AZ3" s="49"/>
      <c r="BA3" s="49"/>
      <c r="BB3" s="49"/>
      <c r="BC3" s="49"/>
      <c r="BD3" s="49"/>
      <c r="BE3" s="49"/>
      <c r="BF3" s="49"/>
      <c r="BG3" s="49"/>
      <c r="BH3" s="49"/>
      <c r="BI3" s="49"/>
      <c r="BJ3" s="49"/>
      <c r="BK3" s="49"/>
      <c r="BL3" s="49"/>
      <c r="BM3" s="49"/>
      <c r="BN3" s="49"/>
      <c r="BO3" s="49"/>
      <c r="BP3" s="49"/>
      <c r="BQ3" s="49"/>
      <c r="BR3" s="49"/>
      <c r="BS3" s="49"/>
      <c r="BT3" s="49"/>
      <c r="BU3" s="49"/>
      <c r="BV3" s="49"/>
      <c r="BW3" s="49"/>
      <c r="BX3" s="49"/>
      <c r="BY3" s="49"/>
      <c r="BZ3" s="49"/>
      <c r="CA3" s="49"/>
      <c r="CB3" s="49"/>
      <c r="CC3" s="49"/>
      <c r="CD3" s="49"/>
      <c r="CE3" s="49"/>
      <c r="CF3" s="49"/>
      <c r="CG3" s="49"/>
      <c r="CH3" s="49"/>
      <c r="CI3" s="49"/>
      <c r="CJ3" s="49"/>
      <c r="CK3" s="49"/>
      <c r="CL3" s="49"/>
      <c r="CM3" s="49"/>
      <c r="CN3" s="49"/>
      <c r="CO3" s="49"/>
      <c r="CP3" s="49"/>
      <c r="CQ3" s="49"/>
      <c r="CR3" s="49"/>
      <c r="CS3" s="49"/>
      <c r="CT3" s="49"/>
      <c r="CU3" s="49"/>
      <c r="CV3" s="49"/>
      <c r="CW3" s="49"/>
      <c r="CX3" s="49"/>
      <c r="CY3" s="49"/>
      <c r="CZ3" s="49"/>
      <c r="DA3" s="49"/>
      <c r="DB3" s="49"/>
      <c r="DC3" s="49"/>
      <c r="DD3" s="49"/>
      <c r="DE3" s="49"/>
      <c r="DF3" s="49"/>
      <c r="DG3" s="49"/>
      <c r="DH3" s="49"/>
      <c r="DI3" s="49"/>
      <c r="DJ3" s="49"/>
      <c r="DK3" s="49"/>
      <c r="DL3" s="49"/>
      <c r="DM3" s="49"/>
      <c r="DN3" s="49"/>
      <c r="DO3" s="49"/>
      <c r="DP3" s="49"/>
      <c r="DQ3" s="49"/>
      <c r="DR3" s="49"/>
      <c r="DS3" s="49"/>
      <c r="DT3" s="49"/>
      <c r="DU3" s="49"/>
      <c r="DV3" s="49"/>
      <c r="DW3" s="49"/>
      <c r="DX3" s="49"/>
      <c r="DY3" s="49"/>
      <c r="DZ3" s="49"/>
      <c r="EA3" s="49"/>
      <c r="EB3" s="49"/>
      <c r="EC3" s="49"/>
      <c r="ED3" s="49"/>
      <c r="EE3" s="49"/>
      <c r="EF3" s="49"/>
      <c r="EG3" s="49"/>
      <c r="EH3" s="49"/>
      <c r="EI3" s="49"/>
      <c r="EJ3" s="49"/>
      <c r="EK3" s="49"/>
      <c r="EL3" s="49"/>
      <c r="EM3" s="49"/>
      <c r="EN3" s="49"/>
      <c r="EO3" s="49"/>
      <c r="EP3" s="49"/>
      <c r="EQ3" s="49"/>
      <c r="ER3" s="49"/>
      <c r="ES3" s="49"/>
      <c r="ET3" s="49"/>
      <c r="EU3" s="49"/>
    </row>
    <row r="4" s="50" customFormat="true" ht="10.5" hidden="false" customHeight="true" outlineLevel="0" collapsed="false">
      <c r="A4" s="50" t="s">
        <v>265</v>
      </c>
      <c r="F4" s="50" t="n">
        <f aca="false">F3/B3-1</f>
        <v>0.0776699029126213</v>
      </c>
      <c r="G4" s="50" t="n">
        <f aca="false">G3/C3-1</f>
        <v>0.0705521472392636</v>
      </c>
      <c r="H4" s="50" t="n">
        <f aca="false">H3/D3-1</f>
        <v>0.0746268656716418</v>
      </c>
      <c r="I4" s="50" t="n">
        <f aca="false">I3/E3-1</f>
        <v>0.12202380952381</v>
      </c>
      <c r="J4" s="50" t="n">
        <f aca="false">J3/F3-1</f>
        <v>0.156156156156156</v>
      </c>
      <c r="K4" s="50" t="n">
        <f aca="false">K3/G3-1</f>
        <v>0.171919770773639</v>
      </c>
      <c r="L4" s="50" t="n">
        <f aca="false">L3/H3-1</f>
        <v>0.163888888888889</v>
      </c>
      <c r="M4" s="50" t="n">
        <f aca="false">M3/I3-1</f>
        <v>0.164456233421751</v>
      </c>
      <c r="N4" s="50" t="n">
        <f aca="false">N3/J3-1</f>
        <v>0.155844155844156</v>
      </c>
      <c r="O4" s="50" t="n">
        <f aca="false">O3/K3-1</f>
        <v>0.12958435207824</v>
      </c>
      <c r="P4" s="50" t="n">
        <f aca="false">P3/L3-1</f>
        <v>0.138424821002387</v>
      </c>
      <c r="Q4" s="50" t="n">
        <f aca="false">Q3/M3-1</f>
        <v>0.150341685649203</v>
      </c>
      <c r="R4" s="50" t="n">
        <f aca="false">R3/N3-1</f>
        <v>0.159550561797753</v>
      </c>
      <c r="AA4" s="50" t="n">
        <f aca="false">+AA3/Z3-1</f>
        <v>0.0144404332129964</v>
      </c>
      <c r="AB4" s="50" t="n">
        <f aca="false">+AB3/AA3-1</f>
        <v>0.163701067615659</v>
      </c>
      <c r="AC4" s="50" t="n">
        <f aca="false">+AC3/AB3-1</f>
        <v>0.0856269113149846</v>
      </c>
      <c r="AD4" s="50" t="n">
        <f aca="false">+AD3/AC3-1</f>
        <v>0.163380281690141</v>
      </c>
      <c r="AE4" s="50" t="n">
        <f aca="false">+AE3/AD3-1</f>
        <v>0.222760290556901</v>
      </c>
      <c r="EV4" s="38"/>
    </row>
    <row r="5" s="53" customFormat="true" ht="12.8" hidden="false" customHeight="false" outlineLevel="0" collapsed="false">
      <c r="A5" s="51" t="s">
        <v>266</v>
      </c>
      <c r="B5" s="52" t="s">
        <v>267</v>
      </c>
      <c r="C5" s="52" t="s">
        <v>267</v>
      </c>
      <c r="D5" s="52" t="s">
        <v>267</v>
      </c>
      <c r="E5" s="52" t="n">
        <v>0</v>
      </c>
      <c r="F5" s="53" t="n">
        <v>3600</v>
      </c>
      <c r="G5" s="53" t="n">
        <v>3939</v>
      </c>
      <c r="H5" s="53" t="n">
        <v>4063</v>
      </c>
      <c r="I5" s="53" t="n">
        <f aca="false">+AC5-F5-G5-H5</f>
        <v>4183</v>
      </c>
      <c r="J5" s="53" t="n">
        <v>4242</v>
      </c>
      <c r="K5" s="53" t="n">
        <v>4434</v>
      </c>
      <c r="L5" s="53" t="n">
        <v>4659</v>
      </c>
      <c r="M5" s="53" t="n">
        <v>5028</v>
      </c>
      <c r="N5" s="53" t="n">
        <v>4932</v>
      </c>
      <c r="O5" s="53" t="n">
        <v>5354</v>
      </c>
      <c r="P5" s="53" t="n">
        <v>5774</v>
      </c>
      <c r="Q5" s="53" t="n">
        <v>6077</v>
      </c>
      <c r="R5" s="53" t="n">
        <v>6131</v>
      </c>
      <c r="Y5" s="52" t="s">
        <v>267</v>
      </c>
      <c r="Z5" s="52" t="s">
        <v>267</v>
      </c>
      <c r="AA5" s="52" t="s">
        <v>267</v>
      </c>
      <c r="AB5" s="53" t="n">
        <v>15592</v>
      </c>
      <c r="AC5" s="53" t="n">
        <v>15785</v>
      </c>
      <c r="AD5" s="53" t="n">
        <v>18364</v>
      </c>
      <c r="AE5" s="53" t="n">
        <v>22138</v>
      </c>
      <c r="EV5" s="33"/>
    </row>
    <row r="6" s="38" customFormat="true" ht="10.5" hidden="false" customHeight="true" outlineLevel="0" collapsed="false">
      <c r="A6" s="50" t="s">
        <v>265</v>
      </c>
      <c r="B6" s="54"/>
      <c r="C6" s="54"/>
      <c r="D6" s="54"/>
      <c r="E6" s="54"/>
      <c r="F6" s="50"/>
      <c r="G6" s="50"/>
      <c r="H6" s="50"/>
      <c r="I6" s="50"/>
      <c r="J6" s="50" t="n">
        <f aca="false">J5/F5-1</f>
        <v>0.178333333333333</v>
      </c>
      <c r="K6" s="50" t="n">
        <f aca="false">K5/G5-1</f>
        <v>0.125666412795126</v>
      </c>
      <c r="L6" s="50" t="n">
        <f aca="false">L5/H5-1</f>
        <v>0.146689638198376</v>
      </c>
      <c r="M6" s="50" t="n">
        <f aca="false">M5/I5-1</f>
        <v>0.2020081281377</v>
      </c>
      <c r="N6" s="50" t="n">
        <f aca="false">N5/J5-1</f>
        <v>0.162659123055163</v>
      </c>
      <c r="O6" s="50" t="n">
        <f aca="false">O5/K5-1</f>
        <v>0.207487595850248</v>
      </c>
      <c r="P6" s="50" t="n">
        <f aca="false">P5/L5-1</f>
        <v>0.239321742863275</v>
      </c>
      <c r="Q6" s="50" t="n">
        <f aca="false">Q5/M5-1</f>
        <v>0.208631662688942</v>
      </c>
      <c r="R6" s="50" t="n">
        <f aca="false">R5/N5-1</f>
        <v>0.243106244931062</v>
      </c>
      <c r="S6" s="50"/>
      <c r="T6" s="50"/>
      <c r="U6" s="50"/>
      <c r="V6" s="50"/>
      <c r="W6" s="50"/>
      <c r="X6" s="50"/>
      <c r="Y6" s="50"/>
      <c r="Z6" s="50"/>
      <c r="AA6" s="50"/>
      <c r="AB6" s="50"/>
      <c r="AC6" s="50" t="n">
        <f aca="false">+AC5/AB5-1</f>
        <v>0.0123781426372498</v>
      </c>
      <c r="AD6" s="50" t="n">
        <f aca="false">+AD5/AC5-1</f>
        <v>0.16338295850491</v>
      </c>
      <c r="AE6" s="50" t="n">
        <f aca="false">+AE5/AD5-1</f>
        <v>0.205510781964714</v>
      </c>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0"/>
      <c r="EC6" s="50"/>
      <c r="ED6" s="50"/>
      <c r="EE6" s="50"/>
      <c r="EF6" s="50"/>
      <c r="EG6" s="50"/>
      <c r="EH6" s="50"/>
      <c r="EI6" s="50"/>
      <c r="EJ6" s="50"/>
      <c r="EK6" s="50"/>
      <c r="EL6" s="50"/>
      <c r="EM6" s="50"/>
      <c r="EN6" s="50"/>
      <c r="EO6" s="50"/>
      <c r="EP6" s="50"/>
      <c r="EQ6" s="50"/>
      <c r="ER6" s="50"/>
      <c r="ES6" s="50"/>
      <c r="ET6" s="50"/>
      <c r="EU6" s="50"/>
    </row>
    <row r="7" customFormat="false" ht="12.8" hidden="false" customHeight="false" outlineLevel="0" collapsed="false">
      <c r="A7" s="5"/>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row>
    <row r="8" s="55" customFormat="true" ht="12.8" hidden="false" customHeight="false" outlineLevel="0" collapsed="false">
      <c r="A8" s="5" t="s">
        <v>268</v>
      </c>
      <c r="B8" s="4" t="n">
        <v>404</v>
      </c>
      <c r="C8" s="4" t="n">
        <v>426</v>
      </c>
      <c r="D8" s="4" t="n">
        <v>439</v>
      </c>
      <c r="E8" s="4" t="n">
        <v>467</v>
      </c>
      <c r="F8" s="4" t="n">
        <v>512</v>
      </c>
      <c r="G8" s="4" t="n">
        <v>532</v>
      </c>
      <c r="H8" s="4" t="n">
        <v>543</v>
      </c>
      <c r="I8" s="4" t="n">
        <v>574</v>
      </c>
      <c r="J8" s="4" t="n">
        <v>620</v>
      </c>
      <c r="K8" s="4" t="n">
        <v>635</v>
      </c>
      <c r="L8" s="4" t="n">
        <v>643</v>
      </c>
      <c r="M8" s="4" t="n">
        <v>685</v>
      </c>
      <c r="N8" s="4" t="n">
        <v>732</v>
      </c>
      <c r="O8" s="4" t="n">
        <v>761</v>
      </c>
      <c r="P8" s="4" t="n">
        <v>776</v>
      </c>
      <c r="Q8" s="4" t="n">
        <v>903</v>
      </c>
      <c r="R8" s="4" t="n">
        <v>933</v>
      </c>
      <c r="S8" s="4"/>
      <c r="T8" s="4"/>
      <c r="U8" s="4"/>
      <c r="V8" s="4"/>
      <c r="W8" s="4"/>
      <c r="X8" s="4"/>
      <c r="Y8" s="4" t="n">
        <v>263</v>
      </c>
      <c r="Z8" s="4" t="n">
        <v>816</v>
      </c>
      <c r="AA8" s="4" t="n">
        <v>1390</v>
      </c>
      <c r="AB8" s="4" t="n">
        <v>1736</v>
      </c>
      <c r="AC8" s="4" t="n">
        <v>2161</v>
      </c>
      <c r="AD8" s="4" t="n">
        <v>2583</v>
      </c>
      <c r="AE8" s="4" t="n">
        <v>3172</v>
      </c>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1"/>
    </row>
    <row r="9" s="50" customFormat="true" ht="10.5" hidden="false" customHeight="true" outlineLevel="0" collapsed="false">
      <c r="A9" s="50" t="s">
        <v>265</v>
      </c>
      <c r="B9" s="54"/>
      <c r="C9" s="54"/>
      <c r="D9" s="54"/>
      <c r="E9" s="54"/>
      <c r="F9" s="50" t="n">
        <f aca="false">F8/B8-1</f>
        <v>0.267326732673267</v>
      </c>
      <c r="G9" s="50" t="n">
        <f aca="false">G8/C8-1</f>
        <v>0.248826291079812</v>
      </c>
      <c r="H9" s="50" t="n">
        <f aca="false">H8/D8-1</f>
        <v>0.236902050113895</v>
      </c>
      <c r="I9" s="50" t="n">
        <f aca="false">I8/E8-1</f>
        <v>0.229122055674518</v>
      </c>
      <c r="J9" s="50" t="n">
        <f aca="false">J8/F8-1</f>
        <v>0.2109375</v>
      </c>
      <c r="K9" s="50" t="n">
        <f aca="false">K8/G8-1</f>
        <v>0.193609022556391</v>
      </c>
      <c r="L9" s="50" t="n">
        <f aca="false">L8/H8-1</f>
        <v>0.184162062615101</v>
      </c>
      <c r="M9" s="50" t="n">
        <f aca="false">M8/I8-1</f>
        <v>0.193379790940767</v>
      </c>
      <c r="N9" s="50" t="n">
        <f aca="false">N8/J8-1</f>
        <v>0.180645161290323</v>
      </c>
      <c r="O9" s="50" t="n">
        <f aca="false">O8/K8-1</f>
        <v>0.198425196850394</v>
      </c>
      <c r="P9" s="50" t="n">
        <f aca="false">P8/L8-1</f>
        <v>0.206842923794712</v>
      </c>
      <c r="Q9" s="50" t="n">
        <f aca="false">Q8/M8-1</f>
        <v>0.318248175182482</v>
      </c>
      <c r="R9" s="50" t="n">
        <f aca="false">R8/N8-1</f>
        <v>0.274590163934426</v>
      </c>
      <c r="Z9" s="50" t="n">
        <f aca="false">+Z8/Y8-1</f>
        <v>2.10266159695818</v>
      </c>
      <c r="AA9" s="50" t="n">
        <f aca="false">+AA8/Z8-1</f>
        <v>0.70343137254902</v>
      </c>
      <c r="AB9" s="50" t="n">
        <f aca="false">+AB8/AA8-1</f>
        <v>0.248920863309352</v>
      </c>
      <c r="AC9" s="50" t="n">
        <f aca="false">+AC8/AB8-1</f>
        <v>0.244815668202765</v>
      </c>
      <c r="AD9" s="50" t="n">
        <f aca="false">+AD8/AC8-1</f>
        <v>0.195279962980102</v>
      </c>
      <c r="AE9" s="50" t="n">
        <f aca="false">+AE8/AD8-1</f>
        <v>0.228029423151374</v>
      </c>
      <c r="EV9" s="38"/>
    </row>
    <row r="10" s="53" customFormat="true" ht="12.8" hidden="false" customHeight="false" outlineLevel="0" collapsed="false">
      <c r="A10" s="51" t="s">
        <v>269</v>
      </c>
      <c r="B10" s="51"/>
      <c r="C10" s="51"/>
      <c r="D10" s="51"/>
      <c r="E10" s="51"/>
      <c r="R10" s="56"/>
      <c r="EV10" s="33"/>
    </row>
    <row r="11" s="33" customFormat="true" ht="12.8" hidden="false" customHeight="false" outlineLevel="0" collapsed="false">
      <c r="A11" s="51" t="s">
        <v>270</v>
      </c>
      <c r="B11" s="51"/>
      <c r="C11" s="51"/>
      <c r="D11" s="51"/>
      <c r="E11" s="51"/>
      <c r="F11" s="53"/>
      <c r="G11" s="53"/>
      <c r="H11" s="53"/>
      <c r="I11" s="53"/>
      <c r="J11" s="53"/>
      <c r="K11" s="53"/>
      <c r="L11" s="53"/>
      <c r="M11" s="53"/>
      <c r="N11" s="53"/>
      <c r="O11" s="53"/>
      <c r="P11" s="53" t="n">
        <v>3500</v>
      </c>
      <c r="Q11" s="53" t="n">
        <v>5300</v>
      </c>
      <c r="R11" s="53" t="n">
        <v>6200</v>
      </c>
      <c r="S11" s="53"/>
      <c r="T11" s="53"/>
      <c r="U11" s="53"/>
      <c r="V11" s="53"/>
      <c r="W11" s="53"/>
      <c r="X11" s="53"/>
      <c r="Y11" s="53"/>
      <c r="Z11" s="53"/>
      <c r="AA11" s="53"/>
      <c r="AB11" s="53"/>
      <c r="AC11" s="53" t="n">
        <v>0.8</v>
      </c>
      <c r="AD11" s="53" t="n">
        <v>4</v>
      </c>
      <c r="AE11" s="53" t="n">
        <v>15</v>
      </c>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c r="BU11" s="53"/>
      <c r="BV11" s="53"/>
      <c r="BW11" s="53"/>
      <c r="BX11" s="53"/>
      <c r="BY11" s="53"/>
      <c r="BZ11" s="53"/>
      <c r="CA11" s="53"/>
      <c r="CB11" s="53"/>
      <c r="CC11" s="53"/>
      <c r="CD11" s="53"/>
      <c r="CE11" s="53"/>
      <c r="CF11" s="53"/>
      <c r="CG11" s="53"/>
      <c r="CH11" s="53"/>
      <c r="CI11" s="53"/>
      <c r="CJ11" s="53"/>
      <c r="CK11" s="53"/>
      <c r="CL11" s="53"/>
      <c r="CM11" s="53"/>
      <c r="CN11" s="53"/>
      <c r="CO11" s="53"/>
      <c r="CP11" s="53"/>
      <c r="CQ11" s="53"/>
      <c r="CR11" s="53"/>
      <c r="CS11" s="53"/>
      <c r="CT11" s="53"/>
      <c r="CU11" s="53"/>
      <c r="CV11" s="53"/>
      <c r="CW11" s="53"/>
      <c r="CX11" s="53"/>
      <c r="CY11" s="53"/>
      <c r="CZ11" s="53"/>
      <c r="DA11" s="53"/>
      <c r="DB11" s="53"/>
      <c r="DC11" s="53"/>
      <c r="DD11" s="53"/>
      <c r="DE11" s="53"/>
      <c r="DF11" s="53"/>
      <c r="DG11" s="53"/>
      <c r="DH11" s="53"/>
      <c r="DI11" s="53"/>
      <c r="DJ11" s="53"/>
      <c r="DK11" s="53"/>
      <c r="DL11" s="53"/>
      <c r="DM11" s="53"/>
      <c r="DN11" s="53"/>
      <c r="DO11" s="53"/>
      <c r="DP11" s="53"/>
      <c r="DQ11" s="53"/>
      <c r="DR11" s="53"/>
      <c r="DS11" s="53"/>
      <c r="DT11" s="53"/>
      <c r="DU11" s="53"/>
      <c r="DV11" s="53"/>
      <c r="DW11" s="53"/>
      <c r="DX11" s="53"/>
      <c r="DY11" s="53"/>
      <c r="DZ11" s="53"/>
      <c r="EA11" s="53"/>
      <c r="EB11" s="53"/>
      <c r="EC11" s="53"/>
      <c r="ED11" s="53"/>
      <c r="EE11" s="53"/>
      <c r="EF11" s="53"/>
      <c r="EG11" s="53"/>
      <c r="EH11" s="53"/>
      <c r="EI11" s="53"/>
      <c r="EJ11" s="53"/>
      <c r="EK11" s="53"/>
      <c r="EL11" s="53"/>
      <c r="EM11" s="53"/>
      <c r="EN11" s="53"/>
      <c r="EO11" s="53"/>
      <c r="EP11" s="53"/>
      <c r="EQ11" s="53"/>
      <c r="ER11" s="53"/>
      <c r="ES11" s="53"/>
      <c r="ET11" s="53"/>
      <c r="EU11" s="53"/>
    </row>
    <row r="12" s="33" customFormat="true" ht="12.8" hidden="false" customHeight="false" outlineLevel="0" collapsed="false">
      <c r="A12" s="51" t="s">
        <v>271</v>
      </c>
      <c r="B12" s="51"/>
      <c r="C12" s="51"/>
      <c r="D12" s="51"/>
      <c r="E12" s="51"/>
      <c r="F12" s="53" t="n">
        <v>660</v>
      </c>
      <c r="G12" s="53" t="n">
        <v>714</v>
      </c>
      <c r="H12" s="53" t="n">
        <v>821</v>
      </c>
      <c r="I12" s="53" t="n">
        <v>839</v>
      </c>
      <c r="J12" s="53" t="n">
        <v>826</v>
      </c>
      <c r="K12" s="53" t="n">
        <v>899</v>
      </c>
      <c r="L12" s="53" t="n">
        <v>988</v>
      </c>
      <c r="M12" s="53" t="n">
        <v>1100</v>
      </c>
      <c r="N12" s="53" t="n">
        <v>1400</v>
      </c>
      <c r="O12" s="53" t="n">
        <v>2200</v>
      </c>
      <c r="P12" s="53" t="n">
        <v>3100</v>
      </c>
      <c r="Q12" s="53" t="n">
        <v>3400</v>
      </c>
      <c r="R12" s="53" t="n">
        <v>3200</v>
      </c>
      <c r="S12" s="53"/>
      <c r="T12" s="53"/>
      <c r="U12" s="53"/>
      <c r="V12" s="53"/>
      <c r="W12" s="53"/>
      <c r="X12" s="53"/>
      <c r="Y12" s="53"/>
      <c r="Z12" s="53"/>
      <c r="AA12" s="53"/>
      <c r="AB12" s="53" t="n">
        <v>1.5</v>
      </c>
      <c r="AC12" s="53" t="n">
        <v>3.03</v>
      </c>
      <c r="AD12" s="53" t="n">
        <v>3.813</v>
      </c>
      <c r="AE12" s="53" t="n">
        <v>10.1</v>
      </c>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53"/>
      <c r="BK12" s="53"/>
      <c r="BL12" s="53"/>
      <c r="BM12" s="53"/>
      <c r="BN12" s="53"/>
      <c r="BO12" s="53"/>
      <c r="BP12" s="53"/>
      <c r="BQ12" s="53"/>
      <c r="BR12" s="53"/>
      <c r="BS12" s="53"/>
      <c r="BT12" s="53"/>
      <c r="BU12" s="53"/>
      <c r="BV12" s="53"/>
      <c r="BW12" s="53"/>
      <c r="BX12" s="53"/>
      <c r="BY12" s="53"/>
      <c r="BZ12" s="53"/>
      <c r="CA12" s="53"/>
      <c r="CB12" s="53"/>
      <c r="CC12" s="53"/>
      <c r="CD12" s="53"/>
      <c r="CE12" s="53"/>
      <c r="CF12" s="53"/>
      <c r="CG12" s="53"/>
      <c r="CH12" s="53"/>
      <c r="CI12" s="53"/>
      <c r="CJ12" s="53"/>
      <c r="CK12" s="53"/>
      <c r="CL12" s="53"/>
      <c r="CM12" s="53"/>
      <c r="CN12" s="53"/>
      <c r="CO12" s="53"/>
      <c r="CP12" s="53"/>
      <c r="CQ12" s="53"/>
      <c r="CR12" s="53"/>
      <c r="CS12" s="53"/>
      <c r="CT12" s="53"/>
      <c r="CU12" s="53"/>
      <c r="CV12" s="53"/>
      <c r="CW12" s="53"/>
      <c r="CX12" s="53"/>
      <c r="CY12" s="53"/>
      <c r="CZ12" s="53"/>
      <c r="DA12" s="53"/>
      <c r="DB12" s="53"/>
      <c r="DC12" s="53"/>
      <c r="DD12" s="53"/>
      <c r="DE12" s="53"/>
      <c r="DF12" s="53"/>
      <c r="DG12" s="53"/>
      <c r="DH12" s="53"/>
      <c r="DI12" s="53"/>
      <c r="DJ12" s="53"/>
      <c r="DK12" s="53"/>
      <c r="DL12" s="53"/>
      <c r="DM12" s="53"/>
      <c r="DN12" s="53"/>
      <c r="DO12" s="53"/>
      <c r="DP12" s="53"/>
      <c r="DQ12" s="53"/>
      <c r="DR12" s="53"/>
      <c r="DS12" s="53"/>
      <c r="DT12" s="53"/>
      <c r="DU12" s="53"/>
      <c r="DV12" s="53"/>
      <c r="DW12" s="53"/>
      <c r="DX12" s="53"/>
      <c r="DY12" s="53"/>
      <c r="DZ12" s="53"/>
      <c r="EA12" s="53"/>
      <c r="EB12" s="53"/>
      <c r="EC12" s="53"/>
      <c r="ED12" s="53"/>
      <c r="EE12" s="53"/>
      <c r="EF12" s="53"/>
      <c r="EG12" s="53"/>
      <c r="EH12" s="53"/>
      <c r="EI12" s="53"/>
      <c r="EJ12" s="53"/>
      <c r="EK12" s="53"/>
      <c r="EL12" s="53"/>
      <c r="EM12" s="53"/>
      <c r="EN12" s="53"/>
      <c r="EO12" s="53"/>
      <c r="EP12" s="53"/>
      <c r="EQ12" s="53"/>
      <c r="ER12" s="53"/>
      <c r="ES12" s="53"/>
      <c r="ET12" s="53"/>
      <c r="EU12" s="53"/>
    </row>
    <row r="13" s="59" customFormat="true" ht="10.5" hidden="false" customHeight="true" outlineLevel="0" collapsed="false">
      <c r="A13" s="57"/>
      <c r="B13" s="57"/>
      <c r="C13" s="57"/>
      <c r="D13" s="57"/>
      <c r="E13" s="57"/>
      <c r="F13" s="58"/>
      <c r="G13" s="58"/>
      <c r="H13" s="58"/>
      <c r="I13" s="58"/>
      <c r="J13" s="50" t="n">
        <f aca="false">J12/F12-1</f>
        <v>0.251515151515151</v>
      </c>
      <c r="K13" s="50" t="n">
        <f aca="false">K12/G12-1</f>
        <v>0.259103641456583</v>
      </c>
      <c r="L13" s="50" t="n">
        <f aca="false">L12/H12-1</f>
        <v>0.203410475030451</v>
      </c>
      <c r="M13" s="50" t="n">
        <f aca="false">M12/I12-1</f>
        <v>0.311084624553039</v>
      </c>
      <c r="N13" s="50" t="n">
        <f aca="false">N12/J12-1</f>
        <v>0.694915254237288</v>
      </c>
      <c r="O13" s="50" t="n">
        <f aca="false">O12/K12-1</f>
        <v>1.44716351501669</v>
      </c>
      <c r="P13" s="50" t="n">
        <f aca="false">P12/L12-1</f>
        <v>2.13765182186235</v>
      </c>
      <c r="Q13" s="50" t="n">
        <f aca="false">Q12/M12-1</f>
        <v>2.09090909090909</v>
      </c>
      <c r="R13" s="50" t="n">
        <f aca="false">R12/N12-1</f>
        <v>1.28571428571429</v>
      </c>
      <c r="S13" s="58"/>
      <c r="T13" s="58"/>
      <c r="U13" s="58"/>
      <c r="V13" s="58"/>
      <c r="W13" s="58"/>
      <c r="X13" s="58"/>
      <c r="Y13" s="58"/>
      <c r="Z13" s="58"/>
      <c r="AA13" s="58"/>
      <c r="AB13" s="58"/>
      <c r="AC13" s="50" t="n">
        <f aca="false">AC12/AB12-1</f>
        <v>1.02</v>
      </c>
      <c r="AD13" s="50" t="n">
        <f aca="false">AD12/AC12-1</f>
        <v>0.258415841584159</v>
      </c>
      <c r="AE13" s="50" t="n">
        <f aca="false">AE12/AD12-1</f>
        <v>1.6488329399423</v>
      </c>
      <c r="AF13" s="58"/>
      <c r="AG13" s="58"/>
      <c r="AH13" s="58"/>
      <c r="AI13" s="58"/>
      <c r="AJ13" s="58"/>
      <c r="AK13" s="58"/>
      <c r="AL13" s="58"/>
      <c r="AM13" s="58"/>
      <c r="AN13" s="58"/>
      <c r="AO13" s="58"/>
      <c r="AP13" s="58"/>
      <c r="AQ13" s="58"/>
      <c r="AR13" s="58"/>
      <c r="AS13" s="58"/>
      <c r="AT13" s="58"/>
      <c r="AU13" s="58"/>
      <c r="AV13" s="58"/>
      <c r="AW13" s="58"/>
      <c r="AX13" s="58"/>
      <c r="AY13" s="58"/>
      <c r="AZ13" s="58"/>
      <c r="BA13" s="58"/>
      <c r="BB13" s="58"/>
      <c r="BC13" s="58"/>
      <c r="BD13" s="58"/>
      <c r="BE13" s="58"/>
      <c r="BF13" s="58"/>
      <c r="BG13" s="58"/>
      <c r="BH13" s="58"/>
      <c r="BI13" s="58"/>
      <c r="BJ13" s="58"/>
      <c r="BK13" s="58"/>
      <c r="BL13" s="58"/>
      <c r="BM13" s="58"/>
      <c r="BN13" s="58"/>
      <c r="BO13" s="58"/>
      <c r="BP13" s="58"/>
      <c r="BQ13" s="58"/>
      <c r="BR13" s="58"/>
      <c r="BS13" s="58"/>
      <c r="BT13" s="58"/>
      <c r="BU13" s="58"/>
      <c r="BV13" s="58"/>
      <c r="BW13" s="58"/>
      <c r="BX13" s="58"/>
      <c r="BY13" s="58"/>
      <c r="BZ13" s="58"/>
      <c r="CA13" s="58"/>
      <c r="CB13" s="58"/>
      <c r="CC13" s="58"/>
      <c r="CD13" s="58"/>
      <c r="CE13" s="58"/>
      <c r="CF13" s="58"/>
      <c r="CG13" s="58"/>
      <c r="CH13" s="58"/>
      <c r="CI13" s="58"/>
      <c r="CJ13" s="58"/>
      <c r="CK13" s="58"/>
      <c r="CL13" s="58"/>
      <c r="CM13" s="58"/>
      <c r="CN13" s="58"/>
      <c r="CO13" s="58"/>
      <c r="CP13" s="58"/>
      <c r="CQ13" s="58"/>
      <c r="CR13" s="58"/>
      <c r="CS13" s="58"/>
      <c r="CT13" s="58"/>
      <c r="CU13" s="58"/>
      <c r="CV13" s="58"/>
      <c r="CW13" s="58"/>
      <c r="CX13" s="58"/>
      <c r="CY13" s="58"/>
      <c r="CZ13" s="58"/>
      <c r="DA13" s="58"/>
      <c r="DB13" s="58"/>
      <c r="DC13" s="58"/>
      <c r="DD13" s="58"/>
      <c r="DE13" s="58"/>
      <c r="DF13" s="58"/>
      <c r="DG13" s="58"/>
      <c r="DH13" s="58"/>
      <c r="DI13" s="58"/>
      <c r="DJ13" s="58"/>
      <c r="DK13" s="58"/>
      <c r="DL13" s="58"/>
      <c r="DM13" s="58"/>
      <c r="DN13" s="58"/>
      <c r="DO13" s="58"/>
      <c r="DP13" s="58"/>
      <c r="DQ13" s="58"/>
      <c r="DR13" s="58"/>
      <c r="DS13" s="58"/>
      <c r="DT13" s="58"/>
      <c r="DU13" s="58"/>
      <c r="DV13" s="58"/>
      <c r="DW13" s="58"/>
      <c r="DX13" s="58"/>
      <c r="DY13" s="58"/>
      <c r="DZ13" s="58"/>
      <c r="EA13" s="58"/>
      <c r="EB13" s="58"/>
      <c r="EC13" s="58"/>
      <c r="ED13" s="58"/>
      <c r="EE13" s="58"/>
      <c r="EF13" s="58"/>
      <c r="EG13" s="58"/>
      <c r="EH13" s="58"/>
      <c r="EI13" s="58"/>
      <c r="EJ13" s="58"/>
      <c r="EK13" s="58"/>
      <c r="EL13" s="58"/>
      <c r="EM13" s="58"/>
      <c r="EN13" s="58"/>
      <c r="EO13" s="58"/>
      <c r="EP13" s="58"/>
      <c r="EQ13" s="58"/>
      <c r="ER13" s="58"/>
      <c r="ES13" s="58"/>
      <c r="ET13" s="58"/>
      <c r="EU13" s="58"/>
    </row>
    <row r="14" s="61" customFormat="true" ht="12.8" hidden="false" customHeight="false" outlineLevel="0" collapsed="false">
      <c r="A14" s="51" t="s">
        <v>272</v>
      </c>
      <c r="B14" s="51"/>
      <c r="C14" s="51"/>
      <c r="D14" s="51"/>
      <c r="E14" s="51"/>
      <c r="F14" s="53"/>
      <c r="G14" s="53"/>
      <c r="H14" s="53"/>
      <c r="I14" s="53"/>
      <c r="J14" s="60"/>
      <c r="K14" s="60"/>
      <c r="L14" s="60"/>
      <c r="M14" s="60"/>
      <c r="N14" s="60"/>
      <c r="O14" s="60"/>
      <c r="P14" s="60"/>
      <c r="Q14" s="60"/>
      <c r="R14" s="60"/>
      <c r="S14" s="53"/>
      <c r="T14" s="53"/>
      <c r="U14" s="53"/>
      <c r="V14" s="53"/>
      <c r="W14" s="53"/>
      <c r="X14" s="53"/>
      <c r="Y14" s="53"/>
      <c r="Z14" s="53"/>
      <c r="AA14" s="53"/>
      <c r="AB14" s="53"/>
      <c r="AC14" s="60"/>
      <c r="AD14" s="60"/>
      <c r="AE14" s="60"/>
      <c r="AF14" s="53"/>
      <c r="AG14" s="53"/>
      <c r="AH14" s="53"/>
      <c r="AI14" s="53"/>
      <c r="AJ14" s="53"/>
      <c r="AK14" s="53"/>
      <c r="AL14" s="53"/>
      <c r="AM14" s="53"/>
      <c r="AN14" s="53"/>
      <c r="AO14" s="53"/>
      <c r="AP14" s="53"/>
      <c r="AQ14" s="53"/>
      <c r="AR14" s="53"/>
      <c r="AS14" s="53"/>
      <c r="AT14" s="53"/>
      <c r="AU14" s="53"/>
      <c r="AV14" s="53"/>
      <c r="AW14" s="53"/>
      <c r="AX14" s="53"/>
      <c r="AY14" s="53"/>
      <c r="AZ14" s="53"/>
      <c r="BA14" s="53"/>
      <c r="BB14" s="53"/>
      <c r="BC14" s="53"/>
      <c r="BD14" s="53"/>
      <c r="BE14" s="53"/>
      <c r="BF14" s="53"/>
      <c r="BG14" s="53"/>
      <c r="BH14" s="53"/>
      <c r="BI14" s="53"/>
      <c r="BJ14" s="53"/>
      <c r="BK14" s="53"/>
      <c r="BL14" s="53"/>
      <c r="BM14" s="53"/>
      <c r="BN14" s="53"/>
      <c r="BO14" s="53"/>
      <c r="BP14" s="53"/>
      <c r="BQ14" s="53"/>
      <c r="BR14" s="53"/>
      <c r="BS14" s="53"/>
      <c r="BT14" s="53"/>
      <c r="BU14" s="53"/>
      <c r="BV14" s="53"/>
      <c r="BW14" s="53"/>
      <c r="BX14" s="53"/>
      <c r="BY14" s="53"/>
      <c r="BZ14" s="53"/>
      <c r="CA14" s="53"/>
      <c r="CB14" s="53"/>
      <c r="CC14" s="53"/>
      <c r="CD14" s="53"/>
      <c r="CE14" s="53"/>
      <c r="CF14" s="53"/>
      <c r="CG14" s="53"/>
      <c r="CH14" s="53"/>
      <c r="CI14" s="53"/>
      <c r="CJ14" s="53"/>
      <c r="CK14" s="53"/>
      <c r="CL14" s="53"/>
      <c r="CM14" s="53"/>
      <c r="CN14" s="53"/>
      <c r="CO14" s="53"/>
      <c r="CP14" s="53"/>
      <c r="CQ14" s="53"/>
      <c r="CR14" s="53"/>
      <c r="CS14" s="53"/>
      <c r="CT14" s="53"/>
      <c r="CU14" s="53"/>
      <c r="CV14" s="53"/>
      <c r="CW14" s="53"/>
      <c r="CX14" s="53"/>
      <c r="CY14" s="53"/>
      <c r="CZ14" s="53"/>
      <c r="DA14" s="53"/>
      <c r="DB14" s="53"/>
      <c r="DC14" s="53"/>
      <c r="DD14" s="53"/>
      <c r="DE14" s="53"/>
      <c r="DF14" s="53"/>
      <c r="DG14" s="53"/>
      <c r="DH14" s="53"/>
      <c r="DI14" s="53"/>
      <c r="DJ14" s="53"/>
      <c r="DK14" s="53"/>
      <c r="DL14" s="53"/>
      <c r="DM14" s="53"/>
      <c r="DN14" s="53"/>
      <c r="DO14" s="53"/>
      <c r="DP14" s="53"/>
      <c r="DQ14" s="53"/>
      <c r="DR14" s="53"/>
      <c r="DS14" s="53"/>
      <c r="DT14" s="53"/>
      <c r="DU14" s="53"/>
      <c r="DV14" s="53"/>
      <c r="DW14" s="53"/>
      <c r="DX14" s="53"/>
      <c r="DY14" s="53"/>
      <c r="DZ14" s="53"/>
      <c r="EA14" s="53"/>
      <c r="EB14" s="53"/>
      <c r="EC14" s="53"/>
      <c r="ED14" s="53"/>
      <c r="EE14" s="53"/>
      <c r="EF14" s="53"/>
      <c r="EG14" s="53"/>
      <c r="EH14" s="53"/>
      <c r="EI14" s="53"/>
      <c r="EJ14" s="53"/>
      <c r="EK14" s="53"/>
      <c r="EL14" s="53"/>
      <c r="EM14" s="53"/>
      <c r="EN14" s="53"/>
      <c r="EO14" s="53"/>
      <c r="EP14" s="53"/>
      <c r="EQ14" s="53"/>
      <c r="ER14" s="53"/>
      <c r="ES14" s="53"/>
      <c r="ET14" s="53"/>
      <c r="EU14" s="53"/>
      <c r="EV14" s="33"/>
    </row>
    <row r="15" s="61" customFormat="true" ht="12.8" hidden="false" customHeight="false" outlineLevel="0" collapsed="false">
      <c r="A15" s="51" t="s">
        <v>273</v>
      </c>
      <c r="B15" s="51"/>
      <c r="C15" s="51"/>
      <c r="D15" s="51"/>
      <c r="E15" s="51"/>
      <c r="F15" s="53"/>
      <c r="G15" s="53"/>
      <c r="H15" s="53"/>
      <c r="I15" s="53"/>
      <c r="J15" s="60"/>
      <c r="K15" s="60"/>
      <c r="L15" s="60"/>
      <c r="M15" s="60"/>
      <c r="N15" s="60"/>
      <c r="O15" s="60"/>
      <c r="P15" s="60"/>
      <c r="Q15" s="60"/>
      <c r="R15" s="60"/>
      <c r="S15" s="53" t="n">
        <v>10000</v>
      </c>
      <c r="T15" s="53"/>
      <c r="U15" s="53"/>
      <c r="V15" s="53"/>
      <c r="W15" s="53"/>
      <c r="X15" s="53"/>
      <c r="Y15" s="53"/>
      <c r="Z15" s="53"/>
      <c r="AA15" s="53"/>
      <c r="AB15" s="53"/>
      <c r="AC15" s="60"/>
      <c r="AD15" s="60"/>
      <c r="AE15" s="60"/>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c r="BT15" s="53"/>
      <c r="BU15" s="53"/>
      <c r="BV15" s="53"/>
      <c r="BW15" s="53"/>
      <c r="BX15" s="53"/>
      <c r="BY15" s="53"/>
      <c r="BZ15" s="53"/>
      <c r="CA15" s="53"/>
      <c r="CB15" s="53"/>
      <c r="CC15" s="53"/>
      <c r="CD15" s="53"/>
      <c r="CE15" s="53"/>
      <c r="CF15" s="53"/>
      <c r="CG15" s="53"/>
      <c r="CH15" s="53"/>
      <c r="CI15" s="53"/>
      <c r="CJ15" s="53"/>
      <c r="CK15" s="53"/>
      <c r="CL15" s="53"/>
      <c r="CM15" s="53"/>
      <c r="CN15" s="53"/>
      <c r="CO15" s="53"/>
      <c r="CP15" s="53"/>
      <c r="CQ15" s="53"/>
      <c r="CR15" s="53"/>
      <c r="CS15" s="53"/>
      <c r="CT15" s="53"/>
      <c r="CU15" s="53"/>
      <c r="CV15" s="53"/>
      <c r="CW15" s="53"/>
      <c r="CX15" s="53"/>
      <c r="CY15" s="53"/>
      <c r="CZ15" s="53"/>
      <c r="DA15" s="53"/>
      <c r="DB15" s="53"/>
      <c r="DC15" s="53"/>
      <c r="DD15" s="53"/>
      <c r="DE15" s="53"/>
      <c r="DF15" s="53"/>
      <c r="DG15" s="53"/>
      <c r="DH15" s="53"/>
      <c r="DI15" s="53"/>
      <c r="DJ15" s="53"/>
      <c r="DK15" s="53"/>
      <c r="DL15" s="53"/>
      <c r="DM15" s="53"/>
      <c r="DN15" s="53"/>
      <c r="DO15" s="53"/>
      <c r="DP15" s="53"/>
      <c r="DQ15" s="53"/>
      <c r="DR15" s="53"/>
      <c r="DS15" s="53"/>
      <c r="DT15" s="53"/>
      <c r="DU15" s="53"/>
      <c r="DV15" s="53"/>
      <c r="DW15" s="53"/>
      <c r="DX15" s="53"/>
      <c r="DY15" s="53"/>
      <c r="DZ15" s="53"/>
      <c r="EA15" s="53"/>
      <c r="EB15" s="53"/>
      <c r="EC15" s="53"/>
      <c r="ED15" s="53"/>
      <c r="EE15" s="53"/>
      <c r="EF15" s="53"/>
      <c r="EG15" s="53"/>
      <c r="EH15" s="53"/>
      <c r="EI15" s="53"/>
      <c r="EJ15" s="53"/>
      <c r="EK15" s="53"/>
      <c r="EL15" s="53"/>
      <c r="EM15" s="53"/>
      <c r="EN15" s="53"/>
      <c r="EO15" s="53"/>
      <c r="EP15" s="53"/>
      <c r="EQ15" s="53"/>
      <c r="ER15" s="53"/>
      <c r="ES15" s="53"/>
      <c r="ET15" s="53"/>
      <c r="EU15" s="53"/>
      <c r="EV15" s="33"/>
    </row>
    <row r="16" s="62" customFormat="true" ht="12.8" hidden="false" customHeight="false" outlineLevel="0" collapsed="false">
      <c r="A16" s="5"/>
      <c r="B16" s="5"/>
      <c r="C16" s="5"/>
      <c r="D16" s="5"/>
      <c r="E16" s="5"/>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1"/>
    </row>
    <row r="17" s="37" customFormat="true" ht="12.8" hidden="false" customHeight="false" outlineLevel="0" collapsed="false">
      <c r="A17" s="5"/>
      <c r="B17" s="5"/>
      <c r="C17" s="5"/>
      <c r="D17" s="5"/>
      <c r="E17" s="5"/>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1"/>
    </row>
    <row r="18" s="62" customFormat="true" ht="12.8" hidden="false" customHeight="false" outlineLevel="0" collapsed="false">
      <c r="A18" s="63" t="s">
        <v>274</v>
      </c>
      <c r="B18" s="64" t="n">
        <v>139.5</v>
      </c>
      <c r="C18" s="64" t="n">
        <v>152.1</v>
      </c>
      <c r="D18" s="64" t="n">
        <v>155.8</v>
      </c>
      <c r="E18" s="64" t="n">
        <v>151.1</v>
      </c>
      <c r="F18" s="64" t="n">
        <v>153</v>
      </c>
      <c r="G18" s="64" t="n">
        <v>177.9</v>
      </c>
      <c r="H18" s="64" t="n">
        <v>187.4</v>
      </c>
      <c r="I18" s="64" t="n">
        <v>190.8</v>
      </c>
      <c r="J18" s="64" t="n">
        <v>187.7</v>
      </c>
      <c r="K18" s="64" t="n">
        <v>205.3</v>
      </c>
      <c r="L18" s="64" t="n">
        <v>216.7</v>
      </c>
      <c r="M18" s="64" t="n">
        <v>218.5</v>
      </c>
      <c r="N18" s="64" t="n">
        <v>218.4</v>
      </c>
      <c r="O18" s="64" t="n">
        <v>234.8</v>
      </c>
      <c r="P18" s="64" t="n">
        <v>248.8</v>
      </c>
      <c r="Q18" s="64" t="n">
        <v>243.5</v>
      </c>
      <c r="R18" s="64" t="n">
        <v>236.9</v>
      </c>
      <c r="S18" s="64"/>
      <c r="T18" s="64"/>
      <c r="U18" s="64"/>
      <c r="V18" s="64"/>
      <c r="W18" s="64"/>
      <c r="X18" s="64"/>
      <c r="Y18" s="25" t="s">
        <v>267</v>
      </c>
      <c r="Z18" s="25" t="s">
        <v>267</v>
      </c>
      <c r="AA18" s="25" t="s">
        <v>267</v>
      </c>
      <c r="AB18" s="1" t="n">
        <v>598.5</v>
      </c>
      <c r="AC18" s="64" t="n">
        <f aca="false">SUM(F18:I18)</f>
        <v>709.1</v>
      </c>
      <c r="AD18" s="64" t="n">
        <f aca="false">SUM(J18:M18)</f>
        <v>828.2</v>
      </c>
      <c r="AE18" s="64" t="n">
        <f aca="false">SUM(N18:Q18)</f>
        <v>945.5</v>
      </c>
      <c r="AF18" s="64"/>
      <c r="AG18" s="64"/>
      <c r="AH18" s="64"/>
      <c r="AI18" s="64"/>
      <c r="AJ18" s="64"/>
      <c r="AK18" s="64"/>
      <c r="AL18" s="64"/>
      <c r="AM18" s="64"/>
      <c r="AN18" s="64"/>
      <c r="AO18" s="64"/>
      <c r="AP18" s="64"/>
      <c r="AQ18" s="64"/>
      <c r="AR18" s="64"/>
      <c r="AS18" s="64"/>
      <c r="AT18" s="64"/>
      <c r="AU18" s="64"/>
      <c r="AV18" s="64"/>
      <c r="AW18" s="64"/>
      <c r="AX18" s="64"/>
      <c r="AY18" s="64"/>
      <c r="AZ18" s="64"/>
      <c r="BA18" s="64"/>
      <c r="BB18" s="64"/>
      <c r="BC18" s="64"/>
      <c r="BD18" s="64"/>
      <c r="BE18" s="64"/>
      <c r="BF18" s="64"/>
      <c r="BG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c r="CT18" s="64"/>
      <c r="CU18" s="64"/>
      <c r="CV18" s="64"/>
      <c r="CW18" s="64"/>
      <c r="CX18" s="64"/>
      <c r="CY18" s="64"/>
      <c r="CZ18" s="64"/>
      <c r="DA18" s="64"/>
      <c r="DB18" s="64"/>
      <c r="DC18" s="64"/>
      <c r="DD18" s="64"/>
      <c r="DE18" s="64"/>
      <c r="DF18" s="64"/>
      <c r="DG18" s="64"/>
      <c r="DH18" s="64"/>
      <c r="DI18" s="64"/>
      <c r="DJ18" s="64"/>
      <c r="DK18" s="64"/>
      <c r="DL18" s="64"/>
      <c r="DM18" s="64"/>
      <c r="DN18" s="64"/>
      <c r="DO18" s="64"/>
      <c r="DP18" s="64"/>
      <c r="DQ18" s="64"/>
      <c r="DR18" s="64"/>
      <c r="DS18" s="64"/>
      <c r="DT18" s="64"/>
      <c r="DU18" s="64"/>
      <c r="DV18" s="64"/>
      <c r="DW18" s="64"/>
      <c r="DX18" s="64"/>
      <c r="DY18" s="64"/>
      <c r="DZ18" s="64"/>
      <c r="EA18" s="64"/>
      <c r="EB18" s="64"/>
      <c r="EC18" s="64"/>
      <c r="ED18" s="64"/>
      <c r="EE18" s="64"/>
      <c r="EF18" s="64"/>
      <c r="EG18" s="64"/>
      <c r="EH18" s="64"/>
      <c r="EI18" s="64"/>
      <c r="EJ18" s="64"/>
      <c r="EK18" s="64"/>
      <c r="EL18" s="64"/>
      <c r="EM18" s="64"/>
      <c r="EN18" s="64"/>
      <c r="EO18" s="64"/>
      <c r="EP18" s="64"/>
      <c r="EQ18" s="64"/>
      <c r="ER18" s="64"/>
      <c r="ES18" s="64"/>
      <c r="ET18" s="64"/>
      <c r="EU18" s="64"/>
      <c r="EV18" s="1"/>
    </row>
    <row r="19" s="38" customFormat="true" ht="10.5" hidden="false" customHeight="true" outlineLevel="0" collapsed="false">
      <c r="A19" s="50" t="s">
        <v>265</v>
      </c>
      <c r="B19" s="54"/>
      <c r="C19" s="54"/>
      <c r="D19" s="54"/>
      <c r="E19" s="54"/>
      <c r="F19" s="50" t="n">
        <f aca="false">F18/B18-1</f>
        <v>0.096774193548387</v>
      </c>
      <c r="G19" s="50" t="n">
        <f aca="false">G18/C18-1</f>
        <v>0.169625246548323</v>
      </c>
      <c r="H19" s="50" t="n">
        <f aca="false">H18/D18-1</f>
        <v>0.202824133504493</v>
      </c>
      <c r="I19" s="50" t="n">
        <f aca="false">I18/E18-1</f>
        <v>0.262739907346129</v>
      </c>
      <c r="J19" s="50" t="n">
        <f aca="false">J18/F18-1</f>
        <v>0.226797385620915</v>
      </c>
      <c r="K19" s="50" t="n">
        <f aca="false">K18/G18-1</f>
        <v>0.154019111860596</v>
      </c>
      <c r="L19" s="50" t="n">
        <f aca="false">L18/H18-1</f>
        <v>0.156350053361793</v>
      </c>
      <c r="M19" s="50" t="n">
        <f aca="false">M18/I18-1</f>
        <v>0.145178197064989</v>
      </c>
      <c r="N19" s="50" t="n">
        <f aca="false">N18/J18-1</f>
        <v>0.163558870538093</v>
      </c>
      <c r="O19" s="50" t="n">
        <f aca="false">O18/K18-1</f>
        <v>0.143692157817828</v>
      </c>
      <c r="P19" s="50" t="n">
        <f aca="false">P18/L18-1</f>
        <v>0.148131056760499</v>
      </c>
      <c r="Q19" s="50" t="n">
        <f aca="false">Q18/M18-1</f>
        <v>0.11441647597254</v>
      </c>
      <c r="R19" s="50" t="n">
        <f aca="false">R18/N18-1</f>
        <v>0.0847069597069596</v>
      </c>
      <c r="S19" s="50"/>
      <c r="T19" s="50"/>
      <c r="U19" s="50"/>
      <c r="V19" s="50"/>
      <c r="W19" s="50"/>
      <c r="X19" s="50"/>
      <c r="Y19" s="50"/>
      <c r="Z19" s="50"/>
      <c r="AA19" s="50"/>
      <c r="AB19" s="50"/>
      <c r="AC19" s="50" t="n">
        <f aca="false">AC18/AB18-1</f>
        <v>0.184795321637427</v>
      </c>
      <c r="AD19" s="50" t="n">
        <f aca="false">AD18/AC18-1</f>
        <v>0.167959385136088</v>
      </c>
      <c r="AE19" s="50" t="n">
        <f aca="false">AE18/AD18-1</f>
        <v>0.14163245592852</v>
      </c>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0"/>
      <c r="BR19" s="50"/>
      <c r="BS19" s="50"/>
      <c r="BT19" s="50"/>
      <c r="BU19" s="50"/>
      <c r="BV19" s="50"/>
      <c r="BW19" s="50"/>
      <c r="BX19" s="50"/>
      <c r="BY19" s="50"/>
      <c r="BZ19" s="50"/>
      <c r="CA19" s="50"/>
      <c r="CB19" s="50"/>
      <c r="CC19" s="50"/>
      <c r="CD19" s="50"/>
      <c r="CE19" s="50"/>
      <c r="CF19" s="50"/>
      <c r="CG19" s="50"/>
      <c r="CH19" s="50"/>
      <c r="CI19" s="50"/>
      <c r="CJ19" s="50"/>
      <c r="CK19" s="50"/>
      <c r="CL19" s="50"/>
      <c r="CM19" s="50"/>
      <c r="CN19" s="50"/>
      <c r="CO19" s="50"/>
      <c r="CP19" s="50"/>
      <c r="CQ19" s="50"/>
      <c r="CR19" s="50"/>
      <c r="CS19" s="50"/>
      <c r="CT19" s="50"/>
      <c r="CU19" s="50"/>
      <c r="CV19" s="50"/>
      <c r="CW19" s="50"/>
      <c r="CX19" s="50"/>
      <c r="CY19" s="50"/>
      <c r="CZ19" s="50"/>
      <c r="DA19" s="50"/>
      <c r="DB19" s="50"/>
      <c r="DC19" s="50"/>
      <c r="DD19" s="50"/>
      <c r="DE19" s="50"/>
      <c r="DF19" s="50"/>
      <c r="DG19" s="50"/>
      <c r="DH19" s="50"/>
      <c r="DI19" s="50"/>
      <c r="DJ19" s="50"/>
      <c r="DK19" s="50"/>
      <c r="DL19" s="50"/>
      <c r="DM19" s="50"/>
      <c r="DN19" s="50"/>
      <c r="DO19" s="50"/>
      <c r="DP19" s="50"/>
      <c r="DQ19" s="50"/>
      <c r="DR19" s="50"/>
      <c r="DS19" s="50"/>
      <c r="DT19" s="50"/>
      <c r="DU19" s="50"/>
      <c r="DV19" s="50"/>
      <c r="DW19" s="50"/>
      <c r="DX19" s="50"/>
      <c r="DY19" s="50"/>
      <c r="DZ19" s="50"/>
      <c r="EA19" s="50"/>
      <c r="EB19" s="50"/>
      <c r="EC19" s="50"/>
      <c r="ED19" s="50"/>
      <c r="EE19" s="50"/>
      <c r="EF19" s="50"/>
      <c r="EG19" s="50"/>
      <c r="EH19" s="50"/>
      <c r="EI19" s="50"/>
      <c r="EJ19" s="50"/>
      <c r="EK19" s="50"/>
      <c r="EL19" s="50"/>
      <c r="EM19" s="50"/>
      <c r="EN19" s="50"/>
      <c r="EO19" s="50"/>
      <c r="EP19" s="50"/>
      <c r="EQ19" s="50"/>
      <c r="ER19" s="50"/>
      <c r="ES19" s="50"/>
      <c r="ET19" s="50"/>
      <c r="EU19" s="50"/>
    </row>
    <row r="20" customFormat="false" ht="12.8" hidden="false" customHeight="false" outlineLevel="0" collapsed="false">
      <c r="A20" s="65" t="s">
        <v>275</v>
      </c>
      <c r="B20" s="66" t="n">
        <v>2694</v>
      </c>
      <c r="C20" s="66" t="n">
        <v>3093</v>
      </c>
      <c r="D20" s="66" t="n">
        <v>3079</v>
      </c>
      <c r="E20" s="66" t="n">
        <v>3191</v>
      </c>
      <c r="F20" s="66" t="n">
        <v>3051</v>
      </c>
      <c r="G20" s="66" t="n">
        <v>3446</v>
      </c>
      <c r="H20" s="66" t="n">
        <v>3554</v>
      </c>
      <c r="I20" s="66" t="n">
        <v>3724</v>
      </c>
      <c r="J20" s="66" t="n">
        <v>3693</v>
      </c>
      <c r="K20" s="66" t="n">
        <v>4019</v>
      </c>
      <c r="L20" s="66" t="n">
        <v>4108</v>
      </c>
      <c r="M20" s="66" t="n">
        <v>4279</v>
      </c>
      <c r="N20" s="66" t="n">
        <v>4162</v>
      </c>
      <c r="O20" s="66" t="n">
        <v>4490</v>
      </c>
      <c r="P20" s="66" t="n">
        <v>4780</v>
      </c>
      <c r="Q20" s="66" t="n">
        <v>5074</v>
      </c>
      <c r="R20" s="66" t="n">
        <v>4946</v>
      </c>
      <c r="S20" s="66"/>
      <c r="T20" s="66"/>
      <c r="U20" s="66"/>
      <c r="V20" s="66"/>
      <c r="W20" s="66"/>
      <c r="X20" s="66"/>
      <c r="Y20" s="67" t="s">
        <v>267</v>
      </c>
      <c r="Z20" s="67" t="s">
        <v>267</v>
      </c>
      <c r="AA20" s="67" t="s">
        <v>267</v>
      </c>
      <c r="AB20" s="66" t="n">
        <v>12057</v>
      </c>
      <c r="AC20" s="64" t="n">
        <f aca="false">SUM(F20:I20)</f>
        <v>13775</v>
      </c>
      <c r="AD20" s="64" t="n">
        <f aca="false">SUM(J20:M20)</f>
        <v>16099</v>
      </c>
      <c r="AE20" s="64" t="n">
        <f aca="false">SUM(N20:Q20)</f>
        <v>18506</v>
      </c>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X20" s="66"/>
      <c r="BY20" s="66"/>
      <c r="BZ20" s="66"/>
      <c r="CA20" s="66"/>
      <c r="CB20" s="66"/>
      <c r="CC20" s="66"/>
      <c r="CD20" s="66"/>
      <c r="CE20" s="66"/>
      <c r="CF20" s="66"/>
      <c r="CG20" s="66"/>
      <c r="CH20" s="66"/>
      <c r="CI20" s="66"/>
      <c r="CJ20" s="66"/>
      <c r="CK20" s="66"/>
      <c r="CL20" s="66"/>
      <c r="CM20" s="66"/>
      <c r="CN20" s="66"/>
      <c r="CO20" s="66"/>
      <c r="CP20" s="66"/>
      <c r="CQ20" s="66"/>
      <c r="CR20" s="66"/>
      <c r="CS20" s="66"/>
      <c r="CT20" s="66"/>
      <c r="CU20" s="66"/>
      <c r="CV20" s="66"/>
      <c r="CW20" s="66"/>
      <c r="CX20" s="66"/>
      <c r="CY20" s="66"/>
      <c r="CZ20" s="66"/>
      <c r="DA20" s="66"/>
      <c r="DB20" s="66"/>
      <c r="DC20" s="66"/>
      <c r="DD20" s="66"/>
      <c r="DE20" s="66"/>
      <c r="DF20" s="66"/>
      <c r="DG20" s="66"/>
      <c r="DH20" s="66"/>
      <c r="DI20" s="66"/>
      <c r="DJ20" s="66"/>
      <c r="DK20" s="66"/>
      <c r="DL20" s="66"/>
      <c r="DM20" s="66"/>
      <c r="DN20" s="66"/>
      <c r="DO20" s="66"/>
      <c r="DP20" s="66"/>
      <c r="DQ20" s="66"/>
      <c r="DR20" s="66"/>
      <c r="DS20" s="66"/>
      <c r="DT20" s="66"/>
      <c r="DU20" s="66"/>
      <c r="DV20" s="66"/>
      <c r="DW20" s="66"/>
      <c r="DX20" s="66"/>
      <c r="DY20" s="66"/>
      <c r="DZ20" s="66"/>
      <c r="EA20" s="66"/>
      <c r="EB20" s="66"/>
      <c r="EC20" s="66"/>
      <c r="ED20" s="66"/>
      <c r="EE20" s="66"/>
      <c r="EF20" s="66"/>
      <c r="EG20" s="66"/>
      <c r="EH20" s="66"/>
      <c r="EI20" s="66"/>
      <c r="EJ20" s="66"/>
      <c r="EK20" s="66"/>
      <c r="EL20" s="66"/>
      <c r="EM20" s="66"/>
      <c r="EN20" s="66"/>
      <c r="EO20" s="66"/>
      <c r="EP20" s="66"/>
      <c r="EQ20" s="66"/>
      <c r="ER20" s="66"/>
      <c r="ES20" s="66"/>
      <c r="ET20" s="66"/>
      <c r="EU20" s="66"/>
    </row>
    <row r="21" s="38" customFormat="true" ht="10.5" hidden="false" customHeight="true" outlineLevel="0" collapsed="false">
      <c r="A21" s="50" t="s">
        <v>265</v>
      </c>
      <c r="B21" s="54"/>
      <c r="C21" s="54"/>
      <c r="D21" s="54"/>
      <c r="E21" s="54"/>
      <c r="F21" s="50" t="n">
        <f aca="false">F20/B20-1</f>
        <v>0.132516703786192</v>
      </c>
      <c r="G21" s="50" t="n">
        <f aca="false">G20/C20-1</f>
        <v>0.114128677659231</v>
      </c>
      <c r="H21" s="50" t="n">
        <f aca="false">H20/D20-1</f>
        <v>0.154270867164664</v>
      </c>
      <c r="I21" s="50" t="n">
        <f aca="false">I20/E20-1</f>
        <v>0.16703227828267</v>
      </c>
      <c r="J21" s="50" t="n">
        <f aca="false">J20/F20-1</f>
        <v>0.210422812192724</v>
      </c>
      <c r="K21" s="50" t="n">
        <f aca="false">K20/G20-1</f>
        <v>0.166279744631457</v>
      </c>
      <c r="L21" s="50" t="n">
        <f aca="false">L20/H20-1</f>
        <v>0.15588069780529</v>
      </c>
      <c r="M21" s="50" t="n">
        <f aca="false">M20/I20-1</f>
        <v>0.149033297529538</v>
      </c>
      <c r="N21" s="50" t="n">
        <f aca="false">N20/J20-1</f>
        <v>0.126997021391822</v>
      </c>
      <c r="O21" s="50" t="n">
        <f aca="false">O20/K20-1</f>
        <v>0.117193331674546</v>
      </c>
      <c r="P21" s="50" t="n">
        <f aca="false">P20/L20-1</f>
        <v>0.163583252190847</v>
      </c>
      <c r="Q21" s="50" t="n">
        <f aca="false">Q20/M20-1</f>
        <v>0.185791072680533</v>
      </c>
      <c r="R21" s="50" t="n">
        <f aca="false">R20/N20-1</f>
        <v>0.188370975492552</v>
      </c>
      <c r="S21" s="50"/>
      <c r="T21" s="50"/>
      <c r="U21" s="50"/>
      <c r="V21" s="50"/>
      <c r="W21" s="50"/>
      <c r="X21" s="50"/>
      <c r="Y21" s="50"/>
      <c r="Z21" s="50"/>
      <c r="AA21" s="50"/>
      <c r="AB21" s="50"/>
      <c r="AC21" s="50" t="n">
        <f aca="false">AC20/AB20-1</f>
        <v>0.142489839927013</v>
      </c>
      <c r="AD21" s="50" t="n">
        <f aca="false">AD20/AC20-1</f>
        <v>0.168711433756806</v>
      </c>
      <c r="AE21" s="50" t="n">
        <f aca="false">AE20/AD20-1</f>
        <v>0.149512392074042</v>
      </c>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0"/>
      <c r="BR21" s="50"/>
      <c r="BS21" s="50"/>
      <c r="BT21" s="50"/>
      <c r="BU21" s="50"/>
      <c r="BV21" s="50"/>
      <c r="BW21" s="50"/>
      <c r="BX21" s="50"/>
      <c r="BY21" s="50"/>
      <c r="BZ21" s="50"/>
      <c r="CA21" s="50"/>
      <c r="CB21" s="50"/>
      <c r="CC21" s="50"/>
      <c r="CD21" s="50"/>
      <c r="CE21" s="50"/>
      <c r="CF21" s="50"/>
      <c r="CG21" s="50"/>
      <c r="CH21" s="50"/>
      <c r="CI21" s="50"/>
      <c r="CJ21" s="50"/>
      <c r="CK21" s="50"/>
      <c r="CL21" s="50"/>
      <c r="CM21" s="50"/>
      <c r="CN21" s="50"/>
      <c r="CO21" s="50"/>
      <c r="CP21" s="50"/>
      <c r="CQ21" s="50"/>
      <c r="CR21" s="50"/>
      <c r="CS21" s="50"/>
      <c r="CT21" s="50"/>
      <c r="CU21" s="50"/>
      <c r="CV21" s="50"/>
      <c r="CW21" s="50"/>
      <c r="CX21" s="50"/>
      <c r="CY21" s="50"/>
      <c r="CZ21" s="50"/>
      <c r="DA21" s="50"/>
      <c r="DB21" s="50"/>
      <c r="DC21" s="50"/>
      <c r="DD21" s="50"/>
      <c r="DE21" s="50"/>
      <c r="DF21" s="50"/>
      <c r="DG21" s="50"/>
      <c r="DH21" s="50"/>
      <c r="DI21" s="50"/>
      <c r="DJ21" s="50"/>
      <c r="DK21" s="50"/>
      <c r="DL21" s="50"/>
      <c r="DM21" s="50"/>
      <c r="DN21" s="50"/>
      <c r="DO21" s="50"/>
      <c r="DP21" s="50"/>
      <c r="DQ21" s="50"/>
      <c r="DR21" s="50"/>
      <c r="DS21" s="50"/>
      <c r="DT21" s="50"/>
      <c r="DU21" s="50"/>
      <c r="DV21" s="50"/>
      <c r="DW21" s="50"/>
      <c r="DX21" s="50"/>
      <c r="DY21" s="50"/>
      <c r="DZ21" s="50"/>
      <c r="EA21" s="50"/>
      <c r="EB21" s="50"/>
      <c r="EC21" s="50"/>
      <c r="ED21" s="50"/>
      <c r="EE21" s="50"/>
      <c r="EF21" s="50"/>
      <c r="EG21" s="50"/>
      <c r="EH21" s="50"/>
      <c r="EI21" s="50"/>
      <c r="EJ21" s="50"/>
      <c r="EK21" s="50"/>
      <c r="EL21" s="50"/>
      <c r="EM21" s="50"/>
      <c r="EN21" s="50"/>
      <c r="EO21" s="50"/>
      <c r="EP21" s="50"/>
      <c r="EQ21" s="50"/>
      <c r="ER21" s="50"/>
      <c r="ES21" s="50"/>
      <c r="ET21" s="50"/>
      <c r="EU21" s="50"/>
    </row>
    <row r="22" customFormat="false" ht="12.8" hidden="false" customHeight="false" outlineLevel="0" collapsed="false">
      <c r="A22" s="5"/>
      <c r="B22" s="5"/>
      <c r="C22" s="5"/>
      <c r="D22" s="5"/>
      <c r="E22" s="5"/>
      <c r="F22" s="4"/>
      <c r="G22" s="4"/>
      <c r="H22" s="4"/>
      <c r="I22" s="4"/>
      <c r="J22" s="4"/>
      <c r="K22" s="4"/>
      <c r="L22" s="4"/>
      <c r="M22" s="68"/>
      <c r="N22" s="68"/>
      <c r="O22" s="68"/>
      <c r="P22" s="68"/>
      <c r="Q22" s="68"/>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row>
    <row r="23" customFormat="false" ht="12.8" hidden="false" customHeight="false" outlineLevel="0" collapsed="false">
      <c r="A23" s="5"/>
      <c r="B23" s="5"/>
      <c r="C23" s="5"/>
      <c r="D23" s="5"/>
      <c r="E23" s="5"/>
      <c r="F23" s="4"/>
      <c r="G23" s="4"/>
      <c r="H23" s="4"/>
      <c r="I23" s="4"/>
      <c r="J23" s="4"/>
      <c r="K23" s="4"/>
      <c r="L23" s="4"/>
      <c r="M23" s="68"/>
      <c r="N23" s="68"/>
      <c r="O23" s="68"/>
      <c r="P23" s="68"/>
      <c r="Q23" s="68"/>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row>
    <row r="24" customFormat="false" ht="12.8" hidden="false" customHeight="false" outlineLevel="0" collapsed="false">
      <c r="A24" s="69" t="s">
        <v>276</v>
      </c>
      <c r="B24" s="70" t="n">
        <v>4.4</v>
      </c>
      <c r="C24" s="70"/>
      <c r="D24" s="70"/>
      <c r="E24" s="70" t="n">
        <v>5.4</v>
      </c>
      <c r="F24" s="70" t="n">
        <v>5.7</v>
      </c>
      <c r="G24" s="70" t="n">
        <v>6</v>
      </c>
      <c r="H24" s="70" t="n">
        <v>6.5</v>
      </c>
      <c r="I24" s="70" t="n">
        <v>6.8</v>
      </c>
      <c r="J24" s="70" t="n">
        <v>7.1</v>
      </c>
      <c r="K24" s="70" t="n">
        <v>7.4</v>
      </c>
      <c r="L24" s="70" t="n">
        <v>7.8</v>
      </c>
      <c r="M24" s="70" t="n">
        <v>8.15</v>
      </c>
      <c r="N24" s="70" t="n">
        <v>8.5</v>
      </c>
      <c r="O24" s="70" t="n">
        <v>8.8</v>
      </c>
      <c r="P24" s="70" t="n">
        <v>9.4</v>
      </c>
      <c r="Q24" s="70" t="n">
        <v>9.7</v>
      </c>
      <c r="R24" s="70" t="n">
        <v>9.9</v>
      </c>
      <c r="S24" s="70"/>
      <c r="T24" s="70"/>
      <c r="U24" s="70"/>
      <c r="V24" s="70"/>
      <c r="W24" s="70"/>
      <c r="X24" s="70"/>
      <c r="Y24" s="71" t="s">
        <v>267</v>
      </c>
      <c r="Z24" s="70" t="n">
        <v>3.4</v>
      </c>
      <c r="AA24" s="70" t="n">
        <v>4.4</v>
      </c>
      <c r="AB24" s="70" t="n">
        <v>5.4</v>
      </c>
      <c r="AC24" s="70" t="n">
        <v>6.8</v>
      </c>
      <c r="AD24" s="70" t="n">
        <v>8.2</v>
      </c>
      <c r="AE24" s="70" t="n">
        <v>9.7</v>
      </c>
      <c r="AF24" s="70" t="n">
        <f aca="false">+AE24*1.17</f>
        <v>11.349</v>
      </c>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c r="BE24" s="70"/>
      <c r="BF24" s="70"/>
      <c r="BG24" s="70"/>
      <c r="BH24" s="70"/>
      <c r="BI24" s="70"/>
      <c r="BJ24" s="70"/>
      <c r="BK24" s="70"/>
      <c r="BL24" s="70"/>
      <c r="BM24" s="70"/>
      <c r="BN24" s="70"/>
      <c r="BO24" s="70"/>
      <c r="BP24" s="70"/>
      <c r="BQ24" s="70"/>
      <c r="BR24" s="70"/>
      <c r="BS24" s="70"/>
      <c r="BT24" s="70"/>
      <c r="BU24" s="70"/>
      <c r="BV24" s="70"/>
      <c r="BW24" s="70"/>
      <c r="BX24" s="70"/>
      <c r="BY24" s="70"/>
      <c r="BZ24" s="70"/>
      <c r="CA24" s="70"/>
      <c r="CB24" s="70"/>
      <c r="CC24" s="70"/>
      <c r="CD24" s="70"/>
      <c r="CE24" s="70"/>
      <c r="CF24" s="70"/>
      <c r="CG24" s="70"/>
      <c r="CH24" s="70"/>
      <c r="CI24" s="70"/>
      <c r="CJ24" s="70"/>
      <c r="CK24" s="70"/>
      <c r="CL24" s="70"/>
      <c r="CM24" s="70"/>
      <c r="CN24" s="70"/>
      <c r="CO24" s="70"/>
      <c r="CP24" s="70"/>
      <c r="CQ24" s="70"/>
      <c r="CR24" s="70"/>
      <c r="CS24" s="70"/>
      <c r="CT24" s="70"/>
      <c r="CU24" s="70"/>
      <c r="CV24" s="70"/>
      <c r="CW24" s="70"/>
      <c r="CX24" s="70"/>
      <c r="CY24" s="70"/>
      <c r="CZ24" s="70"/>
      <c r="DA24" s="70"/>
      <c r="DB24" s="70"/>
      <c r="DC24" s="70"/>
      <c r="DD24" s="70"/>
      <c r="DE24" s="70"/>
      <c r="DF24" s="70"/>
      <c r="DG24" s="70"/>
      <c r="DH24" s="70"/>
      <c r="DI24" s="70"/>
      <c r="DJ24" s="70"/>
      <c r="DK24" s="70"/>
      <c r="DL24" s="70"/>
      <c r="DM24" s="70"/>
      <c r="DN24" s="70"/>
      <c r="DO24" s="70"/>
      <c r="DP24" s="70"/>
      <c r="DQ24" s="70"/>
      <c r="DR24" s="70"/>
      <c r="DS24" s="70"/>
      <c r="DT24" s="70"/>
      <c r="DU24" s="70"/>
      <c r="DV24" s="70"/>
      <c r="DW24" s="70"/>
      <c r="DX24" s="70"/>
      <c r="DY24" s="70"/>
      <c r="DZ24" s="70"/>
      <c r="EA24" s="70"/>
      <c r="EB24" s="70"/>
      <c r="EC24" s="70"/>
      <c r="ED24" s="70"/>
      <c r="EE24" s="70"/>
      <c r="EF24" s="70"/>
      <c r="EG24" s="70"/>
      <c r="EH24" s="70"/>
      <c r="EI24" s="70"/>
      <c r="EJ24" s="70"/>
      <c r="EK24" s="70"/>
      <c r="EL24" s="70"/>
      <c r="EM24" s="70"/>
      <c r="EN24" s="70"/>
      <c r="EO24" s="70"/>
      <c r="EP24" s="70"/>
      <c r="EQ24" s="70"/>
      <c r="ER24" s="70"/>
      <c r="ES24" s="70"/>
      <c r="ET24" s="70"/>
      <c r="EU24" s="70"/>
      <c r="EV24" s="70"/>
    </row>
    <row r="25" s="38" customFormat="true" ht="10.5" hidden="false" customHeight="true" outlineLevel="0" collapsed="false">
      <c r="A25" s="50" t="s">
        <v>265</v>
      </c>
      <c r="B25" s="54"/>
      <c r="C25" s="50"/>
      <c r="D25" s="50"/>
      <c r="E25" s="50"/>
      <c r="F25" s="50" t="n">
        <f aca="false">F24/B24-1</f>
        <v>0.295454545454545</v>
      </c>
      <c r="G25" s="50" t="e">
        <f aca="false">G24/C24-1</f>
        <v>#DIV/0!</v>
      </c>
      <c r="H25" s="50" t="e">
        <f aca="false">H24/D24-1</f>
        <v>#DIV/0!</v>
      </c>
      <c r="I25" s="50" t="n">
        <f aca="false">I24/E24-1</f>
        <v>0.259259259259259</v>
      </c>
      <c r="J25" s="50" t="n">
        <f aca="false">J24/F24-1</f>
        <v>0.245614035087719</v>
      </c>
      <c r="K25" s="50" t="n">
        <f aca="false">K24/G24-1</f>
        <v>0.233333333333333</v>
      </c>
      <c r="L25" s="50" t="n">
        <f aca="false">L24/H24-1</f>
        <v>0.2</v>
      </c>
      <c r="M25" s="50" t="n">
        <f aca="false">M24/I24-1</f>
        <v>0.198529411764706</v>
      </c>
      <c r="N25" s="50" t="n">
        <f aca="false">N24/J24-1</f>
        <v>0.197183098591549</v>
      </c>
      <c r="O25" s="50" t="n">
        <f aca="false">O24/K24-1</f>
        <v>0.189189189189189</v>
      </c>
      <c r="P25" s="50" t="n">
        <f aca="false">P24/L24-1</f>
        <v>0.205128205128205</v>
      </c>
      <c r="Q25" s="50" t="n">
        <f aca="false">Q24/M24-1</f>
        <v>0.190184049079754</v>
      </c>
      <c r="R25" s="50" t="n">
        <f aca="false">R24/N24-1</f>
        <v>0.164705882352941</v>
      </c>
      <c r="S25" s="50" t="n">
        <f aca="false">S24/O24-1</f>
        <v>-1</v>
      </c>
      <c r="T25" s="50"/>
      <c r="U25" s="50"/>
      <c r="V25" s="50"/>
      <c r="W25" s="50"/>
      <c r="X25" s="50"/>
      <c r="Y25" s="50"/>
      <c r="Z25" s="50"/>
      <c r="AA25" s="50" t="n">
        <f aca="false">AA24/Z24-1</f>
        <v>0.294117647058824</v>
      </c>
      <c r="AB25" s="50" t="n">
        <f aca="false">AB24/AA24-1</f>
        <v>0.227272727272727</v>
      </c>
      <c r="AC25" s="50" t="n">
        <f aca="false">AC24/AB24-1</f>
        <v>0.259259259259259</v>
      </c>
      <c r="AD25" s="50" t="n">
        <f aca="false">AD24/AC24-1</f>
        <v>0.205882352941176</v>
      </c>
      <c r="AE25" s="50" t="n">
        <f aca="false">AE24/AD24-1</f>
        <v>0.182926829268293</v>
      </c>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0"/>
      <c r="BR25" s="50"/>
      <c r="BS25" s="50"/>
      <c r="BT25" s="50"/>
      <c r="BU25" s="50"/>
      <c r="BV25" s="50"/>
      <c r="BW25" s="50"/>
      <c r="BX25" s="50"/>
      <c r="BY25" s="50"/>
      <c r="BZ25" s="50"/>
      <c r="CA25" s="50"/>
      <c r="CB25" s="50"/>
      <c r="CC25" s="50"/>
      <c r="CD25" s="50"/>
      <c r="CE25" s="50"/>
      <c r="CF25" s="50"/>
      <c r="CG25" s="50"/>
      <c r="CH25" s="50"/>
      <c r="CI25" s="50"/>
      <c r="CJ25" s="50"/>
      <c r="CK25" s="50"/>
      <c r="CL25" s="50"/>
      <c r="CM25" s="50"/>
      <c r="CN25" s="50"/>
      <c r="CO25" s="50"/>
      <c r="CP25" s="50"/>
      <c r="CQ25" s="50"/>
      <c r="CR25" s="50"/>
      <c r="CS25" s="50"/>
      <c r="CT25" s="50"/>
      <c r="CU25" s="50"/>
      <c r="CV25" s="50"/>
      <c r="CW25" s="50"/>
      <c r="CX25" s="50"/>
      <c r="CY25" s="50"/>
      <c r="CZ25" s="50"/>
      <c r="DA25" s="50"/>
      <c r="DB25" s="50"/>
      <c r="DC25" s="50"/>
      <c r="DD25" s="50"/>
      <c r="DE25" s="50"/>
      <c r="DF25" s="50"/>
      <c r="DG25" s="50"/>
      <c r="DH25" s="50"/>
      <c r="DI25" s="50"/>
      <c r="DJ25" s="50"/>
      <c r="DK25" s="50"/>
      <c r="DL25" s="50"/>
      <c r="DM25" s="50"/>
      <c r="DN25" s="50"/>
      <c r="DO25" s="50"/>
      <c r="DP25" s="50"/>
      <c r="DQ25" s="50"/>
      <c r="DR25" s="50"/>
      <c r="DS25" s="50"/>
      <c r="DT25" s="50"/>
      <c r="DU25" s="50"/>
      <c r="DV25" s="50"/>
      <c r="DW25" s="50"/>
      <c r="DX25" s="50"/>
      <c r="DY25" s="50"/>
      <c r="DZ25" s="50"/>
      <c r="EA25" s="50"/>
      <c r="EB25" s="50"/>
      <c r="EC25" s="50"/>
      <c r="ED25" s="50"/>
      <c r="EE25" s="50"/>
      <c r="EF25" s="50"/>
      <c r="EG25" s="50"/>
      <c r="EH25" s="50"/>
      <c r="EI25" s="50"/>
      <c r="EJ25" s="50"/>
      <c r="EK25" s="50"/>
      <c r="EL25" s="50"/>
      <c r="EM25" s="50"/>
      <c r="EN25" s="50"/>
      <c r="EO25" s="50"/>
      <c r="EP25" s="50"/>
      <c r="EQ25" s="50"/>
      <c r="ER25" s="50"/>
      <c r="ES25" s="50"/>
      <c r="ET25" s="50"/>
      <c r="EU25" s="50"/>
    </row>
    <row r="26" customFormat="false" ht="12.8" hidden="false" customHeight="false" outlineLevel="0" collapsed="false">
      <c r="A26" s="3" t="s">
        <v>95</v>
      </c>
      <c r="B26" s="3" t="n">
        <v>115</v>
      </c>
      <c r="C26" s="3" t="n">
        <v>122</v>
      </c>
      <c r="D26" s="3" t="n">
        <v>124</v>
      </c>
      <c r="E26" s="3" t="n">
        <v>131</v>
      </c>
      <c r="F26" s="3" t="n">
        <v>130</v>
      </c>
      <c r="G26" s="3" t="n">
        <v>137</v>
      </c>
      <c r="H26" s="3" t="n">
        <v>142</v>
      </c>
      <c r="I26" s="3" t="n">
        <v>150</v>
      </c>
      <c r="J26" s="3" t="n">
        <v>149</v>
      </c>
      <c r="K26" s="3" t="n">
        <v>156</v>
      </c>
      <c r="L26" s="3" t="n">
        <v>161</v>
      </c>
      <c r="M26" s="3" t="n">
        <v>171</v>
      </c>
      <c r="N26" s="3" t="n">
        <v>170</v>
      </c>
      <c r="O26" s="3" t="n">
        <v>180</v>
      </c>
      <c r="P26" s="3" t="n">
        <v>189</v>
      </c>
      <c r="Q26" s="3" t="n">
        <v>202</v>
      </c>
      <c r="R26" s="3" t="n">
        <v>199</v>
      </c>
      <c r="S26" s="3" t="n">
        <v>208</v>
      </c>
      <c r="T26" s="3"/>
      <c r="U26" s="3"/>
      <c r="V26" s="3"/>
      <c r="W26" s="3"/>
      <c r="X26" s="3"/>
      <c r="Y26" s="3" t="n">
        <v>111</v>
      </c>
      <c r="Z26" s="3" t="n">
        <v>93</v>
      </c>
      <c r="AA26" s="3" t="n">
        <v>118</v>
      </c>
      <c r="AB26" s="3" t="n">
        <v>131</v>
      </c>
      <c r="AC26" s="3" t="n">
        <v>150</v>
      </c>
      <c r="AD26" s="3" t="n">
        <v>171</v>
      </c>
      <c r="AE26" s="3" t="n">
        <v>202</v>
      </c>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row>
    <row r="27" s="38" customFormat="true" ht="10.5" hidden="false" customHeight="true" outlineLevel="0" collapsed="false">
      <c r="A27" s="50" t="s">
        <v>265</v>
      </c>
      <c r="F27" s="50" t="n">
        <f aca="false">F26/B26-1</f>
        <v>0.130434782608696</v>
      </c>
      <c r="G27" s="50" t="n">
        <f aca="false">G26/C26-1</f>
        <v>0.122950819672131</v>
      </c>
      <c r="H27" s="50" t="n">
        <f aca="false">H26/D26-1</f>
        <v>0.145161290322581</v>
      </c>
      <c r="I27" s="50" t="n">
        <f aca="false">I26/E26-1</f>
        <v>0.145038167938931</v>
      </c>
      <c r="J27" s="50" t="n">
        <f aca="false">J26/F26-1</f>
        <v>0.146153846153846</v>
      </c>
      <c r="K27" s="50" t="n">
        <f aca="false">K26/G26-1</f>
        <v>0.138686131386861</v>
      </c>
      <c r="L27" s="50" t="n">
        <f aca="false">L26/H26-1</f>
        <v>0.133802816901409</v>
      </c>
      <c r="M27" s="50" t="n">
        <f aca="false">M26/I26-1</f>
        <v>0.14</v>
      </c>
      <c r="N27" s="50" t="n">
        <f aca="false">N26/J26-1</f>
        <v>0.140939597315436</v>
      </c>
      <c r="O27" s="50" t="n">
        <f aca="false">O26/K26-1</f>
        <v>0.153846153846154</v>
      </c>
      <c r="P27" s="50" t="n">
        <f aca="false">P26/L26-1</f>
        <v>0.173913043478261</v>
      </c>
      <c r="Q27" s="50" t="n">
        <f aca="false">Q26/M26-1</f>
        <v>0.181286549707602</v>
      </c>
      <c r="R27" s="50" t="n">
        <f aca="false">R26/N26-1</f>
        <v>0.170588235294118</v>
      </c>
      <c r="S27" s="50" t="n">
        <f aca="false">S26/O26-1</f>
        <v>0.155555555555555</v>
      </c>
      <c r="Z27" s="50" t="n">
        <f aca="false">Z26/Y26-1</f>
        <v>-0.162162162162162</v>
      </c>
      <c r="AA27" s="50" t="n">
        <f aca="false">AA26/Z26-1</f>
        <v>0.268817204301075</v>
      </c>
      <c r="AB27" s="50" t="n">
        <f aca="false">AB26/AA26-1</f>
        <v>0.110169491525424</v>
      </c>
      <c r="AC27" s="50" t="n">
        <f aca="false">AC26/AB26-1</f>
        <v>0.145038167938931</v>
      </c>
      <c r="AD27" s="50" t="n">
        <f aca="false">AD26/AC26-1</f>
        <v>0.14</v>
      </c>
      <c r="AE27" s="50" t="n">
        <f aca="false">AE26/AD26-1</f>
        <v>0.181286549707602</v>
      </c>
    </row>
    <row r="28" s="44" customFormat="true" ht="12.8" hidden="false" customHeight="false" outlineLevel="0" collapsed="false">
      <c r="A28" s="72" t="s">
        <v>101</v>
      </c>
      <c r="B28" s="3" t="n">
        <v>1713</v>
      </c>
      <c r="C28" s="3" t="n">
        <v>1872</v>
      </c>
      <c r="D28" s="3" t="n">
        <v>1953</v>
      </c>
      <c r="E28" s="3" t="n">
        <v>2104</v>
      </c>
      <c r="F28" s="3" t="n">
        <v>2124</v>
      </c>
      <c r="G28" s="3" t="n">
        <v>2282</v>
      </c>
      <c r="H28" s="3" t="n">
        <v>2441</v>
      </c>
      <c r="I28" s="3" t="n">
        <v>2601</v>
      </c>
      <c r="J28" s="3" t="n">
        <v>2572</v>
      </c>
      <c r="K28" s="3" t="n">
        <v>2765</v>
      </c>
      <c r="L28" s="3" t="n">
        <v>2868</v>
      </c>
      <c r="M28" s="3" t="n">
        <v>3068</v>
      </c>
      <c r="N28" s="3" t="n">
        <v>3036</v>
      </c>
      <c r="O28" s="3" t="n">
        <v>3268</v>
      </c>
      <c r="P28" s="3" t="n">
        <v>3512</v>
      </c>
      <c r="Q28" s="3" t="n">
        <v>3751</v>
      </c>
      <c r="R28" s="3" t="n">
        <v>3643</v>
      </c>
      <c r="S28" s="3" t="n">
        <v>3867</v>
      </c>
      <c r="T28" s="3"/>
      <c r="U28" s="3"/>
      <c r="V28" s="3"/>
      <c r="W28" s="3"/>
      <c r="X28" s="3"/>
      <c r="Y28" s="3" t="n">
        <f aca="false">+1550+1677+1770+1907</f>
        <v>6904</v>
      </c>
      <c r="Z28" s="3" t="n">
        <f aca="false">+1661+737+1184+1443</f>
        <v>5025</v>
      </c>
      <c r="AA28" s="3" t="n">
        <v>6368</v>
      </c>
      <c r="AB28" s="3" t="n">
        <v>7642</v>
      </c>
      <c r="AC28" s="3" t="n">
        <f aca="false">SUM(F28:I28)</f>
        <v>9448</v>
      </c>
      <c r="AD28" s="3" t="n">
        <f aca="false">SUM(J28:M28)</f>
        <v>11273</v>
      </c>
      <c r="AE28" s="3" t="n">
        <f aca="false">SUM(N28:Q28)</f>
        <v>13567</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row>
    <row r="29" s="38" customFormat="true" ht="10.5" hidden="false" customHeight="true" outlineLevel="0" collapsed="false">
      <c r="A29" s="50" t="s">
        <v>265</v>
      </c>
      <c r="F29" s="50" t="n">
        <f aca="false">F28/B28-1</f>
        <v>0.239929947460595</v>
      </c>
      <c r="G29" s="50" t="n">
        <f aca="false">G28/C28-1</f>
        <v>0.219017094017094</v>
      </c>
      <c r="H29" s="50" t="n">
        <f aca="false">H28/D28-1</f>
        <v>0.249871991807476</v>
      </c>
      <c r="I29" s="50" t="n">
        <f aca="false">I28/E28-1</f>
        <v>0.236216730038023</v>
      </c>
      <c r="J29" s="50" t="n">
        <f aca="false">J28/F28-1</f>
        <v>0.210922787193974</v>
      </c>
      <c r="K29" s="50" t="n">
        <f aca="false">K28/G28-1</f>
        <v>0.211656441717792</v>
      </c>
      <c r="L29" s="50" t="n">
        <f aca="false">L28/H28-1</f>
        <v>0.174928308070463</v>
      </c>
      <c r="M29" s="50" t="n">
        <f aca="false">M28/I28-1</f>
        <v>0.179546328335256</v>
      </c>
      <c r="N29" s="50" t="n">
        <f aca="false">N28/J28-1</f>
        <v>0.180404354587869</v>
      </c>
      <c r="O29" s="50" t="n">
        <f aca="false">O28/K28-1</f>
        <v>0.181916817359855</v>
      </c>
      <c r="P29" s="50" t="n">
        <f aca="false">P28/L28-1</f>
        <v>0.224546722454672</v>
      </c>
      <c r="Q29" s="50" t="n">
        <f aca="false">Q28/M28-1</f>
        <v>0.222620599739244</v>
      </c>
      <c r="R29" s="50" t="n">
        <f aca="false">R28/N28-1</f>
        <v>0.199934123847167</v>
      </c>
      <c r="S29" s="50" t="n">
        <f aca="false">S28/O28-1</f>
        <v>0.183292533659731</v>
      </c>
      <c r="Z29" s="50" t="n">
        <f aca="false">Z28/Y28-1</f>
        <v>-0.272161066048667</v>
      </c>
      <c r="AA29" s="50" t="n">
        <f aca="false">AA28/Z28-1</f>
        <v>0.26726368159204</v>
      </c>
      <c r="AB29" s="50" t="n">
        <f aca="false">AB28/AA28-1</f>
        <v>0.200062814070352</v>
      </c>
      <c r="AC29" s="50" t="n">
        <f aca="false">AC28/AB28-1</f>
        <v>0.236325569222717</v>
      </c>
      <c r="AD29" s="50" t="n">
        <f aca="false">AD28/AC28-1</f>
        <v>0.193162574089754</v>
      </c>
      <c r="AE29" s="50" t="n">
        <f aca="false">AE28/AD28-1</f>
        <v>0.203495076732015</v>
      </c>
    </row>
    <row r="30" s="44" customFormat="true" ht="12.8" hidden="false" customHeight="false" outlineLevel="0" collapsed="false">
      <c r="A30" s="73"/>
      <c r="B30" s="74"/>
      <c r="C30" s="74"/>
      <c r="D30" s="74"/>
      <c r="E30" s="74"/>
      <c r="F30" s="73"/>
      <c r="G30" s="73"/>
      <c r="H30" s="73"/>
      <c r="I30" s="73"/>
      <c r="J30" s="73"/>
      <c r="K30" s="73"/>
      <c r="L30" s="73"/>
      <c r="M30" s="73"/>
      <c r="N30" s="73"/>
      <c r="O30" s="73"/>
      <c r="P30" s="73"/>
      <c r="Q30" s="73"/>
      <c r="R30" s="73"/>
      <c r="S30" s="74"/>
      <c r="T30" s="74"/>
      <c r="U30" s="74"/>
      <c r="V30" s="74"/>
      <c r="W30" s="74"/>
      <c r="X30" s="74"/>
      <c r="Y30" s="74"/>
      <c r="Z30" s="73"/>
      <c r="AA30" s="73"/>
      <c r="AB30" s="73"/>
      <c r="AC30" s="73"/>
      <c r="AD30" s="73"/>
      <c r="AE30" s="73"/>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4"/>
      <c r="BU30" s="74"/>
      <c r="BV30" s="74"/>
      <c r="BW30" s="74"/>
      <c r="BX30" s="74"/>
      <c r="BY30" s="74"/>
      <c r="BZ30" s="74"/>
      <c r="CA30" s="74"/>
      <c r="CB30" s="74"/>
      <c r="CC30" s="74"/>
      <c r="CD30" s="74"/>
      <c r="CE30" s="74"/>
      <c r="CF30" s="74"/>
      <c r="CG30" s="74"/>
      <c r="CH30" s="74"/>
      <c r="CI30" s="74"/>
      <c r="CJ30" s="74"/>
      <c r="CK30" s="74"/>
      <c r="CL30" s="74"/>
      <c r="CM30" s="74"/>
      <c r="CN30" s="74"/>
      <c r="CO30" s="74"/>
      <c r="CP30" s="74"/>
      <c r="CQ30" s="74"/>
      <c r="CR30" s="74"/>
      <c r="CS30" s="74"/>
      <c r="CT30" s="74"/>
      <c r="CU30" s="74"/>
      <c r="CV30" s="74"/>
      <c r="CW30" s="74"/>
      <c r="CX30" s="74"/>
      <c r="CY30" s="74"/>
      <c r="CZ30" s="74"/>
      <c r="DA30" s="74"/>
      <c r="DB30" s="74"/>
      <c r="DC30" s="74"/>
      <c r="DD30" s="74"/>
      <c r="DE30" s="74"/>
      <c r="DF30" s="74"/>
      <c r="DG30" s="74"/>
      <c r="DH30" s="74"/>
      <c r="DI30" s="74"/>
      <c r="DJ30" s="74"/>
      <c r="DK30" s="74"/>
      <c r="DL30" s="74"/>
      <c r="DM30" s="74"/>
      <c r="DN30" s="74"/>
      <c r="DO30" s="74"/>
      <c r="DP30" s="74"/>
      <c r="DQ30" s="74"/>
      <c r="DR30" s="74"/>
      <c r="DS30" s="74"/>
      <c r="DT30" s="74"/>
      <c r="DU30" s="74"/>
      <c r="DV30" s="74"/>
      <c r="DW30" s="74"/>
      <c r="DX30" s="74"/>
      <c r="DY30" s="74"/>
      <c r="DZ30" s="74"/>
      <c r="EA30" s="74"/>
      <c r="EB30" s="74"/>
      <c r="EC30" s="74"/>
      <c r="ED30" s="74"/>
      <c r="EE30" s="74"/>
      <c r="EF30" s="74"/>
      <c r="EG30" s="74"/>
      <c r="EH30" s="74"/>
      <c r="EI30" s="74"/>
      <c r="EJ30" s="74"/>
      <c r="EK30" s="74"/>
      <c r="EL30" s="74"/>
      <c r="EM30" s="74"/>
      <c r="EN30" s="74"/>
      <c r="EO30" s="74"/>
      <c r="EP30" s="74"/>
      <c r="EQ30" s="74"/>
      <c r="ER30" s="74"/>
      <c r="ES30" s="74"/>
      <c r="ET30" s="74"/>
      <c r="EU30" s="74"/>
      <c r="EV30" s="75"/>
    </row>
    <row r="31" s="44" customFormat="true" ht="12.8" hidden="false" customHeight="false" outlineLevel="0" collapsed="false">
      <c r="A31" s="76" t="s">
        <v>277</v>
      </c>
      <c r="B31" s="77" t="n">
        <v>10723</v>
      </c>
      <c r="C31" s="77" t="n">
        <v>13364</v>
      </c>
      <c r="D31" s="77" t="n">
        <v>13684</v>
      </c>
      <c r="E31" s="77" t="n">
        <v>14894</v>
      </c>
      <c r="F31" s="78" t="n">
        <v>14981</v>
      </c>
      <c r="G31" s="78" t="n">
        <v>16728</v>
      </c>
      <c r="H31" s="78" t="n">
        <v>17903</v>
      </c>
      <c r="I31" s="78" t="n">
        <v>19285</v>
      </c>
      <c r="J31" s="78" t="n">
        <v>18670</v>
      </c>
      <c r="K31" s="78" t="n">
        <v>20554</v>
      </c>
      <c r="L31" s="78" t="n">
        <v>21002</v>
      </c>
      <c r="M31" s="78" t="n">
        <v>22798</v>
      </c>
      <c r="N31" s="78" t="n">
        <v>21182</v>
      </c>
      <c r="O31" s="78" t="n">
        <v>23762</v>
      </c>
      <c r="P31" s="78" t="n">
        <v>25111</v>
      </c>
      <c r="Q31" s="78" t="n">
        <v>27442</v>
      </c>
      <c r="R31" s="78" t="n">
        <v>26394</v>
      </c>
      <c r="S31" s="77" t="n">
        <v>28988</v>
      </c>
      <c r="T31" s="77"/>
      <c r="U31" s="77"/>
      <c r="V31" s="77"/>
      <c r="W31" s="77"/>
      <c r="X31" s="77"/>
      <c r="Y31" s="77"/>
      <c r="Z31" s="78"/>
      <c r="AA31" s="78"/>
      <c r="AB31" s="78"/>
      <c r="AC31" s="78"/>
      <c r="AD31" s="78"/>
      <c r="AE31" s="78"/>
      <c r="AF31" s="77"/>
      <c r="AG31" s="77"/>
      <c r="AH31" s="77"/>
      <c r="AI31" s="77"/>
      <c r="AJ31" s="77"/>
      <c r="AK31" s="77"/>
      <c r="AL31" s="77"/>
      <c r="AM31" s="77"/>
      <c r="AN31" s="77"/>
      <c r="AO31" s="77"/>
      <c r="AP31" s="77"/>
      <c r="AQ31" s="77"/>
      <c r="AR31" s="77"/>
      <c r="AS31" s="77"/>
      <c r="AT31" s="77"/>
      <c r="AU31" s="77"/>
      <c r="AV31" s="77"/>
      <c r="AW31" s="77"/>
      <c r="AX31" s="77"/>
      <c r="AY31" s="77"/>
      <c r="AZ31" s="77"/>
      <c r="BA31" s="77"/>
      <c r="BB31" s="77"/>
      <c r="BC31" s="77"/>
      <c r="BD31" s="77"/>
      <c r="BE31" s="77"/>
      <c r="BF31" s="77"/>
      <c r="BG31" s="77"/>
      <c r="BH31" s="77"/>
      <c r="BI31" s="77"/>
      <c r="BJ31" s="77"/>
      <c r="BK31" s="77"/>
      <c r="BL31" s="77"/>
      <c r="BM31" s="77"/>
      <c r="BN31" s="77"/>
      <c r="BO31" s="77"/>
      <c r="BP31" s="77"/>
      <c r="BQ31" s="77"/>
      <c r="BR31" s="77"/>
      <c r="BS31" s="77"/>
      <c r="BT31" s="77"/>
      <c r="BU31" s="77"/>
      <c r="BV31" s="77"/>
      <c r="BW31" s="77"/>
      <c r="BX31" s="77"/>
      <c r="BY31" s="77"/>
      <c r="BZ31" s="77"/>
      <c r="CA31" s="77"/>
      <c r="CB31" s="77"/>
      <c r="CC31" s="77"/>
      <c r="CD31" s="77"/>
      <c r="CE31" s="77"/>
      <c r="CF31" s="77"/>
      <c r="CG31" s="77"/>
      <c r="CH31" s="77"/>
      <c r="CI31" s="77"/>
      <c r="CJ31" s="77"/>
      <c r="CK31" s="77"/>
      <c r="CL31" s="77"/>
      <c r="CM31" s="77"/>
      <c r="CN31" s="77"/>
      <c r="CO31" s="77"/>
      <c r="CP31" s="77"/>
      <c r="CQ31" s="77"/>
      <c r="CR31" s="77"/>
      <c r="CS31" s="77"/>
      <c r="CT31" s="77"/>
      <c r="CU31" s="77"/>
      <c r="CV31" s="77"/>
      <c r="CW31" s="77"/>
      <c r="CX31" s="77"/>
      <c r="CY31" s="77"/>
      <c r="CZ31" s="77"/>
      <c r="DA31" s="77"/>
      <c r="DB31" s="77"/>
      <c r="DC31" s="77"/>
      <c r="DD31" s="77"/>
      <c r="DE31" s="77"/>
      <c r="DF31" s="77"/>
      <c r="DG31" s="77"/>
      <c r="DH31" s="77"/>
      <c r="DI31" s="77"/>
      <c r="DJ31" s="77"/>
      <c r="DK31" s="77"/>
      <c r="DL31" s="77"/>
      <c r="DM31" s="77"/>
      <c r="DN31" s="77"/>
      <c r="DO31" s="77"/>
      <c r="DP31" s="77"/>
      <c r="DQ31" s="77"/>
      <c r="DR31" s="77"/>
      <c r="DS31" s="77"/>
      <c r="DT31" s="77"/>
      <c r="DU31" s="77"/>
      <c r="DV31" s="77"/>
      <c r="DW31" s="77"/>
      <c r="DX31" s="77"/>
      <c r="DY31" s="77"/>
      <c r="DZ31" s="77"/>
      <c r="EA31" s="77"/>
      <c r="EB31" s="77"/>
      <c r="EC31" s="77"/>
      <c r="ED31" s="77"/>
      <c r="EE31" s="77"/>
      <c r="EF31" s="77"/>
      <c r="EG31" s="77"/>
      <c r="EH31" s="77"/>
      <c r="EI31" s="77"/>
      <c r="EJ31" s="77"/>
      <c r="EK31" s="77"/>
      <c r="EL31" s="77"/>
      <c r="EM31" s="77"/>
      <c r="EN31" s="77"/>
      <c r="EO31" s="77"/>
      <c r="EP31" s="77"/>
      <c r="EQ31" s="77"/>
      <c r="ER31" s="77"/>
      <c r="ES31" s="77"/>
      <c r="ET31" s="77"/>
      <c r="EU31" s="77"/>
      <c r="EV31" s="77"/>
    </row>
    <row r="32" s="38" customFormat="true" ht="10.5" hidden="false" customHeight="true" outlineLevel="0" collapsed="false">
      <c r="A32" s="54"/>
      <c r="F32" s="50" t="n">
        <f aca="false">F31/B31-1</f>
        <v>0.397090366501912</v>
      </c>
      <c r="G32" s="50" t="n">
        <f aca="false">G31/C31-1</f>
        <v>0.25172104160431</v>
      </c>
      <c r="H32" s="50" t="n">
        <f aca="false">H31/D31-1</f>
        <v>0.308316281788951</v>
      </c>
      <c r="I32" s="50" t="n">
        <f aca="false">I31/E31-1</f>
        <v>0.294816704713307</v>
      </c>
      <c r="J32" s="50" t="n">
        <f aca="false">J31/F31-1</f>
        <v>0.246245243975703</v>
      </c>
      <c r="K32" s="50" t="n">
        <f aca="false">K31/G31-1</f>
        <v>0.228718316594931</v>
      </c>
      <c r="L32" s="50" t="n">
        <f aca="false">L31/H31-1</f>
        <v>0.173099480533989</v>
      </c>
      <c r="M32" s="50" t="n">
        <f aca="false">M31/I31-1</f>
        <v>0.182162302307493</v>
      </c>
      <c r="N32" s="50" t="n">
        <f aca="false">N31/J31-1</f>
        <v>0.134547402249598</v>
      </c>
      <c r="O32" s="50" t="n">
        <f aca="false">O31/K31-1</f>
        <v>0.156076676072784</v>
      </c>
      <c r="P32" s="50" t="n">
        <f aca="false">P31/L31-1</f>
        <v>0.195648033520617</v>
      </c>
      <c r="Q32" s="50" t="n">
        <f aca="false">Q31/M31-1</f>
        <v>0.203702079129748</v>
      </c>
      <c r="R32" s="50" t="n">
        <f aca="false">R31/N31-1</f>
        <v>0.246057973751298</v>
      </c>
      <c r="S32" s="50" t="n">
        <f aca="false">S31/O31-1</f>
        <v>0.219930982240552</v>
      </c>
      <c r="Z32" s="50"/>
      <c r="AA32" s="50"/>
      <c r="AB32" s="50"/>
      <c r="AC32" s="50"/>
      <c r="AD32" s="50"/>
      <c r="AE32" s="50"/>
    </row>
    <row r="33" s="44" customFormat="true" ht="12.8" hidden="false" customHeight="false" outlineLevel="0" collapsed="false">
      <c r="A33" s="76" t="s">
        <v>278</v>
      </c>
      <c r="B33" s="77" t="n">
        <v>13903</v>
      </c>
      <c r="C33" s="77" t="n">
        <v>13876</v>
      </c>
      <c r="D33" s="77" t="n">
        <v>13684</v>
      </c>
      <c r="E33" s="77" t="n">
        <v>14315</v>
      </c>
      <c r="F33" s="78" t="n">
        <v>15026</v>
      </c>
      <c r="G33" s="78" t="n">
        <v>15595</v>
      </c>
      <c r="H33" s="78" t="n">
        <v>16094</v>
      </c>
      <c r="I33" s="78" t="n">
        <v>17011</v>
      </c>
      <c r="J33" s="78" t="n">
        <v>17699</v>
      </c>
      <c r="K33" s="78" t="n">
        <v>18126</v>
      </c>
      <c r="L33" s="78" t="n">
        <v>18663</v>
      </c>
      <c r="M33" s="78" t="n">
        <v>20126</v>
      </c>
      <c r="N33" s="78" t="n">
        <v>20377</v>
      </c>
      <c r="O33" s="78" t="n">
        <v>21734</v>
      </c>
      <c r="P33" s="78" t="n">
        <v>23322</v>
      </c>
      <c r="Q33" s="78" t="n">
        <v>25431</v>
      </c>
      <c r="R33" s="78" t="n">
        <v>25992</v>
      </c>
      <c r="S33" s="77" t="n">
        <v>27463</v>
      </c>
      <c r="T33" s="77"/>
      <c r="U33" s="77"/>
      <c r="V33" s="77"/>
      <c r="W33" s="77"/>
      <c r="X33" s="77"/>
      <c r="Y33" s="77"/>
      <c r="Z33" s="78"/>
      <c r="AA33" s="78"/>
      <c r="AB33" s="78"/>
      <c r="AC33" s="78"/>
      <c r="AD33" s="78"/>
      <c r="AE33" s="78"/>
      <c r="AF33" s="77"/>
      <c r="AG33" s="77"/>
      <c r="AH33" s="77"/>
      <c r="AI33" s="77"/>
      <c r="AJ33" s="77"/>
      <c r="AK33" s="77"/>
      <c r="AL33" s="77"/>
      <c r="AM33" s="77"/>
      <c r="AN33" s="77"/>
      <c r="AO33" s="77"/>
      <c r="AP33" s="77"/>
      <c r="AQ33" s="77"/>
      <c r="AR33" s="77"/>
      <c r="AS33" s="77"/>
      <c r="AT33" s="77"/>
      <c r="AU33" s="77"/>
      <c r="AV33" s="77"/>
      <c r="AW33" s="77"/>
      <c r="AX33" s="77"/>
      <c r="AY33" s="77"/>
      <c r="AZ33" s="77"/>
      <c r="BA33" s="77"/>
      <c r="BB33" s="77"/>
      <c r="BC33" s="77"/>
      <c r="BD33" s="77"/>
      <c r="BE33" s="77"/>
      <c r="BF33" s="77"/>
      <c r="BG33" s="77"/>
      <c r="BH33" s="77"/>
      <c r="BI33" s="77"/>
      <c r="BJ33" s="77"/>
      <c r="BK33" s="77"/>
      <c r="BL33" s="77"/>
      <c r="BM33" s="77"/>
      <c r="BN33" s="77"/>
      <c r="BO33" s="77"/>
      <c r="BP33" s="77"/>
      <c r="BQ33" s="77"/>
      <c r="BR33" s="77"/>
      <c r="BS33" s="77"/>
      <c r="BT33" s="77"/>
      <c r="BU33" s="77"/>
      <c r="BV33" s="77"/>
      <c r="BW33" s="77"/>
      <c r="BX33" s="77"/>
      <c r="BY33" s="77"/>
      <c r="BZ33" s="77"/>
      <c r="CA33" s="77"/>
      <c r="CB33" s="77"/>
      <c r="CC33" s="77"/>
      <c r="CD33" s="77"/>
      <c r="CE33" s="77"/>
      <c r="CF33" s="77"/>
      <c r="CG33" s="77"/>
      <c r="CH33" s="77"/>
      <c r="CI33" s="77"/>
      <c r="CJ33" s="77"/>
      <c r="CK33" s="77"/>
      <c r="CL33" s="77"/>
      <c r="CM33" s="77"/>
      <c r="CN33" s="77"/>
      <c r="CO33" s="77"/>
      <c r="CP33" s="77"/>
      <c r="CQ33" s="77"/>
      <c r="CR33" s="77"/>
      <c r="CS33" s="77"/>
      <c r="CT33" s="77"/>
      <c r="CU33" s="77"/>
      <c r="CV33" s="77"/>
      <c r="CW33" s="77"/>
      <c r="CX33" s="77"/>
      <c r="CY33" s="77"/>
      <c r="CZ33" s="77"/>
      <c r="DA33" s="77"/>
      <c r="DB33" s="77"/>
      <c r="DC33" s="77"/>
      <c r="DD33" s="77"/>
      <c r="DE33" s="77"/>
      <c r="DF33" s="77"/>
      <c r="DG33" s="77"/>
      <c r="DH33" s="77"/>
      <c r="DI33" s="77"/>
      <c r="DJ33" s="77"/>
      <c r="DK33" s="77"/>
      <c r="DL33" s="77"/>
      <c r="DM33" s="77"/>
      <c r="DN33" s="77"/>
      <c r="DO33" s="77"/>
      <c r="DP33" s="77"/>
      <c r="DQ33" s="77"/>
      <c r="DR33" s="77"/>
      <c r="DS33" s="77"/>
      <c r="DT33" s="77"/>
      <c r="DU33" s="77"/>
      <c r="DV33" s="77"/>
      <c r="DW33" s="77"/>
      <c r="DX33" s="77"/>
      <c r="DY33" s="77"/>
      <c r="DZ33" s="77"/>
      <c r="EA33" s="77"/>
      <c r="EB33" s="77"/>
      <c r="EC33" s="77"/>
      <c r="ED33" s="77"/>
      <c r="EE33" s="77"/>
      <c r="EF33" s="77"/>
      <c r="EG33" s="77"/>
      <c r="EH33" s="77"/>
      <c r="EI33" s="77"/>
      <c r="EJ33" s="77"/>
      <c r="EK33" s="77"/>
      <c r="EL33" s="77"/>
      <c r="EM33" s="77"/>
      <c r="EN33" s="77"/>
      <c r="EO33" s="77"/>
      <c r="EP33" s="77"/>
      <c r="EQ33" s="77"/>
      <c r="ER33" s="77"/>
      <c r="ES33" s="77"/>
      <c r="ET33" s="77"/>
      <c r="EU33" s="77"/>
      <c r="EV33" s="77"/>
    </row>
    <row r="34" s="38" customFormat="true" ht="10.5" hidden="false" customHeight="true" outlineLevel="0" collapsed="false">
      <c r="A34" s="54"/>
      <c r="F34" s="50" t="n">
        <f aca="false">F33/B33-1</f>
        <v>0.0807739336833777</v>
      </c>
      <c r="G34" s="50" t="n">
        <f aca="false">G33/C33-1</f>
        <v>0.123882963390026</v>
      </c>
      <c r="H34" s="50" t="n">
        <f aca="false">H33/D33-1</f>
        <v>0.176118094124525</v>
      </c>
      <c r="I34" s="50" t="n">
        <f aca="false">I33/E33-1</f>
        <v>0.18833391547328</v>
      </c>
      <c r="J34" s="50" t="n">
        <f aca="false">J33/F33-1</f>
        <v>0.177891654465593</v>
      </c>
      <c r="K34" s="50" t="n">
        <f aca="false">K33/G33-1</f>
        <v>0.162295607566528</v>
      </c>
      <c r="L34" s="50" t="n">
        <f aca="false">L33/H33-1</f>
        <v>0.159624704858954</v>
      </c>
      <c r="M34" s="50" t="n">
        <f aca="false">M33/I33-1</f>
        <v>0.183116806772089</v>
      </c>
      <c r="N34" s="50" t="n">
        <f aca="false">N33/J33-1</f>
        <v>0.151307983501893</v>
      </c>
      <c r="O34" s="50" t="n">
        <f aca="false">O33/K33-1</f>
        <v>0.199051086836588</v>
      </c>
      <c r="P34" s="50" t="n">
        <f aca="false">P33/L33-1</f>
        <v>0.249638321813213</v>
      </c>
      <c r="Q34" s="50" t="n">
        <f aca="false">Q33/M33-1</f>
        <v>0.263589386862765</v>
      </c>
      <c r="R34" s="50" t="n">
        <f aca="false">R33/N33-1</f>
        <v>0.275555773666389</v>
      </c>
      <c r="S34" s="50" t="n">
        <f aca="false">S33/O33-1</f>
        <v>0.263596208705254</v>
      </c>
      <c r="Z34" s="50"/>
      <c r="AA34" s="50"/>
      <c r="AB34" s="50"/>
      <c r="AC34" s="50"/>
      <c r="AD34" s="50"/>
      <c r="AE34" s="50"/>
    </row>
    <row r="35" s="44" customFormat="true" ht="12.8" hidden="false" customHeight="false" outlineLevel="0" collapsed="false">
      <c r="A35" s="76" t="s">
        <v>279</v>
      </c>
      <c r="B35" s="77" t="n">
        <v>1823</v>
      </c>
      <c r="C35" s="77" t="n">
        <v>1838</v>
      </c>
      <c r="D35" s="77" t="n">
        <v>1751</v>
      </c>
      <c r="E35" s="77" t="n">
        <v>1540</v>
      </c>
      <c r="F35" s="78" t="n">
        <v>1401</v>
      </c>
      <c r="G35" s="78" t="n">
        <v>1278</v>
      </c>
      <c r="H35" s="78" t="n">
        <v>1284</v>
      </c>
      <c r="I35" s="78" t="n">
        <v>1279</v>
      </c>
      <c r="J35" s="78" t="n">
        <v>1282</v>
      </c>
      <c r="K35" s="78" t="n">
        <v>1272</v>
      </c>
      <c r="L35" s="78" t="n">
        <v>1308</v>
      </c>
      <c r="M35" s="78" t="n">
        <v>1273</v>
      </c>
      <c r="N35" s="78" t="n">
        <v>1259</v>
      </c>
      <c r="O35" s="78" t="n">
        <v>1260</v>
      </c>
      <c r="P35" s="78" t="n">
        <v>1307</v>
      </c>
      <c r="Q35" s="78" t="n">
        <v>1267</v>
      </c>
      <c r="R35" s="78" t="n">
        <v>1334</v>
      </c>
      <c r="S35" s="77" t="n">
        <v>1571</v>
      </c>
      <c r="T35" s="77"/>
      <c r="U35" s="77"/>
      <c r="V35" s="77"/>
      <c r="W35" s="77"/>
      <c r="X35" s="77"/>
      <c r="Y35" s="77"/>
      <c r="Z35" s="78"/>
      <c r="AA35" s="78"/>
      <c r="AB35" s="78"/>
      <c r="AC35" s="78"/>
      <c r="AD35" s="78"/>
      <c r="AE35" s="78"/>
      <c r="AF35" s="77"/>
      <c r="AG35" s="77"/>
      <c r="AH35" s="77"/>
      <c r="AI35" s="77"/>
      <c r="AJ35" s="77"/>
      <c r="AK35" s="77"/>
      <c r="AL35" s="77"/>
      <c r="AM35" s="77"/>
      <c r="AN35" s="77"/>
      <c r="AO35" s="77"/>
      <c r="AP35" s="77"/>
      <c r="AQ35" s="77"/>
      <c r="AR35" s="77"/>
      <c r="AS35" s="77"/>
      <c r="AT35" s="77"/>
      <c r="AU35" s="77"/>
      <c r="AV35" s="77"/>
      <c r="AW35" s="77"/>
      <c r="AX35" s="77"/>
      <c r="AY35" s="77"/>
      <c r="AZ35" s="77"/>
      <c r="BA35" s="77"/>
      <c r="BB35" s="77"/>
      <c r="BC35" s="77"/>
      <c r="BD35" s="77"/>
      <c r="BE35" s="77"/>
      <c r="BF35" s="77"/>
      <c r="BG35" s="77"/>
      <c r="BH35" s="77"/>
      <c r="BI35" s="77"/>
      <c r="BJ35" s="77"/>
      <c r="BK35" s="77"/>
      <c r="BL35" s="77"/>
      <c r="BM35" s="77"/>
      <c r="BN35" s="77"/>
      <c r="BO35" s="77"/>
      <c r="BP35" s="77"/>
      <c r="BQ35" s="77"/>
      <c r="BR35" s="77"/>
      <c r="BS35" s="77"/>
      <c r="BT35" s="77"/>
      <c r="BU35" s="77"/>
      <c r="BV35" s="77"/>
      <c r="BW35" s="77"/>
      <c r="BX35" s="77"/>
      <c r="BY35" s="77"/>
      <c r="BZ35" s="77"/>
      <c r="CA35" s="77"/>
      <c r="CB35" s="77"/>
      <c r="CC35" s="77"/>
      <c r="CD35" s="77"/>
      <c r="CE35" s="77"/>
      <c r="CF35" s="77"/>
      <c r="CG35" s="77"/>
      <c r="CH35" s="77"/>
      <c r="CI35" s="77"/>
      <c r="CJ35" s="77"/>
      <c r="CK35" s="77"/>
      <c r="CL35" s="77"/>
      <c r="CM35" s="77"/>
      <c r="CN35" s="77"/>
      <c r="CO35" s="77"/>
      <c r="CP35" s="77"/>
      <c r="CQ35" s="77"/>
      <c r="CR35" s="77"/>
      <c r="CS35" s="77"/>
      <c r="CT35" s="77"/>
      <c r="CU35" s="77"/>
      <c r="CV35" s="77"/>
      <c r="CW35" s="77"/>
      <c r="CX35" s="77"/>
      <c r="CY35" s="77"/>
      <c r="CZ35" s="77"/>
      <c r="DA35" s="77"/>
      <c r="DB35" s="77"/>
      <c r="DC35" s="77"/>
      <c r="DD35" s="77"/>
      <c r="DE35" s="77"/>
      <c r="DF35" s="77"/>
      <c r="DG35" s="77"/>
      <c r="DH35" s="77"/>
      <c r="DI35" s="77"/>
      <c r="DJ35" s="77"/>
      <c r="DK35" s="77"/>
      <c r="DL35" s="77"/>
      <c r="DM35" s="77"/>
      <c r="DN35" s="77"/>
      <c r="DO35" s="77"/>
      <c r="DP35" s="77"/>
      <c r="DQ35" s="77"/>
      <c r="DR35" s="77"/>
      <c r="DS35" s="77"/>
      <c r="DT35" s="77"/>
      <c r="DU35" s="77"/>
      <c r="DV35" s="77"/>
      <c r="DW35" s="77"/>
      <c r="DX35" s="77"/>
      <c r="DY35" s="77"/>
      <c r="DZ35" s="77"/>
      <c r="EA35" s="77"/>
      <c r="EB35" s="77"/>
      <c r="EC35" s="77"/>
      <c r="ED35" s="77"/>
      <c r="EE35" s="77"/>
      <c r="EF35" s="77"/>
      <c r="EG35" s="77"/>
      <c r="EH35" s="77"/>
      <c r="EI35" s="77"/>
      <c r="EJ35" s="77"/>
      <c r="EK35" s="77"/>
      <c r="EL35" s="77"/>
      <c r="EM35" s="77"/>
      <c r="EN35" s="77"/>
      <c r="EO35" s="77"/>
      <c r="EP35" s="77"/>
      <c r="EQ35" s="77"/>
      <c r="ER35" s="77"/>
      <c r="ES35" s="77"/>
      <c r="ET35" s="77"/>
      <c r="EU35" s="77"/>
      <c r="EV35" s="77"/>
    </row>
    <row r="36" s="38" customFormat="true" ht="10.5" hidden="false" customHeight="true" outlineLevel="0" collapsed="false">
      <c r="A36" s="54"/>
      <c r="F36" s="50" t="n">
        <f aca="false">F35/B35-1</f>
        <v>-0.231486560614372</v>
      </c>
      <c r="G36" s="50" t="n">
        <f aca="false">G35/C35-1</f>
        <v>-0.304678998911861</v>
      </c>
      <c r="H36" s="50" t="n">
        <f aca="false">H35/D35-1</f>
        <v>-0.266704740148487</v>
      </c>
      <c r="I36" s="50" t="n">
        <f aca="false">I35/E35-1</f>
        <v>-0.169480519480519</v>
      </c>
      <c r="J36" s="50" t="n">
        <f aca="false">J35/F35-1</f>
        <v>-0.0849393290506781</v>
      </c>
      <c r="K36" s="50" t="n">
        <f aca="false">K35/G35-1</f>
        <v>-0.00469483568075113</v>
      </c>
      <c r="L36" s="50" t="n">
        <f aca="false">L35/H35-1</f>
        <v>0.0186915887850467</v>
      </c>
      <c r="M36" s="50" t="n">
        <f aca="false">M35/I35-1</f>
        <v>-0.00469116497263489</v>
      </c>
      <c r="N36" s="50" t="n">
        <f aca="false">N35/J35-1</f>
        <v>-0.0179407176287052</v>
      </c>
      <c r="O36" s="50" t="n">
        <f aca="false">O35/K35-1</f>
        <v>-0.00943396226415094</v>
      </c>
      <c r="P36" s="50" t="n">
        <f aca="false">P35/L35-1</f>
        <v>-0.000764525993883769</v>
      </c>
      <c r="Q36" s="50" t="n">
        <f aca="false">Q35/M35-1</f>
        <v>-0.00471327572663005</v>
      </c>
      <c r="R36" s="50" t="n">
        <f aca="false">R35/N35-1</f>
        <v>0.0595710881652105</v>
      </c>
      <c r="S36" s="50" t="n">
        <f aca="false">S35/O35-1</f>
        <v>0.246825396825397</v>
      </c>
      <c r="Z36" s="50"/>
      <c r="AA36" s="50"/>
      <c r="AB36" s="50"/>
      <c r="AC36" s="50"/>
      <c r="AD36" s="50"/>
      <c r="AE36" s="50"/>
    </row>
    <row r="37" s="44" customFormat="true" ht="12.8" hidden="false" customHeight="false" outlineLevel="0" collapsed="false">
      <c r="A37" s="72" t="s">
        <v>98</v>
      </c>
      <c r="B37" s="3" t="n">
        <f aca="false">+B35+B33+B31</f>
        <v>26449</v>
      </c>
      <c r="C37" s="3" t="n">
        <f aca="false">+C35+C33+C31</f>
        <v>29078</v>
      </c>
      <c r="D37" s="3" t="n">
        <f aca="false">+D35+D33+D31</f>
        <v>29119</v>
      </c>
      <c r="E37" s="3" t="n">
        <f aca="false">+E35+E33+E31</f>
        <v>30749</v>
      </c>
      <c r="F37" s="3" t="n">
        <f aca="false">+F35+F33+F31</f>
        <v>31408</v>
      </c>
      <c r="G37" s="3" t="n">
        <f aca="false">+G35+G33+G31</f>
        <v>33601</v>
      </c>
      <c r="H37" s="3" t="n">
        <f aca="false">+H35+H33+H31</f>
        <v>35281</v>
      </c>
      <c r="I37" s="3" t="n">
        <f aca="false">+I35+I33+I31</f>
        <v>37575</v>
      </c>
      <c r="J37" s="3" t="n">
        <f aca="false">+J35+J33+J31</f>
        <v>37651</v>
      </c>
      <c r="K37" s="3" t="n">
        <f aca="false">+K35+K33+K31</f>
        <v>39952</v>
      </c>
      <c r="L37" s="3" t="n">
        <f aca="false">+L35+L33+L31</f>
        <v>40973</v>
      </c>
      <c r="M37" s="3" t="n">
        <f aca="false">+M35+M33+M31</f>
        <v>44197</v>
      </c>
      <c r="N37" s="3" t="n">
        <f aca="false">+N35+N33+N31</f>
        <v>42818</v>
      </c>
      <c r="O37" s="3" t="n">
        <f aca="false">+O35+O33+O31</f>
        <v>46756</v>
      </c>
      <c r="P37" s="3" t="n">
        <f aca="false">+P35+P33+P31</f>
        <v>49740</v>
      </c>
      <c r="Q37" s="3" t="n">
        <f aca="false">+Q35+Q33+Q31</f>
        <v>54140</v>
      </c>
      <c r="R37" s="3" t="n">
        <f aca="false">+R35+R33+R31</f>
        <v>53720</v>
      </c>
      <c r="S37" s="3" t="n">
        <f aca="false">+S35+S33+S31</f>
        <v>58022</v>
      </c>
      <c r="T37" s="3" t="n">
        <f aca="false">+P37*1.18</f>
        <v>58693.2</v>
      </c>
      <c r="U37" s="3"/>
      <c r="V37" s="3"/>
      <c r="W37" s="3"/>
      <c r="X37" s="3"/>
      <c r="Y37" s="3" t="n">
        <v>65001</v>
      </c>
      <c r="Z37" s="3" t="n">
        <v>57897</v>
      </c>
      <c r="AA37" s="3" t="n">
        <v>90415</v>
      </c>
      <c r="AB37" s="3" t="n">
        <v>115395</v>
      </c>
      <c r="AC37" s="3" t="n">
        <f aca="false">SUM(F37:I37)</f>
        <v>137865</v>
      </c>
      <c r="AD37" s="3" t="n">
        <f aca="false">SUM(J37:M37)</f>
        <v>162773</v>
      </c>
      <c r="AE37" s="3" t="n">
        <f aca="false">SUM(N37:Q37)</f>
        <v>193454</v>
      </c>
      <c r="AF37" s="3" t="n">
        <f aca="false">+AE37*1.2</f>
        <v>232144.8</v>
      </c>
      <c r="AG37" s="3" t="n">
        <f aca="false">+AF37*1.2</f>
        <v>278573.76</v>
      </c>
      <c r="AH37" s="3" t="n">
        <f aca="false">+AG37*1.2</f>
        <v>334288.512</v>
      </c>
      <c r="AI37" s="3" t="n">
        <f aca="false">+AH37*1.2</f>
        <v>401146.2144</v>
      </c>
      <c r="AJ37" s="3" t="n">
        <f aca="false">+AI37*1.2</f>
        <v>481375.45728</v>
      </c>
      <c r="AK37" s="3" t="n">
        <f aca="false">+AJ37*1.2</f>
        <v>577650.548736</v>
      </c>
      <c r="AL37" s="3" t="n">
        <f aca="false">+AK37*1.2</f>
        <v>693180.6584832</v>
      </c>
      <c r="AM37" s="3" t="n">
        <f aca="false">+AL37*1.2</f>
        <v>831816.79017984</v>
      </c>
      <c r="AN37" s="3" t="n">
        <f aca="false">+AM37*1.2</f>
        <v>998180.148215808</v>
      </c>
      <c r="AO37" s="3" t="n">
        <f aca="false">+AN37*1.2</f>
        <v>1197816.17785897</v>
      </c>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row>
    <row r="38" s="38" customFormat="true" ht="10.5" hidden="false" customHeight="true" outlineLevel="0" collapsed="false">
      <c r="A38" s="50" t="s">
        <v>265</v>
      </c>
      <c r="F38" s="50" t="n">
        <f aca="false">F37/B37-1</f>
        <v>0.1874929108851</v>
      </c>
      <c r="G38" s="50" t="n">
        <f aca="false">G37/C37-1</f>
        <v>0.15554714904739</v>
      </c>
      <c r="H38" s="50" t="n">
        <f aca="false">H37/D37-1</f>
        <v>0.211614409835503</v>
      </c>
      <c r="I38" s="50" t="n">
        <f aca="false">I37/E37-1</f>
        <v>0.221990959055579</v>
      </c>
      <c r="J38" s="50" t="n">
        <f aca="false">J37/F37-1</f>
        <v>0.198771013754457</v>
      </c>
      <c r="K38" s="50" t="n">
        <f aca="false">K37/G37-1</f>
        <v>0.189012231778816</v>
      </c>
      <c r="L38" s="50" t="n">
        <f aca="false">L37/H37-1</f>
        <v>0.16133329554151</v>
      </c>
      <c r="M38" s="50" t="n">
        <f aca="false">M37/I37-1</f>
        <v>0.176234198270126</v>
      </c>
      <c r="N38" s="50" t="n">
        <f aca="false">N37/J37-1</f>
        <v>0.137234070808212</v>
      </c>
      <c r="O38" s="50" t="n">
        <f aca="false">O37/K37-1</f>
        <v>0.170304365238286</v>
      </c>
      <c r="P38" s="50" t="n">
        <f aca="false">P37/L37-1</f>
        <v>0.213970175481415</v>
      </c>
      <c r="Q38" s="50" t="n">
        <f aca="false">Q37/M37-1</f>
        <v>0.224970020589633</v>
      </c>
      <c r="R38" s="50" t="n">
        <f aca="false">R37/N37-1</f>
        <v>0.254612546125461</v>
      </c>
      <c r="S38" s="50" t="n">
        <f aca="false">S37/O37-1</f>
        <v>0.240953032765848</v>
      </c>
      <c r="T38" s="50" t="n">
        <f aca="false">T37/P37-1</f>
        <v>0.18</v>
      </c>
      <c r="Z38" s="50" t="n">
        <f aca="false">Z37/Y37-1</f>
        <v>-0.109290626298057</v>
      </c>
      <c r="AA38" s="50" t="n">
        <f aca="false">AA37/Z37-1</f>
        <v>0.561652589944211</v>
      </c>
      <c r="AB38" s="50" t="n">
        <f aca="false">AB37/AA37-1</f>
        <v>0.276281590444063</v>
      </c>
      <c r="AC38" s="50" t="n">
        <f aca="false">AC37/AB37-1</f>
        <v>0.194722474977252</v>
      </c>
      <c r="AD38" s="50" t="n">
        <f aca="false">AD37/AC37-1</f>
        <v>0.180669495520981</v>
      </c>
      <c r="AE38" s="50" t="n">
        <f aca="false">AE37/AD37-1</f>
        <v>0.188489491500433</v>
      </c>
      <c r="AF38" s="50" t="n">
        <f aca="false">AF37/AE37-1</f>
        <v>0.2</v>
      </c>
      <c r="AG38" s="50" t="n">
        <f aca="false">AG37/AF37-1</f>
        <v>0.2</v>
      </c>
      <c r="AH38" s="50" t="n">
        <f aca="false">AH37/AG37-1</f>
        <v>0.2</v>
      </c>
      <c r="AI38" s="50" t="n">
        <f aca="false">AI37/AH37-1</f>
        <v>0.2</v>
      </c>
      <c r="AJ38" s="50" t="n">
        <f aca="false">AJ37/AI37-1</f>
        <v>0.2</v>
      </c>
      <c r="AK38" s="50" t="n">
        <f aca="false">AK37/AJ37-1</f>
        <v>0.2</v>
      </c>
      <c r="AL38" s="50" t="n">
        <f aca="false">AL37/AK37-1</f>
        <v>0.2</v>
      </c>
      <c r="AM38" s="50" t="n">
        <f aca="false">AM37/AL37-1</f>
        <v>0.2</v>
      </c>
      <c r="AN38" s="50" t="n">
        <f aca="false">AN37/AM37-1</f>
        <v>0.2</v>
      </c>
      <c r="AO38" s="50" t="n">
        <f aca="false">AO37/AN37-1</f>
        <v>0.2</v>
      </c>
    </row>
    <row r="39" s="3" customFormat="true" ht="12.8" hidden="false" customHeight="false" outlineLevel="0" collapsed="false">
      <c r="A39" s="3" t="s">
        <v>280</v>
      </c>
      <c r="H39" s="3" t="n">
        <v>15</v>
      </c>
      <c r="I39" s="3" t="n">
        <v>19</v>
      </c>
      <c r="L39" s="3" t="n">
        <v>25</v>
      </c>
      <c r="M39" s="3" t="n">
        <v>30</v>
      </c>
      <c r="Q39" s="3" t="n">
        <v>46</v>
      </c>
      <c r="R39" s="1" t="n">
        <v>50</v>
      </c>
      <c r="S39" s="1"/>
      <c r="T39" s="1"/>
      <c r="U39" s="1"/>
      <c r="V39" s="1"/>
      <c r="W39" s="1"/>
      <c r="X39" s="1"/>
      <c r="AC39" s="3" t="n">
        <v>19</v>
      </c>
      <c r="AD39" s="3" t="n">
        <v>30</v>
      </c>
      <c r="AE39" s="3" t="n">
        <v>46</v>
      </c>
      <c r="AG39" s="1"/>
      <c r="AH39" s="1"/>
      <c r="AI39" s="1"/>
      <c r="EV39" s="1"/>
    </row>
    <row r="40" s="38" customFormat="true" ht="10.5" hidden="false" customHeight="true" outlineLevel="0" collapsed="false">
      <c r="A40" s="50" t="s">
        <v>265</v>
      </c>
      <c r="I40" s="38" t="n">
        <f aca="false">+I39/H39-1</f>
        <v>0.266666666666667</v>
      </c>
      <c r="M40" s="38" t="n">
        <f aca="false">+M39/L39-1</f>
        <v>0.2</v>
      </c>
      <c r="R40" s="38" t="n">
        <f aca="false">+R39/Q39-1</f>
        <v>0.0869565217391304</v>
      </c>
      <c r="AD40" s="50" t="n">
        <f aca="false">AD39/AC39-1</f>
        <v>0.578947368421053</v>
      </c>
      <c r="AE40" s="50" t="n">
        <f aca="false">AE39/AD39-1</f>
        <v>0.533333333333333</v>
      </c>
    </row>
    <row r="41" s="3" customFormat="true" ht="12.8" hidden="false" customHeight="false" outlineLevel="0" collapsed="false">
      <c r="A41" s="3" t="s">
        <v>281</v>
      </c>
      <c r="B41" s="79" t="n">
        <f aca="false">+B52/B37</f>
        <v>0.259140232144883</v>
      </c>
      <c r="C41" s="79" t="n">
        <f aca="false">+C52/C37</f>
        <v>0.277632574454914</v>
      </c>
      <c r="D41" s="79" t="n">
        <f aca="false">+D52/D37</f>
        <v>0.286513959957416</v>
      </c>
      <c r="E41" s="79" t="n">
        <f aca="false">+E52/E37</f>
        <v>0.279911541838759</v>
      </c>
      <c r="F41" s="79" t="n">
        <f aca="false">+F52/F37</f>
        <v>0.280945966268274</v>
      </c>
      <c r="G41" s="79" t="n">
        <f aca="false">+G52/G37</f>
        <v>0.274709523654408</v>
      </c>
      <c r="H41" s="79" t="n">
        <f aca="false">+H52/H37</f>
        <v>0.263382170546254</v>
      </c>
      <c r="I41" s="79" t="n">
        <f aca="false">+I52/I37</f>
        <v>0.264441859614279</v>
      </c>
      <c r="J41" s="79" t="n">
        <f aca="false">+J52/J37</f>
        <v>0.269085550035388</v>
      </c>
      <c r="K41" s="79" t="n">
        <f aca="false">+K52/K37</f>
        <v>0.267829659875461</v>
      </c>
      <c r="L41" s="79" t="n">
        <f aca="false">+L52/L37</f>
        <v>0.273068755914314</v>
      </c>
      <c r="M41" s="79" t="n">
        <f aca="false">+M52/M37</f>
        <v>0.270594335167717</v>
      </c>
      <c r="N41" s="79" t="n">
        <f aca="false">+N52/N37</f>
        <v>0.269357008161472</v>
      </c>
      <c r="O41" s="79" t="n">
        <f aca="false">+O52/O37</f>
        <v>0.270584177525103</v>
      </c>
      <c r="P41" s="79" t="n">
        <f aca="false">+P52/P37</f>
        <v>0.27075771670004</v>
      </c>
      <c r="Q41" s="79" t="n">
        <f aca="false">+Q52/Q37</f>
        <v>0.265349094939047</v>
      </c>
      <c r="R41" s="79" t="n">
        <f aca="false">+R52/R37</f>
        <v>0.245774385703649</v>
      </c>
      <c r="S41" s="79" t="n">
        <f aca="false">+S52/S37</f>
        <v>0.244579642204681</v>
      </c>
      <c r="T41" s="79"/>
      <c r="U41" s="79"/>
      <c r="V41" s="79"/>
      <c r="W41" s="79"/>
      <c r="X41" s="79"/>
      <c r="Y41" s="79" t="n">
        <f aca="false">+Y52/Y37</f>
        <v>0.2176428054953</v>
      </c>
      <c r="Z41" s="79" t="n">
        <f aca="false">+Z52/Z37</f>
        <v>0.19240211233051</v>
      </c>
      <c r="AA41" s="79" t="n">
        <f aca="false">+AA52/AA37</f>
        <v>0.193080712316803</v>
      </c>
      <c r="AB41" s="79" t="n">
        <f aca="false">+AB52/AB37</f>
        <v>0.276273493379057</v>
      </c>
      <c r="AC41" s="79" t="n">
        <f aca="false">+AC52/AC37</f>
        <v>0.270418802275018</v>
      </c>
      <c r="AD41" s="79" t="n">
        <f aca="false">+AD52/AD37</f>
        <v>0.270182228177682</v>
      </c>
      <c r="AE41" s="79" t="n">
        <f aca="false">+AE52/AE37</f>
        <v>0.268887843697427</v>
      </c>
      <c r="AF41" s="79" t="n">
        <f aca="false">+AF52/AF37</f>
        <v>0.250961987450932</v>
      </c>
      <c r="AG41" s="79" t="n">
        <f aca="false">+AG52/AG37</f>
        <v>0.24050523797381</v>
      </c>
      <c r="AH41" s="79" t="n">
        <f aca="false">+AH52/AH37</f>
        <v>0.232488396708016</v>
      </c>
      <c r="AI41" s="79" t="n">
        <f aca="false">+AI52/AI37</f>
        <v>0.224738783484415</v>
      </c>
      <c r="AJ41" s="79" t="n">
        <f aca="false">+AJ52/AJ37</f>
        <v>0.215374667505899</v>
      </c>
      <c r="AK41" s="79" t="n">
        <f aca="false">+AK52/AK37</f>
        <v>0.204605934130604</v>
      </c>
      <c r="AL41" s="79" t="n">
        <f aca="false">+AL52/AL37</f>
        <v>0.192670587972985</v>
      </c>
      <c r="AM41" s="79" t="n">
        <f aca="false">+AM52/AM37</f>
        <v>0.179825882108119</v>
      </c>
      <c r="AN41" s="79" t="n">
        <f aca="false">+AN52/AN37</f>
        <v>0.16633894095001</v>
      </c>
      <c r="AO41" s="79" t="n">
        <f aca="false">+AO52/AO37</f>
        <v>0.15247736253751</v>
      </c>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79"/>
      <c r="EO41" s="79"/>
      <c r="EP41" s="79"/>
      <c r="EQ41" s="79"/>
      <c r="ER41" s="79"/>
      <c r="ES41" s="79"/>
      <c r="ET41" s="79"/>
      <c r="EU41" s="79"/>
      <c r="EV41" s="80"/>
    </row>
    <row r="42" s="38" customFormat="true" ht="10.5" hidden="false" customHeight="true" outlineLevel="0" collapsed="false">
      <c r="A42" s="50" t="s">
        <v>265</v>
      </c>
      <c r="F42" s="50" t="n">
        <f aca="false">F41/B41-1</f>
        <v>0.0841464636459846</v>
      </c>
      <c r="G42" s="50" t="n">
        <f aca="false">G41/C41-1</f>
        <v>-0.0105284864582108</v>
      </c>
      <c r="H42" s="50" t="n">
        <f aca="false">H41/D41-1</f>
        <v>-0.0807352961600916</v>
      </c>
      <c r="I42" s="50" t="n">
        <f aca="false">I41/E41-1</f>
        <v>-0.0552663249355809</v>
      </c>
      <c r="J42" s="50" t="n">
        <f aca="false">J41/F41-1</f>
        <v>-0.0422160047016316</v>
      </c>
      <c r="K42" s="50" t="n">
        <f aca="false">K41/G41-1</f>
        <v>-0.0250441400335362</v>
      </c>
      <c r="L42" s="50" t="n">
        <f aca="false">L41/H41-1</f>
        <v>0.0367776806910309</v>
      </c>
      <c r="M42" s="50" t="n">
        <f aca="false">M41/I41-1</f>
        <v>0.023265891271574</v>
      </c>
      <c r="N42" s="50" t="n">
        <f aca="false">N41/J41-1</f>
        <v>0.00100881718118262</v>
      </c>
      <c r="O42" s="50" t="n">
        <f aca="false">O41/K41-1</f>
        <v>0.0102845877895783</v>
      </c>
      <c r="P42" s="50" t="n">
        <f aca="false">P41/L41-1</f>
        <v>-0.0084632136200864</v>
      </c>
      <c r="Q42" s="50" t="n">
        <f aca="false">Q41/M41-1</f>
        <v>-0.0193841464767521</v>
      </c>
      <c r="R42" s="50" t="n">
        <f aca="false">R41/N41-1</f>
        <v>-0.0875515458787922</v>
      </c>
      <c r="S42" s="50" t="n">
        <f aca="false">S41/O41-1</f>
        <v>-0.0961051586913621</v>
      </c>
      <c r="Z42" s="50" t="n">
        <f aca="false">Z41/Y41-1</f>
        <v>-0.115973018760482</v>
      </c>
      <c r="AA42" s="50" t="n">
        <f aca="false">AA41/Z41-1</f>
        <v>0.00352698823351805</v>
      </c>
      <c r="AB42" s="50" t="n">
        <f aca="false">AB41/AA41-1</f>
        <v>0.430870489672487</v>
      </c>
      <c r="AC42" s="50" t="n">
        <f aca="false">AC41/AB41-1</f>
        <v>-0.0211916497396534</v>
      </c>
      <c r="AD42" s="50" t="n">
        <f aca="false">AD41/AC41-1</f>
        <v>-0.000874843373853906</v>
      </c>
      <c r="AE42" s="50" t="n">
        <f aca="false">AE41/AD41-1</f>
        <v>-0.00479078320208315</v>
      </c>
      <c r="AF42" s="50" t="n">
        <f aca="false">AF41/AE41-1</f>
        <v>-0.0666666666666671</v>
      </c>
      <c r="AG42" s="50" t="n">
        <f aca="false">AG41/AF41-1</f>
        <v>-0.0416666666666659</v>
      </c>
      <c r="AH42" s="50" t="n">
        <f aca="false">AH41/AG41-1</f>
        <v>-0.0333333333333338</v>
      </c>
      <c r="AI42" s="50" t="n">
        <f aca="false">AI41/AH41-1</f>
        <v>-0.0333333333333336</v>
      </c>
      <c r="AJ42" s="50" t="n">
        <f aca="false">AJ41/AI41-1</f>
        <v>-0.0416666666666624</v>
      </c>
      <c r="AK42" s="50" t="n">
        <f aca="false">AK41/AJ41-1</f>
        <v>-0.0500000000000018</v>
      </c>
      <c r="AL42" s="50" t="n">
        <f aca="false">AL41/AK41-1</f>
        <v>-0.0583333333333335</v>
      </c>
      <c r="AM42" s="50" t="n">
        <f aca="false">AM41/AL41-1</f>
        <v>-0.0666666666666672</v>
      </c>
      <c r="AN42" s="50" t="n">
        <f aca="false">AN41/AM41-1</f>
        <v>-0.0750000000000042</v>
      </c>
      <c r="AO42" s="50" t="n">
        <f aca="false">AO41/AN41-1</f>
        <v>-0.0833333333333287</v>
      </c>
    </row>
    <row r="43" s="44" customFormat="true" ht="12.8" hidden="false" customHeight="false" outlineLevel="0" collapsed="false">
      <c r="A43" s="3"/>
      <c r="B43" s="3"/>
      <c r="C43" s="3"/>
      <c r="D43" s="3"/>
      <c r="E43" s="3"/>
      <c r="F43" s="3"/>
      <c r="G43" s="3"/>
      <c r="H43" s="3"/>
      <c r="I43" s="3"/>
      <c r="J43" s="3"/>
      <c r="K43" s="3"/>
      <c r="L43" s="3"/>
      <c r="M43" s="3"/>
      <c r="N43" s="3"/>
      <c r="O43" s="3"/>
      <c r="P43" s="3"/>
      <c r="Q43" s="3"/>
      <c r="R43" s="1"/>
      <c r="S43" s="1"/>
      <c r="T43" s="1"/>
      <c r="U43" s="1"/>
      <c r="V43" s="1"/>
      <c r="W43" s="1"/>
      <c r="X43" s="1"/>
      <c r="Y43" s="3"/>
      <c r="Z43" s="3"/>
      <c r="AA43" s="3"/>
      <c r="AB43" s="3"/>
      <c r="AC43" s="3"/>
      <c r="AD43" s="55"/>
      <c r="AE43" s="55"/>
      <c r="AF43" s="3"/>
      <c r="AG43" s="1"/>
      <c r="AH43" s="1"/>
      <c r="AI43" s="1"/>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1"/>
    </row>
    <row r="44" s="33" customFormat="true" ht="12.8" hidden="false" customHeight="false" outlineLevel="0" collapsed="false">
      <c r="A44" s="33" t="s">
        <v>105</v>
      </c>
      <c r="B44" s="33" t="n">
        <v>2518</v>
      </c>
      <c r="C44" s="33" t="n">
        <v>3553</v>
      </c>
      <c r="D44" s="33" t="n">
        <v>3822</v>
      </c>
      <c r="E44" s="33" t="n">
        <v>4136</v>
      </c>
      <c r="F44" s="33" t="n">
        <v>4330</v>
      </c>
      <c r="G44" s="33" t="n">
        <v>4894</v>
      </c>
      <c r="H44" s="33" t="n">
        <v>5071</v>
      </c>
      <c r="I44" s="33" t="n">
        <v>5537</v>
      </c>
      <c r="J44" s="33" t="n">
        <v>5633</v>
      </c>
      <c r="K44" s="33" t="n">
        <v>6134</v>
      </c>
      <c r="L44" s="33" t="n">
        <v>6409</v>
      </c>
      <c r="M44" s="33" t="n">
        <v>6911</v>
      </c>
      <c r="N44" s="33" t="n">
        <v>6496</v>
      </c>
      <c r="O44" s="33" t="n">
        <v>7288</v>
      </c>
      <c r="P44" s="33" t="n">
        <v>7682</v>
      </c>
      <c r="Q44" s="33" t="n">
        <v>8204</v>
      </c>
      <c r="R44" s="33" t="n">
        <v>6798</v>
      </c>
      <c r="S44" s="33" t="n">
        <v>7363</v>
      </c>
      <c r="Y44" s="33" t="n">
        <v>10745</v>
      </c>
      <c r="Z44" s="33" t="n">
        <v>6089</v>
      </c>
      <c r="AA44" s="33" t="n">
        <v>6953</v>
      </c>
      <c r="AB44" s="33" t="n">
        <v>14029</v>
      </c>
      <c r="AC44" s="33" t="n">
        <v>19832</v>
      </c>
      <c r="AD44" s="33" t="n">
        <v>25087</v>
      </c>
      <c r="AE44" s="33" t="n">
        <f aca="false">SUM(N44:Q44)</f>
        <v>29670</v>
      </c>
      <c r="EV44" s="1"/>
    </row>
    <row r="45" s="38" customFormat="true" ht="10.5" hidden="false" customHeight="true" outlineLevel="0" collapsed="false">
      <c r="A45" s="50" t="s">
        <v>265</v>
      </c>
      <c r="F45" s="38" t="n">
        <f aca="false">+F44/B44-1</f>
        <v>0.719618745035743</v>
      </c>
      <c r="G45" s="38" t="n">
        <f aca="false">+G44/C44-1</f>
        <v>0.377427526034337</v>
      </c>
      <c r="H45" s="38" t="n">
        <f aca="false">+H44/D44-1</f>
        <v>0.326792255363684</v>
      </c>
      <c r="I45" s="38" t="n">
        <f aca="false">+I44/E44-1</f>
        <v>0.338733075435203</v>
      </c>
      <c r="J45" s="38" t="n">
        <f aca="false">+J44/F44-1</f>
        <v>0.300923787528868</v>
      </c>
      <c r="K45" s="38" t="n">
        <f aca="false">+K44/G44-1</f>
        <v>0.253371475275848</v>
      </c>
      <c r="L45" s="38" t="n">
        <f aca="false">+L44/H44-1</f>
        <v>0.26385328337606</v>
      </c>
      <c r="M45" s="38" t="n">
        <f aca="false">+M44/I44-1</f>
        <v>0.248148817048943</v>
      </c>
      <c r="N45" s="38" t="n">
        <f aca="false">+N44/J44-1</f>
        <v>0.153204331617256</v>
      </c>
      <c r="O45" s="38" t="n">
        <f aca="false">+O44/K44-1</f>
        <v>0.18813172481252</v>
      </c>
      <c r="P45" s="38" t="n">
        <f aca="false">+P44/L44-1</f>
        <v>0.198626930878452</v>
      </c>
      <c r="Q45" s="38" t="n">
        <f aca="false">+Q44/M44-1</f>
        <v>0.18709304008103</v>
      </c>
      <c r="R45" s="38" t="n">
        <f aca="false">+R44/N44-1</f>
        <v>0.0464901477832513</v>
      </c>
      <c r="S45" s="38" t="n">
        <f aca="false">+S44/O44-1</f>
        <v>0.0102908891328211</v>
      </c>
      <c r="Z45" s="38" t="n">
        <f aca="false">+Z44/Y44-1</f>
        <v>-0.433317822242904</v>
      </c>
      <c r="AA45" s="38" t="n">
        <f aca="false">+AA44/Z44-1</f>
        <v>0.14189522089013</v>
      </c>
      <c r="AB45" s="38" t="n">
        <f aca="false">+AB44/AA44-1</f>
        <v>1.01769020566662</v>
      </c>
      <c r="AC45" s="38" t="n">
        <f aca="false">+AC44/AB44-1</f>
        <v>0.413643167724</v>
      </c>
      <c r="AD45" s="38" t="n">
        <f aca="false">+AD44/AC44-1</f>
        <v>0.264975796692215</v>
      </c>
      <c r="AE45" s="38" t="n">
        <f aca="false">+AE44/AD44-1</f>
        <v>0.182684258779448</v>
      </c>
    </row>
    <row r="46" s="33" customFormat="true" ht="12.8" hidden="false" customHeight="false" outlineLevel="0" collapsed="false">
      <c r="A46" s="33" t="s">
        <v>107</v>
      </c>
      <c r="B46" s="33" t="n">
        <v>2512</v>
      </c>
      <c r="C46" s="33" t="n">
        <v>2688</v>
      </c>
      <c r="D46" s="33" t="n">
        <v>2770</v>
      </c>
      <c r="E46" s="33" t="n">
        <v>2931</v>
      </c>
      <c r="F46" s="33" t="n">
        <v>3093</v>
      </c>
      <c r="G46" s="33" t="n">
        <v>3057</v>
      </c>
      <c r="H46" s="33" t="n">
        <v>2935</v>
      </c>
      <c r="I46" s="33" t="n">
        <v>3119</v>
      </c>
      <c r="J46" s="33" t="n">
        <v>3214</v>
      </c>
      <c r="K46" s="33" t="n">
        <v>3293</v>
      </c>
      <c r="L46" s="33" t="n">
        <v>3470</v>
      </c>
      <c r="M46" s="33" t="n">
        <v>3773</v>
      </c>
      <c r="N46" s="33" t="n">
        <v>3777</v>
      </c>
      <c r="O46" s="33" t="n">
        <v>4102</v>
      </c>
      <c r="P46" s="33" t="n">
        <v>4477</v>
      </c>
      <c r="Q46" s="33" t="n">
        <v>4892</v>
      </c>
      <c r="R46" s="33" t="n">
        <v>5068</v>
      </c>
      <c r="S46" s="33" t="n">
        <v>5245</v>
      </c>
      <c r="Y46" s="33" t="n">
        <v>2510</v>
      </c>
      <c r="Z46" s="33" t="n">
        <v>3904</v>
      </c>
      <c r="AA46" s="33" t="n">
        <v>8362</v>
      </c>
      <c r="AB46" s="33" t="n">
        <v>10901</v>
      </c>
      <c r="AC46" s="33" t="n">
        <v>12204</v>
      </c>
      <c r="AD46" s="33" t="n">
        <v>13750</v>
      </c>
      <c r="AE46" s="33" t="n">
        <f aca="false">SUM(N46:Q46)</f>
        <v>17248</v>
      </c>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1"/>
    </row>
    <row r="47" s="38" customFormat="true" ht="10.5" hidden="false" customHeight="true" outlineLevel="0" collapsed="false">
      <c r="A47" s="50" t="s">
        <v>265</v>
      </c>
      <c r="F47" s="38" t="n">
        <f aca="false">+F46/B46-1</f>
        <v>0.231289808917198</v>
      </c>
      <c r="G47" s="38" t="n">
        <f aca="false">+G46/C46-1</f>
        <v>0.137276785714286</v>
      </c>
      <c r="H47" s="38" t="n">
        <f aca="false">+H46/D46-1</f>
        <v>0.0595667870036101</v>
      </c>
      <c r="I47" s="38" t="n">
        <f aca="false">+I46/E46-1</f>
        <v>0.0641419310815421</v>
      </c>
      <c r="J47" s="38" t="n">
        <f aca="false">+J46/F46-1</f>
        <v>0.0391205948916908</v>
      </c>
      <c r="K47" s="38" t="n">
        <f aca="false">+K46/G46-1</f>
        <v>0.0771998691527642</v>
      </c>
      <c r="L47" s="38" t="n">
        <f aca="false">+L46/H46-1</f>
        <v>0.182282793867121</v>
      </c>
      <c r="M47" s="38" t="n">
        <f aca="false">+M46/I46-1</f>
        <v>0.209682590573902</v>
      </c>
      <c r="N47" s="38" t="n">
        <f aca="false">+N46/J46-1</f>
        <v>0.17517112632234</v>
      </c>
      <c r="O47" s="38" t="n">
        <f aca="false">+O46/K46-1</f>
        <v>0.245672638931066</v>
      </c>
      <c r="P47" s="38" t="n">
        <f aca="false">+P46/L46-1</f>
        <v>0.290201729106628</v>
      </c>
      <c r="Q47" s="38" t="n">
        <f aca="false">+Q46/M46-1</f>
        <v>0.296580970050358</v>
      </c>
      <c r="R47" s="38" t="n">
        <f aca="false">+R46/N46-1</f>
        <v>0.341805665872386</v>
      </c>
      <c r="S47" s="38" t="n">
        <f aca="false">+S46/O46-1</f>
        <v>0.278644563627499</v>
      </c>
      <c r="Z47" s="38" t="n">
        <f aca="false">+Z46/Y46-1</f>
        <v>0.555378486055777</v>
      </c>
      <c r="AA47" s="38" t="n">
        <f aca="false">+AA46/Z46-1</f>
        <v>1.14190573770492</v>
      </c>
      <c r="AB47" s="38" t="n">
        <f aca="false">+AB46/AA46-1</f>
        <v>0.303635493900981</v>
      </c>
      <c r="AC47" s="38" t="n">
        <f aca="false">+AC46/AB46-1</f>
        <v>0.11953031831942</v>
      </c>
      <c r="AD47" s="38" t="n">
        <f aca="false">+AD46/AC46-1</f>
        <v>0.126679777122255</v>
      </c>
      <c r="AE47" s="38" t="n">
        <f aca="false">+AE46/AD46-1</f>
        <v>0.2544</v>
      </c>
    </row>
    <row r="48" s="33" customFormat="true" ht="12.8" hidden="false" customHeight="false" outlineLevel="0" collapsed="false">
      <c r="A48" s="33" t="s">
        <v>109</v>
      </c>
      <c r="B48" s="33" t="n">
        <v>1824</v>
      </c>
      <c r="C48" s="33" t="n">
        <v>1832</v>
      </c>
      <c r="D48" s="33" t="n">
        <v>1751</v>
      </c>
      <c r="E48" s="33" t="n">
        <v>1540</v>
      </c>
      <c r="F48" s="33" t="n">
        <v>1400</v>
      </c>
      <c r="G48" s="33" t="n">
        <v>1279</v>
      </c>
      <c r="H48" s="33" t="n">
        <v>1286</v>
      </c>
      <c r="I48" s="33" t="n">
        <v>1280</v>
      </c>
      <c r="J48" s="33" t="n">
        <v>1284</v>
      </c>
      <c r="K48" s="33" t="n">
        <v>1273</v>
      </c>
      <c r="L48" s="33" t="n">
        <v>1309</v>
      </c>
      <c r="M48" s="33" t="n">
        <v>1275</v>
      </c>
      <c r="N48" s="33" t="n">
        <v>1260</v>
      </c>
      <c r="O48" s="33" t="n">
        <v>1261</v>
      </c>
      <c r="P48" s="33" t="n">
        <v>1308</v>
      </c>
      <c r="Q48" s="33" t="n">
        <v>1270</v>
      </c>
      <c r="R48" s="33" t="n">
        <v>1337</v>
      </c>
      <c r="S48" s="33" t="n">
        <v>1583</v>
      </c>
      <c r="Y48" s="33" t="n">
        <v>731</v>
      </c>
      <c r="Z48" s="33" t="n">
        <v>1011</v>
      </c>
      <c r="AA48" s="33" t="n">
        <v>2132</v>
      </c>
      <c r="AB48" s="33" t="n">
        <v>6947</v>
      </c>
      <c r="AC48" s="33" t="n">
        <v>5245</v>
      </c>
      <c r="AD48" s="33" t="n">
        <v>5141</v>
      </c>
      <c r="AE48" s="33" t="n">
        <f aca="false">SUM(N48:Q48)</f>
        <v>5099</v>
      </c>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1"/>
    </row>
    <row r="49" s="38" customFormat="true" ht="10.5" hidden="false" customHeight="true" outlineLevel="0" collapsed="false">
      <c r="A49" s="50" t="s">
        <v>265</v>
      </c>
      <c r="F49" s="38" t="n">
        <f aca="false">+F48/B48-1</f>
        <v>-0.232456140350877</v>
      </c>
      <c r="G49" s="38" t="n">
        <f aca="false">+G48/C48-1</f>
        <v>-0.301855895196507</v>
      </c>
      <c r="H49" s="38" t="n">
        <f aca="false">+H48/D48-1</f>
        <v>-0.265562535693889</v>
      </c>
      <c r="I49" s="38" t="n">
        <f aca="false">+I48/E48-1</f>
        <v>-0.168831168831169</v>
      </c>
      <c r="J49" s="38" t="n">
        <f aca="false">+J48/F48-1</f>
        <v>-0.0828571428571429</v>
      </c>
      <c r="K49" s="38" t="n">
        <f aca="false">+K48/G48-1</f>
        <v>-0.00469116497263489</v>
      </c>
      <c r="L49" s="38" t="n">
        <f aca="false">+L48/H48-1</f>
        <v>0.0178849144634525</v>
      </c>
      <c r="M49" s="38" t="n">
        <f aca="false">+M48/I48-1</f>
        <v>-0.00390625</v>
      </c>
      <c r="N49" s="38" t="n">
        <f aca="false">+N48/J48-1</f>
        <v>-0.0186915887850467</v>
      </c>
      <c r="O49" s="38" t="n">
        <f aca="false">+O48/K48-1</f>
        <v>-0.00942655145325999</v>
      </c>
      <c r="P49" s="38" t="n">
        <f aca="false">+P48/L48-1</f>
        <v>-0.000763941940412516</v>
      </c>
      <c r="Q49" s="38" t="n">
        <f aca="false">+Q48/M48-1</f>
        <v>-0.00392156862745097</v>
      </c>
      <c r="R49" s="38" t="n">
        <f aca="false">+R48/N48-1</f>
        <v>0.0611111111111111</v>
      </c>
      <c r="S49" s="38" t="n">
        <f aca="false">+S48/O48-1</f>
        <v>0.255352894528152</v>
      </c>
      <c r="Z49" s="38" t="n">
        <f aca="false">+Z48/Y48-1</f>
        <v>0.383036935704514</v>
      </c>
      <c r="AA49" s="38" t="n">
        <f aca="false">+AA48/Z48-1</f>
        <v>1.10880316518299</v>
      </c>
      <c r="AB49" s="38" t="n">
        <f aca="false">+AB48/AA48-1</f>
        <v>2.25844277673546</v>
      </c>
      <c r="AC49" s="38" t="n">
        <f aca="false">+AC48/AB48-1</f>
        <v>-0.244997840794588</v>
      </c>
      <c r="AD49" s="38" t="n">
        <f aca="false">+AD48/AC48-1</f>
        <v>-0.0198284080076263</v>
      </c>
      <c r="AE49" s="38" t="n">
        <f aca="false">+AE48/AD48-1</f>
        <v>-0.00816961680606887</v>
      </c>
    </row>
    <row r="50" s="38" customFormat="true" ht="12.8" hidden="false" customHeight="false" outlineLevel="0" collapsed="false">
      <c r="A50" s="33" t="s">
        <v>282</v>
      </c>
      <c r="B50" s="33" t="n">
        <v>0</v>
      </c>
      <c r="C50" s="33" t="n">
        <v>0</v>
      </c>
      <c r="D50" s="33" t="n">
        <v>0</v>
      </c>
      <c r="E50" s="33" t="n">
        <v>0</v>
      </c>
      <c r="F50" s="33" t="n">
        <v>0</v>
      </c>
      <c r="G50" s="33" t="n">
        <v>0</v>
      </c>
      <c r="H50" s="33" t="n">
        <v>0</v>
      </c>
      <c r="I50" s="33" t="n">
        <v>0</v>
      </c>
      <c r="J50" s="33" t="n">
        <v>0</v>
      </c>
      <c r="K50" s="33" t="n">
        <v>0</v>
      </c>
      <c r="L50" s="33" t="n">
        <v>0</v>
      </c>
      <c r="M50" s="33" t="n">
        <v>0</v>
      </c>
      <c r="N50" s="33" t="n">
        <v>0</v>
      </c>
      <c r="O50" s="33" t="n">
        <v>0</v>
      </c>
      <c r="P50" s="33" t="n">
        <v>0</v>
      </c>
      <c r="Q50" s="33" t="n">
        <v>0</v>
      </c>
      <c r="R50" s="33" t="n">
        <v>0</v>
      </c>
      <c r="S50" s="33" t="n">
        <v>0</v>
      </c>
      <c r="T50" s="33"/>
      <c r="U50" s="33"/>
      <c r="V50" s="33"/>
      <c r="W50" s="33"/>
      <c r="X50" s="33"/>
      <c r="Y50" s="33" t="n">
        <f aca="false">+119+42</f>
        <v>161</v>
      </c>
      <c r="Z50" s="33" t="n">
        <v>135</v>
      </c>
      <c r="AA50" s="33" t="n">
        <v>8</v>
      </c>
      <c r="AB50" s="33" t="n">
        <v>0</v>
      </c>
      <c r="AC50" s="33" t="n">
        <v>0</v>
      </c>
      <c r="AD50" s="33" t="n">
        <v>0</v>
      </c>
      <c r="AE50" s="33" t="n">
        <f aca="false">SUM(N50:Q50)</f>
        <v>0</v>
      </c>
      <c r="AF50" s="33"/>
      <c r="AG50" s="33"/>
      <c r="AH50" s="33"/>
      <c r="AI50" s="33"/>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1"/>
    </row>
    <row r="51" s="37" customFormat="true" ht="10.5" hidden="false" customHeight="true" outlineLevel="0" collapsed="false">
      <c r="A51" s="50" t="s">
        <v>265</v>
      </c>
      <c r="B51" s="38"/>
      <c r="C51" s="38"/>
      <c r="D51" s="38"/>
      <c r="E51" s="38"/>
      <c r="F51" s="50" t="s">
        <v>283</v>
      </c>
      <c r="G51" s="50" t="s">
        <v>283</v>
      </c>
      <c r="H51" s="50" t="s">
        <v>283</v>
      </c>
      <c r="I51" s="50" t="s">
        <v>283</v>
      </c>
      <c r="J51" s="50" t="s">
        <v>283</v>
      </c>
      <c r="K51" s="50" t="s">
        <v>283</v>
      </c>
      <c r="L51" s="50" t="s">
        <v>283</v>
      </c>
      <c r="M51" s="50" t="s">
        <v>283</v>
      </c>
      <c r="N51" s="50" t="s">
        <v>283</v>
      </c>
      <c r="O51" s="50" t="s">
        <v>283</v>
      </c>
      <c r="P51" s="50" t="s">
        <v>283</v>
      </c>
      <c r="Q51" s="50" t="s">
        <v>283</v>
      </c>
      <c r="R51" s="50" t="s">
        <v>283</v>
      </c>
      <c r="S51" s="50" t="s">
        <v>283</v>
      </c>
      <c r="T51" s="38"/>
      <c r="U51" s="38"/>
      <c r="V51" s="38"/>
      <c r="W51" s="38"/>
      <c r="X51" s="38"/>
      <c r="Y51" s="38"/>
      <c r="Z51" s="38" t="n">
        <f aca="false">+Z50/Y50-1</f>
        <v>-0.161490683229814</v>
      </c>
      <c r="AA51" s="38" t="n">
        <f aca="false">+AA50/Z50-1</f>
        <v>-0.940740740740741</v>
      </c>
      <c r="AB51" s="50" t="s">
        <v>283</v>
      </c>
      <c r="AC51" s="50" t="s">
        <v>283</v>
      </c>
      <c r="AD51" s="50" t="s">
        <v>283</v>
      </c>
      <c r="AE51" s="50" t="s">
        <v>283</v>
      </c>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38"/>
      <c r="BM51" s="38"/>
      <c r="BN51" s="38"/>
      <c r="BO51" s="38"/>
      <c r="BP51" s="38"/>
      <c r="BQ51" s="38"/>
      <c r="BR51" s="38"/>
      <c r="BS51" s="38"/>
      <c r="BT51" s="38"/>
      <c r="BU51" s="38"/>
      <c r="BV51" s="38"/>
      <c r="BW51" s="38"/>
      <c r="BX51" s="38"/>
      <c r="BY51" s="38"/>
      <c r="BZ51" s="38"/>
      <c r="CA51" s="38"/>
      <c r="CB51" s="38"/>
      <c r="CC51" s="38"/>
      <c r="CD51" s="38"/>
      <c r="CE51" s="38"/>
      <c r="CF51" s="38"/>
      <c r="CG51" s="38"/>
      <c r="CH51" s="38"/>
      <c r="CI51" s="38"/>
      <c r="CJ51" s="38"/>
      <c r="CK51" s="38"/>
      <c r="CL51" s="38"/>
      <c r="CM51" s="38"/>
      <c r="CN51" s="38"/>
      <c r="CO51" s="38"/>
      <c r="CP51" s="38"/>
      <c r="CQ51" s="38"/>
      <c r="CR51" s="38"/>
      <c r="CS51" s="38"/>
      <c r="CT51" s="38"/>
      <c r="CU51" s="38"/>
      <c r="CV51" s="38"/>
      <c r="CW51" s="38"/>
      <c r="CX51" s="38"/>
      <c r="CY51" s="38"/>
      <c r="CZ51" s="38"/>
      <c r="DA51" s="38"/>
      <c r="DB51" s="38"/>
      <c r="DC51" s="38"/>
      <c r="DD51" s="38"/>
      <c r="DE51" s="38"/>
      <c r="DF51" s="38"/>
      <c r="DG51" s="38"/>
      <c r="DH51" s="38"/>
      <c r="DI51" s="38"/>
      <c r="DJ51" s="38"/>
      <c r="DK51" s="38"/>
      <c r="DL51" s="38"/>
      <c r="DM51" s="38"/>
      <c r="DN51" s="38"/>
      <c r="DO51" s="38"/>
      <c r="DP51" s="38"/>
      <c r="DQ51" s="38"/>
      <c r="DR51" s="38"/>
      <c r="DS51" s="38"/>
      <c r="DT51" s="38"/>
      <c r="DU51" s="38"/>
      <c r="DV51" s="38"/>
      <c r="DW51" s="38"/>
      <c r="DX51" s="38"/>
      <c r="DY51" s="38"/>
      <c r="DZ51" s="38"/>
      <c r="EA51" s="38"/>
      <c r="EB51" s="38"/>
      <c r="EC51" s="38"/>
      <c r="ED51" s="38"/>
      <c r="EE51" s="38"/>
      <c r="EF51" s="38"/>
      <c r="EG51" s="38"/>
      <c r="EH51" s="38"/>
      <c r="EI51" s="38"/>
      <c r="EJ51" s="38"/>
      <c r="EK51" s="38"/>
      <c r="EL51" s="38"/>
      <c r="EM51" s="38"/>
      <c r="EN51" s="38"/>
      <c r="EO51" s="38"/>
      <c r="EP51" s="38"/>
      <c r="EQ51" s="38"/>
      <c r="ER51" s="38"/>
      <c r="ES51" s="38"/>
      <c r="ET51" s="38"/>
      <c r="EU51" s="38"/>
      <c r="EV51" s="38"/>
    </row>
    <row r="52" s="38" customFormat="true" ht="12.8" hidden="false" customHeight="false" outlineLevel="0" collapsed="false">
      <c r="A52" s="81" t="s">
        <v>284</v>
      </c>
      <c r="B52" s="81" t="n">
        <f aca="false">SUM(B44:B48)</f>
        <v>6854</v>
      </c>
      <c r="C52" s="81" t="n">
        <f aca="false">SUM(C44:C48)</f>
        <v>8073</v>
      </c>
      <c r="D52" s="81" t="n">
        <f aca="false">SUM(D44:D48)</f>
        <v>8343</v>
      </c>
      <c r="E52" s="81" t="n">
        <f aca="false">SUM(E44:E48)</f>
        <v>8607</v>
      </c>
      <c r="F52" s="81" t="n">
        <f aca="false">SUM(F44:F48)</f>
        <v>8823.95090855395</v>
      </c>
      <c r="G52" s="81" t="n">
        <f aca="false">SUM(G44:G48)</f>
        <v>9230.51470431175</v>
      </c>
      <c r="H52" s="81" t="n">
        <f aca="false">SUM(H44:H48)</f>
        <v>9292.38635904237</v>
      </c>
      <c r="I52" s="81" t="n">
        <f aca="false">SUM(I44:I48)</f>
        <v>9936.40287500652</v>
      </c>
      <c r="J52" s="81" t="n">
        <f aca="false">SUM(J44:J48)</f>
        <v>10131.3400443824</v>
      </c>
      <c r="K52" s="81" t="n">
        <f aca="false">SUM(K44:K48)</f>
        <v>10700.3305713444</v>
      </c>
      <c r="L52" s="81" t="n">
        <f aca="false">SUM(L44:L48)</f>
        <v>11188.4461360772</v>
      </c>
      <c r="M52" s="81" t="n">
        <f aca="false">SUM(M44:M48)</f>
        <v>11959.4578314076</v>
      </c>
      <c r="N52" s="81" t="n">
        <f aca="false">SUM(N44:N48)</f>
        <v>11533.3283754579</v>
      </c>
      <c r="O52" s="81" t="n">
        <f aca="false">SUM(O44:O48)</f>
        <v>12651.4338043637</v>
      </c>
      <c r="P52" s="81" t="n">
        <f aca="false">SUM(P44:P48)</f>
        <v>13467.48882866</v>
      </c>
      <c r="Q52" s="81" t="n">
        <f aca="false">SUM(Q44:Q48)-Q47-Q45</f>
        <v>14366</v>
      </c>
      <c r="R52" s="81" t="n">
        <f aca="false">SUM(R44:R48)-R47-R45</f>
        <v>13203</v>
      </c>
      <c r="S52" s="81" t="n">
        <f aca="false">SUM(S44:S48)-S47-S45</f>
        <v>14191</v>
      </c>
      <c r="T52" s="81" t="n">
        <f aca="false">+P52*1.1</f>
        <v>14814.237711526</v>
      </c>
      <c r="U52" s="81" t="n">
        <f aca="false">+Q52*1.1</f>
        <v>15802.6</v>
      </c>
      <c r="V52" s="1"/>
      <c r="W52" s="1"/>
      <c r="X52" s="1"/>
      <c r="Y52" s="81" t="n">
        <f aca="false">SUM(Y44:Y50)</f>
        <v>14147</v>
      </c>
      <c r="Z52" s="81" t="n">
        <f aca="false">SUM(Z44:Z50)</f>
        <v>11139.5050975995</v>
      </c>
      <c r="AA52" s="81" t="n">
        <f aca="false">SUM(AA44:AA50)</f>
        <v>17457.3926041238</v>
      </c>
      <c r="AB52" s="81" t="n">
        <f aca="false">SUM(AB44:AB50)</f>
        <v>31880.5797684763</v>
      </c>
      <c r="AC52" s="81" t="n">
        <f aca="false">SUM(AC44:AC50)</f>
        <v>37281.2881756453</v>
      </c>
      <c r="AD52" s="81" t="n">
        <f aca="false">SUM(AD44:AD50)</f>
        <v>43978.3718271658</v>
      </c>
      <c r="AE52" s="81" t="n">
        <f aca="false">SUM(AE44:AE50)</f>
        <v>52017.428914642</v>
      </c>
      <c r="AF52" s="81" t="n">
        <f aca="false">AE52*1.12</f>
        <v>58259.520384399</v>
      </c>
      <c r="AG52" s="81" t="n">
        <f aca="false">AF52*1.15</f>
        <v>66998.4484420589</v>
      </c>
      <c r="AH52" s="81" t="n">
        <f aca="false">AG52*1.16</f>
        <v>77718.2001927883</v>
      </c>
      <c r="AI52" s="81" t="n">
        <f aca="false">AH52*1.16</f>
        <v>90153.1122236344</v>
      </c>
      <c r="AJ52" s="81" t="n">
        <f aca="false">AI52*1.15</f>
        <v>103676.07905718</v>
      </c>
      <c r="AK52" s="81" t="n">
        <f aca="false">AJ52*1.14</f>
        <v>118190.730125185</v>
      </c>
      <c r="AL52" s="81" t="n">
        <f aca="false">AK52*1.13</f>
        <v>133555.525041459</v>
      </c>
      <c r="AM52" s="81" t="n">
        <f aca="false">AL52*1.12</f>
        <v>149582.188046434</v>
      </c>
      <c r="AN52" s="81" t="n">
        <f aca="false">AM52*1.11</f>
        <v>166036.228731541</v>
      </c>
      <c r="AO52" s="81" t="n">
        <f aca="false">AN52*1.1</f>
        <v>182639.851604696</v>
      </c>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1"/>
    </row>
    <row r="53" s="44" customFormat="true" ht="10.5" hidden="false" customHeight="true" outlineLevel="0" collapsed="false">
      <c r="A53" s="50" t="s">
        <v>265</v>
      </c>
      <c r="B53" s="38"/>
      <c r="C53" s="38"/>
      <c r="D53" s="38"/>
      <c r="E53" s="38"/>
      <c r="F53" s="38" t="n">
        <f aca="false">+F52/B52-1</f>
        <v>0.287416239940758</v>
      </c>
      <c r="G53" s="38" t="n">
        <f aca="false">+G52/C52-1</f>
        <v>0.14338098653682</v>
      </c>
      <c r="H53" s="38" t="n">
        <f aca="false">+H52/D52-1</f>
        <v>0.113794361625599</v>
      </c>
      <c r="I53" s="38" t="n">
        <f aca="false">+I52/E52-1</f>
        <v>0.154456009644071</v>
      </c>
      <c r="J53" s="38" t="n">
        <f aca="false">+J52/F52-1</f>
        <v>0.148163691001622</v>
      </c>
      <c r="K53" s="38" t="n">
        <f aca="false">+K52/G52-1</f>
        <v>0.159234442944563</v>
      </c>
      <c r="L53" s="38" t="n">
        <f aca="false">+L52/H52-1</f>
        <v>0.204044440660803</v>
      </c>
      <c r="M53" s="38" t="n">
        <f aca="false">+M52/I52-1</f>
        <v>0.203600335236989</v>
      </c>
      <c r="N53" s="38" t="n">
        <f aca="false">+N52/J52-1</f>
        <v>0.138381332077871</v>
      </c>
      <c r="O53" s="38" t="n">
        <f aca="false">+O52/K52-1</f>
        <v>0.182340463223107</v>
      </c>
      <c r="P53" s="38" t="n">
        <f aca="false">+P52/L52-1</f>
        <v>0.203696086557895</v>
      </c>
      <c r="Q53" s="38" t="n">
        <f aca="false">+Q52/M52-1</f>
        <v>0.201225022280893</v>
      </c>
      <c r="R53" s="38" t="n">
        <f aca="false">+R52/N52-1</f>
        <v>0.14476927823325</v>
      </c>
      <c r="S53" s="38" t="n">
        <f aca="false">+S52/O52-1</f>
        <v>0.121691044623359</v>
      </c>
      <c r="T53" s="38"/>
      <c r="U53" s="38"/>
      <c r="V53" s="38"/>
      <c r="W53" s="38"/>
      <c r="X53" s="38"/>
      <c r="Y53" s="38"/>
      <c r="Z53" s="38" t="n">
        <f aca="false">+Z52/Y52-1</f>
        <v>-0.21258888120453</v>
      </c>
      <c r="AA53" s="38" t="n">
        <f aca="false">+AA52/Z52-1</f>
        <v>0.567160520253788</v>
      </c>
      <c r="AB53" s="38" t="n">
        <f aca="false">+AB52/AA52-1</f>
        <v>0.826193664278678</v>
      </c>
      <c r="AC53" s="38" t="n">
        <f aca="false">+AC52/AB52-1</f>
        <v>0.16940433475144</v>
      </c>
      <c r="AD53" s="38" t="n">
        <f aca="false">+AD52/AC52-1</f>
        <v>0.179636594636115</v>
      </c>
      <c r="AE53" s="38" t="n">
        <f aca="false">+AE52/AD52-1</f>
        <v>0.1827956960087</v>
      </c>
      <c r="AF53" s="38" t="n">
        <f aca="false">+AF52/AE52-1</f>
        <v>0.12</v>
      </c>
      <c r="AG53" s="38" t="n">
        <f aca="false">+AG52/AF52-1</f>
        <v>0.15</v>
      </c>
      <c r="AH53" s="38" t="n">
        <f aca="false">+AH52/AG52-1</f>
        <v>0.16</v>
      </c>
      <c r="AI53" s="38" t="n">
        <f aca="false">+AI52/AH52-1</f>
        <v>0.16</v>
      </c>
      <c r="AJ53" s="38" t="n">
        <f aca="false">+AJ52/AI52-1</f>
        <v>0.15</v>
      </c>
      <c r="AK53" s="38" t="n">
        <f aca="false">+AK52/AJ52-1</f>
        <v>0.14</v>
      </c>
      <c r="AL53" s="38" t="n">
        <f aca="false">+AL52/AK52-1</f>
        <v>0.13</v>
      </c>
      <c r="AM53" s="38" t="n">
        <f aca="false">+AM52/AL52-1</f>
        <v>0.12</v>
      </c>
      <c r="AN53" s="38" t="n">
        <f aca="false">+AN52/AM52-1</f>
        <v>0.11</v>
      </c>
      <c r="AO53" s="38" t="n">
        <f aca="false">+AO52/AN52-1</f>
        <v>0.1</v>
      </c>
      <c r="AP53" s="38"/>
      <c r="AQ53" s="38"/>
      <c r="AR53" s="38"/>
      <c r="AS53" s="38"/>
      <c r="AT53" s="38"/>
      <c r="AU53" s="38"/>
      <c r="AV53" s="38"/>
      <c r="AW53" s="38"/>
      <c r="AX53" s="38"/>
      <c r="AY53" s="38"/>
      <c r="AZ53" s="38"/>
      <c r="BA53" s="38"/>
      <c r="BB53" s="38"/>
      <c r="BC53" s="38"/>
      <c r="BD53" s="38"/>
      <c r="BE53" s="38"/>
      <c r="BF53" s="38"/>
      <c r="BG53" s="38"/>
      <c r="BH53" s="38"/>
      <c r="BI53" s="38"/>
      <c r="BJ53" s="38"/>
      <c r="BK53" s="38"/>
      <c r="BL53" s="38"/>
      <c r="BM53" s="38"/>
      <c r="BN53" s="38"/>
      <c r="BO53" s="38"/>
      <c r="BP53" s="38"/>
      <c r="BQ53" s="38"/>
      <c r="BR53" s="38"/>
      <c r="BS53" s="38"/>
      <c r="BT53" s="38"/>
      <c r="BU53" s="38"/>
      <c r="BV53" s="38"/>
      <c r="BW53" s="38"/>
      <c r="BX53" s="38"/>
      <c r="BY53" s="38"/>
      <c r="BZ53" s="38"/>
      <c r="CA53" s="38"/>
      <c r="CB53" s="38"/>
      <c r="CC53" s="38"/>
      <c r="CD53" s="38"/>
      <c r="CE53" s="38"/>
      <c r="CF53" s="38"/>
      <c r="CG53" s="38"/>
      <c r="CH53" s="38"/>
      <c r="CI53" s="38"/>
      <c r="CJ53" s="38"/>
      <c r="CK53" s="38"/>
      <c r="CL53" s="38"/>
      <c r="CM53" s="38"/>
      <c r="CN53" s="38"/>
      <c r="CO53" s="38"/>
      <c r="CP53" s="38"/>
      <c r="CQ53" s="38"/>
      <c r="CR53" s="38"/>
      <c r="CS53" s="38"/>
      <c r="CT53" s="38"/>
      <c r="CU53" s="38"/>
      <c r="CV53" s="38"/>
      <c r="CW53" s="38"/>
      <c r="CX53" s="38"/>
      <c r="CY53" s="38"/>
      <c r="CZ53" s="38"/>
      <c r="DA53" s="38"/>
      <c r="DB53" s="38"/>
      <c r="DC53" s="38"/>
      <c r="DD53" s="38"/>
      <c r="DE53" s="38"/>
      <c r="DF53" s="38"/>
      <c r="DG53" s="38"/>
      <c r="DH53" s="38"/>
      <c r="DI53" s="38"/>
      <c r="DJ53" s="38"/>
      <c r="DK53" s="38"/>
      <c r="DL53" s="38"/>
      <c r="DM53" s="38"/>
      <c r="DN53" s="38"/>
      <c r="DO53" s="38"/>
      <c r="DP53" s="38"/>
      <c r="DQ53" s="38"/>
      <c r="DR53" s="38"/>
      <c r="DS53" s="38"/>
      <c r="DT53" s="38"/>
      <c r="DU53" s="38"/>
      <c r="DV53" s="38"/>
      <c r="DW53" s="38"/>
      <c r="DX53" s="38"/>
      <c r="DY53" s="38"/>
      <c r="DZ53" s="38"/>
      <c r="EA53" s="38"/>
      <c r="EB53" s="38"/>
      <c r="EC53" s="38"/>
      <c r="ED53" s="38"/>
      <c r="EE53" s="38"/>
      <c r="EF53" s="38"/>
      <c r="EG53" s="38"/>
      <c r="EH53" s="38"/>
      <c r="EI53" s="38"/>
      <c r="EJ53" s="38"/>
      <c r="EK53" s="38"/>
      <c r="EL53" s="38"/>
      <c r="EM53" s="38"/>
      <c r="EN53" s="38"/>
      <c r="EO53" s="38"/>
      <c r="EP53" s="38"/>
      <c r="EQ53" s="38"/>
      <c r="ER53" s="38"/>
      <c r="ES53" s="38"/>
      <c r="ET53" s="38"/>
      <c r="EU53" s="38"/>
      <c r="EV53" s="38"/>
    </row>
    <row r="54" s="38" customFormat="true" ht="12.8" hidden="false" customHeight="false" outlineLevel="0" collapsed="false">
      <c r="A54" s="33" t="s">
        <v>285</v>
      </c>
      <c r="B54" s="33" t="n">
        <f aca="false">+4026+254</f>
        <v>4280</v>
      </c>
      <c r="C54" s="33" t="n">
        <f aca="false">+5153+243</f>
        <v>5396</v>
      </c>
      <c r="D54" s="33" t="n">
        <f aca="false">+5173+227</f>
        <v>5400</v>
      </c>
      <c r="E54" s="33" t="n">
        <f aca="false">+5307+223</f>
        <v>5530</v>
      </c>
      <c r="F54" s="33" t="n">
        <f aca="false">+207+5259</f>
        <v>5466</v>
      </c>
      <c r="G54" s="33" t="n">
        <f aca="false">+208+5515</f>
        <v>5723</v>
      </c>
      <c r="H54" s="33" t="n">
        <f aca="false">+205+5626</f>
        <v>5831</v>
      </c>
      <c r="I54" s="33" t="n">
        <f aca="false">+203+6057</f>
        <v>6260</v>
      </c>
      <c r="J54" s="33" t="n">
        <f aca="false">+190+6168</f>
        <v>6358</v>
      </c>
      <c r="K54" s="33" t="n">
        <f aca="false">+173+6488</f>
        <v>6661</v>
      </c>
      <c r="L54" s="33" t="n">
        <f aca="false">+179+6761</f>
        <v>6940</v>
      </c>
      <c r="M54" s="33" t="n">
        <f aca="false">+169+7234</f>
        <v>7403</v>
      </c>
      <c r="N54" s="33" t="n">
        <f aca="false">+171+6937</f>
        <v>7108</v>
      </c>
      <c r="O54" s="33" t="n">
        <f aca="false">+175+7611</f>
        <v>7786</v>
      </c>
      <c r="P54" s="33" t="n">
        <f aca="false">+188+8109</f>
        <v>8297</v>
      </c>
      <c r="Q54" s="33" t="n">
        <f aca="false">+185+8681</f>
        <v>8866</v>
      </c>
      <c r="R54" s="33" t="n">
        <f aca="false">+7258+184</f>
        <v>7442</v>
      </c>
      <c r="S54" s="33" t="n">
        <f aca="false">+7815+188</f>
        <v>8003</v>
      </c>
      <c r="T54" s="33" t="n">
        <f aca="false">+T52-T56</f>
        <v>8444.11549556982</v>
      </c>
      <c r="U54" s="33" t="n">
        <f aca="false">+U52-U56</f>
        <v>9007.482</v>
      </c>
      <c r="V54" s="33"/>
      <c r="W54" s="33"/>
      <c r="X54" s="33"/>
      <c r="Y54" s="33" t="n">
        <f aca="false">+7208+472</f>
        <v>7680</v>
      </c>
      <c r="Z54" s="33" t="n">
        <f aca="false">+575+5154</f>
        <v>5729</v>
      </c>
      <c r="AA54" s="33" t="n">
        <f aca="false">+902+9351</f>
        <v>10253</v>
      </c>
      <c r="AB54" s="33" t="n">
        <f aca="false">+947+19659</f>
        <v>20606</v>
      </c>
      <c r="AC54" s="33" t="n">
        <f aca="false">+823+22457</f>
        <v>23280</v>
      </c>
      <c r="AD54" s="33" t="n">
        <f aca="false">+711+26651</f>
        <v>27362</v>
      </c>
      <c r="AE54" s="33" t="n">
        <f aca="false">SUM(N54:Q54)</f>
        <v>32057</v>
      </c>
      <c r="AF54" s="33" t="n">
        <f aca="false">AF52-AF56</f>
        <v>34955.7122306394</v>
      </c>
      <c r="AG54" s="33" t="n">
        <f aca="false">AG52-AG56</f>
        <v>39864.076823025</v>
      </c>
      <c r="AH54" s="33" t="n">
        <f aca="false">AH52-AH56</f>
        <v>45853.7381137451</v>
      </c>
      <c r="AI54" s="33" t="n">
        <f aca="false">AI52-AI56</f>
        <v>52739.5706508261</v>
      </c>
      <c r="AJ54" s="33" t="n">
        <f aca="false">AJ52-AJ56</f>
        <v>60132.1258531641</v>
      </c>
      <c r="AK54" s="33" t="n">
        <f aca="false">AK52-AK56</f>
        <v>66777.7625207294</v>
      </c>
      <c r="AL54" s="33" t="n">
        <f aca="false">AL52-AL56</f>
        <v>76126.6492736314</v>
      </c>
      <c r="AM54" s="33" t="n">
        <f aca="false">AM52-AM56</f>
        <v>84513.9362462351</v>
      </c>
      <c r="AN54" s="33" t="n">
        <f aca="false">AN52-AN56</f>
        <v>92980.2880896632</v>
      </c>
      <c r="AO54" s="33" t="n">
        <f aca="false">AO52-AO56</f>
        <v>101365.117640606</v>
      </c>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c r="CW54" s="33"/>
      <c r="CX54" s="33"/>
      <c r="CY54" s="33"/>
      <c r="CZ54" s="33"/>
      <c r="DA54" s="33"/>
      <c r="DB54" s="33"/>
      <c r="DC54" s="33"/>
      <c r="DD54" s="33"/>
      <c r="DE54" s="33"/>
      <c r="DF54" s="33"/>
      <c r="DG54" s="33"/>
      <c r="DH54" s="33"/>
      <c r="DI54" s="33"/>
      <c r="DJ54" s="33"/>
      <c r="DK54" s="33"/>
      <c r="DL54" s="33"/>
      <c r="DM54" s="33"/>
      <c r="DN54" s="33"/>
      <c r="DO54" s="33"/>
      <c r="DP54" s="33"/>
      <c r="DQ54" s="33"/>
      <c r="DR54" s="33"/>
      <c r="DS54" s="33"/>
      <c r="DT54" s="33"/>
      <c r="DU54" s="33"/>
      <c r="DV54" s="33"/>
      <c r="DW54" s="33"/>
      <c r="DX54" s="33"/>
      <c r="DY54" s="33"/>
      <c r="DZ54" s="33"/>
      <c r="EA54" s="33"/>
      <c r="EB54" s="33"/>
      <c r="EC54" s="33"/>
      <c r="ED54" s="33"/>
      <c r="EE54" s="33"/>
      <c r="EF54" s="33"/>
      <c r="EG54" s="33"/>
      <c r="EH54" s="33"/>
      <c r="EI54" s="33"/>
      <c r="EJ54" s="33"/>
      <c r="EK54" s="33"/>
      <c r="EL54" s="33"/>
      <c r="EM54" s="33"/>
      <c r="EN54" s="33"/>
      <c r="EO54" s="33"/>
      <c r="EP54" s="33"/>
      <c r="EQ54" s="33"/>
      <c r="ER54" s="33"/>
      <c r="ES54" s="33"/>
      <c r="ET54" s="33"/>
      <c r="EU54" s="33"/>
      <c r="EV54" s="1"/>
    </row>
    <row r="55" s="44" customFormat="true" ht="10.5" hidden="false" customHeight="true" outlineLevel="0" collapsed="false">
      <c r="A55" s="50" t="s">
        <v>265</v>
      </c>
      <c r="B55" s="38" t="n">
        <f aca="false">+B54/B$52</f>
        <v>0.624452874234024</v>
      </c>
      <c r="C55" s="38" t="n">
        <f aca="false">+C54/C$52</f>
        <v>0.668400842313886</v>
      </c>
      <c r="D55" s="38" t="n">
        <f aca="false">+D54/D$52</f>
        <v>0.647249190938511</v>
      </c>
      <c r="E55" s="38" t="n">
        <f aca="false">+E54/E$52</f>
        <v>0.642500290461253</v>
      </c>
      <c r="F55" s="38" t="n">
        <f aca="false">+F54/F$52</f>
        <v>0.619450409079367</v>
      </c>
      <c r="G55" s="38" t="n">
        <f aca="false">+G54/G$52</f>
        <v>0.620008762602011</v>
      </c>
      <c r="H55" s="38" t="n">
        <f aca="false">+H54/H$52</f>
        <v>0.627502965836745</v>
      </c>
      <c r="I55" s="38" t="n">
        <f aca="false">+I54/I$52</f>
        <v>0.630006661238149</v>
      </c>
      <c r="J55" s="38" t="n">
        <f aca="false">+J54/J$52</f>
        <v>0.627557654974316</v>
      </c>
      <c r="K55" s="38" t="n">
        <f aca="false">+K54/K$52</f>
        <v>0.622504132520749</v>
      </c>
      <c r="L55" s="38" t="n">
        <f aca="false">+L54/L$52</f>
        <v>0.620282737709389</v>
      </c>
      <c r="M55" s="38" t="n">
        <f aca="false">+M54/M$52</f>
        <v>0.619007993870629</v>
      </c>
      <c r="N55" s="38" t="n">
        <f aca="false">+N54/N$52</f>
        <v>0.61630084296614</v>
      </c>
      <c r="O55" s="38" t="n">
        <f aca="false">+O54/O$52</f>
        <v>0.615424316358077</v>
      </c>
      <c r="P55" s="38" t="n">
        <f aca="false">+P54/P$52</f>
        <v>0.616076248924986</v>
      </c>
      <c r="Q55" s="38" t="n">
        <f aca="false">+Q54/Q$52</f>
        <v>0.617151607963247</v>
      </c>
      <c r="R55" s="38" t="n">
        <f aca="false">+R54/R$52</f>
        <v>0.563659774293721</v>
      </c>
      <c r="S55" s="38" t="n">
        <f aca="false">+S54/S$52</f>
        <v>0.563948981748996</v>
      </c>
      <c r="T55" s="38"/>
      <c r="U55" s="38"/>
      <c r="V55" s="38"/>
      <c r="W55" s="38"/>
      <c r="X55" s="38"/>
      <c r="Y55" s="38" t="n">
        <f aca="false">+Y54/Y$52</f>
        <v>0.542871280130063</v>
      </c>
      <c r="Z55" s="38" t="n">
        <f aca="false">+Z54/Z$52</f>
        <v>0.514295738437659</v>
      </c>
      <c r="AA55" s="38" t="n">
        <f aca="false">+AA54/AA$52</f>
        <v>0.5873156566106</v>
      </c>
      <c r="AB55" s="38" t="n">
        <f aca="false">+AB54/AB$52</f>
        <v>0.646349600592124</v>
      </c>
      <c r="AC55" s="38" t="n">
        <f aca="false">+AC54/AC$52</f>
        <v>0.624441942304131</v>
      </c>
      <c r="AD55" s="38" t="n">
        <f aca="false">+AD54/AD$52</f>
        <v>0.62216946337923</v>
      </c>
      <c r="AE55" s="38" t="n">
        <f aca="false">+AE54/AE$52</f>
        <v>0.616274211718613</v>
      </c>
      <c r="AF55" s="38" t="n">
        <f aca="false">+AF54/AF$52</f>
        <v>0.6</v>
      </c>
      <c r="AG55" s="38" t="n">
        <f aca="false">+AG54/AG$52</f>
        <v>0.594999999999999</v>
      </c>
      <c r="AH55" s="38" t="n">
        <f aca="false">+AH54/AH$52</f>
        <v>0.59</v>
      </c>
      <c r="AI55" s="38" t="n">
        <f aca="false">+AI54/AI$52</f>
        <v>0.585</v>
      </c>
      <c r="AJ55" s="38" t="n">
        <f aca="false">+AJ54/AJ$52</f>
        <v>0.579999999999997</v>
      </c>
      <c r="AK55" s="38" t="n">
        <f aca="false">+AK54/AK$52</f>
        <v>0.564999999999999</v>
      </c>
      <c r="AL55" s="38" t="n">
        <f aca="false">+AL54/AL$52</f>
        <v>0.569999999999998</v>
      </c>
      <c r="AM55" s="38" t="n">
        <f aca="false">+AM54/AM$52</f>
        <v>0.564999999999999</v>
      </c>
      <c r="AN55" s="38" t="n">
        <f aca="false">+AN54/AN$52</f>
        <v>0.560000000000002</v>
      </c>
      <c r="AO55" s="38" t="n">
        <f aca="false">+AO54/AO$52</f>
        <v>0.554999999999998</v>
      </c>
      <c r="AP55" s="38"/>
      <c r="AQ55" s="38"/>
      <c r="AR55" s="38"/>
      <c r="AS55" s="38"/>
      <c r="AT55" s="38"/>
      <c r="AU55" s="38"/>
      <c r="AV55" s="38"/>
      <c r="AW55" s="38"/>
      <c r="AX55" s="38"/>
      <c r="AY55" s="38"/>
      <c r="AZ55" s="38"/>
      <c r="BA55" s="38"/>
      <c r="BB55" s="38"/>
      <c r="BC55" s="38"/>
      <c r="BD55" s="38"/>
      <c r="BE55" s="38"/>
      <c r="BF55" s="38"/>
      <c r="BG55" s="38"/>
      <c r="BH55" s="38"/>
      <c r="BI55" s="38"/>
      <c r="BJ55" s="38"/>
      <c r="BK55" s="38"/>
      <c r="BL55" s="38"/>
      <c r="BM55" s="38"/>
      <c r="BN55" s="38"/>
      <c r="BO55" s="38"/>
      <c r="BP55" s="38"/>
      <c r="BQ55" s="38"/>
      <c r="BR55" s="38"/>
      <c r="BS55" s="38"/>
      <c r="BT55" s="38"/>
      <c r="BU55" s="38"/>
      <c r="BV55" s="38"/>
      <c r="BW55" s="38"/>
      <c r="BX55" s="38"/>
      <c r="BY55" s="38"/>
      <c r="BZ55" s="38"/>
      <c r="CA55" s="38"/>
      <c r="CB55" s="38"/>
      <c r="CC55" s="38"/>
      <c r="CD55" s="38"/>
      <c r="CE55" s="38"/>
      <c r="CF55" s="38"/>
      <c r="CG55" s="38"/>
      <c r="CH55" s="38"/>
      <c r="CI55" s="38"/>
      <c r="CJ55" s="38"/>
      <c r="CK55" s="38"/>
      <c r="CL55" s="38"/>
      <c r="CM55" s="38"/>
      <c r="CN55" s="38"/>
      <c r="CO55" s="38"/>
      <c r="CP55" s="38"/>
      <c r="CQ55" s="38"/>
      <c r="CR55" s="38"/>
      <c r="CS55" s="38"/>
      <c r="CT55" s="38"/>
      <c r="CU55" s="38"/>
      <c r="CV55" s="38"/>
      <c r="CW55" s="38"/>
      <c r="CX55" s="38"/>
      <c r="CY55" s="38"/>
      <c r="CZ55" s="38"/>
      <c r="DA55" s="38"/>
      <c r="DB55" s="38"/>
      <c r="DC55" s="38"/>
      <c r="DD55" s="38"/>
      <c r="DE55" s="38"/>
      <c r="DF55" s="38"/>
      <c r="DG55" s="38"/>
      <c r="DH55" s="38"/>
      <c r="DI55" s="38"/>
      <c r="DJ55" s="38"/>
      <c r="DK55" s="38"/>
      <c r="DL55" s="38"/>
      <c r="DM55" s="38"/>
      <c r="DN55" s="38"/>
      <c r="DO55" s="38"/>
      <c r="DP55" s="38"/>
      <c r="DQ55" s="38"/>
      <c r="DR55" s="38"/>
      <c r="DS55" s="38"/>
      <c r="DT55" s="38"/>
      <c r="DU55" s="38"/>
      <c r="DV55" s="38"/>
      <c r="DW55" s="38"/>
      <c r="DX55" s="38"/>
      <c r="DY55" s="38"/>
      <c r="DZ55" s="38"/>
      <c r="EA55" s="38"/>
      <c r="EB55" s="38"/>
      <c r="EC55" s="38"/>
      <c r="ED55" s="38"/>
      <c r="EE55" s="38"/>
      <c r="EF55" s="38"/>
      <c r="EG55" s="38"/>
      <c r="EH55" s="38"/>
      <c r="EI55" s="38"/>
      <c r="EJ55" s="38"/>
      <c r="EK55" s="38"/>
      <c r="EL55" s="38"/>
      <c r="EM55" s="38"/>
      <c r="EN55" s="38"/>
      <c r="EO55" s="38"/>
      <c r="EP55" s="38"/>
      <c r="EQ55" s="38"/>
      <c r="ER55" s="38"/>
      <c r="ES55" s="38"/>
      <c r="ET55" s="38"/>
      <c r="EU55" s="38"/>
      <c r="EV55" s="38"/>
    </row>
    <row r="56" s="38" customFormat="true" ht="12.8" hidden="false" customHeight="false" outlineLevel="0" collapsed="false">
      <c r="A56" s="44" t="s">
        <v>286</v>
      </c>
      <c r="B56" s="44" t="n">
        <f aca="false">B52-B54</f>
        <v>2574</v>
      </c>
      <c r="C56" s="44" t="n">
        <f aca="false">C52-C54</f>
        <v>2677</v>
      </c>
      <c r="D56" s="44" t="n">
        <f aca="false">D52-D54</f>
        <v>2943</v>
      </c>
      <c r="E56" s="44" t="n">
        <f aca="false">E52-E54</f>
        <v>3077</v>
      </c>
      <c r="F56" s="44" t="n">
        <f aca="false">F52-F54</f>
        <v>3357.95090855395</v>
      </c>
      <c r="G56" s="44" t="n">
        <f aca="false">G52-G54</f>
        <v>3507.51470431175</v>
      </c>
      <c r="H56" s="44" t="n">
        <f aca="false">H52-H54</f>
        <v>3461.38635904237</v>
      </c>
      <c r="I56" s="44" t="n">
        <f aca="false">I52-I54</f>
        <v>3676.40287500652</v>
      </c>
      <c r="J56" s="44" t="n">
        <f aca="false">J52-J54</f>
        <v>3773.34004438242</v>
      </c>
      <c r="K56" s="44" t="n">
        <f aca="false">K52-K54</f>
        <v>4039.33057134443</v>
      </c>
      <c r="L56" s="44" t="n">
        <f aca="false">L52-L54</f>
        <v>4248.44613607724</v>
      </c>
      <c r="M56" s="44" t="n">
        <f aca="false">M52-M54</f>
        <v>4556.45783140762</v>
      </c>
      <c r="N56" s="44" t="n">
        <f aca="false">N52-N54</f>
        <v>4425.32837545794</v>
      </c>
      <c r="O56" s="44" t="n">
        <f aca="false">O52-O54</f>
        <v>4865.43380436374</v>
      </c>
      <c r="P56" s="44" t="n">
        <f aca="false">P52-P54</f>
        <v>5170.48882865999</v>
      </c>
      <c r="Q56" s="44" t="n">
        <f aca="false">Q52-Q54</f>
        <v>5500</v>
      </c>
      <c r="R56" s="44" t="n">
        <f aca="false">R52-R54</f>
        <v>5761</v>
      </c>
      <c r="S56" s="44" t="n">
        <f aca="false">S52-S54</f>
        <v>6188</v>
      </c>
      <c r="T56" s="44" t="n">
        <f aca="false">+T52*0.43</f>
        <v>6370.12221595618</v>
      </c>
      <c r="U56" s="44" t="n">
        <f aca="false">+U52*0.43</f>
        <v>6795.118</v>
      </c>
      <c r="V56" s="44"/>
      <c r="W56" s="44"/>
      <c r="X56" s="44"/>
      <c r="Y56" s="44" t="n">
        <f aca="false">Y52-Y54</f>
        <v>6467</v>
      </c>
      <c r="Z56" s="44" t="n">
        <f aca="false">Z52-Z54</f>
        <v>5410.50509759952</v>
      </c>
      <c r="AA56" s="44" t="n">
        <f aca="false">AA52-AA54</f>
        <v>7204.39260412378</v>
      </c>
      <c r="AB56" s="44" t="n">
        <f aca="false">AB52-AB54</f>
        <v>11274.5797684763</v>
      </c>
      <c r="AC56" s="44" t="n">
        <f aca="false">AC52-AC54</f>
        <v>14001.2881756452</v>
      </c>
      <c r="AD56" s="44" t="n">
        <f aca="false">AD52-AD54</f>
        <v>16616.3718271658</v>
      </c>
      <c r="AE56" s="44" t="n">
        <f aca="false">AE52-AE54</f>
        <v>19960.428914642</v>
      </c>
      <c r="AF56" s="44" t="n">
        <f aca="false">+AF52*0.4</f>
        <v>23303.8081537596</v>
      </c>
      <c r="AG56" s="44" t="n">
        <f aca="false">+AG52*0.405</f>
        <v>27134.3716190338</v>
      </c>
      <c r="AH56" s="44" t="n">
        <f aca="false">+AH52*0.41</f>
        <v>31864.4620790432</v>
      </c>
      <c r="AI56" s="44" t="n">
        <f aca="false">+AI52*0.415</f>
        <v>37413.5415728083</v>
      </c>
      <c r="AJ56" s="44" t="n">
        <f aca="false">+AJ52*0.42</f>
        <v>43543.9532040154</v>
      </c>
      <c r="AK56" s="44" t="n">
        <f aca="false">+AK52*0.435</f>
        <v>51412.9676044553</v>
      </c>
      <c r="AL56" s="44" t="n">
        <f aca="false">+AL52*0.43</f>
        <v>57428.8757678272</v>
      </c>
      <c r="AM56" s="44" t="n">
        <f aca="false">+AM52*0.435</f>
        <v>65068.2518001987</v>
      </c>
      <c r="AN56" s="44" t="n">
        <f aca="false">+AN52*0.44</f>
        <v>73055.9406418783</v>
      </c>
      <c r="AO56" s="44" t="n">
        <f aca="false">+AO52*0.445</f>
        <v>81274.7339640896</v>
      </c>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23"/>
    </row>
    <row r="57" s="82" customFormat="true" ht="10.5" hidden="false" customHeight="true" outlineLevel="0" collapsed="false">
      <c r="A57" s="50" t="s">
        <v>265</v>
      </c>
      <c r="B57" s="38" t="n">
        <f aca="false">+B56/B$52</f>
        <v>0.375547125765976</v>
      </c>
      <c r="C57" s="38" t="n">
        <f aca="false">+C56/C$52</f>
        <v>0.331599157686114</v>
      </c>
      <c r="D57" s="38" t="n">
        <f aca="false">+D56/D$52</f>
        <v>0.352750809061489</v>
      </c>
      <c r="E57" s="38" t="n">
        <f aca="false">+E56/E$52</f>
        <v>0.357499709538748</v>
      </c>
      <c r="F57" s="38" t="n">
        <f aca="false">+F56/F$52</f>
        <v>0.380549590920633</v>
      </c>
      <c r="G57" s="38" t="n">
        <f aca="false">+G56/G$52</f>
        <v>0.379991237397989</v>
      </c>
      <c r="H57" s="38" t="n">
        <f aca="false">+H56/H$52</f>
        <v>0.372497034163255</v>
      </c>
      <c r="I57" s="38" t="n">
        <f aca="false">+I56/I$52</f>
        <v>0.369993338761851</v>
      </c>
      <c r="J57" s="38" t="n">
        <f aca="false">+J56/J$52</f>
        <v>0.372442345025686</v>
      </c>
      <c r="K57" s="38" t="n">
        <f aca="false">+K56/K$52</f>
        <v>0.377495867479253</v>
      </c>
      <c r="L57" s="38" t="n">
        <f aca="false">+L56/L$52</f>
        <v>0.379717262290615</v>
      </c>
      <c r="M57" s="38" t="n">
        <f aca="false">+M56/M$52</f>
        <v>0.380992006129373</v>
      </c>
      <c r="N57" s="38" t="n">
        <f aca="false">+N56/N$52</f>
        <v>0.383699157033864</v>
      </c>
      <c r="O57" s="38" t="n">
        <f aca="false">+O56/O$52</f>
        <v>0.384575683641926</v>
      </c>
      <c r="P57" s="38" t="n">
        <f aca="false">+P56/P$52</f>
        <v>0.383923751075014</v>
      </c>
      <c r="Q57" s="38" t="n">
        <f aca="false">+Q56/Q$52</f>
        <v>0.382848392036753</v>
      </c>
      <c r="R57" s="38" t="n">
        <f aca="false">+R56/R$52</f>
        <v>0.436340225706279</v>
      </c>
      <c r="S57" s="38" t="n">
        <f aca="false">+S56/S$52</f>
        <v>0.436051018251004</v>
      </c>
      <c r="T57" s="38" t="n">
        <f aca="false">+T56/T$52</f>
        <v>0.43</v>
      </c>
      <c r="U57" s="38" t="n">
        <f aca="false">+U56/U$52</f>
        <v>0.43</v>
      </c>
      <c r="V57" s="38"/>
      <c r="W57" s="38"/>
      <c r="X57" s="38"/>
      <c r="Y57" s="38" t="n">
        <f aca="false">+Y56/Y$52</f>
        <v>0.457128719869937</v>
      </c>
      <c r="Z57" s="38" t="n">
        <f aca="false">+Z56/Z$52</f>
        <v>0.485704261562343</v>
      </c>
      <c r="AA57" s="38" t="n">
        <f aca="false">+AA56/AA$52</f>
        <v>0.412684343389399</v>
      </c>
      <c r="AB57" s="38" t="n">
        <f aca="false">+AB56/AB$52</f>
        <v>0.353650399407876</v>
      </c>
      <c r="AC57" s="38" t="n">
        <f aca="false">+AC56/AC$52</f>
        <v>0.375558057695866</v>
      </c>
      <c r="AD57" s="38" t="n">
        <f aca="false">+AD56/AD$52</f>
        <v>0.37783053662077</v>
      </c>
      <c r="AE57" s="38" t="n">
        <f aca="false">+AE56/AE$52</f>
        <v>0.383725788281387</v>
      </c>
      <c r="AF57" s="38" t="n">
        <f aca="false">+AF56/AF$52</f>
        <v>0.4</v>
      </c>
      <c r="AG57" s="38" t="n">
        <f aca="false">+AG56/AG$52</f>
        <v>0.404999999999999</v>
      </c>
      <c r="AH57" s="38" t="n">
        <f aca="false">+AH56/AH$52</f>
        <v>0.41</v>
      </c>
      <c r="AI57" s="38" t="n">
        <f aca="false">+AI56/AI$52</f>
        <v>0.415</v>
      </c>
      <c r="AJ57" s="38" t="n">
        <f aca="false">+AJ56/AJ$52</f>
        <v>0.419999999999998</v>
      </c>
      <c r="AK57" s="38" t="n">
        <f aca="false">+AK56/AK$52</f>
        <v>0.434999999999999</v>
      </c>
      <c r="AL57" s="38" t="n">
        <f aca="false">+AL56/AL$52</f>
        <v>0.429999999999999</v>
      </c>
      <c r="AM57" s="38" t="n">
        <f aca="false">+AM56/AM$52</f>
        <v>0.434999999999999</v>
      </c>
      <c r="AN57" s="38" t="n">
        <f aca="false">+AN56/AN$52</f>
        <v>0.440000000000002</v>
      </c>
      <c r="AO57" s="38" t="n">
        <f aca="false">+AO56/AO$52</f>
        <v>0.444999999999999</v>
      </c>
      <c r="AP57" s="38"/>
      <c r="AQ57" s="38"/>
      <c r="AR57" s="38"/>
      <c r="AS57" s="38"/>
      <c r="AT57" s="38"/>
      <c r="AU57" s="38"/>
      <c r="AV57" s="38"/>
      <c r="AW57" s="38"/>
      <c r="AX57" s="38"/>
      <c r="AY57" s="38"/>
      <c r="AZ57" s="38"/>
      <c r="BA57" s="38"/>
      <c r="BB57" s="38"/>
      <c r="BC57" s="38"/>
      <c r="BD57" s="38"/>
      <c r="BE57" s="38"/>
      <c r="BF57" s="38"/>
      <c r="BG57" s="38"/>
      <c r="BH57" s="38"/>
      <c r="BI57" s="38"/>
      <c r="BJ57" s="38"/>
      <c r="BK57" s="38"/>
      <c r="BL57" s="38"/>
      <c r="BM57" s="38"/>
      <c r="BN57" s="38"/>
      <c r="BO57" s="38"/>
      <c r="BP57" s="38"/>
      <c r="BQ57" s="38"/>
      <c r="BR57" s="38"/>
      <c r="BS57" s="38"/>
      <c r="BT57" s="38"/>
      <c r="BU57" s="38"/>
      <c r="BV57" s="38"/>
      <c r="BW57" s="38"/>
      <c r="BX57" s="38"/>
      <c r="BY57" s="38"/>
      <c r="BZ57" s="38"/>
      <c r="CA57" s="38"/>
      <c r="CB57" s="38"/>
      <c r="CC57" s="38"/>
      <c r="CD57" s="38"/>
      <c r="CE57" s="38"/>
      <c r="CF57" s="38"/>
      <c r="CG57" s="38"/>
      <c r="CH57" s="38"/>
      <c r="CI57" s="38"/>
      <c r="CJ57" s="38"/>
      <c r="CK57" s="38"/>
      <c r="CL57" s="38"/>
      <c r="CM57" s="38"/>
      <c r="CN57" s="38"/>
      <c r="CO57" s="38"/>
      <c r="CP57" s="38"/>
      <c r="CQ57" s="38"/>
      <c r="CR57" s="38"/>
      <c r="CS57" s="38"/>
      <c r="CT57" s="38"/>
      <c r="CU57" s="38"/>
      <c r="CV57" s="38"/>
      <c r="CW57" s="38"/>
      <c r="CX57" s="38"/>
      <c r="CY57" s="38"/>
      <c r="CZ57" s="38"/>
      <c r="DA57" s="38"/>
      <c r="DB57" s="38"/>
      <c r="DC57" s="38"/>
      <c r="DD57" s="38"/>
      <c r="DE57" s="38"/>
      <c r="DF57" s="38"/>
      <c r="DG57" s="38"/>
      <c r="DH57" s="38"/>
      <c r="DI57" s="38"/>
      <c r="DJ57" s="38"/>
      <c r="DK57" s="38"/>
      <c r="DL57" s="38"/>
      <c r="DM57" s="38"/>
      <c r="DN57" s="38"/>
      <c r="DO57" s="38"/>
      <c r="DP57" s="38"/>
      <c r="DQ57" s="38"/>
      <c r="DR57" s="38"/>
      <c r="DS57" s="38"/>
      <c r="DT57" s="38"/>
      <c r="DU57" s="38"/>
      <c r="DV57" s="38"/>
      <c r="DW57" s="38"/>
      <c r="DX57" s="38"/>
      <c r="DY57" s="38"/>
      <c r="DZ57" s="38"/>
      <c r="EA57" s="38"/>
      <c r="EB57" s="38"/>
      <c r="EC57" s="38"/>
      <c r="ED57" s="38"/>
      <c r="EE57" s="38"/>
      <c r="EF57" s="38"/>
      <c r="EG57" s="38"/>
      <c r="EH57" s="38"/>
      <c r="EI57" s="38"/>
      <c r="EJ57" s="38"/>
      <c r="EK57" s="38"/>
      <c r="EL57" s="38"/>
      <c r="EM57" s="38"/>
      <c r="EN57" s="38"/>
      <c r="EO57" s="38"/>
      <c r="EP57" s="38"/>
      <c r="EQ57" s="38"/>
      <c r="ER57" s="38"/>
      <c r="ES57" s="38"/>
      <c r="ET57" s="38"/>
      <c r="EU57" s="38"/>
      <c r="EV57" s="38"/>
    </row>
    <row r="58" s="38" customFormat="true" ht="12.8" hidden="false" customHeight="false" outlineLevel="0" collapsed="false">
      <c r="A58" s="33" t="s">
        <v>287</v>
      </c>
      <c r="B58" s="33" t="n">
        <v>574</v>
      </c>
      <c r="C58" s="33" t="n">
        <v>617</v>
      </c>
      <c r="D58" s="33" t="n">
        <v>617</v>
      </c>
      <c r="E58" s="33" t="n">
        <v>605</v>
      </c>
      <c r="F58" s="33" t="n">
        <v>640</v>
      </c>
      <c r="G58" s="33" t="n">
        <v>664</v>
      </c>
      <c r="H58" s="33" t="n">
        <v>683</v>
      </c>
      <c r="I58" s="33" t="n">
        <v>702</v>
      </c>
      <c r="J58" s="33" t="n">
        <v>685</v>
      </c>
      <c r="K58" s="33" t="n">
        <v>682</v>
      </c>
      <c r="L58" s="33" t="n">
        <v>687</v>
      </c>
      <c r="M58" s="33" t="n">
        <v>678</v>
      </c>
      <c r="N58" s="33" t="n">
        <v>668</v>
      </c>
      <c r="O58" s="33" t="n">
        <v>696</v>
      </c>
      <c r="P58" s="33" t="n">
        <v>735</v>
      </c>
      <c r="Q58" s="33" t="n">
        <v>755</v>
      </c>
      <c r="R58" s="33" t="n">
        <v>763</v>
      </c>
      <c r="S58" s="33" t="n">
        <v>805</v>
      </c>
      <c r="T58" s="33" t="n">
        <f aca="false">+S58*1.1</f>
        <v>885.5</v>
      </c>
      <c r="U58" s="33" t="n">
        <f aca="false">+T58*1.1</f>
        <v>974.05</v>
      </c>
      <c r="V58" s="33"/>
      <c r="W58" s="33"/>
      <c r="X58" s="33"/>
      <c r="Y58" s="33" t="n">
        <v>2302</v>
      </c>
      <c r="Z58" s="33" t="n">
        <v>1819</v>
      </c>
      <c r="AA58" s="33" t="n">
        <v>1877</v>
      </c>
      <c r="AB58" s="33" t="n">
        <v>2413</v>
      </c>
      <c r="AC58" s="33" t="n">
        <v>2689</v>
      </c>
      <c r="AD58" s="33" t="n">
        <v>2732</v>
      </c>
      <c r="AE58" s="33" t="n">
        <f aca="false">SUM(N58:Q58)</f>
        <v>2854</v>
      </c>
      <c r="AF58" s="33" t="n">
        <f aca="false">+AF52*0.05</f>
        <v>2912.97601921995</v>
      </c>
      <c r="AG58" s="33" t="n">
        <f aca="false">+AG52*0.05</f>
        <v>3349.92242210295</v>
      </c>
      <c r="AH58" s="33" t="n">
        <f aca="false">+AH52*0.05</f>
        <v>3885.91000963942</v>
      </c>
      <c r="AI58" s="33" t="n">
        <f aca="false">+AI52*0.05</f>
        <v>4507.65561118172</v>
      </c>
      <c r="AJ58" s="33" t="n">
        <f aca="false">+AJ52*0.05</f>
        <v>5183.803952859</v>
      </c>
      <c r="AK58" s="33" t="n">
        <f aca="false">+AK52*0.05</f>
        <v>5909.53650625925</v>
      </c>
      <c r="AL58" s="33" t="n">
        <f aca="false">+AL52*0.05</f>
        <v>6677.77625207295</v>
      </c>
      <c r="AM58" s="33" t="n">
        <f aca="false">+AM52*0.05</f>
        <v>7479.1094023217</v>
      </c>
      <c r="AN58" s="33" t="n">
        <f aca="false">+AN52*0.05</f>
        <v>8301.81143657705</v>
      </c>
      <c r="AO58" s="33" t="n">
        <f aca="false">+AO52*0.05</f>
        <v>9131.9925802348</v>
      </c>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c r="CW58" s="33"/>
      <c r="CX58" s="33"/>
      <c r="CY58" s="33"/>
      <c r="CZ58" s="33"/>
      <c r="DA58" s="33"/>
      <c r="DB58" s="33"/>
      <c r="DC58" s="33"/>
      <c r="DD58" s="33"/>
      <c r="DE58" s="33"/>
      <c r="DF58" s="33"/>
      <c r="DG58" s="33"/>
      <c r="DH58" s="33"/>
      <c r="DI58" s="33"/>
      <c r="DJ58" s="33"/>
      <c r="DK58" s="33"/>
      <c r="DL58" s="33"/>
      <c r="DM58" s="33"/>
      <c r="DN58" s="33"/>
      <c r="DO58" s="33"/>
      <c r="DP58" s="33"/>
      <c r="DQ58" s="33"/>
      <c r="DR58" s="33"/>
      <c r="DS58" s="33"/>
      <c r="DT58" s="33"/>
      <c r="DU58" s="33"/>
      <c r="DV58" s="33"/>
      <c r="DW58" s="33"/>
      <c r="DX58" s="33"/>
      <c r="DY58" s="33"/>
      <c r="DZ58" s="33"/>
      <c r="EA58" s="33"/>
      <c r="EB58" s="33"/>
      <c r="EC58" s="33"/>
      <c r="ED58" s="33"/>
      <c r="EE58" s="33"/>
      <c r="EF58" s="33"/>
      <c r="EG58" s="33"/>
      <c r="EH58" s="33"/>
      <c r="EI58" s="33"/>
      <c r="EJ58" s="33"/>
      <c r="EK58" s="33"/>
      <c r="EL58" s="33"/>
      <c r="EM58" s="33"/>
      <c r="EN58" s="33"/>
      <c r="EO58" s="33"/>
      <c r="EP58" s="33"/>
      <c r="EQ58" s="33"/>
      <c r="ER58" s="33"/>
      <c r="ES58" s="33"/>
      <c r="ET58" s="33"/>
      <c r="EU58" s="33"/>
      <c r="EV58" s="1"/>
    </row>
    <row r="59" s="82" customFormat="true" ht="10.5" hidden="false" customHeight="true" outlineLevel="0" collapsed="false">
      <c r="A59" s="50" t="s">
        <v>265</v>
      </c>
      <c r="B59" s="38" t="n">
        <f aca="false">+B58/B$52</f>
        <v>0.0837467172454041</v>
      </c>
      <c r="C59" s="38" t="n">
        <f aca="false">+C58/C$52</f>
        <v>0.0764275981667286</v>
      </c>
      <c r="D59" s="38" t="n">
        <f aca="false">+D58/D$52</f>
        <v>0.0739542131127892</v>
      </c>
      <c r="E59" s="38" t="n">
        <f aca="false">+E58/E$52</f>
        <v>0.0702916230974788</v>
      </c>
      <c r="F59" s="38" t="n">
        <f aca="false">+F58/F$52</f>
        <v>0.0725298686079025</v>
      </c>
      <c r="G59" s="38" t="n">
        <f aca="false">+G58/G$52</f>
        <v>0.0719353168561481</v>
      </c>
      <c r="H59" s="38" t="n">
        <f aca="false">+H58/H$52</f>
        <v>0.0735010333847534</v>
      </c>
      <c r="I59" s="38" t="n">
        <f aca="false">+I58/I$52</f>
        <v>0.0706493092953962</v>
      </c>
      <c r="J59" s="38" t="n">
        <f aca="false">+J58/J$52</f>
        <v>0.0676119839033354</v>
      </c>
      <c r="K59" s="38" t="n">
        <f aca="false">+K58/K$52</f>
        <v>0.0637363486532279</v>
      </c>
      <c r="L59" s="38" t="n">
        <f aca="false">+L58/L$52</f>
        <v>0.0614026283582637</v>
      </c>
      <c r="M59" s="38" t="n">
        <f aca="false">+M58/M$52</f>
        <v>0.0566915331411977</v>
      </c>
      <c r="N59" s="38" t="n">
        <f aca="false">+N58/N$52</f>
        <v>0.0579191000424003</v>
      </c>
      <c r="O59" s="38" t="n">
        <f aca="false">+O58/O$52</f>
        <v>0.0550135273805833</v>
      </c>
      <c r="P59" s="38" t="n">
        <f aca="false">+P58/P$52</f>
        <v>0.0545758759744322</v>
      </c>
      <c r="Q59" s="38" t="n">
        <f aca="false">+Q58/Q$52</f>
        <v>0.0525546429068634</v>
      </c>
      <c r="R59" s="38" t="n">
        <f aca="false">+R58/R$52</f>
        <v>0.057789896235704</v>
      </c>
      <c r="S59" s="38" t="n">
        <f aca="false">+S58/S$52</f>
        <v>0.0567260940032415</v>
      </c>
      <c r="T59" s="38"/>
      <c r="U59" s="38"/>
      <c r="V59" s="38"/>
      <c r="W59" s="38"/>
      <c r="X59" s="38"/>
      <c r="Y59" s="38" t="n">
        <f aca="false">+Y58/Y$52</f>
        <v>0.162720011309818</v>
      </c>
      <c r="Z59" s="38" t="n">
        <f aca="false">+Z58/Z$52</f>
        <v>0.163292712204242</v>
      </c>
      <c r="AA59" s="38" t="n">
        <f aca="false">+AA58/AA$52</f>
        <v>0.107518920068087</v>
      </c>
      <c r="AB59" s="38" t="n">
        <f aca="false">+AB58/AB$52</f>
        <v>0.0756887113573132</v>
      </c>
      <c r="AC59" s="38" t="n">
        <f aca="false">+AC58/AC$52</f>
        <v>0.0721273360333252</v>
      </c>
      <c r="AD59" s="38" t="n">
        <f aca="false">+AD58/AD$52</f>
        <v>0.0621214448487704</v>
      </c>
      <c r="AE59" s="38" t="n">
        <f aca="false">+AE58/AE$52</f>
        <v>0.0548662257929601</v>
      </c>
      <c r="AF59" s="38" t="n">
        <f aca="false">+AF58/AF$52</f>
        <v>0.05</v>
      </c>
      <c r="AG59" s="38" t="n">
        <f aca="false">+AG58/AG$52</f>
        <v>0.05</v>
      </c>
      <c r="AH59" s="38" t="n">
        <f aca="false">+AH58/AH$52</f>
        <v>0.05</v>
      </c>
      <c r="AI59" s="38" t="n">
        <f aca="false">+AI58/AI$52</f>
        <v>0.05</v>
      </c>
      <c r="AJ59" s="38" t="n">
        <f aca="false">+AJ58/AJ$52</f>
        <v>0.05</v>
      </c>
      <c r="AK59" s="38" t="n">
        <f aca="false">+AK58/AK$52</f>
        <v>0.05</v>
      </c>
      <c r="AL59" s="38" t="n">
        <f aca="false">+AL58/AL$52</f>
        <v>0.05</v>
      </c>
      <c r="AM59" s="38" t="n">
        <f aca="false">+AM58/AM$52</f>
        <v>0.05</v>
      </c>
      <c r="AN59" s="38" t="n">
        <f aca="false">+AN58/AN$52</f>
        <v>0.05</v>
      </c>
      <c r="AO59" s="38" t="n">
        <f aca="false">+AO58/AO$52</f>
        <v>0.05</v>
      </c>
      <c r="AP59" s="38"/>
      <c r="AQ59" s="38"/>
      <c r="AR59" s="38"/>
      <c r="AS59" s="38"/>
      <c r="AT59" s="38"/>
      <c r="AU59" s="38"/>
      <c r="AV59" s="38"/>
      <c r="AW59" s="38"/>
      <c r="AX59" s="38"/>
      <c r="AY59" s="38"/>
      <c r="AZ59" s="38"/>
      <c r="BA59" s="38"/>
      <c r="BB59" s="38"/>
      <c r="BC59" s="38"/>
      <c r="BD59" s="38"/>
      <c r="BE59" s="38"/>
      <c r="BF59" s="38"/>
      <c r="BG59" s="38"/>
      <c r="BH59" s="38"/>
      <c r="BI59" s="38"/>
      <c r="BJ59" s="38"/>
      <c r="BK59" s="38"/>
      <c r="BL59" s="38"/>
      <c r="BM59" s="38"/>
      <c r="BN59" s="38"/>
      <c r="BO59" s="38"/>
      <c r="BP59" s="38"/>
      <c r="BQ59" s="38"/>
      <c r="BR59" s="38"/>
      <c r="BS59" s="38"/>
      <c r="BT59" s="38"/>
      <c r="BU59" s="38"/>
      <c r="BV59" s="38"/>
      <c r="BW59" s="38"/>
      <c r="BX59" s="38"/>
      <c r="BY59" s="38"/>
      <c r="BZ59" s="38"/>
      <c r="CA59" s="38"/>
      <c r="CB59" s="38"/>
      <c r="CC59" s="38"/>
      <c r="CD59" s="38"/>
      <c r="CE59" s="38"/>
      <c r="CF59" s="38"/>
      <c r="CG59" s="38"/>
      <c r="CH59" s="38"/>
      <c r="CI59" s="38"/>
      <c r="CJ59" s="38"/>
      <c r="CK59" s="38"/>
      <c r="CL59" s="38"/>
      <c r="CM59" s="38"/>
      <c r="CN59" s="38"/>
      <c r="CO59" s="38"/>
      <c r="CP59" s="38"/>
      <c r="CQ59" s="38"/>
      <c r="CR59" s="38"/>
      <c r="CS59" s="38"/>
      <c r="CT59" s="38"/>
      <c r="CU59" s="38"/>
      <c r="CV59" s="38"/>
      <c r="CW59" s="38"/>
      <c r="CX59" s="38"/>
      <c r="CY59" s="38"/>
      <c r="CZ59" s="38"/>
      <c r="DA59" s="38"/>
      <c r="DB59" s="38"/>
      <c r="DC59" s="38"/>
      <c r="DD59" s="38"/>
      <c r="DE59" s="38"/>
      <c r="DF59" s="38"/>
      <c r="DG59" s="38"/>
      <c r="DH59" s="38"/>
      <c r="DI59" s="38"/>
      <c r="DJ59" s="38"/>
      <c r="DK59" s="38"/>
      <c r="DL59" s="38"/>
      <c r="DM59" s="38"/>
      <c r="DN59" s="38"/>
      <c r="DO59" s="38"/>
      <c r="DP59" s="38"/>
      <c r="DQ59" s="38"/>
      <c r="DR59" s="38"/>
      <c r="DS59" s="38"/>
      <c r="DT59" s="38"/>
      <c r="DU59" s="38"/>
      <c r="DV59" s="38"/>
      <c r="DW59" s="38"/>
      <c r="DX59" s="38"/>
      <c r="DY59" s="38"/>
      <c r="DZ59" s="38"/>
      <c r="EA59" s="38"/>
      <c r="EB59" s="38"/>
      <c r="EC59" s="38"/>
      <c r="ED59" s="38"/>
      <c r="EE59" s="38"/>
      <c r="EF59" s="38"/>
      <c r="EG59" s="38"/>
      <c r="EH59" s="38"/>
      <c r="EI59" s="38"/>
      <c r="EJ59" s="38"/>
      <c r="EK59" s="38"/>
      <c r="EL59" s="38"/>
      <c r="EM59" s="38"/>
      <c r="EN59" s="38"/>
      <c r="EO59" s="38"/>
      <c r="EP59" s="38"/>
      <c r="EQ59" s="38"/>
      <c r="ER59" s="38"/>
      <c r="ES59" s="38"/>
      <c r="ET59" s="38"/>
      <c r="EU59" s="38"/>
      <c r="EV59" s="38"/>
    </row>
    <row r="60" s="38" customFormat="true" ht="12.8" hidden="false" customHeight="false" outlineLevel="0" collapsed="false">
      <c r="A60" s="33" t="s">
        <v>288</v>
      </c>
      <c r="B60" s="33" t="n">
        <v>1263</v>
      </c>
      <c r="C60" s="33" t="n">
        <v>1218</v>
      </c>
      <c r="D60" s="33" t="n">
        <v>1153</v>
      </c>
      <c r="E60" s="33" t="n">
        <v>1122</v>
      </c>
      <c r="F60" s="33" t="n">
        <v>1262</v>
      </c>
      <c r="G60" s="33" t="n">
        <v>1218</v>
      </c>
      <c r="H60" s="33" t="n">
        <v>941</v>
      </c>
      <c r="I60" s="33" t="n">
        <v>935</v>
      </c>
      <c r="J60" s="33" t="n">
        <v>917</v>
      </c>
      <c r="K60" s="33" t="n">
        <v>1115</v>
      </c>
      <c r="L60" s="33" t="n">
        <v>1096</v>
      </c>
      <c r="M60" s="33" t="n">
        <v>1209</v>
      </c>
      <c r="N60" s="33" t="n">
        <v>1057</v>
      </c>
      <c r="O60" s="33" t="n">
        <v>1210</v>
      </c>
      <c r="P60" s="33" t="n">
        <v>1277</v>
      </c>
      <c r="Q60" s="33" t="n">
        <v>1354</v>
      </c>
      <c r="R60" s="33" t="n">
        <v>1326</v>
      </c>
      <c r="S60" s="33" t="n">
        <v>1515</v>
      </c>
      <c r="T60" s="33" t="n">
        <f aca="false">+S60*1.1</f>
        <v>1666.5</v>
      </c>
      <c r="U60" s="33" t="n">
        <f aca="false">+T60*1.1</f>
        <v>1833.15</v>
      </c>
      <c r="V60" s="33"/>
      <c r="W60" s="33"/>
      <c r="X60" s="33"/>
      <c r="Y60" s="33" t="n">
        <v>4626</v>
      </c>
      <c r="Z60" s="33" t="n">
        <v>3583</v>
      </c>
      <c r="AA60" s="33" t="n">
        <v>4789</v>
      </c>
      <c r="AB60" s="33" t="n">
        <v>4756</v>
      </c>
      <c r="AC60" s="33" t="n">
        <v>4356</v>
      </c>
      <c r="AD60" s="33" t="n">
        <v>4337</v>
      </c>
      <c r="AE60" s="33" t="n">
        <f aca="false">SUM(N60:Q60)</f>
        <v>4898</v>
      </c>
      <c r="AF60" s="33" t="n">
        <f aca="false">+AF52*0.09</f>
        <v>5243.35683459591</v>
      </c>
      <c r="AG60" s="33" t="n">
        <f aca="false">+AG52*0.09</f>
        <v>6029.8603597853</v>
      </c>
      <c r="AH60" s="33" t="n">
        <f aca="false">+AH52*0.08</f>
        <v>6217.45601542306</v>
      </c>
      <c r="AI60" s="33" t="n">
        <f aca="false">+AI52*0.08</f>
        <v>7212.24897789075</v>
      </c>
      <c r="AJ60" s="33" t="n">
        <f aca="false">+AJ52*0.08</f>
        <v>8294.0863245744</v>
      </c>
      <c r="AK60" s="33" t="n">
        <f aca="false">+AK52*0.08</f>
        <v>9455.2584100148</v>
      </c>
      <c r="AL60" s="33" t="n">
        <f aca="false">+AL52*0.07</f>
        <v>9348.88675290213</v>
      </c>
      <c r="AM60" s="33" t="n">
        <f aca="false">+AM52*0.07</f>
        <v>10470.7531632504</v>
      </c>
      <c r="AN60" s="33" t="n">
        <f aca="false">+AN52*0.07</f>
        <v>11622.5360112079</v>
      </c>
      <c r="AO60" s="33" t="n">
        <f aca="false">+AO52*0.07</f>
        <v>12784.7896123287</v>
      </c>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c r="CW60" s="33"/>
      <c r="CX60" s="33"/>
      <c r="CY60" s="33"/>
      <c r="CZ60" s="33"/>
      <c r="DA60" s="33"/>
      <c r="DB60" s="33"/>
      <c r="DC60" s="33"/>
      <c r="DD60" s="33"/>
      <c r="DE60" s="33"/>
      <c r="DF60" s="33"/>
      <c r="DG60" s="33"/>
      <c r="DH60" s="33"/>
      <c r="DI60" s="33"/>
      <c r="DJ60" s="33"/>
      <c r="DK60" s="33"/>
      <c r="DL60" s="33"/>
      <c r="DM60" s="33"/>
      <c r="DN60" s="33"/>
      <c r="DO60" s="33"/>
      <c r="DP60" s="33"/>
      <c r="DQ60" s="33"/>
      <c r="DR60" s="33"/>
      <c r="DS60" s="33"/>
      <c r="DT60" s="33"/>
      <c r="DU60" s="33"/>
      <c r="DV60" s="33"/>
      <c r="DW60" s="33"/>
      <c r="DX60" s="33"/>
      <c r="DY60" s="33"/>
      <c r="DZ60" s="33"/>
      <c r="EA60" s="33"/>
      <c r="EB60" s="33"/>
      <c r="EC60" s="33"/>
      <c r="ED60" s="33"/>
      <c r="EE60" s="33"/>
      <c r="EF60" s="33"/>
      <c r="EG60" s="33"/>
      <c r="EH60" s="33"/>
      <c r="EI60" s="33"/>
      <c r="EJ60" s="33"/>
      <c r="EK60" s="33"/>
      <c r="EL60" s="33"/>
      <c r="EM60" s="33"/>
      <c r="EN60" s="33"/>
      <c r="EO60" s="33"/>
      <c r="EP60" s="33"/>
      <c r="EQ60" s="33"/>
      <c r="ER60" s="33"/>
      <c r="ES60" s="33"/>
      <c r="ET60" s="33"/>
      <c r="EU60" s="33"/>
      <c r="EV60" s="1"/>
    </row>
    <row r="61" s="44" customFormat="true" ht="10.5" hidden="false" customHeight="true" outlineLevel="0" collapsed="false">
      <c r="A61" s="50" t="s">
        <v>265</v>
      </c>
      <c r="B61" s="38" t="n">
        <f aca="false">+B60/B$52</f>
        <v>0.184271957980741</v>
      </c>
      <c r="C61" s="38" t="n">
        <f aca="false">+C60/C$52</f>
        <v>0.150873281308064</v>
      </c>
      <c r="D61" s="38" t="n">
        <f aca="false">+D60/D$52</f>
        <v>0.138199688361501</v>
      </c>
      <c r="E61" s="38" t="n">
        <f aca="false">+E60/E$52</f>
        <v>0.130359010108052</v>
      </c>
      <c r="F61" s="38" t="n">
        <f aca="false">+F60/F$52</f>
        <v>0.143019834661208</v>
      </c>
      <c r="G61" s="38" t="n">
        <f aca="false">+G60/G$52</f>
        <v>0.131953638449983</v>
      </c>
      <c r="H61" s="38" t="n">
        <f aca="false">+H60/H$52</f>
        <v>0.101265698997149</v>
      </c>
      <c r="I61" s="38" t="n">
        <f aca="false">+I60/I$52</f>
        <v>0.094098439018797</v>
      </c>
      <c r="J61" s="38" t="n">
        <f aca="false">+J60/J$52</f>
        <v>0.0905112251669468</v>
      </c>
      <c r="K61" s="38" t="n">
        <f aca="false">+K60/K$52</f>
        <v>0.10420238819406</v>
      </c>
      <c r="L61" s="38" t="n">
        <f aca="false">+L60/L$52</f>
        <v>0.0979581960417133</v>
      </c>
      <c r="M61" s="38" t="n">
        <f aca="false">+M60/M$52</f>
        <v>0.10109153918541</v>
      </c>
      <c r="N61" s="38" t="n">
        <f aca="false">+N60/N$52</f>
        <v>0.0916474382407441</v>
      </c>
      <c r="O61" s="38" t="n">
        <f aca="false">+O60/O$52</f>
        <v>0.0956413335208417</v>
      </c>
      <c r="P61" s="38" t="n">
        <f aca="false">+P60/P$52</f>
        <v>0.0948209436997959</v>
      </c>
      <c r="Q61" s="38" t="n">
        <f aca="false">+Q60/Q$52</f>
        <v>0.0942503132395935</v>
      </c>
      <c r="R61" s="38" t="n">
        <f aca="false">+R60/R$52</f>
        <v>0.100431720063622</v>
      </c>
      <c r="S61" s="38" t="n">
        <f aca="false">+S60/S$52</f>
        <v>0.106757804242125</v>
      </c>
      <c r="T61" s="38"/>
      <c r="U61" s="38"/>
      <c r="V61" s="38"/>
      <c r="W61" s="38"/>
      <c r="X61" s="38"/>
      <c r="Y61" s="38" t="n">
        <f aca="false">+Y60/Y$52</f>
        <v>0.326995122640843</v>
      </c>
      <c r="Z61" s="38" t="n">
        <f aca="false">+Z60/Z$52</f>
        <v>0.32164804168653</v>
      </c>
      <c r="AA61" s="38" t="n">
        <f aca="false">+AA60/AA$52</f>
        <v>0.274325044329285</v>
      </c>
      <c r="AB61" s="38" t="n">
        <f aca="false">+AB60/AB$52</f>
        <v>0.149181728642926</v>
      </c>
      <c r="AC61" s="38" t="n">
        <f aca="false">+AC60/AC$52</f>
        <v>0.116841456214639</v>
      </c>
      <c r="AD61" s="38" t="n">
        <f aca="false">+AD60/AD$52</f>
        <v>0.0986166567749332</v>
      </c>
      <c r="AE61" s="38" t="n">
        <f aca="false">+AE60/AE$52</f>
        <v>0.0941607476993408</v>
      </c>
      <c r="AF61" s="38" t="n">
        <f aca="false">+AF60/AF$52</f>
        <v>0.09</v>
      </c>
      <c r="AG61" s="38" t="n">
        <f aca="false">+AG60/AG$52</f>
        <v>0.09</v>
      </c>
      <c r="AH61" s="38" t="n">
        <f aca="false">+AH60/AH$52</f>
        <v>0.08</v>
      </c>
      <c r="AI61" s="38" t="n">
        <f aca="false">+AI60/AI$52</f>
        <v>0.08</v>
      </c>
      <c r="AJ61" s="38" t="n">
        <f aca="false">+AJ60/AJ$52</f>
        <v>0.08</v>
      </c>
      <c r="AK61" s="38" t="n">
        <f aca="false">+AK60/AK$52</f>
        <v>0.08</v>
      </c>
      <c r="AL61" s="38" t="n">
        <f aca="false">+AL60/AL$52</f>
        <v>0.07</v>
      </c>
      <c r="AM61" s="38" t="n">
        <f aca="false">+AM60/AM$52</f>
        <v>0.07</v>
      </c>
      <c r="AN61" s="38" t="n">
        <f aca="false">+AN60/AN$52</f>
        <v>0.07</v>
      </c>
      <c r="AO61" s="38" t="n">
        <f aca="false">+AO60/AO$52</f>
        <v>0.07</v>
      </c>
      <c r="AP61" s="38"/>
      <c r="AQ61" s="38"/>
      <c r="AR61" s="38"/>
      <c r="AS61" s="38"/>
      <c r="AT61" s="38"/>
      <c r="AU61" s="38"/>
      <c r="AV61" s="38"/>
      <c r="AW61" s="38"/>
      <c r="AX61" s="38"/>
      <c r="AY61" s="38"/>
      <c r="AZ61" s="38"/>
      <c r="BA61" s="38"/>
      <c r="BB61" s="38"/>
      <c r="BC61" s="38"/>
      <c r="BD61" s="38"/>
      <c r="BE61" s="38"/>
      <c r="BF61" s="38"/>
      <c r="BG61" s="38"/>
      <c r="BH61" s="38"/>
      <c r="BI61" s="38"/>
      <c r="BJ61" s="38"/>
      <c r="BK61" s="38"/>
      <c r="BL61" s="38"/>
      <c r="BM61" s="38"/>
      <c r="BN61" s="38"/>
      <c r="BO61" s="38"/>
      <c r="BP61" s="38"/>
      <c r="BQ61" s="38"/>
      <c r="BR61" s="38"/>
      <c r="BS61" s="38"/>
      <c r="BT61" s="38"/>
      <c r="BU61" s="38"/>
      <c r="BV61" s="38"/>
      <c r="BW61" s="38"/>
      <c r="BX61" s="38"/>
      <c r="BY61" s="38"/>
      <c r="BZ61" s="38"/>
      <c r="CA61" s="38"/>
      <c r="CB61" s="38"/>
      <c r="CC61" s="38"/>
      <c r="CD61" s="38"/>
      <c r="CE61" s="38"/>
      <c r="CF61" s="38"/>
      <c r="CG61" s="38"/>
      <c r="CH61" s="38"/>
      <c r="CI61" s="38"/>
      <c r="CJ61" s="38"/>
      <c r="CK61" s="38"/>
      <c r="CL61" s="38"/>
      <c r="CM61" s="38"/>
      <c r="CN61" s="38"/>
      <c r="CO61" s="38"/>
      <c r="CP61" s="38"/>
      <c r="CQ61" s="38"/>
      <c r="CR61" s="38"/>
      <c r="CS61" s="38"/>
      <c r="CT61" s="38"/>
      <c r="CU61" s="38"/>
      <c r="CV61" s="38"/>
      <c r="CW61" s="38"/>
      <c r="CX61" s="38"/>
      <c r="CY61" s="38"/>
      <c r="CZ61" s="38"/>
      <c r="DA61" s="38"/>
      <c r="DB61" s="38"/>
      <c r="DC61" s="38"/>
      <c r="DD61" s="38"/>
      <c r="DE61" s="38"/>
      <c r="DF61" s="38"/>
      <c r="DG61" s="38"/>
      <c r="DH61" s="38"/>
      <c r="DI61" s="38"/>
      <c r="DJ61" s="38"/>
      <c r="DK61" s="38"/>
      <c r="DL61" s="38"/>
      <c r="DM61" s="38"/>
      <c r="DN61" s="38"/>
      <c r="DO61" s="38"/>
      <c r="DP61" s="38"/>
      <c r="DQ61" s="38"/>
      <c r="DR61" s="38"/>
      <c r="DS61" s="38"/>
      <c r="DT61" s="38"/>
      <c r="DU61" s="38"/>
      <c r="DV61" s="38"/>
      <c r="DW61" s="38"/>
      <c r="DX61" s="38"/>
      <c r="DY61" s="38"/>
      <c r="DZ61" s="38"/>
      <c r="EA61" s="38"/>
      <c r="EB61" s="38"/>
      <c r="EC61" s="38"/>
      <c r="ED61" s="38"/>
      <c r="EE61" s="38"/>
      <c r="EF61" s="38"/>
      <c r="EG61" s="38"/>
      <c r="EH61" s="38"/>
      <c r="EI61" s="38"/>
      <c r="EJ61" s="38"/>
      <c r="EK61" s="38"/>
      <c r="EL61" s="38"/>
      <c r="EM61" s="38"/>
      <c r="EN61" s="38"/>
      <c r="EO61" s="38"/>
      <c r="EP61" s="38"/>
      <c r="EQ61" s="38"/>
      <c r="ER61" s="38"/>
      <c r="ES61" s="38"/>
      <c r="ET61" s="38"/>
      <c r="EU61" s="38"/>
      <c r="EV61" s="38"/>
    </row>
    <row r="62" s="44" customFormat="true" ht="12.8" hidden="false" customHeight="false" outlineLevel="0" collapsed="false">
      <c r="A62" s="33" t="s">
        <v>289</v>
      </c>
      <c r="B62" s="33" t="n">
        <v>587</v>
      </c>
      <c r="C62" s="33" t="n">
        <v>704</v>
      </c>
      <c r="D62" s="33" t="n">
        <v>760</v>
      </c>
      <c r="E62" s="33" t="n">
        <v>747</v>
      </c>
      <c r="F62" s="33" t="n">
        <v>775</v>
      </c>
      <c r="G62" s="33" t="n">
        <v>808</v>
      </c>
      <c r="H62" s="33" t="n">
        <v>797</v>
      </c>
      <c r="I62" s="33" t="n">
        <v>784</v>
      </c>
      <c r="J62" s="33" t="n">
        <v>790</v>
      </c>
      <c r="K62" s="33" t="n">
        <v>760</v>
      </c>
      <c r="L62" s="33" t="n">
        <v>774</v>
      </c>
      <c r="M62" s="33" t="n">
        <v>785</v>
      </c>
      <c r="N62" s="33" t="n">
        <v>815</v>
      </c>
      <c r="O62" s="33" t="n">
        <v>840</v>
      </c>
      <c r="P62" s="33" t="n">
        <v>862</v>
      </c>
      <c r="Q62" s="33" t="n">
        <v>885</v>
      </c>
      <c r="R62" s="33" t="n">
        <v>951</v>
      </c>
      <c r="S62" s="33" t="n">
        <v>1043</v>
      </c>
      <c r="T62" s="33" t="n">
        <f aca="false">+S62*1.1</f>
        <v>1147.3</v>
      </c>
      <c r="U62" s="33" t="n">
        <f aca="false">+T62*1.1</f>
        <v>1262.03</v>
      </c>
      <c r="V62" s="33"/>
      <c r="W62" s="33"/>
      <c r="X62" s="33"/>
      <c r="Y62" s="33" t="n">
        <v>4836</v>
      </c>
      <c r="Z62" s="33" t="n">
        <v>2205</v>
      </c>
      <c r="AA62" s="33" t="n">
        <v>2054</v>
      </c>
      <c r="AB62" s="33" t="n">
        <v>2798</v>
      </c>
      <c r="AC62" s="33" t="n">
        <v>3164</v>
      </c>
      <c r="AD62" s="33" t="n">
        <v>3109</v>
      </c>
      <c r="AE62" s="33" t="n">
        <f aca="false">SUM(N62:Q62)</f>
        <v>3402</v>
      </c>
      <c r="AF62" s="33" t="n">
        <f aca="false">+AF52*0.07</f>
        <v>4078.16642690793</v>
      </c>
      <c r="AG62" s="33" t="n">
        <f aca="false">+AG52*0.07</f>
        <v>4689.89139094412</v>
      </c>
      <c r="AH62" s="33" t="n">
        <f aca="false">+AH52*0.07</f>
        <v>5440.27401349518</v>
      </c>
      <c r="AI62" s="33" t="n">
        <f aca="false">+AI52*0.07</f>
        <v>6310.71785565441</v>
      </c>
      <c r="AJ62" s="33" t="n">
        <f aca="false">+AJ52*0.06</f>
        <v>6220.5647434308</v>
      </c>
      <c r="AK62" s="33" t="n">
        <f aca="false">+AK52*0.06</f>
        <v>7091.4438075111</v>
      </c>
      <c r="AL62" s="33" t="n">
        <f aca="false">+AL52*0.06</f>
        <v>8013.33150248754</v>
      </c>
      <c r="AM62" s="33" t="n">
        <f aca="false">+AM52*0.06</f>
        <v>8974.93128278604</v>
      </c>
      <c r="AN62" s="33" t="n">
        <f aca="false">+AN52*0.06</f>
        <v>9962.17372389246</v>
      </c>
      <c r="AO62" s="33" t="n">
        <f aca="false">+AO52*0.06</f>
        <v>10958.3910962818</v>
      </c>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c r="CW62" s="33"/>
      <c r="CX62" s="33"/>
      <c r="CY62" s="33"/>
      <c r="CZ62" s="33"/>
      <c r="DA62" s="33"/>
      <c r="DB62" s="33"/>
      <c r="DC62" s="33"/>
      <c r="DD62" s="33"/>
      <c r="DE62" s="33"/>
      <c r="DF62" s="33"/>
      <c r="DG62" s="33"/>
      <c r="DH62" s="33"/>
      <c r="DI62" s="33"/>
      <c r="DJ62" s="33"/>
      <c r="DK62" s="33"/>
      <c r="DL62" s="33"/>
      <c r="DM62" s="33"/>
      <c r="DN62" s="33"/>
      <c r="DO62" s="33"/>
      <c r="DP62" s="33"/>
      <c r="DQ62" s="33"/>
      <c r="DR62" s="33"/>
      <c r="DS62" s="33"/>
      <c r="DT62" s="33"/>
      <c r="DU62" s="33"/>
      <c r="DV62" s="33"/>
      <c r="DW62" s="33"/>
      <c r="DX62" s="33"/>
      <c r="DY62" s="33"/>
      <c r="DZ62" s="33"/>
      <c r="EA62" s="33"/>
      <c r="EB62" s="33"/>
      <c r="EC62" s="33"/>
      <c r="ED62" s="33"/>
      <c r="EE62" s="33"/>
      <c r="EF62" s="33"/>
      <c r="EG62" s="33"/>
      <c r="EH62" s="33"/>
      <c r="EI62" s="33"/>
      <c r="EJ62" s="33"/>
      <c r="EK62" s="33"/>
      <c r="EL62" s="33"/>
      <c r="EM62" s="33"/>
      <c r="EN62" s="33"/>
      <c r="EO62" s="33"/>
      <c r="EP62" s="33"/>
      <c r="EQ62" s="33"/>
      <c r="ER62" s="33"/>
      <c r="ES62" s="33"/>
      <c r="ET62" s="33"/>
      <c r="EU62" s="33"/>
      <c r="EV62" s="1"/>
    </row>
    <row r="63" s="44" customFormat="true" ht="10.5" hidden="false" customHeight="true" outlineLevel="0" collapsed="false">
      <c r="A63" s="50" t="s">
        <v>265</v>
      </c>
      <c r="B63" s="38" t="n">
        <f aca="false">+B62/B$52</f>
        <v>0.0856434199007879</v>
      </c>
      <c r="C63" s="38" t="n">
        <f aca="false">+C62/C$52</f>
        <v>0.0872042611173046</v>
      </c>
      <c r="D63" s="38" t="n">
        <f aca="false">+D62/D$52</f>
        <v>0.0910943305765312</v>
      </c>
      <c r="E63" s="38" t="n">
        <f aca="false">+E62/E$52</f>
        <v>0.0867898222377135</v>
      </c>
      <c r="F63" s="38" t="n">
        <f aca="false">+F62/F$52</f>
        <v>0.087829137767382</v>
      </c>
      <c r="G63" s="38" t="n">
        <f aca="false">+G62/G$52</f>
        <v>0.0875357470177224</v>
      </c>
      <c r="H63" s="38" t="n">
        <f aca="false">+H62/H$52</f>
        <v>0.0857691414460446</v>
      </c>
      <c r="I63" s="38" t="n">
        <f aca="false">+I62/I$52</f>
        <v>0.0789017927173656</v>
      </c>
      <c r="J63" s="38" t="n">
        <f aca="false">+J62/J$52</f>
        <v>0.0779758646476423</v>
      </c>
      <c r="K63" s="38" t="n">
        <f aca="false">+K62/K$52</f>
        <v>0.0710258430739783</v>
      </c>
      <c r="L63" s="38" t="n">
        <f aca="false">+L62/L$52</f>
        <v>0.0691785070586552</v>
      </c>
      <c r="M63" s="38" t="n">
        <f aca="false">+M62/M$52</f>
        <v>0.0656384270145135</v>
      </c>
      <c r="N63" s="38" t="n">
        <f aca="false">+N62/N$52</f>
        <v>0.0706647702613117</v>
      </c>
      <c r="O63" s="38" t="n">
        <f aca="false">+O62/O$52</f>
        <v>0.0663956364938075</v>
      </c>
      <c r="P63" s="38" t="n">
        <f aca="false">+P62/P$52</f>
        <v>0.0640059933196743</v>
      </c>
      <c r="Q63" s="38" t="n">
        <f aca="false">+Q62/Q$52</f>
        <v>0.0616037867186412</v>
      </c>
      <c r="R63" s="38" t="n">
        <f aca="false">+R62/R$52</f>
        <v>0.072029084299023</v>
      </c>
      <c r="S63" s="38" t="n">
        <f aca="false">+S62/S$52</f>
        <v>0.0734972870128955</v>
      </c>
      <c r="T63" s="38"/>
      <c r="U63" s="38"/>
      <c r="V63" s="38"/>
      <c r="W63" s="38"/>
      <c r="X63" s="38"/>
      <c r="Y63" s="38" t="n">
        <f aca="false">+Y62/Y$52</f>
        <v>0.341839259206899</v>
      </c>
      <c r="Z63" s="38" t="n">
        <f aca="false">+Z62/Z$52</f>
        <v>0.19794416185286</v>
      </c>
      <c r="AA63" s="38" t="n">
        <f aca="false">+AA62/AA$52</f>
        <v>0.117657891219952</v>
      </c>
      <c r="AB63" s="38" t="n">
        <f aca="false">+AB62/AB$52</f>
        <v>0.0877650287516627</v>
      </c>
      <c r="AC63" s="38" t="n">
        <f aca="false">+AC62/AC$52</f>
        <v>0.0848683120897883</v>
      </c>
      <c r="AD63" s="38" t="n">
        <f aca="false">+AD62/AD$52</f>
        <v>0.070693840422704</v>
      </c>
      <c r="AE63" s="38" t="n">
        <f aca="false">+AE62/AE$52</f>
        <v>0.0654011563236336</v>
      </c>
      <c r="AF63" s="38" t="n">
        <f aca="false">+AF62/AF$52</f>
        <v>0.07</v>
      </c>
      <c r="AG63" s="38" t="n">
        <f aca="false">+AG62/AG$52</f>
        <v>0.07</v>
      </c>
      <c r="AH63" s="38" t="n">
        <f aca="false">+AH62/AH$52</f>
        <v>0.07</v>
      </c>
      <c r="AI63" s="38" t="n">
        <f aca="false">+AI62/AI$52</f>
        <v>0.07</v>
      </c>
      <c r="AJ63" s="38" t="n">
        <f aca="false">+AJ62/AJ$52</f>
        <v>0.06</v>
      </c>
      <c r="AK63" s="38" t="n">
        <f aca="false">+AK62/AK$52</f>
        <v>0.06</v>
      </c>
      <c r="AL63" s="38" t="n">
        <f aca="false">+AL62/AL$52</f>
        <v>0.06</v>
      </c>
      <c r="AM63" s="38" t="n">
        <f aca="false">+AM62/AM$52</f>
        <v>0.06</v>
      </c>
      <c r="AN63" s="38" t="n">
        <f aca="false">+AN62/AN$52</f>
        <v>0.06</v>
      </c>
      <c r="AO63" s="38" t="n">
        <f aca="false">+AO62/AO$52</f>
        <v>0.06</v>
      </c>
      <c r="AP63" s="38"/>
      <c r="AQ63" s="38"/>
      <c r="AR63" s="38"/>
      <c r="AS63" s="38"/>
      <c r="AT63" s="38"/>
      <c r="AU63" s="38"/>
      <c r="AV63" s="38"/>
      <c r="AW63" s="38"/>
      <c r="AX63" s="38"/>
      <c r="AY63" s="38"/>
      <c r="AZ63" s="38"/>
      <c r="BA63" s="38"/>
      <c r="BB63" s="38"/>
      <c r="BC63" s="38"/>
      <c r="BD63" s="38"/>
      <c r="BE63" s="38"/>
      <c r="BF63" s="38"/>
      <c r="BG63" s="38"/>
      <c r="BH63" s="38"/>
      <c r="BI63" s="38"/>
      <c r="BJ63" s="38"/>
      <c r="BK63" s="38"/>
      <c r="BL63" s="38"/>
      <c r="BM63" s="38"/>
      <c r="BN63" s="38"/>
      <c r="BO63" s="38"/>
      <c r="BP63" s="38"/>
      <c r="BQ63" s="38"/>
      <c r="BR63" s="38"/>
      <c r="BS63" s="38"/>
      <c r="BT63" s="38"/>
      <c r="BU63" s="38"/>
      <c r="BV63" s="38"/>
      <c r="BW63" s="38"/>
      <c r="BX63" s="38"/>
      <c r="BY63" s="38"/>
      <c r="BZ63" s="38"/>
      <c r="CA63" s="38"/>
      <c r="CB63" s="38"/>
      <c r="CC63" s="38"/>
      <c r="CD63" s="38"/>
      <c r="CE63" s="38"/>
      <c r="CF63" s="38"/>
      <c r="CG63" s="38"/>
      <c r="CH63" s="38"/>
      <c r="CI63" s="38"/>
      <c r="CJ63" s="38"/>
      <c r="CK63" s="38"/>
      <c r="CL63" s="38"/>
      <c r="CM63" s="38"/>
      <c r="CN63" s="38"/>
      <c r="CO63" s="38"/>
      <c r="CP63" s="38"/>
      <c r="CQ63" s="38"/>
      <c r="CR63" s="38"/>
      <c r="CS63" s="38"/>
      <c r="CT63" s="38"/>
      <c r="CU63" s="38"/>
      <c r="CV63" s="38"/>
      <c r="CW63" s="38"/>
      <c r="CX63" s="38"/>
      <c r="CY63" s="38"/>
      <c r="CZ63" s="38"/>
      <c r="DA63" s="38"/>
      <c r="DB63" s="38"/>
      <c r="DC63" s="38"/>
      <c r="DD63" s="38"/>
      <c r="DE63" s="38"/>
      <c r="DF63" s="38"/>
      <c r="DG63" s="38"/>
      <c r="DH63" s="38"/>
      <c r="DI63" s="38"/>
      <c r="DJ63" s="38"/>
      <c r="DK63" s="38"/>
      <c r="DL63" s="38"/>
      <c r="DM63" s="38"/>
      <c r="DN63" s="38"/>
      <c r="DO63" s="38"/>
      <c r="DP63" s="38"/>
      <c r="DQ63" s="38"/>
      <c r="DR63" s="38"/>
      <c r="DS63" s="38"/>
      <c r="DT63" s="38"/>
      <c r="DU63" s="38"/>
      <c r="DV63" s="38"/>
      <c r="DW63" s="38"/>
      <c r="DX63" s="38"/>
      <c r="DY63" s="38"/>
      <c r="DZ63" s="38"/>
      <c r="EA63" s="38"/>
      <c r="EB63" s="38"/>
      <c r="EC63" s="38"/>
      <c r="ED63" s="38"/>
      <c r="EE63" s="38"/>
      <c r="EF63" s="38"/>
      <c r="EG63" s="38"/>
      <c r="EH63" s="38"/>
      <c r="EI63" s="38"/>
      <c r="EJ63" s="38"/>
      <c r="EK63" s="38"/>
      <c r="EL63" s="38"/>
      <c r="EM63" s="38"/>
      <c r="EN63" s="38"/>
      <c r="EO63" s="38"/>
      <c r="EP63" s="38"/>
      <c r="EQ63" s="38"/>
      <c r="ER63" s="38"/>
      <c r="ES63" s="38"/>
      <c r="ET63" s="38"/>
      <c r="EU63" s="38"/>
      <c r="EV63" s="38"/>
    </row>
    <row r="64" s="44" customFormat="true" ht="12.8" hidden="false" customHeight="false" outlineLevel="0" collapsed="false">
      <c r="A64" s="33" t="s">
        <v>290</v>
      </c>
      <c r="B64" s="33" t="n">
        <v>632</v>
      </c>
      <c r="C64" s="33" t="n">
        <v>851</v>
      </c>
      <c r="D64" s="33" t="n">
        <v>908</v>
      </c>
      <c r="E64" s="33" t="n">
        <v>745</v>
      </c>
      <c r="F64" s="33" t="n">
        <v>942</v>
      </c>
      <c r="G64" s="33" t="n">
        <v>491</v>
      </c>
      <c r="H64" s="33" t="n">
        <v>646</v>
      </c>
      <c r="I64" s="33" t="n">
        <v>603</v>
      </c>
      <c r="J64" s="33" t="n">
        <v>1209</v>
      </c>
      <c r="K64" s="33" t="n">
        <v>686</v>
      </c>
      <c r="L64" s="33" t="n">
        <v>630</v>
      </c>
      <c r="M64" s="33" t="n">
        <v>1114</v>
      </c>
      <c r="N64" s="33" t="n">
        <v>657</v>
      </c>
      <c r="O64" s="33" t="n">
        <v>669</v>
      </c>
      <c r="P64" s="33" t="n">
        <v>1183</v>
      </c>
      <c r="Q64" s="33" t="n">
        <v>732</v>
      </c>
      <c r="R64" s="33" t="n">
        <v>798</v>
      </c>
      <c r="S64" s="33" t="n">
        <v>935</v>
      </c>
      <c r="T64" s="33" t="n">
        <f aca="false">+S64*1.1</f>
        <v>1028.5</v>
      </c>
      <c r="U64" s="33" t="n">
        <f aca="false">+T64*1.1</f>
        <v>1131.35</v>
      </c>
      <c r="V64" s="33"/>
      <c r="W64" s="33"/>
      <c r="X64" s="33"/>
      <c r="Y64" s="33" t="n">
        <v>3299</v>
      </c>
      <c r="Z64" s="33" t="n">
        <v>2666</v>
      </c>
      <c r="AA64" s="33" t="n">
        <v>2316</v>
      </c>
      <c r="AB64" s="33" t="n">
        <v>3136</v>
      </c>
      <c r="AC64" s="33" t="n">
        <v>2682</v>
      </c>
      <c r="AD64" s="33" t="n">
        <v>3639</v>
      </c>
      <c r="AE64" s="33" t="n">
        <f aca="false">SUM(N64:Q64)</f>
        <v>3241</v>
      </c>
      <c r="AF64" s="33" t="n">
        <f aca="false">+AF52*0.06</f>
        <v>3495.57122306394</v>
      </c>
      <c r="AG64" s="33" t="n">
        <f aca="false">+AG52*0.06</f>
        <v>4019.90690652353</v>
      </c>
      <c r="AH64" s="33" t="n">
        <f aca="false">+AH52*0.06</f>
        <v>4663.0920115673</v>
      </c>
      <c r="AI64" s="33" t="n">
        <f aca="false">+AI52*0.05</f>
        <v>4507.65561118172</v>
      </c>
      <c r="AJ64" s="33" t="n">
        <f aca="false">+AJ52*0.05</f>
        <v>5183.803952859</v>
      </c>
      <c r="AK64" s="33" t="n">
        <f aca="false">+AK52*0.05</f>
        <v>5909.53650625925</v>
      </c>
      <c r="AL64" s="33" t="n">
        <f aca="false">+AL52*0.05</f>
        <v>6677.77625207295</v>
      </c>
      <c r="AM64" s="33" t="n">
        <f aca="false">+AM52*0.05</f>
        <v>7479.1094023217</v>
      </c>
      <c r="AN64" s="33" t="n">
        <f aca="false">+AN52*0.05</f>
        <v>8301.81143657705</v>
      </c>
      <c r="AO64" s="33" t="n">
        <f aca="false">+AO52*0.05</f>
        <v>9131.9925802348</v>
      </c>
      <c r="AP64" s="83"/>
      <c r="AQ64" s="83"/>
      <c r="AR64" s="83"/>
      <c r="AS64" s="83"/>
      <c r="AT64" s="83"/>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83"/>
      <c r="EJ64" s="83"/>
      <c r="EK64" s="83"/>
      <c r="EL64" s="83"/>
      <c r="EM64" s="83"/>
      <c r="EN64" s="83"/>
      <c r="EO64" s="83"/>
      <c r="EP64" s="83"/>
      <c r="EQ64" s="83"/>
      <c r="ER64" s="83"/>
      <c r="ES64" s="83"/>
      <c r="ET64" s="83"/>
      <c r="EU64" s="83"/>
      <c r="EV64" s="1"/>
    </row>
    <row r="65" s="44" customFormat="true" ht="10.5" hidden="false" customHeight="true" outlineLevel="0" collapsed="false">
      <c r="A65" s="50" t="s">
        <v>265</v>
      </c>
      <c r="B65" s="38" t="n">
        <f aca="false">+B64/B$52</f>
        <v>0.0922089290925007</v>
      </c>
      <c r="C65" s="38" t="n">
        <f aca="false">+C64/C$52</f>
        <v>0.105413105413105</v>
      </c>
      <c r="D65" s="38" t="n">
        <f aca="false">+D64/D$52</f>
        <v>0.108833752846698</v>
      </c>
      <c r="E65" s="38" t="n">
        <f aca="false">+E64/E$52</f>
        <v>0.0865574532357384</v>
      </c>
      <c r="F65" s="38" t="n">
        <f aca="false">+F64/F$52</f>
        <v>0.106754900357257</v>
      </c>
      <c r="G65" s="38" t="n">
        <f aca="false">+G64/G$52</f>
        <v>0.0531931333981457</v>
      </c>
      <c r="H65" s="38" t="n">
        <f aca="false">+H64/H$52</f>
        <v>0.0695192790139834</v>
      </c>
      <c r="I65" s="38" t="n">
        <f aca="false">+I64/I$52</f>
        <v>0.0606859451639942</v>
      </c>
      <c r="J65" s="38" t="n">
        <f aca="false">+J64/J$52</f>
        <v>0.119332683998734</v>
      </c>
      <c r="K65" s="38" t="n">
        <f aca="false">+K64/K$52</f>
        <v>0.0641101688799331</v>
      </c>
      <c r="L65" s="38" t="n">
        <f aca="false">+L64/L$52</f>
        <v>0.0563080871407659</v>
      </c>
      <c r="M65" s="38" t="n">
        <f aca="false">+M64/M$52</f>
        <v>0.093148035279195</v>
      </c>
      <c r="N65" s="38" t="n">
        <f aca="false">+N64/N$52</f>
        <v>0.0569653424069715</v>
      </c>
      <c r="O65" s="38" t="n">
        <f aca="false">+O64/O$52</f>
        <v>0.0528793819218538</v>
      </c>
      <c r="P65" s="38" t="n">
        <f aca="false">+P64/P$52</f>
        <v>0.0878411718064671</v>
      </c>
      <c r="Q65" s="38" t="n">
        <f aca="false">+Q64/Q$52</f>
        <v>0.0509536405401643</v>
      </c>
      <c r="R65" s="38" t="n">
        <f aca="false">+R64/R$52</f>
        <v>0.0604408089070666</v>
      </c>
      <c r="S65" s="38" t="n">
        <f aca="false">+S64/S$52</f>
        <v>0.0658868296807836</v>
      </c>
      <c r="T65" s="38"/>
      <c r="U65" s="38"/>
      <c r="V65" s="38"/>
      <c r="W65" s="38"/>
      <c r="X65" s="38"/>
      <c r="Y65" s="38" t="n">
        <f aca="false">+Y64/Y$52</f>
        <v>0.233194316816286</v>
      </c>
      <c r="Z65" s="38" t="n">
        <f aca="false">+Z64/Z$52</f>
        <v>0.239328406122325</v>
      </c>
      <c r="AA65" s="38" t="n">
        <f aca="false">+AA64/AA$52</f>
        <v>0.132665859817629</v>
      </c>
      <c r="AB65" s="38" t="n">
        <f aca="false">+AB64/AB$52</f>
        <v>0.0983670944121567</v>
      </c>
      <c r="AC65" s="38" t="n">
        <f aca="false">+AC64/AC$52</f>
        <v>0.0719395742809141</v>
      </c>
      <c r="AD65" s="38" t="n">
        <f aca="false">+AD64/AD$52</f>
        <v>0.0827452188157671</v>
      </c>
      <c r="AE65" s="38" t="n">
        <f aca="false">+AE64/AE$52</f>
        <v>0.0623060398721036</v>
      </c>
      <c r="AF65" s="38" t="n">
        <f aca="false">+AF64/AF$52</f>
        <v>0.06</v>
      </c>
      <c r="AG65" s="38" t="n">
        <f aca="false">+AG64/AG$52</f>
        <v>0.06</v>
      </c>
      <c r="AH65" s="38" t="n">
        <f aca="false">+AH64/AH$52</f>
        <v>0.06</v>
      </c>
      <c r="AI65" s="38" t="n">
        <f aca="false">+AI64/AI$52</f>
        <v>0.05</v>
      </c>
      <c r="AJ65" s="38" t="n">
        <f aca="false">+AJ64/AJ$52</f>
        <v>0.05</v>
      </c>
      <c r="AK65" s="38" t="n">
        <f aca="false">+AK64/AK$52</f>
        <v>0.05</v>
      </c>
      <c r="AL65" s="38" t="n">
        <f aca="false">+AL64/AL$52</f>
        <v>0.05</v>
      </c>
      <c r="AM65" s="38" t="n">
        <f aca="false">+AM64/AM$52</f>
        <v>0.05</v>
      </c>
      <c r="AN65" s="38" t="n">
        <f aca="false">+AN64/AN$52</f>
        <v>0.05</v>
      </c>
      <c r="AO65" s="38" t="n">
        <f aca="false">+AO64/AO$52</f>
        <v>0.05</v>
      </c>
      <c r="AP65" s="84"/>
      <c r="AQ65" s="84"/>
      <c r="AR65" s="84"/>
      <c r="AS65" s="84"/>
      <c r="AT65" s="84"/>
      <c r="AU65" s="84"/>
      <c r="AV65" s="84"/>
      <c r="AW65" s="84"/>
      <c r="AX65" s="84"/>
      <c r="AY65" s="84"/>
      <c r="AZ65" s="84"/>
      <c r="BA65" s="84"/>
      <c r="BB65" s="84"/>
      <c r="BC65" s="84"/>
      <c r="BD65" s="84"/>
      <c r="BE65" s="84"/>
      <c r="BF65" s="84"/>
      <c r="BG65" s="84"/>
      <c r="BH65" s="84"/>
      <c r="BI65" s="84"/>
      <c r="BJ65" s="84"/>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4"/>
      <c r="CI65" s="84"/>
      <c r="CJ65" s="84"/>
      <c r="CK65" s="84"/>
      <c r="CL65" s="84"/>
      <c r="CM65" s="84"/>
      <c r="CN65" s="84"/>
      <c r="CO65" s="84"/>
      <c r="CP65" s="84"/>
      <c r="CQ65" s="84"/>
      <c r="CR65" s="84"/>
      <c r="CS65" s="84"/>
      <c r="CT65" s="84"/>
      <c r="CU65" s="84"/>
      <c r="CV65" s="84"/>
      <c r="CW65" s="84"/>
      <c r="CX65" s="84"/>
      <c r="CY65" s="84"/>
      <c r="CZ65" s="84"/>
      <c r="DA65" s="84"/>
      <c r="DB65" s="84"/>
      <c r="DC65" s="84"/>
      <c r="DD65" s="84"/>
      <c r="DE65" s="84"/>
      <c r="DF65" s="84"/>
      <c r="DG65" s="84"/>
      <c r="DH65" s="84"/>
      <c r="DI65" s="84"/>
      <c r="DJ65" s="84"/>
      <c r="DK65" s="84"/>
      <c r="DL65" s="84"/>
      <c r="DM65" s="84"/>
      <c r="DN65" s="84"/>
      <c r="DO65" s="84"/>
      <c r="DP65" s="84"/>
      <c r="DQ65" s="84"/>
      <c r="DR65" s="84"/>
      <c r="DS65" s="84"/>
      <c r="DT65" s="84"/>
      <c r="DU65" s="84"/>
      <c r="DV65" s="84"/>
      <c r="DW65" s="84"/>
      <c r="DX65" s="84"/>
      <c r="DY65" s="84"/>
      <c r="DZ65" s="84"/>
      <c r="EA65" s="84"/>
      <c r="EB65" s="84"/>
      <c r="EC65" s="84"/>
      <c r="ED65" s="84"/>
      <c r="EE65" s="84"/>
      <c r="EF65" s="84"/>
      <c r="EG65" s="84"/>
      <c r="EH65" s="84"/>
      <c r="EI65" s="84"/>
      <c r="EJ65" s="84"/>
      <c r="EK65" s="84"/>
      <c r="EL65" s="84"/>
      <c r="EM65" s="84"/>
      <c r="EN65" s="84"/>
      <c r="EO65" s="84"/>
      <c r="EP65" s="84"/>
      <c r="EQ65" s="84"/>
      <c r="ER65" s="84"/>
      <c r="ES65" s="84"/>
      <c r="ET65" s="84"/>
      <c r="EU65" s="84"/>
      <c r="EV65" s="38"/>
    </row>
    <row r="66" s="44" customFormat="true" ht="12.8" hidden="false" customHeight="false" outlineLevel="0" collapsed="false">
      <c r="A66" s="33" t="s">
        <v>291</v>
      </c>
      <c r="B66" s="33" t="n">
        <f aca="false">SUM(B58:B64)-B63-B61-B59</f>
        <v>3056</v>
      </c>
      <c r="C66" s="33" t="n">
        <f aca="false">SUM(C58:C64)-C63-C61-C59</f>
        <v>3390</v>
      </c>
      <c r="D66" s="33" t="n">
        <f aca="false">SUM(D58:D64)-D63-D61-D59</f>
        <v>3438</v>
      </c>
      <c r="E66" s="33" t="n">
        <f aca="false">SUM(E58:E64)-E63-E61-E59</f>
        <v>3219</v>
      </c>
      <c r="F66" s="33" t="n">
        <f aca="false">SUM(F58:F64)-F63-F61-F59</f>
        <v>3619</v>
      </c>
      <c r="G66" s="33" t="n">
        <f aca="false">SUM(G58:G64)-G63-G61-G59</f>
        <v>3181</v>
      </c>
      <c r="H66" s="33" t="n">
        <f aca="false">SUM(H58:H64)-H63-H61-H59</f>
        <v>3067</v>
      </c>
      <c r="I66" s="33" t="n">
        <f aca="false">SUM(I58:I64)-I63-I61-I59</f>
        <v>3024</v>
      </c>
      <c r="J66" s="33" t="n">
        <f aca="false">SUM(J58:J64)-J63-J61-J59</f>
        <v>3601</v>
      </c>
      <c r="K66" s="33" t="n">
        <f aca="false">SUM(K58:K64)-K63-K61-K59</f>
        <v>3243</v>
      </c>
      <c r="L66" s="33" t="n">
        <f aca="false">SUM(L58:L64)-L63-L61-L59</f>
        <v>3187</v>
      </c>
      <c r="M66" s="33" t="n">
        <f aca="false">SUM(M58:M64)-M63-M61-M59</f>
        <v>3786</v>
      </c>
      <c r="N66" s="33" t="n">
        <f aca="false">SUM(N58:N64)-N63-N61-N59</f>
        <v>3197</v>
      </c>
      <c r="O66" s="33" t="n">
        <f aca="false">SUM(O58:O64)-O63-O61-O59</f>
        <v>3415</v>
      </c>
      <c r="P66" s="33" t="n">
        <f aca="false">SUM(P58:P64)-P63-P61-P59</f>
        <v>4057</v>
      </c>
      <c r="Q66" s="33" t="n">
        <f aca="false">SUM(Q58:Q64)-Q63-Q61-Q59</f>
        <v>3726</v>
      </c>
      <c r="R66" s="33" t="n">
        <f aca="false">SUM(R58:R64)-R63-R61-R59</f>
        <v>3838</v>
      </c>
      <c r="S66" s="33" t="n">
        <f aca="false">SUM(S58:S64)-S63-S61-S59</f>
        <v>4298</v>
      </c>
      <c r="T66" s="33" t="n">
        <f aca="false">SUM(T58:T64)</f>
        <v>4727.8</v>
      </c>
      <c r="U66" s="33" t="n">
        <f aca="false">SUM(U58:U64)</f>
        <v>5200.58</v>
      </c>
      <c r="V66" s="33"/>
      <c r="W66" s="33"/>
      <c r="X66" s="33"/>
      <c r="Y66" s="33" t="n">
        <f aca="false">+Y64+Y62+Y60+Y58</f>
        <v>15063</v>
      </c>
      <c r="Z66" s="33" t="n">
        <f aca="false">+Z64+Z62+Z60+Z58</f>
        <v>10273</v>
      </c>
      <c r="AA66" s="33" t="n">
        <f aca="false">+AA64+AA62+AA60+AA58</f>
        <v>11036</v>
      </c>
      <c r="AB66" s="33" t="n">
        <f aca="false">+AB64+AB62+AB60+AB58</f>
        <v>13103</v>
      </c>
      <c r="AC66" s="33" t="n">
        <f aca="false">+AC64+AC62+AC60+AC58</f>
        <v>12891</v>
      </c>
      <c r="AD66" s="33" t="n">
        <f aca="false">+AD64+AD62+AD60+AD58</f>
        <v>13817</v>
      </c>
      <c r="AE66" s="33" t="n">
        <f aca="false">+AE64+AE62+AE60+AE58</f>
        <v>14395</v>
      </c>
      <c r="AF66" s="33" t="n">
        <f aca="false">+AF64+AF62+AF60+AF58</f>
        <v>15730.0705037877</v>
      </c>
      <c r="AG66" s="33" t="n">
        <f aca="false">+AG64+AG62+AG60+AG58</f>
        <v>18089.5810793559</v>
      </c>
      <c r="AH66" s="33" t="n">
        <f aca="false">+AH64+AH62+AH60+AH58</f>
        <v>20206.732050125</v>
      </c>
      <c r="AI66" s="33" t="n">
        <f aca="false">+AI64+AI62+AI60+AI58</f>
        <v>22538.2780559086</v>
      </c>
      <c r="AJ66" s="33" t="n">
        <f aca="false">+AJ64+AJ62+AJ60+AJ58</f>
        <v>24882.2589737232</v>
      </c>
      <c r="AK66" s="33" t="n">
        <f aca="false">+AK64+AK62+AK60+AK58</f>
        <v>28365.7752300444</v>
      </c>
      <c r="AL66" s="33" t="n">
        <f aca="false">+AL64+AL62+AL60+AL58</f>
        <v>30717.7707595356</v>
      </c>
      <c r="AM66" s="33" t="n">
        <f aca="false">+AM64+AM62+AM60+AM58</f>
        <v>34403.9032506798</v>
      </c>
      <c r="AN66" s="33" t="n">
        <f aca="false">+AN64+AN62+AN60+AN58</f>
        <v>38188.3326082544</v>
      </c>
      <c r="AO66" s="33" t="n">
        <f aca="false">+AO64+AO62+AO60+AO58</f>
        <v>42007.1658690801</v>
      </c>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c r="CW66" s="33"/>
      <c r="CX66" s="33"/>
      <c r="CY66" s="33"/>
      <c r="CZ66" s="33"/>
      <c r="DA66" s="33"/>
      <c r="DB66" s="33"/>
      <c r="DC66" s="33"/>
      <c r="DD66" s="33"/>
      <c r="DE66" s="33"/>
      <c r="DF66" s="33"/>
      <c r="DG66" s="33"/>
      <c r="DH66" s="33"/>
      <c r="DI66" s="33"/>
      <c r="DJ66" s="33"/>
      <c r="DK66" s="33"/>
      <c r="DL66" s="33"/>
      <c r="DM66" s="33"/>
      <c r="DN66" s="33"/>
      <c r="DO66" s="33"/>
      <c r="DP66" s="33"/>
      <c r="DQ66" s="33"/>
      <c r="DR66" s="33"/>
      <c r="DS66" s="33"/>
      <c r="DT66" s="33"/>
      <c r="DU66" s="33"/>
      <c r="DV66" s="33"/>
      <c r="DW66" s="33"/>
      <c r="DX66" s="33"/>
      <c r="DY66" s="33"/>
      <c r="DZ66" s="33"/>
      <c r="EA66" s="33"/>
      <c r="EB66" s="33"/>
      <c r="EC66" s="33"/>
      <c r="ED66" s="33"/>
      <c r="EE66" s="33"/>
      <c r="EF66" s="33"/>
      <c r="EG66" s="33"/>
      <c r="EH66" s="33"/>
      <c r="EI66" s="33"/>
      <c r="EJ66" s="33"/>
      <c r="EK66" s="33"/>
      <c r="EL66" s="33"/>
      <c r="EM66" s="33"/>
      <c r="EN66" s="33"/>
      <c r="EO66" s="33"/>
      <c r="EP66" s="33"/>
      <c r="EQ66" s="33"/>
      <c r="ER66" s="33"/>
      <c r="ES66" s="33"/>
      <c r="ET66" s="33"/>
      <c r="EU66" s="33"/>
      <c r="EV66" s="1"/>
    </row>
    <row r="67" s="44" customFormat="true" ht="10.5" hidden="false" customHeight="true" outlineLevel="0" collapsed="false">
      <c r="A67" s="50" t="s">
        <v>265</v>
      </c>
      <c r="B67" s="38" t="n">
        <f aca="false">+B66/B$52</f>
        <v>0.445871024219434</v>
      </c>
      <c r="C67" s="38" t="n">
        <f aca="false">+C66/C$52</f>
        <v>0.419918246005203</v>
      </c>
      <c r="D67" s="38" t="n">
        <f aca="false">+D66/D$52</f>
        <v>0.412081984897519</v>
      </c>
      <c r="E67" s="38" t="n">
        <f aca="false">+E66/E$52</f>
        <v>0.373997908678982</v>
      </c>
      <c r="F67" s="38" t="n">
        <f aca="false">+F66/F$52</f>
        <v>0.410133741393749</v>
      </c>
      <c r="G67" s="38" t="n">
        <f aca="false">+G66/G$52</f>
        <v>0.344617835721999</v>
      </c>
      <c r="H67" s="38" t="n">
        <f aca="false">+H66/H$52</f>
        <v>0.330055152841931</v>
      </c>
      <c r="I67" s="38" t="n">
        <f aca="false">+I66/I$52</f>
        <v>0.304335486195553</v>
      </c>
      <c r="J67" s="38" t="n">
        <f aca="false">+J66/J$52</f>
        <v>0.355431757716658</v>
      </c>
      <c r="K67" s="38" t="n">
        <f aca="false">+K66/K$52</f>
        <v>0.3030747488012</v>
      </c>
      <c r="L67" s="38" t="n">
        <f aca="false">+L66/L$52</f>
        <v>0.284847418599398</v>
      </c>
      <c r="M67" s="38" t="n">
        <f aca="false">+M66/M$52</f>
        <v>0.316569534620316</v>
      </c>
      <c r="N67" s="38" t="n">
        <f aca="false">+N66/N$52</f>
        <v>0.277196650951428</v>
      </c>
      <c r="O67" s="38" t="n">
        <f aca="false">+O66/O$52</f>
        <v>0.269929879317086</v>
      </c>
      <c r="P67" s="38" t="n">
        <f aca="false">+P66/P$52</f>
        <v>0.30124398480037</v>
      </c>
      <c r="Q67" s="38" t="n">
        <f aca="false">+Q66/Q$52</f>
        <v>0.259362383405262</v>
      </c>
      <c r="R67" s="38" t="n">
        <f aca="false">+R66/R$52</f>
        <v>0.290691509505415</v>
      </c>
      <c r="S67" s="38" t="n">
        <f aca="false">+S66/S$52</f>
        <v>0.302868014939046</v>
      </c>
      <c r="T67" s="38" t="n">
        <f aca="false">+T66/T$52</f>
        <v>0.319138931888585</v>
      </c>
      <c r="U67" s="38" t="n">
        <f aca="false">+U66/U$52</f>
        <v>0.329096477794793</v>
      </c>
      <c r="V67" s="38"/>
      <c r="W67" s="38"/>
      <c r="X67" s="38"/>
      <c r="Y67" s="38" t="n">
        <f aca="false">+Y66/Y$52</f>
        <v>1.06474870997385</v>
      </c>
      <c r="Z67" s="38" t="n">
        <f aca="false">+Z66/Z$52</f>
        <v>0.922213321865957</v>
      </c>
      <c r="AA67" s="38" t="n">
        <f aca="false">+AA66/AA$52</f>
        <v>0.632167715434954</v>
      </c>
      <c r="AB67" s="38" t="n">
        <f aca="false">+AB66/AB$52</f>
        <v>0.411002563164059</v>
      </c>
      <c r="AC67" s="38" t="n">
        <f aca="false">+AC66/AC$52</f>
        <v>0.345776678618667</v>
      </c>
      <c r="AD67" s="38" t="n">
        <f aca="false">+AD66/AD$52</f>
        <v>0.314177160862175</v>
      </c>
      <c r="AE67" s="38" t="n">
        <f aca="false">+AE66/AE$52</f>
        <v>0.276734169688038</v>
      </c>
      <c r="AF67" s="38" t="n">
        <f aca="false">+AF66/AF$52</f>
        <v>0.27</v>
      </c>
      <c r="AG67" s="38" t="n">
        <f aca="false">+AG66/AG$52</f>
        <v>0.27</v>
      </c>
      <c r="AH67" s="38" t="n">
        <f aca="false">+AH66/AH$52</f>
        <v>0.26</v>
      </c>
      <c r="AI67" s="38" t="n">
        <f aca="false">+AI66/AI$52</f>
        <v>0.25</v>
      </c>
      <c r="AJ67" s="38" t="n">
        <f aca="false">+AJ66/AJ$52</f>
        <v>0.24</v>
      </c>
      <c r="AK67" s="38" t="n">
        <f aca="false">+AK66/AK$52</f>
        <v>0.24</v>
      </c>
      <c r="AL67" s="38" t="n">
        <f aca="false">+AL66/AL$52</f>
        <v>0.23</v>
      </c>
      <c r="AM67" s="38" t="n">
        <f aca="false">+AM66/AM$52</f>
        <v>0.23</v>
      </c>
      <c r="AN67" s="38" t="n">
        <f aca="false">+AN66/AN$52</f>
        <v>0.23</v>
      </c>
      <c r="AO67" s="38" t="n">
        <f aca="false">+AO66/AO$52</f>
        <v>0.23</v>
      </c>
      <c r="AP67" s="38"/>
      <c r="AQ67" s="38"/>
      <c r="AR67" s="38"/>
      <c r="AS67" s="38"/>
      <c r="AT67" s="38"/>
      <c r="AU67" s="38"/>
      <c r="AV67" s="38"/>
      <c r="AW67" s="38"/>
      <c r="AX67" s="38"/>
      <c r="AY67" s="38"/>
      <c r="AZ67" s="38"/>
      <c r="BA67" s="38"/>
      <c r="BB67" s="38"/>
      <c r="BC67" s="38"/>
      <c r="BD67" s="38"/>
      <c r="BE67" s="38"/>
      <c r="BF67" s="38"/>
      <c r="BG67" s="38"/>
      <c r="BH67" s="38"/>
      <c r="BI67" s="38"/>
      <c r="BJ67" s="38"/>
      <c r="BK67" s="38"/>
      <c r="BL67" s="38"/>
      <c r="BM67" s="38"/>
      <c r="BN67" s="38"/>
      <c r="BO67" s="38"/>
      <c r="BP67" s="38"/>
      <c r="BQ67" s="38"/>
      <c r="BR67" s="38"/>
      <c r="BS67" s="38"/>
      <c r="BT67" s="38"/>
      <c r="BU67" s="38"/>
      <c r="BV67" s="38"/>
      <c r="BW67" s="38"/>
      <c r="BX67" s="38"/>
      <c r="BY67" s="38"/>
      <c r="BZ67" s="38"/>
      <c r="CA67" s="38"/>
      <c r="CB67" s="38"/>
      <c r="CC67" s="38"/>
      <c r="CD67" s="38"/>
      <c r="CE67" s="38"/>
      <c r="CF67" s="38"/>
      <c r="CG67" s="38"/>
      <c r="CH67" s="38"/>
      <c r="CI67" s="38"/>
      <c r="CJ67" s="38"/>
      <c r="CK67" s="38"/>
      <c r="CL67" s="38"/>
      <c r="CM67" s="38"/>
      <c r="CN67" s="38"/>
      <c r="CO67" s="38"/>
      <c r="CP67" s="38"/>
      <c r="CQ67" s="38"/>
      <c r="CR67" s="38"/>
      <c r="CS67" s="38"/>
      <c r="CT67" s="38"/>
      <c r="CU67" s="38"/>
      <c r="CV67" s="38"/>
      <c r="CW67" s="38"/>
      <c r="CX67" s="38"/>
      <c r="CY67" s="38"/>
      <c r="CZ67" s="38"/>
      <c r="DA67" s="38"/>
      <c r="DB67" s="38"/>
      <c r="DC67" s="38"/>
      <c r="DD67" s="38"/>
      <c r="DE67" s="38"/>
      <c r="DF67" s="38"/>
      <c r="DG67" s="38"/>
      <c r="DH67" s="38"/>
      <c r="DI67" s="38"/>
      <c r="DJ67" s="38"/>
      <c r="DK67" s="38"/>
      <c r="DL67" s="38"/>
      <c r="DM67" s="38"/>
      <c r="DN67" s="38"/>
      <c r="DO67" s="38"/>
      <c r="DP67" s="38"/>
      <c r="DQ67" s="38"/>
      <c r="DR67" s="38"/>
      <c r="DS67" s="38"/>
      <c r="DT67" s="38"/>
      <c r="DU67" s="38"/>
      <c r="DV67" s="38"/>
      <c r="DW67" s="38"/>
      <c r="DX67" s="38"/>
      <c r="DY67" s="38"/>
      <c r="DZ67" s="38"/>
      <c r="EA67" s="38"/>
      <c r="EB67" s="38"/>
      <c r="EC67" s="38"/>
      <c r="ED67" s="38"/>
      <c r="EE67" s="38"/>
      <c r="EF67" s="38"/>
      <c r="EG67" s="38"/>
      <c r="EH67" s="38"/>
      <c r="EI67" s="38"/>
      <c r="EJ67" s="38"/>
      <c r="EK67" s="38"/>
      <c r="EL67" s="38"/>
      <c r="EM67" s="38"/>
      <c r="EN67" s="38"/>
      <c r="EO67" s="38"/>
      <c r="EP67" s="38"/>
      <c r="EQ67" s="38"/>
      <c r="ER67" s="38"/>
      <c r="ES67" s="38"/>
      <c r="ET67" s="38"/>
      <c r="EU67" s="38"/>
      <c r="EV67" s="38"/>
    </row>
    <row r="68" s="3" customFormat="true" ht="12.8" hidden="false" customHeight="false" outlineLevel="0" collapsed="false">
      <c r="A68" s="33" t="s">
        <v>292</v>
      </c>
      <c r="B68" s="33" t="n">
        <f aca="false">B56-B66</f>
        <v>-482</v>
      </c>
      <c r="C68" s="33" t="n">
        <f aca="false">C56-C66</f>
        <v>-713</v>
      </c>
      <c r="D68" s="33" t="n">
        <f aca="false">D56-D66</f>
        <v>-495</v>
      </c>
      <c r="E68" s="33" t="n">
        <f aca="false">E56-E66</f>
        <v>-142</v>
      </c>
      <c r="F68" s="33" t="n">
        <f aca="false">F56-F66</f>
        <v>-261.04909144605</v>
      </c>
      <c r="G68" s="33" t="n">
        <f aca="false">G56-G66</f>
        <v>326.51470431175</v>
      </c>
      <c r="H68" s="33" t="n">
        <f aca="false">H56-H66</f>
        <v>394.38635904237</v>
      </c>
      <c r="I68" s="33" t="n">
        <f aca="false">I56-I66</f>
        <v>652.40287500652</v>
      </c>
      <c r="J68" s="33" t="n">
        <f aca="false">J56-J66</f>
        <v>172.34004438242</v>
      </c>
      <c r="K68" s="33" t="n">
        <f aca="false">K56-K66</f>
        <v>796.33057134443</v>
      </c>
      <c r="L68" s="33" t="n">
        <f aca="false">L56-L66</f>
        <v>1061.44613607724</v>
      </c>
      <c r="M68" s="33" t="n">
        <f aca="false">M56-M66</f>
        <v>770.45783140762</v>
      </c>
      <c r="N68" s="33" t="n">
        <f aca="false">N56-N66</f>
        <v>1228.32837545794</v>
      </c>
      <c r="O68" s="33" t="n">
        <f aca="false">O56-O66</f>
        <v>1450.43380436374</v>
      </c>
      <c r="P68" s="33" t="n">
        <f aca="false">P56-P66</f>
        <v>1113.48882865999</v>
      </c>
      <c r="Q68" s="33" t="n">
        <f aca="false">Q56-Q66</f>
        <v>1774</v>
      </c>
      <c r="R68" s="33" t="n">
        <f aca="false">R56-R66</f>
        <v>1923</v>
      </c>
      <c r="S68" s="33" t="n">
        <f aca="false">S56-S66</f>
        <v>1890</v>
      </c>
      <c r="T68" s="33" t="n">
        <f aca="false">T56-T66</f>
        <v>1642.32221595618</v>
      </c>
      <c r="U68" s="33" t="n">
        <f aca="false">U56-U66</f>
        <v>1594.538</v>
      </c>
      <c r="V68" s="33"/>
      <c r="W68" s="33"/>
      <c r="X68" s="33"/>
      <c r="Y68" s="33" t="n">
        <f aca="false">Y56-Y66</f>
        <v>-8596</v>
      </c>
      <c r="Z68" s="33" t="n">
        <f aca="false">Z56-Z66</f>
        <v>-4862.49490240048</v>
      </c>
      <c r="AA68" s="33" t="n">
        <f aca="false">AA56-AA66</f>
        <v>-3831.60739587622</v>
      </c>
      <c r="AB68" s="33" t="n">
        <f aca="false">AB56-AB66</f>
        <v>-1828.4202315237</v>
      </c>
      <c r="AC68" s="33" t="n">
        <f aca="false">AC56-AC66</f>
        <v>1110.28817564525</v>
      </c>
      <c r="AD68" s="33" t="n">
        <f aca="false">AD56-AD66</f>
        <v>2799.37182716581</v>
      </c>
      <c r="AE68" s="33" t="n">
        <f aca="false">AE56-AE66</f>
        <v>5565.42891464198</v>
      </c>
      <c r="AF68" s="33" t="n">
        <f aca="false">AF56-AF66</f>
        <v>7573.73764997187</v>
      </c>
      <c r="AG68" s="33" t="n">
        <f aca="false">AG56-AG66</f>
        <v>9044.79053967789</v>
      </c>
      <c r="AH68" s="33" t="n">
        <f aca="false">AH56-AH66</f>
        <v>11657.7300289182</v>
      </c>
      <c r="AI68" s="33" t="n">
        <f aca="false">AI56-AI66</f>
        <v>14875.2635168997</v>
      </c>
      <c r="AJ68" s="33" t="n">
        <f aca="false">AJ56-AJ66</f>
        <v>18661.6942302922</v>
      </c>
      <c r="AK68" s="33" t="n">
        <f aca="false">AK56-AK66</f>
        <v>23047.1923744109</v>
      </c>
      <c r="AL68" s="33" t="n">
        <f aca="false">AL56-AL66</f>
        <v>26711.1050082916</v>
      </c>
      <c r="AM68" s="33" t="n">
        <f aca="false">AM56-AM66</f>
        <v>30664.3485495189</v>
      </c>
      <c r="AN68" s="33" t="n">
        <f aca="false">AN56-AN66</f>
        <v>34867.6080336239</v>
      </c>
      <c r="AO68" s="33" t="n">
        <f aca="false">AO56-AO66</f>
        <v>39267.5680950095</v>
      </c>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c r="CW68" s="33"/>
      <c r="CX68" s="33"/>
      <c r="CY68" s="33"/>
      <c r="CZ68" s="33"/>
      <c r="DA68" s="33"/>
      <c r="DB68" s="33"/>
      <c r="DC68" s="33"/>
      <c r="DD68" s="33"/>
      <c r="DE68" s="33"/>
      <c r="DF68" s="33"/>
      <c r="DG68" s="33"/>
      <c r="DH68" s="33"/>
      <c r="DI68" s="33"/>
      <c r="DJ68" s="33"/>
      <c r="DK68" s="33"/>
      <c r="DL68" s="33"/>
      <c r="DM68" s="33"/>
      <c r="DN68" s="33"/>
      <c r="DO68" s="33"/>
      <c r="DP68" s="33"/>
      <c r="DQ68" s="33"/>
      <c r="DR68" s="33"/>
      <c r="DS68" s="33"/>
      <c r="DT68" s="33"/>
      <c r="DU68" s="33"/>
      <c r="DV68" s="33"/>
      <c r="DW68" s="33"/>
      <c r="DX68" s="33"/>
      <c r="DY68" s="33"/>
      <c r="DZ68" s="33"/>
      <c r="EA68" s="33"/>
      <c r="EB68" s="33"/>
      <c r="EC68" s="33"/>
      <c r="ED68" s="33"/>
      <c r="EE68" s="33"/>
      <c r="EF68" s="33"/>
      <c r="EG68" s="33"/>
      <c r="EH68" s="33"/>
      <c r="EI68" s="33"/>
      <c r="EJ68" s="33"/>
      <c r="EK68" s="33"/>
      <c r="EL68" s="33"/>
      <c r="EM68" s="33"/>
      <c r="EN68" s="33"/>
      <c r="EO68" s="33"/>
      <c r="EP68" s="33"/>
      <c r="EQ68" s="33"/>
      <c r="ER68" s="33"/>
      <c r="ES68" s="33"/>
      <c r="ET68" s="33"/>
      <c r="EU68" s="33"/>
      <c r="EV68" s="1"/>
    </row>
    <row r="69" s="40" customFormat="true" ht="10.5" hidden="false" customHeight="true" outlineLevel="0" collapsed="false">
      <c r="A69" s="50" t="s">
        <v>265</v>
      </c>
      <c r="B69" s="38" t="n">
        <f aca="false">+B68/B$52</f>
        <v>-0.0703238984534578</v>
      </c>
      <c r="C69" s="38" t="n">
        <f aca="false">+C68/C$52</f>
        <v>-0.0883190883190883</v>
      </c>
      <c r="D69" s="38" t="n">
        <f aca="false">+D68/D$52</f>
        <v>-0.0593311758360302</v>
      </c>
      <c r="E69" s="38" t="n">
        <f aca="false">+E68/E$52</f>
        <v>-0.0164981991402347</v>
      </c>
      <c r="F69" s="38" t="n">
        <f aca="false">+F68/F$52</f>
        <v>-0.0295841504731162</v>
      </c>
      <c r="G69" s="38" t="n">
        <f aca="false">+G68/G$52</f>
        <v>0.0353734016759898</v>
      </c>
      <c r="H69" s="38" t="n">
        <f aca="false">+H68/H$52</f>
        <v>0.0424418813213244</v>
      </c>
      <c r="I69" s="38" t="n">
        <f aca="false">+I68/I$52</f>
        <v>0.0656578525662982</v>
      </c>
      <c r="J69" s="38" t="n">
        <f aca="false">+J68/J$52</f>
        <v>0.0170105873090281</v>
      </c>
      <c r="K69" s="38" t="n">
        <f aca="false">+K68/K$52</f>
        <v>0.0744211186780539</v>
      </c>
      <c r="L69" s="38" t="n">
        <f aca="false">+L68/L$52</f>
        <v>0.0948698436912166</v>
      </c>
      <c r="M69" s="38" t="n">
        <f aca="false">+M68/M$52</f>
        <v>0.0644224715090566</v>
      </c>
      <c r="N69" s="38" t="n">
        <f aca="false">+N68/N$52</f>
        <v>0.106502506082436</v>
      </c>
      <c r="O69" s="38" t="n">
        <f aca="false">+O68/O$52</f>
        <v>0.114645804324839</v>
      </c>
      <c r="P69" s="38" t="n">
        <f aca="false">+P68/P$52</f>
        <v>0.0826797662746441</v>
      </c>
      <c r="Q69" s="38" t="n">
        <f aca="false">+Q68/Q$52</f>
        <v>0.123486008631491</v>
      </c>
      <c r="R69" s="38" t="n">
        <f aca="false">+R68/R$52</f>
        <v>0.145648716200863</v>
      </c>
      <c r="S69" s="38" t="n">
        <f aca="false">+S68/S$52</f>
        <v>0.133183003311958</v>
      </c>
      <c r="T69" s="38" t="n">
        <f aca="false">+T68/T$52</f>
        <v>0.110861068111415</v>
      </c>
      <c r="U69" s="38" t="n">
        <f aca="false">+U68/U$52</f>
        <v>0.100903522205207</v>
      </c>
      <c r="V69" s="38"/>
      <c r="W69" s="38"/>
      <c r="X69" s="38"/>
      <c r="Y69" s="38" t="n">
        <f aca="false">+Y68/Y$52</f>
        <v>-0.607619990103909</v>
      </c>
      <c r="Z69" s="38" t="n">
        <f aca="false">+Z68/Z$52</f>
        <v>-0.436509060303614</v>
      </c>
      <c r="AA69" s="38" t="n">
        <f aca="false">+AA68/AA$52</f>
        <v>-0.219483372045555</v>
      </c>
      <c r="AB69" s="38" t="n">
        <f aca="false">+AB68/AB$52</f>
        <v>-0.0573521637561828</v>
      </c>
      <c r="AC69" s="38" t="n">
        <f aca="false">+AC68/AC$52</f>
        <v>0.0297813790772006</v>
      </c>
      <c r="AD69" s="38" t="n">
        <f aca="false">+AD68/AD$52</f>
        <v>0.0636533757585954</v>
      </c>
      <c r="AE69" s="38" t="n">
        <f aca="false">+AE68/AE$52</f>
        <v>0.106991618593348</v>
      </c>
      <c r="AF69" s="38" t="n">
        <f aca="false">+AF68/AF$52</f>
        <v>0.13</v>
      </c>
      <c r="AG69" s="38" t="n">
        <f aca="false">+AG68/AG$52</f>
        <v>0.134999999999999</v>
      </c>
      <c r="AH69" s="38" t="n">
        <f aca="false">+AH68/AH$52</f>
        <v>0.15</v>
      </c>
      <c r="AI69" s="38" t="n">
        <f aca="false">+AI68/AI$52</f>
        <v>0.165</v>
      </c>
      <c r="AJ69" s="38" t="n">
        <f aca="false">+AJ68/AJ$52</f>
        <v>0.179999999999998</v>
      </c>
      <c r="AK69" s="38" t="n">
        <f aca="false">+AK68/AK$52</f>
        <v>0.194999999999999</v>
      </c>
      <c r="AL69" s="38" t="n">
        <f aca="false">+AL68/AL$52</f>
        <v>0.199999999999999</v>
      </c>
      <c r="AM69" s="38" t="n">
        <f aca="false">+AM68/AM$52</f>
        <v>0.204999999999999</v>
      </c>
      <c r="AN69" s="38" t="n">
        <f aca="false">+AN68/AN$52</f>
        <v>0.210000000000002</v>
      </c>
      <c r="AO69" s="38" t="n">
        <f aca="false">+AO68/AO$52</f>
        <v>0.214999999999999</v>
      </c>
      <c r="AP69" s="38"/>
      <c r="AQ69" s="38"/>
      <c r="AR69" s="38"/>
      <c r="AS69" s="38"/>
      <c r="AT69" s="38"/>
      <c r="AU69" s="38"/>
      <c r="AV69" s="38"/>
      <c r="AW69" s="38"/>
      <c r="AX69" s="38"/>
      <c r="AY69" s="38"/>
      <c r="AZ69" s="38"/>
      <c r="BA69" s="38"/>
      <c r="BB69" s="38"/>
      <c r="BC69" s="38"/>
      <c r="BD69" s="38"/>
      <c r="BE69" s="38"/>
      <c r="BF69" s="38"/>
      <c r="BG69" s="38"/>
      <c r="BH69" s="38"/>
      <c r="BI69" s="38"/>
      <c r="BJ69" s="38"/>
      <c r="BK69" s="38"/>
      <c r="BL69" s="38"/>
      <c r="BM69" s="38"/>
      <c r="BN69" s="38"/>
      <c r="BO69" s="38"/>
      <c r="BP69" s="38"/>
      <c r="BQ69" s="38"/>
      <c r="BR69" s="38"/>
      <c r="BS69" s="38"/>
      <c r="BT69" s="38"/>
      <c r="BU69" s="38"/>
      <c r="BV69" s="38"/>
      <c r="BW69" s="38"/>
      <c r="BX69" s="38"/>
      <c r="BY69" s="38"/>
      <c r="BZ69" s="38"/>
      <c r="CA69" s="38"/>
      <c r="CB69" s="38"/>
      <c r="CC69" s="38"/>
      <c r="CD69" s="38"/>
      <c r="CE69" s="38"/>
      <c r="CF69" s="38"/>
      <c r="CG69" s="38"/>
      <c r="CH69" s="38"/>
      <c r="CI69" s="38"/>
      <c r="CJ69" s="38"/>
      <c r="CK69" s="38"/>
      <c r="CL69" s="38"/>
      <c r="CM69" s="38"/>
      <c r="CN69" s="38"/>
      <c r="CO69" s="38"/>
      <c r="CP69" s="38"/>
      <c r="CQ69" s="38"/>
      <c r="CR69" s="38"/>
      <c r="CS69" s="38"/>
      <c r="CT69" s="38"/>
      <c r="CU69" s="38"/>
      <c r="CV69" s="38"/>
      <c r="CW69" s="38"/>
      <c r="CX69" s="38"/>
      <c r="CY69" s="38"/>
      <c r="CZ69" s="38"/>
      <c r="DA69" s="38"/>
      <c r="DB69" s="38"/>
      <c r="DC69" s="38"/>
      <c r="DD69" s="38"/>
      <c r="DE69" s="38"/>
      <c r="DF69" s="38"/>
      <c r="DG69" s="38"/>
      <c r="DH69" s="38"/>
      <c r="DI69" s="38"/>
      <c r="DJ69" s="38"/>
      <c r="DK69" s="38"/>
      <c r="DL69" s="38"/>
      <c r="DM69" s="38"/>
      <c r="DN69" s="38"/>
      <c r="DO69" s="38"/>
      <c r="DP69" s="38"/>
      <c r="DQ69" s="38"/>
      <c r="DR69" s="38"/>
      <c r="DS69" s="38"/>
      <c r="DT69" s="38"/>
      <c r="DU69" s="38"/>
      <c r="DV69" s="38"/>
      <c r="DW69" s="38"/>
      <c r="DX69" s="38"/>
      <c r="DY69" s="38"/>
      <c r="DZ69" s="38"/>
      <c r="EA69" s="38"/>
      <c r="EB69" s="38"/>
      <c r="EC69" s="38"/>
      <c r="ED69" s="38"/>
      <c r="EE69" s="38"/>
      <c r="EF69" s="38"/>
      <c r="EG69" s="38"/>
      <c r="EH69" s="38"/>
      <c r="EI69" s="38"/>
      <c r="EJ69" s="38"/>
      <c r="EK69" s="38"/>
      <c r="EL69" s="38"/>
      <c r="EM69" s="38"/>
      <c r="EN69" s="38"/>
      <c r="EO69" s="38"/>
      <c r="EP69" s="38"/>
      <c r="EQ69" s="38"/>
      <c r="ER69" s="38"/>
      <c r="ES69" s="38"/>
      <c r="ET69" s="38"/>
      <c r="EU69" s="38"/>
      <c r="EV69" s="38"/>
    </row>
    <row r="70" s="74" customFormat="true" ht="12.8" hidden="false" customHeight="false" outlineLevel="0" collapsed="false">
      <c r="A70" s="33" t="s">
        <v>293</v>
      </c>
      <c r="B70" s="33" t="n">
        <v>-129</v>
      </c>
      <c r="C70" s="33" t="n">
        <v>-139</v>
      </c>
      <c r="D70" s="33" t="n">
        <v>-146</v>
      </c>
      <c r="E70" s="33" t="n">
        <v>-151</v>
      </c>
      <c r="F70" s="33" t="n">
        <v>-168</v>
      </c>
      <c r="G70" s="33" t="n">
        <v>-144</v>
      </c>
      <c r="H70" s="33" t="n">
        <v>-166</v>
      </c>
      <c r="I70" s="33" t="n">
        <v>-155</v>
      </c>
      <c r="J70" s="33" t="n">
        <v>-124</v>
      </c>
      <c r="K70" s="33" t="n">
        <v>-139</v>
      </c>
      <c r="L70" s="33" t="n">
        <v>-143</v>
      </c>
      <c r="M70" s="33" t="n">
        <v>-117</v>
      </c>
      <c r="N70" s="33" t="n">
        <v>-105</v>
      </c>
      <c r="O70" s="33" t="n">
        <v>-108</v>
      </c>
      <c r="P70" s="33" t="n">
        <v>-112</v>
      </c>
      <c r="Q70" s="33" t="n">
        <v>-115</v>
      </c>
      <c r="R70" s="33" t="n">
        <f aca="false">-108+175</f>
        <v>67</v>
      </c>
      <c r="S70" s="33" t="n">
        <f aca="false">-127+172</f>
        <v>45</v>
      </c>
      <c r="T70" s="33" t="n">
        <v>-100</v>
      </c>
      <c r="U70" s="33" t="n">
        <v>-100</v>
      </c>
      <c r="V70" s="33"/>
      <c r="W70" s="33"/>
      <c r="X70" s="33"/>
      <c r="Y70" s="33" t="n">
        <v>-559</v>
      </c>
      <c r="Z70" s="33" t="n">
        <v>-458</v>
      </c>
      <c r="AA70" s="33" t="n">
        <v>-483</v>
      </c>
      <c r="AB70" s="33" t="n">
        <v>-565</v>
      </c>
      <c r="AC70" s="33" t="n">
        <v>-633</v>
      </c>
      <c r="AD70" s="33" t="n">
        <v>-523</v>
      </c>
      <c r="AE70" s="33" t="n">
        <f aca="false">SUM(N70:Q70)</f>
        <v>-440</v>
      </c>
      <c r="AF70" s="33" t="n">
        <f aca="false">AE120*$AS$100</f>
        <v>-17.48</v>
      </c>
      <c r="AG70" s="33" t="n">
        <f aca="false">AF120*$AS$100</f>
        <v>185.870183599325</v>
      </c>
      <c r="AH70" s="33" t="n">
        <f aca="false">AG120*$AS$100</f>
        <v>378.252737341592</v>
      </c>
      <c r="AI70" s="33" t="n">
        <f aca="false">AH120*$AS$100</f>
        <v>610.900427134269</v>
      </c>
      <c r="AJ70" s="33" t="n">
        <f aca="false">AI120*$AS$100</f>
        <v>908.651378126881</v>
      </c>
      <c r="AK70" s="33" t="n">
        <f aca="false">AJ120*$AS$100</f>
        <v>1267.57539171337</v>
      </c>
      <c r="AL70" s="33" t="n">
        <f aca="false">AK120*$AS$100</f>
        <v>1709.05235084393</v>
      </c>
      <c r="AM70" s="33" t="n">
        <f aca="false">AL120*$AS$100</f>
        <v>2221.96308889289</v>
      </c>
      <c r="AN70" s="33" t="n">
        <f aca="false">AM120*$AS$100</f>
        <v>2765.14407510748</v>
      </c>
      <c r="AO70" s="33" t="n">
        <f aca="false">AN120*$AS$100</f>
        <v>3384.26810884718</v>
      </c>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c r="CW70" s="33"/>
      <c r="CX70" s="33"/>
      <c r="CY70" s="33"/>
      <c r="CZ70" s="33"/>
      <c r="DA70" s="33"/>
      <c r="DB70" s="33"/>
      <c r="DC70" s="33"/>
      <c r="DD70" s="33"/>
      <c r="DE70" s="33"/>
      <c r="DF70" s="33"/>
      <c r="DG70" s="33"/>
      <c r="DH70" s="33"/>
      <c r="DI70" s="33"/>
      <c r="DJ70" s="33"/>
      <c r="DK70" s="33"/>
      <c r="DL70" s="33"/>
      <c r="DM70" s="33"/>
      <c r="DN70" s="33"/>
      <c r="DO70" s="33"/>
      <c r="DP70" s="33"/>
      <c r="DQ70" s="33"/>
      <c r="DR70" s="33"/>
      <c r="DS70" s="33"/>
      <c r="DT70" s="33"/>
      <c r="DU70" s="33"/>
      <c r="DV70" s="33"/>
      <c r="DW70" s="33"/>
      <c r="DX70" s="33"/>
      <c r="DY70" s="33"/>
      <c r="DZ70" s="33"/>
      <c r="EA70" s="33"/>
      <c r="EB70" s="33"/>
      <c r="EC70" s="33"/>
      <c r="ED70" s="33"/>
      <c r="EE70" s="33"/>
      <c r="EF70" s="33"/>
      <c r="EG70" s="33"/>
      <c r="EH70" s="33"/>
      <c r="EI70" s="33"/>
      <c r="EJ70" s="33"/>
      <c r="EK70" s="33"/>
      <c r="EL70" s="33"/>
      <c r="EM70" s="33"/>
      <c r="EN70" s="33"/>
      <c r="EO70" s="33"/>
      <c r="EP70" s="33"/>
      <c r="EQ70" s="33"/>
      <c r="ER70" s="33"/>
      <c r="ES70" s="33"/>
      <c r="ET70" s="33"/>
      <c r="EU70" s="33"/>
      <c r="EV70" s="1"/>
    </row>
    <row r="71" s="62" customFormat="true" ht="10.5" hidden="false" customHeight="true" outlineLevel="0" collapsed="false">
      <c r="A71" s="50" t="s">
        <v>265</v>
      </c>
      <c r="B71" s="38" t="n">
        <f aca="false">+B70/B$52</f>
        <v>-0.0188211263495769</v>
      </c>
      <c r="C71" s="38" t="n">
        <f aca="false">+C70/C$52</f>
        <v>-0.0172178867831042</v>
      </c>
      <c r="D71" s="38" t="n">
        <f aca="false">+D70/D$52</f>
        <v>-0.0174997003475968</v>
      </c>
      <c r="E71" s="38" t="n">
        <f aca="false">+E70/E$52</f>
        <v>-0.0175438596491228</v>
      </c>
      <c r="F71" s="38" t="n">
        <f aca="false">+F70/F$52</f>
        <v>-0.0190390905095744</v>
      </c>
      <c r="G71" s="38" t="n">
        <f aca="false">+G70/G$52</f>
        <v>-0.0156004301615743</v>
      </c>
      <c r="H71" s="38" t="n">
        <f aca="false">+H70/H$52</f>
        <v>-0.0178640871769679</v>
      </c>
      <c r="I71" s="38" t="n">
        <f aca="false">+I70/I$52</f>
        <v>-0.0155992064683567</v>
      </c>
      <c r="J71" s="38" t="n">
        <f aca="false">+J70/J$52</f>
        <v>-0.0122392496408957</v>
      </c>
      <c r="K71" s="38" t="n">
        <f aca="false">+K70/K$52</f>
        <v>-0.0129902528780039</v>
      </c>
      <c r="L71" s="38" t="n">
        <f aca="false">+L70/L$52</f>
        <v>-0.0127810420017929</v>
      </c>
      <c r="M71" s="38" t="n">
        <f aca="false">+M70/M$52</f>
        <v>-0.00978305217923323</v>
      </c>
      <c r="N71" s="38" t="n">
        <f aca="false">+N70/N$52</f>
        <v>-0.00910405015636531</v>
      </c>
      <c r="O71" s="38" t="n">
        <f aca="false">+O70/O$52</f>
        <v>-0.0085365818349181</v>
      </c>
      <c r="P71" s="38" t="n">
        <f aca="false">+P70/P$52</f>
        <v>-0.00831632395800872</v>
      </c>
      <c r="Q71" s="38" t="n">
        <f aca="false">+Q70/Q$52</f>
        <v>-0.00800501183349575</v>
      </c>
      <c r="R71" s="38" t="n">
        <f aca="false">+R70/R$52</f>
        <v>0.00507460425660835</v>
      </c>
      <c r="S71" s="38" t="n">
        <f aca="false">+S70/S$52</f>
        <v>0.00317102388837996</v>
      </c>
      <c r="T71" s="38" t="n">
        <f aca="false">+T70/T$52</f>
        <v>-0.00675026295292916</v>
      </c>
      <c r="U71" s="38" t="n">
        <f aca="false">+U70/U$52</f>
        <v>-0.00632807259564882</v>
      </c>
      <c r="V71" s="38"/>
      <c r="W71" s="38"/>
      <c r="X71" s="38"/>
      <c r="Y71" s="38" t="n">
        <f aca="false">+Y70/Y$52</f>
        <v>-0.0395136778115502</v>
      </c>
      <c r="Z71" s="38" t="n">
        <f aca="false">+Z70/Z$52</f>
        <v>-0.0411149324846304</v>
      </c>
      <c r="AA71" s="38" t="n">
        <f aca="false">+AA70/AA$52</f>
        <v>-0.0276673619567853</v>
      </c>
      <c r="AB71" s="38" t="n">
        <f aca="false">+AB70/AB$52</f>
        <v>-0.0177223878644351</v>
      </c>
      <c r="AC71" s="38" t="n">
        <f aca="false">+AC70/AC$52</f>
        <v>-0.0169790270394551</v>
      </c>
      <c r="AD71" s="38" t="n">
        <f aca="false">+AD70/AD$52</f>
        <v>-0.0118922092444755</v>
      </c>
      <c r="AE71" s="38" t="n">
        <f aca="false">+AE70/AE$52</f>
        <v>-0.00845870334579623</v>
      </c>
      <c r="AF71" s="38" t="n">
        <f aca="false">+AF70/AF$52</f>
        <v>-0.000300036798872805</v>
      </c>
      <c r="AG71" s="38" t="n">
        <f aca="false">+AG70/AG$52</f>
        <v>0.00277424608959516</v>
      </c>
      <c r="AH71" s="38" t="n">
        <f aca="false">+AH70/AH$52</f>
        <v>0.00486697757286319</v>
      </c>
      <c r="AI71" s="38" t="n">
        <f aca="false">+AI70/AI$52</f>
        <v>0.00677625444165328</v>
      </c>
      <c r="AJ71" s="38" t="n">
        <f aca="false">+AJ70/AJ$52</f>
        <v>0.00876433007874204</v>
      </c>
      <c r="AK71" s="38" t="n">
        <f aca="false">+AK70/AK$52</f>
        <v>0.0107248291839029</v>
      </c>
      <c r="AL71" s="38" t="n">
        <f aca="false">+AL70/AL$52</f>
        <v>0.0127965679466529</v>
      </c>
      <c r="AM71" s="38" t="n">
        <f aca="false">+AM70/AM$52</f>
        <v>0.014854463074194</v>
      </c>
      <c r="AN71" s="38" t="n">
        <f aca="false">+AN70/AN$52</f>
        <v>0.0166538598005521</v>
      </c>
      <c r="AO71" s="38" t="n">
        <f aca="false">+AO70/AO$52</f>
        <v>0.0185297353185112</v>
      </c>
      <c r="AP71" s="38"/>
      <c r="AQ71" s="38"/>
      <c r="AR71" s="38"/>
      <c r="AS71" s="38"/>
      <c r="AT71" s="38"/>
      <c r="AU71" s="38"/>
      <c r="AV71" s="38"/>
      <c r="AW71" s="38"/>
      <c r="AX71" s="38"/>
      <c r="AY71" s="38"/>
      <c r="AZ71" s="38"/>
      <c r="BA71" s="38"/>
      <c r="BB71" s="38"/>
      <c r="BC71" s="38"/>
      <c r="BD71" s="38"/>
      <c r="BE71" s="38"/>
      <c r="BF71" s="38"/>
      <c r="BG71" s="38"/>
      <c r="BH71" s="38"/>
      <c r="BI71" s="38"/>
      <c r="BJ71" s="38"/>
      <c r="BK71" s="38"/>
      <c r="BL71" s="38"/>
      <c r="BM71" s="38"/>
      <c r="BN71" s="38"/>
      <c r="BO71" s="38"/>
      <c r="BP71" s="38"/>
      <c r="BQ71" s="38"/>
      <c r="BR71" s="38"/>
      <c r="BS71" s="38"/>
      <c r="BT71" s="38"/>
      <c r="BU71" s="38"/>
      <c r="BV71" s="38"/>
      <c r="BW71" s="38"/>
      <c r="BX71" s="38"/>
      <c r="BY71" s="38"/>
      <c r="BZ71" s="38"/>
      <c r="CA71" s="38"/>
      <c r="CB71" s="38"/>
      <c r="CC71" s="38"/>
      <c r="CD71" s="38"/>
      <c r="CE71" s="38"/>
      <c r="CF71" s="38"/>
      <c r="CG71" s="38"/>
      <c r="CH71" s="38"/>
      <c r="CI71" s="38"/>
      <c r="CJ71" s="38"/>
      <c r="CK71" s="38"/>
      <c r="CL71" s="38"/>
      <c r="CM71" s="38"/>
      <c r="CN71" s="38"/>
      <c r="CO71" s="38"/>
      <c r="CP71" s="38"/>
      <c r="CQ71" s="38"/>
      <c r="CR71" s="38"/>
      <c r="CS71" s="38"/>
      <c r="CT71" s="38"/>
      <c r="CU71" s="38"/>
      <c r="CV71" s="38"/>
      <c r="CW71" s="38"/>
      <c r="CX71" s="38"/>
      <c r="CY71" s="38"/>
      <c r="CZ71" s="38"/>
      <c r="DA71" s="38"/>
      <c r="DB71" s="38"/>
      <c r="DC71" s="38"/>
      <c r="DD71" s="38"/>
      <c r="DE71" s="38"/>
      <c r="DF71" s="38"/>
      <c r="DG71" s="38"/>
      <c r="DH71" s="38"/>
      <c r="DI71" s="38"/>
      <c r="DJ71" s="38"/>
      <c r="DK71" s="38"/>
      <c r="DL71" s="38"/>
      <c r="DM71" s="38"/>
      <c r="DN71" s="38"/>
      <c r="DO71" s="38"/>
      <c r="DP71" s="38"/>
      <c r="DQ71" s="38"/>
      <c r="DR71" s="38"/>
      <c r="DS71" s="38"/>
      <c r="DT71" s="38"/>
      <c r="DU71" s="38"/>
      <c r="DV71" s="38"/>
      <c r="DW71" s="38"/>
      <c r="DX71" s="38"/>
      <c r="DY71" s="38"/>
      <c r="DZ71" s="38"/>
      <c r="EA71" s="38"/>
      <c r="EB71" s="38"/>
      <c r="EC71" s="38"/>
      <c r="ED71" s="38"/>
      <c r="EE71" s="38"/>
      <c r="EF71" s="38"/>
      <c r="EG71" s="38"/>
      <c r="EH71" s="38"/>
      <c r="EI71" s="38"/>
      <c r="EJ71" s="38"/>
      <c r="EK71" s="38"/>
      <c r="EL71" s="38"/>
      <c r="EM71" s="38"/>
      <c r="EN71" s="38"/>
      <c r="EO71" s="38"/>
      <c r="EP71" s="38"/>
      <c r="EQ71" s="38"/>
      <c r="ER71" s="38"/>
      <c r="ES71" s="38"/>
      <c r="ET71" s="38"/>
      <c r="EU71" s="38"/>
      <c r="EV71" s="38"/>
    </row>
    <row r="72" s="85" customFormat="true" ht="12.8" hidden="false" customHeight="false" outlineLevel="0" collapsed="false">
      <c r="A72" s="33" t="s">
        <v>282</v>
      </c>
      <c r="B72" s="33" t="n">
        <v>-5557</v>
      </c>
      <c r="C72" s="33" t="n">
        <v>-1704</v>
      </c>
      <c r="D72" s="33" t="n">
        <v>-535</v>
      </c>
      <c r="E72" s="33" t="n">
        <v>767</v>
      </c>
      <c r="F72" s="33" t="n">
        <v>292</v>
      </c>
      <c r="G72" s="33" t="n">
        <v>273</v>
      </c>
      <c r="H72" s="33" t="n">
        <v>-52</v>
      </c>
      <c r="I72" s="33" t="n">
        <v>1331</v>
      </c>
      <c r="J72" s="33" t="n">
        <v>-678</v>
      </c>
      <c r="K72" s="33" t="n">
        <v>420</v>
      </c>
      <c r="L72" s="33" t="n">
        <v>1851</v>
      </c>
      <c r="M72" s="33" t="n">
        <v>256</v>
      </c>
      <c r="N72" s="33" t="n">
        <v>262</v>
      </c>
      <c r="O72" s="33" t="n">
        <v>162</v>
      </c>
      <c r="P72" s="33" t="n">
        <v>1619</v>
      </c>
      <c r="Q72" s="33" t="n">
        <v>-1368</v>
      </c>
      <c r="R72" s="33" t="n">
        <v>-1494</v>
      </c>
      <c r="S72" s="33" t="n">
        <v>1342</v>
      </c>
      <c r="T72" s="33" t="n">
        <v>1000</v>
      </c>
      <c r="U72" s="33" t="n">
        <v>1000</v>
      </c>
      <c r="V72" s="33"/>
      <c r="W72" s="33"/>
      <c r="X72" s="33"/>
      <c r="Y72" s="33" t="n">
        <v>722</v>
      </c>
      <c r="Z72" s="33" t="n">
        <v>-1625</v>
      </c>
      <c r="AA72" s="33" t="n">
        <v>3292</v>
      </c>
      <c r="AB72" s="33" t="n">
        <v>-7029</v>
      </c>
      <c r="AC72" s="33" t="n">
        <v>1844</v>
      </c>
      <c r="AD72" s="33" t="n">
        <v>1849</v>
      </c>
      <c r="AE72" s="33" t="n">
        <f aca="false">SUM(N72:Q72)</f>
        <v>675</v>
      </c>
      <c r="AF72" s="33" t="n">
        <v>1000</v>
      </c>
      <c r="AG72" s="33" t="n">
        <v>1000</v>
      </c>
      <c r="AH72" s="33" t="n">
        <v>1000</v>
      </c>
      <c r="AI72" s="33" t="n">
        <v>1000</v>
      </c>
      <c r="AJ72" s="33" t="n">
        <v>1000</v>
      </c>
      <c r="AK72" s="33" t="n">
        <v>1000</v>
      </c>
      <c r="AL72" s="33" t="n">
        <v>1000</v>
      </c>
      <c r="AM72" s="33" t="n">
        <v>1000</v>
      </c>
      <c r="AN72" s="33" t="n">
        <v>1000</v>
      </c>
      <c r="AO72" s="33" t="n">
        <v>1000</v>
      </c>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c r="CW72" s="33"/>
      <c r="CX72" s="33"/>
      <c r="CY72" s="33"/>
      <c r="CZ72" s="33"/>
      <c r="DA72" s="33"/>
      <c r="DB72" s="33"/>
      <c r="DC72" s="33"/>
      <c r="DD72" s="33"/>
      <c r="DE72" s="33"/>
      <c r="DF72" s="33"/>
      <c r="DG72" s="33"/>
      <c r="DH72" s="33"/>
      <c r="DI72" s="33"/>
      <c r="DJ72" s="33"/>
      <c r="DK72" s="33"/>
      <c r="DL72" s="33"/>
      <c r="DM72" s="33"/>
      <c r="DN72" s="33"/>
      <c r="DO72" s="33"/>
      <c r="DP72" s="33"/>
      <c r="DQ72" s="33"/>
      <c r="DR72" s="33"/>
      <c r="DS72" s="33"/>
      <c r="DT72" s="33"/>
      <c r="DU72" s="33"/>
      <c r="DV72" s="33"/>
      <c r="DW72" s="33"/>
      <c r="DX72" s="33"/>
      <c r="DY72" s="33"/>
      <c r="DZ72" s="33"/>
      <c r="EA72" s="33"/>
      <c r="EB72" s="33"/>
      <c r="EC72" s="33"/>
      <c r="ED72" s="33"/>
      <c r="EE72" s="33"/>
      <c r="EF72" s="33"/>
      <c r="EG72" s="33"/>
      <c r="EH72" s="33"/>
      <c r="EI72" s="33"/>
      <c r="EJ72" s="33"/>
      <c r="EK72" s="33"/>
      <c r="EL72" s="33"/>
      <c r="EM72" s="33"/>
      <c r="EN72" s="33"/>
      <c r="EO72" s="33"/>
      <c r="EP72" s="33"/>
      <c r="EQ72" s="33"/>
      <c r="ER72" s="33"/>
      <c r="ES72" s="33"/>
      <c r="ET72" s="33"/>
      <c r="EU72" s="33"/>
      <c r="EV72" s="1"/>
    </row>
    <row r="73" s="33" customFormat="true" ht="10.5" hidden="false" customHeight="true" outlineLevel="0" collapsed="false">
      <c r="A73" s="50" t="s">
        <v>265</v>
      </c>
      <c r="B73" s="38" t="n">
        <f aca="false">+B72/B$52</f>
        <v>-0.810767435074409</v>
      </c>
      <c r="C73" s="38" t="n">
        <f aca="false">+C72/C$52</f>
        <v>-0.211073950204385</v>
      </c>
      <c r="D73" s="38" t="n">
        <f aca="false">+D72/D$52</f>
        <v>-0.0641256142874266</v>
      </c>
      <c r="E73" s="38" t="n">
        <f aca="false">+E72/E$52</f>
        <v>0.0891135122574649</v>
      </c>
      <c r="F73" s="38" t="n">
        <f aca="false">+F72/F$52</f>
        <v>0.0330917525523555</v>
      </c>
      <c r="G73" s="38" t="n">
        <f aca="false">+G72/G$52</f>
        <v>0.0295758155146513</v>
      </c>
      <c r="H73" s="38" t="n">
        <f aca="false">+H72/H$52</f>
        <v>-0.00559597911567668</v>
      </c>
      <c r="I73" s="38" t="n">
        <f aca="false">+I72/I$52</f>
        <v>0.133951895544405</v>
      </c>
      <c r="J73" s="38" t="n">
        <f aca="false">+J72/J$52</f>
        <v>-0.0669210585203816</v>
      </c>
      <c r="K73" s="38" t="n">
        <f aca="false">+K72/K$52</f>
        <v>0.0392511238040406</v>
      </c>
      <c r="L73" s="38" t="n">
        <f aca="false">+L72/L$52</f>
        <v>0.165438522694536</v>
      </c>
      <c r="M73" s="38" t="n">
        <f aca="false">+M72/M$52</f>
        <v>0.0214056526314847</v>
      </c>
      <c r="N73" s="38" t="n">
        <f aca="false">+N72/N$52</f>
        <v>0.0227167727711211</v>
      </c>
      <c r="O73" s="38" t="n">
        <f aca="false">+O72/O$52</f>
        <v>0.0128048727523772</v>
      </c>
      <c r="P73" s="38" t="n">
        <f aca="false">+P72/P$52</f>
        <v>0.120215432928715</v>
      </c>
      <c r="Q73" s="38" t="n">
        <f aca="false">+Q72/Q$52</f>
        <v>-0.0952248364193234</v>
      </c>
      <c r="R73" s="38" t="n">
        <f aca="false">+R72/R$52</f>
        <v>-0.113156100886162</v>
      </c>
      <c r="S73" s="38" t="n">
        <f aca="false">+S72/S$52</f>
        <v>0.0945669790712423</v>
      </c>
      <c r="T73" s="38" t="n">
        <f aca="false">+T72/T$52</f>
        <v>0.0675026295292916</v>
      </c>
      <c r="U73" s="38" t="n">
        <f aca="false">+U72/U$52</f>
        <v>0.0632807259564882</v>
      </c>
      <c r="V73" s="38"/>
      <c r="W73" s="38"/>
      <c r="X73" s="38"/>
      <c r="Y73" s="38" t="n">
        <f aca="false">+Y72/Y$52</f>
        <v>0.0510355552413939</v>
      </c>
      <c r="Z73" s="38" t="n">
        <f aca="false">+Z72/Z$52</f>
        <v>-0.145877216784988</v>
      </c>
      <c r="AA73" s="38" t="n">
        <f aca="false">+AA72/AA$52</f>
        <v>0.188573406960118</v>
      </c>
      <c r="AB73" s="38" t="n">
        <f aca="false">+AB72/AB$52</f>
        <v>-0.22047905185684</v>
      </c>
      <c r="AC73" s="38" t="n">
        <f aca="false">+AC72/AC$52</f>
        <v>0.0494618102065644</v>
      </c>
      <c r="AD73" s="38" t="n">
        <f aca="false">+AD72/AD$52</f>
        <v>0.0420433936769314</v>
      </c>
      <c r="AE73" s="38" t="n">
        <f aca="false">+AE72/AE$52</f>
        <v>0.0129764199054829</v>
      </c>
      <c r="AF73" s="38" t="n">
        <f aca="false">+AF72/AF$52</f>
        <v>0.0171645765945541</v>
      </c>
      <c r="AG73" s="38" t="n">
        <f aca="false">+AG72/AG$52</f>
        <v>0.0149257187778731</v>
      </c>
      <c r="AH73" s="38" t="n">
        <f aca="false">+AH72/AH$52</f>
        <v>0.0128669989464423</v>
      </c>
      <c r="AI73" s="38" t="n">
        <f aca="false">+AI72/AI$52</f>
        <v>0.011092240471071</v>
      </c>
      <c r="AJ73" s="38" t="n">
        <f aca="false">+AJ72/AJ$52</f>
        <v>0.00964542649658341</v>
      </c>
      <c r="AK73" s="38" t="n">
        <f aca="false">+AK72/AK$52</f>
        <v>0.00846090043559949</v>
      </c>
      <c r="AL73" s="38" t="n">
        <f aca="false">+AL72/AL$52</f>
        <v>0.00748752250938009</v>
      </c>
      <c r="AM73" s="38" t="n">
        <f aca="false">+AM72/AM$52</f>
        <v>0.00668528795480365</v>
      </c>
      <c r="AN73" s="38" t="n">
        <f aca="false">+AN72/AN$52</f>
        <v>0.00602278194126458</v>
      </c>
      <c r="AO73" s="38" t="n">
        <f aca="false">+AO72/AO$52</f>
        <v>0.0054752563102405</v>
      </c>
      <c r="AP73" s="38"/>
      <c r="AQ73" s="38"/>
      <c r="AR73" s="38"/>
      <c r="AS73" s="38"/>
      <c r="AT73" s="38"/>
      <c r="AU73" s="38"/>
      <c r="AV73" s="38"/>
      <c r="AW73" s="38"/>
      <c r="AX73" s="38"/>
      <c r="AY73" s="38"/>
      <c r="AZ73" s="38"/>
      <c r="BA73" s="38"/>
      <c r="BB73" s="38"/>
      <c r="BC73" s="38"/>
      <c r="BD73" s="38"/>
      <c r="BE73" s="38"/>
      <c r="BF73" s="38"/>
      <c r="BG73" s="38"/>
      <c r="BH73" s="38"/>
      <c r="BI73" s="38"/>
      <c r="BJ73" s="38"/>
      <c r="BK73" s="38"/>
      <c r="BL73" s="38"/>
      <c r="BM73" s="38"/>
      <c r="BN73" s="38"/>
      <c r="BO73" s="38"/>
      <c r="BP73" s="38"/>
      <c r="BQ73" s="38"/>
      <c r="BR73" s="38"/>
      <c r="BS73" s="38"/>
      <c r="BT73" s="38"/>
      <c r="BU73" s="38"/>
      <c r="BV73" s="38"/>
      <c r="BW73" s="38"/>
      <c r="BX73" s="38"/>
      <c r="BY73" s="38"/>
      <c r="BZ73" s="38"/>
      <c r="CA73" s="38"/>
      <c r="CB73" s="38"/>
      <c r="CC73" s="38"/>
      <c r="CD73" s="38"/>
      <c r="CE73" s="38"/>
      <c r="CF73" s="38"/>
      <c r="CG73" s="38"/>
      <c r="CH73" s="38"/>
      <c r="CI73" s="38"/>
      <c r="CJ73" s="38"/>
      <c r="CK73" s="38"/>
      <c r="CL73" s="38"/>
      <c r="CM73" s="38"/>
      <c r="CN73" s="38"/>
      <c r="CO73" s="38"/>
      <c r="CP73" s="38"/>
      <c r="CQ73" s="38"/>
      <c r="CR73" s="38"/>
      <c r="CS73" s="38"/>
      <c r="CT73" s="38"/>
      <c r="CU73" s="38"/>
      <c r="CV73" s="38"/>
      <c r="CW73" s="38"/>
      <c r="CX73" s="38"/>
      <c r="CY73" s="38"/>
      <c r="CZ73" s="38"/>
      <c r="DA73" s="38"/>
      <c r="DB73" s="38"/>
      <c r="DC73" s="38"/>
      <c r="DD73" s="38"/>
      <c r="DE73" s="38"/>
      <c r="DF73" s="38"/>
      <c r="DG73" s="38"/>
      <c r="DH73" s="38"/>
      <c r="DI73" s="38"/>
      <c r="DJ73" s="38"/>
      <c r="DK73" s="38"/>
      <c r="DL73" s="38"/>
      <c r="DM73" s="38"/>
      <c r="DN73" s="38"/>
      <c r="DO73" s="38"/>
      <c r="DP73" s="38"/>
      <c r="DQ73" s="38"/>
      <c r="DR73" s="38"/>
      <c r="DS73" s="38"/>
      <c r="DT73" s="38"/>
      <c r="DU73" s="38"/>
      <c r="DV73" s="38"/>
      <c r="DW73" s="38"/>
      <c r="DX73" s="38"/>
      <c r="DY73" s="38"/>
      <c r="DZ73" s="38"/>
      <c r="EA73" s="38"/>
      <c r="EB73" s="38"/>
      <c r="EC73" s="38"/>
      <c r="ED73" s="38"/>
      <c r="EE73" s="38"/>
      <c r="EF73" s="38"/>
      <c r="EG73" s="38"/>
      <c r="EH73" s="38"/>
      <c r="EI73" s="38"/>
      <c r="EJ73" s="38"/>
      <c r="EK73" s="38"/>
      <c r="EL73" s="38"/>
      <c r="EM73" s="38"/>
      <c r="EN73" s="38"/>
      <c r="EO73" s="38"/>
      <c r="EP73" s="38"/>
      <c r="EQ73" s="38"/>
      <c r="ER73" s="38"/>
      <c r="ES73" s="38"/>
      <c r="ET73" s="38"/>
      <c r="EU73" s="38"/>
      <c r="EV73" s="38"/>
    </row>
    <row r="74" s="33" customFormat="true" ht="12.8" hidden="false" customHeight="false" outlineLevel="0" collapsed="false">
      <c r="A74" s="33" t="s">
        <v>294</v>
      </c>
      <c r="B74" s="33" t="n">
        <f aca="false">SUM(B68:B72)-B71-B69</f>
        <v>-6168</v>
      </c>
      <c r="C74" s="33" t="n">
        <f aca="false">SUM(C68:C72)-C71-C69</f>
        <v>-2556</v>
      </c>
      <c r="D74" s="33" t="n">
        <f aca="false">SUM(D68:D72)-D71-D69</f>
        <v>-1176</v>
      </c>
      <c r="E74" s="33" t="n">
        <f aca="false">SUM(E68:E72)-E71-E69</f>
        <v>474</v>
      </c>
      <c r="F74" s="33" t="n">
        <f aca="false">SUM(F68:F72)-F71-F69</f>
        <v>-137.04909144605</v>
      </c>
      <c r="G74" s="33" t="n">
        <f aca="false">SUM(G68:G72)-G71-G69</f>
        <v>455.51470431175</v>
      </c>
      <c r="H74" s="33" t="n">
        <f aca="false">SUM(H68:H72)-H71-H69</f>
        <v>176.38635904237</v>
      </c>
      <c r="I74" s="33" t="n">
        <f aca="false">SUM(I68:I72)-I71-I69</f>
        <v>1828.40287500652</v>
      </c>
      <c r="J74" s="33" t="n">
        <f aca="false">SUM(J68:J72)-J71-J69</f>
        <v>-629.65995561758</v>
      </c>
      <c r="K74" s="33" t="n">
        <f aca="false">SUM(K68:K72)-K71-K69</f>
        <v>1077.33057134443</v>
      </c>
      <c r="L74" s="33" t="n">
        <f aca="false">SUM(L68:L72)-L71-L69</f>
        <v>2769.44613607724</v>
      </c>
      <c r="M74" s="33" t="n">
        <f aca="false">SUM(M68:M72)-M71-M69</f>
        <v>909.45783140762</v>
      </c>
      <c r="N74" s="33" t="n">
        <f aca="false">SUM(N68:N72)-N71-N69</f>
        <v>1385.32837545794</v>
      </c>
      <c r="O74" s="33" t="n">
        <f aca="false">SUM(O68:O72)-O71-O69</f>
        <v>1504.43380436374</v>
      </c>
      <c r="P74" s="33" t="n">
        <f aca="false">SUM(P68:P72)-P71-P69</f>
        <v>2620.48882865999</v>
      </c>
      <c r="Q74" s="33" t="n">
        <f aca="false">SUM(Q68:Q72)-Q71-Q69</f>
        <v>291</v>
      </c>
      <c r="R74" s="33" t="n">
        <f aca="false">SUM(R68:R72)-R71-R69</f>
        <v>496</v>
      </c>
      <c r="S74" s="33" t="n">
        <f aca="false">SUM(S68:S72)-S71-S69</f>
        <v>3277</v>
      </c>
      <c r="T74" s="33" t="n">
        <f aca="false">SUM(T68:T72)</f>
        <v>2542.42632676134</v>
      </c>
      <c r="U74" s="33" t="n">
        <f aca="false">SUM(U68:U72)</f>
        <v>2494.63257544961</v>
      </c>
      <c r="Y74" s="33" t="n">
        <f aca="false">+Y72+Y70+Y68</f>
        <v>-8433</v>
      </c>
      <c r="Z74" s="33" t="n">
        <f aca="false">+Z72+Z70+Z68</f>
        <v>-6945.49490240048</v>
      </c>
      <c r="AA74" s="33" t="n">
        <f aca="false">+AA72+AA70+AA68</f>
        <v>-1022.60739587622</v>
      </c>
      <c r="AB74" s="33" t="n">
        <f aca="false">+AB72+AB70+AB68</f>
        <v>-9422.4202315237</v>
      </c>
      <c r="AC74" s="33" t="n">
        <f aca="false">+AC72+AC70+AC68</f>
        <v>2321.28817564525</v>
      </c>
      <c r="AD74" s="33" t="n">
        <f aca="false">+AD72+AD70+AD68</f>
        <v>4125.37182716581</v>
      </c>
      <c r="AE74" s="33" t="n">
        <f aca="false">+AE72+AE70+AE68</f>
        <v>5800.42891464198</v>
      </c>
      <c r="AF74" s="33" t="n">
        <f aca="false">+AF72+AF70+AF68</f>
        <v>8556.25764997187</v>
      </c>
      <c r="AG74" s="33" t="n">
        <f aca="false">+AG72+AG70+AG68</f>
        <v>10230.6607232772</v>
      </c>
      <c r="AH74" s="33" t="n">
        <f aca="false">+AH72+AH70+AH68</f>
        <v>13035.9827662598</v>
      </c>
      <c r="AI74" s="33" t="n">
        <f aca="false">+AI72+AI70+AI68</f>
        <v>16486.163944034</v>
      </c>
      <c r="AJ74" s="33" t="n">
        <f aca="false">+AJ72+AJ70+AJ68</f>
        <v>20570.3456084191</v>
      </c>
      <c r="AK74" s="33" t="n">
        <f aca="false">+AK72+AK70+AK68</f>
        <v>25314.7677661243</v>
      </c>
      <c r="AL74" s="33" t="n">
        <f aca="false">+AL72+AL70+AL68</f>
        <v>29420.1573591356</v>
      </c>
      <c r="AM74" s="33" t="n">
        <f aca="false">+AM72+AM70+AM68</f>
        <v>33886.3116384118</v>
      </c>
      <c r="AN74" s="33" t="n">
        <f aca="false">+AN72+AN70+AN68</f>
        <v>38632.7521087314</v>
      </c>
      <c r="AO74" s="33" t="n">
        <f aca="false">+AO72+AO70+AO68</f>
        <v>43651.8362038567</v>
      </c>
      <c r="EV74" s="1"/>
    </row>
    <row r="75" s="33" customFormat="true" ht="10.5" hidden="false" customHeight="true" outlineLevel="0" collapsed="false">
      <c r="A75" s="50" t="s">
        <v>265</v>
      </c>
      <c r="B75" s="38" t="n">
        <f aca="false">+B74/B$52</f>
        <v>-0.899912459877444</v>
      </c>
      <c r="C75" s="38" t="n">
        <f aca="false">+C74/C$52</f>
        <v>-0.316610925306577</v>
      </c>
      <c r="D75" s="38" t="n">
        <f aca="false">+D74/D$52</f>
        <v>-0.140956490471054</v>
      </c>
      <c r="E75" s="38" t="n">
        <f aca="false">+E74/E$52</f>
        <v>0.0550714534681074</v>
      </c>
      <c r="F75" s="38" t="n">
        <f aca="false">+F74/F$52</f>
        <v>-0.0155314884303351</v>
      </c>
      <c r="G75" s="38" t="n">
        <f aca="false">+G74/G$52</f>
        <v>0.0493487870290668</v>
      </c>
      <c r="H75" s="38" t="n">
        <f aca="false">+H74/H$52</f>
        <v>0.0189818150286798</v>
      </c>
      <c r="I75" s="38" t="n">
        <f aca="false">+I74/I$52</f>
        <v>0.184010541642347</v>
      </c>
      <c r="J75" s="38" t="n">
        <f aca="false">+J74/J$52</f>
        <v>-0.0621497208522492</v>
      </c>
      <c r="K75" s="38" t="n">
        <f aca="false">+K74/K$52</f>
        <v>0.100681989604091</v>
      </c>
      <c r="L75" s="38" t="n">
        <f aca="false">+L74/L$52</f>
        <v>0.24752732438396</v>
      </c>
      <c r="M75" s="38" t="n">
        <f aca="false">+M74/M$52</f>
        <v>0.076045071961308</v>
      </c>
      <c r="N75" s="38" t="n">
        <f aca="false">+N74/N$52</f>
        <v>0.120115228697192</v>
      </c>
      <c r="O75" s="38" t="n">
        <f aca="false">+O74/O$52</f>
        <v>0.118914095242299</v>
      </c>
      <c r="P75" s="38" t="n">
        <f aca="false">+P74/P$52</f>
        <v>0.194578875245351</v>
      </c>
      <c r="Q75" s="38" t="n">
        <f aca="false">+Q74/Q$52</f>
        <v>0.0202561603786718</v>
      </c>
      <c r="R75" s="38" t="n">
        <f aca="false">+R74/R$52</f>
        <v>0.0375672195713096</v>
      </c>
      <c r="S75" s="38" t="n">
        <f aca="false">+S74/S$52</f>
        <v>0.230921006271581</v>
      </c>
      <c r="T75" s="38" t="n">
        <f aca="false">+T74/T$52</f>
        <v>0.171620462440888</v>
      </c>
      <c r="U75" s="38" t="n">
        <f aca="false">+U74/U$52</f>
        <v>0.157862160369155</v>
      </c>
      <c r="V75" s="38"/>
      <c r="W75" s="38"/>
      <c r="X75" s="38"/>
      <c r="Y75" s="38" t="n">
        <f aca="false">+Y74/Y$52</f>
        <v>-0.596098112674065</v>
      </c>
      <c r="Z75" s="38" t="n">
        <f aca="false">+Z74/Z$52</f>
        <v>-0.623501209573233</v>
      </c>
      <c r="AA75" s="38" t="n">
        <f aca="false">+AA74/AA$52</f>
        <v>-0.0585773270422216</v>
      </c>
      <c r="AB75" s="38" t="n">
        <f aca="false">+AB74/AB$52</f>
        <v>-0.295553603477458</v>
      </c>
      <c r="AC75" s="38" t="n">
        <f aca="false">+AC74/AC$52</f>
        <v>0.0622641622443099</v>
      </c>
      <c r="AD75" s="38" t="n">
        <f aca="false">+AD74/AD$52</f>
        <v>0.0938045601910513</v>
      </c>
      <c r="AE75" s="38" t="n">
        <f aca="false">+AE74/AE$52</f>
        <v>0.111509335153035</v>
      </c>
      <c r="AF75" s="38" t="n">
        <f aca="false">+AF74/AF$52</f>
        <v>0.146864539795681</v>
      </c>
      <c r="AG75" s="38" t="n">
        <f aca="false">+AG74/AG$52</f>
        <v>0.152699964867467</v>
      </c>
      <c r="AH75" s="38" t="n">
        <f aca="false">+AH74/AH$52</f>
        <v>0.167733976519306</v>
      </c>
      <c r="AI75" s="38" t="n">
        <f aca="false">+AI74/AI$52</f>
        <v>0.182868494912725</v>
      </c>
      <c r="AJ75" s="38" t="n">
        <f aca="false">+AJ74/AJ$52</f>
        <v>0.198409756575323</v>
      </c>
      <c r="AK75" s="38" t="n">
        <f aca="false">+AK74/AK$52</f>
        <v>0.214185729619501</v>
      </c>
      <c r="AL75" s="38" t="n">
        <f aca="false">+AL74/AL$52</f>
        <v>0.220284090456032</v>
      </c>
      <c r="AM75" s="38" t="n">
        <f aca="false">+AM74/AM$52</f>
        <v>0.226539751028997</v>
      </c>
      <c r="AN75" s="38" t="n">
        <f aca="false">+AN74/AN$52</f>
        <v>0.232676641741818</v>
      </c>
      <c r="AO75" s="38" t="n">
        <f aca="false">+AO74/AO$52</f>
        <v>0.239004991628751</v>
      </c>
      <c r="AP75" s="38"/>
      <c r="AQ75" s="38"/>
      <c r="AR75" s="38"/>
      <c r="AS75" s="38"/>
      <c r="AT75" s="38"/>
      <c r="AU75" s="38"/>
      <c r="AV75" s="38"/>
      <c r="AW75" s="38"/>
      <c r="AX75" s="38"/>
      <c r="AY75" s="38"/>
      <c r="AZ75" s="38"/>
      <c r="BA75" s="38"/>
      <c r="BB75" s="38"/>
      <c r="BC75" s="38"/>
      <c r="BD75" s="38"/>
      <c r="BE75" s="38"/>
      <c r="BF75" s="38"/>
      <c r="BG75" s="38"/>
      <c r="BH75" s="38"/>
      <c r="BI75" s="38"/>
      <c r="BJ75" s="38"/>
      <c r="BK75" s="38"/>
      <c r="BL75" s="38"/>
      <c r="BM75" s="38"/>
      <c r="BN75" s="38"/>
      <c r="BO75" s="38"/>
      <c r="BP75" s="38"/>
      <c r="BQ75" s="38"/>
      <c r="BR75" s="38"/>
      <c r="BS75" s="38"/>
      <c r="BT75" s="38"/>
      <c r="BU75" s="38"/>
      <c r="BV75" s="38"/>
      <c r="BW75" s="38"/>
      <c r="BX75" s="38"/>
      <c r="BY75" s="38"/>
      <c r="BZ75" s="38"/>
      <c r="CA75" s="38"/>
      <c r="CB75" s="38"/>
      <c r="CC75" s="38"/>
      <c r="CD75" s="38"/>
      <c r="CE75" s="38"/>
      <c r="CF75" s="38"/>
      <c r="CG75" s="38"/>
      <c r="CH75" s="38"/>
      <c r="CI75" s="38"/>
      <c r="CJ75" s="38"/>
      <c r="CK75" s="38"/>
      <c r="CL75" s="38"/>
      <c r="CM75" s="38"/>
      <c r="CN75" s="38"/>
      <c r="CO75" s="38"/>
      <c r="CP75" s="38"/>
      <c r="CQ75" s="38"/>
      <c r="CR75" s="38"/>
      <c r="CS75" s="38"/>
      <c r="CT75" s="38"/>
      <c r="CU75" s="38"/>
      <c r="CV75" s="38"/>
      <c r="CW75" s="38"/>
      <c r="CX75" s="38"/>
      <c r="CY75" s="38"/>
      <c r="CZ75" s="38"/>
      <c r="DA75" s="38"/>
      <c r="DB75" s="38"/>
      <c r="DC75" s="38"/>
      <c r="DD75" s="38"/>
      <c r="DE75" s="38"/>
      <c r="DF75" s="38"/>
      <c r="DG75" s="38"/>
      <c r="DH75" s="38"/>
      <c r="DI75" s="38"/>
      <c r="DJ75" s="38"/>
      <c r="DK75" s="38"/>
      <c r="DL75" s="38"/>
      <c r="DM75" s="38"/>
      <c r="DN75" s="38"/>
      <c r="DO75" s="38"/>
      <c r="DP75" s="38"/>
      <c r="DQ75" s="38"/>
      <c r="DR75" s="38"/>
      <c r="DS75" s="38"/>
      <c r="DT75" s="38"/>
      <c r="DU75" s="38"/>
      <c r="DV75" s="38"/>
      <c r="DW75" s="38"/>
      <c r="DX75" s="38"/>
      <c r="DY75" s="38"/>
      <c r="DZ75" s="38"/>
      <c r="EA75" s="38"/>
      <c r="EB75" s="38"/>
      <c r="EC75" s="38"/>
      <c r="ED75" s="38"/>
      <c r="EE75" s="38"/>
      <c r="EF75" s="38"/>
      <c r="EG75" s="38"/>
      <c r="EH75" s="38"/>
      <c r="EI75" s="38"/>
      <c r="EJ75" s="38"/>
      <c r="EK75" s="38"/>
      <c r="EL75" s="38"/>
      <c r="EM75" s="38"/>
      <c r="EN75" s="38"/>
      <c r="EO75" s="38"/>
      <c r="EP75" s="38"/>
      <c r="EQ75" s="38"/>
      <c r="ER75" s="38"/>
      <c r="ES75" s="38"/>
      <c r="ET75" s="38"/>
      <c r="EU75" s="38"/>
      <c r="EV75" s="38"/>
    </row>
    <row r="76" s="33" customFormat="true" ht="12.8" hidden="false" customHeight="false" outlineLevel="0" collapsed="false">
      <c r="A76" s="33" t="s">
        <v>295</v>
      </c>
      <c r="B76" s="33" t="n">
        <v>-232</v>
      </c>
      <c r="C76" s="33" t="n">
        <v>77</v>
      </c>
      <c r="D76" s="33" t="n">
        <v>58</v>
      </c>
      <c r="E76" s="33" t="n">
        <v>-84</v>
      </c>
      <c r="F76" s="33" t="n">
        <v>55</v>
      </c>
      <c r="G76" s="33" t="n">
        <v>65</v>
      </c>
      <c r="H76" s="33" t="n">
        <v>-40</v>
      </c>
      <c r="I76" s="33" t="n">
        <v>133</v>
      </c>
      <c r="J76" s="33" t="n">
        <v>29</v>
      </c>
      <c r="K76" s="33" t="n">
        <v>57</v>
      </c>
      <c r="L76" s="33" t="n">
        <v>158</v>
      </c>
      <c r="M76" s="33" t="n">
        <v>-6002</v>
      </c>
      <c r="N76" s="33" t="n">
        <v>-402</v>
      </c>
      <c r="O76" s="33" t="n">
        <v>142</v>
      </c>
      <c r="P76" s="33" t="n">
        <v>-4046</v>
      </c>
      <c r="Q76" s="33" t="n">
        <v>-40</v>
      </c>
      <c r="R76" s="33" t="n">
        <v>194</v>
      </c>
      <c r="S76" s="33" t="n">
        <v>840</v>
      </c>
      <c r="T76" s="33" t="n">
        <f aca="false">+T74*(-0.1)</f>
        <v>-254.242632676134</v>
      </c>
      <c r="U76" s="33" t="n">
        <f aca="false">+U74*(-0.1)</f>
        <v>-249.463257544961</v>
      </c>
      <c r="Y76" s="33" t="n">
        <v>45</v>
      </c>
      <c r="Z76" s="33" t="n">
        <v>-192</v>
      </c>
      <c r="AA76" s="33" t="n">
        <v>-492</v>
      </c>
      <c r="AB76" s="33" t="n">
        <v>-181</v>
      </c>
      <c r="AC76" s="33" t="n">
        <v>213</v>
      </c>
      <c r="AD76" s="33" t="n">
        <v>-5758</v>
      </c>
      <c r="AE76" s="33" t="n">
        <f aca="false">SUM(N76:Q76)</f>
        <v>-4346</v>
      </c>
      <c r="AF76" s="33" t="n">
        <f aca="false">AF74*-0.2</f>
        <v>-1711.25152999437</v>
      </c>
      <c r="AG76" s="33" t="n">
        <f aca="false">AG74*0.05</f>
        <v>511.533036163861</v>
      </c>
      <c r="AH76" s="33" t="n">
        <f aca="false">AH74*0.1</f>
        <v>1303.59827662598</v>
      </c>
      <c r="AI76" s="33" t="n">
        <f aca="false">AI74*0.1</f>
        <v>1648.6163944034</v>
      </c>
      <c r="AJ76" s="33" t="n">
        <f aca="false">AJ74*0.13</f>
        <v>2674.14492909448</v>
      </c>
      <c r="AK76" s="33" t="n">
        <f aca="false">AK74*0.13</f>
        <v>3290.91980959616</v>
      </c>
      <c r="AL76" s="33" t="n">
        <f aca="false">AL74*0.13</f>
        <v>3824.62045668762</v>
      </c>
      <c r="AM76" s="33" t="n">
        <f aca="false">AM74*0.2</f>
        <v>6777.26232768236</v>
      </c>
      <c r="AN76" s="33" t="n">
        <f aca="false">AN74*0.2</f>
        <v>7726.55042174627</v>
      </c>
      <c r="AO76" s="33" t="n">
        <f aca="false">AO74*0.2</f>
        <v>8730.36724077134</v>
      </c>
      <c r="EV76" s="1"/>
    </row>
    <row r="77" s="33" customFormat="true" ht="10.5" hidden="false" customHeight="true" outlineLevel="0" collapsed="false">
      <c r="A77" s="50" t="s">
        <v>265</v>
      </c>
      <c r="B77" s="38" t="n">
        <f aca="false">+B76/B$52</f>
        <v>-0.0338488473883863</v>
      </c>
      <c r="C77" s="38" t="n">
        <f aca="false">+C76/C$52</f>
        <v>0.00953796605970519</v>
      </c>
      <c r="D77" s="38" t="n">
        <f aca="false">+D76/D$52</f>
        <v>0.00695193575452475</v>
      </c>
      <c r="E77" s="38" t="n">
        <f aca="false">+E76/E$52</f>
        <v>-0.00975949808295573</v>
      </c>
      <c r="F77" s="38" t="n">
        <f aca="false">+F76/F$52</f>
        <v>0.00623303558349162</v>
      </c>
      <c r="G77" s="38" t="n">
        <f aca="false">+G76/G$52</f>
        <v>0.00704186083682173</v>
      </c>
      <c r="H77" s="38" t="n">
        <f aca="false">+H76/H$52</f>
        <v>-0.0043045993197513</v>
      </c>
      <c r="I77" s="38" t="n">
        <f aca="false">+I76/I$52</f>
        <v>0.0133851255502674</v>
      </c>
      <c r="J77" s="38" t="n">
        <f aca="false">+J76/J$52</f>
        <v>0.00286240515795143</v>
      </c>
      <c r="K77" s="38" t="n">
        <f aca="false">+K76/K$52</f>
        <v>0.00532693823054837</v>
      </c>
      <c r="L77" s="38" t="n">
        <f aca="false">+L76/L$52</f>
        <v>0.0141217107432397</v>
      </c>
      <c r="M77" s="38" t="n">
        <f aca="false">+M76/M$52</f>
        <v>-0.501862215211605</v>
      </c>
      <c r="N77" s="38" t="n">
        <f aca="false">+N76/N$52</f>
        <v>-0.0348555063129415</v>
      </c>
      <c r="O77" s="38" t="n">
        <f aca="false">+O76/O$52</f>
        <v>0.0112240242644294</v>
      </c>
      <c r="P77" s="38" t="n">
        <f aca="false">+P76/P$52</f>
        <v>-0.300427202983065</v>
      </c>
      <c r="Q77" s="38" t="n">
        <f aca="false">+Q76/Q$52</f>
        <v>-0.00278435194208548</v>
      </c>
      <c r="R77" s="38" t="n">
        <f aca="false">+R76/R$52</f>
        <v>0.0146936302355525</v>
      </c>
      <c r="S77" s="38" t="n">
        <f aca="false">+S76/S$52</f>
        <v>0.0591924459164259</v>
      </c>
      <c r="T77" s="38" t="n">
        <f aca="false">+T76/T$52</f>
        <v>-0.0171620462440888</v>
      </c>
      <c r="U77" s="38" t="n">
        <f aca="false">+U76/U$52</f>
        <v>-0.0157862160369155</v>
      </c>
      <c r="V77" s="38"/>
      <c r="W77" s="38"/>
      <c r="X77" s="38"/>
      <c r="Y77" s="38" t="n">
        <f aca="false">+Y76/Y$52</f>
        <v>0.00318088640701209</v>
      </c>
      <c r="Z77" s="38" t="n">
        <f aca="false">+Z76/Z$52</f>
        <v>-0.0172359542293647</v>
      </c>
      <c r="AA77" s="38" t="n">
        <f aca="false">+AA76/AA$52</f>
        <v>-0.0281829028628124</v>
      </c>
      <c r="AB77" s="38" t="n">
        <f aca="false">+AB76/AB$52</f>
        <v>-0.00567743752825267</v>
      </c>
      <c r="AC77" s="38" t="n">
        <f aca="false">+AC76/AC$52</f>
        <v>0.00571332189479296</v>
      </c>
      <c r="AD77" s="38" t="n">
        <f aca="false">+AD76/AD$52</f>
        <v>-0.130927993938221</v>
      </c>
      <c r="AE77" s="38" t="n">
        <f aca="false">+AE76/AE$52</f>
        <v>-0.0835489198655237</v>
      </c>
      <c r="AF77" s="38" t="n">
        <f aca="false">+AF76/AF$52</f>
        <v>-0.0293729079591363</v>
      </c>
      <c r="AG77" s="38" t="n">
        <f aca="false">+AG76/AG$52</f>
        <v>0.00763499824337337</v>
      </c>
      <c r="AH77" s="38" t="n">
        <f aca="false">+AH76/AH$52</f>
        <v>0.0167733976519306</v>
      </c>
      <c r="AI77" s="38" t="n">
        <f aca="false">+AI76/AI$52</f>
        <v>0.0182868494912725</v>
      </c>
      <c r="AJ77" s="38" t="n">
        <f aca="false">+AJ76/AJ$52</f>
        <v>0.0257932683547921</v>
      </c>
      <c r="AK77" s="38" t="n">
        <f aca="false">+AK76/AK$52</f>
        <v>0.0278441448505351</v>
      </c>
      <c r="AL77" s="38" t="n">
        <f aca="false">+AL76/AL$52</f>
        <v>0.0286369317592841</v>
      </c>
      <c r="AM77" s="38" t="n">
        <f aca="false">+AM76/AM$52</f>
        <v>0.0453079502057994</v>
      </c>
      <c r="AN77" s="38" t="n">
        <f aca="false">+AN76/AN$52</f>
        <v>0.0465353283483637</v>
      </c>
      <c r="AO77" s="38" t="n">
        <f aca="false">+AO76/AO$52</f>
        <v>0.0478009983257502</v>
      </c>
      <c r="AP77" s="38"/>
      <c r="AQ77" s="38"/>
      <c r="AR77" s="38"/>
      <c r="AS77" s="38"/>
      <c r="AT77" s="38"/>
      <c r="AU77" s="38"/>
      <c r="AV77" s="38"/>
      <c r="AW77" s="38"/>
      <c r="AX77" s="38"/>
      <c r="AY77" s="38"/>
      <c r="AZ77" s="38"/>
      <c r="BA77" s="38"/>
      <c r="BB77" s="38"/>
      <c r="BC77" s="38"/>
      <c r="BD77" s="38"/>
      <c r="BE77" s="38"/>
      <c r="BF77" s="38"/>
      <c r="BG77" s="38"/>
      <c r="BH77" s="38"/>
      <c r="BI77" s="38"/>
      <c r="BJ77" s="38"/>
      <c r="BK77" s="38"/>
      <c r="BL77" s="38"/>
      <c r="BM77" s="38"/>
      <c r="BN77" s="38"/>
      <c r="BO77" s="38"/>
      <c r="BP77" s="38"/>
      <c r="BQ77" s="38"/>
      <c r="BR77" s="38"/>
      <c r="BS77" s="38"/>
      <c r="BT77" s="38"/>
      <c r="BU77" s="38"/>
      <c r="BV77" s="38"/>
      <c r="BW77" s="38"/>
      <c r="BX77" s="38"/>
      <c r="BY77" s="38"/>
      <c r="BZ77" s="38"/>
      <c r="CA77" s="38"/>
      <c r="CB77" s="38"/>
      <c r="CC77" s="38"/>
      <c r="CD77" s="38"/>
      <c r="CE77" s="38"/>
      <c r="CF77" s="38"/>
      <c r="CG77" s="38"/>
      <c r="CH77" s="38"/>
      <c r="CI77" s="38"/>
      <c r="CJ77" s="38"/>
      <c r="CK77" s="38"/>
      <c r="CL77" s="38"/>
      <c r="CM77" s="38"/>
      <c r="CN77" s="38"/>
      <c r="CO77" s="38"/>
      <c r="CP77" s="38"/>
      <c r="CQ77" s="38"/>
      <c r="CR77" s="38"/>
      <c r="CS77" s="38"/>
      <c r="CT77" s="38"/>
      <c r="CU77" s="38"/>
      <c r="CV77" s="38"/>
      <c r="CW77" s="38"/>
      <c r="CX77" s="38"/>
      <c r="CY77" s="38"/>
      <c r="CZ77" s="38"/>
      <c r="DA77" s="38"/>
      <c r="DB77" s="38"/>
      <c r="DC77" s="38"/>
      <c r="DD77" s="38"/>
      <c r="DE77" s="38"/>
      <c r="DF77" s="38"/>
      <c r="DG77" s="38"/>
      <c r="DH77" s="38"/>
      <c r="DI77" s="38"/>
      <c r="DJ77" s="38"/>
      <c r="DK77" s="38"/>
      <c r="DL77" s="38"/>
      <c r="DM77" s="38"/>
      <c r="DN77" s="38"/>
      <c r="DO77" s="38"/>
      <c r="DP77" s="38"/>
      <c r="DQ77" s="38"/>
      <c r="DR77" s="38"/>
      <c r="DS77" s="38"/>
      <c r="DT77" s="38"/>
      <c r="DU77" s="38"/>
      <c r="DV77" s="38"/>
      <c r="DW77" s="38"/>
      <c r="DX77" s="38"/>
      <c r="DY77" s="38"/>
      <c r="DZ77" s="38"/>
      <c r="EA77" s="38"/>
      <c r="EB77" s="38"/>
      <c r="EC77" s="38"/>
      <c r="ED77" s="38"/>
      <c r="EE77" s="38"/>
      <c r="EF77" s="38"/>
      <c r="EG77" s="38"/>
      <c r="EH77" s="38"/>
      <c r="EI77" s="38"/>
      <c r="EJ77" s="38"/>
      <c r="EK77" s="38"/>
      <c r="EL77" s="38"/>
      <c r="EM77" s="38"/>
      <c r="EN77" s="38"/>
      <c r="EO77" s="38"/>
      <c r="EP77" s="38"/>
      <c r="EQ77" s="38"/>
      <c r="ER77" s="38"/>
      <c r="ES77" s="38"/>
      <c r="ET77" s="38"/>
      <c r="EU77" s="38"/>
      <c r="EV77" s="38"/>
    </row>
    <row r="78" s="33" customFormat="true" ht="12.8" hidden="false" customHeight="false" outlineLevel="0" collapsed="false">
      <c r="A78" s="33" t="s">
        <v>296</v>
      </c>
      <c r="B78" s="33" t="n">
        <v>18</v>
      </c>
      <c r="C78" s="33" t="n">
        <v>17</v>
      </c>
      <c r="D78" s="33" t="n">
        <v>30</v>
      </c>
      <c r="E78" s="33" t="n">
        <v>42</v>
      </c>
      <c r="F78" s="33" t="n">
        <v>36</v>
      </c>
      <c r="G78" s="33" t="n">
        <v>4</v>
      </c>
      <c r="H78" s="33" t="n">
        <v>3</v>
      </c>
      <c r="I78" s="33" t="n">
        <v>5</v>
      </c>
      <c r="J78" s="33" t="n">
        <v>-4</v>
      </c>
      <c r="K78" s="33" t="n">
        <v>-12</v>
      </c>
      <c r="L78" s="33" t="n">
        <v>-12</v>
      </c>
      <c r="M78" s="33" t="n">
        <v>-10</v>
      </c>
      <c r="N78" s="33" t="n">
        <v>-13</v>
      </c>
      <c r="O78" s="33" t="n">
        <v>-12</v>
      </c>
      <c r="P78" s="33" t="n">
        <v>-14</v>
      </c>
      <c r="Q78" s="33" t="n">
        <v>-14</v>
      </c>
      <c r="R78" s="33" t="n">
        <v>-20</v>
      </c>
      <c r="S78" s="33" t="n">
        <v>-21</v>
      </c>
      <c r="T78" s="33" t="n">
        <v>-10</v>
      </c>
      <c r="U78" s="33" t="n">
        <v>-10</v>
      </c>
      <c r="Y78" s="33" t="n">
        <v>-34</v>
      </c>
      <c r="Z78" s="33" t="n">
        <v>-34</v>
      </c>
      <c r="AA78" s="33" t="n">
        <v>-37</v>
      </c>
      <c r="AB78" s="33" t="n">
        <v>107</v>
      </c>
      <c r="AC78" s="33" t="n">
        <v>48</v>
      </c>
      <c r="AD78" s="33" t="n">
        <v>-38</v>
      </c>
      <c r="AE78" s="33" t="n">
        <f aca="false">SUM(N78:Q78)</f>
        <v>-53</v>
      </c>
      <c r="AF78" s="33" t="n">
        <v>-50</v>
      </c>
      <c r="AG78" s="33" t="n">
        <v>-50</v>
      </c>
      <c r="AH78" s="33" t="n">
        <v>-50</v>
      </c>
      <c r="AI78" s="33" t="n">
        <v>100</v>
      </c>
      <c r="AJ78" s="33" t="n">
        <v>100</v>
      </c>
      <c r="AK78" s="33" t="n">
        <v>100</v>
      </c>
      <c r="AL78" s="33" t="n">
        <v>100</v>
      </c>
      <c r="AM78" s="33" t="n">
        <v>100</v>
      </c>
      <c r="AN78" s="33" t="n">
        <v>100</v>
      </c>
      <c r="AO78" s="33" t="n">
        <v>100</v>
      </c>
      <c r="AP78" s="83"/>
      <c r="AQ78" s="83"/>
      <c r="AR78" s="83"/>
      <c r="AS78" s="83"/>
      <c r="AT78" s="83"/>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83"/>
      <c r="EJ78" s="83"/>
      <c r="EK78" s="83"/>
      <c r="EL78" s="83"/>
      <c r="EM78" s="83"/>
      <c r="EN78" s="83"/>
      <c r="EO78" s="83"/>
      <c r="EP78" s="83"/>
      <c r="EQ78" s="83"/>
      <c r="ER78" s="83"/>
      <c r="ES78" s="83"/>
      <c r="ET78" s="83"/>
      <c r="EU78" s="83"/>
      <c r="EV78" s="1"/>
    </row>
    <row r="79" s="77" customFormat="true" ht="10.5" hidden="false" customHeight="true" outlineLevel="0" collapsed="false">
      <c r="A79" s="50" t="s">
        <v>265</v>
      </c>
      <c r="B79" s="38" t="n">
        <f aca="false">+B78/B$52</f>
        <v>0.00262620367668515</v>
      </c>
      <c r="C79" s="38" t="n">
        <f aca="false">+C78/C$52</f>
        <v>0.00210578471448037</v>
      </c>
      <c r="D79" s="38" t="n">
        <f aca="false">+D78/D$52</f>
        <v>0.00359582883854729</v>
      </c>
      <c r="E79" s="38" t="n">
        <f aca="false">+E78/E$52</f>
        <v>0.00487974904147787</v>
      </c>
      <c r="F79" s="38" t="n">
        <f aca="false">+F78/F$52</f>
        <v>0.00407980510919452</v>
      </c>
      <c r="G79" s="38" t="n">
        <f aca="false">+G78/G$52</f>
        <v>0.000433345282265952</v>
      </c>
      <c r="H79" s="38" t="n">
        <f aca="false">+H78/H$52</f>
        <v>0.000322844948981347</v>
      </c>
      <c r="I79" s="38" t="n">
        <f aca="false">+I78/I$52</f>
        <v>0.000503200208656668</v>
      </c>
      <c r="J79" s="38" t="n">
        <f aca="false">+J78/J$52</f>
        <v>-0.000394814504545024</v>
      </c>
      <c r="K79" s="38" t="n">
        <f aca="false">+K78/K$52</f>
        <v>-0.00112146068011545</v>
      </c>
      <c r="L79" s="38" t="n">
        <f aca="false">+L78/L$52</f>
        <v>-0.00107253499315744</v>
      </c>
      <c r="M79" s="38" t="n">
        <f aca="false">+M78/M$52</f>
        <v>-0.00083615830591737</v>
      </c>
      <c r="N79" s="38" t="n">
        <f aca="false">+N78/N$52</f>
        <v>-0.00112716811459761</v>
      </c>
      <c r="O79" s="38" t="n">
        <f aca="false">+O78/O$52</f>
        <v>-0.000948509092768678</v>
      </c>
      <c r="P79" s="38" t="n">
        <f aca="false">+P78/P$52</f>
        <v>-0.00103954049475109</v>
      </c>
      <c r="Q79" s="38" t="n">
        <f aca="false">+Q78/Q$52</f>
        <v>-0.000974523179729918</v>
      </c>
      <c r="R79" s="38" t="n">
        <f aca="false">+R78/R$52</f>
        <v>-0.00151480724077861</v>
      </c>
      <c r="S79" s="38" t="n">
        <f aca="false">+S78/S$52</f>
        <v>-0.00147981114791065</v>
      </c>
      <c r="T79" s="38" t="n">
        <f aca="false">+T78/T$52</f>
        <v>-0.000675026295292916</v>
      </c>
      <c r="U79" s="38" t="n">
        <f aca="false">+U78/U$52</f>
        <v>-0.000632807259564882</v>
      </c>
      <c r="V79" s="38"/>
      <c r="W79" s="38"/>
      <c r="X79" s="38"/>
      <c r="Y79" s="38" t="n">
        <f aca="false">+Y78/Y$52</f>
        <v>-0.00240333639640913</v>
      </c>
      <c r="Z79" s="38" t="n">
        <f aca="false">+Z78/Z$52</f>
        <v>-0.00305220022811667</v>
      </c>
      <c r="AA79" s="38" t="n">
        <f aca="false">+AA78/AA$52</f>
        <v>-0.00211944594700012</v>
      </c>
      <c r="AB79" s="38" t="n">
        <f aca="false">+AB78/AB$52</f>
        <v>0.00335627522388417</v>
      </c>
      <c r="AC79" s="38" t="n">
        <f aca="false">+AC78/AC$52</f>
        <v>0.00128750915938996</v>
      </c>
      <c r="AD79" s="38" t="n">
        <f aca="false">+AD78/AD$52</f>
        <v>-0.000864061092332825</v>
      </c>
      <c r="AE79" s="38" t="n">
        <f aca="false">+AE78/AE$52</f>
        <v>-0.00101888926665273</v>
      </c>
      <c r="AF79" s="38" t="n">
        <f aca="false">+AF78/AF$52</f>
        <v>-0.000858228829727703</v>
      </c>
      <c r="AG79" s="38" t="n">
        <f aca="false">+AG78/AG$52</f>
        <v>-0.000746285938893654</v>
      </c>
      <c r="AH79" s="38" t="n">
        <f aca="false">+AH78/AH$52</f>
        <v>-0.000643349947322116</v>
      </c>
      <c r="AI79" s="38" t="n">
        <f aca="false">+AI78/AI$52</f>
        <v>0.0011092240471071</v>
      </c>
      <c r="AJ79" s="38" t="n">
        <f aca="false">+AJ78/AJ$52</f>
        <v>0.000964542649658341</v>
      </c>
      <c r="AK79" s="38" t="n">
        <f aca="false">+AK78/AK$52</f>
        <v>0.000846090043559949</v>
      </c>
      <c r="AL79" s="38" t="n">
        <f aca="false">+AL78/AL$52</f>
        <v>0.000748752250938009</v>
      </c>
      <c r="AM79" s="38" t="n">
        <f aca="false">+AM78/AM$52</f>
        <v>0.000668528795480365</v>
      </c>
      <c r="AN79" s="38" t="n">
        <f aca="false">+AN78/AN$52</f>
        <v>0.000602278194126458</v>
      </c>
      <c r="AO79" s="38" t="n">
        <f aca="false">+AO78/AO$52</f>
        <v>0.00054752563102405</v>
      </c>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c r="BS79" s="84"/>
      <c r="BT79" s="84"/>
      <c r="BU79" s="84"/>
      <c r="BV79" s="84"/>
      <c r="BW79" s="84"/>
      <c r="BX79" s="84"/>
      <c r="BY79" s="84"/>
      <c r="BZ79" s="84"/>
      <c r="CA79" s="84"/>
      <c r="CB79" s="84"/>
      <c r="CC79" s="84"/>
      <c r="CD79" s="84"/>
      <c r="CE79" s="84"/>
      <c r="CF79" s="84"/>
      <c r="CG79" s="84"/>
      <c r="CH79" s="84"/>
      <c r="CI79" s="84"/>
      <c r="CJ79" s="84"/>
      <c r="CK79" s="84"/>
      <c r="CL79" s="84"/>
      <c r="CM79" s="84"/>
      <c r="CN79" s="84"/>
      <c r="CO79" s="84"/>
      <c r="CP79" s="84"/>
      <c r="CQ79" s="84"/>
      <c r="CR79" s="84"/>
      <c r="CS79" s="84"/>
      <c r="CT79" s="84"/>
      <c r="CU79" s="84"/>
      <c r="CV79" s="84"/>
      <c r="CW79" s="84"/>
      <c r="CX79" s="84"/>
      <c r="CY79" s="84"/>
      <c r="CZ79" s="84"/>
      <c r="DA79" s="84"/>
      <c r="DB79" s="84"/>
      <c r="DC79" s="84"/>
      <c r="DD79" s="84"/>
      <c r="DE79" s="84"/>
      <c r="DF79" s="84"/>
      <c r="DG79" s="84"/>
      <c r="DH79" s="84"/>
      <c r="DI79" s="84"/>
      <c r="DJ79" s="84"/>
      <c r="DK79" s="84"/>
      <c r="DL79" s="84"/>
      <c r="DM79" s="84"/>
      <c r="DN79" s="84"/>
      <c r="DO79" s="84"/>
      <c r="DP79" s="84"/>
      <c r="DQ79" s="84"/>
      <c r="DR79" s="84"/>
      <c r="DS79" s="84"/>
      <c r="DT79" s="84"/>
      <c r="DU79" s="84"/>
      <c r="DV79" s="84"/>
      <c r="DW79" s="84"/>
      <c r="DX79" s="84"/>
      <c r="DY79" s="84"/>
      <c r="DZ79" s="84"/>
      <c r="EA79" s="84"/>
      <c r="EB79" s="84"/>
      <c r="EC79" s="84"/>
      <c r="ED79" s="84"/>
      <c r="EE79" s="84"/>
      <c r="EF79" s="84"/>
      <c r="EG79" s="84"/>
      <c r="EH79" s="84"/>
      <c r="EI79" s="84"/>
      <c r="EJ79" s="84"/>
      <c r="EK79" s="84"/>
      <c r="EL79" s="84"/>
      <c r="EM79" s="84"/>
      <c r="EN79" s="84"/>
      <c r="EO79" s="84"/>
      <c r="EP79" s="84"/>
      <c r="EQ79" s="84"/>
      <c r="ER79" s="84"/>
      <c r="ES79" s="84"/>
      <c r="ET79" s="84"/>
      <c r="EU79" s="84"/>
      <c r="EV79" s="38"/>
    </row>
    <row r="80" s="77" customFormat="true" ht="12.8" hidden="false" customHeight="false" outlineLevel="0" collapsed="false">
      <c r="A80" s="33" t="s">
        <v>297</v>
      </c>
      <c r="B80" s="33" t="n">
        <f aca="false">B74-B76+B78</f>
        <v>-5918</v>
      </c>
      <c r="C80" s="33" t="n">
        <f aca="false">C74-C76+C78</f>
        <v>-2616</v>
      </c>
      <c r="D80" s="33" t="n">
        <f aca="false">D74-D76+D78</f>
        <v>-1204</v>
      </c>
      <c r="E80" s="33" t="n">
        <f aca="false">E74-E76+E78</f>
        <v>600</v>
      </c>
      <c r="F80" s="33" t="n">
        <f aca="false">F74-F76+F78</f>
        <v>-156.04909144605</v>
      </c>
      <c r="G80" s="33" t="n">
        <f aca="false">G74-G76+G78</f>
        <v>394.51470431175</v>
      </c>
      <c r="H80" s="33" t="n">
        <f aca="false">H74-H76+H78</f>
        <v>219.38635904237</v>
      </c>
      <c r="I80" s="33" t="n">
        <f aca="false">I74-I76+I78</f>
        <v>1700.40287500652</v>
      </c>
      <c r="J80" s="33" t="n">
        <f aca="false">J74-J76+J78</f>
        <v>-662.65995561758</v>
      </c>
      <c r="K80" s="33" t="n">
        <f aca="false">K74-K76+K78</f>
        <v>1008.33057134443</v>
      </c>
      <c r="L80" s="33" t="n">
        <f aca="false">L74-L76+L78</f>
        <v>2599.44613607724</v>
      </c>
      <c r="M80" s="33" t="n">
        <f aca="false">M74-M76+M78</f>
        <v>6901.45783140762</v>
      </c>
      <c r="N80" s="33" t="n">
        <f aca="false">N74-N76+N78</f>
        <v>1774.32837545794</v>
      </c>
      <c r="O80" s="33" t="n">
        <f aca="false">O74-O76+O78</f>
        <v>1350.43380436374</v>
      </c>
      <c r="P80" s="33" t="n">
        <f aca="false">P74-P76+P78</f>
        <v>6652.48882865999</v>
      </c>
      <c r="Q80" s="33" t="n">
        <f aca="false">Q74-Q76+Q78</f>
        <v>317</v>
      </c>
      <c r="R80" s="33" t="n">
        <f aca="false">R74-R76+R78</f>
        <v>282</v>
      </c>
      <c r="S80" s="33" t="n">
        <f aca="false">S74-S76+S78</f>
        <v>2416</v>
      </c>
      <c r="T80" s="33" t="n">
        <f aca="false">T74-T76+T78</f>
        <v>2786.66895943747</v>
      </c>
      <c r="U80" s="33" t="n">
        <f aca="false">U74-U76+U78</f>
        <v>2734.09583299457</v>
      </c>
      <c r="V80" s="33"/>
      <c r="W80" s="33"/>
      <c r="X80" s="33"/>
      <c r="Y80" s="33" t="n">
        <f aca="false">Y74-Y76+Y78</f>
        <v>-8512</v>
      </c>
      <c r="Z80" s="33" t="n">
        <f aca="false">Z74-Z76+Z78</f>
        <v>-6787.49490240048</v>
      </c>
      <c r="AA80" s="33" t="n">
        <f aca="false">AA74-AA76+AA78</f>
        <v>-567.607395876221</v>
      </c>
      <c r="AB80" s="33" t="n">
        <f aca="false">AB74-AB76+AB78</f>
        <v>-9134.4202315237</v>
      </c>
      <c r="AC80" s="33" t="n">
        <f aca="false">AC74-AC76+AC78</f>
        <v>2156.28817564525</v>
      </c>
      <c r="AD80" s="33" t="n">
        <f aca="false">AD74-AD76+AD78</f>
        <v>9845.37182716581</v>
      </c>
      <c r="AE80" s="33" t="n">
        <f aca="false">AE74-AE76+AE78</f>
        <v>10093.428914642</v>
      </c>
      <c r="AF80" s="33" t="n">
        <f aca="false">AF74-AF76+AF78</f>
        <v>10217.5091799662</v>
      </c>
      <c r="AG80" s="33" t="n">
        <f aca="false">AG74-AG76+AG78</f>
        <v>9669.12768711336</v>
      </c>
      <c r="AH80" s="33" t="n">
        <f aca="false">AH74-AH76+AH78</f>
        <v>11682.3844896339</v>
      </c>
      <c r="AI80" s="33" t="n">
        <f aca="false">AI74-AI76+AI78</f>
        <v>14937.5475496306</v>
      </c>
      <c r="AJ80" s="33" t="n">
        <f aca="false">AJ74-AJ76+AJ78</f>
        <v>17996.2006793246</v>
      </c>
      <c r="AK80" s="33" t="n">
        <f aca="false">AK74-AK76+AK78</f>
        <v>22123.8479565281</v>
      </c>
      <c r="AL80" s="33" t="n">
        <f aca="false">AL74-AL76+AL78</f>
        <v>25695.5369024479</v>
      </c>
      <c r="AM80" s="33" t="n">
        <f aca="false">AM74-AM76+AM78</f>
        <v>27209.0493107294</v>
      </c>
      <c r="AN80" s="33" t="n">
        <f aca="false">AN74-AN76+AN78</f>
        <v>31006.2016869851</v>
      </c>
      <c r="AO80" s="33" t="n">
        <f aca="false">AO74-AO76+AO78</f>
        <v>35021.4689630854</v>
      </c>
      <c r="AP80" s="83"/>
      <c r="AQ80" s="83"/>
      <c r="AR80" s="83"/>
      <c r="AS80" s="83"/>
      <c r="AT80" s="83"/>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83"/>
      <c r="EJ80" s="83"/>
      <c r="EK80" s="83"/>
      <c r="EL80" s="83"/>
      <c r="EM80" s="83"/>
      <c r="EN80" s="83"/>
      <c r="EO80" s="83"/>
      <c r="EP80" s="83"/>
      <c r="EQ80" s="83"/>
      <c r="ER80" s="83"/>
      <c r="ES80" s="83"/>
      <c r="ET80" s="83"/>
      <c r="EU80" s="83"/>
      <c r="EV80" s="1"/>
    </row>
    <row r="81" s="77" customFormat="true" ht="10.5" hidden="false" customHeight="true" outlineLevel="0" collapsed="false">
      <c r="A81" s="50" t="s">
        <v>265</v>
      </c>
      <c r="B81" s="38" t="n">
        <f aca="false">+B80/B$52</f>
        <v>-0.863437408812372</v>
      </c>
      <c r="C81" s="38" t="n">
        <f aca="false">+C80/C$52</f>
        <v>-0.324043106651802</v>
      </c>
      <c r="D81" s="38" t="n">
        <f aca="false">+D80/D$52</f>
        <v>-0.144312597387031</v>
      </c>
      <c r="E81" s="38" t="n">
        <f aca="false">+E80/E$52</f>
        <v>0.069710700592541</v>
      </c>
      <c r="F81" s="38" t="n">
        <f aca="false">+F80/F$52</f>
        <v>-0.0176847189046322</v>
      </c>
      <c r="G81" s="38" t="n">
        <f aca="false">+G80/G$52</f>
        <v>0.042740271474511</v>
      </c>
      <c r="H81" s="38" t="n">
        <f aca="false">+H80/H$52</f>
        <v>0.0236092592974125</v>
      </c>
      <c r="I81" s="38" t="n">
        <f aca="false">+I80/I$52</f>
        <v>0.171128616300736</v>
      </c>
      <c r="J81" s="38" t="n">
        <f aca="false">+J80/J$52</f>
        <v>-0.0654069405147457</v>
      </c>
      <c r="K81" s="38" t="n">
        <f aca="false">+K80/K$52</f>
        <v>0.0942335906934268</v>
      </c>
      <c r="L81" s="38" t="n">
        <f aca="false">+L80/L$52</f>
        <v>0.232333078647562</v>
      </c>
      <c r="M81" s="38" t="n">
        <f aca="false">+M80/M$52</f>
        <v>0.577071128866996</v>
      </c>
      <c r="N81" s="38" t="n">
        <f aca="false">+N80/N$52</f>
        <v>0.153843566895536</v>
      </c>
      <c r="O81" s="38" t="n">
        <f aca="false">+O80/O$52</f>
        <v>0.1067415618851</v>
      </c>
      <c r="P81" s="38" t="n">
        <f aca="false">+P80/P$52</f>
        <v>0.493966537733665</v>
      </c>
      <c r="Q81" s="38" t="n">
        <f aca="false">+Q80/Q$52</f>
        <v>0.0220659891410274</v>
      </c>
      <c r="R81" s="38" t="n">
        <f aca="false">+R80/R$52</f>
        <v>0.0213587820949784</v>
      </c>
      <c r="S81" s="38" t="n">
        <f aca="false">+S80/S$52</f>
        <v>0.170248749207244</v>
      </c>
      <c r="T81" s="38" t="n">
        <f aca="false">+T80/T$52</f>
        <v>0.188107482389684</v>
      </c>
      <c r="U81" s="38" t="n">
        <f aca="false">+U80/U$52</f>
        <v>0.173015569146506</v>
      </c>
      <c r="V81" s="38"/>
      <c r="W81" s="38"/>
      <c r="X81" s="38"/>
      <c r="Y81" s="38" t="n">
        <f aca="false">+Y80/Y$52</f>
        <v>-0.601682335477486</v>
      </c>
      <c r="Z81" s="38" t="n">
        <f aca="false">+Z80/Z$52</f>
        <v>-0.609317455571985</v>
      </c>
      <c r="AA81" s="38" t="n">
        <f aca="false">+AA80/AA$52</f>
        <v>-0.0325138701264094</v>
      </c>
      <c r="AB81" s="38" t="n">
        <f aca="false">+AB80/AB$52</f>
        <v>-0.286519890725321</v>
      </c>
      <c r="AC81" s="38" t="n">
        <f aca="false">+AC80/AC$52</f>
        <v>0.0578383495089069</v>
      </c>
      <c r="AD81" s="38" t="n">
        <f aca="false">+AD80/AD$52</f>
        <v>0.22386849303694</v>
      </c>
      <c r="AE81" s="38" t="n">
        <f aca="false">+AE80/AE$52</f>
        <v>0.194039365751906</v>
      </c>
      <c r="AF81" s="38" t="n">
        <f aca="false">+AF80/AF$52</f>
        <v>0.17537921892509</v>
      </c>
      <c r="AG81" s="38" t="n">
        <f aca="false">+AG80/AG$52</f>
        <v>0.1443186806852</v>
      </c>
      <c r="AH81" s="38" t="n">
        <f aca="false">+AH80/AH$52</f>
        <v>0.150317228920053</v>
      </c>
      <c r="AI81" s="38" t="n">
        <f aca="false">+AI80/AI$52</f>
        <v>0.165690869468559</v>
      </c>
      <c r="AJ81" s="38" t="n">
        <f aca="false">+AJ80/AJ$52</f>
        <v>0.17358103087019</v>
      </c>
      <c r="AK81" s="38" t="n">
        <f aca="false">+AK80/AK$52</f>
        <v>0.187187674812526</v>
      </c>
      <c r="AL81" s="38" t="n">
        <f aca="false">+AL80/AL$52</f>
        <v>0.192395910947686</v>
      </c>
      <c r="AM81" s="38" t="n">
        <f aca="false">+AM80/AM$52</f>
        <v>0.181900329618678</v>
      </c>
      <c r="AN81" s="38" t="n">
        <f aca="false">+AN80/AN$52</f>
        <v>0.186743591587581</v>
      </c>
      <c r="AO81" s="38" t="n">
        <f aca="false">+AO80/AO$52</f>
        <v>0.191751518934025</v>
      </c>
      <c r="AP81" s="84"/>
      <c r="AQ81" s="84"/>
      <c r="AR81" s="84"/>
      <c r="AS81" s="84"/>
      <c r="AT81" s="84"/>
      <c r="AU81" s="84"/>
      <c r="AV81" s="84"/>
      <c r="AW81" s="84"/>
      <c r="AX81" s="84"/>
      <c r="AY81" s="84"/>
      <c r="AZ81" s="84"/>
      <c r="BA81" s="84"/>
      <c r="BB81" s="84"/>
      <c r="BC81" s="84"/>
      <c r="BD81" s="84"/>
      <c r="BE81" s="84"/>
      <c r="BF81" s="84"/>
      <c r="BG81" s="84"/>
      <c r="BH81" s="84"/>
      <c r="BI81" s="84"/>
      <c r="BJ81" s="84"/>
      <c r="BK81" s="84"/>
      <c r="BL81" s="84"/>
      <c r="BM81" s="84"/>
      <c r="BN81" s="84"/>
      <c r="BO81" s="84"/>
      <c r="BP81" s="84"/>
      <c r="BQ81" s="84"/>
      <c r="BR81" s="84"/>
      <c r="BS81" s="84"/>
      <c r="BT81" s="84"/>
      <c r="BU81" s="84"/>
      <c r="BV81" s="84"/>
      <c r="BW81" s="84"/>
      <c r="BX81" s="84"/>
      <c r="BY81" s="84"/>
      <c r="BZ81" s="84"/>
      <c r="CA81" s="84"/>
      <c r="CB81" s="84"/>
      <c r="CC81" s="84"/>
      <c r="CD81" s="84"/>
      <c r="CE81" s="84"/>
      <c r="CF81" s="84"/>
      <c r="CG81" s="84"/>
      <c r="CH81" s="84"/>
      <c r="CI81" s="84"/>
      <c r="CJ81" s="84"/>
      <c r="CK81" s="84"/>
      <c r="CL81" s="84"/>
      <c r="CM81" s="84"/>
      <c r="CN81" s="84"/>
      <c r="CO81" s="84"/>
      <c r="CP81" s="84"/>
      <c r="CQ81" s="84"/>
      <c r="CR81" s="84"/>
      <c r="CS81" s="84"/>
      <c r="CT81" s="84"/>
      <c r="CU81" s="84"/>
      <c r="CV81" s="84"/>
      <c r="CW81" s="84"/>
      <c r="CX81" s="84"/>
      <c r="CY81" s="84"/>
      <c r="CZ81" s="84"/>
      <c r="DA81" s="84"/>
      <c r="DB81" s="84"/>
      <c r="DC81" s="84"/>
      <c r="DD81" s="84"/>
      <c r="DE81" s="84"/>
      <c r="DF81" s="84"/>
      <c r="DG81" s="84"/>
      <c r="DH81" s="84"/>
      <c r="DI81" s="84"/>
      <c r="DJ81" s="84"/>
      <c r="DK81" s="84"/>
      <c r="DL81" s="84"/>
      <c r="DM81" s="84"/>
      <c r="DN81" s="84"/>
      <c r="DO81" s="84"/>
      <c r="DP81" s="84"/>
      <c r="DQ81" s="84"/>
      <c r="DR81" s="84"/>
      <c r="DS81" s="84"/>
      <c r="DT81" s="84"/>
      <c r="DU81" s="84"/>
      <c r="DV81" s="84"/>
      <c r="DW81" s="84"/>
      <c r="DX81" s="84"/>
      <c r="DY81" s="84"/>
      <c r="DZ81" s="84"/>
      <c r="EA81" s="84"/>
      <c r="EB81" s="84"/>
      <c r="EC81" s="84"/>
      <c r="ED81" s="84"/>
      <c r="EE81" s="84"/>
      <c r="EF81" s="84"/>
      <c r="EG81" s="84"/>
      <c r="EH81" s="84"/>
      <c r="EI81" s="84"/>
      <c r="EJ81" s="84"/>
      <c r="EK81" s="84"/>
      <c r="EL81" s="84"/>
      <c r="EM81" s="84"/>
      <c r="EN81" s="84"/>
      <c r="EO81" s="84"/>
      <c r="EP81" s="84"/>
      <c r="EQ81" s="84"/>
      <c r="ER81" s="84"/>
      <c r="ES81" s="84"/>
      <c r="ET81" s="84"/>
      <c r="EU81" s="84"/>
      <c r="EV81" s="38"/>
    </row>
    <row r="82" s="77" customFormat="true" ht="12.8" hidden="false" customHeight="false" outlineLevel="0" collapsed="false">
      <c r="A82" s="33" t="s">
        <v>298</v>
      </c>
      <c r="B82" s="33" t="n">
        <v>12</v>
      </c>
      <c r="C82" s="33" t="n">
        <v>-15</v>
      </c>
      <c r="D82" s="33" t="n">
        <v>2</v>
      </c>
      <c r="E82" s="33" t="n">
        <v>5</v>
      </c>
      <c r="F82" s="33" t="n">
        <v>0</v>
      </c>
      <c r="G82" s="33" t="n">
        <v>0</v>
      </c>
      <c r="H82" s="33" t="n">
        <v>-2</v>
      </c>
      <c r="I82" s="33" t="n">
        <v>271</v>
      </c>
      <c r="J82" s="33" t="n">
        <v>-9</v>
      </c>
      <c r="K82" s="33" t="n">
        <v>-7</v>
      </c>
      <c r="L82" s="33" t="n">
        <v>-13</v>
      </c>
      <c r="M82" s="33" t="n">
        <v>18</v>
      </c>
      <c r="N82" s="33" t="n">
        <v>-2</v>
      </c>
      <c r="O82" s="33" t="n">
        <v>-5</v>
      </c>
      <c r="P82" s="33" t="n">
        <v>26</v>
      </c>
      <c r="Q82" s="33" t="n">
        <v>21</v>
      </c>
      <c r="R82" s="33" t="n">
        <v>19</v>
      </c>
      <c r="S82" s="33" t="n">
        <v>22</v>
      </c>
      <c r="T82" s="33" t="n">
        <v>30</v>
      </c>
      <c r="U82" s="33" t="n">
        <v>30</v>
      </c>
      <c r="V82" s="33"/>
      <c r="W82" s="33"/>
      <c r="X82" s="33"/>
      <c r="Y82" s="33" t="n">
        <v>-6</v>
      </c>
      <c r="Z82" s="33" t="n">
        <v>-20</v>
      </c>
      <c r="AA82" s="33" t="n">
        <v>-74</v>
      </c>
      <c r="AB82" s="33" t="n">
        <v>3</v>
      </c>
      <c r="AC82" s="33" t="n">
        <v>269</v>
      </c>
      <c r="AD82" s="33" t="n">
        <v>-11</v>
      </c>
      <c r="AE82" s="33" t="n">
        <f aca="false">SUM(N82:Q82)</f>
        <v>40</v>
      </c>
      <c r="AF82" s="33" t="n">
        <v>50</v>
      </c>
      <c r="AG82" s="33" t="n">
        <v>50</v>
      </c>
      <c r="AH82" s="33" t="n">
        <v>50</v>
      </c>
      <c r="AI82" s="33" t="n">
        <v>50</v>
      </c>
      <c r="AJ82" s="33" t="n">
        <v>50</v>
      </c>
      <c r="AK82" s="33" t="n">
        <v>50</v>
      </c>
      <c r="AL82" s="33" t="n">
        <v>50</v>
      </c>
      <c r="AM82" s="33" t="n">
        <v>50</v>
      </c>
      <c r="AN82" s="33" t="n">
        <v>50</v>
      </c>
      <c r="AO82" s="33" t="n">
        <v>50</v>
      </c>
      <c r="AP82" s="83"/>
      <c r="AQ82" s="83"/>
      <c r="AR82" s="83"/>
      <c r="AS82" s="83"/>
      <c r="AT82" s="83"/>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83"/>
      <c r="EJ82" s="83"/>
      <c r="EK82" s="83"/>
      <c r="EL82" s="83"/>
      <c r="EM82" s="83"/>
      <c r="EN82" s="83"/>
      <c r="EO82" s="83"/>
      <c r="EP82" s="83"/>
      <c r="EQ82" s="83"/>
      <c r="ER82" s="83"/>
      <c r="ES82" s="83"/>
      <c r="ET82" s="83"/>
      <c r="EU82" s="83"/>
      <c r="EV82" s="1"/>
    </row>
    <row r="83" s="44" customFormat="true" ht="10.5" hidden="false" customHeight="true" outlineLevel="0" collapsed="false">
      <c r="A83" s="50" t="s">
        <v>265</v>
      </c>
      <c r="B83" s="38" t="n">
        <f aca="false">+B82/B$52</f>
        <v>0.00175080245112343</v>
      </c>
      <c r="C83" s="38" t="n">
        <f aca="false">+C82/C$52</f>
        <v>-0.00185804533630621</v>
      </c>
      <c r="D83" s="38" t="n">
        <f aca="false">+D82/D$52</f>
        <v>0.000239721922569819</v>
      </c>
      <c r="E83" s="38" t="n">
        <f aca="false">+E82/E$52</f>
        <v>0.000580922504937841</v>
      </c>
      <c r="F83" s="38" t="n">
        <f aca="false">+F82/F$52</f>
        <v>0</v>
      </c>
      <c r="G83" s="38" t="n">
        <f aca="false">+G82/G$52</f>
        <v>0</v>
      </c>
      <c r="H83" s="38" t="n">
        <f aca="false">+H82/H$52</f>
        <v>-0.000215229965987565</v>
      </c>
      <c r="I83" s="38" t="n">
        <f aca="false">+I82/I$52</f>
        <v>0.0272734513091914</v>
      </c>
      <c r="J83" s="38" t="n">
        <f aca="false">+J82/J$52</f>
        <v>-0.000888332635226304</v>
      </c>
      <c r="K83" s="38" t="n">
        <f aca="false">+K82/K$52</f>
        <v>-0.000654185396734011</v>
      </c>
      <c r="L83" s="38" t="n">
        <f aca="false">+L82/L$52</f>
        <v>-0.0011619129092539</v>
      </c>
      <c r="M83" s="38" t="n">
        <f aca="false">+M82/M$52</f>
        <v>0.00150508495065127</v>
      </c>
      <c r="N83" s="38" t="n">
        <f aca="false">+N82/N$52</f>
        <v>-0.000173410479168863</v>
      </c>
      <c r="O83" s="38" t="n">
        <f aca="false">+O82/O$52</f>
        <v>-0.000395212121986949</v>
      </c>
      <c r="P83" s="38" t="n">
        <f aca="false">+P82/P$52</f>
        <v>0.00193057520453774</v>
      </c>
      <c r="Q83" s="38" t="n">
        <f aca="false">+Q82/Q$52</f>
        <v>0.00146178476959488</v>
      </c>
      <c r="R83" s="38" t="n">
        <f aca="false">+R82/R$52</f>
        <v>0.00143906687873968</v>
      </c>
      <c r="S83" s="38" t="n">
        <f aca="false">+S82/S$52</f>
        <v>0.0015502783454302</v>
      </c>
      <c r="T83" s="38" t="n">
        <f aca="false">+T82/T$52</f>
        <v>0.00202507888587875</v>
      </c>
      <c r="U83" s="38" t="n">
        <f aca="false">+U82/U$52</f>
        <v>0.00189842177869465</v>
      </c>
      <c r="V83" s="38"/>
      <c r="W83" s="38"/>
      <c r="X83" s="38"/>
      <c r="Y83" s="38" t="n">
        <f aca="false">+Y82/Y$52</f>
        <v>-0.000424118187601612</v>
      </c>
      <c r="Z83" s="38" t="n">
        <f aca="false">+Z82/Z$52</f>
        <v>-0.00179541189889216</v>
      </c>
      <c r="AA83" s="38" t="n">
        <f aca="false">+AA82/AA$52</f>
        <v>-0.00423889189400023</v>
      </c>
      <c r="AB83" s="38" t="n">
        <f aca="false">+AB82/AB$52</f>
        <v>9.41011745014254E-005</v>
      </c>
      <c r="AC83" s="38" t="n">
        <f aca="false">+AC82/AC$52</f>
        <v>0.00721541591408124</v>
      </c>
      <c r="AD83" s="38" t="n">
        <f aca="false">+AD82/AD$52</f>
        <v>-0.000250122947780555</v>
      </c>
      <c r="AE83" s="38" t="n">
        <f aca="false">+AE82/AE$52</f>
        <v>0.000768973031436021</v>
      </c>
      <c r="AF83" s="38" t="n">
        <f aca="false">+AF82/AF$52</f>
        <v>0.000858228829727703</v>
      </c>
      <c r="AG83" s="38" t="n">
        <f aca="false">+AG82/AG$52</f>
        <v>0.000746285938893654</v>
      </c>
      <c r="AH83" s="38" t="n">
        <f aca="false">+AH82/AH$52</f>
        <v>0.000643349947322116</v>
      </c>
      <c r="AI83" s="38" t="n">
        <f aca="false">+AI82/AI$52</f>
        <v>0.000554612023553548</v>
      </c>
      <c r="AJ83" s="38" t="n">
        <f aca="false">+AJ82/AJ$52</f>
        <v>0.00048227132482917</v>
      </c>
      <c r="AK83" s="38" t="n">
        <f aca="false">+AK82/AK$52</f>
        <v>0.000423045021779975</v>
      </c>
      <c r="AL83" s="38" t="n">
        <f aca="false">+AL82/AL$52</f>
        <v>0.000374376125469004</v>
      </c>
      <c r="AM83" s="38" t="n">
        <f aca="false">+AM82/AM$52</f>
        <v>0.000334264397740183</v>
      </c>
      <c r="AN83" s="38" t="n">
        <f aca="false">+AN82/AN$52</f>
        <v>0.000301139097063229</v>
      </c>
      <c r="AO83" s="38" t="n">
        <f aca="false">+AO82/AO$52</f>
        <v>0.000273762815512025</v>
      </c>
      <c r="AP83" s="84"/>
      <c r="AQ83" s="84"/>
      <c r="AR83" s="84"/>
      <c r="AS83" s="84"/>
      <c r="AT83" s="84"/>
      <c r="AU83" s="84"/>
      <c r="AV83" s="84"/>
      <c r="AW83" s="84"/>
      <c r="AX83" s="84"/>
      <c r="AY83" s="84"/>
      <c r="AZ83" s="84"/>
      <c r="BA83" s="84"/>
      <c r="BB83" s="84"/>
      <c r="BC83" s="84"/>
      <c r="BD83" s="84"/>
      <c r="BE83" s="84"/>
      <c r="BF83" s="84"/>
      <c r="BG83" s="84"/>
      <c r="BH83" s="84"/>
      <c r="BI83" s="84"/>
      <c r="BJ83" s="84"/>
      <c r="BK83" s="84"/>
      <c r="BL83" s="84"/>
      <c r="BM83" s="84"/>
      <c r="BN83" s="84"/>
      <c r="BO83" s="84"/>
      <c r="BP83" s="84"/>
      <c r="BQ83" s="84"/>
      <c r="BR83" s="84"/>
      <c r="BS83" s="84"/>
      <c r="BT83" s="84"/>
      <c r="BU83" s="84"/>
      <c r="BV83" s="84"/>
      <c r="BW83" s="84"/>
      <c r="BX83" s="84"/>
      <c r="BY83" s="84"/>
      <c r="BZ83" s="84"/>
      <c r="CA83" s="84"/>
      <c r="CB83" s="84"/>
      <c r="CC83" s="84"/>
      <c r="CD83" s="84"/>
      <c r="CE83" s="84"/>
      <c r="CF83" s="84"/>
      <c r="CG83" s="84"/>
      <c r="CH83" s="84"/>
      <c r="CI83" s="84"/>
      <c r="CJ83" s="84"/>
      <c r="CK83" s="84"/>
      <c r="CL83" s="84"/>
      <c r="CM83" s="84"/>
      <c r="CN83" s="84"/>
      <c r="CO83" s="84"/>
      <c r="CP83" s="84"/>
      <c r="CQ83" s="84"/>
      <c r="CR83" s="84"/>
      <c r="CS83" s="84"/>
      <c r="CT83" s="84"/>
      <c r="CU83" s="84"/>
      <c r="CV83" s="84"/>
      <c r="CW83" s="84"/>
      <c r="CX83" s="84"/>
      <c r="CY83" s="84"/>
      <c r="CZ83" s="84"/>
      <c r="DA83" s="84"/>
      <c r="DB83" s="84"/>
      <c r="DC83" s="84"/>
      <c r="DD83" s="84"/>
      <c r="DE83" s="84"/>
      <c r="DF83" s="84"/>
      <c r="DG83" s="84"/>
      <c r="DH83" s="84"/>
      <c r="DI83" s="84"/>
      <c r="DJ83" s="84"/>
      <c r="DK83" s="84"/>
      <c r="DL83" s="84"/>
      <c r="DM83" s="84"/>
      <c r="DN83" s="84"/>
      <c r="DO83" s="84"/>
      <c r="DP83" s="84"/>
      <c r="DQ83" s="84"/>
      <c r="DR83" s="84"/>
      <c r="DS83" s="84"/>
      <c r="DT83" s="84"/>
      <c r="DU83" s="84"/>
      <c r="DV83" s="84"/>
      <c r="DW83" s="84"/>
      <c r="DX83" s="84"/>
      <c r="DY83" s="84"/>
      <c r="DZ83" s="84"/>
      <c r="EA83" s="84"/>
      <c r="EB83" s="84"/>
      <c r="EC83" s="84"/>
      <c r="ED83" s="84"/>
      <c r="EE83" s="84"/>
      <c r="EF83" s="84"/>
      <c r="EG83" s="84"/>
      <c r="EH83" s="84"/>
      <c r="EI83" s="84"/>
      <c r="EJ83" s="84"/>
      <c r="EK83" s="84"/>
      <c r="EL83" s="84"/>
      <c r="EM83" s="84"/>
      <c r="EN83" s="84"/>
      <c r="EO83" s="84"/>
      <c r="EP83" s="84"/>
      <c r="EQ83" s="84"/>
      <c r="ER83" s="84"/>
      <c r="ES83" s="84"/>
      <c r="ET83" s="84"/>
      <c r="EU83" s="84"/>
      <c r="EV83" s="38"/>
    </row>
    <row r="84" s="77" customFormat="true" ht="12.8" hidden="false" customHeight="false" outlineLevel="0" collapsed="false">
      <c r="A84" s="83" t="s">
        <v>299</v>
      </c>
      <c r="B84" s="83" t="n">
        <f aca="false">B80-B82</f>
        <v>-5930</v>
      </c>
      <c r="C84" s="83" t="n">
        <f aca="false">C80-C82</f>
        <v>-2601</v>
      </c>
      <c r="D84" s="83" t="n">
        <f aca="false">D80-D82</f>
        <v>-1206</v>
      </c>
      <c r="E84" s="83" t="n">
        <f aca="false">E80-E82</f>
        <v>595</v>
      </c>
      <c r="F84" s="83" t="n">
        <f aca="false">F80-F82</f>
        <v>-156.04909144605</v>
      </c>
      <c r="G84" s="83" t="n">
        <f aca="false">G80-G82</f>
        <v>394.51470431175</v>
      </c>
      <c r="H84" s="83" t="n">
        <f aca="false">H80-H82</f>
        <v>221.38635904237</v>
      </c>
      <c r="I84" s="83" t="n">
        <f aca="false">I80-I82</f>
        <v>1429.40287500652</v>
      </c>
      <c r="J84" s="83" t="n">
        <f aca="false">J80-J82</f>
        <v>-653.65995561758</v>
      </c>
      <c r="K84" s="83" t="n">
        <f aca="false">K80-K82</f>
        <v>1015.33057134443</v>
      </c>
      <c r="L84" s="83" t="n">
        <f aca="false">L80-L82</f>
        <v>2612.44613607724</v>
      </c>
      <c r="M84" s="83" t="n">
        <f aca="false">M80-M82</f>
        <v>6883.45783140762</v>
      </c>
      <c r="N84" s="83" t="n">
        <f aca="false">N80-N82</f>
        <v>1776.32837545794</v>
      </c>
      <c r="O84" s="83" t="n">
        <f aca="false">O80-O82</f>
        <v>1355.43380436374</v>
      </c>
      <c r="P84" s="83" t="n">
        <f aca="false">P80-P82</f>
        <v>6626.48882865999</v>
      </c>
      <c r="Q84" s="83" t="n">
        <f aca="false">Q80-Q82</f>
        <v>296</v>
      </c>
      <c r="R84" s="83" t="n">
        <f aca="false">R80-R82</f>
        <v>263</v>
      </c>
      <c r="S84" s="83" t="n">
        <f aca="false">S80-S82</f>
        <v>2394</v>
      </c>
      <c r="T84" s="83" t="n">
        <f aca="false">T80-T82</f>
        <v>2756.66895943747</v>
      </c>
      <c r="U84" s="83" t="n">
        <f aca="false">U80-U82</f>
        <v>2704.09583299457</v>
      </c>
      <c r="V84" s="83"/>
      <c r="W84" s="83"/>
      <c r="X84" s="83"/>
      <c r="Y84" s="83" t="n">
        <f aca="false">Y80-Y82</f>
        <v>-8506</v>
      </c>
      <c r="Z84" s="83" t="n">
        <f aca="false">Z80-Z82</f>
        <v>-6767.49490240048</v>
      </c>
      <c r="AA84" s="83" t="n">
        <f aca="false">AA80-AA82</f>
        <v>-493.607395876221</v>
      </c>
      <c r="AB84" s="83" t="n">
        <f aca="false">AB80-AB82</f>
        <v>-9137.4202315237</v>
      </c>
      <c r="AC84" s="83" t="n">
        <f aca="false">AC80-AC82</f>
        <v>1887.28817564525</v>
      </c>
      <c r="AD84" s="83" t="n">
        <f aca="false">AD80-AD82</f>
        <v>9856.37182716581</v>
      </c>
      <c r="AE84" s="83" t="n">
        <f aca="false">AE80-AE82</f>
        <v>10053.428914642</v>
      </c>
      <c r="AF84" s="83" t="n">
        <f aca="false">AF80-AF82</f>
        <v>10167.5091799662</v>
      </c>
      <c r="AG84" s="83" t="n">
        <f aca="false">AG80-AG82</f>
        <v>9619.12768711336</v>
      </c>
      <c r="AH84" s="83" t="n">
        <f aca="false">AH80-AH82</f>
        <v>11632.3844896339</v>
      </c>
      <c r="AI84" s="83" t="n">
        <f aca="false">AI80-AI82</f>
        <v>14887.5475496306</v>
      </c>
      <c r="AJ84" s="83" t="n">
        <f aca="false">AJ80-AJ82</f>
        <v>17946.2006793246</v>
      </c>
      <c r="AK84" s="83" t="n">
        <f aca="false">AK80-AK82</f>
        <v>22073.8479565281</v>
      </c>
      <c r="AL84" s="83" t="n">
        <f aca="false">AL80-AL82</f>
        <v>25645.5369024479</v>
      </c>
      <c r="AM84" s="83" t="n">
        <f aca="false">AM80-AM82</f>
        <v>27159.0493107294</v>
      </c>
      <c r="AN84" s="83" t="n">
        <f aca="false">AN80-AN82</f>
        <v>30956.2016869851</v>
      </c>
      <c r="AO84" s="83" t="n">
        <f aca="false">AO80-AO82</f>
        <v>34971.4689630854</v>
      </c>
      <c r="AP84" s="83" t="n">
        <f aca="false">AO84*(1+$AS$98)</f>
        <v>34621.7542734545</v>
      </c>
      <c r="AQ84" s="83" t="n">
        <f aca="false">AP84*(1+$AS$98)</f>
        <v>34275.53673072</v>
      </c>
      <c r="AR84" s="83" t="n">
        <f aca="false">AQ84*(1+$AS$98)</f>
        <v>33932.7813634128</v>
      </c>
      <c r="AS84" s="83" t="n">
        <f aca="false">AR84*(1+$AS$98)</f>
        <v>33593.4535497786</v>
      </c>
      <c r="AT84" s="83" t="n">
        <f aca="false">AS84*(1+$AS$98)</f>
        <v>33257.5190142809</v>
      </c>
      <c r="AU84" s="83" t="n">
        <f aca="false">AT84*(1+$AS$98)</f>
        <v>32924.943824138</v>
      </c>
      <c r="AV84" s="83" t="n">
        <f aca="false">AU84*(1+$AS$98)</f>
        <v>32595.6943858967</v>
      </c>
      <c r="AW84" s="83" t="n">
        <f aca="false">AV84*(1+$AS$98)</f>
        <v>32269.7374420377</v>
      </c>
      <c r="AX84" s="83" t="n">
        <f aca="false">AW84*(1+$AS$98)</f>
        <v>31947.0400676173</v>
      </c>
      <c r="AY84" s="83" t="n">
        <f aca="false">AX84*(1+$AS$98)</f>
        <v>31627.5696669411</v>
      </c>
      <c r="AZ84" s="83" t="n">
        <f aca="false">AY84*(1+$AS$98)</f>
        <v>31311.2939702717</v>
      </c>
      <c r="BA84" s="83" t="n">
        <f aca="false">AZ84*(1+$AS$98)</f>
        <v>30998.181030569</v>
      </c>
      <c r="BB84" s="83" t="n">
        <f aca="false">BA84*(1+$AS$98)</f>
        <v>30688.1992202633</v>
      </c>
      <c r="BC84" s="83" t="n">
        <f aca="false">BB84*(1+$AS$98)</f>
        <v>30381.3172280607</v>
      </c>
      <c r="BD84" s="83" t="n">
        <f aca="false">BC84*(1+$AS$98)</f>
        <v>30077.5040557801</v>
      </c>
      <c r="BE84" s="83" t="n">
        <f aca="false">BD84*(1+$AS$98)</f>
        <v>29776.7290152223</v>
      </c>
      <c r="BF84" s="83" t="n">
        <f aca="false">BE84*(1+$AS$98)</f>
        <v>29478.9617250701</v>
      </c>
      <c r="BG84" s="83" t="n">
        <f aca="false">BF84*(1+$AS$98)</f>
        <v>29184.1721078194</v>
      </c>
      <c r="BH84" s="83" t="n">
        <f aca="false">BG84*(1+$AS$98)</f>
        <v>28892.3303867412</v>
      </c>
      <c r="BI84" s="83" t="n">
        <f aca="false">BH84*(1+$AS$98)</f>
        <v>28603.4070828737</v>
      </c>
      <c r="BJ84" s="83" t="n">
        <f aca="false">BI84*(1+$AS$98)</f>
        <v>28317.373012045</v>
      </c>
      <c r="BK84" s="83" t="n">
        <f aca="false">BJ84*(1+$AS$98)</f>
        <v>28034.1992819246</v>
      </c>
      <c r="BL84" s="83" t="n">
        <f aca="false">BK84*(1+$AS$98)</f>
        <v>27753.8572891053</v>
      </c>
      <c r="BM84" s="83" t="n">
        <f aca="false">BL84*(1+$AS$98)</f>
        <v>27476.3187162143</v>
      </c>
      <c r="BN84" s="83" t="n">
        <f aca="false">BM84*(1+$AS$98)</f>
        <v>27201.5555290521</v>
      </c>
      <c r="BO84" s="83" t="n">
        <f aca="false">BN84*(1+$AS$98)</f>
        <v>26929.5399737616</v>
      </c>
      <c r="BP84" s="83" t="n">
        <f aca="false">BO84*(1+$AS$98)</f>
        <v>26660.244574024</v>
      </c>
      <c r="BQ84" s="83" t="n">
        <f aca="false">BP84*(1+$AS$98)</f>
        <v>26393.6421282837</v>
      </c>
      <c r="BR84" s="83" t="n">
        <f aca="false">BQ84*(1+$AS$98)</f>
        <v>26129.7057070009</v>
      </c>
      <c r="BS84" s="83" t="n">
        <f aca="false">BR84*(1+$AS$98)</f>
        <v>25868.4086499309</v>
      </c>
      <c r="BT84" s="83" t="n">
        <f aca="false">BS84*(1+$AS$98)</f>
        <v>25609.7245634316</v>
      </c>
      <c r="BU84" s="83" t="n">
        <f aca="false">BT84*(1+$AS$98)</f>
        <v>25353.6273177973</v>
      </c>
      <c r="BV84" s="83" t="n">
        <f aca="false">BU84*(1+$AS$98)</f>
        <v>25100.0910446193</v>
      </c>
      <c r="BW84" s="83" t="n">
        <f aca="false">BV84*(1+$AS$98)</f>
        <v>24849.0901341731</v>
      </c>
      <c r="BX84" s="83" t="n">
        <f aca="false">BW84*(1+$AS$98)</f>
        <v>24600.5992328314</v>
      </c>
      <c r="BY84" s="83" t="n">
        <f aca="false">BX84*(1+$AS$98)</f>
        <v>24354.5932405031</v>
      </c>
      <c r="BZ84" s="83" t="n">
        <f aca="false">BY84*(1+$AS$98)</f>
        <v>24111.047308098</v>
      </c>
      <c r="CA84" s="83" t="n">
        <f aca="false">BZ84*(1+$AS$98)</f>
        <v>23869.936835017</v>
      </c>
      <c r="CB84" s="83" t="n">
        <f aca="false">CA84*(1+$AS$98)</f>
        <v>23631.2374666669</v>
      </c>
      <c r="CC84" s="83" t="n">
        <f aca="false">CB84*(1+$AS$98)</f>
        <v>23394.9250920002</v>
      </c>
      <c r="CD84" s="83" t="n">
        <f aca="false">CC84*(1+$AS$98)</f>
        <v>23160.9758410802</v>
      </c>
      <c r="CE84" s="83" t="n">
        <f aca="false">CD84*(1+$AS$98)</f>
        <v>22929.3660826694</v>
      </c>
      <c r="CF84" s="83" t="n">
        <f aca="false">CE84*(1+$AS$98)</f>
        <v>22700.0724218427</v>
      </c>
      <c r="CG84" s="83" t="n">
        <f aca="false">CF84*(1+$AS$98)</f>
        <v>22473.0716976243</v>
      </c>
      <c r="CH84" s="83" t="n">
        <f aca="false">CG84*(1+$AS$98)</f>
        <v>22248.340980648</v>
      </c>
      <c r="CI84" s="83" t="n">
        <f aca="false">CH84*(1+$AS$98)</f>
        <v>22025.8575708416</v>
      </c>
      <c r="CJ84" s="83" t="n">
        <f aca="false">CI84*(1+$AS$98)</f>
        <v>21805.5989951331</v>
      </c>
      <c r="CK84" s="83" t="n">
        <f aca="false">CJ84*(1+$AS$98)</f>
        <v>21587.5430051818</v>
      </c>
      <c r="CL84" s="83" t="n">
        <f aca="false">CK84*(1+$AS$98)</f>
        <v>21371.66757513</v>
      </c>
      <c r="CM84" s="83" t="n">
        <f aca="false">CL84*(1+$AS$98)</f>
        <v>21157.9508993787</v>
      </c>
      <c r="CN84" s="83" t="n">
        <f aca="false">CM84*(1+$AS$98)</f>
        <v>20946.3713903849</v>
      </c>
      <c r="CO84" s="83" t="n">
        <f aca="false">CN84*(1+$AS$98)</f>
        <v>20736.9076764811</v>
      </c>
      <c r="CP84" s="83" t="n">
        <f aca="false">CO84*(1+$AS$98)</f>
        <v>20529.5385997162</v>
      </c>
      <c r="CQ84" s="83" t="n">
        <f aca="false">CP84*(1+$AS$98)</f>
        <v>20324.2432137191</v>
      </c>
      <c r="CR84" s="83" t="n">
        <f aca="false">CQ84*(1+$AS$98)</f>
        <v>20121.0007815819</v>
      </c>
      <c r="CS84" s="83" t="n">
        <f aca="false">CR84*(1+$AS$98)</f>
        <v>19919.7907737661</v>
      </c>
      <c r="CT84" s="83" t="n">
        <f aca="false">CS84*(1+$AS$98)</f>
        <v>19720.5928660284</v>
      </c>
      <c r="CU84" s="83" t="n">
        <f aca="false">CT84*(1+$AS$98)</f>
        <v>19523.3869373681</v>
      </c>
      <c r="CV84" s="83" t="n">
        <f aca="false">CU84*(1+$AS$98)</f>
        <v>19328.1530679944</v>
      </c>
      <c r="CW84" s="83" t="n">
        <f aca="false">CV84*(1+$AS$98)</f>
        <v>19134.8715373145</v>
      </c>
      <c r="CX84" s="83" t="n">
        <f aca="false">CW84*(1+$AS$98)</f>
        <v>18943.5228219413</v>
      </c>
      <c r="CY84" s="83" t="n">
        <f aca="false">CX84*(1+$AS$98)</f>
        <v>18754.0875937219</v>
      </c>
      <c r="CZ84" s="83" t="n">
        <f aca="false">CY84*(1+$AS$98)</f>
        <v>18566.5467177847</v>
      </c>
      <c r="DA84" s="83" t="n">
        <f aca="false">CZ84*(1+$AS$98)</f>
        <v>18380.8812506069</v>
      </c>
      <c r="DB84" s="83" t="n">
        <f aca="false">DA84*(1+$AS$98)</f>
        <v>18197.0724381008</v>
      </c>
      <c r="DC84" s="83" t="n">
        <f aca="false">DB84*(1+$AS$98)</f>
        <v>18015.1017137198</v>
      </c>
      <c r="DD84" s="83" t="n">
        <f aca="false">DC84*(1+$AS$98)</f>
        <v>17834.9506965826</v>
      </c>
      <c r="DE84" s="83" t="n">
        <f aca="false">DD84*(1+$AS$98)</f>
        <v>17656.6011896168</v>
      </c>
      <c r="DF84" s="83" t="n">
        <f aca="false">DE84*(1+$AS$98)</f>
        <v>17480.0351777206</v>
      </c>
      <c r="DG84" s="83" t="n">
        <f aca="false">DF84*(1+$AS$98)</f>
        <v>17305.2348259434</v>
      </c>
      <c r="DH84" s="83" t="n">
        <f aca="false">DG84*(1+$AS$98)</f>
        <v>17132.182477684</v>
      </c>
      <c r="DI84" s="83" t="n">
        <f aca="false">DH84*(1+$AS$98)</f>
        <v>16960.8606529071</v>
      </c>
      <c r="DJ84" s="83" t="n">
        <f aca="false">DI84*(1+$AS$98)</f>
        <v>16791.2520463781</v>
      </c>
      <c r="DK84" s="83" t="n">
        <f aca="false">DJ84*(1+$AS$98)</f>
        <v>16623.3395259143</v>
      </c>
      <c r="DL84" s="83" t="n">
        <f aca="false">DK84*(1+$AS$98)</f>
        <v>16457.1061306551</v>
      </c>
      <c r="DM84" s="83" t="n">
        <f aca="false">DL84*(1+$AS$98)</f>
        <v>16292.5350693486</v>
      </c>
      <c r="DN84" s="83" t="n">
        <f aca="false">DM84*(1+$AS$98)</f>
        <v>16129.6097186551</v>
      </c>
      <c r="DO84" s="83" t="n">
        <f aca="false">DN84*(1+$AS$98)</f>
        <v>15968.3136214685</v>
      </c>
      <c r="DP84" s="83" t="n">
        <f aca="false">DO84*(1+$AS$98)</f>
        <v>15808.6304852539</v>
      </c>
      <c r="DQ84" s="83" t="n">
        <f aca="false">DP84*(1+$AS$98)</f>
        <v>15650.5441804013</v>
      </c>
      <c r="DR84" s="83" t="n">
        <f aca="false">DQ84*(1+$AS$98)</f>
        <v>15494.0387385973</v>
      </c>
      <c r="DS84" s="83" t="n">
        <f aca="false">DR84*(1+$AS$98)</f>
        <v>15339.0983512113</v>
      </c>
      <c r="DT84" s="83" t="n">
        <f aca="false">DS84*(1+$AS$98)</f>
        <v>15185.7073676992</v>
      </c>
      <c r="DU84" s="83" t="n">
        <f aca="false">DT84*(1+$AS$98)</f>
        <v>15033.8502940222</v>
      </c>
      <c r="DV84" s="83" t="n">
        <f aca="false">DU84*(1+$AS$98)</f>
        <v>14883.511791082</v>
      </c>
      <c r="DW84" s="83" t="n">
        <f aca="false">DV84*(1+$AS$98)</f>
        <v>14734.6766731712</v>
      </c>
      <c r="DX84" s="83" t="n">
        <f aca="false">DW84*(1+$AS$98)</f>
        <v>14587.3299064395</v>
      </c>
      <c r="DY84" s="83" t="n">
        <f aca="false">DX84*(1+$AS$98)</f>
        <v>14441.4566073751</v>
      </c>
      <c r="DZ84" s="83" t="n">
        <f aca="false">DY84*(1+$AS$98)</f>
        <v>14297.0420413013</v>
      </c>
      <c r="EA84" s="83" t="n">
        <f aca="false">DZ84*(1+$AS$98)</f>
        <v>14154.0716208883</v>
      </c>
      <c r="EB84" s="83" t="n">
        <f aca="false">EA84*(1+$AS$98)</f>
        <v>14012.5309046794</v>
      </c>
      <c r="EC84" s="83" t="n">
        <f aca="false">EB84*(1+$AS$98)</f>
        <v>13872.4055956326</v>
      </c>
      <c r="ED84" s="83" t="n">
        <f aca="false">EC84*(1+$AS$98)</f>
        <v>13733.6815396763</v>
      </c>
      <c r="EE84" s="83" t="n">
        <f aca="false">ED84*(1+$AS$98)</f>
        <v>13596.3447242795</v>
      </c>
      <c r="EF84" s="83" t="n">
        <f aca="false">EE84*(1+$AS$98)</f>
        <v>13460.3812770367</v>
      </c>
      <c r="EG84" s="83" t="n">
        <f aca="false">EF84*(1+$AS$98)</f>
        <v>13325.7774642664</v>
      </c>
      <c r="EH84" s="83"/>
      <c r="EI84" s="83"/>
      <c r="EJ84" s="83"/>
      <c r="EK84" s="83"/>
      <c r="EL84" s="83"/>
      <c r="EM84" s="83"/>
      <c r="EN84" s="83"/>
      <c r="EO84" s="83"/>
      <c r="EP84" s="83"/>
      <c r="EQ84" s="83"/>
      <c r="ER84" s="83"/>
      <c r="ES84" s="83"/>
      <c r="ET84" s="83"/>
      <c r="EU84" s="83"/>
      <c r="EV84" s="17"/>
    </row>
    <row r="85" s="77" customFormat="true" ht="10.5" hidden="false" customHeight="true" outlineLevel="0" collapsed="false">
      <c r="A85" s="50" t="s">
        <v>265</v>
      </c>
      <c r="B85" s="38" t="n">
        <f aca="false">+B84/B$52</f>
        <v>-0.865188211263496</v>
      </c>
      <c r="C85" s="38" t="n">
        <f aca="false">+C84/C$52</f>
        <v>-0.322185061315496</v>
      </c>
      <c r="D85" s="38" t="n">
        <f aca="false">+D84/D$52</f>
        <v>-0.144552319309601</v>
      </c>
      <c r="E85" s="38" t="n">
        <f aca="false">+E84/E$52</f>
        <v>0.0691297780876031</v>
      </c>
      <c r="F85" s="38" t="n">
        <f aca="false">+F84/F$52</f>
        <v>-0.0176847189046322</v>
      </c>
      <c r="G85" s="38" t="n">
        <f aca="false">+G84/G$52</f>
        <v>0.042740271474511</v>
      </c>
      <c r="H85" s="38" t="n">
        <f aca="false">+H84/H$52</f>
        <v>0.0238244892634</v>
      </c>
      <c r="I85" s="38" t="n">
        <f aca="false">+I84/I$52</f>
        <v>0.143855164991544</v>
      </c>
      <c r="J85" s="38" t="n">
        <f aca="false">+J84/J$52</f>
        <v>-0.0645186078795194</v>
      </c>
      <c r="K85" s="38" t="n">
        <f aca="false">+K84/K$52</f>
        <v>0.0948877760901608</v>
      </c>
      <c r="L85" s="38" t="n">
        <f aca="false">+L84/L$52</f>
        <v>0.233494991556816</v>
      </c>
      <c r="M85" s="38" t="n">
        <f aca="false">+M84/M$52</f>
        <v>0.575566043916345</v>
      </c>
      <c r="N85" s="38" t="n">
        <f aca="false">+N84/N$52</f>
        <v>0.154016977374705</v>
      </c>
      <c r="O85" s="38" t="n">
        <f aca="false">+O84/O$52</f>
        <v>0.107136774007087</v>
      </c>
      <c r="P85" s="38" t="n">
        <f aca="false">+P84/P$52</f>
        <v>0.492035962529127</v>
      </c>
      <c r="Q85" s="38" t="n">
        <f aca="false">+Q84/Q$52</f>
        <v>0.0206042043714325</v>
      </c>
      <c r="R85" s="38" t="n">
        <f aca="false">+R84/R$52</f>
        <v>0.0199197152162387</v>
      </c>
      <c r="S85" s="38" t="n">
        <f aca="false">+S84/S$52</f>
        <v>0.168698470861814</v>
      </c>
      <c r="T85" s="38" t="n">
        <f aca="false">+T84/T$52</f>
        <v>0.186082403503805</v>
      </c>
      <c r="U85" s="38" t="n">
        <f aca="false">+U84/U$52</f>
        <v>0.171117147367811</v>
      </c>
      <c r="V85" s="84"/>
      <c r="W85" s="84"/>
      <c r="X85" s="84"/>
      <c r="Y85" s="38" t="n">
        <f aca="false">+Y84/Y$52</f>
        <v>-0.601258217289885</v>
      </c>
      <c r="Z85" s="38" t="n">
        <f aca="false">+Z84/Z$52</f>
        <v>-0.607522043673093</v>
      </c>
      <c r="AA85" s="38" t="n">
        <f aca="false">+AA84/AA$52</f>
        <v>-0.0282749782324092</v>
      </c>
      <c r="AB85" s="38" t="n">
        <f aca="false">+AB84/AB$52</f>
        <v>-0.286613991899822</v>
      </c>
      <c r="AC85" s="38" t="n">
        <f aca="false">+AC84/AC$52</f>
        <v>0.0506229335948256</v>
      </c>
      <c r="AD85" s="38" t="n">
        <f aca="false">+AD84/AD$52</f>
        <v>0.22411861598472</v>
      </c>
      <c r="AE85" s="38" t="n">
        <f aca="false">+AE84/AE$52</f>
        <v>0.19327039272047</v>
      </c>
      <c r="AF85" s="38" t="n">
        <f aca="false">+AF84/AF$52</f>
        <v>0.174520990095362</v>
      </c>
      <c r="AG85" s="38" t="n">
        <f aca="false">+AG84/AG$52</f>
        <v>0.143572394746307</v>
      </c>
      <c r="AH85" s="38" t="n">
        <f aca="false">+AH84/AH$52</f>
        <v>0.149673878972731</v>
      </c>
      <c r="AI85" s="38" t="n">
        <f aca="false">+AI84/AI$52</f>
        <v>0.165136257445006</v>
      </c>
      <c r="AJ85" s="38" t="n">
        <f aca="false">+AJ84/AJ$52</f>
        <v>0.173098759545361</v>
      </c>
      <c r="AK85" s="38" t="n">
        <f aca="false">+AK84/AK$52</f>
        <v>0.186764629790746</v>
      </c>
      <c r="AL85" s="38" t="n">
        <f aca="false">+AL84/AL$52</f>
        <v>0.192021534822217</v>
      </c>
      <c r="AM85" s="38" t="n">
        <f aca="false">+AM84/AM$52</f>
        <v>0.181566065220938</v>
      </c>
      <c r="AN85" s="38" t="n">
        <f aca="false">+AN84/AN$52</f>
        <v>0.186442452490518</v>
      </c>
      <c r="AO85" s="38" t="n">
        <f aca="false">+AO84/AO$52</f>
        <v>0.191477756118513</v>
      </c>
      <c r="AP85" s="84"/>
      <c r="AQ85" s="84"/>
      <c r="AR85" s="84"/>
      <c r="AS85" s="84"/>
      <c r="AT85" s="84"/>
      <c r="AU85" s="84"/>
      <c r="AV85" s="84"/>
      <c r="AW85" s="84"/>
      <c r="AX85" s="84"/>
      <c r="AY85" s="84"/>
      <c r="AZ85" s="84"/>
      <c r="BA85" s="84"/>
      <c r="BB85" s="84"/>
      <c r="BC85" s="84"/>
      <c r="BD85" s="84"/>
      <c r="BE85" s="84"/>
      <c r="BF85" s="84"/>
      <c r="BG85" s="84"/>
      <c r="BH85" s="84"/>
      <c r="BI85" s="84"/>
      <c r="BJ85" s="84"/>
      <c r="BK85" s="84"/>
      <c r="BL85" s="84"/>
      <c r="BM85" s="84"/>
      <c r="BN85" s="84"/>
      <c r="BO85" s="84"/>
      <c r="BP85" s="84"/>
      <c r="BQ85" s="84"/>
      <c r="BR85" s="84"/>
      <c r="BS85" s="84"/>
      <c r="BT85" s="84"/>
      <c r="BU85" s="84"/>
      <c r="BV85" s="84"/>
      <c r="BW85" s="84"/>
      <c r="BX85" s="84"/>
      <c r="BY85" s="84"/>
      <c r="BZ85" s="84"/>
      <c r="CA85" s="84"/>
      <c r="CB85" s="84"/>
      <c r="CC85" s="84"/>
      <c r="CD85" s="84"/>
      <c r="CE85" s="84"/>
      <c r="CF85" s="84"/>
      <c r="CG85" s="84"/>
      <c r="CH85" s="84"/>
      <c r="CI85" s="84"/>
      <c r="CJ85" s="84"/>
      <c r="CK85" s="84"/>
      <c r="CL85" s="84"/>
      <c r="CM85" s="84"/>
      <c r="CN85" s="84"/>
      <c r="CO85" s="84"/>
      <c r="CP85" s="84"/>
      <c r="CQ85" s="84"/>
      <c r="CR85" s="84"/>
      <c r="CS85" s="84"/>
      <c r="CT85" s="84"/>
      <c r="CU85" s="84"/>
      <c r="CV85" s="84"/>
      <c r="CW85" s="84"/>
      <c r="CX85" s="84"/>
      <c r="CY85" s="84"/>
      <c r="CZ85" s="84"/>
      <c r="DA85" s="84"/>
      <c r="DB85" s="84"/>
      <c r="DC85" s="84"/>
      <c r="DD85" s="84"/>
      <c r="DE85" s="84"/>
      <c r="DF85" s="84"/>
      <c r="DG85" s="84"/>
      <c r="DH85" s="84"/>
      <c r="DI85" s="84"/>
      <c r="DJ85" s="84"/>
      <c r="DK85" s="84"/>
      <c r="DL85" s="84"/>
      <c r="DM85" s="84"/>
      <c r="DN85" s="84"/>
      <c r="DO85" s="84"/>
      <c r="DP85" s="84"/>
      <c r="DQ85" s="84"/>
      <c r="DR85" s="84"/>
      <c r="DS85" s="84"/>
      <c r="DT85" s="84"/>
      <c r="DU85" s="84"/>
      <c r="DV85" s="84"/>
      <c r="DW85" s="84"/>
      <c r="DX85" s="84"/>
      <c r="DY85" s="84"/>
      <c r="DZ85" s="84"/>
      <c r="EA85" s="84"/>
      <c r="EB85" s="84"/>
      <c r="EC85" s="84"/>
      <c r="ED85" s="84"/>
      <c r="EE85" s="84"/>
      <c r="EF85" s="84"/>
      <c r="EG85" s="84"/>
      <c r="EH85" s="84"/>
      <c r="EI85" s="84"/>
      <c r="EJ85" s="84"/>
      <c r="EK85" s="84"/>
      <c r="EL85" s="84"/>
      <c r="EM85" s="84"/>
      <c r="EN85" s="84"/>
      <c r="EO85" s="84"/>
      <c r="EP85" s="84"/>
      <c r="EQ85" s="84"/>
      <c r="ER85" s="84"/>
      <c r="ES85" s="84"/>
      <c r="ET85" s="84"/>
      <c r="EU85" s="84"/>
      <c r="EV85" s="84"/>
    </row>
    <row r="86" s="77" customFormat="true" ht="12.8" hidden="false" customHeight="false" outlineLevel="0" collapsed="false">
      <c r="A86" s="86" t="s">
        <v>300</v>
      </c>
      <c r="B86" s="86" t="n">
        <f aca="false">B84/B88</f>
        <v>-3.0290167546001</v>
      </c>
      <c r="C86" s="86" t="n">
        <f aca="false">C84/C88</f>
        <v>-1.32105428359851</v>
      </c>
      <c r="D86" s="86" t="n">
        <f aca="false">D84/D88</f>
        <v>-0.609398686205154</v>
      </c>
      <c r="E86" s="86" t="n">
        <f aca="false">E84/E88</f>
        <v>0.288754352547226</v>
      </c>
      <c r="F86" s="86" t="n">
        <f aca="false">F84/F88</f>
        <v>-0.0776556812371486</v>
      </c>
      <c r="G86" s="86" t="n">
        <f aca="false">G84/G88</f>
        <v>0.189743509191877</v>
      </c>
      <c r="H86" s="86" t="n">
        <f aca="false">H84/H88</f>
        <v>0.105002067464603</v>
      </c>
      <c r="I86" s="86" t="n">
        <f aca="false">I84/I88</f>
        <v>0.673642902590376</v>
      </c>
      <c r="J86" s="86" t="n">
        <f aca="false">J84/J88</f>
        <v>-0.314244486138926</v>
      </c>
      <c r="K86" s="86" t="n">
        <f aca="false">K84/K88</f>
        <v>0.472246777369502</v>
      </c>
      <c r="L86" s="86" t="n">
        <f aca="false">L84/L88</f>
        <v>1.21257583620826</v>
      </c>
      <c r="M86" s="86" t="n">
        <f aca="false">M84/M88</f>
        <v>3.21446615831121</v>
      </c>
      <c r="N86" s="86" t="n">
        <f aca="false">N84/N88</f>
        <v>0.83685730331974</v>
      </c>
      <c r="O86" s="86" t="n">
        <f aca="false">O84/O88</f>
        <v>0.649963462339954</v>
      </c>
      <c r="P86" s="86" t="n">
        <f aca="false">P84/P88</f>
        <v>3.11937524297886</v>
      </c>
      <c r="Q86" s="86" t="n">
        <f aca="false">Q84/Q88</f>
        <v>0.140550807217474</v>
      </c>
      <c r="R86" s="86" t="n">
        <f aca="false">R84/R88</f>
        <v>0.126967820174945</v>
      </c>
      <c r="S86" s="86" t="n">
        <f aca="false">S84/S88</f>
        <v>1.16767671840896</v>
      </c>
      <c r="T86" s="86" t="n">
        <f aca="false">T84/T88</f>
        <v>1.30895961986585</v>
      </c>
      <c r="U86" s="86" t="n">
        <f aca="false">U84/U88</f>
        <v>1.28399612202971</v>
      </c>
      <c r="V86" s="87"/>
      <c r="W86" s="87"/>
      <c r="X86" s="87"/>
      <c r="Y86" s="86" t="n">
        <f aca="false">Y84/Y88</f>
        <v>-6.81377783367365</v>
      </c>
      <c r="Z86" s="86" t="n">
        <f aca="false">Z84/Z88</f>
        <v>-3.86074214296336</v>
      </c>
      <c r="AA86" s="86" t="n">
        <f aca="false">AA84/AA88</f>
        <v>-0.260410127077932</v>
      </c>
      <c r="AB86" s="86" t="n">
        <f aca="false">AB84/AB88</f>
        <v>-4.62677615652625</v>
      </c>
      <c r="AC86" s="86" t="n">
        <f aca="false">AC84/AC88</f>
        <v>0.902274788758067</v>
      </c>
      <c r="AD86" s="86" t="n">
        <f aca="false">AD84/AD88</f>
        <v>4.58329310726148</v>
      </c>
      <c r="AE86" s="86" t="n">
        <f aca="false">AE84/AE88</f>
        <v>4.76560798710927</v>
      </c>
      <c r="AF86" s="86" t="n">
        <f aca="false">AF84/AF88</f>
        <v>4.91804616385042</v>
      </c>
      <c r="AG86" s="86" t="n">
        <f aca="false">AG84/AG88</f>
        <v>4.74774780675862</v>
      </c>
      <c r="AH86" s="86" t="n">
        <f aca="false">AH84/AH88</f>
        <v>5.85861049245131</v>
      </c>
      <c r="AI86" s="86" t="n">
        <f aca="false">AI84/AI88</f>
        <v>7.65108386382645</v>
      </c>
      <c r="AJ86" s="86" t="n">
        <f aca="false">AJ84/AJ88</f>
        <v>9.41122691507501</v>
      </c>
      <c r="AK86" s="86" t="n">
        <f aca="false">AK84/AK88</f>
        <v>11.8120614098517</v>
      </c>
      <c r="AL86" s="86" t="n">
        <f aca="false">AL84/AL88</f>
        <v>14.0033959669413</v>
      </c>
      <c r="AM86" s="86" t="n">
        <f aca="false">AM84/AM88</f>
        <v>15.1324783608392</v>
      </c>
      <c r="AN86" s="86" t="n">
        <f aca="false">AN84/AN88</f>
        <v>17.6001792032691</v>
      </c>
      <c r="AO86" s="86" t="n">
        <f aca="false">AO84/AO88</f>
        <v>20.2888402036318</v>
      </c>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1"/>
    </row>
    <row r="87" s="33" customFormat="true" ht="10.5" hidden="false" customHeight="true" outlineLevel="0" collapsed="false">
      <c r="A87" s="50" t="s">
        <v>265</v>
      </c>
      <c r="B87" s="84"/>
      <c r="C87" s="84"/>
      <c r="D87" s="84"/>
      <c r="E87" s="84"/>
      <c r="F87" s="38" t="n">
        <f aca="false">+F86/B86-1</f>
        <v>-0.974362742920053</v>
      </c>
      <c r="G87" s="38" t="n">
        <f aca="false">+G86/C86-1</f>
        <v>-1.14363036519213</v>
      </c>
      <c r="H87" s="38" t="n">
        <f aca="false">+H86/D86-1</f>
        <v>-1.17230438765543</v>
      </c>
      <c r="I87" s="38" t="n">
        <f aca="false">+I86/E86-1</f>
        <v>1.33292726723557</v>
      </c>
      <c r="J87" s="38" t="n">
        <f aca="false">+J86/F86-1</f>
        <v>3.04663871506415</v>
      </c>
      <c r="K87" s="38" t="n">
        <f aca="false">+K86/G86-1</f>
        <v>1.48886920759933</v>
      </c>
      <c r="L87" s="38" t="n">
        <f aca="false">+L86/H86-1</f>
        <v>10.5481139132524</v>
      </c>
      <c r="M87" s="38" t="n">
        <f aca="false">+M86/I86-1</f>
        <v>3.77176579156485</v>
      </c>
      <c r="N87" s="38" t="n">
        <f aca="false">+N86/J86-1</f>
        <v>-3.6630771269914</v>
      </c>
      <c r="O87" s="38" t="n">
        <f aca="false">+O86/K86-1</f>
        <v>0.376321646831271</v>
      </c>
      <c r="P87" s="38" t="n">
        <f aca="false">+P86/L86-1</f>
        <v>1.57251971368091</v>
      </c>
      <c r="Q87" s="38" t="n">
        <f aca="false">+Q86/M86-1</f>
        <v>-0.9562755368091</v>
      </c>
      <c r="R87" s="38" t="n">
        <f aca="false">+R86/N86-1</f>
        <v>-0.848280203003218</v>
      </c>
      <c r="S87" s="38" t="n">
        <f aca="false">+S86/O86-1</f>
        <v>0.796526706601577</v>
      </c>
      <c r="T87" s="84"/>
      <c r="U87" s="84"/>
      <c r="V87" s="38"/>
      <c r="W87" s="38"/>
      <c r="X87" s="38"/>
      <c r="Y87" s="84"/>
      <c r="Z87" s="38" t="n">
        <f aca="false">+Z86/Y86-1</f>
        <v>-0.43339183677466</v>
      </c>
      <c r="AA87" s="38" t="n">
        <f aca="false">+AA86/Z86-1</f>
        <v>-0.932549204936528</v>
      </c>
      <c r="AB87" s="38" t="n">
        <f aca="false">+AB86/AA86-1</f>
        <v>16.7672666130285</v>
      </c>
      <c r="AC87" s="38" t="n">
        <f aca="false">+AC86/AB86-1</f>
        <v>-1.19501154977756</v>
      </c>
      <c r="AD87" s="38" t="n">
        <f aca="false">+AD86/AC86-1</f>
        <v>4.07970871442628</v>
      </c>
      <c r="AE87" s="38" t="n">
        <f aca="false">+AE86/AD86-1</f>
        <v>0.0397781410835241</v>
      </c>
      <c r="AF87" s="38" t="n">
        <f aca="false">+AF86/AE86-1</f>
        <v>0.0319871414420765</v>
      </c>
      <c r="AG87" s="38" t="n">
        <f aca="false">+AG86/AF86-1</f>
        <v>-0.0346272384231692</v>
      </c>
      <c r="AH87" s="38" t="n">
        <f aca="false">+AH86/AG86-1</f>
        <v>0.233976767702641</v>
      </c>
      <c r="AI87" s="38" t="n">
        <f aca="false">+AI86/AH86-1</f>
        <v>0.305955375201118</v>
      </c>
      <c r="AJ87" s="38" t="n">
        <f aca="false">+AJ86/AI86-1</f>
        <v>0.230051464939541</v>
      </c>
      <c r="AK87" s="38" t="n">
        <f aca="false">+AK86/AJ86-1</f>
        <v>0.255103241738975</v>
      </c>
      <c r="AL87" s="38" t="n">
        <f aca="false">+AL86/AK86-1</f>
        <v>0.18551669188427</v>
      </c>
      <c r="AM87" s="38" t="n">
        <f aca="false">+AM86/AL86-1</f>
        <v>0.0806291842752576</v>
      </c>
      <c r="AN87" s="38" t="n">
        <f aca="false">+AN86/AM86-1</f>
        <v>0.163073145296279</v>
      </c>
      <c r="AO87" s="38" t="n">
        <f aca="false">+AO86/AN86-1</f>
        <v>0.152763274129806</v>
      </c>
      <c r="AP87" s="38"/>
      <c r="AQ87" s="38"/>
      <c r="AR87" s="38"/>
      <c r="AS87" s="38"/>
      <c r="AT87" s="38"/>
      <c r="AU87" s="38"/>
      <c r="AV87" s="38"/>
      <c r="AW87" s="38"/>
      <c r="AX87" s="38"/>
      <c r="AY87" s="38"/>
      <c r="AZ87" s="38"/>
      <c r="BA87" s="38"/>
      <c r="BB87" s="38"/>
      <c r="BC87" s="38"/>
      <c r="BD87" s="38"/>
      <c r="BE87" s="38"/>
      <c r="BF87" s="38"/>
      <c r="BG87" s="38"/>
      <c r="BH87" s="38"/>
      <c r="BI87" s="38"/>
      <c r="BJ87" s="38"/>
      <c r="BK87" s="38"/>
      <c r="BL87" s="38"/>
      <c r="BM87" s="38"/>
      <c r="BN87" s="38"/>
      <c r="BO87" s="38"/>
      <c r="BP87" s="38"/>
      <c r="BQ87" s="38"/>
      <c r="BR87" s="38"/>
      <c r="BS87" s="38"/>
      <c r="BT87" s="38"/>
      <c r="BU87" s="38"/>
      <c r="BV87" s="38"/>
      <c r="BW87" s="38"/>
      <c r="BX87" s="38"/>
      <c r="BY87" s="38"/>
      <c r="BZ87" s="38"/>
      <c r="CA87" s="38"/>
      <c r="CB87" s="38"/>
      <c r="CC87" s="38"/>
      <c r="CD87" s="38"/>
      <c r="CE87" s="38"/>
      <c r="CF87" s="38"/>
      <c r="CG87" s="38"/>
      <c r="CH87" s="38"/>
      <c r="CI87" s="38"/>
      <c r="CJ87" s="38"/>
      <c r="CK87" s="38"/>
      <c r="CL87" s="38"/>
      <c r="CM87" s="38"/>
      <c r="CN87" s="38"/>
      <c r="CO87" s="38"/>
      <c r="CP87" s="38"/>
      <c r="CQ87" s="38"/>
      <c r="CR87" s="38"/>
      <c r="CS87" s="38"/>
      <c r="CT87" s="38"/>
      <c r="CU87" s="38"/>
      <c r="CV87" s="38"/>
      <c r="CW87" s="38"/>
      <c r="CX87" s="38"/>
      <c r="CY87" s="38"/>
      <c r="CZ87" s="38"/>
      <c r="DA87" s="38"/>
      <c r="DB87" s="38"/>
      <c r="DC87" s="38"/>
      <c r="DD87" s="38"/>
      <c r="DE87" s="38"/>
      <c r="DF87" s="38"/>
      <c r="DG87" s="38"/>
      <c r="DH87" s="38"/>
      <c r="DI87" s="38"/>
      <c r="DJ87" s="38"/>
      <c r="DK87" s="38"/>
      <c r="DL87" s="38"/>
      <c r="DM87" s="38"/>
      <c r="DN87" s="38"/>
      <c r="DO87" s="38"/>
      <c r="DP87" s="38"/>
      <c r="DQ87" s="38"/>
      <c r="DR87" s="38"/>
      <c r="DS87" s="38"/>
      <c r="DT87" s="38"/>
      <c r="DU87" s="38"/>
      <c r="DV87" s="38"/>
      <c r="DW87" s="38"/>
      <c r="DX87" s="38"/>
      <c r="DY87" s="38"/>
      <c r="DZ87" s="38"/>
      <c r="EA87" s="38"/>
      <c r="EB87" s="38"/>
      <c r="EC87" s="38"/>
      <c r="ED87" s="38"/>
      <c r="EE87" s="38"/>
      <c r="EF87" s="38"/>
      <c r="EG87" s="38"/>
      <c r="EH87" s="38"/>
      <c r="EI87" s="38"/>
      <c r="EJ87" s="38"/>
      <c r="EK87" s="38"/>
      <c r="EL87" s="38"/>
      <c r="EM87" s="38"/>
      <c r="EN87" s="38"/>
      <c r="EO87" s="38"/>
      <c r="EP87" s="38"/>
      <c r="EQ87" s="38"/>
      <c r="ER87" s="38"/>
      <c r="ES87" s="38"/>
      <c r="ET87" s="38"/>
      <c r="EU87" s="38"/>
      <c r="EV87" s="38"/>
    </row>
    <row r="88" s="33" customFormat="true" ht="12.8" hidden="false" customHeight="false" outlineLevel="0" collapsed="false">
      <c r="A88" s="33" t="s">
        <v>301</v>
      </c>
      <c r="B88" s="33" t="n">
        <v>1957.731</v>
      </c>
      <c r="C88" s="33" t="n">
        <v>1968.882</v>
      </c>
      <c r="D88" s="33" t="n">
        <v>1979</v>
      </c>
      <c r="E88" s="33" t="n">
        <v>2060.575</v>
      </c>
      <c r="F88" s="33" t="n">
        <v>2009.5</v>
      </c>
      <c r="G88" s="33" t="n">
        <v>2079.2</v>
      </c>
      <c r="H88" s="33" t="n">
        <v>2108.4</v>
      </c>
      <c r="I88" s="33" t="n">
        <v>2121.9</v>
      </c>
      <c r="J88" s="33" t="n">
        <v>2080.1</v>
      </c>
      <c r="K88" s="33" t="n">
        <v>2150</v>
      </c>
      <c r="L88" s="33" t="n">
        <v>2154.46</v>
      </c>
      <c r="M88" s="33" t="n">
        <v>2141.4</v>
      </c>
      <c r="N88" s="33" t="n">
        <v>2122.618</v>
      </c>
      <c r="O88" s="33" t="n">
        <v>2085.4</v>
      </c>
      <c r="P88" s="33" t="n">
        <v>2124.3</v>
      </c>
      <c r="Q88" s="33" t="n">
        <v>2106</v>
      </c>
      <c r="R88" s="33" t="n">
        <v>2071.391</v>
      </c>
      <c r="S88" s="33" t="n">
        <v>2050.225</v>
      </c>
      <c r="T88" s="33" t="n">
        <v>2106</v>
      </c>
      <c r="U88" s="33" t="n">
        <v>2106</v>
      </c>
      <c r="Y88" s="33" t="n">
        <v>1248.353</v>
      </c>
      <c r="Z88" s="33" t="n">
        <v>1752.9</v>
      </c>
      <c r="AA88" s="33" t="n">
        <v>1895.5</v>
      </c>
      <c r="AB88" s="33" t="n">
        <v>1974.9</v>
      </c>
      <c r="AC88" s="33" t="n">
        <v>2091.7</v>
      </c>
      <c r="AD88" s="33" t="n">
        <v>2150.5</v>
      </c>
      <c r="AE88" s="33" t="n">
        <f aca="false">AVERAGE(N88:Q88)</f>
        <v>2109.5795</v>
      </c>
      <c r="AF88" s="33" t="n">
        <f aca="false">+AE88*0.98</f>
        <v>2067.38791</v>
      </c>
      <c r="AG88" s="33" t="n">
        <f aca="false">+AF88*0.98</f>
        <v>2026.0401518</v>
      </c>
      <c r="AH88" s="33" t="n">
        <f aca="false">+AG88*0.98</f>
        <v>1985.519348764</v>
      </c>
      <c r="AI88" s="33" t="n">
        <f aca="false">+AH88*0.98</f>
        <v>1945.80896178872</v>
      </c>
      <c r="AJ88" s="33" t="n">
        <f aca="false">+AI88*0.98</f>
        <v>1906.89278255295</v>
      </c>
      <c r="AK88" s="33" t="n">
        <f aca="false">+AJ88*0.98</f>
        <v>1868.75492690189</v>
      </c>
      <c r="AL88" s="33" t="n">
        <f aca="false">+AK88*0.98</f>
        <v>1831.37982836385</v>
      </c>
      <c r="AM88" s="33" t="n">
        <f aca="false">+AL88*0.98</f>
        <v>1794.75223179657</v>
      </c>
      <c r="AN88" s="33" t="n">
        <f aca="false">+AM88*0.98</f>
        <v>1758.85718716064</v>
      </c>
      <c r="AO88" s="33" t="n">
        <f aca="false">+AN88*0.98</f>
        <v>1723.68004341743</v>
      </c>
    </row>
    <row r="89" s="33" customFormat="true" ht="10.5" hidden="false" customHeight="true" outlineLevel="0" collapsed="false">
      <c r="A89" s="50" t="s">
        <v>265</v>
      </c>
      <c r="B89" s="38"/>
      <c r="C89" s="38" t="n">
        <f aca="false">+C88/B88-1</f>
        <v>0.00569587956670259</v>
      </c>
      <c r="D89" s="38" t="n">
        <f aca="false">+D88/C88-1</f>
        <v>0.00513895703246825</v>
      </c>
      <c r="E89" s="38" t="n">
        <f aca="false">+E88/D88-1</f>
        <v>0.0412203132895401</v>
      </c>
      <c r="F89" s="38" t="n">
        <f aca="false">+F88/E88-1</f>
        <v>-0.0247867706829403</v>
      </c>
      <c r="G89" s="38" t="n">
        <f aca="false">+G88/F88-1</f>
        <v>0.0346852450858421</v>
      </c>
      <c r="H89" s="38" t="n">
        <f aca="false">+H88/G88-1</f>
        <v>0.0140438630242403</v>
      </c>
      <c r="I89" s="38" t="n">
        <f aca="false">+I88/H88-1</f>
        <v>0.00640295959021064</v>
      </c>
      <c r="J89" s="38" t="n">
        <f aca="false">+J88/I88-1</f>
        <v>-0.0196993260756869</v>
      </c>
      <c r="K89" s="38" t="n">
        <f aca="false">+K88/J88-1</f>
        <v>0.0336041536464593</v>
      </c>
      <c r="L89" s="38" t="n">
        <f aca="false">+L88/K88-1</f>
        <v>0.00207441860465107</v>
      </c>
      <c r="M89" s="38" t="n">
        <f aca="false">+M88/L88-1</f>
        <v>-0.0060618438030875</v>
      </c>
      <c r="N89" s="38" t="n">
        <f aca="false">+N88/M88-1</f>
        <v>-0.00877089754366311</v>
      </c>
      <c r="O89" s="38" t="n">
        <f aca="false">+O88/N88-1</f>
        <v>-0.0175340075322078</v>
      </c>
      <c r="P89" s="38" t="n">
        <f aca="false">+P88/O88-1</f>
        <v>0.0186534957322337</v>
      </c>
      <c r="Q89" s="38" t="n">
        <f aca="false">+Q88/P88-1</f>
        <v>-0.00861460245728019</v>
      </c>
      <c r="R89" s="38" t="n">
        <f aca="false">+R88/Q88-1</f>
        <v>-0.0164335232668565</v>
      </c>
      <c r="S89" s="38" t="n">
        <f aca="false">+S88/R88-1</f>
        <v>-0.0102182543035092</v>
      </c>
      <c r="T89" s="38"/>
      <c r="U89" s="38"/>
      <c r="V89" s="38"/>
      <c r="W89" s="38"/>
      <c r="X89" s="38"/>
      <c r="Y89" s="38"/>
      <c r="Z89" s="38" t="n">
        <f aca="false">+Z88/Y88-1</f>
        <v>0.404170134569309</v>
      </c>
      <c r="AA89" s="38" t="n">
        <f aca="false">+AA88/Z88-1</f>
        <v>0.0813509042158709</v>
      </c>
      <c r="AB89" s="38" t="n">
        <f aca="false">+AB88/AA88-1</f>
        <v>0.0418886837246111</v>
      </c>
      <c r="AC89" s="38" t="n">
        <f aca="false">+AC88/AB88-1</f>
        <v>0.0591422350498758</v>
      </c>
      <c r="AD89" s="38" t="n">
        <f aca="false">+AD88/AC88-1</f>
        <v>0.0281111057991108</v>
      </c>
      <c r="AE89" s="38" t="n">
        <f aca="false">+AE88/AD88-1</f>
        <v>-0.0190283654963963</v>
      </c>
      <c r="AF89" s="38" t="n">
        <f aca="false">+AF88/AE88-1</f>
        <v>-0.0199999999999999</v>
      </c>
      <c r="AG89" s="38" t="n">
        <f aca="false">+AG88/AF88-1</f>
        <v>-0.0199999999999999</v>
      </c>
      <c r="AH89" s="38" t="n">
        <f aca="false">+AH88/AG88-1</f>
        <v>-0.0200000000000001</v>
      </c>
      <c r="AI89" s="38" t="n">
        <f aca="false">+AI88/AH88-1</f>
        <v>-0.02</v>
      </c>
      <c r="AJ89" s="38" t="n">
        <f aca="false">+AJ88/AI88-1</f>
        <v>-0.0199999999999977</v>
      </c>
      <c r="AK89" s="38" t="n">
        <f aca="false">+AK88/AJ88-1</f>
        <v>-0.0200000000000005</v>
      </c>
      <c r="AL89" s="38" t="n">
        <f aca="false">+AL88/AK88-1</f>
        <v>-0.0200000000000011</v>
      </c>
      <c r="AM89" s="38" t="n">
        <f aca="false">+AM88/AL88-1</f>
        <v>-0.0200000000000017</v>
      </c>
      <c r="AN89" s="38" t="n">
        <f aca="false">+AN88/AM88-1</f>
        <v>-0.0199999999999991</v>
      </c>
      <c r="AO89" s="38" t="n">
        <f aca="false">+AO88/AN88-1</f>
        <v>-0.0199999999999985</v>
      </c>
      <c r="AP89" s="38"/>
      <c r="AQ89" s="38"/>
      <c r="AR89" s="38"/>
      <c r="AS89" s="38"/>
      <c r="AT89" s="38"/>
      <c r="AU89" s="38"/>
      <c r="AV89" s="38"/>
      <c r="AW89" s="38"/>
      <c r="AX89" s="38"/>
      <c r="AY89" s="38"/>
      <c r="AZ89" s="38"/>
      <c r="BA89" s="38"/>
      <c r="BB89" s="38"/>
      <c r="BC89" s="38"/>
      <c r="BD89" s="38"/>
      <c r="BE89" s="38"/>
      <c r="BF89" s="38"/>
      <c r="BG89" s="38"/>
      <c r="BH89" s="38"/>
      <c r="BI89" s="38"/>
      <c r="BJ89" s="38"/>
      <c r="BK89" s="38"/>
      <c r="BL89" s="38"/>
      <c r="BM89" s="38"/>
      <c r="BN89" s="38"/>
      <c r="BO89" s="38"/>
      <c r="BP89" s="38"/>
      <c r="BQ89" s="38"/>
      <c r="BR89" s="38"/>
      <c r="BS89" s="38"/>
      <c r="BT89" s="38"/>
      <c r="BU89" s="38"/>
      <c r="BV89" s="38"/>
      <c r="BW89" s="38"/>
      <c r="BX89" s="38"/>
      <c r="BY89" s="38"/>
      <c r="BZ89" s="38"/>
      <c r="CA89" s="38"/>
      <c r="CB89" s="38"/>
      <c r="CC89" s="38"/>
      <c r="CD89" s="38"/>
      <c r="CE89" s="38"/>
      <c r="CF89" s="38"/>
      <c r="CG89" s="38"/>
      <c r="CH89" s="38"/>
      <c r="CI89" s="38"/>
      <c r="CJ89" s="38"/>
      <c r="CK89" s="38"/>
      <c r="CL89" s="38"/>
      <c r="CM89" s="38"/>
      <c r="CN89" s="38"/>
      <c r="CO89" s="38"/>
      <c r="CP89" s="38"/>
      <c r="CQ89" s="38"/>
      <c r="CR89" s="38"/>
      <c r="CS89" s="38"/>
      <c r="CT89" s="38"/>
      <c r="CU89" s="38"/>
      <c r="CV89" s="38"/>
      <c r="CW89" s="38"/>
      <c r="CX89" s="38"/>
      <c r="CY89" s="38"/>
      <c r="CZ89" s="38"/>
      <c r="DA89" s="38"/>
      <c r="DB89" s="38"/>
      <c r="DC89" s="38"/>
      <c r="DD89" s="38"/>
      <c r="DE89" s="38"/>
      <c r="DF89" s="38"/>
      <c r="DG89" s="38"/>
      <c r="DH89" s="38"/>
      <c r="DI89" s="38"/>
      <c r="DJ89" s="38"/>
      <c r="DK89" s="38"/>
      <c r="DL89" s="38"/>
      <c r="DM89" s="38"/>
      <c r="DN89" s="38"/>
      <c r="DO89" s="38"/>
      <c r="DP89" s="38"/>
      <c r="DQ89" s="38"/>
      <c r="DR89" s="38"/>
      <c r="DS89" s="38"/>
      <c r="DT89" s="38"/>
      <c r="DU89" s="38"/>
      <c r="DV89" s="38"/>
      <c r="DW89" s="38"/>
      <c r="DX89" s="38"/>
      <c r="DY89" s="38"/>
      <c r="DZ89" s="38"/>
      <c r="EA89" s="38"/>
      <c r="EB89" s="38"/>
      <c r="EC89" s="38"/>
      <c r="ED89" s="38"/>
      <c r="EE89" s="38"/>
      <c r="EF89" s="38"/>
      <c r="EG89" s="38"/>
      <c r="EH89" s="38"/>
      <c r="EI89" s="38"/>
      <c r="EJ89" s="38"/>
      <c r="EK89" s="38"/>
      <c r="EL89" s="38"/>
      <c r="EM89" s="38"/>
      <c r="EN89" s="38"/>
      <c r="EO89" s="38"/>
      <c r="EP89" s="38"/>
      <c r="EQ89" s="38"/>
      <c r="ER89" s="38"/>
      <c r="ES89" s="38"/>
      <c r="ET89" s="38"/>
      <c r="EU89" s="38"/>
      <c r="EV89" s="38"/>
    </row>
    <row r="90" s="33" customFormat="true" ht="12.8" hidden="false" customHeight="false" outlineLevel="0" collapsed="false">
      <c r="A90" s="3"/>
      <c r="B90" s="3"/>
      <c r="C90" s="3"/>
      <c r="D90" s="3"/>
      <c r="E90" s="3"/>
      <c r="F90" s="88"/>
      <c r="G90" s="88"/>
      <c r="H90" s="88"/>
      <c r="I90" s="88"/>
      <c r="J90" s="88"/>
      <c r="K90" s="88"/>
      <c r="L90" s="88"/>
      <c r="M90" s="88"/>
      <c r="N90" s="88"/>
      <c r="O90" s="88"/>
      <c r="P90" s="88"/>
      <c r="Q90" s="88"/>
      <c r="R90" s="88"/>
      <c r="S90" s="3"/>
      <c r="T90" s="3"/>
      <c r="U90" s="3"/>
      <c r="V90" s="3"/>
      <c r="W90" s="3"/>
      <c r="X90" s="3"/>
      <c r="Y90" s="3"/>
      <c r="Z90" s="3"/>
      <c r="AA90" s="3"/>
      <c r="AB90" s="3"/>
      <c r="AC90" s="3"/>
      <c r="AD90" s="3"/>
      <c r="AE90" s="3"/>
      <c r="AF90" s="3"/>
      <c r="AG90" s="1"/>
      <c r="AH90" s="1"/>
      <c r="AI90" s="1"/>
      <c r="AJ90" s="89"/>
      <c r="AK90" s="89"/>
      <c r="AL90" s="89"/>
      <c r="AM90" s="89"/>
      <c r="AN90" s="89"/>
      <c r="AO90" s="89"/>
      <c r="AP90" s="89"/>
      <c r="AQ90" s="89"/>
      <c r="AR90" s="89"/>
      <c r="AS90" s="89"/>
      <c r="AT90" s="89"/>
      <c r="AU90" s="89"/>
      <c r="AV90" s="89"/>
      <c r="AW90" s="89"/>
      <c r="AX90" s="89"/>
      <c r="AY90" s="89"/>
      <c r="AZ90" s="89"/>
      <c r="BA90" s="89"/>
      <c r="BB90" s="89"/>
      <c r="BC90" s="89"/>
      <c r="BD90" s="89"/>
      <c r="BE90" s="89"/>
      <c r="BF90" s="89"/>
      <c r="BG90" s="89"/>
      <c r="BH90" s="89"/>
      <c r="BI90" s="89"/>
      <c r="BJ90" s="89"/>
      <c r="BK90" s="89"/>
      <c r="BL90" s="89"/>
      <c r="BM90" s="89"/>
      <c r="BN90" s="89"/>
      <c r="BO90" s="89"/>
      <c r="BP90" s="89"/>
      <c r="BQ90" s="89"/>
      <c r="BR90" s="89"/>
      <c r="BS90" s="89"/>
      <c r="BT90" s="89"/>
      <c r="BU90" s="89"/>
      <c r="BV90" s="89"/>
      <c r="BW90" s="89"/>
      <c r="BX90" s="89"/>
      <c r="BY90" s="89"/>
      <c r="BZ90" s="89"/>
      <c r="CA90" s="89"/>
      <c r="CB90" s="89"/>
      <c r="CC90" s="89"/>
      <c r="CD90" s="89"/>
      <c r="CE90" s="89"/>
      <c r="CF90" s="89"/>
      <c r="CG90" s="89"/>
      <c r="CH90" s="89"/>
      <c r="CI90" s="89"/>
      <c r="CJ90" s="89"/>
      <c r="CK90" s="89"/>
      <c r="CL90" s="89"/>
      <c r="CM90" s="89"/>
      <c r="CN90" s="89"/>
      <c r="CO90" s="89"/>
      <c r="CP90" s="89"/>
      <c r="CQ90" s="89"/>
      <c r="CR90" s="89"/>
      <c r="CS90" s="89"/>
      <c r="CT90" s="89"/>
      <c r="CU90" s="89"/>
      <c r="CV90" s="89"/>
      <c r="CW90" s="89"/>
      <c r="CX90" s="89"/>
      <c r="CY90" s="89"/>
      <c r="CZ90" s="89"/>
      <c r="DA90" s="89"/>
      <c r="DB90" s="89"/>
      <c r="DC90" s="89"/>
      <c r="DD90" s="89"/>
      <c r="DE90" s="89"/>
      <c r="DF90" s="89"/>
      <c r="DG90" s="89"/>
      <c r="DH90" s="89"/>
      <c r="DI90" s="89"/>
      <c r="DJ90" s="89"/>
      <c r="DK90" s="89"/>
      <c r="DL90" s="89"/>
      <c r="DM90" s="89"/>
      <c r="DN90" s="89"/>
      <c r="DO90" s="89"/>
      <c r="DP90" s="89"/>
      <c r="DQ90" s="89"/>
      <c r="DR90" s="89"/>
      <c r="DS90" s="89"/>
      <c r="DT90" s="89"/>
      <c r="DU90" s="89"/>
      <c r="DV90" s="89"/>
      <c r="DW90" s="89"/>
      <c r="DX90" s="89"/>
      <c r="DY90" s="89"/>
      <c r="DZ90" s="89"/>
      <c r="EA90" s="89"/>
      <c r="EB90" s="89"/>
      <c r="EC90" s="89"/>
      <c r="ED90" s="89"/>
      <c r="EE90" s="89"/>
      <c r="EF90" s="89"/>
      <c r="EG90" s="89"/>
      <c r="EH90" s="89"/>
      <c r="EI90" s="89"/>
      <c r="EJ90" s="89"/>
      <c r="EK90" s="89"/>
      <c r="EL90" s="89"/>
      <c r="EM90" s="89"/>
      <c r="EN90" s="89"/>
      <c r="EO90" s="89"/>
      <c r="EP90" s="89"/>
      <c r="EQ90" s="89"/>
      <c r="ER90" s="89"/>
      <c r="ES90" s="89"/>
      <c r="ET90" s="89"/>
      <c r="EU90" s="89"/>
      <c r="EV90" s="1"/>
    </row>
    <row r="91" s="33" customFormat="true" ht="12.8" hidden="false" customHeight="false" outlineLevel="0" collapsed="false">
      <c r="A91" s="3"/>
      <c r="B91" s="3"/>
      <c r="C91" s="3"/>
      <c r="D91" s="3"/>
      <c r="E91" s="3"/>
      <c r="F91" s="88"/>
      <c r="G91" s="88"/>
      <c r="H91" s="88"/>
      <c r="I91" s="88"/>
      <c r="J91" s="88"/>
      <c r="K91" s="88"/>
      <c r="L91" s="88"/>
      <c r="M91" s="88"/>
      <c r="N91" s="88"/>
      <c r="O91" s="88"/>
      <c r="P91" s="88"/>
      <c r="Q91" s="88"/>
      <c r="R91" s="88"/>
      <c r="S91" s="3"/>
      <c r="T91" s="3"/>
      <c r="U91" s="3"/>
      <c r="V91" s="3"/>
      <c r="W91" s="3"/>
      <c r="X91" s="3"/>
      <c r="Y91" s="3"/>
      <c r="Z91" s="3"/>
      <c r="AA91" s="3"/>
      <c r="AB91" s="3"/>
      <c r="AC91" s="3"/>
      <c r="AD91" s="3"/>
      <c r="AE91" s="3"/>
      <c r="AF91" s="3"/>
      <c r="AG91" s="1"/>
      <c r="AH91" s="1"/>
      <c r="AI91" s="1"/>
      <c r="AJ91" s="89"/>
      <c r="AK91" s="89"/>
      <c r="AL91" s="89"/>
      <c r="AM91" s="89"/>
      <c r="AN91" s="89"/>
      <c r="AO91" s="89"/>
      <c r="AP91" s="89"/>
      <c r="AQ91" s="89"/>
      <c r="AR91" s="89"/>
      <c r="AS91" s="89"/>
      <c r="AT91" s="89"/>
      <c r="AU91" s="89"/>
      <c r="AV91" s="89"/>
      <c r="AW91" s="89"/>
      <c r="AX91" s="89"/>
      <c r="AY91" s="89"/>
      <c r="AZ91" s="89"/>
      <c r="BA91" s="89"/>
      <c r="BB91" s="89"/>
      <c r="BC91" s="89"/>
      <c r="BD91" s="89"/>
      <c r="BE91" s="89"/>
      <c r="BF91" s="89"/>
      <c r="BG91" s="89"/>
      <c r="BH91" s="89"/>
      <c r="BI91" s="89"/>
      <c r="BJ91" s="89"/>
      <c r="BK91" s="89"/>
      <c r="BL91" s="89"/>
      <c r="BM91" s="89"/>
      <c r="BN91" s="89"/>
      <c r="BO91" s="89"/>
      <c r="BP91" s="89"/>
      <c r="BQ91" s="89"/>
      <c r="BR91" s="89"/>
      <c r="BS91" s="89"/>
      <c r="BT91" s="89"/>
      <c r="BU91" s="89"/>
      <c r="BV91" s="89"/>
      <c r="BW91" s="89"/>
      <c r="BX91" s="89"/>
      <c r="BY91" s="89"/>
      <c r="BZ91" s="89"/>
      <c r="CA91" s="89"/>
      <c r="CB91" s="89"/>
      <c r="CC91" s="89"/>
      <c r="CD91" s="89"/>
      <c r="CE91" s="89"/>
      <c r="CF91" s="89"/>
      <c r="CG91" s="89"/>
      <c r="CH91" s="89"/>
      <c r="CI91" s="89"/>
      <c r="CJ91" s="89"/>
      <c r="CK91" s="89"/>
      <c r="CL91" s="89"/>
      <c r="CM91" s="89"/>
      <c r="CN91" s="89"/>
      <c r="CO91" s="89"/>
      <c r="CP91" s="89"/>
      <c r="CQ91" s="89"/>
      <c r="CR91" s="89"/>
      <c r="CS91" s="89"/>
      <c r="CT91" s="89"/>
      <c r="CU91" s="89"/>
      <c r="CV91" s="89"/>
      <c r="CW91" s="89"/>
      <c r="CX91" s="89"/>
      <c r="CY91" s="89"/>
      <c r="CZ91" s="89"/>
      <c r="DA91" s="89"/>
      <c r="DB91" s="89"/>
      <c r="DC91" s="89"/>
      <c r="DD91" s="89"/>
      <c r="DE91" s="89"/>
      <c r="DF91" s="89"/>
      <c r="DG91" s="89"/>
      <c r="DH91" s="89"/>
      <c r="DI91" s="89"/>
      <c r="DJ91" s="89"/>
      <c r="DK91" s="89"/>
      <c r="DL91" s="89"/>
      <c r="DM91" s="89"/>
      <c r="DN91" s="89"/>
      <c r="DO91" s="89"/>
      <c r="DP91" s="89"/>
      <c r="DQ91" s="89"/>
      <c r="DR91" s="89"/>
      <c r="DS91" s="89"/>
      <c r="DT91" s="89"/>
      <c r="DU91" s="89"/>
      <c r="DV91" s="89"/>
      <c r="DW91" s="89"/>
      <c r="DX91" s="89"/>
      <c r="DY91" s="89"/>
      <c r="DZ91" s="89"/>
      <c r="EA91" s="89"/>
      <c r="EB91" s="89"/>
      <c r="EC91" s="89"/>
      <c r="ED91" s="89"/>
      <c r="EE91" s="89"/>
      <c r="EF91" s="89"/>
      <c r="EG91" s="89"/>
      <c r="EH91" s="89"/>
      <c r="EI91" s="89"/>
      <c r="EJ91" s="89"/>
      <c r="EK91" s="89"/>
      <c r="EL91" s="89"/>
      <c r="EM91" s="89"/>
      <c r="EN91" s="89"/>
      <c r="EO91" s="89"/>
      <c r="EP91" s="89"/>
      <c r="EQ91" s="89"/>
      <c r="ER91" s="89"/>
      <c r="ES91" s="89"/>
      <c r="ET91" s="89"/>
      <c r="EU91" s="89"/>
      <c r="EV91" s="1"/>
    </row>
    <row r="92" s="33" customFormat="true" ht="12.8" hidden="false" customHeight="false" outlineLevel="0" collapsed="false">
      <c r="A92" s="3"/>
      <c r="B92" s="3"/>
      <c r="C92" s="3"/>
      <c r="D92" s="3"/>
      <c r="E92" s="3"/>
      <c r="F92" s="88"/>
      <c r="G92" s="88"/>
      <c r="H92" s="88"/>
      <c r="I92" s="88"/>
      <c r="J92" s="88"/>
      <c r="K92" s="88"/>
      <c r="L92" s="88"/>
      <c r="M92" s="88"/>
      <c r="N92" s="88"/>
      <c r="O92" s="88"/>
      <c r="P92" s="88"/>
      <c r="Q92" s="88"/>
      <c r="R92" s="88"/>
      <c r="S92" s="3"/>
      <c r="T92" s="3"/>
      <c r="U92" s="3"/>
      <c r="V92" s="3"/>
      <c r="W92" s="3"/>
      <c r="X92" s="3"/>
      <c r="Y92" s="3"/>
      <c r="Z92" s="3"/>
      <c r="AA92" s="3"/>
      <c r="AB92" s="3"/>
      <c r="AC92" s="3"/>
      <c r="AD92" s="3"/>
      <c r="AE92" s="3"/>
      <c r="AF92" s="3"/>
      <c r="AG92" s="1"/>
      <c r="AH92" s="1"/>
      <c r="AI92" s="1"/>
      <c r="AJ92" s="89"/>
      <c r="AK92" s="89"/>
      <c r="AL92" s="89"/>
      <c r="AM92" s="89"/>
      <c r="AN92" s="89"/>
      <c r="AO92" s="89"/>
      <c r="AP92" s="89"/>
      <c r="AQ92" s="89"/>
      <c r="AR92" s="89"/>
      <c r="AS92" s="89"/>
      <c r="AT92" s="89"/>
      <c r="AU92" s="89"/>
      <c r="AV92" s="89"/>
      <c r="AW92" s="89"/>
      <c r="AX92" s="89"/>
      <c r="AY92" s="89"/>
      <c r="AZ92" s="89"/>
      <c r="BA92" s="89"/>
      <c r="BB92" s="89"/>
      <c r="BC92" s="89"/>
      <c r="BD92" s="89"/>
      <c r="BE92" s="89"/>
      <c r="BF92" s="89"/>
      <c r="BG92" s="89"/>
      <c r="BH92" s="89"/>
      <c r="BI92" s="89"/>
      <c r="BJ92" s="89"/>
      <c r="BK92" s="89"/>
      <c r="BL92" s="89"/>
      <c r="BM92" s="89"/>
      <c r="BN92" s="89"/>
      <c r="BO92" s="89"/>
      <c r="BP92" s="89"/>
      <c r="BQ92" s="89"/>
      <c r="BR92" s="89"/>
      <c r="BS92" s="89"/>
      <c r="BT92" s="89"/>
      <c r="BU92" s="89"/>
      <c r="BV92" s="89"/>
      <c r="BW92" s="89"/>
      <c r="BX92" s="89"/>
      <c r="BY92" s="89"/>
      <c r="BZ92" s="89"/>
      <c r="CA92" s="89"/>
      <c r="CB92" s="89"/>
      <c r="CC92" s="89"/>
      <c r="CD92" s="89"/>
      <c r="CE92" s="89"/>
      <c r="CF92" s="89"/>
      <c r="CG92" s="89"/>
      <c r="CH92" s="89"/>
      <c r="CI92" s="89"/>
      <c r="CJ92" s="89"/>
      <c r="CK92" s="89"/>
      <c r="CL92" s="89"/>
      <c r="CM92" s="89"/>
      <c r="CN92" s="89"/>
      <c r="CO92" s="89"/>
      <c r="CP92" s="89"/>
      <c r="CQ92" s="89"/>
      <c r="CR92" s="89"/>
      <c r="CS92" s="89"/>
      <c r="CT92" s="89"/>
      <c r="CU92" s="89"/>
      <c r="CV92" s="89"/>
      <c r="CW92" s="89"/>
      <c r="CX92" s="89"/>
      <c r="CY92" s="89"/>
      <c r="CZ92" s="89"/>
      <c r="DA92" s="89"/>
      <c r="DB92" s="89"/>
      <c r="DC92" s="89"/>
      <c r="DD92" s="89"/>
      <c r="DE92" s="89"/>
      <c r="DF92" s="89"/>
      <c r="DG92" s="89"/>
      <c r="DH92" s="89"/>
      <c r="DI92" s="89"/>
      <c r="DJ92" s="89"/>
      <c r="DK92" s="89"/>
      <c r="DL92" s="89"/>
      <c r="DM92" s="89"/>
      <c r="DN92" s="89"/>
      <c r="DO92" s="89"/>
      <c r="DP92" s="89"/>
      <c r="DQ92" s="89"/>
      <c r="DR92" s="89"/>
      <c r="DS92" s="89"/>
      <c r="DT92" s="89"/>
      <c r="DU92" s="89"/>
      <c r="DV92" s="89"/>
      <c r="DW92" s="89"/>
      <c r="DX92" s="89"/>
      <c r="DY92" s="89"/>
      <c r="DZ92" s="89"/>
      <c r="EA92" s="89"/>
      <c r="EB92" s="89"/>
      <c r="EC92" s="89"/>
      <c r="ED92" s="89"/>
      <c r="EE92" s="89"/>
      <c r="EF92" s="89"/>
      <c r="EG92" s="89"/>
      <c r="EH92" s="89"/>
      <c r="EI92" s="89"/>
      <c r="EJ92" s="89"/>
      <c r="EK92" s="89"/>
      <c r="EL92" s="89"/>
      <c r="EM92" s="89"/>
      <c r="EN92" s="89"/>
      <c r="EO92" s="89"/>
      <c r="EP92" s="89"/>
      <c r="EQ92" s="89"/>
      <c r="ER92" s="89"/>
      <c r="ES92" s="89"/>
      <c r="ET92" s="89"/>
      <c r="EU92" s="89"/>
      <c r="EV92" s="1"/>
    </row>
    <row r="93" s="33" customFormat="true" ht="12.8" hidden="false" customHeight="false" outlineLevel="0" collapsed="false">
      <c r="A93" s="3"/>
      <c r="B93" s="3"/>
      <c r="C93" s="3"/>
      <c r="D93" s="3"/>
      <c r="E93" s="3"/>
      <c r="F93" s="88"/>
      <c r="G93" s="88"/>
      <c r="H93" s="88"/>
      <c r="I93" s="88"/>
      <c r="J93" s="88"/>
      <c r="K93" s="88"/>
      <c r="L93" s="88"/>
      <c r="M93" s="88"/>
      <c r="N93" s="88"/>
      <c r="O93" s="88"/>
      <c r="P93" s="88"/>
      <c r="Q93" s="88"/>
      <c r="R93" s="88"/>
      <c r="S93" s="3"/>
      <c r="T93" s="3"/>
      <c r="U93" s="3"/>
      <c r="V93" s="3"/>
      <c r="W93" s="3"/>
      <c r="X93" s="3"/>
      <c r="Y93" s="3"/>
      <c r="Z93" s="3"/>
      <c r="AA93" s="3"/>
      <c r="AB93" s="3"/>
      <c r="AC93" s="3"/>
      <c r="AD93" s="3"/>
      <c r="AE93" s="3"/>
      <c r="AF93" s="3"/>
      <c r="AG93" s="1"/>
      <c r="AH93" s="1"/>
      <c r="AI93" s="1"/>
      <c r="AJ93" s="89"/>
      <c r="AK93" s="89"/>
      <c r="AL93" s="89"/>
      <c r="AM93" s="89"/>
      <c r="AN93" s="89"/>
      <c r="AO93" s="89"/>
      <c r="AP93" s="89"/>
      <c r="AQ93" s="89"/>
      <c r="AR93" s="89"/>
      <c r="AS93" s="89"/>
      <c r="AT93" s="89"/>
      <c r="AU93" s="89"/>
      <c r="AV93" s="89"/>
      <c r="AW93" s="89"/>
      <c r="AX93" s="89"/>
      <c r="AY93" s="89"/>
      <c r="AZ93" s="89"/>
      <c r="BA93" s="89"/>
      <c r="BB93" s="89"/>
      <c r="BC93" s="89"/>
      <c r="BD93" s="89"/>
      <c r="BE93" s="89"/>
      <c r="BF93" s="89"/>
      <c r="BG93" s="89"/>
      <c r="BH93" s="89"/>
      <c r="BI93" s="89"/>
      <c r="BJ93" s="89"/>
      <c r="BK93" s="89"/>
      <c r="BL93" s="89"/>
      <c r="BM93" s="89"/>
      <c r="BN93" s="89"/>
      <c r="BO93" s="89"/>
      <c r="BP93" s="89"/>
      <c r="BQ93" s="89"/>
      <c r="BR93" s="89"/>
      <c r="BS93" s="89"/>
      <c r="BT93" s="89"/>
      <c r="BU93" s="89"/>
      <c r="BV93" s="89"/>
      <c r="BW93" s="89"/>
      <c r="BX93" s="89"/>
      <c r="BY93" s="89"/>
      <c r="BZ93" s="89"/>
      <c r="CA93" s="89"/>
      <c r="CB93" s="89"/>
      <c r="CC93" s="89"/>
      <c r="CD93" s="89"/>
      <c r="CE93" s="89"/>
      <c r="CF93" s="89"/>
      <c r="CG93" s="89"/>
      <c r="CH93" s="89"/>
      <c r="CI93" s="89"/>
      <c r="CJ93" s="89"/>
      <c r="CK93" s="89"/>
      <c r="CL93" s="89"/>
      <c r="CM93" s="89"/>
      <c r="CN93" s="89"/>
      <c r="CO93" s="89"/>
      <c r="CP93" s="89"/>
      <c r="CQ93" s="89"/>
      <c r="CR93" s="89"/>
      <c r="CS93" s="89"/>
      <c r="CT93" s="89"/>
      <c r="CU93" s="89"/>
      <c r="CV93" s="89"/>
      <c r="CW93" s="89"/>
      <c r="CX93" s="89"/>
      <c r="CY93" s="89"/>
      <c r="CZ93" s="89"/>
      <c r="DA93" s="89"/>
      <c r="DB93" s="89"/>
      <c r="DC93" s="89"/>
      <c r="DD93" s="89"/>
      <c r="DE93" s="89"/>
      <c r="DF93" s="89"/>
      <c r="DG93" s="89"/>
      <c r="DH93" s="89"/>
      <c r="DI93" s="89"/>
      <c r="DJ93" s="89"/>
      <c r="DK93" s="89"/>
      <c r="DL93" s="89"/>
      <c r="DM93" s="89"/>
      <c r="DN93" s="89"/>
      <c r="DO93" s="89"/>
      <c r="DP93" s="89"/>
      <c r="DQ93" s="89"/>
      <c r="DR93" s="89"/>
      <c r="DS93" s="89"/>
      <c r="DT93" s="89"/>
      <c r="DU93" s="89"/>
      <c r="DV93" s="89"/>
      <c r="DW93" s="89"/>
      <c r="DX93" s="89"/>
      <c r="DY93" s="89"/>
      <c r="DZ93" s="89"/>
      <c r="EA93" s="89"/>
      <c r="EB93" s="89"/>
      <c r="EC93" s="89"/>
      <c r="ED93" s="89"/>
      <c r="EE93" s="89"/>
      <c r="EF93" s="89"/>
      <c r="EG93" s="89"/>
      <c r="EH93" s="89"/>
      <c r="EI93" s="89"/>
      <c r="EJ93" s="89"/>
      <c r="EK93" s="89"/>
      <c r="EL93" s="89"/>
      <c r="EM93" s="89"/>
      <c r="EN93" s="89"/>
      <c r="EO93" s="89"/>
      <c r="EP93" s="89"/>
      <c r="EQ93" s="89"/>
      <c r="ER93" s="89"/>
      <c r="ES93" s="89"/>
      <c r="ET93" s="89"/>
      <c r="EU93" s="89"/>
      <c r="EV93" s="1"/>
    </row>
    <row r="94" s="33" customFormat="true" ht="12.8" hidden="false" customHeight="false" outlineLevel="0" collapsed="false">
      <c r="A94" s="74" t="s">
        <v>302</v>
      </c>
      <c r="B94" s="74" t="n">
        <f aca="false">B56/B52</f>
        <v>0.375547125765976</v>
      </c>
      <c r="C94" s="74" t="n">
        <f aca="false">C56/C52</f>
        <v>0.331599157686114</v>
      </c>
      <c r="D94" s="74" t="n">
        <f aca="false">D56/D52</f>
        <v>0.352750809061489</v>
      </c>
      <c r="E94" s="74" t="n">
        <f aca="false">E56/E52</f>
        <v>0.357499709538748</v>
      </c>
      <c r="F94" s="74" t="n">
        <f aca="false">F56/F52</f>
        <v>0.380549590920633</v>
      </c>
      <c r="G94" s="74" t="n">
        <f aca="false">G56/G52</f>
        <v>0.379991237397988</v>
      </c>
      <c r="H94" s="74" t="n">
        <f aca="false">H56/H52</f>
        <v>0.372497034163255</v>
      </c>
      <c r="I94" s="74" t="n">
        <f aca="false">I56/I52</f>
        <v>0.369993338761851</v>
      </c>
      <c r="J94" s="74" t="n">
        <f aca="false">J56/J52</f>
        <v>0.372442345025685</v>
      </c>
      <c r="K94" s="74" t="n">
        <f aca="false">K56/K52</f>
        <v>0.377495867479252</v>
      </c>
      <c r="L94" s="74" t="n">
        <f aca="false">L56/L52</f>
        <v>0.379717262290614</v>
      </c>
      <c r="M94" s="74" t="n">
        <f aca="false">M56/M52</f>
        <v>0.380992006129372</v>
      </c>
      <c r="N94" s="74" t="n">
        <f aca="false">N56/N52</f>
        <v>0.383699157033863</v>
      </c>
      <c r="O94" s="74" t="n">
        <f aca="false">O56/O52</f>
        <v>0.384575683641925</v>
      </c>
      <c r="P94" s="74" t="n">
        <f aca="false">P56/P52</f>
        <v>0.383923751075014</v>
      </c>
      <c r="Q94" s="74" t="n">
        <f aca="false">Q56/Q52</f>
        <v>0.382848392036753</v>
      </c>
      <c r="R94" s="74" t="n">
        <f aca="false">R56/R52</f>
        <v>0.436340225706279</v>
      </c>
      <c r="S94" s="74" t="n">
        <f aca="false">S56/S52</f>
        <v>0.436051018251004</v>
      </c>
      <c r="T94" s="74" t="n">
        <f aca="false">T56/T52</f>
        <v>0.43</v>
      </c>
      <c r="U94" s="74" t="n">
        <f aca="false">U56/U52</f>
        <v>0.43</v>
      </c>
      <c r="V94" s="74"/>
      <c r="W94" s="74"/>
      <c r="X94" s="74"/>
      <c r="Y94" s="74" t="n">
        <f aca="false">Y56/Y52</f>
        <v>0.457128719869937</v>
      </c>
      <c r="Z94" s="74" t="n">
        <f aca="false">Z56/Z52</f>
        <v>0.485704261562342</v>
      </c>
      <c r="AA94" s="74" t="n">
        <f aca="false">AA56/AA52</f>
        <v>0.412684343389399</v>
      </c>
      <c r="AB94" s="74" t="n">
        <f aca="false">AB56/AB52</f>
        <v>0.353650399407876</v>
      </c>
      <c r="AC94" s="74" t="n">
        <f aca="false">AC56/AC52</f>
        <v>0.375558057695868</v>
      </c>
      <c r="AD94" s="74" t="n">
        <f aca="false">AD56/AD52</f>
        <v>0.37783053662077</v>
      </c>
      <c r="AE94" s="74" t="n">
        <f aca="false">AE56/AE52</f>
        <v>0.383725788281386</v>
      </c>
      <c r="AF94" s="74" t="n">
        <f aca="false">AF56/AF52</f>
        <v>0.4</v>
      </c>
      <c r="AG94" s="74" t="n">
        <f aca="false">AG56/AG52</f>
        <v>0.405</v>
      </c>
      <c r="AH94" s="74" t="n">
        <f aca="false">AH56/AH52</f>
        <v>0.41</v>
      </c>
      <c r="AI94" s="74" t="n">
        <f aca="false">AI56/AI52</f>
        <v>0.415</v>
      </c>
      <c r="AJ94" s="74" t="n">
        <f aca="false">AJ56/AJ52</f>
        <v>0.42</v>
      </c>
      <c r="AK94" s="74" t="n">
        <f aca="false">AK56/AK52</f>
        <v>0.435</v>
      </c>
      <c r="AL94" s="74" t="n">
        <f aca="false">AL56/AL52</f>
        <v>0.43</v>
      </c>
      <c r="AM94" s="74" t="n">
        <f aca="false">AM56/AM52</f>
        <v>0.435</v>
      </c>
      <c r="AN94" s="74" t="n">
        <f aca="false">AN56/AN52</f>
        <v>0.44</v>
      </c>
      <c r="AO94" s="74" t="n">
        <f aca="false">AO56/AO52</f>
        <v>0.445</v>
      </c>
      <c r="AP94" s="40"/>
      <c r="AQ94" s="1"/>
      <c r="AR94" s="1"/>
      <c r="AS94" s="1"/>
      <c r="AT94" s="1"/>
      <c r="AU94" s="1"/>
      <c r="AV94" s="1"/>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0"/>
      <c r="BU94" s="40"/>
      <c r="BV94" s="40"/>
      <c r="BW94" s="40"/>
      <c r="BX94" s="40"/>
      <c r="BY94" s="40"/>
      <c r="BZ94" s="40"/>
      <c r="CA94" s="40"/>
      <c r="CB94" s="40"/>
      <c r="CC94" s="40"/>
      <c r="CD94" s="40"/>
      <c r="CE94" s="40"/>
      <c r="CF94" s="40"/>
      <c r="CG94" s="40"/>
      <c r="CH94" s="40"/>
      <c r="CI94" s="40"/>
      <c r="CJ94" s="40"/>
      <c r="CK94" s="40"/>
      <c r="CL94" s="40"/>
      <c r="CM94" s="40"/>
      <c r="CN94" s="40"/>
      <c r="CO94" s="40"/>
      <c r="CP94" s="40"/>
      <c r="CQ94" s="40"/>
      <c r="CR94" s="40"/>
      <c r="CS94" s="40"/>
      <c r="CT94" s="40"/>
      <c r="CU94" s="40"/>
      <c r="CV94" s="40"/>
      <c r="CW94" s="40"/>
      <c r="CX94" s="40"/>
      <c r="CY94" s="40"/>
      <c r="CZ94" s="40"/>
      <c r="DA94" s="40"/>
      <c r="DB94" s="40"/>
      <c r="DC94" s="40"/>
      <c r="DD94" s="40"/>
      <c r="DE94" s="40"/>
      <c r="DF94" s="40"/>
      <c r="DG94" s="40"/>
      <c r="DH94" s="40"/>
      <c r="DI94" s="40"/>
      <c r="DJ94" s="40"/>
      <c r="DK94" s="40"/>
      <c r="DL94" s="40"/>
      <c r="DM94" s="40"/>
      <c r="DN94" s="40"/>
      <c r="DO94" s="40"/>
      <c r="DP94" s="40"/>
      <c r="DQ94" s="40"/>
      <c r="DR94" s="40"/>
      <c r="DS94" s="40"/>
      <c r="DT94" s="40"/>
      <c r="DU94" s="40"/>
      <c r="DV94" s="40"/>
      <c r="DW94" s="40"/>
      <c r="DX94" s="40"/>
      <c r="DY94" s="40"/>
      <c r="DZ94" s="40"/>
      <c r="EA94" s="40"/>
      <c r="EB94" s="40"/>
      <c r="EC94" s="40"/>
      <c r="ED94" s="40"/>
      <c r="EE94" s="40"/>
      <c r="EF94" s="40"/>
      <c r="EG94" s="40"/>
      <c r="EH94" s="40"/>
      <c r="EI94" s="40"/>
      <c r="EJ94" s="40"/>
      <c r="EK94" s="40"/>
      <c r="EL94" s="40"/>
      <c r="EM94" s="40"/>
      <c r="EN94" s="40"/>
      <c r="EO94" s="40"/>
      <c r="EP94" s="40"/>
      <c r="EQ94" s="40"/>
      <c r="ER94" s="40"/>
      <c r="ES94" s="40"/>
      <c r="ET94" s="40"/>
      <c r="EU94" s="40"/>
      <c r="EV94" s="1"/>
    </row>
    <row r="95" s="33" customFormat="true" ht="12.8" hidden="false" customHeight="false" outlineLevel="0" collapsed="false">
      <c r="A95" s="74" t="s">
        <v>303</v>
      </c>
      <c r="B95" s="74" t="n">
        <f aca="false">B68/B52</f>
        <v>-0.0703238984534578</v>
      </c>
      <c r="C95" s="74" t="n">
        <f aca="false">C68/C52</f>
        <v>-0.0883190883190883</v>
      </c>
      <c r="D95" s="74" t="n">
        <f aca="false">D68/D52</f>
        <v>-0.0593311758360302</v>
      </c>
      <c r="E95" s="74" t="n">
        <f aca="false">E68/E52</f>
        <v>-0.0164981991402347</v>
      </c>
      <c r="F95" s="74" t="n">
        <f aca="false">F68/F52</f>
        <v>-0.0295841504731162</v>
      </c>
      <c r="G95" s="74" t="n">
        <f aca="false">G68/G52</f>
        <v>0.0353734016759898</v>
      </c>
      <c r="H95" s="74" t="n">
        <f aca="false">H68/H52</f>
        <v>0.0424418813213244</v>
      </c>
      <c r="I95" s="74" t="n">
        <f aca="false">I68/I52</f>
        <v>0.0656578525662982</v>
      </c>
      <c r="J95" s="74" t="n">
        <f aca="false">J68/J52</f>
        <v>0.0170105873090281</v>
      </c>
      <c r="K95" s="74" t="n">
        <f aca="false">K68/K52</f>
        <v>0.0744211186780539</v>
      </c>
      <c r="L95" s="74" t="n">
        <f aca="false">L68/L52</f>
        <v>0.0948698436912166</v>
      </c>
      <c r="M95" s="74" t="n">
        <f aca="false">M68/M52</f>
        <v>0.0644224715090566</v>
      </c>
      <c r="N95" s="74" t="n">
        <f aca="false">N68/N52</f>
        <v>0.106502506082436</v>
      </c>
      <c r="O95" s="74" t="n">
        <f aca="false">O68/O52</f>
        <v>0.114645804324839</v>
      </c>
      <c r="P95" s="74" t="n">
        <f aca="false">P68/P52</f>
        <v>0.0826797662746441</v>
      </c>
      <c r="Q95" s="74" t="n">
        <f aca="false">Q68/Q52</f>
        <v>0.123486008631491</v>
      </c>
      <c r="R95" s="74" t="n">
        <f aca="false">R68/R52</f>
        <v>0.145648716200863</v>
      </c>
      <c r="S95" s="74" t="n">
        <f aca="false">S68/S52</f>
        <v>0.133183003311958</v>
      </c>
      <c r="T95" s="74" t="n">
        <f aca="false">T68/T52</f>
        <v>0.110861068111415</v>
      </c>
      <c r="U95" s="74" t="n">
        <f aca="false">U68/U52</f>
        <v>0.100903522205207</v>
      </c>
      <c r="V95" s="74"/>
      <c r="W95" s="74"/>
      <c r="X95" s="74"/>
      <c r="Y95" s="74" t="n">
        <f aca="false">Y68/Y52</f>
        <v>-0.607619990103909</v>
      </c>
      <c r="Z95" s="74" t="n">
        <f aca="false">Z68/Z52</f>
        <v>-0.436509060303614</v>
      </c>
      <c r="AA95" s="74" t="n">
        <f aca="false">AA68/AA52</f>
        <v>-0.219483372045555</v>
      </c>
      <c r="AB95" s="74" t="n">
        <f aca="false">AB68/AB52</f>
        <v>-0.0573521637561827</v>
      </c>
      <c r="AC95" s="74" t="n">
        <f aca="false">AC68/AC52</f>
        <v>0.0297813790772006</v>
      </c>
      <c r="AD95" s="74" t="n">
        <f aca="false">AD68/AD52</f>
        <v>0.0636533757585953</v>
      </c>
      <c r="AE95" s="74" t="n">
        <f aca="false">AE68/AE52</f>
        <v>0.106991618593348</v>
      </c>
      <c r="AF95" s="74" t="n">
        <f aca="false">AF68/AF52</f>
        <v>0.13</v>
      </c>
      <c r="AG95" s="74" t="n">
        <f aca="false">AG68/AG52</f>
        <v>0.134999999999999</v>
      </c>
      <c r="AH95" s="74" t="n">
        <f aca="false">AH68/AH52</f>
        <v>0.15</v>
      </c>
      <c r="AI95" s="74" t="n">
        <f aca="false">AI68/AI52</f>
        <v>0.165</v>
      </c>
      <c r="AJ95" s="74" t="n">
        <f aca="false">AJ68/AJ52</f>
        <v>0.179999999999998</v>
      </c>
      <c r="AK95" s="74" t="n">
        <f aca="false">AK68/AK52</f>
        <v>0.194999999999999</v>
      </c>
      <c r="AL95" s="74" t="n">
        <f aca="false">AL68/AL52</f>
        <v>0.199999999999999</v>
      </c>
      <c r="AM95" s="74" t="n">
        <f aca="false">AM68/AM52</f>
        <v>0.204999999999999</v>
      </c>
      <c r="AN95" s="74" t="n">
        <f aca="false">AN68/AN52</f>
        <v>0.210000000000002</v>
      </c>
      <c r="AO95" s="74" t="n">
        <f aca="false">AO68/AO52</f>
        <v>0.214999999999999</v>
      </c>
      <c r="AP95" s="40"/>
      <c r="AQ95" s="1"/>
      <c r="AR95" s="1"/>
      <c r="AS95" s="1"/>
      <c r="AT95" s="1"/>
      <c r="AU95" s="1"/>
      <c r="AV95" s="1"/>
      <c r="AW95" s="40"/>
      <c r="AX95" s="40"/>
      <c r="AY95" s="40"/>
      <c r="AZ95" s="40"/>
      <c r="BA95" s="40"/>
      <c r="BB95" s="40"/>
      <c r="BC95" s="40"/>
      <c r="BD95" s="40"/>
      <c r="BE95" s="40"/>
      <c r="BF95" s="40"/>
      <c r="BG95" s="40"/>
      <c r="BH95" s="40"/>
      <c r="BI95" s="40"/>
      <c r="BJ95" s="40"/>
      <c r="BK95" s="40"/>
      <c r="BL95" s="40"/>
      <c r="BM95" s="40"/>
      <c r="BN95" s="40"/>
      <c r="BO95" s="40"/>
      <c r="BP95" s="40"/>
      <c r="BQ95" s="40"/>
      <c r="BR95" s="40"/>
      <c r="BS95" s="40"/>
      <c r="BT95" s="40"/>
      <c r="BU95" s="40"/>
      <c r="BV95" s="40"/>
      <c r="BW95" s="40"/>
      <c r="BX95" s="40"/>
      <c r="BY95" s="40"/>
      <c r="BZ95" s="40"/>
      <c r="CA95" s="40"/>
      <c r="CB95" s="40"/>
      <c r="CC95" s="40"/>
      <c r="CD95" s="40"/>
      <c r="CE95" s="40"/>
      <c r="CF95" s="40"/>
      <c r="CG95" s="40"/>
      <c r="CH95" s="40"/>
      <c r="CI95" s="40"/>
      <c r="CJ95" s="40"/>
      <c r="CK95" s="40"/>
      <c r="CL95" s="40"/>
      <c r="CM95" s="40"/>
      <c r="CN95" s="40"/>
      <c r="CO95" s="40"/>
      <c r="CP95" s="40"/>
      <c r="CQ95" s="40"/>
      <c r="CR95" s="40"/>
      <c r="CS95" s="40"/>
      <c r="CT95" s="40"/>
      <c r="CU95" s="40"/>
      <c r="CV95" s="40"/>
      <c r="CW95" s="40"/>
      <c r="CX95" s="40"/>
      <c r="CY95" s="40"/>
      <c r="CZ95" s="40"/>
      <c r="DA95" s="40"/>
      <c r="DB95" s="40"/>
      <c r="DC95" s="40"/>
      <c r="DD95" s="40"/>
      <c r="DE95" s="40"/>
      <c r="DF95" s="40"/>
      <c r="DG95" s="40"/>
      <c r="DH95" s="40"/>
      <c r="DI95" s="40"/>
      <c r="DJ95" s="40"/>
      <c r="DK95" s="40"/>
      <c r="DL95" s="40"/>
      <c r="DM95" s="40"/>
      <c r="DN95" s="40"/>
      <c r="DO95" s="40"/>
      <c r="DP95" s="40"/>
      <c r="DQ95" s="40"/>
      <c r="DR95" s="40"/>
      <c r="DS95" s="40"/>
      <c r="DT95" s="40"/>
      <c r="DU95" s="40"/>
      <c r="DV95" s="40"/>
      <c r="DW95" s="40"/>
      <c r="DX95" s="40"/>
      <c r="DY95" s="40"/>
      <c r="DZ95" s="40"/>
      <c r="EA95" s="40"/>
      <c r="EB95" s="40"/>
      <c r="EC95" s="40"/>
      <c r="ED95" s="40"/>
      <c r="EE95" s="40"/>
      <c r="EF95" s="40"/>
      <c r="EG95" s="40"/>
      <c r="EH95" s="40"/>
      <c r="EI95" s="40"/>
      <c r="EJ95" s="40"/>
      <c r="EK95" s="40"/>
      <c r="EL95" s="40"/>
      <c r="EM95" s="40"/>
      <c r="EN95" s="40"/>
      <c r="EO95" s="40"/>
      <c r="EP95" s="40"/>
      <c r="EQ95" s="40"/>
      <c r="ER95" s="40"/>
      <c r="ES95" s="40"/>
      <c r="ET95" s="40"/>
      <c r="EU95" s="40"/>
      <c r="EV95" s="1"/>
    </row>
    <row r="96" s="33" customFormat="true" ht="12.8" hidden="false" customHeight="false" outlineLevel="0" collapsed="false">
      <c r="A96" s="74" t="s">
        <v>304</v>
      </c>
      <c r="B96" s="74" t="n">
        <f aca="false">+B84/B52</f>
        <v>-0.865188211263496</v>
      </c>
      <c r="C96" s="74" t="n">
        <f aca="false">+C84/C52</f>
        <v>-0.322185061315496</v>
      </c>
      <c r="D96" s="74" t="n">
        <f aca="false">+D84/D52</f>
        <v>-0.144552319309601</v>
      </c>
      <c r="E96" s="74" t="n">
        <f aca="false">+E84/E52</f>
        <v>0.0691297780876031</v>
      </c>
      <c r="F96" s="74" t="n">
        <f aca="false">+F84/F52</f>
        <v>-0.0176847189046322</v>
      </c>
      <c r="G96" s="74" t="n">
        <f aca="false">+G84/G52</f>
        <v>0.042740271474511</v>
      </c>
      <c r="H96" s="74" t="n">
        <f aca="false">+H84/H52</f>
        <v>0.0238244892634</v>
      </c>
      <c r="I96" s="74" t="n">
        <f aca="false">+I84/I52</f>
        <v>0.143855164991544</v>
      </c>
      <c r="J96" s="74" t="n">
        <f aca="false">+J84/J52</f>
        <v>-0.0645186078795194</v>
      </c>
      <c r="K96" s="74" t="n">
        <f aca="false">+K84/K52</f>
        <v>0.0948877760901608</v>
      </c>
      <c r="L96" s="74" t="n">
        <f aca="false">+L84/L52</f>
        <v>0.233494991556816</v>
      </c>
      <c r="M96" s="74" t="n">
        <f aca="false">+M84/M52</f>
        <v>0.575566043916345</v>
      </c>
      <c r="N96" s="74" t="n">
        <f aca="false">+N84/N52</f>
        <v>0.154016977374705</v>
      </c>
      <c r="O96" s="74" t="n">
        <f aca="false">+O84/O52</f>
        <v>0.107136774007087</v>
      </c>
      <c r="P96" s="74" t="n">
        <f aca="false">+P84/P52</f>
        <v>0.492035962529127</v>
      </c>
      <c r="Q96" s="74" t="n">
        <f aca="false">+Q84/Q52</f>
        <v>0.0206042043714325</v>
      </c>
      <c r="R96" s="74" t="n">
        <f aca="false">+R84/R52</f>
        <v>0.0199197152162387</v>
      </c>
      <c r="S96" s="74" t="n">
        <f aca="false">+S84/S52</f>
        <v>0.168698470861814</v>
      </c>
      <c r="T96" s="74" t="n">
        <f aca="false">+T84/T52</f>
        <v>0.186082403503805</v>
      </c>
      <c r="U96" s="74" t="n">
        <f aca="false">+U84/U52</f>
        <v>0.171117147367811</v>
      </c>
      <c r="V96" s="74"/>
      <c r="W96" s="74"/>
      <c r="X96" s="74"/>
      <c r="Y96" s="74" t="n">
        <f aca="false">+Y84/Y52</f>
        <v>-0.601258217289885</v>
      </c>
      <c r="Z96" s="74" t="n">
        <f aca="false">+Z84/Z52</f>
        <v>-0.607522043673092</v>
      </c>
      <c r="AA96" s="74" t="n">
        <f aca="false">+AA84/AA52</f>
        <v>-0.0282749782324092</v>
      </c>
      <c r="AB96" s="74" t="n">
        <f aca="false">+AB84/AB52</f>
        <v>-0.286613991899822</v>
      </c>
      <c r="AC96" s="74" t="n">
        <f aca="false">+AC84/AC52</f>
        <v>0.0506229335948257</v>
      </c>
      <c r="AD96" s="74" t="n">
        <f aca="false">+AD84/AD52</f>
        <v>0.22411861598472</v>
      </c>
      <c r="AE96" s="74" t="n">
        <f aca="false">+AE84/AE52</f>
        <v>0.19327039272047</v>
      </c>
      <c r="AF96" s="74" t="n">
        <f aca="false">+AF84/AF52</f>
        <v>0.174520990095362</v>
      </c>
      <c r="AG96" s="74" t="n">
        <f aca="false">+AG84/AG52</f>
        <v>0.143572394746307</v>
      </c>
      <c r="AH96" s="74" t="n">
        <f aca="false">+AH84/AH52</f>
        <v>0.149673878972731</v>
      </c>
      <c r="AI96" s="74" t="n">
        <f aca="false">+AI84/AI52</f>
        <v>0.165136257445006</v>
      </c>
      <c r="AJ96" s="74" t="n">
        <f aca="false">+AJ84/AJ52</f>
        <v>0.173098759545361</v>
      </c>
      <c r="AK96" s="74" t="n">
        <f aca="false">+AK84/AK52</f>
        <v>0.186764629790746</v>
      </c>
      <c r="AL96" s="74" t="n">
        <f aca="false">+AL84/AL52</f>
        <v>0.192021534822217</v>
      </c>
      <c r="AM96" s="74" t="n">
        <f aca="false">+AM84/AM52</f>
        <v>0.181566065220938</v>
      </c>
      <c r="AN96" s="74" t="n">
        <f aca="false">+AN84/AN52</f>
        <v>0.186442452490518</v>
      </c>
      <c r="AO96" s="74" t="n">
        <f aca="false">+AO84/AO52</f>
        <v>0.191477756118513</v>
      </c>
      <c r="AP96" s="40"/>
      <c r="AQ96" s="1"/>
      <c r="AR96" s="1"/>
      <c r="AS96" s="1"/>
      <c r="AT96" s="1"/>
      <c r="AU96" s="1"/>
      <c r="AV96" s="1"/>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0"/>
      <c r="CI96" s="40"/>
      <c r="CJ96" s="40"/>
      <c r="CK96" s="40"/>
      <c r="CL96" s="40"/>
      <c r="CM96" s="40"/>
      <c r="CN96" s="40"/>
      <c r="CO96" s="40"/>
      <c r="CP96" s="40"/>
      <c r="CQ96" s="40"/>
      <c r="CR96" s="40"/>
      <c r="CS96" s="40"/>
      <c r="CT96" s="40"/>
      <c r="CU96" s="40"/>
      <c r="CV96" s="40"/>
      <c r="CW96" s="40"/>
      <c r="CX96" s="40"/>
      <c r="CY96" s="40"/>
      <c r="CZ96" s="40"/>
      <c r="DA96" s="40"/>
      <c r="DB96" s="40"/>
      <c r="DC96" s="40"/>
      <c r="DD96" s="40"/>
      <c r="DE96" s="40"/>
      <c r="DF96" s="40"/>
      <c r="DG96" s="40"/>
      <c r="DH96" s="40"/>
      <c r="DI96" s="40"/>
      <c r="DJ96" s="40"/>
      <c r="DK96" s="40"/>
      <c r="DL96" s="40"/>
      <c r="DM96" s="40"/>
      <c r="DN96" s="40"/>
      <c r="DO96" s="40"/>
      <c r="DP96" s="40"/>
      <c r="DQ96" s="40"/>
      <c r="DR96" s="40"/>
      <c r="DS96" s="40"/>
      <c r="DT96" s="40"/>
      <c r="DU96" s="40"/>
      <c r="DV96" s="40"/>
      <c r="DW96" s="40"/>
      <c r="DX96" s="40"/>
      <c r="DY96" s="40"/>
      <c r="DZ96" s="40"/>
      <c r="EA96" s="40"/>
      <c r="EB96" s="40"/>
      <c r="EC96" s="40"/>
      <c r="ED96" s="40"/>
      <c r="EE96" s="40"/>
      <c r="EF96" s="40"/>
      <c r="EG96" s="40"/>
      <c r="EH96" s="40"/>
      <c r="EI96" s="40"/>
      <c r="EJ96" s="40"/>
      <c r="EK96" s="40"/>
      <c r="EL96" s="40"/>
      <c r="EM96" s="40"/>
      <c r="EN96" s="40"/>
      <c r="EO96" s="40"/>
      <c r="EP96" s="40"/>
      <c r="EQ96" s="40"/>
      <c r="ER96" s="40"/>
      <c r="ES96" s="40"/>
      <c r="ET96" s="40"/>
      <c r="EU96" s="40"/>
      <c r="EV96" s="1"/>
    </row>
    <row r="97" s="33" customFormat="true" ht="12.8" hidden="false" customHeight="false" outlineLevel="0" collapsed="false">
      <c r="A97" s="74" t="s">
        <v>305</v>
      </c>
      <c r="B97" s="74" t="n">
        <f aca="false">B76/B74</f>
        <v>0.0376134889753567</v>
      </c>
      <c r="C97" s="74" t="n">
        <f aca="false">C76/C74</f>
        <v>-0.0301251956181534</v>
      </c>
      <c r="D97" s="74" t="n">
        <f aca="false">D76/D74</f>
        <v>-0.0493197278911565</v>
      </c>
      <c r="E97" s="74" t="n">
        <f aca="false">E76/E74</f>
        <v>-0.177215189873418</v>
      </c>
      <c r="F97" s="74" t="n">
        <f aca="false">F76/F74</f>
        <v>-0.401316049743029</v>
      </c>
      <c r="G97" s="74" t="n">
        <f aca="false">G76/G74</f>
        <v>0.14269572284875</v>
      </c>
      <c r="H97" s="74" t="n">
        <f aca="false">H76/H74</f>
        <v>-0.226774906048101</v>
      </c>
      <c r="I97" s="74" t="n">
        <f aca="false">I76/I74</f>
        <v>0.072741080107701</v>
      </c>
      <c r="J97" s="74" t="n">
        <f aca="false">J76/J74</f>
        <v>-0.0460566052220303</v>
      </c>
      <c r="K97" s="74" t="n">
        <f aca="false">K76/K74</f>
        <v>0.0529085514846832</v>
      </c>
      <c r="L97" s="74" t="n">
        <f aca="false">L76/L74</f>
        <v>0.0570511186124016</v>
      </c>
      <c r="M97" s="74" t="n">
        <f aca="false">M76/M74</f>
        <v>-6.59953633112418</v>
      </c>
      <c r="N97" s="74" t="n">
        <f aca="false">N76/N74</f>
        <v>-0.290183906661923</v>
      </c>
      <c r="O97" s="74" t="n">
        <f aca="false">O76/O74</f>
        <v>0.0943876690274552</v>
      </c>
      <c r="P97" s="74" t="n">
        <f aca="false">P76/P74</f>
        <v>-1.54398673856166</v>
      </c>
      <c r="Q97" s="74" t="n">
        <f aca="false">Q76/Q74</f>
        <v>-0.13745704467354</v>
      </c>
      <c r="R97" s="90" t="n">
        <f aca="false">R76/R74</f>
        <v>0.391129032258065</v>
      </c>
      <c r="S97" s="74" t="n">
        <f aca="false">S76/S74</f>
        <v>0.256332010985658</v>
      </c>
      <c r="T97" s="74"/>
      <c r="U97" s="74"/>
      <c r="V97" s="74"/>
      <c r="W97" s="74"/>
      <c r="X97" s="74"/>
      <c r="Y97" s="74" t="n">
        <f aca="false">Y76/Y74</f>
        <v>-0.00533617929562433</v>
      </c>
      <c r="Z97" s="74" t="n">
        <f aca="false">Z76/Z74</f>
        <v>0.027643818431663</v>
      </c>
      <c r="AA97" s="74" t="n">
        <f aca="false">AA76/AA74</f>
        <v>0.481123060505963</v>
      </c>
      <c r="AB97" s="74" t="n">
        <f aca="false">AB76/AB74</f>
        <v>0.0192095019700401</v>
      </c>
      <c r="AC97" s="74" t="n">
        <f aca="false">AC76/AC74</f>
        <v>0.0917593955954187</v>
      </c>
      <c r="AD97" s="74" t="n">
        <f aca="false">AD76/AD74</f>
        <v>-1.39575297481872</v>
      </c>
      <c r="AE97" s="74" t="n">
        <f aca="false">AE76/AE74</f>
        <v>-0.749254936825349</v>
      </c>
      <c r="AF97" s="74" t="n">
        <f aca="false">AF76/AF74</f>
        <v>-0.2</v>
      </c>
      <c r="AG97" s="74" t="n">
        <f aca="false">AG76/AG74</f>
        <v>0.05</v>
      </c>
      <c r="AH97" s="74" t="n">
        <f aca="false">AH76/AH74</f>
        <v>0.1</v>
      </c>
      <c r="AI97" s="74" t="n">
        <f aca="false">AI76/AI74</f>
        <v>0.1</v>
      </c>
      <c r="AJ97" s="74" t="n">
        <f aca="false">AJ76/AJ74</f>
        <v>0.13</v>
      </c>
      <c r="AK97" s="74" t="n">
        <f aca="false">AK76/AK74</f>
        <v>0.13</v>
      </c>
      <c r="AL97" s="74" t="n">
        <f aca="false">AL76/AL74</f>
        <v>0.13</v>
      </c>
      <c r="AM97" s="74" t="n">
        <f aca="false">AM76/AM74</f>
        <v>0.2</v>
      </c>
      <c r="AN97" s="74" t="n">
        <f aca="false">AN76/AN74</f>
        <v>0.2</v>
      </c>
      <c r="AO97" s="74" t="n">
        <f aca="false">AO76/AO74</f>
        <v>0.2</v>
      </c>
      <c r="AP97" s="40"/>
      <c r="AQ97" s="1"/>
      <c r="AR97" s="1"/>
      <c r="AS97" s="1"/>
      <c r="AT97" s="1"/>
      <c r="AU97" s="91"/>
      <c r="AV97" s="1"/>
      <c r="AW97" s="40"/>
      <c r="AX97" s="40"/>
      <c r="AY97" s="40"/>
      <c r="AZ97" s="40"/>
      <c r="BA97" s="40"/>
      <c r="BB97" s="40"/>
      <c r="BC97" s="40"/>
      <c r="BD97" s="40"/>
      <c r="BE97" s="40"/>
      <c r="BF97" s="40"/>
      <c r="BG97" s="40"/>
      <c r="BH97" s="40"/>
      <c r="BI97" s="40"/>
      <c r="BJ97" s="40"/>
      <c r="BK97" s="40"/>
      <c r="BL97" s="40"/>
      <c r="BM97" s="40"/>
      <c r="BN97" s="40"/>
      <c r="BO97" s="40"/>
      <c r="BP97" s="40"/>
      <c r="BQ97" s="40"/>
      <c r="BR97" s="40"/>
      <c r="BS97" s="40"/>
      <c r="BT97" s="40"/>
      <c r="BU97" s="40"/>
      <c r="BV97" s="40"/>
      <c r="BW97" s="40"/>
      <c r="BX97" s="40"/>
      <c r="BY97" s="40"/>
      <c r="BZ97" s="40"/>
      <c r="CA97" s="40"/>
      <c r="CB97" s="40"/>
      <c r="CC97" s="40"/>
      <c r="CD97" s="40"/>
      <c r="CE97" s="40"/>
      <c r="CF97" s="40"/>
      <c r="CG97" s="40"/>
      <c r="CH97" s="40"/>
      <c r="CI97" s="40"/>
      <c r="CJ97" s="40"/>
      <c r="CK97" s="40"/>
      <c r="CL97" s="40"/>
      <c r="CM97" s="40"/>
      <c r="CN97" s="40"/>
      <c r="CO97" s="40"/>
      <c r="CP97" s="40"/>
      <c r="CQ97" s="40"/>
      <c r="CR97" s="40"/>
      <c r="CS97" s="40"/>
      <c r="CT97" s="40"/>
      <c r="CU97" s="40"/>
      <c r="CV97" s="40"/>
      <c r="CW97" s="40"/>
      <c r="CX97" s="40"/>
      <c r="CY97" s="40"/>
      <c r="CZ97" s="40"/>
      <c r="DA97" s="40"/>
      <c r="DB97" s="40"/>
      <c r="DC97" s="40"/>
      <c r="DD97" s="40"/>
      <c r="DE97" s="40"/>
      <c r="DF97" s="40"/>
      <c r="DG97" s="40"/>
      <c r="DH97" s="40"/>
      <c r="DI97" s="40"/>
      <c r="DJ97" s="40"/>
      <c r="DK97" s="40"/>
      <c r="DL97" s="40"/>
      <c r="DM97" s="40"/>
      <c r="DN97" s="40"/>
      <c r="DO97" s="40"/>
      <c r="DP97" s="40"/>
      <c r="DQ97" s="40"/>
      <c r="DR97" s="40"/>
      <c r="DS97" s="40"/>
      <c r="DT97" s="40"/>
      <c r="DU97" s="40"/>
      <c r="DV97" s="40"/>
      <c r="DW97" s="40"/>
      <c r="DX97" s="40"/>
      <c r="DY97" s="40"/>
      <c r="DZ97" s="40"/>
      <c r="EA97" s="40"/>
      <c r="EB97" s="40"/>
      <c r="EC97" s="40"/>
      <c r="ED97" s="40"/>
      <c r="EE97" s="40"/>
      <c r="EF97" s="40"/>
      <c r="EG97" s="40"/>
      <c r="EH97" s="40"/>
      <c r="EI97" s="40"/>
      <c r="EJ97" s="40"/>
      <c r="EK97" s="40"/>
      <c r="EL97" s="40"/>
      <c r="EM97" s="40"/>
      <c r="EN97" s="40"/>
      <c r="EO97" s="40"/>
      <c r="EP97" s="40"/>
      <c r="EQ97" s="40"/>
      <c r="ER97" s="40"/>
      <c r="ES97" s="40"/>
      <c r="ET97" s="40"/>
      <c r="EU97" s="40"/>
      <c r="EV97" s="1"/>
    </row>
    <row r="98" s="33" customFormat="true" ht="12.8" hidden="false" customHeight="false" outlineLevel="0" collapsed="false">
      <c r="A98" s="74" t="s">
        <v>306</v>
      </c>
      <c r="B98" s="74"/>
      <c r="C98" s="74"/>
      <c r="D98" s="74"/>
      <c r="E98" s="74"/>
      <c r="F98" s="74" t="n">
        <f aca="false">(F68-B68)/(F52-B52)</f>
        <v>0.112160616589242</v>
      </c>
      <c r="G98" s="74" t="n">
        <f aca="false">(G68-C68)/(G52-C52)</f>
        <v>0.898057450535661</v>
      </c>
      <c r="H98" s="74" t="n">
        <f aca="false">(H68-D68)/(H52-D52)</f>
        <v>0.936801282819651</v>
      </c>
      <c r="I98" s="74" t="n">
        <f aca="false">(I68-E68)/(I52-E52)</f>
        <v>0.597563680613089</v>
      </c>
      <c r="J98" s="74" t="n">
        <f aca="false">(J68-F68)/(J52-F52)</f>
        <v>0.331492073745776</v>
      </c>
      <c r="K98" s="74" t="n">
        <f aca="false">(K68-G68)/(K52-G52)</f>
        <v>0.319642669242081</v>
      </c>
      <c r="L98" s="74" t="n">
        <f aca="false">(L68-H68)/(L52-H52)</f>
        <v>0.351813684945133</v>
      </c>
      <c r="M98" s="74" t="n">
        <f aca="false">(M68-I68)/(M52-I52)</f>
        <v>0.0583547945781535</v>
      </c>
      <c r="N98" s="74" t="n">
        <f aca="false">(N68-J68)/(N52-J52)</f>
        <v>0.753207646361396</v>
      </c>
      <c r="O98" s="74" t="n">
        <f aca="false">(O68-K68)/(O52-K52)</f>
        <v>0.335247885375648</v>
      </c>
      <c r="P98" s="74" t="n">
        <f aca="false">(P68-L68)/(P52-L52)</f>
        <v>0.0228353302692064</v>
      </c>
      <c r="Q98" s="74" t="n">
        <f aca="false">(Q68-M68)/(Q52-M52)</f>
        <v>0.417005852500543</v>
      </c>
      <c r="R98" s="74" t="n">
        <f aca="false">(R68-N68)/(R52-N52)</f>
        <v>0.416052841966798</v>
      </c>
      <c r="S98" s="74" t="n">
        <f aca="false">(S68-O68)/(S52-O52)</f>
        <v>0.285513021058889</v>
      </c>
      <c r="T98" s="74"/>
      <c r="U98" s="74"/>
      <c r="V98" s="74"/>
      <c r="W98" s="74"/>
      <c r="X98" s="74"/>
      <c r="Y98" s="74"/>
      <c r="Z98" s="74" t="n">
        <f aca="false">(Z68-Y68)/(Z52-Y52)</f>
        <v>-1.2414003078175</v>
      </c>
      <c r="AA98" s="74" t="n">
        <f aca="false">(AA68-Z68)/(AA52-Z52)</f>
        <v>0.163169652112308</v>
      </c>
      <c r="AB98" s="74" t="n">
        <f aca="false">(AB68-AA68)/(AB52-AA52)</f>
        <v>0.138886581830088</v>
      </c>
      <c r="AC98" s="74" t="n">
        <f aca="false">(AC68-AB68)/(AC52-AB52)</f>
        <v>0.544133877560966</v>
      </c>
      <c r="AD98" s="74" t="n">
        <f aca="false">(AD68-AC68)/(AD52-AC52)</f>
        <v>0.2522118192651</v>
      </c>
      <c r="AE98" s="74" t="n">
        <f aca="false">(AE68-AD68)/(AE52-AD52)</f>
        <v>0.344077303765554</v>
      </c>
      <c r="AF98" s="74" t="n">
        <f aca="false">(AF68-AE68)/(AF52-AE52)</f>
        <v>0.321736511722099</v>
      </c>
      <c r="AG98" s="74" t="n">
        <f aca="false">(AG68-AF68)/(AG52-AF52)</f>
        <v>0.168333333333326</v>
      </c>
      <c r="AH98" s="74" t="n">
        <f aca="false">(AH68-AG68)/(AH52-AG52)</f>
        <v>0.243750000000006</v>
      </c>
      <c r="AI98" s="74" t="n">
        <f aca="false">(AI68-AH68)/(AI52-AH52)</f>
        <v>0.258750000000002</v>
      </c>
      <c r="AJ98" s="74" t="n">
        <f aca="false">(AJ68-AI68)/(AJ52-AI52)</f>
        <v>0.279999999999979</v>
      </c>
      <c r="AK98" s="74" t="n">
        <f aca="false">(AK68-AJ68)/(AK52-AJ52)</f>
        <v>0.30214285714286</v>
      </c>
      <c r="AL98" s="74" t="n">
        <f aca="false">(AL68-AK68)/(AL52-AK52)</f>
        <v>0.238461538461539</v>
      </c>
      <c r="AM98" s="74" t="n">
        <f aca="false">(AM68-AL68)/(AM52-AL52)</f>
        <v>0.246666666666672</v>
      </c>
      <c r="AN98" s="74" t="n">
        <f aca="false">(AN68-AM68)/(AN52-AM52)</f>
        <v>0.255454545454569</v>
      </c>
      <c r="AO98" s="74" t="n">
        <f aca="false">(AO68-AN68)/(AO52-AN52)</f>
        <v>0.264999999999973</v>
      </c>
      <c r="AP98" s="92"/>
      <c r="AQ98" s="37"/>
      <c r="AR98" s="93" t="s">
        <v>307</v>
      </c>
      <c r="AS98" s="94" t="n">
        <v>-0.01</v>
      </c>
      <c r="AT98" s="95"/>
      <c r="AU98" s="96"/>
      <c r="AV98" s="96"/>
      <c r="AW98" s="97"/>
      <c r="AX98" s="92"/>
      <c r="AY98" s="92"/>
      <c r="AZ98" s="92"/>
      <c r="BA98" s="92"/>
      <c r="BB98" s="92"/>
      <c r="BC98" s="92"/>
      <c r="BD98" s="92"/>
      <c r="BE98" s="92"/>
      <c r="BF98" s="92"/>
      <c r="BG98" s="92"/>
      <c r="BH98" s="92"/>
      <c r="BI98" s="92"/>
      <c r="BJ98" s="92"/>
      <c r="BK98" s="92"/>
      <c r="BL98" s="92"/>
      <c r="BM98" s="92"/>
      <c r="BN98" s="92"/>
      <c r="BO98" s="92"/>
      <c r="BP98" s="92"/>
      <c r="BQ98" s="92"/>
      <c r="BR98" s="92"/>
      <c r="BS98" s="92"/>
      <c r="BT98" s="92"/>
      <c r="BU98" s="92"/>
      <c r="BV98" s="92"/>
      <c r="BW98" s="92"/>
      <c r="BX98" s="92"/>
      <c r="BY98" s="92"/>
      <c r="BZ98" s="92"/>
      <c r="CA98" s="92"/>
      <c r="CB98" s="92"/>
      <c r="CC98" s="92"/>
      <c r="CD98" s="92"/>
      <c r="CE98" s="92"/>
      <c r="CF98" s="92"/>
      <c r="CG98" s="92"/>
      <c r="CH98" s="92"/>
      <c r="CI98" s="92"/>
      <c r="CJ98" s="92"/>
      <c r="CK98" s="92"/>
      <c r="CL98" s="92"/>
      <c r="CM98" s="92"/>
      <c r="CN98" s="92"/>
      <c r="CO98" s="92"/>
      <c r="CP98" s="92"/>
      <c r="CQ98" s="92"/>
      <c r="CR98" s="92"/>
      <c r="CS98" s="92"/>
      <c r="CT98" s="92"/>
      <c r="CU98" s="92"/>
      <c r="CV98" s="92"/>
      <c r="CW98" s="92"/>
      <c r="CX98" s="92"/>
      <c r="CY98" s="92"/>
      <c r="CZ98" s="92"/>
      <c r="DA98" s="92"/>
      <c r="DB98" s="92"/>
      <c r="DC98" s="92"/>
      <c r="DD98" s="92"/>
      <c r="DE98" s="92"/>
      <c r="DF98" s="92"/>
      <c r="DG98" s="92"/>
      <c r="DH98" s="92"/>
      <c r="DI98" s="92"/>
      <c r="DJ98" s="92"/>
      <c r="DK98" s="92"/>
      <c r="DL98" s="92"/>
      <c r="DM98" s="92"/>
      <c r="DN98" s="92"/>
      <c r="DO98" s="92"/>
      <c r="DP98" s="92"/>
      <c r="DQ98" s="92"/>
      <c r="DR98" s="92"/>
      <c r="DS98" s="92"/>
      <c r="DT98" s="92"/>
      <c r="DU98" s="92"/>
      <c r="DV98" s="92"/>
      <c r="DW98" s="92"/>
      <c r="DX98" s="92"/>
      <c r="DY98" s="92"/>
      <c r="DZ98" s="92"/>
      <c r="EA98" s="92"/>
      <c r="EB98" s="92"/>
      <c r="EC98" s="92"/>
      <c r="ED98" s="92"/>
      <c r="EE98" s="92"/>
      <c r="EF98" s="92"/>
      <c r="EG98" s="92"/>
      <c r="EH98" s="92"/>
      <c r="EI98" s="92"/>
      <c r="EJ98" s="92"/>
      <c r="EK98" s="92"/>
      <c r="EL98" s="92"/>
      <c r="EM98" s="92"/>
      <c r="EN98" s="92"/>
      <c r="EO98" s="92"/>
      <c r="EP98" s="92"/>
      <c r="EQ98" s="92"/>
      <c r="ER98" s="92"/>
      <c r="ES98" s="92"/>
      <c r="ET98" s="92"/>
      <c r="EU98" s="92"/>
      <c r="EV98" s="1"/>
    </row>
    <row r="99" s="33" customFormat="true" ht="12.8" hidden="false" customHeight="fals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1"/>
      <c r="AH99" s="1"/>
      <c r="AI99" s="1"/>
      <c r="AJ99" s="92"/>
      <c r="AK99" s="92"/>
      <c r="AL99" s="92"/>
      <c r="AM99" s="92"/>
      <c r="AN99" s="92"/>
      <c r="AO99" s="92"/>
      <c r="AP99" s="37"/>
      <c r="AQ99" s="44"/>
      <c r="AR99" s="98" t="s">
        <v>308</v>
      </c>
      <c r="AS99" s="99" t="n">
        <v>0.1012</v>
      </c>
      <c r="AT99" s="40"/>
      <c r="AU99" s="96"/>
      <c r="AV99" s="96"/>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K99" s="37"/>
      <c r="DL99" s="37"/>
      <c r="DM99" s="37"/>
      <c r="DN99" s="37"/>
      <c r="DO99" s="37"/>
      <c r="DP99" s="37"/>
      <c r="DQ99" s="37"/>
      <c r="DR99" s="37"/>
      <c r="DS99" s="37"/>
      <c r="DT99" s="37"/>
      <c r="DU99" s="37"/>
      <c r="DV99" s="37"/>
      <c r="DW99" s="37"/>
      <c r="DX99" s="37"/>
      <c r="DY99" s="37"/>
      <c r="DZ99" s="37"/>
      <c r="EA99" s="37"/>
      <c r="EB99" s="37"/>
      <c r="EC99" s="37"/>
      <c r="ED99" s="37"/>
      <c r="EE99" s="37"/>
      <c r="EF99" s="37"/>
      <c r="EG99" s="37"/>
      <c r="EH99" s="37"/>
      <c r="EI99" s="37"/>
      <c r="EJ99" s="37"/>
      <c r="EK99" s="37"/>
      <c r="EL99" s="37"/>
      <c r="EM99" s="37"/>
      <c r="EN99" s="37"/>
      <c r="EO99" s="37"/>
      <c r="EP99" s="37"/>
      <c r="EQ99" s="37"/>
      <c r="ER99" s="37"/>
      <c r="ES99" s="37"/>
      <c r="ET99" s="37"/>
      <c r="EU99" s="37"/>
      <c r="EV99" s="1"/>
    </row>
    <row r="100" s="33" customFormat="true" ht="12.8" hidden="false" customHeight="fals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1"/>
      <c r="AH100" s="1"/>
      <c r="AI100" s="1"/>
      <c r="AJ100" s="37"/>
      <c r="AK100" s="37"/>
      <c r="AL100" s="37"/>
      <c r="AM100" s="37"/>
      <c r="AN100" s="37"/>
      <c r="AO100" s="37"/>
      <c r="AP100" s="44"/>
      <c r="AQ100" s="44"/>
      <c r="AR100" s="100" t="s">
        <v>309</v>
      </c>
      <c r="AS100" s="101" t="n">
        <v>0.02</v>
      </c>
      <c r="AT100" s="40"/>
      <c r="AU100" s="96"/>
      <c r="AV100" s="96"/>
      <c r="AW100" s="37"/>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c r="CY100" s="44"/>
      <c r="CZ100" s="44"/>
      <c r="DA100" s="44"/>
      <c r="DB100" s="44"/>
      <c r="DC100" s="44"/>
      <c r="DD100" s="44"/>
      <c r="DE100" s="44"/>
      <c r="DF100" s="44"/>
      <c r="DG100" s="44"/>
      <c r="DH100" s="44"/>
      <c r="DI100" s="44"/>
      <c r="DJ100" s="44"/>
      <c r="DK100" s="44"/>
      <c r="DL100" s="44"/>
      <c r="DM100" s="44"/>
      <c r="DN100" s="44"/>
      <c r="DO100" s="44"/>
      <c r="DP100" s="44"/>
      <c r="DQ100" s="44"/>
      <c r="DR100" s="44"/>
      <c r="DS100" s="44"/>
      <c r="DT100" s="44"/>
      <c r="DU100" s="44"/>
      <c r="DV100" s="44"/>
      <c r="DW100" s="44"/>
      <c r="DX100" s="44"/>
      <c r="DY100" s="44"/>
      <c r="DZ100" s="44"/>
      <c r="EA100" s="44"/>
      <c r="EB100" s="44"/>
      <c r="EC100" s="44"/>
      <c r="ED100" s="44"/>
      <c r="EE100" s="44"/>
      <c r="EF100" s="44"/>
      <c r="EG100" s="44"/>
      <c r="EH100" s="44"/>
      <c r="EI100" s="44"/>
      <c r="EJ100" s="44"/>
      <c r="EK100" s="44"/>
      <c r="EL100" s="44"/>
      <c r="EM100" s="44"/>
      <c r="EN100" s="44"/>
      <c r="EO100" s="44"/>
      <c r="EP100" s="44"/>
      <c r="EQ100" s="44"/>
      <c r="ER100" s="44"/>
      <c r="ES100" s="44"/>
      <c r="ET100" s="44"/>
      <c r="EU100" s="44"/>
      <c r="EV100" s="1"/>
    </row>
    <row r="101" s="33" customFormat="true" ht="12.8" hidden="false" customHeight="false" outlineLevel="0" collapsed="false">
      <c r="A101" s="37" t="s">
        <v>310</v>
      </c>
      <c r="B101" s="37" t="n">
        <f aca="false">+B125-B136</f>
        <v>1614</v>
      </c>
      <c r="C101" s="37" t="n">
        <f aca="false">+C125-C136</f>
        <v>1649</v>
      </c>
      <c r="D101" s="37" t="n">
        <f aca="false">+D125-D136</f>
        <v>1694</v>
      </c>
      <c r="E101" s="37" t="n">
        <f aca="false">+E125-E136</f>
        <v>2051</v>
      </c>
      <c r="F101" s="37" t="n">
        <f aca="false">+F125-F136</f>
        <v>1859</v>
      </c>
      <c r="G101" s="37" t="n">
        <f aca="false">+G125-G136</f>
        <v>1882</v>
      </c>
      <c r="H101" s="37" t="n">
        <f aca="false">+H125-H136</f>
        <v>2201</v>
      </c>
      <c r="I101" s="37" t="n">
        <f aca="false">+I125-I136</f>
        <v>2614</v>
      </c>
      <c r="J101" s="37" t="n">
        <f aca="false">+J125-J136</f>
        <v>2875</v>
      </c>
      <c r="K101" s="37" t="n">
        <f aca="false">+K125-K136</f>
        <v>3031</v>
      </c>
      <c r="L101" s="37" t="n">
        <f aca="false">+L125-L136</f>
        <v>2917</v>
      </c>
      <c r="M101" s="37" t="n">
        <f aca="false">+M125-M136</f>
        <v>2475</v>
      </c>
      <c r="N101" s="37" t="n">
        <f aca="false">+N125-N136</f>
        <v>2616</v>
      </c>
      <c r="O101" s="37" t="n">
        <f aca="false">+O125-O136</f>
        <v>2747</v>
      </c>
      <c r="P101" s="37" t="n">
        <f aca="false">+P125-P136</f>
        <v>2654</v>
      </c>
      <c r="Q101" s="37" t="n">
        <f aca="false">+Q125-Q136</f>
        <v>2814</v>
      </c>
      <c r="R101" s="37" t="n">
        <f aca="false">+R125-R136</f>
        <v>2706</v>
      </c>
      <c r="S101" s="37" t="n">
        <f aca="false">+S125-S136</f>
        <v>2932</v>
      </c>
      <c r="T101" s="37"/>
      <c r="U101" s="37"/>
      <c r="V101" s="37"/>
      <c r="W101" s="37"/>
      <c r="X101" s="37"/>
      <c r="Y101" s="37" t="n">
        <f aca="false">+Y125+Y126-Y136-Y138+Y124</f>
        <v>1560</v>
      </c>
      <c r="Z101" s="37" t="n">
        <f aca="false">+Z125+Z126-Z136-Z138+Z124</f>
        <v>1990</v>
      </c>
      <c r="AA101" s="37" t="n">
        <f aca="false">+AA125+AA126-AA136-AA138+AA124</f>
        <v>1591</v>
      </c>
      <c r="AB101" s="37" t="n">
        <f aca="false">+AB125+AB126-AB136-AB138+AB124</f>
        <v>1941</v>
      </c>
      <c r="AC101" s="37" t="n">
        <f aca="false">+AC125+AC126-AC136-AC138+AC124</f>
        <v>2945</v>
      </c>
      <c r="AD101" s="37" t="n">
        <f aca="false">+AD125+AD126-AD136-AD138+AD124</f>
        <v>2195</v>
      </c>
      <c r="AE101" s="37" t="n">
        <f aca="false">+AE125+AE126-AE136-AE138+AE124</f>
        <v>1857</v>
      </c>
      <c r="AF101" s="37" t="n">
        <f aca="false">+AF125+AF126-AF136-AF138-AF141</f>
        <v>-7418.11290373958</v>
      </c>
      <c r="AG101" s="37" t="n">
        <f aca="false">+AG125+AG126-AG136-AG138-AG141</f>
        <v>-8595.0749268477</v>
      </c>
      <c r="AH101" s="37" t="n">
        <f aca="false">+AH125+AH126-AH136-AH138-AH141</f>
        <v>-10172.5671622204</v>
      </c>
      <c r="AI101" s="37" t="n">
        <f aca="false">+AI125+AI126-AI136-AI138-AI141</f>
        <v>-11584.057433667</v>
      </c>
      <c r="AJ101" s="37" t="n">
        <f aca="false">+AJ125+AJ126-AJ136-AJ138-AJ141</f>
        <v>-13426.7623480354</v>
      </c>
      <c r="AK101" s="37" t="n">
        <f aca="false">+AK125+AK126-AK136-AK138-AK141</f>
        <v>-15262.7946971249</v>
      </c>
      <c r="AL101" s="37" t="n">
        <f aca="false">+AL125+AL126-AL136-AL138-AL141</f>
        <v>-17263.4237574138</v>
      </c>
      <c r="AM101" s="37" t="n">
        <f aca="false">+AM125+AM126-AM136-AM138-AM141</f>
        <v>-19316.5929686813</v>
      </c>
      <c r="AN101" s="37" t="n">
        <f aca="false">+AN125+AN126-AN136-AN138-AN141</f>
        <v>-21420.9479752555</v>
      </c>
      <c r="AO101" s="37" t="n">
        <f aca="false">+AO125+AO126-AO136-AO138-AO141</f>
        <v>-23540.5255308025</v>
      </c>
      <c r="AP101" s="44"/>
      <c r="AQ101" s="44"/>
      <c r="AR101" s="98" t="s">
        <v>311</v>
      </c>
      <c r="AS101" s="102" t="n">
        <f aca="false">NPV(AS99,AF84:EG84)+Main!E4-Main!E5</f>
        <v>228547.85071153</v>
      </c>
      <c r="AT101" s="40"/>
      <c r="AU101" s="96"/>
      <c r="AV101" s="96"/>
      <c r="AW101" s="37"/>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c r="CY101" s="44"/>
      <c r="CZ101" s="44"/>
      <c r="DA101" s="44"/>
      <c r="DB101" s="44"/>
      <c r="DC101" s="44"/>
      <c r="DD101" s="44"/>
      <c r="DE101" s="44"/>
      <c r="DF101" s="44"/>
      <c r="DG101" s="44"/>
      <c r="DH101" s="44"/>
      <c r="DI101" s="44"/>
      <c r="DJ101" s="44"/>
      <c r="DK101" s="44"/>
      <c r="DL101" s="44"/>
      <c r="DM101" s="44"/>
      <c r="DN101" s="44"/>
      <c r="DO101" s="44"/>
      <c r="DP101" s="44"/>
      <c r="DQ101" s="44"/>
      <c r="DR101" s="44"/>
      <c r="DS101" s="44"/>
      <c r="DT101" s="44"/>
      <c r="DU101" s="44"/>
      <c r="DV101" s="44"/>
      <c r="DW101" s="44"/>
      <c r="DX101" s="44"/>
      <c r="DY101" s="44"/>
      <c r="DZ101" s="44"/>
      <c r="EA101" s="44"/>
      <c r="EB101" s="44"/>
      <c r="EC101" s="44"/>
      <c r="ED101" s="44"/>
      <c r="EE101" s="44"/>
      <c r="EF101" s="44"/>
      <c r="EG101" s="44"/>
      <c r="EH101" s="44"/>
      <c r="EI101" s="44"/>
      <c r="EJ101" s="44"/>
      <c r="EK101" s="44"/>
      <c r="EL101" s="44"/>
      <c r="EM101" s="44"/>
      <c r="EN101" s="44"/>
      <c r="EO101" s="44"/>
      <c r="EP101" s="44"/>
      <c r="EQ101" s="44"/>
      <c r="ER101" s="44"/>
      <c r="ES101" s="44"/>
      <c r="ET101" s="44"/>
      <c r="EU101" s="44"/>
      <c r="EV101" s="23"/>
    </row>
    <row r="102" s="33" customFormat="true" ht="12.8" hidden="false" customHeight="false" outlineLevel="0" collapsed="false">
      <c r="A102" s="82" t="s">
        <v>312</v>
      </c>
      <c r="B102" s="103"/>
      <c r="C102" s="103" t="n">
        <f aca="false">+SUM(C84)/AVERAGE(B134:C134)</f>
        <v>-0.0815028358349262</v>
      </c>
      <c r="D102" s="103" t="n">
        <f aca="false">+SUM(D84)/AVERAGE(C134:D134)</f>
        <v>-0.03882432475936</v>
      </c>
      <c r="E102" s="103" t="n">
        <f aca="false">+SUM(E84)/AVERAGE(D134:E134)</f>
        <v>0.01882285949289</v>
      </c>
      <c r="F102" s="103" t="n">
        <f aca="false">+SUM(F84)/AVERAGE(E134:F134)</f>
        <v>-0.00483423455532993</v>
      </c>
      <c r="G102" s="103" t="n">
        <f aca="false">+SUM(G84)/AVERAGE(F134:G134)</f>
        <v>0.0118617148276958</v>
      </c>
      <c r="H102" s="103" t="n">
        <f aca="false">+SUM(H84)/AVERAGE(G134:H134)</f>
        <v>0.00632378876679577</v>
      </c>
      <c r="I102" s="103" t="n">
        <f aca="false">+SUM(I84)/AVERAGE(H134:I134)</f>
        <v>0.0382971512969274</v>
      </c>
      <c r="J102" s="103" t="n">
        <f aca="false">+SUM(J84)/AVERAGE(I134:J134)</f>
        <v>-0.0166967216434029</v>
      </c>
      <c r="K102" s="103" t="n">
        <f aca="false">+SUM(K84)/AVERAGE(J134:K134)</f>
        <v>0.0250349653284783</v>
      </c>
      <c r="L102" s="103" t="n">
        <f aca="false">+SUM(L84)/AVERAGE(K134:L134)</f>
        <v>0.0589510698531493</v>
      </c>
      <c r="M102" s="103" t="n">
        <f aca="false">+SUM(M84)/AVERAGE(L134:M134)</f>
        <v>0.139963152700921</v>
      </c>
      <c r="N102" s="103" t="n">
        <f aca="false">+SUM(N84)/AVERAGE(M134:N134)</f>
        <v>0.03413849625157</v>
      </c>
      <c r="O102" s="103" t="n">
        <f aca="false">+SUM(O84)/AVERAGE(N134:O134)</f>
        <v>0.0249151465821797</v>
      </c>
      <c r="P102" s="103" t="n">
        <f aca="false">+SUM(P84)/AVERAGE(O134:P134)</f>
        <v>0.111065297230444</v>
      </c>
      <c r="Q102" s="103" t="n">
        <f aca="false">+SUM(Q84)/AVERAGE(P134:Q134)</f>
        <v>0.00473047480542725</v>
      </c>
      <c r="R102" s="103" t="n">
        <f aca="false">+SUM(R84)/AVERAGE(Q134:R134)</f>
        <v>0.0043225652699138</v>
      </c>
      <c r="S102" s="103" t="n">
        <f aca="false">+SUM(S84)/AVERAGE(R134:S134)</f>
        <v>0.0380949349967379</v>
      </c>
      <c r="T102" s="103"/>
      <c r="U102" s="103"/>
      <c r="V102" s="103"/>
      <c r="W102" s="103"/>
      <c r="X102" s="103"/>
      <c r="Y102" s="103"/>
      <c r="Z102" s="103" t="n">
        <f aca="false">+SUM(Z84)/AVERAGE(Y134:Z134)</f>
        <v>-0.208188331276077</v>
      </c>
      <c r="AA102" s="103" t="n">
        <f aca="false">+SUM(AA84)/AVERAGE(Z134:AA134)</f>
        <v>-0.0137063304252057</v>
      </c>
      <c r="AB102" s="103" t="n">
        <f aca="false">+SUM(AB84)/AVERAGE(AA134:AB134)</f>
        <v>-0.257816500843735</v>
      </c>
      <c r="AC102" s="103" t="n">
        <f aca="false">+SUM(AC84)/AVERAGE(AB134:AC134)</f>
        <v>0.0533071330170715</v>
      </c>
      <c r="AD102" s="103" t="n">
        <f aca="false">+SUM(AD84)/AVERAGE(AC134:AD134)</f>
        <v>0.219169105376943</v>
      </c>
      <c r="AE102" s="103" t="n">
        <f aca="false">+SUM(AE84)/AVERAGE(AD134:AE134)</f>
        <v>0.177864282717459</v>
      </c>
      <c r="AF102" s="103"/>
      <c r="AG102" s="103"/>
      <c r="AH102" s="103"/>
      <c r="AI102" s="103"/>
      <c r="AJ102" s="82"/>
      <c r="AK102" s="82"/>
      <c r="AL102" s="82"/>
      <c r="AM102" s="82"/>
      <c r="AN102" s="82"/>
      <c r="AO102" s="82"/>
      <c r="AP102" s="82"/>
      <c r="AQ102" s="82"/>
      <c r="AR102" s="100" t="s">
        <v>1</v>
      </c>
      <c r="AS102" s="104" t="n">
        <f aca="false">AS101/Main!E2</f>
        <v>112.275477268336</v>
      </c>
      <c r="AT102" s="40"/>
      <c r="AU102" s="96"/>
      <c r="AV102" s="96"/>
      <c r="AW102" s="40"/>
      <c r="AX102" s="82"/>
      <c r="AY102" s="82"/>
      <c r="AZ102" s="82"/>
      <c r="BA102" s="82"/>
      <c r="BB102" s="82"/>
      <c r="BC102" s="82"/>
      <c r="BD102" s="82"/>
      <c r="BE102" s="82"/>
      <c r="BF102" s="82"/>
      <c r="BG102" s="82"/>
      <c r="BH102" s="82"/>
      <c r="BI102" s="82"/>
      <c r="BJ102" s="82"/>
      <c r="BK102" s="82"/>
      <c r="BL102" s="82"/>
      <c r="BM102" s="82"/>
      <c r="BN102" s="82"/>
      <c r="BO102" s="82"/>
      <c r="BP102" s="82"/>
      <c r="BQ102" s="82"/>
      <c r="BR102" s="82"/>
      <c r="BS102" s="82"/>
      <c r="BT102" s="82"/>
      <c r="BU102" s="82"/>
      <c r="BV102" s="82"/>
      <c r="BW102" s="82"/>
      <c r="BX102" s="82"/>
      <c r="BY102" s="82"/>
      <c r="BZ102" s="82"/>
      <c r="CA102" s="82"/>
      <c r="CB102" s="82"/>
      <c r="CC102" s="82"/>
      <c r="CD102" s="82"/>
      <c r="CE102" s="82"/>
      <c r="CF102" s="82"/>
      <c r="CG102" s="82"/>
      <c r="CH102" s="82"/>
      <c r="CI102" s="82"/>
      <c r="CJ102" s="82"/>
      <c r="CK102" s="82"/>
      <c r="CL102" s="82"/>
      <c r="CM102" s="82"/>
      <c r="CN102" s="82"/>
      <c r="CO102" s="82"/>
      <c r="CP102" s="82"/>
      <c r="CQ102" s="82"/>
      <c r="CR102" s="82"/>
      <c r="CS102" s="82"/>
      <c r="CT102" s="82"/>
      <c r="CU102" s="82"/>
      <c r="CV102" s="82"/>
      <c r="CW102" s="82"/>
      <c r="CX102" s="82"/>
      <c r="CY102" s="82"/>
      <c r="CZ102" s="82"/>
      <c r="DA102" s="82"/>
      <c r="DB102" s="82"/>
      <c r="DC102" s="82"/>
      <c r="DD102" s="82"/>
      <c r="DE102" s="82"/>
      <c r="DF102" s="82"/>
      <c r="DG102" s="82"/>
      <c r="DH102" s="82"/>
      <c r="DI102" s="82"/>
      <c r="DJ102" s="82"/>
      <c r="DK102" s="82"/>
      <c r="DL102" s="82"/>
      <c r="DM102" s="82"/>
      <c r="DN102" s="82"/>
      <c r="DO102" s="82"/>
      <c r="DP102" s="82"/>
      <c r="DQ102" s="82"/>
      <c r="DR102" s="82"/>
      <c r="DS102" s="82"/>
      <c r="DT102" s="82"/>
      <c r="DU102" s="82"/>
      <c r="DV102" s="82"/>
      <c r="DW102" s="82"/>
      <c r="DX102" s="82"/>
      <c r="DY102" s="82"/>
      <c r="DZ102" s="82"/>
      <c r="EA102" s="82"/>
      <c r="EB102" s="82"/>
      <c r="EC102" s="82"/>
      <c r="ED102" s="82"/>
      <c r="EE102" s="82"/>
      <c r="EF102" s="82"/>
      <c r="EG102" s="82"/>
      <c r="EH102" s="82"/>
      <c r="EI102" s="82"/>
      <c r="EJ102" s="82"/>
      <c r="EK102" s="82"/>
      <c r="EL102" s="82"/>
      <c r="EM102" s="82"/>
      <c r="EN102" s="82"/>
      <c r="EO102" s="82"/>
      <c r="EP102" s="82"/>
      <c r="EQ102" s="82"/>
      <c r="ER102" s="82"/>
      <c r="ES102" s="82"/>
      <c r="ET102" s="82"/>
      <c r="EU102" s="82"/>
      <c r="EV102" s="103"/>
    </row>
    <row r="103" s="33" customFormat="true" ht="12.8" hidden="false" customHeight="false" outlineLevel="0" collapsed="false">
      <c r="A103" s="82" t="s">
        <v>313</v>
      </c>
      <c r="B103" s="103"/>
      <c r="C103" s="103" t="n">
        <f aca="false">+C104*C105*C96</f>
        <v>-0.306324343422447</v>
      </c>
      <c r="D103" s="103" t="n">
        <f aca="false">+D104*D105*D96</f>
        <v>-0.171721486544212</v>
      </c>
      <c r="E103" s="103" t="n">
        <f aca="false">+E104*E105*E96</f>
        <v>0.0806724967798793</v>
      </c>
      <c r="F103" s="103" t="n">
        <f aca="false">+F104*F105*F96</f>
        <v>-0.0191154641325473</v>
      </c>
      <c r="G103" s="103" t="n">
        <f aca="false">+G104*G105*G96</f>
        <v>0.0446460368145476</v>
      </c>
      <c r="H103" s="103" t="n">
        <f aca="false">+H104*H105*H96</f>
        <v>0.022654014739562</v>
      </c>
      <c r="I103" s="103" t="n">
        <f aca="false">+I104*I105*I96</f>
        <v>0.129048244030743</v>
      </c>
      <c r="J103" s="103" t="n">
        <f aca="false">+J104*J105*J96</f>
        <v>-0.0547545615360681</v>
      </c>
      <c r="K103" s="103" t="n">
        <f aca="false">+K104*K105*K96</f>
        <v>0.0812264457075544</v>
      </c>
      <c r="L103" s="103" t="n">
        <f aca="false">+L104*L105*L96</f>
        <v>0.181766995030596</v>
      </c>
      <c r="M103" s="103" t="n">
        <f aca="false">+M104*M105*M96</f>
        <v>0.362516211892122</v>
      </c>
      <c r="N103" s="103" t="n">
        <f aca="false">+N104*N105*N96</f>
        <v>0.0786072961813448</v>
      </c>
      <c r="O103" s="103" t="n">
        <f aca="false">+O104*O105*O96</f>
        <v>0.0586019500794976</v>
      </c>
      <c r="P103" s="103" t="n">
        <f aca="false">+P104*P105*P96</f>
        <v>0.252707224035542</v>
      </c>
      <c r="Q103" s="103" t="n">
        <f aca="false">+Q104*Q105*Q96</f>
        <v>0.0104014758850918</v>
      </c>
      <c r="R103" s="103" t="n">
        <f aca="false">+R104*R105*R96</f>
        <v>0.00982094512593588</v>
      </c>
      <c r="S103" s="103" t="n">
        <f aca="false">+S104*S105*S96</f>
        <v>0.0901067053089185</v>
      </c>
      <c r="T103" s="103"/>
      <c r="U103" s="103"/>
      <c r="V103" s="103"/>
      <c r="W103" s="103"/>
      <c r="X103" s="103"/>
      <c r="Y103" s="103"/>
      <c r="Z103" s="103" t="n">
        <f aca="false">+Z104*Z105*Z96</f>
        <v>-0.467739911006703</v>
      </c>
      <c r="AA103" s="103" t="n">
        <f aca="false">+AA104*AA105*AA96</f>
        <v>-0.0339214098805087</v>
      </c>
      <c r="AB103" s="103" t="n">
        <f aca="false">+AB104*AB105*AB96</f>
        <v>-0.766144319919817</v>
      </c>
      <c r="AC103" s="103" t="n">
        <f aca="false">+AC104*AC105*AC96</f>
        <v>0.183838707933494</v>
      </c>
      <c r="AD103" s="103" t="n">
        <f aca="false">+AD104*AD105*AD96</f>
        <v>0.57286169115491</v>
      </c>
      <c r="AE103" s="103" t="n">
        <f aca="false">+AE104*AE105*AE96</f>
        <v>0.399730777306296</v>
      </c>
      <c r="AF103" s="103"/>
      <c r="AG103" s="103"/>
      <c r="AH103" s="103"/>
      <c r="AI103" s="103"/>
      <c r="AJ103" s="82"/>
      <c r="AK103" s="82"/>
      <c r="AL103" s="82"/>
      <c r="AM103" s="82"/>
      <c r="AN103" s="82"/>
      <c r="AO103" s="82"/>
      <c r="AP103" s="82"/>
      <c r="AQ103" s="82"/>
      <c r="AR103" s="105" t="s">
        <v>314</v>
      </c>
      <c r="AS103" s="106" t="n">
        <f aca="false">+AS102/Main!E1-1</f>
        <v>0.497006363577819</v>
      </c>
      <c r="AT103" s="40"/>
      <c r="AU103" s="96"/>
      <c r="AV103" s="96"/>
      <c r="AW103" s="40"/>
      <c r="AX103" s="82"/>
      <c r="AY103" s="82"/>
      <c r="AZ103" s="82"/>
      <c r="BA103" s="82"/>
      <c r="BB103" s="82"/>
      <c r="BC103" s="82"/>
      <c r="BD103" s="82"/>
      <c r="BE103" s="82"/>
      <c r="BF103" s="82"/>
      <c r="BG103" s="82"/>
      <c r="BH103" s="82"/>
      <c r="BI103" s="82"/>
      <c r="BJ103" s="82"/>
      <c r="BK103" s="82"/>
      <c r="BL103" s="82"/>
      <c r="BM103" s="82"/>
      <c r="BN103" s="82"/>
      <c r="BO103" s="82"/>
      <c r="BP103" s="82"/>
      <c r="BQ103" s="82"/>
      <c r="BR103" s="82"/>
      <c r="BS103" s="82"/>
      <c r="BT103" s="82"/>
      <c r="BU103" s="82"/>
      <c r="BV103" s="82"/>
      <c r="BW103" s="82"/>
      <c r="BX103" s="82"/>
      <c r="BY103" s="82"/>
      <c r="BZ103" s="82"/>
      <c r="CA103" s="82"/>
      <c r="CB103" s="82"/>
      <c r="CC103" s="82"/>
      <c r="CD103" s="82"/>
      <c r="CE103" s="82"/>
      <c r="CF103" s="82"/>
      <c r="CG103" s="82"/>
      <c r="CH103" s="82"/>
      <c r="CI103" s="82"/>
      <c r="CJ103" s="82"/>
      <c r="CK103" s="82"/>
      <c r="CL103" s="82"/>
      <c r="CM103" s="82"/>
      <c r="CN103" s="82"/>
      <c r="CO103" s="82"/>
      <c r="CP103" s="82"/>
      <c r="CQ103" s="82"/>
      <c r="CR103" s="82"/>
      <c r="CS103" s="82"/>
      <c r="CT103" s="82"/>
      <c r="CU103" s="82"/>
      <c r="CV103" s="82"/>
      <c r="CW103" s="82"/>
      <c r="CX103" s="82"/>
      <c r="CY103" s="82"/>
      <c r="CZ103" s="82"/>
      <c r="DA103" s="82"/>
      <c r="DB103" s="82"/>
      <c r="DC103" s="82"/>
      <c r="DD103" s="82"/>
      <c r="DE103" s="82"/>
      <c r="DF103" s="82"/>
      <c r="DG103" s="82"/>
      <c r="DH103" s="82"/>
      <c r="DI103" s="82"/>
      <c r="DJ103" s="82"/>
      <c r="DK103" s="82"/>
      <c r="DL103" s="82"/>
      <c r="DM103" s="82"/>
      <c r="DN103" s="82"/>
      <c r="DO103" s="82"/>
      <c r="DP103" s="82"/>
      <c r="DQ103" s="82"/>
      <c r="DR103" s="82"/>
      <c r="DS103" s="82"/>
      <c r="DT103" s="82"/>
      <c r="DU103" s="82"/>
      <c r="DV103" s="82"/>
      <c r="DW103" s="82"/>
      <c r="DX103" s="82"/>
      <c r="DY103" s="82"/>
      <c r="DZ103" s="82"/>
      <c r="EA103" s="82"/>
      <c r="EB103" s="82"/>
      <c r="EC103" s="82"/>
      <c r="ED103" s="82"/>
      <c r="EE103" s="82"/>
      <c r="EF103" s="82"/>
      <c r="EG103" s="82"/>
      <c r="EH103" s="82"/>
      <c r="EI103" s="82"/>
      <c r="EJ103" s="82"/>
      <c r="EK103" s="82"/>
      <c r="EL103" s="82"/>
      <c r="EM103" s="82"/>
      <c r="EN103" s="82"/>
      <c r="EO103" s="82"/>
      <c r="EP103" s="82"/>
      <c r="EQ103" s="82"/>
      <c r="ER103" s="82"/>
      <c r="ES103" s="82"/>
      <c r="ET103" s="82"/>
      <c r="EU103" s="82"/>
      <c r="EV103" s="103"/>
    </row>
    <row r="104" s="33" customFormat="true" ht="12.8" hidden="false" customHeight="false" outlineLevel="0" collapsed="false">
      <c r="A104" s="82" t="s">
        <v>315</v>
      </c>
      <c r="B104" s="103"/>
      <c r="C104" s="103" t="n">
        <f aca="false">+SUM(C52)/AVERAGE(B134:C134)</f>
        <v>0.252969009494563</v>
      </c>
      <c r="D104" s="103" t="n">
        <f aca="false">+SUM(D52)/AVERAGE(C134:D134)</f>
        <v>0.26858320188005</v>
      </c>
      <c r="E104" s="103" t="n">
        <f aca="false">+SUM(E52)/AVERAGE(D134:E134)</f>
        <v>0.272282943958495</v>
      </c>
      <c r="F104" s="103" t="n">
        <f aca="false">+SUM(F52)/AVERAGE(E134:F134)</f>
        <v>0.27335659568011</v>
      </c>
      <c r="G104" s="103" t="n">
        <f aca="false">+SUM(G52)/AVERAGE(F134:G134)</f>
        <v>0.277530170456915</v>
      </c>
      <c r="H104" s="103" t="n">
        <f aca="false">+SUM(H52)/AVERAGE(G134:H134)</f>
        <v>0.265432290987685</v>
      </c>
      <c r="I104" s="103" t="n">
        <f aca="false">+SUM(I52)/AVERAGE(H134:I134)</f>
        <v>0.266220203488547</v>
      </c>
      <c r="J104" s="103" t="n">
        <f aca="false">+SUM(J52)/AVERAGE(I134:J134)</f>
        <v>0.258789242238177</v>
      </c>
      <c r="K104" s="103" t="n">
        <f aca="false">+SUM(K52)/AVERAGE(J134:K134)</f>
        <v>0.26383762334877</v>
      </c>
      <c r="L104" s="103" t="n">
        <f aca="false">+SUM(L52)/AVERAGE(K134:L134)</f>
        <v>0.252472523971911</v>
      </c>
      <c r="M104" s="103" t="n">
        <f aca="false">+SUM(M52)/AVERAGE(L134:M134)</f>
        <v>0.243174791460184</v>
      </c>
      <c r="N104" s="103" t="n">
        <f aca="false">+SUM(N52)/AVERAGE(M134:N134)</f>
        <v>0.221654111341993</v>
      </c>
      <c r="O104" s="103" t="n">
        <f aca="false">+SUM(O52)/AVERAGE(N134:O134)</f>
        <v>0.232554571603318</v>
      </c>
      <c r="P104" s="103" t="n">
        <f aca="false">+SUM(P52)/AVERAGE(O134:P134)</f>
        <v>0.225725974702244</v>
      </c>
      <c r="Q104" s="103" t="n">
        <f aca="false">+SUM(Q52)/AVERAGE(P134:Q134)</f>
        <v>0.229587841401243</v>
      </c>
      <c r="R104" s="103" t="n">
        <f aca="false">+SUM(R52)/AVERAGE(Q134:R134)</f>
        <v>0.216999350793429</v>
      </c>
      <c r="S104" s="103" t="n">
        <f aca="false">+SUM(S52)/AVERAGE(R134:S134)</f>
        <v>0.225816717852426</v>
      </c>
      <c r="T104" s="103"/>
      <c r="U104" s="103"/>
      <c r="V104" s="103"/>
      <c r="W104" s="103"/>
      <c r="X104" s="103"/>
      <c r="Y104" s="103"/>
      <c r="Z104" s="103" t="n">
        <f aca="false">+SUM(Z52)/AVERAGE(Y134:Z134)</f>
        <v>0.34268440700088</v>
      </c>
      <c r="AA104" s="103" t="n">
        <f aca="false">+SUM(AA52)/AVERAGE(Z134:AA134)</f>
        <v>0.484751228189996</v>
      </c>
      <c r="AB104" s="103" t="n">
        <f aca="false">+SUM(AB52)/AVERAGE(AA134:AB134)</f>
        <v>0.899525173683244</v>
      </c>
      <c r="AC104" s="103" t="n">
        <f aca="false">+SUM(AC52)/AVERAGE(AB134:AC134)</f>
        <v>1.05302338745774</v>
      </c>
      <c r="AD104" s="103" t="n">
        <f aca="false">+SUM(AD52)/AVERAGE(AC134:AD134)</f>
        <v>0.977915664943629</v>
      </c>
      <c r="AE104" s="103" t="n">
        <f aca="false">+SUM(AE52)/AVERAGE(AD134:AE134)</f>
        <v>0.920287273254042</v>
      </c>
      <c r="AF104" s="103"/>
      <c r="AG104" s="103"/>
      <c r="AH104" s="103"/>
      <c r="AI104" s="103"/>
      <c r="AJ104" s="82"/>
      <c r="AK104" s="82"/>
      <c r="AL104" s="82"/>
      <c r="AM104" s="82"/>
      <c r="AN104" s="82"/>
      <c r="AO104" s="82"/>
      <c r="AP104" s="82"/>
      <c r="AQ104" s="82"/>
      <c r="AR104" s="107"/>
      <c r="AS104" s="107"/>
      <c r="AT104" s="40"/>
      <c r="AU104" s="96"/>
      <c r="AV104" s="96"/>
      <c r="AW104" s="40"/>
      <c r="AX104" s="82"/>
      <c r="AY104" s="82"/>
      <c r="AZ104" s="82"/>
      <c r="BA104" s="82"/>
      <c r="BB104" s="82"/>
      <c r="BC104" s="82"/>
      <c r="BD104" s="82"/>
      <c r="BE104" s="82"/>
      <c r="BF104" s="82"/>
      <c r="BG104" s="82"/>
      <c r="BH104" s="82"/>
      <c r="BI104" s="82"/>
      <c r="BJ104" s="82"/>
      <c r="BK104" s="82"/>
      <c r="BL104" s="82"/>
      <c r="BM104" s="82"/>
      <c r="BN104" s="82"/>
      <c r="BO104" s="82"/>
      <c r="BP104" s="82"/>
      <c r="BQ104" s="82"/>
      <c r="BR104" s="82"/>
      <c r="BS104" s="82"/>
      <c r="BT104" s="82"/>
      <c r="BU104" s="82"/>
      <c r="BV104" s="82"/>
      <c r="BW104" s="82"/>
      <c r="BX104" s="82"/>
      <c r="BY104" s="82"/>
      <c r="BZ104" s="82"/>
      <c r="CA104" s="82"/>
      <c r="CB104" s="82"/>
      <c r="CC104" s="82"/>
      <c r="CD104" s="82"/>
      <c r="CE104" s="82"/>
      <c r="CF104" s="82"/>
      <c r="CG104" s="82"/>
      <c r="CH104" s="82"/>
      <c r="CI104" s="82"/>
      <c r="CJ104" s="82"/>
      <c r="CK104" s="82"/>
      <c r="CL104" s="82"/>
      <c r="CM104" s="82"/>
      <c r="CN104" s="82"/>
      <c r="CO104" s="82"/>
      <c r="CP104" s="82"/>
      <c r="CQ104" s="82"/>
      <c r="CR104" s="82"/>
      <c r="CS104" s="82"/>
      <c r="CT104" s="82"/>
      <c r="CU104" s="82"/>
      <c r="CV104" s="82"/>
      <c r="CW104" s="82"/>
      <c r="CX104" s="82"/>
      <c r="CY104" s="82"/>
      <c r="CZ104" s="82"/>
      <c r="DA104" s="82"/>
      <c r="DB104" s="82"/>
      <c r="DC104" s="82"/>
      <c r="DD104" s="82"/>
      <c r="DE104" s="82"/>
      <c r="DF104" s="82"/>
      <c r="DG104" s="82"/>
      <c r="DH104" s="82"/>
      <c r="DI104" s="82"/>
      <c r="DJ104" s="82"/>
      <c r="DK104" s="82"/>
      <c r="DL104" s="82"/>
      <c r="DM104" s="82"/>
      <c r="DN104" s="82"/>
      <c r="DO104" s="82"/>
      <c r="DP104" s="82"/>
      <c r="DQ104" s="82"/>
      <c r="DR104" s="82"/>
      <c r="DS104" s="82"/>
      <c r="DT104" s="82"/>
      <c r="DU104" s="82"/>
      <c r="DV104" s="82"/>
      <c r="DW104" s="82"/>
      <c r="DX104" s="82"/>
      <c r="DY104" s="82"/>
      <c r="DZ104" s="82"/>
      <c r="EA104" s="82"/>
      <c r="EB104" s="82"/>
      <c r="EC104" s="82"/>
      <c r="ED104" s="82"/>
      <c r="EE104" s="82"/>
      <c r="EF104" s="82"/>
      <c r="EG104" s="82"/>
      <c r="EH104" s="82"/>
      <c r="EI104" s="82"/>
      <c r="EJ104" s="82"/>
      <c r="EK104" s="82"/>
      <c r="EL104" s="82"/>
      <c r="EM104" s="82"/>
      <c r="EN104" s="82"/>
      <c r="EO104" s="82"/>
      <c r="EP104" s="82"/>
      <c r="EQ104" s="82"/>
      <c r="ER104" s="82"/>
      <c r="ES104" s="82"/>
      <c r="ET104" s="82"/>
      <c r="EU104" s="82"/>
      <c r="EV104" s="103"/>
    </row>
    <row r="105" s="33" customFormat="true" ht="12.8" hidden="false" customHeight="false" outlineLevel="0" collapsed="false">
      <c r="A105" s="107" t="s">
        <v>316</v>
      </c>
      <c r="B105" s="108"/>
      <c r="C105" s="108" t="n">
        <f aca="false">+AVERAGE(B134:C134)/AVERAGE(B151:C151)</f>
        <v>3.75845012366035</v>
      </c>
      <c r="D105" s="108" t="n">
        <f aca="false">+AVERAGE(C134:D134)/AVERAGE(C151:D151)</f>
        <v>4.42303858749822</v>
      </c>
      <c r="E105" s="108" t="n">
        <f aca="false">+AVERAGE(D134:E134)/AVERAGE(D151:E151)</f>
        <v>4.28587892346282</v>
      </c>
      <c r="F105" s="108" t="n">
        <f aca="false">+AVERAGE(E134:F134)/AVERAGE(E151:F151)</f>
        <v>3.95418631714338</v>
      </c>
      <c r="G105" s="108" t="n">
        <f aca="false">+AVERAGE(F134:G134)/AVERAGE(F151:G151)</f>
        <v>3.76387710066203</v>
      </c>
      <c r="H105" s="108" t="n">
        <f aca="false">+AVERAGE(G134:H134)/AVERAGE(G151:H151)</f>
        <v>3.5823484267076</v>
      </c>
      <c r="I105" s="108" t="n">
        <f aca="false">+AVERAGE(H134:I134)/AVERAGE(H151:I151)</f>
        <v>3.369656479935</v>
      </c>
      <c r="J105" s="108" t="n">
        <f aca="false">+AVERAGE(I134:J134)/AVERAGE(I151:J151)</f>
        <v>3.27936002680516</v>
      </c>
      <c r="K105" s="108" t="n">
        <f aca="false">+AVERAGE(J134:K134)/AVERAGE(J151:K151)</f>
        <v>3.24452</v>
      </c>
      <c r="L105" s="108" t="n">
        <f aca="false">+AVERAGE(K134:L134)/AVERAGE(K151:L151)</f>
        <v>3.08335362671769</v>
      </c>
      <c r="M105" s="108" t="n">
        <f aca="false">+AVERAGE(L134:M134)/AVERAGE(L151:M151)</f>
        <v>2.5900832104487</v>
      </c>
      <c r="N105" s="108" t="n">
        <f aca="false">+AVERAGE(M134:N134)/AVERAGE(M151:N151)</f>
        <v>2.30259984511561</v>
      </c>
      <c r="O105" s="108" t="n">
        <f aca="false">+AVERAGE(N134:O134)/AVERAGE(N151:O151)</f>
        <v>2.35206122051925</v>
      </c>
      <c r="P105" s="108" t="n">
        <f aca="false">+AVERAGE(O134:P134)/AVERAGE(O151:P151)</f>
        <v>2.27530318053543</v>
      </c>
      <c r="Q105" s="108" t="n">
        <f aca="false">+AVERAGE(P134:Q134)/AVERAGE(P151:Q151)</f>
        <v>2.19882280593868</v>
      </c>
      <c r="R105" s="108" t="n">
        <f aca="false">+AVERAGE(Q134:R134)/AVERAGE(Q151:R151)</f>
        <v>2.27201777479042</v>
      </c>
      <c r="S105" s="108" t="n">
        <f aca="false">+AVERAGE(R134:S134)/AVERAGE(R151:S151)</f>
        <v>2.36531983363758</v>
      </c>
      <c r="T105" s="108"/>
      <c r="U105" s="108"/>
      <c r="V105" s="108"/>
      <c r="W105" s="108"/>
      <c r="X105" s="108"/>
      <c r="Y105" s="108"/>
      <c r="Z105" s="108" t="n">
        <f aca="false">+AVERAGE(Y134:Z134)/AVERAGE(Y151:Z151)</f>
        <v>2.24671530887309</v>
      </c>
      <c r="AA105" s="108" t="n">
        <f aca="false">+AVERAGE(Z134:AA134)/AVERAGE(Z151:AA151)</f>
        <v>2.47487174379859</v>
      </c>
      <c r="AB105" s="108" t="n">
        <f aca="false">+AVERAGE(AA134:AB134)/AVERAGE(AA151:AB151)</f>
        <v>2.97166518594628</v>
      </c>
      <c r="AC105" s="108" t="n">
        <f aca="false">+AVERAGE(AB134:AC134)/AVERAGE(AB151:AC151)</f>
        <v>3.44866995331788</v>
      </c>
      <c r="AD105" s="108" t="n">
        <f aca="false">+AVERAGE(AC134:AD134)/AVERAGE(AC151:AD151)</f>
        <v>2.61378851809273</v>
      </c>
      <c r="AE105" s="108" t="n">
        <f aca="false">+AVERAGE(AD134:AE134)/AVERAGE(AD151:AE151)</f>
        <v>2.24739206320178</v>
      </c>
      <c r="AF105" s="108"/>
      <c r="AG105" s="108"/>
      <c r="AH105" s="108"/>
      <c r="AI105" s="108"/>
      <c r="AJ105" s="107"/>
      <c r="AK105" s="107"/>
      <c r="AL105" s="107"/>
      <c r="AM105" s="107"/>
      <c r="AN105" s="107"/>
      <c r="AO105" s="107"/>
      <c r="AP105" s="107"/>
      <c r="AQ105" s="107"/>
      <c r="AR105" s="82"/>
      <c r="AS105" s="82"/>
      <c r="AT105" s="107"/>
      <c r="AU105" s="107"/>
      <c r="AV105" s="107"/>
      <c r="AW105" s="107"/>
      <c r="AX105" s="107"/>
      <c r="AY105" s="107"/>
      <c r="AZ105" s="107"/>
      <c r="BA105" s="107"/>
      <c r="BB105" s="107"/>
      <c r="BC105" s="107"/>
      <c r="BD105" s="107"/>
      <c r="BE105" s="107"/>
      <c r="BF105" s="107"/>
      <c r="BG105" s="107"/>
      <c r="BH105" s="107"/>
      <c r="BI105" s="107"/>
      <c r="BJ105" s="107"/>
      <c r="BK105" s="107"/>
      <c r="BL105" s="107"/>
      <c r="BM105" s="107"/>
      <c r="BN105" s="107"/>
      <c r="BO105" s="107"/>
      <c r="BP105" s="107"/>
      <c r="BQ105" s="107"/>
      <c r="BR105" s="107"/>
      <c r="BS105" s="107"/>
      <c r="BT105" s="107"/>
      <c r="BU105" s="107"/>
      <c r="BV105" s="107"/>
      <c r="BW105" s="107"/>
      <c r="BX105" s="107"/>
      <c r="BY105" s="107"/>
      <c r="BZ105" s="107"/>
      <c r="CA105" s="107"/>
      <c r="CB105" s="107"/>
      <c r="CC105" s="107"/>
      <c r="CD105" s="107"/>
      <c r="CE105" s="107"/>
      <c r="CF105" s="107"/>
      <c r="CG105" s="107"/>
      <c r="CH105" s="107"/>
      <c r="CI105" s="107"/>
      <c r="CJ105" s="107"/>
      <c r="CK105" s="107"/>
      <c r="CL105" s="107"/>
      <c r="CM105" s="107"/>
      <c r="CN105" s="107"/>
      <c r="CO105" s="107"/>
      <c r="CP105" s="107"/>
      <c r="CQ105" s="107"/>
      <c r="CR105" s="107"/>
      <c r="CS105" s="107"/>
      <c r="CT105" s="107"/>
      <c r="CU105" s="107"/>
      <c r="CV105" s="107"/>
      <c r="CW105" s="107"/>
      <c r="CX105" s="107"/>
      <c r="CY105" s="107"/>
      <c r="CZ105" s="107"/>
      <c r="DA105" s="107"/>
      <c r="DB105" s="107"/>
      <c r="DC105" s="107"/>
      <c r="DD105" s="107"/>
      <c r="DE105" s="107"/>
      <c r="DF105" s="107"/>
      <c r="DG105" s="107"/>
      <c r="DH105" s="107"/>
      <c r="DI105" s="107"/>
      <c r="DJ105" s="107"/>
      <c r="DK105" s="107"/>
      <c r="DL105" s="107"/>
      <c r="DM105" s="107"/>
      <c r="DN105" s="107"/>
      <c r="DO105" s="107"/>
      <c r="DP105" s="107"/>
      <c r="DQ105" s="107"/>
      <c r="DR105" s="107"/>
      <c r="DS105" s="107"/>
      <c r="DT105" s="107"/>
      <c r="DU105" s="107"/>
      <c r="DV105" s="107"/>
      <c r="DW105" s="107"/>
      <c r="DX105" s="107"/>
      <c r="DY105" s="107"/>
      <c r="DZ105" s="107"/>
      <c r="EA105" s="107"/>
      <c r="EB105" s="107"/>
      <c r="EC105" s="107"/>
      <c r="ED105" s="107"/>
      <c r="EE105" s="107"/>
      <c r="EF105" s="107"/>
      <c r="EG105" s="107"/>
      <c r="EH105" s="107"/>
      <c r="EI105" s="107"/>
      <c r="EJ105" s="107"/>
      <c r="EK105" s="107"/>
      <c r="EL105" s="107"/>
      <c r="EM105" s="107"/>
      <c r="EN105" s="107"/>
      <c r="EO105" s="107"/>
      <c r="EP105" s="107"/>
      <c r="EQ105" s="107"/>
      <c r="ER105" s="107"/>
      <c r="ES105" s="107"/>
      <c r="ET105" s="107"/>
      <c r="EU105" s="107"/>
      <c r="EV105" s="108"/>
    </row>
    <row r="106" s="33" customFormat="true" ht="12.8" hidden="false" customHeight="false" outlineLevel="0" collapsed="false">
      <c r="A106" s="82" t="s">
        <v>317</v>
      </c>
      <c r="B106" s="103"/>
      <c r="C106" s="103" t="n">
        <f aca="false">+C103-C102</f>
        <v>-0.224821507587521</v>
      </c>
      <c r="D106" s="103" t="n">
        <f aca="false">+D103-D102</f>
        <v>-0.132897161784852</v>
      </c>
      <c r="E106" s="103" t="n">
        <f aca="false">+E103-E102</f>
        <v>0.0618496372869893</v>
      </c>
      <c r="F106" s="103" t="n">
        <f aca="false">+F103-F102</f>
        <v>-0.0142812295772174</v>
      </c>
      <c r="G106" s="103" t="n">
        <f aca="false">+G103-G102</f>
        <v>0.0327843219868518</v>
      </c>
      <c r="H106" s="103" t="n">
        <f aca="false">+H103-H102</f>
        <v>0.0163302259727662</v>
      </c>
      <c r="I106" s="103" t="n">
        <f aca="false">+I103-I102</f>
        <v>0.0907510927338151</v>
      </c>
      <c r="J106" s="103" t="n">
        <f aca="false">+J103-J102</f>
        <v>-0.0380578398926651</v>
      </c>
      <c r="K106" s="103" t="n">
        <f aca="false">+K103-K102</f>
        <v>0.0561914803790761</v>
      </c>
      <c r="L106" s="103" t="n">
        <f aca="false">+L103-L102</f>
        <v>0.122815925177447</v>
      </c>
      <c r="M106" s="103" t="n">
        <f aca="false">+M103-M102</f>
        <v>0.222553059191202</v>
      </c>
      <c r="N106" s="103" t="n">
        <f aca="false">+N103-N102</f>
        <v>0.0444687999297749</v>
      </c>
      <c r="O106" s="103" t="n">
        <f aca="false">+O103-O102</f>
        <v>0.0336868034973179</v>
      </c>
      <c r="P106" s="103" t="n">
        <f aca="false">+P103-P102</f>
        <v>0.141641926805098</v>
      </c>
      <c r="Q106" s="103" t="n">
        <f aca="false">+Q103-Q102</f>
        <v>0.00567100107966454</v>
      </c>
      <c r="R106" s="103" t="n">
        <f aca="false">+R103-R102</f>
        <v>0.00549837985602209</v>
      </c>
      <c r="S106" s="103" t="n">
        <f aca="false">+S103-S102</f>
        <v>0.0520117703121806</v>
      </c>
      <c r="T106" s="103"/>
      <c r="U106" s="103"/>
      <c r="V106" s="103"/>
      <c r="W106" s="103"/>
      <c r="X106" s="103"/>
      <c r="Y106" s="103"/>
      <c r="Z106" s="103" t="n">
        <f aca="false">+Z103-Z102</f>
        <v>-0.259551579730626</v>
      </c>
      <c r="AA106" s="103" t="n">
        <f aca="false">+AA103-AA102</f>
        <v>-0.0202150794553029</v>
      </c>
      <c r="AB106" s="103" t="n">
        <f aca="false">+AB103-AB102</f>
        <v>-0.508327819076081</v>
      </c>
      <c r="AC106" s="103" t="n">
        <f aca="false">+AC103-AC102</f>
        <v>0.130531574916423</v>
      </c>
      <c r="AD106" s="103" t="n">
        <f aca="false">+AD103-AD102</f>
        <v>0.353692585777966</v>
      </c>
      <c r="AE106" s="103" t="n">
        <f aca="false">+AE103-AE102</f>
        <v>0.221866494588836</v>
      </c>
      <c r="AF106" s="103"/>
      <c r="AG106" s="103"/>
      <c r="AH106" s="103"/>
      <c r="AI106" s="103"/>
      <c r="AJ106" s="82"/>
      <c r="AK106" s="82"/>
      <c r="AL106" s="82"/>
      <c r="AM106" s="82"/>
      <c r="AN106" s="82"/>
      <c r="AO106" s="82"/>
      <c r="AP106" s="82"/>
      <c r="AQ106" s="82"/>
      <c r="AR106" s="44"/>
      <c r="AS106" s="44"/>
      <c r="AT106" s="82"/>
      <c r="AU106" s="82"/>
      <c r="AV106" s="82"/>
      <c r="AW106" s="82"/>
      <c r="AX106" s="82"/>
      <c r="AY106" s="82"/>
      <c r="AZ106" s="82"/>
      <c r="BA106" s="82"/>
      <c r="BB106" s="82"/>
      <c r="BC106" s="82"/>
      <c r="BD106" s="82"/>
      <c r="BE106" s="82"/>
      <c r="BF106" s="82"/>
      <c r="BG106" s="82"/>
      <c r="BH106" s="82"/>
      <c r="BI106" s="82"/>
      <c r="BJ106" s="82"/>
      <c r="BK106" s="82"/>
      <c r="BL106" s="82"/>
      <c r="BM106" s="82"/>
      <c r="BN106" s="82"/>
      <c r="BO106" s="82"/>
      <c r="BP106" s="82"/>
      <c r="BQ106" s="82"/>
      <c r="BR106" s="82"/>
      <c r="BS106" s="82"/>
      <c r="BT106" s="82"/>
      <c r="BU106" s="82"/>
      <c r="BV106" s="82"/>
      <c r="BW106" s="82"/>
      <c r="BX106" s="82"/>
      <c r="BY106" s="82"/>
      <c r="BZ106" s="82"/>
      <c r="CA106" s="82"/>
      <c r="CB106" s="82"/>
      <c r="CC106" s="82"/>
      <c r="CD106" s="82"/>
      <c r="CE106" s="82"/>
      <c r="CF106" s="82"/>
      <c r="CG106" s="82"/>
      <c r="CH106" s="82"/>
      <c r="CI106" s="82"/>
      <c r="CJ106" s="82"/>
      <c r="CK106" s="82"/>
      <c r="CL106" s="82"/>
      <c r="CM106" s="82"/>
      <c r="CN106" s="82"/>
      <c r="CO106" s="82"/>
      <c r="CP106" s="82"/>
      <c r="CQ106" s="82"/>
      <c r="CR106" s="82"/>
      <c r="CS106" s="82"/>
      <c r="CT106" s="82"/>
      <c r="CU106" s="82"/>
      <c r="CV106" s="82"/>
      <c r="CW106" s="82"/>
      <c r="CX106" s="82"/>
      <c r="CY106" s="82"/>
      <c r="CZ106" s="82"/>
      <c r="DA106" s="82"/>
      <c r="DB106" s="82"/>
      <c r="DC106" s="82"/>
      <c r="DD106" s="82"/>
      <c r="DE106" s="82"/>
      <c r="DF106" s="82"/>
      <c r="DG106" s="82"/>
      <c r="DH106" s="82"/>
      <c r="DI106" s="82"/>
      <c r="DJ106" s="82"/>
      <c r="DK106" s="82"/>
      <c r="DL106" s="82"/>
      <c r="DM106" s="82"/>
      <c r="DN106" s="82"/>
      <c r="DO106" s="82"/>
      <c r="DP106" s="82"/>
      <c r="DQ106" s="82"/>
      <c r="DR106" s="82"/>
      <c r="DS106" s="82"/>
      <c r="DT106" s="82"/>
      <c r="DU106" s="82"/>
      <c r="DV106" s="82"/>
      <c r="DW106" s="82"/>
      <c r="DX106" s="82"/>
      <c r="DY106" s="82"/>
      <c r="DZ106" s="82"/>
      <c r="EA106" s="82"/>
      <c r="EB106" s="82"/>
      <c r="EC106" s="82"/>
      <c r="ED106" s="82"/>
      <c r="EE106" s="82"/>
      <c r="EF106" s="82"/>
      <c r="EG106" s="82"/>
      <c r="EH106" s="82"/>
      <c r="EI106" s="82"/>
      <c r="EJ106" s="82"/>
      <c r="EK106" s="82"/>
      <c r="EL106" s="82"/>
      <c r="EM106" s="82"/>
      <c r="EN106" s="82"/>
      <c r="EO106" s="82"/>
      <c r="EP106" s="82"/>
      <c r="EQ106" s="82"/>
      <c r="ER106" s="82"/>
      <c r="ES106" s="82"/>
      <c r="ET106" s="82"/>
      <c r="EU106" s="82"/>
      <c r="EV106" s="103"/>
    </row>
    <row r="107" s="33" customFormat="true" ht="12.8" hidden="false" customHeight="fals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1"/>
      <c r="AH107" s="1"/>
      <c r="AI107" s="1"/>
      <c r="AJ107" s="37"/>
      <c r="AK107" s="37"/>
      <c r="AL107" s="37"/>
      <c r="AM107" s="37"/>
      <c r="AN107" s="37"/>
      <c r="AO107" s="37"/>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c r="CY107" s="44"/>
      <c r="CZ107" s="44"/>
      <c r="DA107" s="44"/>
      <c r="DB107" s="44"/>
      <c r="DC107" s="44"/>
      <c r="DD107" s="44"/>
      <c r="DE107" s="44"/>
      <c r="DF107" s="44"/>
      <c r="DG107" s="44"/>
      <c r="DH107" s="44"/>
      <c r="DI107" s="44"/>
      <c r="DJ107" s="44"/>
      <c r="DK107" s="44"/>
      <c r="DL107" s="44"/>
      <c r="DM107" s="44"/>
      <c r="DN107" s="44"/>
      <c r="DO107" s="44"/>
      <c r="DP107" s="44"/>
      <c r="DQ107" s="44"/>
      <c r="DR107" s="44"/>
      <c r="DS107" s="44"/>
      <c r="DT107" s="44"/>
      <c r="DU107" s="44"/>
      <c r="DV107" s="44"/>
      <c r="DW107" s="44"/>
      <c r="DX107" s="44"/>
      <c r="DY107" s="44"/>
      <c r="DZ107" s="44"/>
      <c r="EA107" s="44"/>
      <c r="EB107" s="44"/>
      <c r="EC107" s="44"/>
      <c r="ED107" s="44"/>
      <c r="EE107" s="44"/>
      <c r="EF107" s="44"/>
      <c r="EG107" s="44"/>
      <c r="EH107" s="44"/>
      <c r="EI107" s="44"/>
      <c r="EJ107" s="44"/>
      <c r="EK107" s="44"/>
      <c r="EL107" s="44"/>
      <c r="EM107" s="44"/>
      <c r="EN107" s="44"/>
      <c r="EO107" s="44"/>
      <c r="EP107" s="44"/>
      <c r="EQ107" s="44"/>
      <c r="ER107" s="44"/>
      <c r="ES107" s="44"/>
      <c r="ET107" s="44"/>
      <c r="EU107" s="44"/>
      <c r="EV107" s="1"/>
    </row>
    <row r="108" s="33" customFormat="true" ht="12.8" hidden="false" customHeight="fals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1"/>
      <c r="AH108" s="1"/>
      <c r="AI108" s="1"/>
      <c r="AJ108" s="37"/>
      <c r="AK108" s="37"/>
      <c r="AL108" s="37"/>
      <c r="AM108" s="37"/>
      <c r="AN108" s="37"/>
      <c r="AO108" s="37"/>
      <c r="AP108" s="44"/>
      <c r="AQ108" s="44"/>
      <c r="AR108" s="77"/>
      <c r="AS108" s="77"/>
      <c r="AT108" s="44"/>
      <c r="AU108" s="44" t="s">
        <v>13</v>
      </c>
      <c r="AV108" s="44" t="n">
        <f aca="false">+AS111</f>
        <v>214646.002885387</v>
      </c>
      <c r="AW108" s="44"/>
      <c r="AX108" s="44"/>
      <c r="AY108" s="44"/>
      <c r="AZ108" s="44"/>
      <c r="BA108" s="44"/>
      <c r="BB108" s="44"/>
      <c r="BC108" s="44"/>
      <c r="BD108" s="44"/>
      <c r="BE108" s="44"/>
      <c r="BF108" s="44"/>
      <c r="BG108" s="44"/>
      <c r="BH108" s="44"/>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4"/>
      <c r="CF108" s="44"/>
      <c r="CG108" s="44"/>
      <c r="CH108" s="44"/>
      <c r="CI108" s="44"/>
      <c r="CJ108" s="44"/>
      <c r="CK108" s="44"/>
      <c r="CL108" s="44"/>
      <c r="CM108" s="44"/>
      <c r="CN108" s="44"/>
      <c r="CO108" s="44"/>
      <c r="CP108" s="44"/>
      <c r="CQ108" s="44"/>
      <c r="CR108" s="44"/>
      <c r="CS108" s="44"/>
      <c r="CT108" s="44"/>
      <c r="CU108" s="44"/>
      <c r="CV108" s="44"/>
      <c r="CW108" s="44"/>
      <c r="CX108" s="44"/>
      <c r="CY108" s="44"/>
      <c r="CZ108" s="44"/>
      <c r="DA108" s="44"/>
      <c r="DB108" s="44"/>
      <c r="DC108" s="44"/>
      <c r="DD108" s="44"/>
      <c r="DE108" s="44"/>
      <c r="DF108" s="44"/>
      <c r="DG108" s="44"/>
      <c r="DH108" s="44"/>
      <c r="DI108" s="44"/>
      <c r="DJ108" s="44"/>
      <c r="DK108" s="44"/>
      <c r="DL108" s="44"/>
      <c r="DM108" s="44"/>
      <c r="DN108" s="44"/>
      <c r="DO108" s="44"/>
      <c r="DP108" s="44"/>
      <c r="DQ108" s="44"/>
      <c r="DR108" s="44"/>
      <c r="DS108" s="44"/>
      <c r="DT108" s="44"/>
      <c r="DU108" s="44"/>
      <c r="DV108" s="44"/>
      <c r="DW108" s="44"/>
      <c r="DX108" s="44"/>
      <c r="DY108" s="44"/>
      <c r="DZ108" s="44"/>
      <c r="EA108" s="44"/>
      <c r="EB108" s="44"/>
      <c r="EC108" s="44"/>
      <c r="ED108" s="44"/>
      <c r="EE108" s="44"/>
      <c r="EF108" s="44"/>
      <c r="EG108" s="44"/>
      <c r="EH108" s="44"/>
      <c r="EI108" s="44"/>
      <c r="EJ108" s="44"/>
      <c r="EK108" s="44"/>
      <c r="EL108" s="44"/>
      <c r="EM108" s="44"/>
      <c r="EN108" s="44"/>
      <c r="EO108" s="44"/>
      <c r="EP108" s="44"/>
      <c r="EQ108" s="44"/>
      <c r="ER108" s="44"/>
      <c r="ES108" s="44"/>
      <c r="ET108" s="44"/>
      <c r="EU108" s="44"/>
      <c r="EV108" s="1"/>
    </row>
    <row r="109" s="33" customFormat="true" ht="12.8" hidden="false" customHeight="false" outlineLevel="0" collapsed="false">
      <c r="A109" s="109" t="s">
        <v>318</v>
      </c>
      <c r="B109" s="109" t="n">
        <f aca="false">+B68*(1-B97)</f>
        <v>-463.870298313878</v>
      </c>
      <c r="C109" s="109" t="n">
        <f aca="false">+C68*(1-C97)</f>
        <v>-734.479264475743</v>
      </c>
      <c r="D109" s="109" t="n">
        <f aca="false">+D68*(1-D97)</f>
        <v>-519.413265306122</v>
      </c>
      <c r="E109" s="109" t="n">
        <f aca="false">+E68*(1-E97)</f>
        <v>-167.164556962025</v>
      </c>
      <c r="F109" s="109" t="n">
        <f aca="false">+F68*(1-F97)</f>
        <v>-365.812281614186</v>
      </c>
      <c r="G109" s="109" t="n">
        <f aca="false">+G68*(1-G97)</f>
        <v>279.922452559239</v>
      </c>
      <c r="H109" s="109" t="n">
        <f aca="false">+H68*(1-H97)</f>
        <v>483.823288560856</v>
      </c>
      <c r="I109" s="109" t="n">
        <f aca="false">+I68*(1-I97)</f>
        <v>604.946385213176</v>
      </c>
      <c r="J109" s="109" t="n">
        <f aca="false">+J68*(1-J97)</f>
        <v>180.277441770488</v>
      </c>
      <c r="K109" s="109" t="n">
        <f aca="false">+K68*(1-K97)</f>
        <v>754.197874311626</v>
      </c>
      <c r="L109" s="109" t="n">
        <f aca="false">+L68*(1-L97)</f>
        <v>1000.88944666722</v>
      </c>
      <c r="M109" s="109" t="n">
        <f aca="false">+M68*(1-M97)</f>
        <v>5855.12228138136</v>
      </c>
      <c r="N109" s="109" t="n">
        <f aca="false">+N68*(1-N97)</f>
        <v>1584.76950211202</v>
      </c>
      <c r="O109" s="109" t="n">
        <f aca="false">+O68*(1-O97)</f>
        <v>1313.53073849122</v>
      </c>
      <c r="P109" s="109" t="n">
        <f aca="false">+P68*(1-P97)</f>
        <v>2832.70081364757</v>
      </c>
      <c r="Q109" s="109" t="n">
        <f aca="false">+Q68*(1-Q97)</f>
        <v>2017.84879725086</v>
      </c>
      <c r="R109" s="109" t="n">
        <f aca="false">+R68*(1-R97)</f>
        <v>1170.85887096774</v>
      </c>
      <c r="S109" s="109" t="n">
        <f aca="false">+S68*(1-S97)</f>
        <v>1405.53249923711</v>
      </c>
      <c r="T109" s="109"/>
      <c r="U109" s="109"/>
      <c r="V109" s="109"/>
      <c r="W109" s="109"/>
      <c r="X109" s="109"/>
      <c r="Y109" s="109" t="n">
        <f aca="false">+Y68*(1-Y97)</f>
        <v>-8641.86979722519</v>
      </c>
      <c r="Z109" s="109" t="n">
        <f aca="false">+Z68*(1-Z97)</f>
        <v>-4728.07697619364</v>
      </c>
      <c r="AA109" s="109" t="n">
        <f aca="false">+AA68*(1-AA97)</f>
        <v>-1988.13271891497</v>
      </c>
      <c r="AB109" s="109" t="n">
        <f aca="false">+AB68*(1-AB97)</f>
        <v>-1793.29718948418</v>
      </c>
      <c r="AC109" s="109" t="n">
        <f aca="false">+AC68*(1-AC97)</f>
        <v>1008.4088037113</v>
      </c>
      <c r="AD109" s="109" t="n">
        <f aca="false">+AD68*(1-AD97)</f>
        <v>6706.60338255619</v>
      </c>
      <c r="AE109" s="109" t="n">
        <f aca="false">+AE68*(1-AE97)</f>
        <v>9735.35400448802</v>
      </c>
      <c r="AF109" s="109" t="n">
        <f aca="false">+AF68*(1-AF97)</f>
        <v>9088.48517996625</v>
      </c>
      <c r="AG109" s="109" t="n">
        <f aca="false">+AG68*(1-AG97)</f>
        <v>8592.551012694</v>
      </c>
      <c r="AH109" s="109" t="n">
        <f aca="false">+AH68*(1-AH97)</f>
        <v>10491.9570260264</v>
      </c>
      <c r="AI109" s="109" t="n">
        <f aca="false">+AI68*(1-AI97)</f>
        <v>13387.7371652097</v>
      </c>
      <c r="AJ109" s="109" t="n">
        <f aca="false">+AJ68*(1-AJ97)</f>
        <v>16235.6739803542</v>
      </c>
      <c r="AK109" s="109" t="n">
        <f aca="false">+AK68*(1-AK97)</f>
        <v>20051.0573657375</v>
      </c>
      <c r="AL109" s="109" t="n">
        <f aca="false">+AL68*(1-AL97)</f>
        <v>23238.6613572137</v>
      </c>
      <c r="AM109" s="109" t="n">
        <f aca="false">+AM68*(1-AM97)</f>
        <v>24531.4788396151</v>
      </c>
      <c r="AN109" s="109" t="n">
        <f aca="false">+AN68*(1-AN97)</f>
        <v>27894.0864268991</v>
      </c>
      <c r="AO109" s="109" t="n">
        <f aca="false">+AO68*(1-AO97)</f>
        <v>31414.0544760076</v>
      </c>
      <c r="AP109" s="77"/>
      <c r="AQ109" s="77"/>
      <c r="AR109" s="110" t="s">
        <v>307</v>
      </c>
      <c r="AS109" s="111" t="n">
        <v>-0.01</v>
      </c>
      <c r="AT109" s="77"/>
      <c r="AU109" s="77" t="s">
        <v>319</v>
      </c>
      <c r="AV109" s="77" t="n">
        <f aca="false">+Main!E5</f>
        <v>10514</v>
      </c>
      <c r="AW109" s="77"/>
      <c r="AX109" s="77"/>
      <c r="AY109" s="77"/>
      <c r="AZ109" s="77"/>
      <c r="BA109" s="77"/>
      <c r="BB109" s="77"/>
      <c r="BC109" s="77"/>
      <c r="BD109" s="77"/>
      <c r="BE109" s="77"/>
      <c r="BF109" s="77"/>
      <c r="BG109" s="77"/>
      <c r="BH109" s="77"/>
      <c r="BI109" s="77"/>
      <c r="BJ109" s="77"/>
      <c r="BK109" s="77"/>
      <c r="BL109" s="77"/>
      <c r="BM109" s="77"/>
      <c r="BN109" s="77"/>
      <c r="BO109" s="77"/>
      <c r="BP109" s="77"/>
      <c r="BQ109" s="77"/>
      <c r="BR109" s="77"/>
      <c r="BS109" s="77"/>
      <c r="BT109" s="77"/>
      <c r="BU109" s="77"/>
      <c r="BV109" s="77"/>
      <c r="BW109" s="77"/>
      <c r="BX109" s="77"/>
      <c r="BY109" s="77"/>
      <c r="BZ109" s="77"/>
      <c r="CA109" s="77"/>
      <c r="CB109" s="77"/>
      <c r="CC109" s="77"/>
      <c r="CD109" s="77"/>
      <c r="CE109" s="77"/>
      <c r="CF109" s="77"/>
      <c r="CG109" s="77"/>
      <c r="CH109" s="77"/>
      <c r="CI109" s="77"/>
      <c r="CJ109" s="77"/>
      <c r="CK109" s="77"/>
      <c r="CL109" s="77"/>
      <c r="CM109" s="77"/>
      <c r="CN109" s="77"/>
      <c r="CO109" s="77"/>
      <c r="CP109" s="77"/>
      <c r="CQ109" s="77"/>
      <c r="CR109" s="77"/>
      <c r="CS109" s="77"/>
      <c r="CT109" s="77"/>
      <c r="CU109" s="77"/>
      <c r="CV109" s="77"/>
      <c r="CW109" s="77"/>
      <c r="CX109" s="77"/>
      <c r="CY109" s="77"/>
      <c r="CZ109" s="77"/>
      <c r="DA109" s="77"/>
      <c r="DB109" s="77"/>
      <c r="DC109" s="77"/>
      <c r="DD109" s="77"/>
      <c r="DE109" s="77"/>
      <c r="DF109" s="77"/>
      <c r="DG109" s="77"/>
      <c r="DH109" s="77"/>
      <c r="DI109" s="77"/>
      <c r="DJ109" s="77"/>
      <c r="DK109" s="77"/>
      <c r="DL109" s="77"/>
      <c r="DM109" s="77"/>
      <c r="DN109" s="77"/>
      <c r="DO109" s="77"/>
      <c r="DP109" s="77"/>
      <c r="DQ109" s="77"/>
      <c r="DR109" s="77"/>
      <c r="DS109" s="77"/>
      <c r="DT109" s="77"/>
      <c r="DU109" s="77"/>
      <c r="DV109" s="77"/>
      <c r="DW109" s="77"/>
      <c r="DX109" s="77"/>
      <c r="DY109" s="77"/>
      <c r="DZ109" s="77"/>
      <c r="EA109" s="77"/>
      <c r="EB109" s="77"/>
      <c r="EC109" s="77"/>
      <c r="ED109" s="77"/>
      <c r="EE109" s="77"/>
      <c r="EF109" s="77"/>
      <c r="EG109" s="77"/>
      <c r="EH109" s="77"/>
      <c r="EI109" s="77"/>
      <c r="EJ109" s="77"/>
      <c r="EK109" s="77"/>
      <c r="EL109" s="77"/>
      <c r="EM109" s="77"/>
      <c r="EN109" s="77"/>
      <c r="EO109" s="77"/>
      <c r="EP109" s="77"/>
      <c r="EQ109" s="77"/>
      <c r="ER109" s="77"/>
      <c r="ES109" s="77"/>
      <c r="ET109" s="77"/>
      <c r="EU109" s="77"/>
      <c r="EV109" s="112"/>
    </row>
    <row r="110" s="33" customFormat="true" ht="12.8" hidden="false" customHeight="false" outlineLevel="0" collapsed="false">
      <c r="A110" s="77" t="s">
        <v>320</v>
      </c>
      <c r="B110" s="77" t="n">
        <f aca="false">B68+B157</f>
        <v>-228</v>
      </c>
      <c r="C110" s="77" t="n">
        <f aca="false">C68+C157</f>
        <v>-470</v>
      </c>
      <c r="D110" s="77" t="n">
        <f aca="false">D68+D157</f>
        <v>-268</v>
      </c>
      <c r="E110" s="77" t="n">
        <f aca="false">E68+E157</f>
        <v>81</v>
      </c>
      <c r="F110" s="77" t="n">
        <f aca="false">F68+F157</f>
        <v>-54.0490914460502</v>
      </c>
      <c r="G110" s="77" t="n">
        <f aca="false">G68+G157</f>
        <v>534.51470431175</v>
      </c>
      <c r="H110" s="77" t="n">
        <f aca="false">H68+H157</f>
        <v>599.38635904237</v>
      </c>
      <c r="I110" s="77" t="n">
        <f aca="false">I68+I157</f>
        <v>855.40287500652</v>
      </c>
      <c r="J110" s="77" t="n">
        <f aca="false">J68+J157</f>
        <v>366.34004438242</v>
      </c>
      <c r="K110" s="77" t="n">
        <f aca="false">K68+K157</f>
        <v>977.33057134443</v>
      </c>
      <c r="L110" s="77" t="n">
        <f aca="false">L68+L157</f>
        <v>1247.44613607724</v>
      </c>
      <c r="M110" s="77" t="n">
        <f aca="false">M68+L157</f>
        <v>956.45783140762</v>
      </c>
      <c r="N110" s="77" t="n">
        <f aca="false">N68+N157</f>
        <v>1406.32837545794</v>
      </c>
      <c r="O110" s="77" t="n">
        <f aca="false">O68+O157</f>
        <v>1631.43380436374</v>
      </c>
      <c r="P110" s="77" t="n">
        <f aca="false">P68+P157</f>
        <v>1308.48882865999</v>
      </c>
      <c r="Q110" s="77" t="n">
        <f aca="false">Q68+Q157</f>
        <v>1967</v>
      </c>
      <c r="R110" s="77" t="n">
        <f aca="false">R68+R157</f>
        <v>2114</v>
      </c>
      <c r="S110" s="77" t="n">
        <f aca="false">S68+S157</f>
        <v>2085</v>
      </c>
      <c r="T110" s="77"/>
      <c r="U110" s="77"/>
      <c r="V110" s="77"/>
      <c r="W110" s="77"/>
      <c r="X110" s="77"/>
      <c r="Y110" s="77" t="n">
        <f aca="false">Y68+Y157</f>
        <v>-8124</v>
      </c>
      <c r="Z110" s="77" t="n">
        <f aca="false">Z68+Z157</f>
        <v>-4287.49490240048</v>
      </c>
      <c r="AA110" s="77" t="n">
        <f aca="false">AA68+AA157</f>
        <v>-2929.60739587622</v>
      </c>
      <c r="AB110" s="77" t="n">
        <f aca="false">AB68+AB157</f>
        <v>-881.420231523698</v>
      </c>
      <c r="AC110" s="77" t="n">
        <f aca="false">AC68+AC157</f>
        <v>1933.28817564525</v>
      </c>
      <c r="AD110" s="77" t="n">
        <f aca="false">AD68+AD157</f>
        <v>3536.37182716581</v>
      </c>
      <c r="AE110" s="77" t="n">
        <f aca="false">AE68+AE157</f>
        <v>6312.42891464198</v>
      </c>
      <c r="AF110" s="77"/>
      <c r="AG110" s="77"/>
      <c r="AH110" s="77"/>
      <c r="AI110" s="77"/>
      <c r="AJ110" s="77"/>
      <c r="AK110" s="77"/>
      <c r="AL110" s="77"/>
      <c r="AM110" s="77"/>
      <c r="AN110" s="77"/>
      <c r="AO110" s="77"/>
      <c r="AP110" s="77"/>
      <c r="AQ110" s="77"/>
      <c r="AR110" s="100" t="s">
        <v>308</v>
      </c>
      <c r="AS110" s="101" t="n">
        <f aca="false">+Main!E14</f>
        <v>0.10228959905993</v>
      </c>
      <c r="AT110" s="77"/>
      <c r="AU110" s="113" t="s">
        <v>321</v>
      </c>
      <c r="AV110" s="113" t="n">
        <f aca="false">+Main!E4</f>
        <v>8911</v>
      </c>
      <c r="AW110" s="77"/>
      <c r="AX110" s="77"/>
      <c r="AY110" s="77"/>
      <c r="AZ110" s="77"/>
      <c r="BA110" s="77"/>
      <c r="BB110" s="77"/>
      <c r="BC110" s="77"/>
      <c r="BD110" s="77"/>
      <c r="BE110" s="77"/>
      <c r="BF110" s="77"/>
      <c r="BG110" s="77"/>
      <c r="BH110" s="77"/>
      <c r="BI110" s="77"/>
      <c r="BJ110" s="77"/>
      <c r="BK110" s="77"/>
      <c r="BL110" s="77"/>
      <c r="BM110" s="77"/>
      <c r="BN110" s="77"/>
      <c r="BO110" s="77"/>
      <c r="BP110" s="77"/>
      <c r="BQ110" s="77"/>
      <c r="BR110" s="77"/>
      <c r="BS110" s="77"/>
      <c r="BT110" s="77"/>
      <c r="BU110" s="77"/>
      <c r="BV110" s="77"/>
      <c r="BW110" s="77"/>
      <c r="BX110" s="77"/>
      <c r="BY110" s="77"/>
      <c r="BZ110" s="77"/>
      <c r="CA110" s="77"/>
      <c r="CB110" s="77"/>
      <c r="CC110" s="77"/>
      <c r="CD110" s="77"/>
      <c r="CE110" s="77"/>
      <c r="CF110" s="77"/>
      <c r="CG110" s="77"/>
      <c r="CH110" s="77"/>
      <c r="CI110" s="77"/>
      <c r="CJ110" s="77"/>
      <c r="CK110" s="77"/>
      <c r="CL110" s="77"/>
      <c r="CM110" s="77"/>
      <c r="CN110" s="77"/>
      <c r="CO110" s="77"/>
      <c r="CP110" s="77"/>
      <c r="CQ110" s="77"/>
      <c r="CR110" s="77"/>
      <c r="CS110" s="77"/>
      <c r="CT110" s="77"/>
      <c r="CU110" s="77"/>
      <c r="CV110" s="77"/>
      <c r="CW110" s="77"/>
      <c r="CX110" s="77"/>
      <c r="CY110" s="77"/>
      <c r="CZ110" s="77"/>
      <c r="DA110" s="77"/>
      <c r="DB110" s="77"/>
      <c r="DC110" s="77"/>
      <c r="DD110" s="77"/>
      <c r="DE110" s="77"/>
      <c r="DF110" s="77"/>
      <c r="DG110" s="77"/>
      <c r="DH110" s="77"/>
      <c r="DI110" s="77"/>
      <c r="DJ110" s="77"/>
      <c r="DK110" s="77"/>
      <c r="DL110" s="77"/>
      <c r="DM110" s="77"/>
      <c r="DN110" s="77"/>
      <c r="DO110" s="77"/>
      <c r="DP110" s="77"/>
      <c r="DQ110" s="77"/>
      <c r="DR110" s="77"/>
      <c r="DS110" s="77"/>
      <c r="DT110" s="77"/>
      <c r="DU110" s="77"/>
      <c r="DV110" s="77"/>
      <c r="DW110" s="77"/>
      <c r="DX110" s="77"/>
      <c r="DY110" s="77"/>
      <c r="DZ110" s="77"/>
      <c r="EA110" s="77"/>
      <c r="EB110" s="77"/>
      <c r="EC110" s="77"/>
      <c r="ED110" s="77"/>
      <c r="EE110" s="77"/>
      <c r="EF110" s="77"/>
      <c r="EG110" s="77"/>
      <c r="EH110" s="77"/>
      <c r="EI110" s="77"/>
      <c r="EJ110" s="77"/>
      <c r="EK110" s="77"/>
      <c r="EL110" s="77"/>
      <c r="EM110" s="77"/>
      <c r="EN110" s="77"/>
      <c r="EO110" s="77"/>
      <c r="EP110" s="77"/>
      <c r="EQ110" s="77"/>
      <c r="ER110" s="77"/>
      <c r="ES110" s="77"/>
      <c r="ET110" s="77"/>
      <c r="EU110" s="77"/>
      <c r="EV110" s="112"/>
    </row>
    <row r="111" s="33" customFormat="true" ht="12.8" hidden="false" customHeight="false" outlineLevel="0" collapsed="false">
      <c r="A111" s="77" t="s">
        <v>322</v>
      </c>
      <c r="B111" s="77" t="n">
        <v>168</v>
      </c>
      <c r="C111" s="77" t="n">
        <v>364</v>
      </c>
      <c r="D111" s="77" t="n">
        <v>516</v>
      </c>
      <c r="E111" s="77" t="n">
        <v>665</v>
      </c>
      <c r="F111" s="77" t="n">
        <v>761</v>
      </c>
      <c r="G111" s="77" t="n">
        <v>916</v>
      </c>
      <c r="H111" s="77" t="n">
        <v>1092</v>
      </c>
      <c r="I111" s="77" t="n">
        <v>1283</v>
      </c>
      <c r="J111" s="77" t="n">
        <v>1382</v>
      </c>
      <c r="K111" s="77" t="n">
        <v>1570</v>
      </c>
      <c r="L111" s="77" t="n">
        <v>1690</v>
      </c>
      <c r="M111" s="77" t="n">
        <v>1842</v>
      </c>
      <c r="N111" s="77" t="n">
        <v>1868</v>
      </c>
      <c r="O111" s="77" t="n">
        <v>2119</v>
      </c>
      <c r="P111" s="77" t="n">
        <v>2256</v>
      </c>
      <c r="Q111" s="77" t="n">
        <v>2487</v>
      </c>
      <c r="R111" s="77" t="n">
        <v>2481</v>
      </c>
      <c r="S111" s="77" t="n">
        <v>2819</v>
      </c>
      <c r="T111" s="77"/>
      <c r="U111" s="77"/>
      <c r="V111" s="77"/>
      <c r="W111" s="77"/>
      <c r="X111" s="77"/>
      <c r="Y111" s="77" t="n">
        <v>-2725</v>
      </c>
      <c r="Z111" s="77" t="n">
        <v>-2528</v>
      </c>
      <c r="AA111" s="77" t="n">
        <v>-774</v>
      </c>
      <c r="AB111" s="77" t="n">
        <v>1713</v>
      </c>
      <c r="AC111" s="77" t="n">
        <v>4052</v>
      </c>
      <c r="AD111" s="77" t="n">
        <v>6484</v>
      </c>
      <c r="AE111" s="77" t="n">
        <v>8730</v>
      </c>
      <c r="AF111" s="77"/>
      <c r="AG111" s="77"/>
      <c r="AH111" s="77"/>
      <c r="AI111" s="77"/>
      <c r="AJ111" s="77"/>
      <c r="AK111" s="77"/>
      <c r="AL111" s="77"/>
      <c r="AM111" s="77"/>
      <c r="AN111" s="77"/>
      <c r="AO111" s="77"/>
      <c r="AP111" s="77"/>
      <c r="AQ111" s="109"/>
      <c r="AR111" s="98" t="s">
        <v>13</v>
      </c>
      <c r="AS111" s="102" t="n">
        <f aca="false">+NPV(AS110,AF113:AN113,AO113+AS112)</f>
        <v>214646.002885387</v>
      </c>
      <c r="AT111" s="77"/>
      <c r="AU111" s="77" t="s">
        <v>323</v>
      </c>
      <c r="AV111" s="77" t="n">
        <f aca="false">+AV108-AV109+AV110</f>
        <v>213043.002885387</v>
      </c>
      <c r="AW111" s="77"/>
      <c r="AX111" s="77"/>
      <c r="AY111" s="77"/>
      <c r="AZ111" s="77"/>
      <c r="BA111" s="77"/>
      <c r="BB111" s="77"/>
      <c r="BC111" s="77"/>
      <c r="BD111" s="77"/>
      <c r="BE111" s="77"/>
      <c r="BF111" s="77"/>
      <c r="BG111" s="77"/>
      <c r="BH111" s="77"/>
      <c r="BI111" s="77"/>
      <c r="BJ111" s="77"/>
      <c r="BK111" s="77"/>
      <c r="BL111" s="77"/>
      <c r="BM111" s="77"/>
      <c r="BN111" s="77"/>
      <c r="BO111" s="77"/>
      <c r="BP111" s="77"/>
      <c r="BQ111" s="77"/>
      <c r="BR111" s="77"/>
      <c r="BS111" s="77"/>
      <c r="BT111" s="77"/>
      <c r="BU111" s="77"/>
      <c r="BV111" s="77"/>
      <c r="BW111" s="77"/>
      <c r="BX111" s="77"/>
      <c r="BY111" s="77"/>
      <c r="BZ111" s="77"/>
      <c r="CA111" s="77"/>
      <c r="CB111" s="77"/>
      <c r="CC111" s="77"/>
      <c r="CD111" s="77"/>
      <c r="CE111" s="77"/>
      <c r="CF111" s="77"/>
      <c r="CG111" s="77"/>
      <c r="CH111" s="77"/>
      <c r="CI111" s="77"/>
      <c r="CJ111" s="77"/>
      <c r="CK111" s="77"/>
      <c r="CL111" s="77"/>
      <c r="CM111" s="77"/>
      <c r="CN111" s="77"/>
      <c r="CO111" s="77"/>
      <c r="CP111" s="77"/>
      <c r="CQ111" s="77"/>
      <c r="CR111" s="77"/>
      <c r="CS111" s="77"/>
      <c r="CT111" s="77"/>
      <c r="CU111" s="77"/>
      <c r="CV111" s="77"/>
      <c r="CW111" s="77"/>
      <c r="CX111" s="77"/>
      <c r="CY111" s="77"/>
      <c r="CZ111" s="77"/>
      <c r="DA111" s="77"/>
      <c r="DB111" s="77"/>
      <c r="DC111" s="77"/>
      <c r="DD111" s="77"/>
      <c r="DE111" s="77"/>
      <c r="DF111" s="77"/>
      <c r="DG111" s="77"/>
      <c r="DH111" s="77"/>
      <c r="DI111" s="77"/>
      <c r="DJ111" s="77"/>
      <c r="DK111" s="77"/>
      <c r="DL111" s="77"/>
      <c r="DM111" s="77"/>
      <c r="DN111" s="77"/>
      <c r="DO111" s="77"/>
      <c r="DP111" s="77"/>
      <c r="DQ111" s="77"/>
      <c r="DR111" s="77"/>
      <c r="DS111" s="77"/>
      <c r="DT111" s="77"/>
      <c r="DU111" s="77"/>
      <c r="DV111" s="77"/>
      <c r="DW111" s="77"/>
      <c r="DX111" s="77"/>
      <c r="DY111" s="77"/>
      <c r="DZ111" s="77"/>
      <c r="EA111" s="77"/>
      <c r="EB111" s="77"/>
      <c r="EC111" s="77"/>
      <c r="ED111" s="77"/>
      <c r="EE111" s="77"/>
      <c r="EF111" s="77"/>
      <c r="EG111" s="77"/>
      <c r="EH111" s="77"/>
      <c r="EI111" s="77"/>
      <c r="EJ111" s="77"/>
      <c r="EK111" s="77"/>
      <c r="EL111" s="77"/>
      <c r="EM111" s="77"/>
      <c r="EN111" s="77"/>
      <c r="EO111" s="77"/>
      <c r="EP111" s="77"/>
      <c r="EQ111" s="77"/>
      <c r="ER111" s="77"/>
      <c r="ES111" s="77"/>
      <c r="ET111" s="77"/>
      <c r="EU111" s="77"/>
      <c r="EV111" s="112"/>
    </row>
    <row r="112" s="33" customFormat="true" ht="12.8" hidden="false" customHeight="false" outlineLevel="0" collapsed="false">
      <c r="A112" s="77" t="s">
        <v>324</v>
      </c>
      <c r="B112" s="77" t="n">
        <f aca="false">B134-B144-B150</f>
        <v>9613</v>
      </c>
      <c r="C112" s="77" t="n">
        <f aca="false">C134-C144-C150</f>
        <v>7369</v>
      </c>
      <c r="D112" s="77" t="n">
        <f aca="false">D134-D144-D150</f>
        <v>6677</v>
      </c>
      <c r="E112" s="77" t="n">
        <f aca="false">E134-E144-E150</f>
        <v>8074</v>
      </c>
      <c r="F112" s="77" t="n">
        <f aca="false">F134-F144-F150</f>
        <v>8253</v>
      </c>
      <c r="G112" s="77" t="n">
        <f aca="false">G134-G144-G150</f>
        <v>9420</v>
      </c>
      <c r="H112" s="77" t="n">
        <f aca="false">H134-H144-H150</f>
        <v>10125</v>
      </c>
      <c r="I112" s="77" t="n">
        <f aca="false">I134-I144-I150</f>
        <v>12028</v>
      </c>
      <c r="J112" s="77" t="n">
        <f aca="false">J134-J144-J150</f>
        <v>11848</v>
      </c>
      <c r="K112" s="77" t="n">
        <f aca="false">K134-K144-K150</f>
        <v>13152</v>
      </c>
      <c r="L112" s="77" t="n">
        <f aca="false">L134-L144-L150</f>
        <v>15593</v>
      </c>
      <c r="M112" s="77" t="n">
        <f aca="false">M134-M144-M150</f>
        <v>22383</v>
      </c>
      <c r="N112" s="77" t="n">
        <f aca="false">N134-N144-N150</f>
        <v>22812</v>
      </c>
      <c r="O112" s="77" t="n">
        <f aca="false">O134-O144-O150</f>
        <v>23447</v>
      </c>
      <c r="P112" s="77" t="n">
        <f aca="false">P134-P144-P150</f>
        <v>28997</v>
      </c>
      <c r="Q112" s="77" t="n">
        <f aca="false">Q134-Q144-Q150</f>
        <v>27918</v>
      </c>
      <c r="R112" s="77" t="n">
        <f aca="false">R134-R144-R150</f>
        <v>25641</v>
      </c>
      <c r="S112" s="77" t="n">
        <f aca="false">S134-S144-S150</f>
        <v>27496</v>
      </c>
      <c r="T112" s="77"/>
      <c r="U112" s="77"/>
      <c r="V112" s="77"/>
      <c r="W112" s="77"/>
      <c r="X112" s="77"/>
      <c r="Y112" s="77" t="n">
        <f aca="false">Y134-Y144-Y150</f>
        <v>14871.6264932495</v>
      </c>
      <c r="Z112" s="77" t="n">
        <f aca="false">Z134-Z144-Z150</f>
        <v>12966.4123616855</v>
      </c>
      <c r="AA112" s="77" t="n">
        <f aca="false">AA134-AA144-AA150</f>
        <v>15144.5726738712</v>
      </c>
      <c r="AB112" s="77" t="n">
        <f aca="false">AB134-AB144-AB150</f>
        <v>8073.77318480239</v>
      </c>
      <c r="AC112" s="77" t="n">
        <f aca="false">AC134-AC144-AC150</f>
        <v>12027.8004897265</v>
      </c>
      <c r="AD112" s="77" t="n">
        <f aca="false">AD134-AD144-AD150</f>
        <v>22382.78393925</v>
      </c>
      <c r="AE112" s="77" t="n">
        <f aca="false">AE134-AE144-AE150</f>
        <v>27917.8145237048</v>
      </c>
      <c r="AF112" s="77"/>
      <c r="AG112" s="77"/>
      <c r="AH112" s="77"/>
      <c r="AI112" s="77"/>
      <c r="AJ112" s="77"/>
      <c r="AK112" s="77"/>
      <c r="AL112" s="77"/>
      <c r="AM112" s="77"/>
      <c r="AN112" s="77"/>
      <c r="AO112" s="77"/>
      <c r="AP112" s="109"/>
      <c r="AQ112" s="74"/>
      <c r="AR112" s="100" t="s">
        <v>325</v>
      </c>
      <c r="AS112" s="114" t="n">
        <f aca="false">+AO113*(1+AS109)/(AS110-AS109)</f>
        <v>300479.620133805</v>
      </c>
      <c r="AT112" s="109"/>
      <c r="AU112" s="115" t="s">
        <v>301</v>
      </c>
      <c r="AV112" s="115" t="n">
        <f aca="false">+Main!E2</f>
        <v>2035.599013</v>
      </c>
      <c r="AW112" s="109"/>
      <c r="AX112" s="109"/>
      <c r="AY112" s="109"/>
      <c r="AZ112" s="109"/>
      <c r="BA112" s="109"/>
      <c r="BB112" s="109"/>
      <c r="BC112" s="109"/>
      <c r="BD112" s="109"/>
      <c r="BE112" s="109"/>
      <c r="BF112" s="109"/>
      <c r="BG112" s="109"/>
      <c r="BH112" s="109"/>
      <c r="BI112" s="109"/>
      <c r="BJ112" s="109"/>
      <c r="BK112" s="109"/>
      <c r="BL112" s="109"/>
      <c r="BM112" s="109"/>
      <c r="BN112" s="109"/>
      <c r="BO112" s="109"/>
      <c r="BP112" s="109"/>
      <c r="BQ112" s="109"/>
      <c r="BR112" s="109"/>
      <c r="BS112" s="109"/>
      <c r="BT112" s="109"/>
      <c r="BU112" s="109"/>
      <c r="BV112" s="109"/>
      <c r="BW112" s="109"/>
      <c r="BX112" s="109"/>
      <c r="BY112" s="109"/>
      <c r="BZ112" s="109"/>
      <c r="CA112" s="109"/>
      <c r="CB112" s="109"/>
      <c r="CC112" s="109"/>
      <c r="CD112" s="109"/>
      <c r="CE112" s="109"/>
      <c r="CF112" s="109"/>
      <c r="CG112" s="109"/>
      <c r="CH112" s="109"/>
      <c r="CI112" s="109"/>
      <c r="CJ112" s="109"/>
      <c r="CK112" s="109"/>
      <c r="CL112" s="109"/>
      <c r="CM112" s="109"/>
      <c r="CN112" s="109"/>
      <c r="CO112" s="109"/>
      <c r="CP112" s="109"/>
      <c r="CQ112" s="109"/>
      <c r="CR112" s="109"/>
      <c r="CS112" s="109"/>
      <c r="CT112" s="109"/>
      <c r="CU112" s="109"/>
      <c r="CV112" s="109"/>
      <c r="CW112" s="109"/>
      <c r="CX112" s="109"/>
      <c r="CY112" s="109"/>
      <c r="CZ112" s="109"/>
      <c r="DA112" s="109"/>
      <c r="DB112" s="109"/>
      <c r="DC112" s="109"/>
      <c r="DD112" s="109"/>
      <c r="DE112" s="109"/>
      <c r="DF112" s="109"/>
      <c r="DG112" s="109"/>
      <c r="DH112" s="109"/>
      <c r="DI112" s="109"/>
      <c r="DJ112" s="109"/>
      <c r="DK112" s="109"/>
      <c r="DL112" s="109"/>
      <c r="DM112" s="109"/>
      <c r="DN112" s="109"/>
      <c r="DO112" s="109"/>
      <c r="DP112" s="109"/>
      <c r="DQ112" s="109"/>
      <c r="DR112" s="109"/>
      <c r="DS112" s="109"/>
      <c r="DT112" s="109"/>
      <c r="DU112" s="109"/>
      <c r="DV112" s="109"/>
      <c r="DW112" s="109"/>
      <c r="DX112" s="109"/>
      <c r="DY112" s="109"/>
      <c r="DZ112" s="109"/>
      <c r="EA112" s="109"/>
      <c r="EB112" s="109"/>
      <c r="EC112" s="109"/>
      <c r="ED112" s="109"/>
      <c r="EE112" s="109"/>
      <c r="EF112" s="109"/>
      <c r="EG112" s="109"/>
      <c r="EH112" s="109"/>
      <c r="EI112" s="109"/>
      <c r="EJ112" s="109"/>
      <c r="EK112" s="109"/>
      <c r="EL112" s="109"/>
      <c r="EM112" s="109"/>
      <c r="EN112" s="109"/>
      <c r="EO112" s="109"/>
      <c r="EP112" s="109"/>
      <c r="EQ112" s="109"/>
      <c r="ER112" s="109"/>
      <c r="ES112" s="109"/>
      <c r="ET112" s="109"/>
      <c r="EU112" s="109"/>
      <c r="EV112" s="112"/>
    </row>
    <row r="113" s="83" customFormat="true" ht="12.8" hidden="false" customHeight="false" outlineLevel="0" collapsed="false">
      <c r="A113" s="77" t="s">
        <v>326</v>
      </c>
      <c r="B113" s="77"/>
      <c r="C113" s="77" t="n">
        <f aca="false">+C109+C157-C173-(C101-B101)</f>
        <v>-583.479264475743</v>
      </c>
      <c r="D113" s="77" t="n">
        <f aca="false">+D109+D157-D173-(D101-C101)</f>
        <v>-411.413265306122</v>
      </c>
      <c r="E113" s="77" t="n">
        <f aca="false">+E109+E157-E173-(E101-D101)</f>
        <v>-360.164556962025</v>
      </c>
      <c r="F113" s="77" t="n">
        <f aca="false">+F109+F157-F173-(F101-E101)</f>
        <v>-23.8122816141858</v>
      </c>
      <c r="G113" s="77" t="n">
        <f aca="false">+G109+G157-G173-(G101-F101)</f>
        <v>414.922452559239</v>
      </c>
      <c r="H113" s="77" t="n">
        <f aca="false">+H109+H157-H173-(H101-G101)</f>
        <v>308.823288560856</v>
      </c>
      <c r="I113" s="77" t="n">
        <f aca="false">+I109+I157-I173-(I101-H101)</f>
        <v>339.946385213176</v>
      </c>
      <c r="J113" s="77" t="n">
        <f aca="false">+J109+J157-J173-(J101-I101)</f>
        <v>56.2774417704881</v>
      </c>
      <c r="K113" s="77" t="n">
        <f aca="false">+K109+K157-K173-(K101-J101)</f>
        <v>680.197874311626</v>
      </c>
      <c r="L113" s="77" t="n">
        <f aca="false">+L109+L157-L173-(L101-K101)</f>
        <v>1258.88944666722</v>
      </c>
      <c r="M113" s="77" t="n">
        <f aca="false">+M109+M157-M173-(M101-L101)</f>
        <v>6429.12228138136</v>
      </c>
      <c r="N113" s="77" t="n">
        <f aca="false">+N109+N157-N173-(N101-M101)</f>
        <v>1547.76950211202</v>
      </c>
      <c r="O113" s="77" t="n">
        <f aca="false">+O109+O157-O173-(O101-N101)</f>
        <v>1274.53073849122</v>
      </c>
      <c r="P113" s="77" t="n">
        <f aca="false">+P109+P157-P173-(P101-O101)</f>
        <v>3022.70081364757</v>
      </c>
      <c r="Q113" s="77" t="n">
        <f aca="false">+Q109+Q157-Q173-(Q101-P101)</f>
        <v>1975.84879725086</v>
      </c>
      <c r="R113" s="77" t="n">
        <f aca="false">+R109+R157-R173-(R101-Q101)</f>
        <v>1404.85887096774</v>
      </c>
      <c r="S113" s="77" t="n">
        <f aca="false">+S109+S157-S173-(S101-R101)</f>
        <v>1304.53249923711</v>
      </c>
      <c r="T113" s="77"/>
      <c r="U113" s="77"/>
      <c r="V113" s="77"/>
      <c r="W113" s="77"/>
      <c r="X113" s="77"/>
      <c r="Y113" s="77"/>
      <c r="Z113" s="77" t="n">
        <f aca="false">+Z109+Z157-Z173-(Z101-Y101)</f>
        <v>-5199.07697619364</v>
      </c>
      <c r="AA113" s="77" t="n">
        <f aca="false">+AA109+AA157-AA173-(AA101-Z101)</f>
        <v>-985.132718914972</v>
      </c>
      <c r="AB113" s="77" t="n">
        <f aca="false">+AB109+AB157-AB173-(AB101-AA101)</f>
        <v>-1448.29718948418</v>
      </c>
      <c r="AC113" s="77" t="n">
        <f aca="false">+AC109+AC157-AC173-(AC101-AB101)</f>
        <v>604.4088037113</v>
      </c>
      <c r="AD113" s="77" t="n">
        <f aca="false">+AD109+AD157-AD173-(AD101-AC101)</f>
        <v>7951.60338255619</v>
      </c>
      <c r="AE113" s="77" t="n">
        <f aca="false">+AE109+AE157-AE173-(AE101-AD101)</f>
        <v>10484.354004488</v>
      </c>
      <c r="AF113" s="77" t="n">
        <f aca="false">+AF109+AF157-AF173-(AF101-AE101)</f>
        <v>9120.97184870302</v>
      </c>
      <c r="AG113" s="77" t="n">
        <f aca="false">+AG109+AG157-AG173-(AG101-AF101)</f>
        <v>-1359.50713445111</v>
      </c>
      <c r="AH113" s="77" t="n">
        <f aca="false">+AH109+AH157-AH173-(AH101-AG101)</f>
        <v>12302.6038619775</v>
      </c>
      <c r="AI113" s="77" t="n">
        <f aca="false">+AI109+AI157-AI173-(AI101-AH101)</f>
        <v>15069.6867733272</v>
      </c>
      <c r="AJ113" s="77" t="n">
        <f aca="false">+AJ109+AJ157-AJ173-(AJ101-AI101)</f>
        <v>18389.4071318941</v>
      </c>
      <c r="AK113" s="77" t="n">
        <f aca="false">+AK109+AK157-AK173-(AK101-AJ101)</f>
        <v>22241.6619052026</v>
      </c>
      <c r="AL113" s="77" t="n">
        <f aca="false">+AL109+AL157-AL173-(AL101-AK101)</f>
        <v>25639.956992627</v>
      </c>
      <c r="AM113" s="77" t="n">
        <f aca="false">+AM109+AM157-AM173-(AM101-AL101)</f>
        <v>27033.3946150219</v>
      </c>
      <c r="AN113" s="77" t="n">
        <f aca="false">+AN109+AN157-AN173-(AN101-AM101)</f>
        <v>30496.5501196679</v>
      </c>
      <c r="AO113" s="77" t="n">
        <f aca="false">+AO109+AO157-AO173-(AO101-AN101)</f>
        <v>34081.5515863687</v>
      </c>
      <c r="AP113" s="109"/>
      <c r="AQ113" s="74"/>
      <c r="AR113" s="116" t="s">
        <v>314</v>
      </c>
      <c r="AS113" s="117" t="n">
        <f aca="false">+AS111/Main!E6-1</f>
        <v>0.391339417002894</v>
      </c>
      <c r="AT113" s="109"/>
      <c r="AU113" s="109" t="s">
        <v>1</v>
      </c>
      <c r="AV113" s="109" t="n">
        <f aca="false">+AV111/AV112</f>
        <v>104.658629486861</v>
      </c>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c r="CU113" s="109"/>
      <c r="CV113" s="109"/>
      <c r="CW113" s="109"/>
      <c r="CX113" s="109"/>
      <c r="CY113" s="109"/>
      <c r="CZ113" s="109"/>
      <c r="DA113" s="109"/>
      <c r="DB113" s="109"/>
      <c r="DC113" s="109"/>
      <c r="DD113" s="109"/>
      <c r="DE113" s="109"/>
      <c r="DF113" s="109"/>
      <c r="DG113" s="109"/>
      <c r="DH113" s="109"/>
      <c r="DI113" s="109"/>
      <c r="DJ113" s="109"/>
      <c r="DK113" s="109"/>
      <c r="DL113" s="109"/>
      <c r="DM113" s="109"/>
      <c r="DN113" s="109"/>
      <c r="DO113" s="109"/>
      <c r="DP113" s="109"/>
      <c r="DQ113" s="109"/>
      <c r="DR113" s="109"/>
      <c r="DS113" s="109"/>
      <c r="DT113" s="109"/>
      <c r="DU113" s="109"/>
      <c r="DV113" s="109"/>
      <c r="DW113" s="109"/>
      <c r="DX113" s="109"/>
      <c r="DY113" s="109"/>
      <c r="DZ113" s="109"/>
      <c r="EA113" s="109"/>
      <c r="EB113" s="109"/>
      <c r="EC113" s="109"/>
      <c r="ED113" s="109"/>
      <c r="EE113" s="109"/>
      <c r="EF113" s="109"/>
      <c r="EG113" s="109"/>
      <c r="EH113" s="109"/>
      <c r="EI113" s="109"/>
      <c r="EJ113" s="109"/>
      <c r="EK113" s="109"/>
      <c r="EL113" s="109"/>
      <c r="EM113" s="109"/>
      <c r="EN113" s="109"/>
      <c r="EO113" s="109"/>
      <c r="EP113" s="109"/>
      <c r="EQ113" s="109"/>
      <c r="ER113" s="109"/>
      <c r="ES113" s="109"/>
      <c r="ET113" s="109"/>
      <c r="EU113" s="109"/>
      <c r="EV113" s="112"/>
    </row>
    <row r="114" s="33" customFormat="true" ht="12.8" hidden="false" customHeight="false" outlineLevel="0" collapsed="false">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37"/>
      <c r="AQ114" s="40"/>
      <c r="AR114" s="109"/>
      <c r="AS114" s="74"/>
      <c r="AT114" s="37"/>
      <c r="AU114" s="37"/>
      <c r="AV114" s="118" t="n">
        <f aca="false">+AV113/Main!E1-1</f>
        <v>0.395448393158147</v>
      </c>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K114" s="37"/>
      <c r="DL114" s="37"/>
      <c r="DM114" s="37"/>
      <c r="DN114" s="37"/>
      <c r="DO114" s="37"/>
      <c r="DP114" s="37"/>
      <c r="DQ114" s="37"/>
      <c r="DR114" s="37"/>
      <c r="DS114" s="37"/>
      <c r="DT114" s="37"/>
      <c r="DU114" s="37"/>
      <c r="DV114" s="37"/>
      <c r="DW114" s="37"/>
      <c r="DX114" s="37"/>
      <c r="DY114" s="37"/>
      <c r="DZ114" s="37"/>
      <c r="EA114" s="37"/>
      <c r="EB114" s="37"/>
      <c r="EC114" s="37"/>
      <c r="ED114" s="37"/>
      <c r="EE114" s="37"/>
      <c r="EF114" s="37"/>
      <c r="EG114" s="37"/>
      <c r="EH114" s="37"/>
      <c r="EI114" s="37"/>
      <c r="EJ114" s="37"/>
      <c r="EK114" s="37"/>
      <c r="EL114" s="37"/>
      <c r="EM114" s="37"/>
      <c r="EN114" s="37"/>
      <c r="EO114" s="37"/>
      <c r="EP114" s="37"/>
      <c r="EQ114" s="37"/>
      <c r="ER114" s="37"/>
      <c r="ES114" s="37"/>
      <c r="ET114" s="37"/>
      <c r="EU114" s="37"/>
      <c r="EV114" s="23"/>
    </row>
    <row r="115" s="33" customFormat="true" ht="12.8" hidden="false" customHeight="fals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1"/>
      <c r="AH115" s="1"/>
      <c r="AI115" s="1"/>
      <c r="AJ115" s="3"/>
      <c r="AK115" s="3"/>
      <c r="AL115" s="3"/>
      <c r="AM115" s="3"/>
      <c r="AN115" s="3"/>
      <c r="AO115" s="3"/>
      <c r="AP115" s="40"/>
      <c r="AQ115" s="40"/>
      <c r="AR115" s="77"/>
      <c r="AS115" s="109"/>
      <c r="AT115" s="40"/>
      <c r="AU115" s="40"/>
      <c r="AV115" s="40"/>
      <c r="AW115" s="40"/>
      <c r="AX115" s="40"/>
      <c r="AY115" s="40"/>
      <c r="AZ115" s="40"/>
      <c r="BA115" s="40"/>
      <c r="BB115" s="40"/>
      <c r="BC115" s="40"/>
      <c r="BD115" s="40"/>
      <c r="BE115" s="40"/>
      <c r="BF115" s="40"/>
      <c r="BG115" s="40"/>
      <c r="BH115" s="40"/>
      <c r="BI115" s="40"/>
      <c r="BJ115" s="40"/>
      <c r="BK115" s="40"/>
      <c r="BL115" s="40"/>
      <c r="BM115" s="40"/>
      <c r="BN115" s="40"/>
      <c r="BO115" s="40"/>
      <c r="BP115" s="40"/>
      <c r="BQ115" s="40"/>
      <c r="BR115" s="40"/>
      <c r="BS115" s="40"/>
      <c r="BT115" s="40"/>
      <c r="BU115" s="40"/>
      <c r="BV115" s="40"/>
      <c r="BW115" s="40"/>
      <c r="BX115" s="40"/>
      <c r="BY115" s="40"/>
      <c r="BZ115" s="40"/>
      <c r="CA115" s="40"/>
      <c r="CB115" s="40"/>
      <c r="CC115" s="40"/>
      <c r="CD115" s="40"/>
      <c r="CE115" s="40"/>
      <c r="CF115" s="40"/>
      <c r="CG115" s="40"/>
      <c r="CH115" s="40"/>
      <c r="CI115" s="40"/>
      <c r="CJ115" s="40"/>
      <c r="CK115" s="40"/>
      <c r="CL115" s="40"/>
      <c r="CM115" s="40"/>
      <c r="CN115" s="40"/>
      <c r="CO115" s="40"/>
      <c r="CP115" s="40"/>
      <c r="CQ115" s="40"/>
      <c r="CR115" s="40"/>
      <c r="CS115" s="40"/>
      <c r="CT115" s="40"/>
      <c r="CU115" s="40"/>
      <c r="CV115" s="40"/>
      <c r="CW115" s="40"/>
      <c r="CX115" s="40"/>
      <c r="CY115" s="40"/>
      <c r="CZ115" s="40"/>
      <c r="DA115" s="40"/>
      <c r="DB115" s="40"/>
      <c r="DC115" s="40"/>
      <c r="DD115" s="40"/>
      <c r="DE115" s="40"/>
      <c r="DF115" s="40"/>
      <c r="DG115" s="40"/>
      <c r="DH115" s="40"/>
      <c r="DI115" s="40"/>
      <c r="DJ115" s="40"/>
      <c r="DK115" s="40"/>
      <c r="DL115" s="40"/>
      <c r="DM115" s="40"/>
      <c r="DN115" s="40"/>
      <c r="DO115" s="40"/>
      <c r="DP115" s="40"/>
      <c r="DQ115" s="40"/>
      <c r="DR115" s="40"/>
      <c r="DS115" s="40"/>
      <c r="DT115" s="40"/>
      <c r="DU115" s="40"/>
      <c r="DV115" s="40"/>
      <c r="DW115" s="40"/>
      <c r="DX115" s="40"/>
      <c r="DY115" s="40"/>
      <c r="DZ115" s="40"/>
      <c r="EA115" s="40"/>
      <c r="EB115" s="40"/>
      <c r="EC115" s="40"/>
      <c r="ED115" s="40"/>
      <c r="EE115" s="40"/>
      <c r="EF115" s="40"/>
      <c r="EG115" s="40"/>
      <c r="EH115" s="40"/>
      <c r="EI115" s="40"/>
      <c r="EJ115" s="40"/>
      <c r="EK115" s="40"/>
      <c r="EL115" s="40"/>
      <c r="EM115" s="40"/>
      <c r="EN115" s="40"/>
      <c r="EO115" s="40"/>
      <c r="EP115" s="40"/>
      <c r="EQ115" s="40"/>
      <c r="ER115" s="40"/>
      <c r="ES115" s="40"/>
      <c r="ET115" s="40"/>
      <c r="EU115" s="40"/>
      <c r="EV115" s="1"/>
    </row>
    <row r="116" s="33" customFormat="true" ht="12.8" hidden="false" customHeight="false" outlineLevel="0" collapsed="false">
      <c r="A116" s="74" t="s">
        <v>327</v>
      </c>
      <c r="B116" s="74" t="n">
        <f aca="false">+B44/B$52</f>
        <v>0.3673767143274</v>
      </c>
      <c r="C116" s="74" t="n">
        <f aca="false">+C44/C$52</f>
        <v>0.440109005326397</v>
      </c>
      <c r="D116" s="74" t="n">
        <f aca="false">+D44/D$52</f>
        <v>0.458108594030924</v>
      </c>
      <c r="E116" s="74" t="n">
        <f aca="false">+E44/E$52</f>
        <v>0.480539096084582</v>
      </c>
      <c r="F116" s="74" t="n">
        <f aca="false">+F44/F$52</f>
        <v>0.49070989230034</v>
      </c>
      <c r="G116" s="74" t="n">
        <f aca="false">+G44/G$52</f>
        <v>0.530197952852393</v>
      </c>
      <c r="H116" s="74" t="n">
        <f aca="false">+H44/H$52</f>
        <v>0.545715578761471</v>
      </c>
      <c r="I116" s="74" t="n">
        <f aca="false">+I44/I$52</f>
        <v>0.557243911066395</v>
      </c>
      <c r="J116" s="74" t="n">
        <f aca="false">+J44/J$52</f>
        <v>0.555997526025529</v>
      </c>
      <c r="K116" s="74" t="n">
        <f aca="false">+K44/K$52</f>
        <v>0.573253317652344</v>
      </c>
      <c r="L116" s="74" t="n">
        <f aca="false">+L44/L$52</f>
        <v>0.57282306426217</v>
      </c>
      <c r="M116" s="74" t="n">
        <f aca="false">+M44/M$52</f>
        <v>0.577869005219493</v>
      </c>
      <c r="N116" s="74" t="n">
        <f aca="false">+N44/N$52</f>
        <v>0.563237236340466</v>
      </c>
      <c r="O116" s="74" t="n">
        <f aca="false">+O44/O$52</f>
        <v>0.576061189008175</v>
      </c>
      <c r="P116" s="74" t="n">
        <f aca="false">+P44/P$52</f>
        <v>0.57041072004842</v>
      </c>
      <c r="Q116" s="74" t="n">
        <f aca="false">+Q44/Q$52</f>
        <v>0.571070583321732</v>
      </c>
      <c r="R116" s="74" t="n">
        <f aca="false">+R44/R$52</f>
        <v>0.51488298114065</v>
      </c>
      <c r="S116" s="74" t="n">
        <f aca="false">+S44/S$52</f>
        <v>0.518849975336481</v>
      </c>
      <c r="T116" s="74"/>
      <c r="U116" s="74"/>
      <c r="V116" s="74"/>
      <c r="W116" s="74"/>
      <c r="X116" s="74"/>
      <c r="Y116" s="74" t="n">
        <f aca="false">+Y44/Y$52</f>
        <v>0.759524987629886</v>
      </c>
      <c r="Z116" s="74" t="n">
        <f aca="false">+Z44/Z$52</f>
        <v>0.546613152617717</v>
      </c>
      <c r="AA116" s="74" t="n">
        <f aca="false">+AA44/AA$52</f>
        <v>0.398283991067347</v>
      </c>
      <c r="AB116" s="74" t="n">
        <f aca="false">+AB44/AB$52</f>
        <v>0.440048459026832</v>
      </c>
      <c r="AC116" s="74" t="n">
        <f aca="false">+AC44/AC$52</f>
        <v>0.531955867687953</v>
      </c>
      <c r="AD116" s="74" t="n">
        <f aca="false">+AD44/AD$52</f>
        <v>0.570439490088252</v>
      </c>
      <c r="AE116" s="74" t="n">
        <f aca="false">+AE44/AE$52</f>
        <v>0.570385746067669</v>
      </c>
      <c r="AF116" s="74"/>
      <c r="AG116" s="74"/>
      <c r="AH116" s="74"/>
      <c r="AI116" s="74"/>
      <c r="AJ116" s="74"/>
      <c r="AK116" s="74"/>
      <c r="AL116" s="74"/>
      <c r="AM116" s="74"/>
      <c r="AN116" s="74"/>
      <c r="AO116" s="74"/>
      <c r="AP116" s="74"/>
      <c r="AQ116" s="74"/>
      <c r="AT116" s="74"/>
      <c r="AU116" s="74"/>
      <c r="AV116" s="74"/>
      <c r="AW116" s="74"/>
      <c r="AX116" s="74"/>
      <c r="AY116" s="74"/>
      <c r="AZ116" s="74"/>
      <c r="BA116" s="74"/>
      <c r="BB116" s="74"/>
      <c r="BC116" s="74"/>
      <c r="BD116" s="74"/>
      <c r="BE116" s="74"/>
      <c r="BF116" s="74"/>
      <c r="BG116" s="74"/>
      <c r="BH116" s="74"/>
      <c r="BI116" s="74"/>
      <c r="BJ116" s="74"/>
      <c r="BK116" s="74"/>
      <c r="BL116" s="74"/>
      <c r="BM116" s="74"/>
      <c r="BN116" s="74"/>
      <c r="BO116" s="74"/>
      <c r="BP116" s="74"/>
      <c r="BQ116" s="74"/>
      <c r="BR116" s="74"/>
      <c r="BS116" s="74"/>
      <c r="BT116" s="74"/>
      <c r="BU116" s="74"/>
      <c r="BV116" s="74"/>
      <c r="BW116" s="74"/>
      <c r="BX116" s="74"/>
      <c r="BY116" s="74"/>
      <c r="BZ116" s="74"/>
      <c r="CA116" s="74"/>
      <c r="CB116" s="74"/>
      <c r="CC116" s="74"/>
      <c r="CD116" s="74"/>
      <c r="CE116" s="74"/>
      <c r="CF116" s="74"/>
      <c r="CG116" s="74"/>
      <c r="CH116" s="74"/>
      <c r="CI116" s="74"/>
      <c r="CJ116" s="74"/>
      <c r="CK116" s="74"/>
      <c r="CL116" s="74"/>
      <c r="CM116" s="74"/>
      <c r="CN116" s="74"/>
      <c r="CO116" s="74"/>
      <c r="CP116" s="74"/>
      <c r="CQ116" s="74"/>
      <c r="CR116" s="74"/>
      <c r="CS116" s="74"/>
      <c r="CT116" s="74"/>
      <c r="CU116" s="74"/>
      <c r="CV116" s="74"/>
      <c r="CW116" s="74"/>
      <c r="CX116" s="74"/>
      <c r="CY116" s="74"/>
      <c r="CZ116" s="74"/>
      <c r="DA116" s="74"/>
      <c r="DB116" s="74"/>
      <c r="DC116" s="74"/>
      <c r="DD116" s="74"/>
      <c r="DE116" s="74"/>
      <c r="DF116" s="74"/>
      <c r="DG116" s="74"/>
      <c r="DH116" s="74"/>
      <c r="DI116" s="74"/>
      <c r="DJ116" s="74"/>
      <c r="DK116" s="74"/>
      <c r="DL116" s="74"/>
      <c r="DM116" s="74"/>
      <c r="DN116" s="74"/>
      <c r="DO116" s="74"/>
      <c r="DP116" s="74"/>
      <c r="DQ116" s="74"/>
      <c r="DR116" s="74"/>
      <c r="DS116" s="74"/>
      <c r="DT116" s="74"/>
      <c r="DU116" s="74"/>
      <c r="DV116" s="74"/>
      <c r="DW116" s="74"/>
      <c r="DX116" s="74"/>
      <c r="DY116" s="74"/>
      <c r="DZ116" s="74"/>
      <c r="EA116" s="74"/>
      <c r="EB116" s="74"/>
      <c r="EC116" s="74"/>
      <c r="ED116" s="74"/>
      <c r="EE116" s="74"/>
      <c r="EF116" s="74"/>
      <c r="EG116" s="74"/>
      <c r="EH116" s="74"/>
      <c r="EI116" s="74"/>
      <c r="EJ116" s="74"/>
      <c r="EK116" s="74"/>
      <c r="EL116" s="74"/>
      <c r="EM116" s="74"/>
      <c r="EN116" s="74"/>
      <c r="EO116" s="74"/>
      <c r="EP116" s="74"/>
      <c r="EQ116" s="74"/>
      <c r="ER116" s="74"/>
      <c r="ES116" s="74"/>
      <c r="ET116" s="74"/>
      <c r="EU116" s="74"/>
      <c r="EV116" s="112"/>
    </row>
    <row r="117" s="33" customFormat="true" ht="12.8" hidden="false" customHeight="false" outlineLevel="0" collapsed="false">
      <c r="A117" s="74" t="s">
        <v>328</v>
      </c>
      <c r="B117" s="74" t="n">
        <f aca="false">+B46/B$52</f>
        <v>0.366501313101838</v>
      </c>
      <c r="C117" s="74" t="n">
        <f aca="false">+C46/C$52</f>
        <v>0.332961724266072</v>
      </c>
      <c r="D117" s="74" t="n">
        <f aca="false">+D46/D$52</f>
        <v>0.332014862759199</v>
      </c>
      <c r="E117" s="74" t="n">
        <f aca="false">+E46/E$52</f>
        <v>0.340536772394563</v>
      </c>
      <c r="F117" s="74" t="n">
        <f aca="false">+F46/F$52</f>
        <v>0.350523255631629</v>
      </c>
      <c r="G117" s="74" t="n">
        <f aca="false">+G46/G$52</f>
        <v>0.331184131971754</v>
      </c>
      <c r="H117" s="74" t="n">
        <f aca="false">+H46/H$52</f>
        <v>0.315849975086751</v>
      </c>
      <c r="I117" s="74" t="n">
        <f aca="false">+I46/I$52</f>
        <v>0.31389629016003</v>
      </c>
      <c r="J117" s="74" t="n">
        <f aca="false">+J46/J$52</f>
        <v>0.317233454401926</v>
      </c>
      <c r="K117" s="74" t="n">
        <f aca="false">+K46/K$52</f>
        <v>0.307747501635013</v>
      </c>
      <c r="L117" s="74" t="n">
        <f aca="false">+L46/L$52</f>
        <v>0.310141368854693</v>
      </c>
      <c r="M117" s="74" t="n">
        <f aca="false">+M46/M$52</f>
        <v>0.315482528822623</v>
      </c>
      <c r="N117" s="74" t="n">
        <f aca="false">+N46/N$52</f>
        <v>0.327485689910397</v>
      </c>
      <c r="O117" s="74" t="n">
        <f aca="false">+O46/O$52</f>
        <v>0.324232024878092</v>
      </c>
      <c r="P117" s="74" t="n">
        <f aca="false">+P46/P$52</f>
        <v>0.332430199642903</v>
      </c>
      <c r="Q117" s="74" t="n">
        <f aca="false">+Q46/Q$52</f>
        <v>0.340526242517054</v>
      </c>
      <c r="R117" s="74" t="n">
        <f aca="false">+R46/R$52</f>
        <v>0.3838521548133</v>
      </c>
      <c r="S117" s="74" t="n">
        <f aca="false">+S46/S$52</f>
        <v>0.369600450990064</v>
      </c>
      <c r="T117" s="74"/>
      <c r="U117" s="74"/>
      <c r="V117" s="74"/>
      <c r="W117" s="74"/>
      <c r="X117" s="74"/>
      <c r="Y117" s="74" t="n">
        <f aca="false">+Y46/Y$52</f>
        <v>0.177422775146674</v>
      </c>
      <c r="Z117" s="74" t="n">
        <f aca="false">+Z46/Z$52</f>
        <v>0.350464402663749</v>
      </c>
      <c r="AA117" s="74" t="n">
        <f aca="false">+AA46/AA$52</f>
        <v>0.478994784022027</v>
      </c>
      <c r="AB117" s="74" t="n">
        <f aca="false">+AB46/AB$52</f>
        <v>0.341932301080013</v>
      </c>
      <c r="AC117" s="74" t="n">
        <f aca="false">+AC46/AC$52</f>
        <v>0.327349203774898</v>
      </c>
      <c r="AD117" s="74" t="n">
        <f aca="false">+AD46/AD$52</f>
        <v>0.312653684725693</v>
      </c>
      <c r="AE117" s="74" t="n">
        <f aca="false">+AE46/AE$52</f>
        <v>0.331581171155212</v>
      </c>
      <c r="AF117" s="74"/>
      <c r="AG117" s="74"/>
      <c r="AH117" s="74"/>
      <c r="AI117" s="74"/>
      <c r="AJ117" s="74"/>
      <c r="AK117" s="74"/>
      <c r="AL117" s="74"/>
      <c r="AM117" s="74"/>
      <c r="AN117" s="74"/>
      <c r="AO117" s="74"/>
      <c r="AP117" s="74"/>
      <c r="AQ117" s="109"/>
      <c r="AT117" s="74"/>
      <c r="AU117" s="74"/>
      <c r="AV117" s="74"/>
      <c r="AW117" s="74"/>
      <c r="AX117" s="74"/>
      <c r="AY117" s="74"/>
      <c r="AZ117" s="74"/>
      <c r="BA117" s="74"/>
      <c r="BB117" s="74"/>
      <c r="BC117" s="74"/>
      <c r="BD117" s="74"/>
      <c r="BE117" s="74"/>
      <c r="BF117" s="74"/>
      <c r="BG117" s="74"/>
      <c r="BH117" s="74"/>
      <c r="BI117" s="74"/>
      <c r="BJ117" s="74"/>
      <c r="BK117" s="74"/>
      <c r="BL117" s="74"/>
      <c r="BM117" s="74"/>
      <c r="BN117" s="74"/>
      <c r="BO117" s="74"/>
      <c r="BP117" s="74"/>
      <c r="BQ117" s="74"/>
      <c r="BR117" s="74"/>
      <c r="BS117" s="74"/>
      <c r="BT117" s="74"/>
      <c r="BU117" s="74"/>
      <c r="BV117" s="74"/>
      <c r="BW117" s="74"/>
      <c r="BX117" s="74"/>
      <c r="BY117" s="74"/>
      <c r="BZ117" s="74"/>
      <c r="CA117" s="74"/>
      <c r="CB117" s="74"/>
      <c r="CC117" s="74"/>
      <c r="CD117" s="74"/>
      <c r="CE117" s="74"/>
      <c r="CF117" s="74"/>
      <c r="CG117" s="74"/>
      <c r="CH117" s="74"/>
      <c r="CI117" s="74"/>
      <c r="CJ117" s="74"/>
      <c r="CK117" s="74"/>
      <c r="CL117" s="74"/>
      <c r="CM117" s="74"/>
      <c r="CN117" s="74"/>
      <c r="CO117" s="74"/>
      <c r="CP117" s="74"/>
      <c r="CQ117" s="74"/>
      <c r="CR117" s="74"/>
      <c r="CS117" s="74"/>
      <c r="CT117" s="74"/>
      <c r="CU117" s="74"/>
      <c r="CV117" s="74"/>
      <c r="CW117" s="74"/>
      <c r="CX117" s="74"/>
      <c r="CY117" s="74"/>
      <c r="CZ117" s="74"/>
      <c r="DA117" s="74"/>
      <c r="DB117" s="74"/>
      <c r="DC117" s="74"/>
      <c r="DD117" s="74"/>
      <c r="DE117" s="74"/>
      <c r="DF117" s="74"/>
      <c r="DG117" s="74"/>
      <c r="DH117" s="74"/>
      <c r="DI117" s="74"/>
      <c r="DJ117" s="74"/>
      <c r="DK117" s="74"/>
      <c r="DL117" s="74"/>
      <c r="DM117" s="74"/>
      <c r="DN117" s="74"/>
      <c r="DO117" s="74"/>
      <c r="DP117" s="74"/>
      <c r="DQ117" s="74"/>
      <c r="DR117" s="74"/>
      <c r="DS117" s="74"/>
      <c r="DT117" s="74"/>
      <c r="DU117" s="74"/>
      <c r="DV117" s="74"/>
      <c r="DW117" s="74"/>
      <c r="DX117" s="74"/>
      <c r="DY117" s="74"/>
      <c r="DZ117" s="74"/>
      <c r="EA117" s="74"/>
      <c r="EB117" s="74"/>
      <c r="EC117" s="74"/>
      <c r="ED117" s="74"/>
      <c r="EE117" s="74"/>
      <c r="EF117" s="74"/>
      <c r="EG117" s="74"/>
      <c r="EH117" s="74"/>
      <c r="EI117" s="74"/>
      <c r="EJ117" s="74"/>
      <c r="EK117" s="74"/>
      <c r="EL117" s="74"/>
      <c r="EM117" s="74"/>
      <c r="EN117" s="74"/>
      <c r="EO117" s="74"/>
      <c r="EP117" s="74"/>
      <c r="EQ117" s="74"/>
      <c r="ER117" s="74"/>
      <c r="ES117" s="74"/>
      <c r="ET117" s="74"/>
      <c r="EU117" s="74"/>
      <c r="EV117" s="112"/>
    </row>
    <row r="118" s="33" customFormat="true" ht="12.8" hidden="false" customHeight="false" outlineLevel="0" collapsed="false">
      <c r="A118" s="74" t="s">
        <v>329</v>
      </c>
      <c r="B118" s="74" t="n">
        <f aca="false">+B48/B$52</f>
        <v>0.266121972570762</v>
      </c>
      <c r="C118" s="74" t="n">
        <f aca="false">+C48/C$52</f>
        <v>0.226929270407531</v>
      </c>
      <c r="D118" s="74" t="n">
        <f aca="false">+D48/D$52</f>
        <v>0.209876543209877</v>
      </c>
      <c r="E118" s="74" t="n">
        <f aca="false">+E48/E$52</f>
        <v>0.178924131520855</v>
      </c>
      <c r="F118" s="74" t="n">
        <f aca="false">+F48/F$52</f>
        <v>0.158659087579787</v>
      </c>
      <c r="G118" s="74" t="n">
        <f aca="false">+G48/G$52</f>
        <v>0.138562154004538</v>
      </c>
      <c r="H118" s="74" t="n">
        <f aca="false">+H48/H$52</f>
        <v>0.138392868130004</v>
      </c>
      <c r="I118" s="74" t="n">
        <f aca="false">+I48/I$52</f>
        <v>0.128819253416107</v>
      </c>
      <c r="J118" s="74" t="n">
        <f aca="false">+J48/J$52</f>
        <v>0.126735455958952</v>
      </c>
      <c r="K118" s="74" t="n">
        <f aca="false">+K48/K$52</f>
        <v>0.118968287148913</v>
      </c>
      <c r="L118" s="74" t="n">
        <f aca="false">+L48/L$52</f>
        <v>0.116995692170257</v>
      </c>
      <c r="M118" s="74" t="n">
        <f aca="false">+M48/M$52</f>
        <v>0.106610184004464</v>
      </c>
      <c r="N118" s="74" t="n">
        <f aca="false">+N48/N$52</f>
        <v>0.109248601876383</v>
      </c>
      <c r="O118" s="74" t="n">
        <f aca="false">+O48/O$52</f>
        <v>0.0996724971651083</v>
      </c>
      <c r="P118" s="74" t="n">
        <f aca="false">+P48/P$52</f>
        <v>0.0971227833667449</v>
      </c>
      <c r="Q118" s="74" t="n">
        <f aca="false">+Q48/Q$52</f>
        <v>0.088403174161214</v>
      </c>
      <c r="R118" s="74" t="n">
        <f aca="false">+R48/R$52</f>
        <v>0.10126486404605</v>
      </c>
      <c r="S118" s="74" t="n">
        <f aca="false">+S48/S$52</f>
        <v>0.111549573673455</v>
      </c>
      <c r="T118" s="74"/>
      <c r="U118" s="74"/>
      <c r="V118" s="74"/>
      <c r="W118" s="74"/>
      <c r="X118" s="74"/>
      <c r="Y118" s="74" t="n">
        <f aca="false">+Y48/Y$52</f>
        <v>0.0516717325227964</v>
      </c>
      <c r="Z118" s="74" t="n">
        <f aca="false">+Z48/Z$52</f>
        <v>0.0907580714889985</v>
      </c>
      <c r="AA118" s="74" t="n">
        <f aca="false">+AA48/AA$52</f>
        <v>0.12212591240552</v>
      </c>
      <c r="AB118" s="74" t="n">
        <f aca="false">+AB48/AB$52</f>
        <v>0.217906953087134</v>
      </c>
      <c r="AC118" s="74" t="n">
        <f aca="false">+AC48/AC$52</f>
        <v>0.140687198770841</v>
      </c>
      <c r="AD118" s="74" t="n">
        <f aca="false">+AD48/AD$52</f>
        <v>0.116898370412712</v>
      </c>
      <c r="AE118" s="74" t="n">
        <f aca="false">+AE48/AE$52</f>
        <v>0.0980248371823068</v>
      </c>
      <c r="AF118" s="74"/>
      <c r="AG118" s="74"/>
      <c r="AH118" s="74"/>
      <c r="AI118" s="74"/>
      <c r="AJ118" s="74"/>
      <c r="AK118" s="74"/>
      <c r="AL118" s="74"/>
      <c r="AM118" s="74"/>
      <c r="AN118" s="74"/>
      <c r="AO118" s="74"/>
      <c r="AP118" s="109"/>
      <c r="AQ118" s="77"/>
      <c r="AT118" s="109"/>
      <c r="AU118" s="109"/>
      <c r="AV118" s="109"/>
      <c r="AW118" s="109"/>
      <c r="AX118" s="109"/>
      <c r="AY118" s="109"/>
      <c r="AZ118" s="109"/>
      <c r="BA118" s="109"/>
      <c r="BB118" s="109"/>
      <c r="BC118" s="109"/>
      <c r="BD118" s="109"/>
      <c r="BE118" s="109"/>
      <c r="BF118" s="109"/>
      <c r="BG118" s="109"/>
      <c r="BH118" s="109"/>
      <c r="BI118" s="109"/>
      <c r="BJ118" s="109"/>
      <c r="BK118" s="109"/>
      <c r="BL118" s="109"/>
      <c r="BM118" s="109"/>
      <c r="BN118" s="109"/>
      <c r="BO118" s="109"/>
      <c r="BP118" s="109"/>
      <c r="BQ118" s="109"/>
      <c r="BR118" s="109"/>
      <c r="BS118" s="109"/>
      <c r="BT118" s="109"/>
      <c r="BU118" s="109"/>
      <c r="BV118" s="109"/>
      <c r="BW118" s="109"/>
      <c r="BX118" s="109"/>
      <c r="BY118" s="109"/>
      <c r="BZ118" s="109"/>
      <c r="CA118" s="109"/>
      <c r="CB118" s="109"/>
      <c r="CC118" s="109"/>
      <c r="CD118" s="109"/>
      <c r="CE118" s="109"/>
      <c r="CF118" s="109"/>
      <c r="CG118" s="109"/>
      <c r="CH118" s="109"/>
      <c r="CI118" s="109"/>
      <c r="CJ118" s="109"/>
      <c r="CK118" s="109"/>
      <c r="CL118" s="109"/>
      <c r="CM118" s="109"/>
      <c r="CN118" s="109"/>
      <c r="CO118" s="109"/>
      <c r="CP118" s="109"/>
      <c r="CQ118" s="109"/>
      <c r="CR118" s="109"/>
      <c r="CS118" s="109"/>
      <c r="CT118" s="109"/>
      <c r="CU118" s="109"/>
      <c r="CV118" s="109"/>
      <c r="CW118" s="109"/>
      <c r="CX118" s="109"/>
      <c r="CY118" s="109"/>
      <c r="CZ118" s="109"/>
      <c r="DA118" s="109"/>
      <c r="DB118" s="109"/>
      <c r="DC118" s="109"/>
      <c r="DD118" s="109"/>
      <c r="DE118" s="109"/>
      <c r="DF118" s="109"/>
      <c r="DG118" s="109"/>
      <c r="DH118" s="109"/>
      <c r="DI118" s="109"/>
      <c r="DJ118" s="109"/>
      <c r="DK118" s="109"/>
      <c r="DL118" s="109"/>
      <c r="DM118" s="109"/>
      <c r="DN118" s="109"/>
      <c r="DO118" s="109"/>
      <c r="DP118" s="109"/>
      <c r="DQ118" s="109"/>
      <c r="DR118" s="109"/>
      <c r="DS118" s="109"/>
      <c r="DT118" s="109"/>
      <c r="DU118" s="109"/>
      <c r="DV118" s="109"/>
      <c r="DW118" s="109"/>
      <c r="DX118" s="109"/>
      <c r="DY118" s="109"/>
      <c r="DZ118" s="109"/>
      <c r="EA118" s="109"/>
      <c r="EB118" s="109"/>
      <c r="EC118" s="109"/>
      <c r="ED118" s="109"/>
      <c r="EE118" s="109"/>
      <c r="EF118" s="109"/>
      <c r="EG118" s="109"/>
      <c r="EH118" s="109"/>
      <c r="EI118" s="109"/>
      <c r="EJ118" s="109"/>
      <c r="EK118" s="109"/>
      <c r="EL118" s="109"/>
      <c r="EM118" s="109"/>
      <c r="EN118" s="109"/>
      <c r="EO118" s="109"/>
      <c r="EP118" s="109"/>
      <c r="EQ118" s="109"/>
      <c r="ER118" s="109"/>
      <c r="ES118" s="109"/>
      <c r="ET118" s="109"/>
      <c r="EU118" s="109"/>
      <c r="EV118" s="112"/>
    </row>
    <row r="119" s="33" customFormat="true" ht="12.8" hidden="false" customHeight="fals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1"/>
      <c r="AH119" s="1"/>
      <c r="AI119" s="1"/>
      <c r="AJ119" s="3"/>
      <c r="AK119" s="3"/>
      <c r="AL119" s="3"/>
      <c r="AM119" s="3"/>
      <c r="AN119" s="3"/>
      <c r="AO119" s="3"/>
      <c r="EV119" s="1"/>
    </row>
    <row r="120" s="33" customFormat="true" ht="12.8" hidden="false" customHeight="false" outlineLevel="0" collapsed="false">
      <c r="A120" s="33" t="s">
        <v>330</v>
      </c>
      <c r="B120" s="33" t="n">
        <f aca="false">B122-B143</f>
        <v>-1681</v>
      </c>
      <c r="C120" s="33" t="n">
        <f aca="false">C122-C143</f>
        <v>-1407</v>
      </c>
      <c r="D120" s="33" t="n">
        <f aca="false">D122-D143</f>
        <v>-634</v>
      </c>
      <c r="E120" s="33" t="n">
        <f aca="false">E122-E143</f>
        <v>-2588</v>
      </c>
      <c r="F120" s="33" t="n">
        <f aca="false">F122-F143</f>
        <v>-2464</v>
      </c>
      <c r="G120" s="33" t="n">
        <f aca="false">G122-G143</f>
        <v>-795</v>
      </c>
      <c r="H120" s="33" t="n">
        <f aca="false">H122-H143</f>
        <v>-2387</v>
      </c>
      <c r="I120" s="33" t="n">
        <f aca="false">I122-I143</f>
        <v>-2455</v>
      </c>
      <c r="J120" s="33" t="n">
        <f aca="false">J122-J143</f>
        <v>-1473</v>
      </c>
      <c r="K120" s="33" t="n">
        <f aca="false">K122-K143</f>
        <v>-1573</v>
      </c>
      <c r="L120" s="33" t="n">
        <f aca="false">L122-L143</f>
        <v>-1983</v>
      </c>
      <c r="M120" s="33" t="n">
        <f aca="false">M122-M143</f>
        <v>263</v>
      </c>
      <c r="N120" s="33" t="n">
        <f aca="false">N122-N143</f>
        <v>250</v>
      </c>
      <c r="O120" s="33" t="n">
        <f aca="false">O122-O143</f>
        <v>89</v>
      </c>
      <c r="P120" s="33" t="n">
        <f aca="false">P122-P143</f>
        <v>868</v>
      </c>
      <c r="Q120" s="33" t="n">
        <f aca="false">Q122-Q143</f>
        <v>-874</v>
      </c>
      <c r="R120" s="33" t="n">
        <f aca="false">R122-R143</f>
        <v>-2136</v>
      </c>
      <c r="S120" s="33" t="n">
        <f aca="false">S122-S143</f>
        <v>-5546</v>
      </c>
      <c r="Y120" s="33" t="n">
        <f aca="false">Y122-Y143</f>
        <v>7559</v>
      </c>
      <c r="Z120" s="33" t="n">
        <f aca="false">Z122-Z143</f>
        <v>-169</v>
      </c>
      <c r="AA120" s="33" t="n">
        <f aca="false">AA122-AA143</f>
        <v>-1471</v>
      </c>
      <c r="AB120" s="33" t="n">
        <f aca="false">AB122-AB143</f>
        <v>-2588</v>
      </c>
      <c r="AC120" s="33" t="n">
        <f aca="false">AC122-AC143</f>
        <v>-2455</v>
      </c>
      <c r="AD120" s="33" t="n">
        <f aca="false">AD122-AD143</f>
        <v>263</v>
      </c>
      <c r="AE120" s="33" t="n">
        <f aca="false">AE122-AE143</f>
        <v>-874</v>
      </c>
      <c r="AF120" s="33" t="n">
        <f aca="false">AE120+AF84</f>
        <v>9293.50917996624</v>
      </c>
      <c r="AG120" s="33" t="n">
        <f aca="false">AF120+AG84</f>
        <v>18912.6368670796</v>
      </c>
      <c r="AH120" s="33" t="n">
        <f aca="false">AG120+AH84</f>
        <v>30545.0213567135</v>
      </c>
      <c r="AI120" s="33" t="n">
        <f aca="false">AH120+AI84</f>
        <v>45432.568906344</v>
      </c>
      <c r="AJ120" s="33" t="n">
        <f aca="false">AI120+AJ84</f>
        <v>63378.7695856686</v>
      </c>
      <c r="AK120" s="33" t="n">
        <f aca="false">AJ120+AK84</f>
        <v>85452.6175421967</v>
      </c>
      <c r="AL120" s="33" t="n">
        <f aca="false">AK120+AL84</f>
        <v>111098.154444645</v>
      </c>
      <c r="AM120" s="33" t="n">
        <f aca="false">AL120+AM84</f>
        <v>138257.203755374</v>
      </c>
      <c r="AN120" s="33" t="n">
        <f aca="false">AM120+AN84</f>
        <v>169213.405442359</v>
      </c>
      <c r="AO120" s="33" t="n">
        <f aca="false">AN120+AO84</f>
        <v>204184.874405445</v>
      </c>
      <c r="EV120" s="1"/>
    </row>
    <row r="121" s="40" customFormat="true" ht="12.8" hidden="false" customHeight="false" outlineLevel="0" collapsed="false">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c r="CK121" s="33"/>
      <c r="CL121" s="33"/>
      <c r="CM121" s="33"/>
      <c r="CN121" s="33"/>
      <c r="CO121" s="33"/>
      <c r="CP121" s="33"/>
      <c r="CQ121" s="33"/>
      <c r="CR121" s="33"/>
      <c r="CS121" s="33"/>
      <c r="CT121" s="33"/>
      <c r="CU121" s="33"/>
      <c r="CV121" s="33"/>
      <c r="CW121" s="33"/>
      <c r="CX121" s="33"/>
      <c r="CY121" s="33"/>
      <c r="CZ121" s="33"/>
      <c r="DA121" s="33"/>
      <c r="DB121" s="33"/>
      <c r="DC121" s="33"/>
      <c r="DD121" s="33"/>
      <c r="DE121" s="33"/>
      <c r="DF121" s="33"/>
      <c r="DG121" s="33"/>
      <c r="DH121" s="33"/>
      <c r="DI121" s="33"/>
      <c r="DJ121" s="33"/>
      <c r="DK121" s="33"/>
      <c r="DL121" s="33"/>
      <c r="DM121" s="33"/>
      <c r="DN121" s="33"/>
      <c r="DO121" s="33"/>
      <c r="DP121" s="33"/>
      <c r="DQ121" s="33"/>
      <c r="DR121" s="33"/>
      <c r="DS121" s="33"/>
      <c r="DT121" s="33"/>
      <c r="DU121" s="33"/>
      <c r="DV121" s="33"/>
      <c r="DW121" s="33"/>
      <c r="DX121" s="33"/>
      <c r="DY121" s="33"/>
      <c r="DZ121" s="33"/>
      <c r="EA121" s="33"/>
      <c r="EB121" s="33"/>
      <c r="EC121" s="33"/>
      <c r="ED121" s="33"/>
      <c r="EE121" s="33"/>
      <c r="EF121" s="33"/>
      <c r="EG121" s="33"/>
      <c r="EH121" s="33"/>
      <c r="EI121" s="33"/>
      <c r="EJ121" s="33"/>
      <c r="EK121" s="33"/>
      <c r="EL121" s="33"/>
      <c r="EM121" s="33"/>
      <c r="EN121" s="33"/>
      <c r="EO121" s="33"/>
      <c r="EP121" s="33"/>
      <c r="EQ121" s="33"/>
      <c r="ER121" s="33"/>
      <c r="ES121" s="33"/>
      <c r="ET121" s="33"/>
      <c r="EU121" s="33"/>
      <c r="EV121" s="1"/>
    </row>
    <row r="122" s="119" customFormat="true" ht="12.8" hidden="false" customHeight="false" outlineLevel="0" collapsed="false">
      <c r="A122" s="33" t="s">
        <v>9</v>
      </c>
      <c r="B122" s="33" t="n">
        <f aca="false">+4184+543+2865</f>
        <v>7592</v>
      </c>
      <c r="C122" s="33" t="n">
        <f aca="false">+4397+2941+526</f>
        <v>7864</v>
      </c>
      <c r="D122" s="33" t="n">
        <f aca="false">+4865+3176+593</f>
        <v>8634</v>
      </c>
      <c r="E122" s="33" t="n">
        <f aca="false">+4208+680+1789</f>
        <v>6677</v>
      </c>
      <c r="F122" s="33" t="n">
        <f aca="false">+4045+897+1851</f>
        <v>6793</v>
      </c>
      <c r="G122" s="33" t="n">
        <f aca="false">+4995+909+2556</f>
        <v>8460</v>
      </c>
      <c r="H122" s="33" t="n">
        <f aca="false">+4448+833+1584</f>
        <v>6865</v>
      </c>
      <c r="I122" s="33" t="n">
        <f aca="false">+4680+805+1519</f>
        <v>7004</v>
      </c>
      <c r="J122" s="33" t="n">
        <f aca="false">+5019+808+2157</f>
        <v>7984</v>
      </c>
      <c r="K122" s="33" t="n">
        <f aca="false">+4497+776+2608</f>
        <v>7881</v>
      </c>
      <c r="L122" s="33" t="n">
        <f aca="false">+6150+933+1920</f>
        <v>9003</v>
      </c>
      <c r="M122" s="33" t="n">
        <f aca="false">+5893+545+2172</f>
        <v>8610</v>
      </c>
      <c r="N122" s="33" t="n">
        <f aca="false">+5132+1253+2215</f>
        <v>8600</v>
      </c>
      <c r="O122" s="33" t="n">
        <f aca="false">+6438+1191+2038</f>
        <v>9667</v>
      </c>
      <c r="P122" s="33" t="n">
        <f aca="false">+8432+477+2574</f>
        <v>11483</v>
      </c>
      <c r="Q122" s="33" t="n">
        <f aca="false">+7105+631+1911</f>
        <v>9647</v>
      </c>
      <c r="R122" s="33" t="n">
        <f aca="false">+5558+680+1872+268</f>
        <v>8378</v>
      </c>
      <c r="S122" s="33" t="n">
        <f aca="false">+4870+661+1646</f>
        <v>7177</v>
      </c>
      <c r="T122" s="33"/>
      <c r="U122" s="33"/>
      <c r="V122" s="33"/>
      <c r="W122" s="33"/>
      <c r="X122" s="33"/>
      <c r="Y122" s="33" t="n">
        <f aca="false">+10873+99+1095+1199</f>
        <v>13266</v>
      </c>
      <c r="Z122" s="33" t="n">
        <f aca="false">+5647+250+1494</f>
        <v>7391</v>
      </c>
      <c r="AA122" s="33" t="n">
        <f aca="false">+4295+631+2879</f>
        <v>7805</v>
      </c>
      <c r="AB122" s="33" t="n">
        <f aca="false">+4208+680+1789</f>
        <v>6677</v>
      </c>
      <c r="AC122" s="33" t="n">
        <f aca="false">+4680+805+1519</f>
        <v>7004</v>
      </c>
      <c r="AD122" s="33" t="n">
        <f aca="false">+5893+545+2172</f>
        <v>8610</v>
      </c>
      <c r="AE122" s="33" t="n">
        <f aca="false">+7105+631+1911</f>
        <v>9647</v>
      </c>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c r="CK122" s="33"/>
      <c r="CL122" s="33"/>
      <c r="CM122" s="33"/>
      <c r="CN122" s="33"/>
      <c r="CO122" s="33"/>
      <c r="CP122" s="33"/>
      <c r="CQ122" s="33"/>
      <c r="CR122" s="33"/>
      <c r="CS122" s="33"/>
      <c r="CT122" s="33"/>
      <c r="CU122" s="33"/>
      <c r="CV122" s="33"/>
      <c r="CW122" s="33"/>
      <c r="CX122" s="33"/>
      <c r="CY122" s="33"/>
      <c r="CZ122" s="33"/>
      <c r="DA122" s="33"/>
      <c r="DB122" s="33"/>
      <c r="DC122" s="33"/>
      <c r="DD122" s="33"/>
      <c r="DE122" s="33"/>
      <c r="DF122" s="33"/>
      <c r="DG122" s="33"/>
      <c r="DH122" s="33"/>
      <c r="DI122" s="33"/>
      <c r="DJ122" s="33"/>
      <c r="DK122" s="33"/>
      <c r="DL122" s="33"/>
      <c r="DM122" s="33"/>
      <c r="DN122" s="33"/>
      <c r="DO122" s="33"/>
      <c r="DP122" s="33"/>
      <c r="DQ122" s="33"/>
      <c r="DR122" s="33"/>
      <c r="DS122" s="33"/>
      <c r="DT122" s="33"/>
      <c r="DU122" s="33"/>
      <c r="DV122" s="33"/>
      <c r="DW122" s="33"/>
      <c r="DX122" s="33"/>
      <c r="DY122" s="33"/>
      <c r="DZ122" s="33"/>
      <c r="EA122" s="33"/>
      <c r="EB122" s="33"/>
      <c r="EC122" s="33"/>
      <c r="ED122" s="33"/>
      <c r="EE122" s="33"/>
      <c r="EF122" s="33"/>
      <c r="EG122" s="33"/>
      <c r="EH122" s="33"/>
      <c r="EI122" s="33"/>
      <c r="EJ122" s="33"/>
      <c r="EK122" s="33"/>
      <c r="EL122" s="33"/>
      <c r="EM122" s="33"/>
      <c r="EN122" s="33"/>
      <c r="EO122" s="33"/>
      <c r="EP122" s="33"/>
      <c r="EQ122" s="33"/>
      <c r="ER122" s="33"/>
      <c r="ES122" s="33"/>
      <c r="ET122" s="33"/>
      <c r="EU122" s="33"/>
      <c r="EV122" s="1"/>
    </row>
    <row r="123" customFormat="false" ht="12.8" hidden="false" customHeight="false" outlineLevel="0" collapsed="false">
      <c r="A123" s="33" t="s">
        <v>331</v>
      </c>
      <c r="B123" s="33" t="n">
        <f aca="false">+6247+624</f>
        <v>6871</v>
      </c>
      <c r="C123" s="33" t="n">
        <f aca="false">+4572+521</f>
        <v>5093</v>
      </c>
      <c r="D123" s="33" t="n">
        <v>3643</v>
      </c>
      <c r="E123" s="33" t="n">
        <f aca="false">+103+1614+4401+870</f>
        <v>6988</v>
      </c>
      <c r="F123" s="33" t="n">
        <f aca="false">+121+1964+4718+740</f>
        <v>7543</v>
      </c>
      <c r="G123" s="33" t="n">
        <f aca="false">+538+1808+5108+59</f>
        <v>7513</v>
      </c>
      <c r="H123" s="33" t="n">
        <f aca="false">+725+3944+5091+50</f>
        <v>9810</v>
      </c>
      <c r="I123" s="33" t="n">
        <f aca="false">+727+4779+6101+353</f>
        <v>11960</v>
      </c>
      <c r="J123" s="33" t="n">
        <f aca="false">+744+4812+5587+354</f>
        <v>11497</v>
      </c>
      <c r="K123" s="33" t="n">
        <f aca="false">+1795+5061+6203+342</f>
        <v>13401</v>
      </c>
      <c r="L123" s="33" t="n">
        <f aca="false">+2913+6552+7921+314</f>
        <v>17700</v>
      </c>
      <c r="M123" s="33" t="n">
        <f aca="false">+1084+7019+8460+302</f>
        <v>16865</v>
      </c>
      <c r="N123" s="33" t="n">
        <f aca="false">+894+7371+8746+338</f>
        <v>17349</v>
      </c>
      <c r="O123" s="33" t="n">
        <f aca="false">+932+7864+8660+331</f>
        <v>17787</v>
      </c>
      <c r="P123" s="33" t="n">
        <f aca="false">+654+7882+10330+315</f>
        <v>19181</v>
      </c>
      <c r="Q123" s="33" t="n">
        <f aca="false">+8874+9178+287</f>
        <v>18339</v>
      </c>
      <c r="R123" s="33" t="n">
        <f aca="false">+9026+8109</f>
        <v>17135</v>
      </c>
      <c r="S123" s="33" t="n">
        <f aca="false">+9486+3773+8759</f>
        <v>22018</v>
      </c>
      <c r="T123" s="33"/>
      <c r="U123" s="33"/>
      <c r="V123" s="33"/>
      <c r="W123" s="33"/>
      <c r="X123" s="33"/>
      <c r="Y123" s="33" t="n">
        <f aca="false">+1364+10527</f>
        <v>11891</v>
      </c>
      <c r="Z123" s="33" t="n">
        <f aca="false">+9052+1079</f>
        <v>10131</v>
      </c>
      <c r="AA123" s="33" t="n">
        <f aca="false">+11806+800</f>
        <v>12606</v>
      </c>
      <c r="AB123" s="33" t="n">
        <f aca="false">+1614+4401+870</f>
        <v>6885</v>
      </c>
      <c r="AC123" s="33" t="n">
        <f aca="false">+4779+6101+353</f>
        <v>11233</v>
      </c>
      <c r="AD123" s="33" t="n">
        <f aca="false">+7019+8460+302</f>
        <v>15781</v>
      </c>
      <c r="AE123" s="33" t="n">
        <f aca="false">+8874+9178+287</f>
        <v>18339</v>
      </c>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3"/>
      <c r="CK123" s="33"/>
      <c r="CL123" s="33"/>
      <c r="CM123" s="33"/>
      <c r="CN123" s="33"/>
      <c r="CO123" s="33"/>
      <c r="CP123" s="33"/>
      <c r="CQ123" s="33"/>
      <c r="CR123" s="33"/>
      <c r="CS123" s="33"/>
      <c r="CT123" s="33"/>
      <c r="CU123" s="33"/>
      <c r="CV123" s="33"/>
      <c r="CW123" s="33"/>
      <c r="CX123" s="33"/>
      <c r="CY123" s="33"/>
      <c r="CZ123" s="33"/>
      <c r="DA123" s="33"/>
      <c r="DB123" s="33"/>
      <c r="DC123" s="33"/>
      <c r="DD123" s="33"/>
      <c r="DE123" s="33"/>
      <c r="DF123" s="33"/>
      <c r="DG123" s="33"/>
      <c r="DH123" s="33"/>
      <c r="DI123" s="33"/>
      <c r="DJ123" s="33"/>
      <c r="DK123" s="33"/>
      <c r="DL123" s="33"/>
      <c r="DM123" s="33"/>
      <c r="DN123" s="33"/>
      <c r="DO123" s="33"/>
      <c r="DP123" s="33"/>
      <c r="DQ123" s="33"/>
      <c r="DR123" s="33"/>
      <c r="DS123" s="33"/>
      <c r="DT123" s="33"/>
      <c r="DU123" s="33"/>
      <c r="DV123" s="33"/>
      <c r="DW123" s="33"/>
      <c r="DX123" s="33"/>
      <c r="DY123" s="33"/>
      <c r="DZ123" s="33"/>
      <c r="EA123" s="33"/>
      <c r="EB123" s="33"/>
      <c r="EC123" s="33"/>
      <c r="ED123" s="33"/>
      <c r="EE123" s="33"/>
      <c r="EF123" s="33"/>
      <c r="EG123" s="33"/>
      <c r="EH123" s="33"/>
      <c r="EI123" s="33"/>
      <c r="EJ123" s="33"/>
      <c r="EK123" s="33"/>
      <c r="EL123" s="33"/>
      <c r="EM123" s="33"/>
      <c r="EN123" s="33"/>
      <c r="EO123" s="33"/>
      <c r="EP123" s="33"/>
      <c r="EQ123" s="33"/>
      <c r="ER123" s="33"/>
      <c r="ES123" s="33"/>
      <c r="ET123" s="33"/>
      <c r="EU123" s="33"/>
    </row>
    <row r="124" customFormat="false" ht="12.8" hidden="false" customHeight="false" outlineLevel="0" collapsed="false">
      <c r="A124" s="33" t="s">
        <v>332</v>
      </c>
      <c r="B124" s="33"/>
      <c r="C124" s="33"/>
      <c r="D124" s="33"/>
      <c r="E124" s="33"/>
      <c r="F124" s="33"/>
      <c r="G124" s="33"/>
      <c r="H124" s="33"/>
      <c r="I124" s="33"/>
      <c r="J124" s="33"/>
      <c r="K124" s="33"/>
      <c r="L124" s="33"/>
      <c r="M124" s="33"/>
      <c r="N124" s="33"/>
      <c r="O124" s="33"/>
      <c r="P124" s="33"/>
      <c r="Q124" s="33" t="n">
        <v>528</v>
      </c>
      <c r="R124" s="33" t="n">
        <v>533</v>
      </c>
      <c r="S124" s="33" t="n">
        <v>521</v>
      </c>
      <c r="T124" s="33"/>
      <c r="U124" s="33"/>
      <c r="V124" s="33"/>
      <c r="W124" s="33"/>
      <c r="X124" s="33"/>
      <c r="Y124" s="33" t="n">
        <v>440</v>
      </c>
      <c r="Z124" s="33" t="n">
        <v>1180</v>
      </c>
      <c r="AA124" s="33" t="n">
        <v>0</v>
      </c>
      <c r="AB124" s="33" t="n">
        <v>103</v>
      </c>
      <c r="AC124" s="33" t="n">
        <v>727</v>
      </c>
      <c r="AD124" s="33" t="n">
        <v>1084</v>
      </c>
      <c r="AE124" s="33" t="n">
        <v>528</v>
      </c>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c r="CK124" s="33"/>
      <c r="CL124" s="33"/>
      <c r="CM124" s="33"/>
      <c r="CN124" s="33"/>
      <c r="CO124" s="33"/>
      <c r="CP124" s="33"/>
      <c r="CQ124" s="33"/>
      <c r="CR124" s="33"/>
      <c r="CS124" s="33"/>
      <c r="CT124" s="33"/>
      <c r="CU124" s="33"/>
      <c r="CV124" s="33"/>
      <c r="CW124" s="33"/>
      <c r="CX124" s="33"/>
      <c r="CY124" s="33"/>
      <c r="CZ124" s="33"/>
      <c r="DA124" s="33"/>
      <c r="DB124" s="33"/>
      <c r="DC124" s="33"/>
      <c r="DD124" s="33"/>
      <c r="DE124" s="33"/>
      <c r="DF124" s="33"/>
      <c r="DG124" s="33"/>
      <c r="DH124" s="33"/>
      <c r="DI124" s="33"/>
      <c r="DJ124" s="33"/>
      <c r="DK124" s="33"/>
      <c r="DL124" s="33"/>
      <c r="DM124" s="33"/>
      <c r="DN124" s="33"/>
      <c r="DO124" s="33"/>
      <c r="DP124" s="33"/>
      <c r="DQ124" s="33"/>
      <c r="DR124" s="33"/>
      <c r="DS124" s="33"/>
      <c r="DT124" s="33"/>
      <c r="DU124" s="33"/>
      <c r="DV124" s="33"/>
      <c r="DW124" s="33"/>
      <c r="DX124" s="33"/>
      <c r="DY124" s="33"/>
      <c r="DZ124" s="33"/>
      <c r="EA124" s="33"/>
      <c r="EB124" s="33"/>
      <c r="EC124" s="33"/>
      <c r="ED124" s="33"/>
      <c r="EE124" s="33"/>
      <c r="EF124" s="33"/>
      <c r="EG124" s="33"/>
      <c r="EH124" s="33"/>
      <c r="EI124" s="33"/>
      <c r="EJ124" s="33"/>
      <c r="EK124" s="33"/>
      <c r="EL124" s="33"/>
      <c r="EM124" s="33"/>
      <c r="EN124" s="33"/>
      <c r="EO124" s="33"/>
      <c r="EP124" s="33"/>
      <c r="EQ124" s="33"/>
      <c r="ER124" s="33"/>
      <c r="ES124" s="33"/>
      <c r="ET124" s="33"/>
      <c r="EU124" s="33"/>
    </row>
    <row r="125" customFormat="false" ht="12.8" hidden="false" customHeight="false" outlineLevel="0" collapsed="false">
      <c r="A125" s="33" t="s">
        <v>333</v>
      </c>
      <c r="B125" s="33" t="n">
        <v>2476</v>
      </c>
      <c r="C125" s="33" t="n">
        <v>2459</v>
      </c>
      <c r="D125" s="33" t="n">
        <v>2468</v>
      </c>
      <c r="E125" s="33" t="n">
        <v>2779</v>
      </c>
      <c r="F125" s="33" t="n">
        <v>2571</v>
      </c>
      <c r="G125" s="33" t="n">
        <v>2576</v>
      </c>
      <c r="H125" s="33" t="n">
        <v>3000</v>
      </c>
      <c r="I125" s="33" t="n">
        <v>3404</v>
      </c>
      <c r="J125" s="33" t="n">
        <v>3708</v>
      </c>
      <c r="K125" s="33" t="n">
        <v>3783</v>
      </c>
      <c r="L125" s="33" t="n">
        <v>3719</v>
      </c>
      <c r="M125" s="33" t="n">
        <v>3333</v>
      </c>
      <c r="N125" s="33" t="n">
        <v>3489</v>
      </c>
      <c r="O125" s="33" t="n">
        <v>3769</v>
      </c>
      <c r="P125" s="33" t="n">
        <v>3773</v>
      </c>
      <c r="Q125" s="33" t="n">
        <v>3827</v>
      </c>
      <c r="R125" s="33" t="n">
        <v>3895</v>
      </c>
      <c r="S125" s="33" t="n">
        <v>4298</v>
      </c>
      <c r="T125" s="33"/>
      <c r="U125" s="33"/>
      <c r="V125" s="33"/>
      <c r="W125" s="33"/>
      <c r="X125" s="33"/>
      <c r="Y125" s="33" t="n">
        <v>1214</v>
      </c>
      <c r="Z125" s="33" t="n">
        <v>1073</v>
      </c>
      <c r="AA125" s="33" t="n">
        <v>2439</v>
      </c>
      <c r="AB125" s="33" t="n">
        <v>2779</v>
      </c>
      <c r="AC125" s="33" t="n">
        <v>3404</v>
      </c>
      <c r="AD125" s="33" t="n">
        <v>3333</v>
      </c>
      <c r="AE125" s="33" t="n">
        <v>3827</v>
      </c>
      <c r="AF125" s="33" t="n">
        <f aca="false">+(AF185/365)*AF52</f>
        <v>3830.76298417966</v>
      </c>
      <c r="AG125" s="33" t="n">
        <f aca="false">+(AG185/365)*AG52</f>
        <v>4221.82003881467</v>
      </c>
      <c r="AH125" s="33" t="n">
        <f aca="false">+(AH185/365)*AH52</f>
        <v>4684.38466915436</v>
      </c>
      <c r="AI125" s="33" t="n">
        <f aca="false">+(AI185/365)*AI52</f>
        <v>5186.8913882091</v>
      </c>
      <c r="AJ125" s="33" t="n">
        <f aca="false">+(AJ185/365)*AJ52</f>
        <v>5680.88104422902</v>
      </c>
      <c r="AK125" s="33" t="n">
        <f aca="false">+(AK185/365)*AK52</f>
        <v>6476.20439042108</v>
      </c>
      <c r="AL125" s="33" t="n">
        <f aca="false">+(AL185/365)*AL52</f>
        <v>7318.11096117582</v>
      </c>
      <c r="AM125" s="33" t="n">
        <f aca="false">+(AM185/365)*AM52</f>
        <v>8196.28427651692</v>
      </c>
      <c r="AN125" s="33" t="n">
        <f aca="false">+(AN185/365)*AN52</f>
        <v>9097.87554693378</v>
      </c>
      <c r="AO125" s="33" t="n">
        <f aca="false">+(AO185/365)*AO52</f>
        <v>10007.6631016272</v>
      </c>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c r="CK125" s="33"/>
      <c r="CL125" s="33"/>
      <c r="CM125" s="33"/>
      <c r="CN125" s="33"/>
      <c r="CO125" s="33"/>
      <c r="CP125" s="33"/>
      <c r="CQ125" s="33"/>
      <c r="CR125" s="33"/>
      <c r="CS125" s="33"/>
      <c r="CT125" s="33"/>
      <c r="CU125" s="33"/>
      <c r="CV125" s="33"/>
      <c r="CW125" s="33"/>
      <c r="CX125" s="33"/>
      <c r="CY125" s="33"/>
      <c r="CZ125" s="33"/>
      <c r="DA125" s="33"/>
      <c r="DB125" s="33"/>
      <c r="DC125" s="33"/>
      <c r="DD125" s="33"/>
      <c r="DE125" s="33"/>
      <c r="DF125" s="33"/>
      <c r="DG125" s="33"/>
      <c r="DH125" s="33"/>
      <c r="DI125" s="33"/>
      <c r="DJ125" s="33"/>
      <c r="DK125" s="33"/>
      <c r="DL125" s="33"/>
      <c r="DM125" s="33"/>
      <c r="DN125" s="33"/>
      <c r="DO125" s="33"/>
      <c r="DP125" s="33"/>
      <c r="DQ125" s="33"/>
      <c r="DR125" s="33"/>
      <c r="DS125" s="33"/>
      <c r="DT125" s="33"/>
      <c r="DU125" s="33"/>
      <c r="DV125" s="33"/>
      <c r="DW125" s="33"/>
      <c r="DX125" s="33"/>
      <c r="DY125" s="33"/>
      <c r="DZ125" s="33"/>
      <c r="EA125" s="33"/>
      <c r="EB125" s="33"/>
      <c r="EC125" s="33"/>
      <c r="ED125" s="33"/>
      <c r="EE125" s="33"/>
      <c r="EF125" s="33"/>
      <c r="EG125" s="33"/>
      <c r="EH125" s="33"/>
      <c r="EI125" s="33"/>
      <c r="EJ125" s="33"/>
      <c r="EK125" s="33"/>
      <c r="EL125" s="33"/>
      <c r="EM125" s="33"/>
      <c r="EN125" s="33"/>
      <c r="EO125" s="33"/>
      <c r="EP125" s="33"/>
      <c r="EQ125" s="33"/>
      <c r="ER125" s="33"/>
      <c r="ES125" s="33"/>
      <c r="ET125" s="33"/>
      <c r="EU125" s="33"/>
    </row>
    <row r="126" customFormat="false" ht="12.8" hidden="false" customHeight="false" outlineLevel="0" collapsed="false">
      <c r="A126" s="33" t="s">
        <v>334</v>
      </c>
      <c r="B126" s="33" t="n">
        <v>1462</v>
      </c>
      <c r="C126" s="33" t="n">
        <v>1369</v>
      </c>
      <c r="D126" s="33" t="n">
        <v>1442</v>
      </c>
      <c r="E126" s="33" t="n">
        <v>1479</v>
      </c>
      <c r="F126" s="33" t="n">
        <v>1562</v>
      </c>
      <c r="G126" s="33" t="n">
        <v>1646</v>
      </c>
      <c r="H126" s="33" t="n">
        <v>1673</v>
      </c>
      <c r="I126" s="33" t="n">
        <v>1681</v>
      </c>
      <c r="J126" s="33" t="n">
        <v>1795</v>
      </c>
      <c r="K126" s="33" t="n">
        <v>1632</v>
      </c>
      <c r="L126" s="33" t="n">
        <v>1616</v>
      </c>
      <c r="M126" s="33" t="n">
        <v>1390</v>
      </c>
      <c r="N126" s="33" t="n">
        <v>1582</v>
      </c>
      <c r="O126" s="33" t="n">
        <v>1777</v>
      </c>
      <c r="P126" s="33" t="n">
        <v>1803</v>
      </c>
      <c r="Q126" s="33" t="n">
        <v>1902</v>
      </c>
      <c r="R126" s="33" t="n">
        <v>2157</v>
      </c>
      <c r="S126" s="33" t="n">
        <v>2179</v>
      </c>
      <c r="T126" s="33"/>
      <c r="U126" s="33"/>
      <c r="V126" s="33"/>
      <c r="W126" s="33"/>
      <c r="X126" s="33"/>
      <c r="Y126" s="33" t="n">
        <v>1299</v>
      </c>
      <c r="Z126" s="33" t="n">
        <v>1215</v>
      </c>
      <c r="AA126" s="33" t="n">
        <v>1454</v>
      </c>
      <c r="AB126" s="33" t="n">
        <v>1479</v>
      </c>
      <c r="AC126" s="33" t="n">
        <v>1681</v>
      </c>
      <c r="AD126" s="33" t="n">
        <v>1390</v>
      </c>
      <c r="AE126" s="33" t="n">
        <v>1902</v>
      </c>
      <c r="AF126" s="120" t="n">
        <f aca="false">+AF52*0.03</f>
        <v>1747.78561153197</v>
      </c>
      <c r="AG126" s="120" t="n">
        <f aca="false">+AG52*0.03</f>
        <v>2009.95345326177</v>
      </c>
      <c r="AH126" s="120" t="n">
        <f aca="false">+AH52*0.03</f>
        <v>2331.54600578365</v>
      </c>
      <c r="AI126" s="120" t="n">
        <f aca="false">+AI52*0.03</f>
        <v>2704.59336670903</v>
      </c>
      <c r="AJ126" s="120" t="n">
        <f aca="false">+AJ52*0.03</f>
        <v>3110.2823717154</v>
      </c>
      <c r="AK126" s="120" t="n">
        <f aca="false">+AK52*0.03</f>
        <v>3545.72190375555</v>
      </c>
      <c r="AL126" s="120" t="n">
        <f aca="false">+AL52*0.03</f>
        <v>4006.66575124377</v>
      </c>
      <c r="AM126" s="120" t="n">
        <f aca="false">+AM52*0.03</f>
        <v>4487.46564139302</v>
      </c>
      <c r="AN126" s="120" t="n">
        <f aca="false">+AN52*0.03</f>
        <v>4981.08686194623</v>
      </c>
      <c r="AO126" s="120" t="n">
        <f aca="false">+AO52*0.03</f>
        <v>5479.19554814088</v>
      </c>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c r="CK126" s="33"/>
      <c r="CL126" s="33"/>
      <c r="CM126" s="33"/>
      <c r="CN126" s="33"/>
      <c r="CO126" s="33"/>
      <c r="CP126" s="33"/>
      <c r="CQ126" s="33"/>
      <c r="CR126" s="33"/>
      <c r="CS126" s="33"/>
      <c r="CT126" s="33"/>
      <c r="CU126" s="33"/>
      <c r="CV126" s="33"/>
      <c r="CW126" s="33"/>
      <c r="CX126" s="33"/>
      <c r="CY126" s="33"/>
      <c r="CZ126" s="33"/>
      <c r="DA126" s="33"/>
      <c r="DB126" s="33"/>
      <c r="DC126" s="33"/>
      <c r="DD126" s="33"/>
      <c r="DE126" s="33"/>
      <c r="DF126" s="33"/>
      <c r="DG126" s="33"/>
      <c r="DH126" s="33"/>
      <c r="DI126" s="33"/>
      <c r="DJ126" s="33"/>
      <c r="DK126" s="33"/>
      <c r="DL126" s="33"/>
      <c r="DM126" s="33"/>
      <c r="DN126" s="33"/>
      <c r="DO126" s="33"/>
      <c r="DP126" s="33"/>
      <c r="DQ126" s="33"/>
      <c r="DR126" s="33"/>
      <c r="DS126" s="33"/>
      <c r="DT126" s="33"/>
      <c r="DU126" s="33"/>
      <c r="DV126" s="33"/>
      <c r="DW126" s="33"/>
      <c r="DX126" s="33"/>
      <c r="DY126" s="33"/>
      <c r="DZ126" s="33"/>
      <c r="EA126" s="33"/>
      <c r="EB126" s="33"/>
      <c r="EC126" s="33"/>
      <c r="ED126" s="33"/>
      <c r="EE126" s="33"/>
      <c r="EF126" s="33"/>
      <c r="EG126" s="33"/>
      <c r="EH126" s="33"/>
      <c r="EI126" s="33"/>
      <c r="EJ126" s="33"/>
      <c r="EK126" s="33"/>
      <c r="EL126" s="33"/>
      <c r="EM126" s="33"/>
      <c r="EN126" s="33"/>
      <c r="EO126" s="33"/>
      <c r="EP126" s="33"/>
      <c r="EQ126" s="33"/>
      <c r="ER126" s="33"/>
      <c r="ES126" s="33"/>
      <c r="ET126" s="33"/>
      <c r="EU126" s="33"/>
    </row>
    <row r="127" customFormat="false" ht="12.8" hidden="false" customHeight="false" outlineLevel="0" collapsed="false">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8" t="n">
        <f aca="false">+Y126/Y$52</f>
        <v>0.0918215876157489</v>
      </c>
      <c r="Z127" s="38" t="n">
        <f aca="false">+Z126/Z$52</f>
        <v>0.109071272857699</v>
      </c>
      <c r="AA127" s="38" t="n">
        <f aca="false">+AA126/AA$52</f>
        <v>0.0832884974848154</v>
      </c>
      <c r="AB127" s="38" t="n">
        <f aca="false">+AB126/AB$52</f>
        <v>0.0463918790292027</v>
      </c>
      <c r="AC127" s="38" t="n">
        <f aca="false">+AC126/AC$52</f>
        <v>0.045089643686136</v>
      </c>
      <c r="AD127" s="38" t="n">
        <f aca="false">+AD126/AD$52</f>
        <v>0.0316064452195428</v>
      </c>
      <c r="AE127" s="38" t="n">
        <f aca="false">+AE126/AE$52</f>
        <v>0.0365646676447828</v>
      </c>
      <c r="AF127" s="38" t="n">
        <f aca="false">+AF126/AF$52</f>
        <v>0.03</v>
      </c>
      <c r="AG127" s="38" t="n">
        <f aca="false">+AG126/AG$52</f>
        <v>0.03</v>
      </c>
      <c r="AH127" s="38" t="n">
        <f aca="false">+AH126/AH$52</f>
        <v>0.03</v>
      </c>
      <c r="AI127" s="38" t="n">
        <f aca="false">+AI126/AI$52</f>
        <v>0.03</v>
      </c>
      <c r="AJ127" s="38" t="n">
        <f aca="false">+AJ126/AJ$52</f>
        <v>0.03</v>
      </c>
      <c r="AK127" s="38" t="n">
        <f aca="false">+AK126/AK$52</f>
        <v>0.03</v>
      </c>
      <c r="AL127" s="38" t="n">
        <f aca="false">+AL126/AL$52</f>
        <v>0.03</v>
      </c>
      <c r="AM127" s="38" t="n">
        <f aca="false">+AM126/AM$52</f>
        <v>0.03</v>
      </c>
      <c r="AN127" s="38" t="n">
        <f aca="false">+AN126/AN$52</f>
        <v>0.03</v>
      </c>
      <c r="AO127" s="38" t="n">
        <f aca="false">+AO126/AO$52</f>
        <v>0.03</v>
      </c>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c r="CK127" s="33"/>
      <c r="CL127" s="33"/>
      <c r="CM127" s="33"/>
      <c r="CN127" s="33"/>
      <c r="CO127" s="33"/>
      <c r="CP127" s="33"/>
      <c r="CQ127" s="33"/>
      <c r="CR127" s="33"/>
      <c r="CS127" s="33"/>
      <c r="CT127" s="33"/>
      <c r="CU127" s="33"/>
      <c r="CV127" s="33"/>
      <c r="CW127" s="33"/>
      <c r="CX127" s="33"/>
      <c r="CY127" s="33"/>
      <c r="CZ127" s="33"/>
      <c r="DA127" s="33"/>
      <c r="DB127" s="33"/>
      <c r="DC127" s="33"/>
      <c r="DD127" s="33"/>
      <c r="DE127" s="33"/>
      <c r="DF127" s="33"/>
      <c r="DG127" s="33"/>
      <c r="DH127" s="33"/>
      <c r="DI127" s="33"/>
      <c r="DJ127" s="33"/>
      <c r="DK127" s="33"/>
      <c r="DL127" s="33"/>
      <c r="DM127" s="33"/>
      <c r="DN127" s="33"/>
      <c r="DO127" s="33"/>
      <c r="DP127" s="33"/>
      <c r="DQ127" s="33"/>
      <c r="DR127" s="33"/>
      <c r="DS127" s="33"/>
      <c r="DT127" s="33"/>
      <c r="DU127" s="33"/>
      <c r="DV127" s="33"/>
      <c r="DW127" s="33"/>
      <c r="DX127" s="33"/>
      <c r="DY127" s="33"/>
      <c r="DZ127" s="33"/>
      <c r="EA127" s="33"/>
      <c r="EB127" s="33"/>
      <c r="EC127" s="33"/>
      <c r="ED127" s="33"/>
      <c r="EE127" s="33"/>
      <c r="EF127" s="33"/>
      <c r="EG127" s="33"/>
      <c r="EH127" s="33"/>
      <c r="EI127" s="33"/>
      <c r="EJ127" s="33"/>
      <c r="EK127" s="33"/>
      <c r="EL127" s="33"/>
      <c r="EM127" s="33"/>
      <c r="EN127" s="33"/>
      <c r="EO127" s="33"/>
      <c r="EP127" s="33"/>
      <c r="EQ127" s="33"/>
      <c r="ER127" s="33"/>
      <c r="ES127" s="33"/>
      <c r="ET127" s="33"/>
      <c r="EU127" s="33"/>
    </row>
    <row r="128" s="44" customFormat="true" ht="12.8" hidden="false" customHeight="false" outlineLevel="0" collapsed="false">
      <c r="A128" s="33" t="s">
        <v>335</v>
      </c>
      <c r="B128" s="33" t="n">
        <v>1853</v>
      </c>
      <c r="C128" s="33" t="n">
        <v>1861</v>
      </c>
      <c r="D128" s="33" t="n">
        <f aca="false">+902+1942</f>
        <v>2844</v>
      </c>
      <c r="E128" s="33" t="n">
        <v>2082</v>
      </c>
      <c r="F128" s="33" t="n">
        <v>2142</v>
      </c>
      <c r="G128" s="33" t="n">
        <v>2116</v>
      </c>
      <c r="H128" s="33" t="n">
        <v>2100</v>
      </c>
      <c r="I128" s="33" t="n">
        <v>2073</v>
      </c>
      <c r="J128" s="33" t="n">
        <v>2033</v>
      </c>
      <c r="K128" s="33" t="n">
        <v>2034</v>
      </c>
      <c r="L128" s="33" t="n">
        <v>1982</v>
      </c>
      <c r="M128" s="33" t="n">
        <v>1952</v>
      </c>
      <c r="N128" s="33" t="n">
        <v>1941</v>
      </c>
      <c r="O128" s="33" t="n">
        <v>1948</v>
      </c>
      <c r="P128" s="33" t="n">
        <v>1930</v>
      </c>
      <c r="Q128" s="33" t="n">
        <v>1897</v>
      </c>
      <c r="R128" s="33" t="n">
        <v>1842</v>
      </c>
      <c r="S128" s="33" t="n">
        <v>1809</v>
      </c>
      <c r="T128" s="33"/>
      <c r="U128" s="33"/>
      <c r="V128" s="33"/>
      <c r="W128" s="33"/>
      <c r="X128" s="33"/>
      <c r="Y128" s="33" t="n">
        <v>1731</v>
      </c>
      <c r="Z128" s="33" t="n">
        <v>1814</v>
      </c>
      <c r="AA128" s="33" t="n">
        <v>1853</v>
      </c>
      <c r="AB128" s="33" t="n">
        <v>2082</v>
      </c>
      <c r="AC128" s="33" t="n">
        <v>2073</v>
      </c>
      <c r="AD128" s="33" t="n">
        <v>1952</v>
      </c>
      <c r="AE128" s="33" t="n">
        <v>1897</v>
      </c>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3"/>
      <c r="CK128" s="33"/>
      <c r="CL128" s="33"/>
      <c r="CM128" s="33"/>
      <c r="CN128" s="33"/>
      <c r="CO128" s="33"/>
      <c r="CP128" s="33"/>
      <c r="CQ128" s="33"/>
      <c r="CR128" s="33"/>
      <c r="CS128" s="33"/>
      <c r="CT128" s="33"/>
      <c r="CU128" s="33"/>
      <c r="CV128" s="33"/>
      <c r="CW128" s="33"/>
      <c r="CX128" s="33"/>
      <c r="CY128" s="33"/>
      <c r="CZ128" s="33"/>
      <c r="DA128" s="33"/>
      <c r="DB128" s="33"/>
      <c r="DC128" s="33"/>
      <c r="DD128" s="33"/>
      <c r="DE128" s="33"/>
      <c r="DF128" s="33"/>
      <c r="DG128" s="33"/>
      <c r="DH128" s="33"/>
      <c r="DI128" s="33"/>
      <c r="DJ128" s="33"/>
      <c r="DK128" s="33"/>
      <c r="DL128" s="33"/>
      <c r="DM128" s="33"/>
      <c r="DN128" s="33"/>
      <c r="DO128" s="33"/>
      <c r="DP128" s="33"/>
      <c r="DQ128" s="33"/>
      <c r="DR128" s="33"/>
      <c r="DS128" s="33"/>
      <c r="DT128" s="33"/>
      <c r="DU128" s="33"/>
      <c r="DV128" s="33"/>
      <c r="DW128" s="33"/>
      <c r="DX128" s="33"/>
      <c r="DY128" s="33"/>
      <c r="DZ128" s="33"/>
      <c r="EA128" s="33"/>
      <c r="EB128" s="33"/>
      <c r="EC128" s="33"/>
      <c r="ED128" s="33"/>
      <c r="EE128" s="33"/>
      <c r="EF128" s="33"/>
      <c r="EG128" s="33"/>
      <c r="EH128" s="33"/>
      <c r="EI128" s="33"/>
      <c r="EJ128" s="33"/>
      <c r="EK128" s="33"/>
      <c r="EL128" s="33"/>
      <c r="EM128" s="33"/>
      <c r="EN128" s="33"/>
      <c r="EO128" s="33"/>
      <c r="EP128" s="33"/>
      <c r="EQ128" s="33"/>
      <c r="ER128" s="33"/>
      <c r="ES128" s="33"/>
      <c r="ET128" s="33"/>
      <c r="EU128" s="33"/>
      <c r="EV128" s="1"/>
    </row>
    <row r="129" s="37" customFormat="true" ht="12.8" hidden="false" customHeight="false" outlineLevel="0" collapsed="false">
      <c r="A129" s="33" t="s">
        <v>336</v>
      </c>
      <c r="B129" s="33" t="n">
        <v>1439</v>
      </c>
      <c r="C129" s="33" t="n">
        <v>1481</v>
      </c>
      <c r="D129" s="33" t="n">
        <v>1405</v>
      </c>
      <c r="E129" s="33" t="n">
        <v>1449</v>
      </c>
      <c r="F129" s="33" t="n">
        <v>1335</v>
      </c>
      <c r="G129" s="33" t="n">
        <v>1295</v>
      </c>
      <c r="H129" s="33" t="n">
        <v>1259</v>
      </c>
      <c r="I129" s="33" t="n">
        <v>1241</v>
      </c>
      <c r="J129" s="33" t="n">
        <v>1216</v>
      </c>
      <c r="K129" s="33" t="n">
        <v>1181</v>
      </c>
      <c r="L129" s="33" t="n">
        <v>1190</v>
      </c>
      <c r="M129" s="33" t="n">
        <v>1158</v>
      </c>
      <c r="N129" s="33" t="n">
        <v>1162</v>
      </c>
      <c r="O129" s="33" t="n">
        <v>1153</v>
      </c>
      <c r="P129" s="33" t="n">
        <v>1126</v>
      </c>
      <c r="Q129" s="33" t="n">
        <v>1114</v>
      </c>
      <c r="R129" s="33" t="n">
        <v>1458</v>
      </c>
      <c r="S129" s="33" t="n">
        <v>1558</v>
      </c>
      <c r="T129" s="33"/>
      <c r="U129" s="33"/>
      <c r="V129" s="33"/>
      <c r="W129" s="33"/>
      <c r="X129" s="33"/>
      <c r="Y129" s="33" t="n">
        <v>1594</v>
      </c>
      <c r="Z129" s="33" t="n">
        <v>1274</v>
      </c>
      <c r="AA129" s="33" t="n">
        <v>1388</v>
      </c>
      <c r="AB129" s="33" t="n">
        <v>1449</v>
      </c>
      <c r="AC129" s="33" t="n">
        <v>1241</v>
      </c>
      <c r="AD129" s="33" t="n">
        <v>1158</v>
      </c>
      <c r="AE129" s="33" t="n">
        <v>1114</v>
      </c>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c r="BO129" s="33"/>
      <c r="BP129" s="33"/>
      <c r="BQ129" s="33"/>
      <c r="BR129" s="33"/>
      <c r="BS129" s="33"/>
      <c r="BT129" s="33"/>
      <c r="BU129" s="33"/>
      <c r="BV129" s="33"/>
      <c r="BW129" s="33"/>
      <c r="BX129" s="33"/>
      <c r="BY129" s="33"/>
      <c r="BZ129" s="33"/>
      <c r="CA129" s="33"/>
      <c r="CB129" s="33"/>
      <c r="CC129" s="33"/>
      <c r="CD129" s="33"/>
      <c r="CE129" s="33"/>
      <c r="CF129" s="33"/>
      <c r="CG129" s="33"/>
      <c r="CH129" s="33"/>
      <c r="CI129" s="33"/>
      <c r="CJ129" s="33"/>
      <c r="CK129" s="33"/>
      <c r="CL129" s="33"/>
      <c r="CM129" s="33"/>
      <c r="CN129" s="33"/>
      <c r="CO129" s="33"/>
      <c r="CP129" s="33"/>
      <c r="CQ129" s="33"/>
      <c r="CR129" s="33"/>
      <c r="CS129" s="33"/>
      <c r="CT129" s="33"/>
      <c r="CU129" s="33"/>
      <c r="CV129" s="33"/>
      <c r="CW129" s="33"/>
      <c r="CX129" s="33"/>
      <c r="CY129" s="33"/>
      <c r="CZ129" s="33"/>
      <c r="DA129" s="33"/>
      <c r="DB129" s="33"/>
      <c r="DC129" s="33"/>
      <c r="DD129" s="33"/>
      <c r="DE129" s="33"/>
      <c r="DF129" s="33"/>
      <c r="DG129" s="33"/>
      <c r="DH129" s="33"/>
      <c r="DI129" s="33"/>
      <c r="DJ129" s="33"/>
      <c r="DK129" s="33"/>
      <c r="DL129" s="33"/>
      <c r="DM129" s="33"/>
      <c r="DN129" s="33"/>
      <c r="DO129" s="33"/>
      <c r="DP129" s="33"/>
      <c r="DQ129" s="33"/>
      <c r="DR129" s="33"/>
      <c r="DS129" s="33"/>
      <c r="DT129" s="33"/>
      <c r="DU129" s="33"/>
      <c r="DV129" s="33"/>
      <c r="DW129" s="33"/>
      <c r="DX129" s="33"/>
      <c r="DY129" s="33"/>
      <c r="DZ129" s="33"/>
      <c r="EA129" s="33"/>
      <c r="EB129" s="33"/>
      <c r="EC129" s="33"/>
      <c r="ED129" s="33"/>
      <c r="EE129" s="33"/>
      <c r="EF129" s="33"/>
      <c r="EG129" s="33"/>
      <c r="EH129" s="33"/>
      <c r="EI129" s="33"/>
      <c r="EJ129" s="33"/>
      <c r="EK129" s="33"/>
      <c r="EL129" s="33"/>
      <c r="EM129" s="33"/>
      <c r="EN129" s="33"/>
      <c r="EO129" s="33"/>
      <c r="EP129" s="33"/>
      <c r="EQ129" s="33"/>
      <c r="ER129" s="33"/>
      <c r="ES129" s="33"/>
      <c r="ET129" s="33"/>
      <c r="EU129" s="33"/>
      <c r="EV129" s="1"/>
    </row>
    <row r="130" customFormat="false" ht="12.8" hidden="false" customHeight="false" outlineLevel="0" collapsed="false">
      <c r="A130" s="33" t="s">
        <v>337</v>
      </c>
      <c r="B130" s="33" t="n">
        <v>2269</v>
      </c>
      <c r="C130" s="33" t="n">
        <v>2122</v>
      </c>
      <c r="D130" s="33" t="n">
        <v>1992</v>
      </c>
      <c r="E130" s="33" t="n">
        <v>1874</v>
      </c>
      <c r="F130" s="33" t="n">
        <v>1766</v>
      </c>
      <c r="G130" s="33" t="n">
        <v>1607</v>
      </c>
      <c r="H130" s="33" t="n">
        <v>1511</v>
      </c>
      <c r="I130" s="33" t="n">
        <v>1425</v>
      </c>
      <c r="J130" s="33" t="n">
        <v>1335</v>
      </c>
      <c r="K130" s="33" t="n">
        <v>1265</v>
      </c>
      <c r="L130" s="33" t="n">
        <v>1192</v>
      </c>
      <c r="M130" s="33" t="n">
        <v>1125</v>
      </c>
      <c r="N130" s="33" t="n">
        <v>1065</v>
      </c>
      <c r="O130" s="33" t="n">
        <v>1187</v>
      </c>
      <c r="P130" s="33" t="n">
        <v>1104</v>
      </c>
      <c r="Q130" s="33" t="n">
        <v>1048</v>
      </c>
      <c r="R130" s="33" t="n">
        <v>990</v>
      </c>
      <c r="S130" s="33" t="n">
        <v>1132</v>
      </c>
      <c r="T130" s="33"/>
      <c r="U130" s="33"/>
      <c r="V130" s="33"/>
      <c r="W130" s="33"/>
      <c r="X130" s="33"/>
      <c r="Y130" s="33" t="n">
        <v>71</v>
      </c>
      <c r="Z130" s="33" t="n">
        <v>1564</v>
      </c>
      <c r="AA130" s="33" t="n">
        <v>2412</v>
      </c>
      <c r="AB130" s="33" t="n">
        <v>1874</v>
      </c>
      <c r="AC130" s="33" t="n">
        <v>1425</v>
      </c>
      <c r="AD130" s="33" t="n">
        <v>1125</v>
      </c>
      <c r="AE130" s="33" t="n">
        <v>1048</v>
      </c>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c r="CK130" s="33"/>
      <c r="CL130" s="33"/>
      <c r="CM130" s="33"/>
      <c r="CN130" s="33"/>
      <c r="CO130" s="33"/>
      <c r="CP130" s="33"/>
      <c r="CQ130" s="33"/>
      <c r="CR130" s="33"/>
      <c r="CS130" s="33"/>
      <c r="CT130" s="33"/>
      <c r="CU130" s="33"/>
      <c r="CV130" s="33"/>
      <c r="CW130" s="33"/>
      <c r="CX130" s="33"/>
      <c r="CY130" s="33"/>
      <c r="CZ130" s="33"/>
      <c r="DA130" s="33"/>
      <c r="DB130" s="33"/>
      <c r="DC130" s="33"/>
      <c r="DD130" s="33"/>
      <c r="DE130" s="33"/>
      <c r="DF130" s="33"/>
      <c r="DG130" s="33"/>
      <c r="DH130" s="33"/>
      <c r="DI130" s="33"/>
      <c r="DJ130" s="33"/>
      <c r="DK130" s="33"/>
      <c r="DL130" s="33"/>
      <c r="DM130" s="33"/>
      <c r="DN130" s="33"/>
      <c r="DO130" s="33"/>
      <c r="DP130" s="33"/>
      <c r="DQ130" s="33"/>
      <c r="DR130" s="33"/>
      <c r="DS130" s="33"/>
      <c r="DT130" s="33"/>
      <c r="DU130" s="33"/>
      <c r="DV130" s="33"/>
      <c r="DW130" s="33"/>
      <c r="DX130" s="33"/>
      <c r="DY130" s="33"/>
      <c r="DZ130" s="33"/>
      <c r="EA130" s="33"/>
      <c r="EB130" s="33"/>
      <c r="EC130" s="33"/>
      <c r="ED130" s="33"/>
      <c r="EE130" s="33"/>
      <c r="EF130" s="33"/>
      <c r="EG130" s="33"/>
      <c r="EH130" s="33"/>
      <c r="EI130" s="33"/>
      <c r="EJ130" s="33"/>
      <c r="EK130" s="33"/>
      <c r="EL130" s="33"/>
      <c r="EM130" s="33"/>
      <c r="EN130" s="33"/>
      <c r="EO130" s="33"/>
      <c r="EP130" s="33"/>
      <c r="EQ130" s="33"/>
      <c r="ER130" s="33"/>
      <c r="ES130" s="33"/>
      <c r="ET130" s="33"/>
      <c r="EU130" s="33"/>
    </row>
    <row r="131" customFormat="false" ht="12.8" hidden="false" customHeight="false" outlineLevel="0" collapsed="false">
      <c r="A131" s="33" t="s">
        <v>338</v>
      </c>
      <c r="B131" s="33" t="n">
        <v>8435</v>
      </c>
      <c r="C131" s="33" t="n">
        <v>8359</v>
      </c>
      <c r="D131" s="33" t="n">
        <v>8300</v>
      </c>
      <c r="E131" s="33" t="n">
        <v>8263</v>
      </c>
      <c r="F131" s="33" t="n">
        <v>8185</v>
      </c>
      <c r="G131" s="33" t="n">
        <v>8151</v>
      </c>
      <c r="H131" s="33" t="n">
        <v>8140</v>
      </c>
      <c r="I131" s="33" t="n">
        <v>8151</v>
      </c>
      <c r="J131" s="33" t="n">
        <v>8089</v>
      </c>
      <c r="K131" s="33" t="n">
        <v>8083</v>
      </c>
      <c r="L131" s="33" t="n">
        <v>8086</v>
      </c>
      <c r="M131" s="33" t="n">
        <v>8066</v>
      </c>
      <c r="N131" s="33" t="n">
        <v>8069</v>
      </c>
      <c r="O131" s="33" t="n">
        <v>8907</v>
      </c>
      <c r="P131" s="33" t="n">
        <v>8917</v>
      </c>
      <c r="Q131" s="33" t="n">
        <v>8931</v>
      </c>
      <c r="R131" s="33" t="n">
        <v>8919</v>
      </c>
      <c r="S131" s="33" t="n">
        <v>9472</v>
      </c>
      <c r="T131" s="33"/>
      <c r="U131" s="33"/>
      <c r="V131" s="33"/>
      <c r="W131" s="33"/>
      <c r="X131" s="33"/>
      <c r="Y131" s="33" t="n">
        <v>167</v>
      </c>
      <c r="Z131" s="33" t="n">
        <v>6109</v>
      </c>
      <c r="AA131" s="33" t="n">
        <v>8420</v>
      </c>
      <c r="AB131" s="33" t="n">
        <v>8263</v>
      </c>
      <c r="AC131" s="33" t="n">
        <v>8151</v>
      </c>
      <c r="AD131" s="33" t="n">
        <v>8066</v>
      </c>
      <c r="AE131" s="33" t="n">
        <v>8931</v>
      </c>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3"/>
      <c r="CK131" s="33"/>
      <c r="CL131" s="33"/>
      <c r="CM131" s="33"/>
      <c r="CN131" s="33"/>
      <c r="CO131" s="33"/>
      <c r="CP131" s="33"/>
      <c r="CQ131" s="33"/>
      <c r="CR131" s="33"/>
      <c r="CS131" s="33"/>
      <c r="CT131" s="33"/>
      <c r="CU131" s="33"/>
      <c r="CV131" s="33"/>
      <c r="CW131" s="33"/>
      <c r="CX131" s="33"/>
      <c r="CY131" s="33"/>
      <c r="CZ131" s="33"/>
      <c r="DA131" s="33"/>
      <c r="DB131" s="33"/>
      <c r="DC131" s="33"/>
      <c r="DD131" s="33"/>
      <c r="DE131" s="33"/>
      <c r="DF131" s="33"/>
      <c r="DG131" s="33"/>
      <c r="DH131" s="33"/>
      <c r="DI131" s="33"/>
      <c r="DJ131" s="33"/>
      <c r="DK131" s="33"/>
      <c r="DL131" s="33"/>
      <c r="DM131" s="33"/>
      <c r="DN131" s="33"/>
      <c r="DO131" s="33"/>
      <c r="DP131" s="33"/>
      <c r="DQ131" s="33"/>
      <c r="DR131" s="33"/>
      <c r="DS131" s="33"/>
      <c r="DT131" s="33"/>
      <c r="DU131" s="33"/>
      <c r="DV131" s="33"/>
      <c r="DW131" s="33"/>
      <c r="DX131" s="33"/>
      <c r="DY131" s="33"/>
      <c r="DZ131" s="33"/>
      <c r="EA131" s="33"/>
      <c r="EB131" s="33"/>
      <c r="EC131" s="33"/>
      <c r="ED131" s="33"/>
      <c r="EE131" s="33"/>
      <c r="EF131" s="33"/>
      <c r="EG131" s="33"/>
      <c r="EH131" s="33"/>
      <c r="EI131" s="33"/>
      <c r="EJ131" s="33"/>
      <c r="EK131" s="33"/>
      <c r="EL131" s="33"/>
      <c r="EM131" s="33"/>
      <c r="EN131" s="33"/>
      <c r="EO131" s="33"/>
      <c r="EP131" s="33"/>
      <c r="EQ131" s="33"/>
      <c r="ER131" s="33"/>
      <c r="ES131" s="33"/>
      <c r="ET131" s="33"/>
      <c r="EU131" s="33"/>
    </row>
    <row r="132" s="33" customFormat="true" ht="12.8" hidden="false" customHeight="false" outlineLevel="0" collapsed="false">
      <c r="A132" s="33" t="s">
        <v>339</v>
      </c>
      <c r="B132" s="33" t="n">
        <v>0</v>
      </c>
      <c r="C132" s="33" t="n">
        <v>0</v>
      </c>
      <c r="D132" s="33" t="n">
        <v>0</v>
      </c>
      <c r="E132" s="33" t="n">
        <v>0</v>
      </c>
      <c r="F132" s="33" t="n">
        <v>0</v>
      </c>
      <c r="G132" s="33" t="n">
        <v>0</v>
      </c>
      <c r="H132" s="33" t="n">
        <v>0</v>
      </c>
      <c r="I132" s="33" t="n">
        <v>170</v>
      </c>
      <c r="J132" s="33" t="n">
        <v>0</v>
      </c>
      <c r="K132" s="33" t="n">
        <v>0</v>
      </c>
      <c r="L132" s="33" t="n">
        <v>0</v>
      </c>
      <c r="M132" s="33" t="n">
        <v>6171</v>
      </c>
      <c r="N132" s="33" t="n">
        <v>6592</v>
      </c>
      <c r="O132" s="33" t="n">
        <v>6524</v>
      </c>
      <c r="P132" s="33" t="n">
        <v>10710</v>
      </c>
      <c r="Q132" s="33" t="n">
        <v>10951</v>
      </c>
      <c r="R132" s="33" t="n">
        <v>10844</v>
      </c>
      <c r="S132" s="33" t="n">
        <v>10162</v>
      </c>
      <c r="Y132" s="33" t="n">
        <v>0</v>
      </c>
      <c r="Z132" s="33" t="n">
        <v>0</v>
      </c>
      <c r="AA132" s="33" t="n">
        <v>0</v>
      </c>
      <c r="AB132" s="33" t="n">
        <v>0</v>
      </c>
      <c r="AC132" s="33" t="n">
        <v>170</v>
      </c>
      <c r="AD132" s="33" t="n">
        <v>6171</v>
      </c>
      <c r="AE132" s="33" t="n">
        <v>10951</v>
      </c>
      <c r="EV132" s="1"/>
    </row>
    <row r="133" s="33" customFormat="true" ht="12.8" hidden="false" customHeight="false" outlineLevel="0" collapsed="false">
      <c r="A133" s="33" t="s">
        <v>282</v>
      </c>
      <c r="B133" s="33" t="n">
        <v>415</v>
      </c>
      <c r="C133" s="33" t="n">
        <v>406</v>
      </c>
      <c r="D133" s="33" t="n">
        <v>384</v>
      </c>
      <c r="E133" s="33" t="n">
        <v>518</v>
      </c>
      <c r="F133" s="33" t="n">
        <v>554</v>
      </c>
      <c r="G133" s="33" t="n">
        <v>704</v>
      </c>
      <c r="H133" s="33" t="n">
        <v>1591</v>
      </c>
      <c r="I133" s="33" t="n">
        <v>1590</v>
      </c>
      <c r="J133" s="33" t="n">
        <v>1942</v>
      </c>
      <c r="K133" s="33" t="n">
        <v>2254</v>
      </c>
      <c r="L133" s="33" t="n">
        <v>2629</v>
      </c>
      <c r="M133" s="33" t="n">
        <v>2574</v>
      </c>
      <c r="N133" s="33" t="n">
        <v>2973</v>
      </c>
      <c r="O133" s="33" t="n">
        <v>3263</v>
      </c>
      <c r="P133" s="33" t="n">
        <v>3317</v>
      </c>
      <c r="Q133" s="33" t="n">
        <v>3618</v>
      </c>
      <c r="R133" s="33" t="n">
        <v>3734</v>
      </c>
      <c r="S133" s="33" t="n">
        <v>5475</v>
      </c>
      <c r="Y133" s="33" t="n">
        <v>88</v>
      </c>
      <c r="Z133" s="33" t="n">
        <f aca="false">+124+517+860</f>
        <v>1501</v>
      </c>
      <c r="AA133" s="33" t="n">
        <v>397</v>
      </c>
      <c r="AB133" s="33" t="n">
        <v>518</v>
      </c>
      <c r="AC133" s="33" t="n">
        <v>1590</v>
      </c>
      <c r="AD133" s="33" t="n">
        <v>2574</v>
      </c>
      <c r="AE133" s="33" t="n">
        <v>3618</v>
      </c>
      <c r="EV133" s="1"/>
    </row>
    <row r="134" s="33" customFormat="true" ht="12.8" hidden="false" customHeight="false" outlineLevel="0" collapsed="false">
      <c r="A134" s="33" t="s">
        <v>340</v>
      </c>
      <c r="B134" s="33" t="n">
        <f aca="false">SUM(B122:B133)</f>
        <v>32812</v>
      </c>
      <c r="C134" s="33" t="n">
        <f aca="false">SUM(C122:C133)</f>
        <v>31014</v>
      </c>
      <c r="D134" s="33" t="n">
        <f aca="false">SUM(D122:D133)</f>
        <v>31112</v>
      </c>
      <c r="E134" s="33" t="n">
        <f aca="false">SUM(E122:E133)</f>
        <v>32109</v>
      </c>
      <c r="F134" s="33" t="n">
        <f aca="false">SUM(F122:F133)</f>
        <v>32451</v>
      </c>
      <c r="G134" s="33" t="n">
        <f aca="false">SUM(G122:G133)</f>
        <v>34068</v>
      </c>
      <c r="H134" s="33" t="n">
        <f aca="false">SUM(H122:H133)</f>
        <v>35949</v>
      </c>
      <c r="I134" s="33" t="n">
        <f aca="false">SUM(I122:I133)</f>
        <v>38699</v>
      </c>
      <c r="J134" s="33" t="n">
        <f aca="false">SUM(J122:J133)</f>
        <v>39599</v>
      </c>
      <c r="K134" s="33" t="n">
        <f aca="false">SUM(K122:K133)</f>
        <v>41514</v>
      </c>
      <c r="L134" s="33" t="n">
        <f aca="false">SUM(L122:L133)</f>
        <v>47117</v>
      </c>
      <c r="M134" s="33" t="n">
        <f aca="false">SUM(M122:M133)</f>
        <v>51244</v>
      </c>
      <c r="N134" s="33" t="n">
        <f aca="false">SUM(N122:N133)</f>
        <v>52822</v>
      </c>
      <c r="O134" s="33" t="n">
        <f aca="false">SUM(O122:O133)</f>
        <v>55982</v>
      </c>
      <c r="P134" s="33" t="n">
        <f aca="false">SUM(P122:P133)</f>
        <v>63344</v>
      </c>
      <c r="Q134" s="33" t="n">
        <f aca="false">SUM(Q122:Q133)</f>
        <v>61802</v>
      </c>
      <c r="R134" s="33" t="n">
        <f aca="false">SUM(R122:R133)</f>
        <v>59885</v>
      </c>
      <c r="S134" s="33" t="n">
        <f aca="false">SUM(S122:S133)</f>
        <v>65801</v>
      </c>
      <c r="Y134" s="33" t="n">
        <f aca="false">SUM(Y122:Y133)</f>
        <v>31761.0918215876</v>
      </c>
      <c r="Z134" s="33" t="n">
        <f aca="false">SUM(Z122:Z133)</f>
        <v>33252.1090712729</v>
      </c>
      <c r="AA134" s="33" t="n">
        <f aca="false">SUM(AA122:AA133)</f>
        <v>38774.0832884975</v>
      </c>
      <c r="AB134" s="33" t="n">
        <f aca="false">SUM(AB122:AB133)</f>
        <v>32109.046391879</v>
      </c>
      <c r="AC134" s="33" t="n">
        <f aca="false">SUM(AC122:AC133)</f>
        <v>38699.0450896437</v>
      </c>
      <c r="AD134" s="33" t="n">
        <f aca="false">SUM(AD122:AD133)</f>
        <v>51244.0316064452</v>
      </c>
      <c r="AE134" s="33" t="n">
        <f aca="false">SUM(AE122:AE133)</f>
        <v>61802.0365646676</v>
      </c>
      <c r="EV134" s="1"/>
    </row>
    <row r="135" s="33" customFormat="true" ht="12.8" hidden="false" customHeight="false" outlineLevel="0" collapsed="false">
      <c r="Z135" s="108"/>
      <c r="AA135" s="108"/>
      <c r="AB135" s="108"/>
      <c r="AC135" s="108"/>
      <c r="AD135" s="108"/>
      <c r="AE135" s="108"/>
      <c r="AF135" s="108"/>
      <c r="EV135" s="1"/>
    </row>
    <row r="136" s="33" customFormat="true" ht="12.8" hidden="false" customHeight="false" outlineLevel="0" collapsed="false">
      <c r="A136" s="33" t="s">
        <v>341</v>
      </c>
      <c r="B136" s="33" t="n">
        <v>862</v>
      </c>
      <c r="C136" s="33" t="n">
        <v>810</v>
      </c>
      <c r="D136" s="33" t="n">
        <v>774</v>
      </c>
      <c r="E136" s="33" t="n">
        <v>728</v>
      </c>
      <c r="F136" s="33" t="n">
        <v>712</v>
      </c>
      <c r="G136" s="33" t="n">
        <v>694</v>
      </c>
      <c r="H136" s="33" t="n">
        <v>799</v>
      </c>
      <c r="I136" s="33" t="n">
        <v>790</v>
      </c>
      <c r="J136" s="33" t="n">
        <v>833</v>
      </c>
      <c r="K136" s="33" t="n">
        <v>752</v>
      </c>
      <c r="L136" s="33" t="n">
        <v>802</v>
      </c>
      <c r="M136" s="33" t="n">
        <v>858</v>
      </c>
      <c r="N136" s="33" t="n">
        <v>873</v>
      </c>
      <c r="O136" s="33" t="n">
        <v>1022</v>
      </c>
      <c r="P136" s="33" t="n">
        <v>1119</v>
      </c>
      <c r="Q136" s="33" t="n">
        <v>1013</v>
      </c>
      <c r="R136" s="33" t="n">
        <v>1189</v>
      </c>
      <c r="S136" s="33" t="n">
        <v>1366</v>
      </c>
      <c r="Y136" s="33" t="n">
        <v>272</v>
      </c>
      <c r="Z136" s="33" t="n">
        <v>235</v>
      </c>
      <c r="AA136" s="33" t="n">
        <v>860</v>
      </c>
      <c r="AB136" s="33" t="n">
        <v>728</v>
      </c>
      <c r="AC136" s="33" t="n">
        <v>790</v>
      </c>
      <c r="AD136" s="33" t="n">
        <v>858</v>
      </c>
      <c r="AE136" s="33" t="n">
        <v>1013</v>
      </c>
      <c r="AF136" s="33" t="n">
        <f aca="false">+(AF186/365)*AF54</f>
        <v>1053.45982064941</v>
      </c>
      <c r="AG136" s="33" t="n">
        <f aca="false">+(AG186/365)*AG54</f>
        <v>1092.16648830206</v>
      </c>
      <c r="AH136" s="33" t="n">
        <f aca="false">+(AH186/365)*AH54</f>
        <v>1256.26679763685</v>
      </c>
      <c r="AI136" s="33" t="n">
        <f aca="false">+(AI186/365)*AI54</f>
        <v>1444.91974385825</v>
      </c>
      <c r="AJ136" s="33" t="n">
        <f aca="false">+(AJ186/365)*AJ54</f>
        <v>1482.70995254377</v>
      </c>
      <c r="AK136" s="33" t="n">
        <f aca="false">+(AK186/365)*AK54</f>
        <v>1646.57496626456</v>
      </c>
      <c r="AL136" s="33" t="n">
        <f aca="false">+(AL186/365)*AL54</f>
        <v>1877.0954615416</v>
      </c>
      <c r="AM136" s="33" t="n">
        <f aca="false">+(AM186/365)*AM54</f>
        <v>2083.90527730443</v>
      </c>
      <c r="AN136" s="33" t="n">
        <f aca="false">+(AN186/365)*AN54</f>
        <v>2292.66463782731</v>
      </c>
      <c r="AO136" s="33" t="n">
        <f aca="false">+(AO186/365)*AO54</f>
        <v>2499.41385963138</v>
      </c>
      <c r="EV136" s="1"/>
    </row>
    <row r="137" s="33" customFormat="true" ht="12.8" hidden="false" customHeight="false" outlineLevel="0" collapsed="false">
      <c r="A137" s="33" t="s">
        <v>342</v>
      </c>
      <c r="B137" s="33" t="n">
        <f aca="false">++2709</f>
        <v>2709</v>
      </c>
      <c r="C137" s="33" t="n">
        <f aca="false">++2865</f>
        <v>2865</v>
      </c>
      <c r="D137" s="33" t="n">
        <f aca="false">++3036</f>
        <v>3036</v>
      </c>
      <c r="E137" s="33" t="n">
        <f aca="false">++3028</f>
        <v>3028</v>
      </c>
      <c r="F137" s="33" t="n">
        <f aca="false">+3412</f>
        <v>3412</v>
      </c>
      <c r="G137" s="33" t="n">
        <f aca="false">++3931</f>
        <v>3931</v>
      </c>
      <c r="H137" s="33" t="n">
        <f aca="false">++4337</f>
        <v>4337</v>
      </c>
      <c r="I137" s="33" t="n">
        <f aca="false">++4909</f>
        <v>4909</v>
      </c>
      <c r="J137" s="33" t="n">
        <f aca="false">++5346</f>
        <v>5346</v>
      </c>
      <c r="K137" s="33" t="n">
        <f aca="false">+5733</f>
        <v>5733</v>
      </c>
      <c r="L137" s="33" t="n">
        <f aca="false">++6623</f>
        <v>6623</v>
      </c>
      <c r="M137" s="33" t="n">
        <f aca="false">+7042</f>
        <v>7042</v>
      </c>
      <c r="N137" s="33" t="n">
        <f aca="false">+7599</f>
        <v>7599</v>
      </c>
      <c r="O137" s="33" t="n">
        <f aca="false">+8183</f>
        <v>8183</v>
      </c>
      <c r="P137" s="33" t="n">
        <f aca="false">+8611</f>
        <v>8611</v>
      </c>
      <c r="Q137" s="33" t="n">
        <f aca="false">+9076</f>
        <v>9076</v>
      </c>
      <c r="R137" s="33" t="n">
        <f aca="false">+9437</f>
        <v>9437</v>
      </c>
      <c r="S137" s="33" t="n">
        <v>9528</v>
      </c>
      <c r="Y137" s="33" t="n">
        <f aca="false">++2297</f>
        <v>2297</v>
      </c>
      <c r="Z137" s="33" t="n">
        <f aca="false">++2223</f>
        <v>2223</v>
      </c>
      <c r="AA137" s="33" t="n">
        <f aca="false">++2546</f>
        <v>2546</v>
      </c>
      <c r="AB137" s="33" t="n">
        <f aca="false">+3028</f>
        <v>3028</v>
      </c>
      <c r="AC137" s="33" t="n">
        <f aca="false">+4909</f>
        <v>4909</v>
      </c>
      <c r="AD137" s="33" t="n">
        <f aca="false">++7042</f>
        <v>7042</v>
      </c>
      <c r="AE137" s="33" t="n">
        <f aca="false">+9076</f>
        <v>9076</v>
      </c>
      <c r="EV137" s="1"/>
    </row>
    <row r="138" s="33" customFormat="true" ht="12.8" hidden="false" customHeight="false" outlineLevel="0" collapsed="false">
      <c r="A138" s="33" t="s">
        <v>343</v>
      </c>
      <c r="B138" s="33" t="n">
        <v>1415</v>
      </c>
      <c r="C138" s="33" t="n">
        <v>1449</v>
      </c>
      <c r="D138" s="33" t="n">
        <v>1433</v>
      </c>
      <c r="E138" s="33" t="n">
        <v>1692</v>
      </c>
      <c r="F138" s="33" t="n">
        <v>1658</v>
      </c>
      <c r="G138" s="33" t="n">
        <v>1729</v>
      </c>
      <c r="H138" s="33" t="n">
        <v>1823</v>
      </c>
      <c r="I138" s="33" t="n">
        <v>2077</v>
      </c>
      <c r="J138" s="33" t="n">
        <v>2082</v>
      </c>
      <c r="K138" s="33" t="n">
        <v>2387</v>
      </c>
      <c r="L138" s="33" t="n">
        <v>2523</v>
      </c>
      <c r="M138" s="33" t="n">
        <v>2754</v>
      </c>
      <c r="N138" s="33" t="n">
        <v>2873</v>
      </c>
      <c r="O138" s="33" t="n">
        <v>3107</v>
      </c>
      <c r="P138" s="33" t="n">
        <v>3268</v>
      </c>
      <c r="Q138" s="33" t="n">
        <v>3387</v>
      </c>
      <c r="R138" s="33" t="n">
        <v>3467</v>
      </c>
      <c r="S138" s="33" t="n">
        <v>3758</v>
      </c>
      <c r="Y138" s="33" t="n">
        <v>1121</v>
      </c>
      <c r="Z138" s="33" t="n">
        <v>1243</v>
      </c>
      <c r="AA138" s="33" t="n">
        <v>1442</v>
      </c>
      <c r="AB138" s="33" t="n">
        <v>1692</v>
      </c>
      <c r="AC138" s="33" t="n">
        <v>2077</v>
      </c>
      <c r="AD138" s="33" t="n">
        <v>2754</v>
      </c>
      <c r="AE138" s="33" t="n">
        <v>3387</v>
      </c>
      <c r="AF138" s="33" t="n">
        <f aca="false">+AF52*0.065</f>
        <v>3786.86882498594</v>
      </c>
      <c r="AG138" s="33" t="n">
        <f aca="false">+AG52*0.065</f>
        <v>4354.89914873383</v>
      </c>
      <c r="AH138" s="33" t="n">
        <f aca="false">+AH52*0.065</f>
        <v>5051.68301253124</v>
      </c>
      <c r="AI138" s="33" t="n">
        <f aca="false">+AI52*0.06</f>
        <v>5409.18673341806</v>
      </c>
      <c r="AJ138" s="33" t="n">
        <f aca="false">+AJ52*0.06</f>
        <v>6220.5647434308</v>
      </c>
      <c r="AK138" s="33" t="n">
        <f aca="false">+AK52*0.06</f>
        <v>7091.4438075111</v>
      </c>
      <c r="AL138" s="33" t="n">
        <f aca="false">+AL52*0.06</f>
        <v>8013.33150248754</v>
      </c>
      <c r="AM138" s="33" t="n">
        <f aca="false">+AM52*0.06</f>
        <v>8974.93128278604</v>
      </c>
      <c r="AN138" s="33" t="n">
        <f aca="false">+AN52*0.06</f>
        <v>9962.17372389246</v>
      </c>
      <c r="AO138" s="33" t="n">
        <f aca="false">+AO52*0.06</f>
        <v>10958.3910962818</v>
      </c>
      <c r="EV138" s="1"/>
    </row>
    <row r="139" s="121" customFormat="true" ht="10.5" hidden="false" customHeight="true" outlineLevel="0" collapsed="false">
      <c r="Y139" s="38" t="n">
        <f aca="false">+Y138/Y$52</f>
        <v>0.0792394147169011</v>
      </c>
      <c r="Z139" s="38" t="n">
        <f aca="false">+Z138/Z$52</f>
        <v>0.111584849516148</v>
      </c>
      <c r="AA139" s="38" t="n">
        <f aca="false">+AA138/AA$52</f>
        <v>0.0826011096101127</v>
      </c>
      <c r="AB139" s="38" t="n">
        <f aca="false">+AB138/AB$52</f>
        <v>0.0530730624188039</v>
      </c>
      <c r="AC139" s="38" t="n">
        <f aca="false">+AC138/AC$52</f>
        <v>0.0557115942511031</v>
      </c>
      <c r="AD139" s="38" t="n">
        <f aca="false">+AD138/AD$52</f>
        <v>0.0626216907443316</v>
      </c>
      <c r="AE139" s="38" t="n">
        <f aca="false">+AE138/AE$52</f>
        <v>0.0651127914368451</v>
      </c>
      <c r="AF139" s="38" t="n">
        <f aca="false">+AF138/AF$52</f>
        <v>0.065</v>
      </c>
      <c r="AG139" s="38" t="n">
        <f aca="false">+AG138/AG$52</f>
        <v>0.065</v>
      </c>
      <c r="AH139" s="38" t="n">
        <f aca="false">+AH138/AH$52</f>
        <v>0.065</v>
      </c>
      <c r="AI139" s="38" t="n">
        <f aca="false">+AI138/AI$52</f>
        <v>0.06</v>
      </c>
      <c r="AJ139" s="38" t="n">
        <f aca="false">+AJ138/AJ$52</f>
        <v>0.06</v>
      </c>
      <c r="AK139" s="38" t="n">
        <f aca="false">+AK138/AK$52</f>
        <v>0.06</v>
      </c>
      <c r="AL139" s="38" t="n">
        <f aca="false">+AL138/AL$52</f>
        <v>0.06</v>
      </c>
      <c r="AM139" s="38" t="n">
        <f aca="false">+AM138/AM$52</f>
        <v>0.06</v>
      </c>
      <c r="AN139" s="38" t="n">
        <f aca="false">+AN138/AN$52</f>
        <v>0.06</v>
      </c>
      <c r="AO139" s="38" t="n">
        <f aca="false">+AO138/AO$52</f>
        <v>0.06</v>
      </c>
    </row>
    <row r="140" s="77" customFormat="true" ht="12.8" hidden="false" customHeight="false" outlineLevel="0" collapsed="false">
      <c r="A140" s="33" t="s">
        <v>344</v>
      </c>
      <c r="B140" s="33" t="n">
        <f aca="false">+209+1681</f>
        <v>1890</v>
      </c>
      <c r="C140" s="33" t="n">
        <f aca="false">+215+1711</f>
        <v>1926</v>
      </c>
      <c r="D140" s="33" t="n">
        <f aca="false">+189+1626</f>
        <v>1815</v>
      </c>
      <c r="E140" s="33" t="n">
        <f aca="false">+201+1673</f>
        <v>1874</v>
      </c>
      <c r="F140" s="33" t="n">
        <f aca="false">+1629+193</f>
        <v>1822</v>
      </c>
      <c r="G140" s="33" t="n">
        <f aca="false">+179+1597</f>
        <v>1776</v>
      </c>
      <c r="H140" s="33" t="n">
        <f aca="false">+174+1565</f>
        <v>1739</v>
      </c>
      <c r="I140" s="33" t="n">
        <f aca="false">+190+1550</f>
        <v>1740</v>
      </c>
      <c r="J140" s="33" t="n">
        <f aca="false">+184+1520</f>
        <v>1704</v>
      </c>
      <c r="K140" s="33" t="n">
        <f aca="false">+198+1492</f>
        <v>1690</v>
      </c>
      <c r="L140" s="33" t="n">
        <f aca="false">+178+1496</f>
        <v>1674</v>
      </c>
      <c r="M140" s="33" t="n">
        <f aca="false">+175+1454</f>
        <v>1629</v>
      </c>
      <c r="N140" s="33" t="n">
        <f aca="false">+177+1447</f>
        <v>1624</v>
      </c>
      <c r="O140" s="33" t="n">
        <f aca="false">+1438+176</f>
        <v>1614</v>
      </c>
      <c r="P140" s="33" t="n">
        <f aca="false">+163+1412</f>
        <v>1575</v>
      </c>
      <c r="Q140" s="33" t="n">
        <f aca="false">+1390+169</f>
        <v>1559</v>
      </c>
      <c r="R140" s="33" t="n">
        <f aca="false">+195+1710</f>
        <v>1905</v>
      </c>
      <c r="S140" s="33" t="n">
        <f aca="false">+178+1830</f>
        <v>2008</v>
      </c>
      <c r="T140" s="33"/>
      <c r="U140" s="33"/>
      <c r="V140" s="33"/>
      <c r="W140" s="33"/>
      <c r="X140" s="33"/>
      <c r="Y140" s="33" t="n">
        <f aca="false">+196+1523</f>
        <v>1719</v>
      </c>
      <c r="Z140" s="33" t="n">
        <f aca="false">+175+1544</f>
        <v>1719</v>
      </c>
      <c r="AA140" s="33" t="n">
        <f aca="false">+185+1644</f>
        <v>1829</v>
      </c>
      <c r="AB140" s="33" t="n">
        <f aca="false">+1673+201</f>
        <v>1874</v>
      </c>
      <c r="AC140" s="33" t="n">
        <f aca="false">+190+1550</f>
        <v>1740</v>
      </c>
      <c r="AD140" s="33" t="n">
        <f aca="false">+175+1454</f>
        <v>1629</v>
      </c>
      <c r="AE140" s="33" t="n">
        <f aca="false">+1390+169</f>
        <v>1559</v>
      </c>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c r="CF140" s="33"/>
      <c r="CG140" s="33"/>
      <c r="CH140" s="33"/>
      <c r="CI140" s="33"/>
      <c r="CJ140" s="33"/>
      <c r="CK140" s="33"/>
      <c r="CL140" s="33"/>
      <c r="CM140" s="33"/>
      <c r="CN140" s="33"/>
      <c r="CO140" s="33"/>
      <c r="CP140" s="33"/>
      <c r="CQ140" s="33"/>
      <c r="CR140" s="33"/>
      <c r="CS140" s="33"/>
      <c r="CT140" s="33"/>
      <c r="CU140" s="33"/>
      <c r="CV140" s="33"/>
      <c r="CW140" s="33"/>
      <c r="CX140" s="33"/>
      <c r="CY140" s="33"/>
      <c r="CZ140" s="33"/>
      <c r="DA140" s="33"/>
      <c r="DB140" s="33"/>
      <c r="DC140" s="33"/>
      <c r="DD140" s="33"/>
      <c r="DE140" s="33"/>
      <c r="DF140" s="33"/>
      <c r="DG140" s="33"/>
      <c r="DH140" s="33"/>
      <c r="DI140" s="33"/>
      <c r="DJ140" s="33"/>
      <c r="DK140" s="33"/>
      <c r="DL140" s="33"/>
      <c r="DM140" s="33"/>
      <c r="DN140" s="33"/>
      <c r="DO140" s="33"/>
      <c r="DP140" s="33"/>
      <c r="DQ140" s="33"/>
      <c r="DR140" s="33"/>
      <c r="DS140" s="33"/>
      <c r="DT140" s="33"/>
      <c r="DU140" s="33"/>
      <c r="DV140" s="33"/>
      <c r="DW140" s="33"/>
      <c r="DX140" s="33"/>
      <c r="DY140" s="33"/>
      <c r="DZ140" s="33"/>
      <c r="EA140" s="33"/>
      <c r="EB140" s="33"/>
      <c r="EC140" s="33"/>
      <c r="ED140" s="33"/>
      <c r="EE140" s="33"/>
      <c r="EF140" s="33"/>
      <c r="EG140" s="33"/>
      <c r="EH140" s="33"/>
      <c r="EI140" s="33"/>
      <c r="EJ140" s="33"/>
      <c r="EK140" s="33"/>
      <c r="EL140" s="33"/>
      <c r="EM140" s="33"/>
      <c r="EN140" s="33"/>
      <c r="EO140" s="33"/>
      <c r="EP140" s="33"/>
      <c r="EQ140" s="33"/>
      <c r="ER140" s="33"/>
      <c r="ES140" s="33"/>
      <c r="ET140" s="33"/>
      <c r="EU140" s="33"/>
      <c r="EV140" s="1"/>
    </row>
    <row r="141" s="77" customFormat="true" ht="12.8" hidden="false" customHeight="false" outlineLevel="0" collapsed="false">
      <c r="A141" s="33" t="s">
        <v>282</v>
      </c>
      <c r="B141" s="33" t="n">
        <f aca="false">+6166+679</f>
        <v>6845</v>
      </c>
      <c r="C141" s="33" t="n">
        <f aca="false">+6471+659</f>
        <v>7130</v>
      </c>
      <c r="D141" s="33" t="n">
        <f aca="false">+6624+762</f>
        <v>7386</v>
      </c>
      <c r="E141" s="33" t="n">
        <f aca="false">+786+6232</f>
        <v>7018</v>
      </c>
      <c r="F141" s="33" t="n">
        <f aca="false">+6120+798</f>
        <v>6918</v>
      </c>
      <c r="G141" s="33" t="n">
        <f aca="false">+6033+822</f>
        <v>6855</v>
      </c>
      <c r="H141" s="33" t="n">
        <f aca="false">+6609+871</f>
        <v>7480</v>
      </c>
      <c r="I141" s="33" t="n">
        <f aca="false">+645+6397</f>
        <v>7042</v>
      </c>
      <c r="J141" s="33" t="n">
        <f aca="false">+6894+784</f>
        <v>7678</v>
      </c>
      <c r="K141" s="33" t="n">
        <f aca="false">+6981+734</f>
        <v>7715</v>
      </c>
      <c r="L141" s="33" t="n">
        <f aca="false">+7332+638</f>
        <v>7970</v>
      </c>
      <c r="M141" s="33" t="n">
        <f aca="false">+7689+449</f>
        <v>8138</v>
      </c>
      <c r="N141" s="33" t="n">
        <f aca="false">+408+8190</f>
        <v>8598</v>
      </c>
      <c r="O141" s="33" t="n">
        <f aca="false">+467+8381</f>
        <v>8848</v>
      </c>
      <c r="P141" s="33" t="n">
        <f aca="false">+8571+430</f>
        <v>9001</v>
      </c>
      <c r="Q141" s="33" t="n">
        <f aca="false">+412+7751</f>
        <v>8163</v>
      </c>
      <c r="R141" s="33" t="n">
        <f aca="false">+419+7142</f>
        <v>7561</v>
      </c>
      <c r="S141" s="33" t="n">
        <f aca="false">+7572+447</f>
        <v>8019</v>
      </c>
      <c r="T141" s="33"/>
      <c r="U141" s="33"/>
      <c r="V141" s="33"/>
      <c r="W141" s="33"/>
      <c r="X141" s="33"/>
      <c r="Y141" s="33" t="n">
        <f aca="false">+4050+1412</f>
        <v>5462</v>
      </c>
      <c r="Z141" s="33" t="n">
        <f aca="false">+5112+100+1306</f>
        <v>6518</v>
      </c>
      <c r="AA141" s="33" t="n">
        <f aca="false">+6537+935</f>
        <v>7472</v>
      </c>
      <c r="AB141" s="33" t="n">
        <f aca="false">+786+6232</f>
        <v>7018</v>
      </c>
      <c r="AC141" s="33" t="n">
        <f aca="false">+645+6397</f>
        <v>7042</v>
      </c>
      <c r="AD141" s="33" t="n">
        <f aca="false">+7689+449</f>
        <v>8138</v>
      </c>
      <c r="AE141" s="33" t="n">
        <f aca="false">+412+7751</f>
        <v>8163</v>
      </c>
      <c r="AF141" s="120" t="n">
        <f aca="false">+AF52*0.14</f>
        <v>8156.33285381586</v>
      </c>
      <c r="AG141" s="120" t="n">
        <f aca="false">+AG52*0.14</f>
        <v>9379.78278188825</v>
      </c>
      <c r="AH141" s="120" t="n">
        <f aca="false">+AH52*0.14</f>
        <v>10880.5480269904</v>
      </c>
      <c r="AI141" s="120" t="n">
        <f aca="false">+AI52*0.14</f>
        <v>12621.4357113088</v>
      </c>
      <c r="AJ141" s="120" t="n">
        <f aca="false">+AJ52*0.14</f>
        <v>14514.6510680052</v>
      </c>
      <c r="AK141" s="120" t="n">
        <f aca="false">+AK52*0.14</f>
        <v>16546.7022175259</v>
      </c>
      <c r="AL141" s="120" t="n">
        <f aca="false">+AL52*0.14</f>
        <v>18697.7735058043</v>
      </c>
      <c r="AM141" s="120" t="n">
        <f aca="false">+AM52*0.14</f>
        <v>20941.5063265008</v>
      </c>
      <c r="AN141" s="120" t="n">
        <f aca="false">+AN52*0.14</f>
        <v>23245.0720224157</v>
      </c>
      <c r="AO141" s="120" t="n">
        <f aca="false">+AO52*0.14</f>
        <v>25569.5792246574</v>
      </c>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c r="CV141" s="33"/>
      <c r="CW141" s="33"/>
      <c r="CX141" s="33"/>
      <c r="CY141" s="33"/>
      <c r="CZ141" s="33"/>
      <c r="DA141" s="33"/>
      <c r="DB141" s="33"/>
      <c r="DC141" s="33"/>
      <c r="DD141" s="33"/>
      <c r="DE141" s="33"/>
      <c r="DF141" s="33"/>
      <c r="DG141" s="33"/>
      <c r="DH141" s="33"/>
      <c r="DI141" s="33"/>
      <c r="DJ141" s="33"/>
      <c r="DK141" s="33"/>
      <c r="DL141" s="33"/>
      <c r="DM141" s="33"/>
      <c r="DN141" s="33"/>
      <c r="DO141" s="33"/>
      <c r="DP141" s="33"/>
      <c r="DQ141" s="33"/>
      <c r="DR141" s="33"/>
      <c r="DS141" s="33"/>
      <c r="DT141" s="33"/>
      <c r="DU141" s="33"/>
      <c r="DV141" s="33"/>
      <c r="DW141" s="33"/>
      <c r="DX141" s="33"/>
      <c r="DY141" s="33"/>
      <c r="DZ141" s="33"/>
      <c r="EA141" s="33"/>
      <c r="EB141" s="33"/>
      <c r="EC141" s="33"/>
      <c r="ED141" s="33"/>
      <c r="EE141" s="33"/>
      <c r="EF141" s="33"/>
      <c r="EG141" s="33"/>
      <c r="EH141" s="33"/>
      <c r="EI141" s="33"/>
      <c r="EJ141" s="33"/>
      <c r="EK141" s="33"/>
      <c r="EL141" s="33"/>
      <c r="EM141" s="33"/>
      <c r="EN141" s="33"/>
      <c r="EO141" s="33"/>
      <c r="EP141" s="33"/>
      <c r="EQ141" s="33"/>
      <c r="ER141" s="33"/>
      <c r="ES141" s="33"/>
      <c r="ET141" s="33"/>
      <c r="EU141" s="33"/>
      <c r="EV141" s="1"/>
    </row>
    <row r="142" s="121" customFormat="true" ht="10.5" hidden="false" customHeight="true" outlineLevel="0" collapsed="false">
      <c r="Y142" s="38" t="n">
        <f aca="false">+Y141/Y$52</f>
        <v>0.386088923446667</v>
      </c>
      <c r="Z142" s="38" t="n">
        <f aca="false">+Z141/Z$52</f>
        <v>0.585124737848955</v>
      </c>
      <c r="AA142" s="38" t="n">
        <f aca="false">+AA141/AA$52</f>
        <v>0.42801351664824</v>
      </c>
      <c r="AB142" s="38" t="n">
        <f aca="false">+AB141/AB$52</f>
        <v>0.220134014217001</v>
      </c>
      <c r="AC142" s="38" t="n">
        <f aca="false">+AC141/AC$52</f>
        <v>0.188888322925502</v>
      </c>
      <c r="AD142" s="38" t="n">
        <f aca="false">+AD141/AD$52</f>
        <v>0.185045504458014</v>
      </c>
      <c r="AE142" s="38" t="n">
        <f aca="false">+AE141/AE$52</f>
        <v>0.156928171390306</v>
      </c>
      <c r="AF142" s="38" t="n">
        <f aca="false">+AF141/AF$52</f>
        <v>0.14</v>
      </c>
      <c r="AG142" s="38" t="n">
        <f aca="false">+AG141/AG$52</f>
        <v>0.14</v>
      </c>
      <c r="AH142" s="38" t="n">
        <f aca="false">+AH141/AH$52</f>
        <v>0.14</v>
      </c>
      <c r="AI142" s="38" t="n">
        <f aca="false">+AI141/AI$52</f>
        <v>0.14</v>
      </c>
      <c r="AJ142" s="38" t="n">
        <f aca="false">+AJ141/AJ$52</f>
        <v>0.14</v>
      </c>
      <c r="AK142" s="38" t="n">
        <f aca="false">+AK141/AK$52</f>
        <v>0.14</v>
      </c>
      <c r="AL142" s="38" t="n">
        <f aca="false">+AL141/AL$52</f>
        <v>0.14</v>
      </c>
      <c r="AM142" s="38" t="n">
        <f aca="false">+AM141/AM$52</f>
        <v>0.14</v>
      </c>
      <c r="AN142" s="38" t="n">
        <f aca="false">+AN141/AN$52</f>
        <v>0.14</v>
      </c>
      <c r="AO142" s="38" t="n">
        <f aca="false">+AO141/AO$52</f>
        <v>0.14</v>
      </c>
    </row>
    <row r="143" s="38" customFormat="true" ht="12.8" hidden="false" customHeight="false" outlineLevel="0" collapsed="false">
      <c r="A143" s="33" t="s">
        <v>11</v>
      </c>
      <c r="B143" s="33" t="n">
        <v>9273</v>
      </c>
      <c r="C143" s="33" t="n">
        <v>9271</v>
      </c>
      <c r="D143" s="33" t="n">
        <v>9268</v>
      </c>
      <c r="E143" s="33" t="n">
        <v>9265</v>
      </c>
      <c r="F143" s="33" t="n">
        <v>9257</v>
      </c>
      <c r="G143" s="33" t="n">
        <v>9255</v>
      </c>
      <c r="H143" s="33" t="n">
        <v>9252</v>
      </c>
      <c r="I143" s="33" t="n">
        <v>9459</v>
      </c>
      <c r="J143" s="33" t="n">
        <v>9457</v>
      </c>
      <c r="K143" s="33" t="n">
        <v>9454</v>
      </c>
      <c r="L143" s="33" t="n">
        <v>10986</v>
      </c>
      <c r="M143" s="33" t="n">
        <v>8347</v>
      </c>
      <c r="N143" s="33" t="n">
        <v>8350</v>
      </c>
      <c r="O143" s="33" t="n">
        <v>9578</v>
      </c>
      <c r="P143" s="33" t="n">
        <v>10615</v>
      </c>
      <c r="Q143" s="33" t="n">
        <v>10521</v>
      </c>
      <c r="R143" s="33" t="n">
        <v>10514</v>
      </c>
      <c r="S143" s="33" t="n">
        <f aca="false">+1997+10726</f>
        <v>12723</v>
      </c>
      <c r="T143" s="33"/>
      <c r="U143" s="33"/>
      <c r="V143" s="33"/>
      <c r="W143" s="33"/>
      <c r="X143" s="33"/>
      <c r="Y143" s="33" t="n">
        <v>5707</v>
      </c>
      <c r="Z143" s="33" t="n">
        <v>7560</v>
      </c>
      <c r="AA143" s="33" t="n">
        <v>9276</v>
      </c>
      <c r="AB143" s="33" t="n">
        <v>9265</v>
      </c>
      <c r="AC143" s="33" t="n">
        <v>9459</v>
      </c>
      <c r="AD143" s="33" t="n">
        <v>8347</v>
      </c>
      <c r="AE143" s="33" t="n">
        <v>10521</v>
      </c>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c r="CK143" s="33"/>
      <c r="CL143" s="33"/>
      <c r="CM143" s="33"/>
      <c r="CN143" s="33"/>
      <c r="CO143" s="33"/>
      <c r="CP143" s="33"/>
      <c r="CQ143" s="33"/>
      <c r="CR143" s="33"/>
      <c r="CS143" s="33"/>
      <c r="CT143" s="33"/>
      <c r="CU143" s="33"/>
      <c r="CV143" s="33"/>
      <c r="CW143" s="33"/>
      <c r="CX143" s="33"/>
      <c r="CY143" s="33"/>
      <c r="CZ143" s="33"/>
      <c r="DA143" s="33"/>
      <c r="DB143" s="33"/>
      <c r="DC143" s="33"/>
      <c r="DD143" s="33"/>
      <c r="DE143" s="33"/>
      <c r="DF143" s="33"/>
      <c r="DG143" s="33"/>
      <c r="DH143" s="33"/>
      <c r="DI143" s="33"/>
      <c r="DJ143" s="33"/>
      <c r="DK143" s="33"/>
      <c r="DL143" s="33"/>
      <c r="DM143" s="33"/>
      <c r="DN143" s="33"/>
      <c r="DO143" s="33"/>
      <c r="DP143" s="33"/>
      <c r="DQ143" s="33"/>
      <c r="DR143" s="33"/>
      <c r="DS143" s="33"/>
      <c r="DT143" s="33"/>
      <c r="DU143" s="33"/>
      <c r="DV143" s="33"/>
      <c r="DW143" s="33"/>
      <c r="DX143" s="33"/>
      <c r="DY143" s="33"/>
      <c r="DZ143" s="33"/>
      <c r="EA143" s="33"/>
      <c r="EB143" s="33"/>
      <c r="EC143" s="33"/>
      <c r="ED143" s="33"/>
      <c r="EE143" s="33"/>
      <c r="EF143" s="33"/>
      <c r="EG143" s="33"/>
      <c r="EH143" s="33"/>
      <c r="EI143" s="33"/>
      <c r="EJ143" s="33"/>
      <c r="EK143" s="33"/>
      <c r="EL143" s="33"/>
      <c r="EM143" s="33"/>
      <c r="EN143" s="33"/>
      <c r="EO143" s="33"/>
      <c r="EP143" s="33"/>
      <c r="EQ143" s="33"/>
      <c r="ER143" s="33"/>
      <c r="ES143" s="33"/>
      <c r="ET143" s="33"/>
      <c r="EU143" s="33"/>
      <c r="EV143" s="1"/>
    </row>
    <row r="144" s="33" customFormat="true" ht="12.8" hidden="false" customHeight="false" outlineLevel="0" collapsed="false">
      <c r="A144" s="33" t="s">
        <v>345</v>
      </c>
      <c r="B144" s="33" t="n">
        <f aca="false">SUM(B136:B143)</f>
        <v>22994</v>
      </c>
      <c r="C144" s="33" t="n">
        <f aca="false">SUM(C136:C143)</f>
        <v>23451</v>
      </c>
      <c r="D144" s="33" t="n">
        <f aca="false">SUM(D136:D143)</f>
        <v>23712</v>
      </c>
      <c r="E144" s="33" t="n">
        <f aca="false">SUM(E136:E143)</f>
        <v>23605</v>
      </c>
      <c r="F144" s="33" t="n">
        <f aca="false">SUM(F136:F143)</f>
        <v>23779</v>
      </c>
      <c r="G144" s="33" t="n">
        <f aca="false">SUM(G136:G143)</f>
        <v>24240</v>
      </c>
      <c r="H144" s="33" t="n">
        <f aca="false">SUM(H136:H143)</f>
        <v>25430</v>
      </c>
      <c r="I144" s="33" t="n">
        <f aca="false">SUM(I136:I143)</f>
        <v>26017</v>
      </c>
      <c r="J144" s="33" t="n">
        <f aca="false">SUM(J136:J143)</f>
        <v>27100</v>
      </c>
      <c r="K144" s="33" t="n">
        <f aca="false">SUM(K136:K143)</f>
        <v>27731</v>
      </c>
      <c r="L144" s="33" t="n">
        <f aca="false">SUM(L136:L143)</f>
        <v>30578</v>
      </c>
      <c r="M144" s="33" t="n">
        <f aca="false">SUM(M136:M143)</f>
        <v>28768</v>
      </c>
      <c r="N144" s="33" t="n">
        <f aca="false">SUM(N136:N143)</f>
        <v>29917</v>
      </c>
      <c r="O144" s="33" t="n">
        <f aca="false">SUM(O136:O143)</f>
        <v>32352</v>
      </c>
      <c r="P144" s="33" t="n">
        <f aca="false">SUM(P136:P143)</f>
        <v>34189</v>
      </c>
      <c r="Q144" s="33" t="n">
        <f aca="false">SUM(Q136:Q143)</f>
        <v>33719</v>
      </c>
      <c r="R144" s="33" t="n">
        <f aca="false">SUM(R136:R143)</f>
        <v>34073</v>
      </c>
      <c r="S144" s="33" t="n">
        <f aca="false">SUM(S136:S143)</f>
        <v>37402</v>
      </c>
      <c r="Y144" s="33" t="n">
        <f aca="false">SUM(Y136:Y143)</f>
        <v>16578.4653283382</v>
      </c>
      <c r="Z144" s="33" t="n">
        <f aca="false">SUM(Z136:Z143)</f>
        <v>19498.6967095874</v>
      </c>
      <c r="AA144" s="33" t="n">
        <f aca="false">SUM(AA136:AA143)</f>
        <v>23425.5106146263</v>
      </c>
      <c r="AB144" s="33" t="n">
        <f aca="false">SUM(AB136:AB143)</f>
        <v>23605.2732070766</v>
      </c>
      <c r="AC144" s="33" t="n">
        <f aca="false">SUM(AC136:AC143)</f>
        <v>26017.2445999172</v>
      </c>
      <c r="AD144" s="33" t="n">
        <f aca="false">SUM(AD136:AD143)</f>
        <v>28768.2476671952</v>
      </c>
      <c r="AE144" s="33" t="n">
        <f aca="false">SUM(AE136:AE143)</f>
        <v>33719.2220409628</v>
      </c>
      <c r="EV144" s="1"/>
    </row>
    <row r="145" s="38" customFormat="true" ht="12.8" hidden="false" customHeight="false" outlineLevel="0" collapsed="false">
      <c r="A145" s="33" t="s">
        <v>346</v>
      </c>
      <c r="B145" s="33" t="n">
        <v>0</v>
      </c>
      <c r="C145" s="33" t="n">
        <v>0</v>
      </c>
      <c r="D145" s="33" t="n">
        <v>0</v>
      </c>
      <c r="E145" s="33" t="n">
        <v>0</v>
      </c>
      <c r="F145" s="33" t="n">
        <v>0</v>
      </c>
      <c r="G145" s="33" t="n">
        <v>0</v>
      </c>
      <c r="H145" s="33" t="n">
        <v>0</v>
      </c>
      <c r="I145" s="33" t="n">
        <v>0</v>
      </c>
      <c r="J145" s="33" t="n">
        <v>0</v>
      </c>
      <c r="K145" s="33" t="n">
        <v>0</v>
      </c>
      <c r="L145" s="33" t="n">
        <v>0</v>
      </c>
      <c r="M145" s="33" t="n">
        <v>0</v>
      </c>
      <c r="N145" s="33" t="n">
        <v>0</v>
      </c>
      <c r="O145" s="33" t="n">
        <v>0</v>
      </c>
      <c r="P145" s="33" t="n">
        <v>0</v>
      </c>
      <c r="Q145" s="33" t="n">
        <v>0</v>
      </c>
      <c r="R145" s="33" t="n">
        <v>0</v>
      </c>
      <c r="S145" s="33" t="n">
        <v>0</v>
      </c>
      <c r="T145" s="33"/>
      <c r="U145" s="33"/>
      <c r="V145" s="33"/>
      <c r="W145" s="33"/>
      <c r="X145" s="33"/>
      <c r="Y145" s="33" t="n">
        <v>0</v>
      </c>
      <c r="Z145" s="33" t="n">
        <v>0</v>
      </c>
      <c r="AA145" s="33" t="n">
        <v>0</v>
      </c>
      <c r="AB145" s="33" t="n">
        <v>0</v>
      </c>
      <c r="AC145" s="33" t="n">
        <v>0</v>
      </c>
      <c r="AD145" s="33" t="n">
        <v>0</v>
      </c>
      <c r="AE145" s="33" t="n">
        <v>0</v>
      </c>
      <c r="AF145" s="33" t="n">
        <v>0</v>
      </c>
      <c r="AG145" s="33" t="n">
        <v>0</v>
      </c>
      <c r="AH145" s="33" t="n">
        <v>0</v>
      </c>
      <c r="AI145" s="33" t="n">
        <v>0</v>
      </c>
      <c r="AJ145" s="33" t="n">
        <v>0</v>
      </c>
      <c r="AK145" s="33" t="n">
        <v>0</v>
      </c>
      <c r="AL145" s="33" t="n">
        <v>0</v>
      </c>
      <c r="AM145" s="33" t="n">
        <v>0</v>
      </c>
      <c r="AN145" s="33" t="n">
        <v>0</v>
      </c>
      <c r="AO145" s="33" t="n">
        <v>0</v>
      </c>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c r="CV145" s="33"/>
      <c r="CW145" s="33"/>
      <c r="CX145" s="33"/>
      <c r="CY145" s="33"/>
      <c r="CZ145" s="33"/>
      <c r="DA145" s="33"/>
      <c r="DB145" s="33"/>
      <c r="DC145" s="33"/>
      <c r="DD145" s="33"/>
      <c r="DE145" s="33"/>
      <c r="DF145" s="33"/>
      <c r="DG145" s="33"/>
      <c r="DH145" s="33"/>
      <c r="DI145" s="33"/>
      <c r="DJ145" s="33"/>
      <c r="DK145" s="33"/>
      <c r="DL145" s="33"/>
      <c r="DM145" s="33"/>
      <c r="DN145" s="33"/>
      <c r="DO145" s="33"/>
      <c r="DP145" s="33"/>
      <c r="DQ145" s="33"/>
      <c r="DR145" s="33"/>
      <c r="DS145" s="33"/>
      <c r="DT145" s="33"/>
      <c r="DU145" s="33"/>
      <c r="DV145" s="33"/>
      <c r="DW145" s="33"/>
      <c r="DX145" s="33"/>
      <c r="DY145" s="33"/>
      <c r="DZ145" s="33"/>
      <c r="EA145" s="33"/>
      <c r="EB145" s="33"/>
      <c r="EC145" s="33"/>
      <c r="ED145" s="33"/>
      <c r="EE145" s="33"/>
      <c r="EF145" s="33"/>
      <c r="EG145" s="33"/>
      <c r="EH145" s="33"/>
      <c r="EI145" s="33"/>
      <c r="EJ145" s="33"/>
      <c r="EK145" s="33"/>
      <c r="EL145" s="33"/>
      <c r="EM145" s="33"/>
      <c r="EN145" s="33"/>
      <c r="EO145" s="33"/>
      <c r="EP145" s="33"/>
      <c r="EQ145" s="33"/>
      <c r="ER145" s="33"/>
      <c r="ES145" s="33"/>
      <c r="ET145" s="33"/>
      <c r="EU145" s="33"/>
      <c r="EV145" s="1"/>
    </row>
    <row r="146" s="85" customFormat="true" ht="12.8" hidden="false" customHeight="false" outlineLevel="0" collapsed="false">
      <c r="A146" s="33" t="s">
        <v>347</v>
      </c>
      <c r="B146" s="33" t="n">
        <v>38977</v>
      </c>
      <c r="C146" s="33" t="n">
        <v>39523</v>
      </c>
      <c r="D146" s="33" t="n">
        <v>40020</v>
      </c>
      <c r="E146" s="33" t="n">
        <v>40550</v>
      </c>
      <c r="F146" s="33" t="n">
        <v>41030</v>
      </c>
      <c r="G146" s="33" t="n">
        <v>41637</v>
      </c>
      <c r="H146" s="33" t="n">
        <v>42147</v>
      </c>
      <c r="I146" s="33" t="n">
        <v>42264</v>
      </c>
      <c r="J146" s="33" t="n">
        <v>42743</v>
      </c>
      <c r="K146" s="33" t="n">
        <v>43062</v>
      </c>
      <c r="L146" s="33" t="n">
        <v>42825</v>
      </c>
      <c r="M146" s="33" t="n">
        <v>42801</v>
      </c>
      <c r="N146" s="33" t="n">
        <v>41406</v>
      </c>
      <c r="O146" s="33" t="n">
        <v>40625</v>
      </c>
      <c r="P146" s="33" t="n">
        <v>39499</v>
      </c>
      <c r="Q146" s="33" t="n">
        <v>38101</v>
      </c>
      <c r="R146" s="33" t="n">
        <v>35527</v>
      </c>
      <c r="S146" s="33" t="n">
        <v>35698</v>
      </c>
      <c r="T146" s="33"/>
      <c r="U146" s="33"/>
      <c r="V146" s="33"/>
      <c r="W146" s="33"/>
      <c r="X146" s="33"/>
      <c r="Y146" s="33" t="n">
        <v>30739</v>
      </c>
      <c r="Z146" s="33" t="n">
        <v>35931</v>
      </c>
      <c r="AA146" s="33" t="n">
        <v>38608</v>
      </c>
      <c r="AB146" s="33" t="n">
        <v>40550</v>
      </c>
      <c r="AC146" s="33" t="n">
        <v>42264</v>
      </c>
      <c r="AD146" s="33" t="n">
        <v>42801</v>
      </c>
      <c r="AE146" s="33" t="n">
        <v>38101</v>
      </c>
      <c r="AF146" s="33" t="n">
        <f aca="false">+AE146*1.04</f>
        <v>39625.04</v>
      </c>
      <c r="AG146" s="33" t="n">
        <f aca="false">+AF146*1.04</f>
        <v>41210.0416</v>
      </c>
      <c r="AH146" s="33" t="n">
        <f aca="false">+AG146*1.04</f>
        <v>42858.443264</v>
      </c>
      <c r="AI146" s="33" t="n">
        <f aca="false">+AH146*1.04</f>
        <v>44572.78099456</v>
      </c>
      <c r="AJ146" s="33" t="n">
        <f aca="false">+AI146*1.04</f>
        <v>46355.6922343424</v>
      </c>
      <c r="AK146" s="33" t="n">
        <f aca="false">+AJ146*1.04</f>
        <v>48209.9199237161</v>
      </c>
      <c r="AL146" s="33" t="n">
        <f aca="false">+AK146*1.04</f>
        <v>50138.3167206648</v>
      </c>
      <c r="AM146" s="33" t="n">
        <f aca="false">+AL146*1.04</f>
        <v>52143.8493894914</v>
      </c>
      <c r="AN146" s="33" t="n">
        <f aca="false">+AM146*1.04</f>
        <v>54229.603365071</v>
      </c>
      <c r="AO146" s="33" t="n">
        <f aca="false">+AN146*1.04</f>
        <v>56398.7874996739</v>
      </c>
      <c r="AP146" s="33"/>
      <c r="AQ146" s="33"/>
      <c r="AR146" s="33"/>
      <c r="AS146" s="33"/>
      <c r="AT146" s="33"/>
      <c r="AU146" s="33"/>
      <c r="AV146" s="33"/>
      <c r="AW146" s="33"/>
      <c r="AX146" s="33"/>
      <c r="AY146" s="33"/>
      <c r="AZ146" s="33"/>
      <c r="BA146" s="33"/>
      <c r="BB146" s="33"/>
      <c r="BC146" s="33"/>
      <c r="BD146" s="33"/>
      <c r="BE146" s="33"/>
      <c r="BF146" s="33"/>
      <c r="BG146" s="33"/>
      <c r="BH146" s="33"/>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c r="CF146" s="33"/>
      <c r="CG146" s="33"/>
      <c r="CH146" s="33"/>
      <c r="CI146" s="33"/>
      <c r="CJ146" s="33"/>
      <c r="CK146" s="33"/>
      <c r="CL146" s="33"/>
      <c r="CM146" s="33"/>
      <c r="CN146" s="33"/>
      <c r="CO146" s="33"/>
      <c r="CP146" s="33"/>
      <c r="CQ146" s="33"/>
      <c r="CR146" s="33"/>
      <c r="CS146" s="33"/>
      <c r="CT146" s="33"/>
      <c r="CU146" s="33"/>
      <c r="CV146" s="33"/>
      <c r="CW146" s="33"/>
      <c r="CX146" s="33"/>
      <c r="CY146" s="33"/>
      <c r="CZ146" s="33"/>
      <c r="DA146" s="33"/>
      <c r="DB146" s="33"/>
      <c r="DC146" s="33"/>
      <c r="DD146" s="33"/>
      <c r="DE146" s="33"/>
      <c r="DF146" s="33"/>
      <c r="DG146" s="33"/>
      <c r="DH146" s="33"/>
      <c r="DI146" s="33"/>
      <c r="DJ146" s="33"/>
      <c r="DK146" s="33"/>
      <c r="DL146" s="33"/>
      <c r="DM146" s="33"/>
      <c r="DN146" s="33"/>
      <c r="DO146" s="33"/>
      <c r="DP146" s="33"/>
      <c r="DQ146" s="33"/>
      <c r="DR146" s="33"/>
      <c r="DS146" s="33"/>
      <c r="DT146" s="33"/>
      <c r="DU146" s="33"/>
      <c r="DV146" s="33"/>
      <c r="DW146" s="33"/>
      <c r="DX146" s="33"/>
      <c r="DY146" s="33"/>
      <c r="DZ146" s="33"/>
      <c r="EA146" s="33"/>
      <c r="EB146" s="33"/>
      <c r="EC146" s="33"/>
      <c r="ED146" s="33"/>
      <c r="EE146" s="33"/>
      <c r="EF146" s="33"/>
      <c r="EG146" s="33"/>
      <c r="EH146" s="33"/>
      <c r="EI146" s="33"/>
      <c r="EJ146" s="33"/>
      <c r="EK146" s="33"/>
      <c r="EL146" s="33"/>
      <c r="EM146" s="33"/>
      <c r="EN146" s="33"/>
      <c r="EO146" s="33"/>
      <c r="EP146" s="33"/>
      <c r="EQ146" s="33"/>
      <c r="ER146" s="33"/>
      <c r="ES146" s="33"/>
      <c r="ET146" s="33"/>
      <c r="EU146" s="33"/>
      <c r="EV146" s="1"/>
    </row>
    <row r="147" s="75" customFormat="true" ht="12.8" hidden="false" customHeight="false" outlineLevel="0" collapsed="false">
      <c r="A147" s="33" t="s">
        <v>348</v>
      </c>
      <c r="B147" s="33" t="n">
        <v>-505</v>
      </c>
      <c r="C147" s="33" t="n">
        <v>-705</v>
      </c>
      <c r="D147" s="33" t="n">
        <v>-410</v>
      </c>
      <c r="E147" s="33" t="n">
        <v>-443</v>
      </c>
      <c r="F147" s="33" t="n">
        <v>-598</v>
      </c>
      <c r="G147" s="33" t="n">
        <v>-443</v>
      </c>
      <c r="H147" s="33" t="n">
        <v>-480</v>
      </c>
      <c r="I147" s="33" t="n">
        <v>-421</v>
      </c>
      <c r="J147" s="33" t="n">
        <v>-437</v>
      </c>
      <c r="K147" s="33" t="n">
        <v>-479</v>
      </c>
      <c r="L147" s="33" t="n">
        <v>-424</v>
      </c>
      <c r="M147" s="33" t="n">
        <v>-517</v>
      </c>
      <c r="N147" s="33" t="n">
        <v>-485</v>
      </c>
      <c r="O147" s="33" t="n">
        <v>-435</v>
      </c>
      <c r="P147" s="33" t="n">
        <v>-430</v>
      </c>
      <c r="Q147" s="33" t="n">
        <v>-432</v>
      </c>
      <c r="R147" s="33" t="n">
        <v>-421</v>
      </c>
      <c r="S147" s="33" t="n">
        <v>-432</v>
      </c>
      <c r="T147" s="33"/>
      <c r="U147" s="33"/>
      <c r="V147" s="33"/>
      <c r="W147" s="33"/>
      <c r="X147" s="33"/>
      <c r="Y147" s="33" t="n">
        <v>-187</v>
      </c>
      <c r="Z147" s="33" t="n">
        <v>-535</v>
      </c>
      <c r="AA147" s="33" t="n">
        <v>-524</v>
      </c>
      <c r="AB147" s="33" t="n">
        <v>-443</v>
      </c>
      <c r="AC147" s="33" t="n">
        <v>-421</v>
      </c>
      <c r="AD147" s="33" t="n">
        <v>-517</v>
      </c>
      <c r="AE147" s="33" t="n">
        <v>-432</v>
      </c>
      <c r="AF147" s="120" t="n">
        <v>-432</v>
      </c>
      <c r="AG147" s="120" t="n">
        <v>-432</v>
      </c>
      <c r="AH147" s="120" t="n">
        <v>-432</v>
      </c>
      <c r="AI147" s="120" t="n">
        <v>-432</v>
      </c>
      <c r="AJ147" s="120" t="n">
        <v>-432</v>
      </c>
      <c r="AK147" s="120" t="n">
        <v>-432</v>
      </c>
      <c r="AL147" s="120" t="n">
        <v>-432</v>
      </c>
      <c r="AM147" s="120" t="n">
        <v>-432</v>
      </c>
      <c r="AN147" s="120" t="n">
        <v>-432</v>
      </c>
      <c r="AO147" s="120" t="n">
        <v>-432</v>
      </c>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c r="CV147" s="33"/>
      <c r="CW147" s="33"/>
      <c r="CX147" s="33"/>
      <c r="CY147" s="33"/>
      <c r="CZ147" s="33"/>
      <c r="DA147" s="33"/>
      <c r="DB147" s="33"/>
      <c r="DC147" s="33"/>
      <c r="DD147" s="33"/>
      <c r="DE147" s="33"/>
      <c r="DF147" s="33"/>
      <c r="DG147" s="33"/>
      <c r="DH147" s="33"/>
      <c r="DI147" s="33"/>
      <c r="DJ147" s="33"/>
      <c r="DK147" s="33"/>
      <c r="DL147" s="33"/>
      <c r="DM147" s="33"/>
      <c r="DN147" s="33"/>
      <c r="DO147" s="33"/>
      <c r="DP147" s="33"/>
      <c r="DQ147" s="33"/>
      <c r="DR147" s="33"/>
      <c r="DS147" s="33"/>
      <c r="DT147" s="33"/>
      <c r="DU147" s="33"/>
      <c r="DV147" s="33"/>
      <c r="DW147" s="33"/>
      <c r="DX147" s="33"/>
      <c r="DY147" s="33"/>
      <c r="DZ147" s="33"/>
      <c r="EA147" s="33"/>
      <c r="EB147" s="33"/>
      <c r="EC147" s="33"/>
      <c r="ED147" s="33"/>
      <c r="EE147" s="33"/>
      <c r="EF147" s="33"/>
      <c r="EG147" s="33"/>
      <c r="EH147" s="33"/>
      <c r="EI147" s="33"/>
      <c r="EJ147" s="33"/>
      <c r="EK147" s="33"/>
      <c r="EL147" s="33"/>
      <c r="EM147" s="33"/>
      <c r="EN147" s="33"/>
      <c r="EO147" s="33"/>
      <c r="EP147" s="33"/>
      <c r="EQ147" s="33"/>
      <c r="ER147" s="33"/>
      <c r="ES147" s="33"/>
      <c r="ET147" s="33"/>
      <c r="EU147" s="33"/>
      <c r="EV147" s="1"/>
    </row>
    <row r="148" customFormat="false" ht="12.8" hidden="false" customHeight="false" outlineLevel="0" collapsed="false">
      <c r="A148" s="33" t="s">
        <v>349</v>
      </c>
      <c r="B148" s="33" t="n">
        <v>-29556</v>
      </c>
      <c r="C148" s="33" t="n">
        <v>-32157</v>
      </c>
      <c r="D148" s="33" t="n">
        <v>-33363</v>
      </c>
      <c r="E148" s="33" t="n">
        <v>-32767</v>
      </c>
      <c r="F148" s="33" t="n">
        <v>-32924</v>
      </c>
      <c r="G148" s="33" t="n">
        <v>-32530</v>
      </c>
      <c r="H148" s="33" t="n">
        <v>-32309</v>
      </c>
      <c r="I148" s="33" t="n">
        <v>-30594</v>
      </c>
      <c r="J148" s="33" t="n">
        <v>-31248</v>
      </c>
      <c r="K148" s="33" t="n">
        <v>-30233</v>
      </c>
      <c r="L148" s="33" t="n">
        <v>-27621</v>
      </c>
      <c r="M148" s="33" t="n">
        <v>-20726</v>
      </c>
      <c r="N148" s="33" t="n">
        <v>-18946</v>
      </c>
      <c r="O148" s="33" t="n">
        <v>-17592</v>
      </c>
      <c r="P148" s="33" t="n">
        <v>-10935</v>
      </c>
      <c r="Q148" s="33" t="n">
        <v>-10628</v>
      </c>
      <c r="R148" s="33" t="n">
        <v>-10355</v>
      </c>
      <c r="S148" s="33" t="n">
        <v>-7950</v>
      </c>
      <c r="T148" s="33"/>
      <c r="U148" s="33"/>
      <c r="V148" s="33"/>
      <c r="W148" s="33"/>
      <c r="X148" s="33"/>
      <c r="Y148" s="33" t="n">
        <v>-16362</v>
      </c>
      <c r="Z148" s="33" t="n">
        <v>-23130</v>
      </c>
      <c r="AA148" s="33" t="n">
        <v>-23626</v>
      </c>
      <c r="AB148" s="33" t="n">
        <v>-32767</v>
      </c>
      <c r="AC148" s="33" t="n">
        <v>-30594</v>
      </c>
      <c r="AD148" s="33" t="n">
        <v>-20726</v>
      </c>
      <c r="AE148" s="33" t="n">
        <v>-10628</v>
      </c>
      <c r="AF148" s="33" t="n">
        <f aca="false">+AF84+AE148</f>
        <v>-460.490820033756</v>
      </c>
      <c r="AG148" s="33" t="n">
        <f aca="false">+AG84+AF148</f>
        <v>9158.6368670796</v>
      </c>
      <c r="AH148" s="33" t="n">
        <f aca="false">+AH84+AG148</f>
        <v>20791.0213567135</v>
      </c>
      <c r="AI148" s="33" t="n">
        <f aca="false">+AI84+AH148</f>
        <v>35678.568906344</v>
      </c>
      <c r="AJ148" s="33" t="n">
        <f aca="false">+AJ84+AI148</f>
        <v>53624.7695856686</v>
      </c>
      <c r="AK148" s="33" t="n">
        <f aca="false">+AK84+AJ148</f>
        <v>75698.6175421967</v>
      </c>
      <c r="AL148" s="33" t="n">
        <f aca="false">+AL84+AK148</f>
        <v>101344.154444645</v>
      </c>
      <c r="AM148" s="33" t="n">
        <f aca="false">+AM84+AL148</f>
        <v>128503.203755374</v>
      </c>
      <c r="AN148" s="33" t="n">
        <f aca="false">+AN84+AM148</f>
        <v>159459.405442359</v>
      </c>
      <c r="AO148" s="33" t="n">
        <f aca="false">+AO84+AN148</f>
        <v>194430.874405445</v>
      </c>
      <c r="AP148" s="33"/>
      <c r="AQ148" s="33"/>
      <c r="AR148" s="33"/>
      <c r="AS148" s="33"/>
      <c r="AT148" s="33"/>
      <c r="AU148" s="33"/>
      <c r="AV148" s="33"/>
      <c r="AW148" s="33"/>
      <c r="AX148" s="33"/>
      <c r="AY148" s="33"/>
      <c r="AZ148" s="33"/>
      <c r="BA148" s="33"/>
      <c r="BB148" s="33"/>
      <c r="BC148" s="33"/>
      <c r="BD148" s="33"/>
      <c r="BE148" s="33"/>
      <c r="BF148" s="33"/>
      <c r="BG148" s="33"/>
      <c r="BH148" s="33"/>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3"/>
      <c r="CJ148" s="33"/>
      <c r="CK148" s="33"/>
      <c r="CL148" s="33"/>
      <c r="CM148" s="33"/>
      <c r="CN148" s="33"/>
      <c r="CO148" s="33"/>
      <c r="CP148" s="33"/>
      <c r="CQ148" s="33"/>
      <c r="CR148" s="33"/>
      <c r="CS148" s="33"/>
      <c r="CT148" s="33"/>
      <c r="CU148" s="33"/>
      <c r="CV148" s="33"/>
      <c r="CW148" s="33"/>
      <c r="CX148" s="33"/>
      <c r="CY148" s="33"/>
      <c r="CZ148" s="33"/>
      <c r="DA148" s="33"/>
      <c r="DB148" s="33"/>
      <c r="DC148" s="33"/>
      <c r="DD148" s="33"/>
      <c r="DE148" s="33"/>
      <c r="DF148" s="33"/>
      <c r="DG148" s="33"/>
      <c r="DH148" s="33"/>
      <c r="DI148" s="33"/>
      <c r="DJ148" s="33"/>
      <c r="DK148" s="33"/>
      <c r="DL148" s="33"/>
      <c r="DM148" s="33"/>
      <c r="DN148" s="33"/>
      <c r="DO148" s="33"/>
      <c r="DP148" s="33"/>
      <c r="DQ148" s="33"/>
      <c r="DR148" s="33"/>
      <c r="DS148" s="33"/>
      <c r="DT148" s="33"/>
      <c r="DU148" s="33"/>
      <c r="DV148" s="33"/>
      <c r="DW148" s="33"/>
      <c r="DX148" s="33"/>
      <c r="DY148" s="33"/>
      <c r="DZ148" s="33"/>
      <c r="EA148" s="33"/>
      <c r="EB148" s="33"/>
      <c r="EC148" s="33"/>
      <c r="ED148" s="33"/>
      <c r="EE148" s="33"/>
      <c r="EF148" s="33"/>
      <c r="EG148" s="33"/>
      <c r="EH148" s="33"/>
      <c r="EI148" s="33"/>
      <c r="EJ148" s="33"/>
      <c r="EK148" s="33"/>
      <c r="EL148" s="33"/>
      <c r="EM148" s="33"/>
      <c r="EN148" s="33"/>
      <c r="EO148" s="33"/>
      <c r="EP148" s="33"/>
      <c r="EQ148" s="33"/>
      <c r="ER148" s="33"/>
      <c r="ES148" s="33"/>
      <c r="ET148" s="33"/>
      <c r="EU148" s="33"/>
    </row>
    <row r="149" customFormat="false" ht="12.8" hidden="false" customHeight="false" outlineLevel="0" collapsed="false">
      <c r="A149" s="33" t="s">
        <v>350</v>
      </c>
      <c r="B149" s="33" t="n">
        <v>697</v>
      </c>
      <c r="C149" s="33" t="n">
        <v>708</v>
      </c>
      <c r="D149" s="33" t="n">
        <v>430</v>
      </c>
      <c r="E149" s="33" t="n">
        <v>734</v>
      </c>
      <c r="F149" s="33" t="n">
        <v>745</v>
      </c>
      <c r="G149" s="33" t="n">
        <v>756</v>
      </c>
      <c r="H149" s="33" t="n">
        <v>767</v>
      </c>
      <c r="I149" s="33" t="n">
        <v>779</v>
      </c>
      <c r="J149" s="33" t="n">
        <v>790</v>
      </c>
      <c r="K149" s="33" t="n">
        <v>802</v>
      </c>
      <c r="L149" s="33" t="n">
        <v>813</v>
      </c>
      <c r="M149" s="33" t="n">
        <v>825</v>
      </c>
      <c r="N149" s="33" t="n">
        <v>837</v>
      </c>
      <c r="O149" s="33" t="n">
        <v>849</v>
      </c>
      <c r="P149" s="33" t="n">
        <v>863</v>
      </c>
      <c r="Q149" s="33" t="n">
        <v>877</v>
      </c>
      <c r="R149" s="33" t="n">
        <v>890</v>
      </c>
      <c r="S149" s="33" t="n">
        <v>180</v>
      </c>
      <c r="T149" s="33"/>
      <c r="U149" s="33"/>
      <c r="V149" s="33"/>
      <c r="W149" s="33"/>
      <c r="X149" s="33"/>
      <c r="Y149" s="33" t="n">
        <v>682</v>
      </c>
      <c r="Z149" s="33" t="n">
        <v>701</v>
      </c>
      <c r="AA149" s="33" t="n">
        <v>687</v>
      </c>
      <c r="AB149" s="33" t="n">
        <v>734</v>
      </c>
      <c r="AC149" s="33" t="n">
        <v>779</v>
      </c>
      <c r="AD149" s="33" t="n">
        <v>825</v>
      </c>
      <c r="AE149" s="33" t="n">
        <v>877</v>
      </c>
      <c r="AF149" s="120" t="n">
        <v>877</v>
      </c>
      <c r="AG149" s="120" t="n">
        <v>877</v>
      </c>
      <c r="AH149" s="120" t="n">
        <v>877</v>
      </c>
      <c r="AI149" s="120" t="n">
        <v>877</v>
      </c>
      <c r="AJ149" s="120" t="n">
        <v>877</v>
      </c>
      <c r="AK149" s="120" t="n">
        <v>877</v>
      </c>
      <c r="AL149" s="120" t="n">
        <v>877</v>
      </c>
      <c r="AM149" s="120" t="n">
        <v>877</v>
      </c>
      <c r="AN149" s="120" t="n">
        <v>877</v>
      </c>
      <c r="AO149" s="120" t="n">
        <v>877</v>
      </c>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c r="CZ149" s="33"/>
      <c r="DA149" s="33"/>
      <c r="DB149" s="33"/>
      <c r="DC149" s="33"/>
      <c r="DD149" s="33"/>
      <c r="DE149" s="33"/>
      <c r="DF149" s="33"/>
      <c r="DG149" s="33"/>
      <c r="DH149" s="33"/>
      <c r="DI149" s="33"/>
      <c r="DJ149" s="33"/>
      <c r="DK149" s="33"/>
      <c r="DL149" s="33"/>
      <c r="DM149" s="33"/>
      <c r="DN149" s="33"/>
      <c r="DO149" s="33"/>
      <c r="DP149" s="33"/>
      <c r="DQ149" s="33"/>
      <c r="DR149" s="33"/>
      <c r="DS149" s="33"/>
      <c r="DT149" s="33"/>
      <c r="DU149" s="33"/>
      <c r="DV149" s="33"/>
      <c r="DW149" s="33"/>
      <c r="DX149" s="33"/>
      <c r="DY149" s="33"/>
      <c r="DZ149" s="33"/>
      <c r="EA149" s="33"/>
      <c r="EB149" s="33"/>
      <c r="EC149" s="33"/>
      <c r="ED149" s="33"/>
      <c r="EE149" s="33"/>
      <c r="EF149" s="33"/>
      <c r="EG149" s="33"/>
      <c r="EH149" s="33"/>
      <c r="EI149" s="33"/>
      <c r="EJ149" s="33"/>
      <c r="EK149" s="33"/>
      <c r="EL149" s="33"/>
      <c r="EM149" s="33"/>
      <c r="EN149" s="33"/>
      <c r="EO149" s="33"/>
      <c r="EP149" s="33"/>
      <c r="EQ149" s="33"/>
      <c r="ER149" s="33"/>
      <c r="ES149" s="33"/>
      <c r="ET149" s="33"/>
      <c r="EU149" s="33"/>
    </row>
    <row r="150" customFormat="false" ht="12.8" hidden="false" customHeight="false" outlineLevel="0" collapsed="false">
      <c r="A150" s="33" t="s">
        <v>351</v>
      </c>
      <c r="B150" s="33" t="n">
        <v>205</v>
      </c>
      <c r="C150" s="33" t="n">
        <v>194</v>
      </c>
      <c r="D150" s="33" t="n">
        <v>723</v>
      </c>
      <c r="E150" s="33" t="n">
        <v>430</v>
      </c>
      <c r="F150" s="33" t="n">
        <v>419</v>
      </c>
      <c r="G150" s="33" t="n">
        <v>408</v>
      </c>
      <c r="H150" s="33" t="n">
        <v>394</v>
      </c>
      <c r="I150" s="33" t="n">
        <v>654</v>
      </c>
      <c r="J150" s="33" t="n">
        <v>651</v>
      </c>
      <c r="K150" s="33" t="n">
        <v>631</v>
      </c>
      <c r="L150" s="33" t="n">
        <v>946</v>
      </c>
      <c r="M150" s="33" t="n">
        <v>93</v>
      </c>
      <c r="N150" s="33" t="n">
        <v>93</v>
      </c>
      <c r="O150" s="33" t="n">
        <v>183</v>
      </c>
      <c r="P150" s="33" t="n">
        <v>158</v>
      </c>
      <c r="Q150" s="33" t="n">
        <v>165</v>
      </c>
      <c r="R150" s="33" t="n">
        <v>171</v>
      </c>
      <c r="S150" s="33" t="n">
        <v>903</v>
      </c>
      <c r="T150" s="33"/>
      <c r="U150" s="33"/>
      <c r="V150" s="33"/>
      <c r="W150" s="33"/>
      <c r="X150" s="33"/>
      <c r="Y150" s="33" t="n">
        <v>311</v>
      </c>
      <c r="Z150" s="33" t="n">
        <v>787</v>
      </c>
      <c r="AA150" s="33" t="n">
        <v>204</v>
      </c>
      <c r="AB150" s="33" t="n">
        <v>430</v>
      </c>
      <c r="AC150" s="33" t="n">
        <v>654</v>
      </c>
      <c r="AD150" s="33" t="n">
        <v>93</v>
      </c>
      <c r="AE150" s="33" t="n">
        <v>165</v>
      </c>
      <c r="AF150" s="120" t="n">
        <v>165</v>
      </c>
      <c r="AG150" s="120" t="n">
        <v>165</v>
      </c>
      <c r="AH150" s="120" t="n">
        <v>165</v>
      </c>
      <c r="AI150" s="120" t="n">
        <v>165</v>
      </c>
      <c r="AJ150" s="120" t="n">
        <v>165</v>
      </c>
      <c r="AK150" s="120" t="n">
        <v>165</v>
      </c>
      <c r="AL150" s="120" t="n">
        <v>165</v>
      </c>
      <c r="AM150" s="120" t="n">
        <v>165</v>
      </c>
      <c r="AN150" s="120" t="n">
        <v>165</v>
      </c>
      <c r="AO150" s="120" t="n">
        <v>165</v>
      </c>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c r="CK150" s="33"/>
      <c r="CL150" s="33"/>
      <c r="CM150" s="33"/>
      <c r="CN150" s="33"/>
      <c r="CO150" s="33"/>
      <c r="CP150" s="33"/>
      <c r="CQ150" s="33"/>
      <c r="CR150" s="33"/>
      <c r="CS150" s="33"/>
      <c r="CT150" s="33"/>
      <c r="CU150" s="33"/>
      <c r="CV150" s="33"/>
      <c r="CW150" s="33"/>
      <c r="CX150" s="33"/>
      <c r="CY150" s="33"/>
      <c r="CZ150" s="33"/>
      <c r="DA150" s="33"/>
      <c r="DB150" s="33"/>
      <c r="DC150" s="33"/>
      <c r="DD150" s="33"/>
      <c r="DE150" s="33"/>
      <c r="DF150" s="33"/>
      <c r="DG150" s="33"/>
      <c r="DH150" s="33"/>
      <c r="DI150" s="33"/>
      <c r="DJ150" s="33"/>
      <c r="DK150" s="33"/>
      <c r="DL150" s="33"/>
      <c r="DM150" s="33"/>
      <c r="DN150" s="33"/>
      <c r="DO150" s="33"/>
      <c r="DP150" s="33"/>
      <c r="DQ150" s="33"/>
      <c r="DR150" s="33"/>
      <c r="DS150" s="33"/>
      <c r="DT150" s="33"/>
      <c r="DU150" s="33"/>
      <c r="DV150" s="33"/>
      <c r="DW150" s="33"/>
      <c r="DX150" s="33"/>
      <c r="DY150" s="33"/>
      <c r="DZ150" s="33"/>
      <c r="EA150" s="33"/>
      <c r="EB150" s="33"/>
      <c r="EC150" s="33"/>
      <c r="ED150" s="33"/>
      <c r="EE150" s="33"/>
      <c r="EF150" s="33"/>
      <c r="EG150" s="33"/>
      <c r="EH150" s="33"/>
      <c r="EI150" s="33"/>
      <c r="EJ150" s="33"/>
      <c r="EK150" s="33"/>
      <c r="EL150" s="33"/>
      <c r="EM150" s="33"/>
      <c r="EN150" s="33"/>
      <c r="EO150" s="33"/>
      <c r="EP150" s="33"/>
      <c r="EQ150" s="33"/>
      <c r="ER150" s="33"/>
      <c r="ES150" s="33"/>
      <c r="ET150" s="33"/>
      <c r="EU150" s="33"/>
    </row>
    <row r="151" customFormat="false" ht="12.8" hidden="false" customHeight="false" outlineLevel="0" collapsed="false">
      <c r="A151" s="33" t="s">
        <v>352</v>
      </c>
      <c r="B151" s="33" t="n">
        <f aca="false">SUM(B146:B149)</f>
        <v>9613</v>
      </c>
      <c r="C151" s="33" t="n">
        <f aca="false">SUM(C146:C149)</f>
        <v>7369</v>
      </c>
      <c r="D151" s="33" t="n">
        <f aca="false">SUM(D146:D149)</f>
        <v>6677</v>
      </c>
      <c r="E151" s="33" t="n">
        <f aca="false">SUM(E146:E149)</f>
        <v>8074</v>
      </c>
      <c r="F151" s="33" t="n">
        <f aca="false">SUM(F146:F149)</f>
        <v>8253</v>
      </c>
      <c r="G151" s="33" t="n">
        <f aca="false">SUM(G146:G149)</f>
        <v>9420</v>
      </c>
      <c r="H151" s="33" t="n">
        <f aca="false">SUM(H146:H149)</f>
        <v>10125</v>
      </c>
      <c r="I151" s="33" t="n">
        <f aca="false">SUM(I146:I149)</f>
        <v>12028</v>
      </c>
      <c r="J151" s="33" t="n">
        <f aca="false">SUM(J146:J149)</f>
        <v>11848</v>
      </c>
      <c r="K151" s="33" t="n">
        <f aca="false">SUM(K146:K149)</f>
        <v>13152</v>
      </c>
      <c r="L151" s="33" t="n">
        <f aca="false">SUM(L146:L149)</f>
        <v>15593</v>
      </c>
      <c r="M151" s="33" t="n">
        <f aca="false">SUM(M146:M149)</f>
        <v>22383</v>
      </c>
      <c r="N151" s="33" t="n">
        <f aca="false">SUM(N146:N149)</f>
        <v>22812</v>
      </c>
      <c r="O151" s="33" t="n">
        <f aca="false">SUM(O146:O149)</f>
        <v>23447</v>
      </c>
      <c r="P151" s="33" t="n">
        <f aca="false">SUM(P146:P149)</f>
        <v>28997</v>
      </c>
      <c r="Q151" s="33" t="n">
        <f aca="false">SUM(Q146:Q149)</f>
        <v>27918</v>
      </c>
      <c r="R151" s="33" t="n">
        <f aca="false">SUM(R146:R149)</f>
        <v>25641</v>
      </c>
      <c r="S151" s="33" t="n">
        <f aca="false">SUM(S146:S149)</f>
        <v>27496</v>
      </c>
      <c r="T151" s="33"/>
      <c r="U151" s="33"/>
      <c r="V151" s="33"/>
      <c r="W151" s="33"/>
      <c r="X151" s="33"/>
      <c r="Y151" s="33" t="n">
        <f aca="false">SUM(Y145:Y150)</f>
        <v>15183</v>
      </c>
      <c r="Z151" s="33" t="n">
        <f aca="false">SUM(Z145:Z150)</f>
        <v>13754</v>
      </c>
      <c r="AA151" s="33" t="n">
        <f aca="false">SUM(AA145:AA150)</f>
        <v>15349</v>
      </c>
      <c r="AB151" s="33" t="n">
        <f aca="false">SUM(AB145:AB150)</f>
        <v>8504</v>
      </c>
      <c r="AC151" s="33" t="n">
        <f aca="false">SUM(AC146:AC149)</f>
        <v>12028</v>
      </c>
      <c r="AD151" s="33" t="n">
        <f aca="false">SUM(AD146:AD149)</f>
        <v>22383</v>
      </c>
      <c r="AE151" s="33" t="n">
        <f aca="false">SUM(AE146:AE149)</f>
        <v>27918</v>
      </c>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c r="CV151" s="33"/>
      <c r="CW151" s="33"/>
      <c r="CX151" s="33"/>
      <c r="CY151" s="33"/>
      <c r="CZ151" s="33"/>
      <c r="DA151" s="33"/>
      <c r="DB151" s="33"/>
      <c r="DC151" s="33"/>
      <c r="DD151" s="33"/>
      <c r="DE151" s="33"/>
      <c r="DF151" s="33"/>
      <c r="DG151" s="33"/>
      <c r="DH151" s="33"/>
      <c r="DI151" s="33"/>
      <c r="DJ151" s="33"/>
      <c r="DK151" s="33"/>
      <c r="DL151" s="33"/>
      <c r="DM151" s="33"/>
      <c r="DN151" s="33"/>
      <c r="DO151" s="33"/>
      <c r="DP151" s="33"/>
      <c r="DQ151" s="33"/>
      <c r="DR151" s="33"/>
      <c r="DS151" s="33"/>
      <c r="DT151" s="33"/>
      <c r="DU151" s="33"/>
      <c r="DV151" s="33"/>
      <c r="DW151" s="33"/>
      <c r="DX151" s="33"/>
      <c r="DY151" s="33"/>
      <c r="DZ151" s="33"/>
      <c r="EA151" s="33"/>
      <c r="EB151" s="33"/>
      <c r="EC151" s="33"/>
      <c r="ED151" s="33"/>
      <c r="EE151" s="33"/>
      <c r="EF151" s="33"/>
      <c r="EG151" s="33"/>
      <c r="EH151" s="33"/>
      <c r="EI151" s="33"/>
      <c r="EJ151" s="33"/>
      <c r="EK151" s="33"/>
      <c r="EL151" s="33"/>
      <c r="EM151" s="33"/>
      <c r="EN151" s="33"/>
      <c r="EO151" s="33"/>
      <c r="EP151" s="33"/>
      <c r="EQ151" s="33"/>
      <c r="ER151" s="33"/>
      <c r="ES151" s="33"/>
      <c r="ET151" s="33"/>
      <c r="EU151" s="33"/>
    </row>
    <row r="152" customFormat="false" ht="12.8" hidden="false" customHeight="false" outlineLevel="0" collapsed="false">
      <c r="A152" s="33" t="s">
        <v>353</v>
      </c>
      <c r="B152" s="33" t="n">
        <f aca="false">B151+B144+B150</f>
        <v>32812</v>
      </c>
      <c r="C152" s="33" t="n">
        <f aca="false">C151+C144+C150</f>
        <v>31014</v>
      </c>
      <c r="D152" s="33" t="n">
        <f aca="false">D151+D144+D150</f>
        <v>31112</v>
      </c>
      <c r="E152" s="33" t="n">
        <f aca="false">E151+E144+E150</f>
        <v>32109</v>
      </c>
      <c r="F152" s="33" t="n">
        <f aca="false">F151+F144+F150</f>
        <v>32451</v>
      </c>
      <c r="G152" s="33" t="n">
        <f aca="false">G151+G144+G150</f>
        <v>34068</v>
      </c>
      <c r="H152" s="33" t="n">
        <f aca="false">H151+H144+H150</f>
        <v>35949</v>
      </c>
      <c r="I152" s="33" t="n">
        <f aca="false">I151+I144+I150</f>
        <v>38699</v>
      </c>
      <c r="J152" s="33" t="n">
        <f aca="false">J151+J144+J150</f>
        <v>39599</v>
      </c>
      <c r="K152" s="33" t="n">
        <f aca="false">K151+K144+K150</f>
        <v>41514</v>
      </c>
      <c r="L152" s="33" t="n">
        <f aca="false">L151+L144+L150</f>
        <v>47117</v>
      </c>
      <c r="M152" s="33" t="n">
        <f aca="false">M151+M144+M150</f>
        <v>51244</v>
      </c>
      <c r="N152" s="33" t="n">
        <f aca="false">N151+N144+N150</f>
        <v>52822</v>
      </c>
      <c r="O152" s="33" t="n">
        <f aca="false">O151+O144+O150</f>
        <v>55982</v>
      </c>
      <c r="P152" s="33" t="n">
        <f aca="false">P151+P144+P150</f>
        <v>63344</v>
      </c>
      <c r="Q152" s="33" t="n">
        <f aca="false">Q151+Q144+Q150</f>
        <v>61802</v>
      </c>
      <c r="R152" s="33" t="n">
        <f aca="false">R151+R144+R150</f>
        <v>59885</v>
      </c>
      <c r="S152" s="33" t="n">
        <f aca="false">S151+S144+S150</f>
        <v>65801</v>
      </c>
      <c r="T152" s="33"/>
      <c r="U152" s="33"/>
      <c r="V152" s="33"/>
      <c r="W152" s="33"/>
      <c r="X152" s="33"/>
      <c r="Y152" s="33" t="n">
        <f aca="false">Y151+Y144</f>
        <v>31761.4653283382</v>
      </c>
      <c r="Z152" s="33" t="n">
        <f aca="false">Z151+Z144</f>
        <v>33252.6967095874</v>
      </c>
      <c r="AA152" s="33" t="n">
        <f aca="false">AA151+AA144</f>
        <v>38774.5106146263</v>
      </c>
      <c r="AB152" s="33" t="n">
        <f aca="false">AB151+AB144</f>
        <v>32109.2732070766</v>
      </c>
      <c r="AC152" s="33" t="n">
        <f aca="false">AC151+AC144+AC150</f>
        <v>38699.2445999172</v>
      </c>
      <c r="AD152" s="33" t="n">
        <f aca="false">AD151+AD144+AD150</f>
        <v>51244.2476671952</v>
      </c>
      <c r="AE152" s="33" t="n">
        <f aca="false">AE151+AE144+AE150</f>
        <v>61802.2220409628</v>
      </c>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c r="CF152" s="33"/>
      <c r="CG152" s="33"/>
      <c r="CH152" s="33"/>
      <c r="CI152" s="33"/>
      <c r="CJ152" s="33"/>
      <c r="CK152" s="33"/>
      <c r="CL152" s="33"/>
      <c r="CM152" s="33"/>
      <c r="CN152" s="33"/>
      <c r="CO152" s="33"/>
      <c r="CP152" s="33"/>
      <c r="CQ152" s="33"/>
      <c r="CR152" s="33"/>
      <c r="CS152" s="33"/>
      <c r="CT152" s="33"/>
      <c r="CU152" s="33"/>
      <c r="CV152" s="33"/>
      <c r="CW152" s="33"/>
      <c r="CX152" s="33"/>
      <c r="CY152" s="33"/>
      <c r="CZ152" s="33"/>
      <c r="DA152" s="33"/>
      <c r="DB152" s="33"/>
      <c r="DC152" s="33"/>
      <c r="DD152" s="33"/>
      <c r="DE152" s="33"/>
      <c r="DF152" s="33"/>
      <c r="DG152" s="33"/>
      <c r="DH152" s="33"/>
      <c r="DI152" s="33"/>
      <c r="DJ152" s="33"/>
      <c r="DK152" s="33"/>
      <c r="DL152" s="33"/>
      <c r="DM152" s="33"/>
      <c r="DN152" s="33"/>
      <c r="DO152" s="33"/>
      <c r="DP152" s="33"/>
      <c r="DQ152" s="33"/>
      <c r="DR152" s="33"/>
      <c r="DS152" s="33"/>
      <c r="DT152" s="33"/>
      <c r="DU152" s="33"/>
      <c r="DV152" s="33"/>
      <c r="DW152" s="33"/>
      <c r="DX152" s="33"/>
      <c r="DY152" s="33"/>
      <c r="DZ152" s="33"/>
      <c r="EA152" s="33"/>
      <c r="EB152" s="33"/>
      <c r="EC152" s="33"/>
      <c r="ED152" s="33"/>
      <c r="EE152" s="33"/>
      <c r="EF152" s="33"/>
      <c r="EG152" s="33"/>
      <c r="EH152" s="33"/>
      <c r="EI152" s="33"/>
      <c r="EJ152" s="33"/>
      <c r="EK152" s="33"/>
      <c r="EL152" s="33"/>
      <c r="EM152" s="33"/>
      <c r="EN152" s="33"/>
      <c r="EO152" s="33"/>
      <c r="EP152" s="33"/>
      <c r="EQ152" s="33"/>
      <c r="ER152" s="33"/>
      <c r="ES152" s="33"/>
      <c r="ET152" s="33"/>
      <c r="EU152" s="33"/>
    </row>
    <row r="153" s="38" customFormat="true" ht="12.8" hidden="false" customHeight="false" outlineLevel="0" collapsed="false">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c r="BL153" s="33"/>
      <c r="BM153" s="33"/>
      <c r="BN153" s="33"/>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c r="CK153" s="33"/>
      <c r="CL153" s="33"/>
      <c r="CM153" s="33"/>
      <c r="CN153" s="33"/>
      <c r="CO153" s="33"/>
      <c r="CP153" s="33"/>
      <c r="CQ153" s="33"/>
      <c r="CR153" s="33"/>
      <c r="CS153" s="33"/>
      <c r="CT153" s="33"/>
      <c r="CU153" s="33"/>
      <c r="CV153" s="33"/>
      <c r="CW153" s="33"/>
      <c r="CX153" s="33"/>
      <c r="CY153" s="33"/>
      <c r="CZ153" s="33"/>
      <c r="DA153" s="33"/>
      <c r="DB153" s="33"/>
      <c r="DC153" s="33"/>
      <c r="DD153" s="33"/>
      <c r="DE153" s="33"/>
      <c r="DF153" s="33"/>
      <c r="DG153" s="33"/>
      <c r="DH153" s="33"/>
      <c r="DI153" s="33"/>
      <c r="DJ153" s="33"/>
      <c r="DK153" s="33"/>
      <c r="DL153" s="33"/>
      <c r="DM153" s="33"/>
      <c r="DN153" s="33"/>
      <c r="DO153" s="33"/>
      <c r="DP153" s="33"/>
      <c r="DQ153" s="33"/>
      <c r="DR153" s="33"/>
      <c r="DS153" s="33"/>
      <c r="DT153" s="33"/>
      <c r="DU153" s="33"/>
      <c r="DV153" s="33"/>
      <c r="DW153" s="33"/>
      <c r="DX153" s="33"/>
      <c r="DY153" s="33"/>
      <c r="DZ153" s="33"/>
      <c r="EA153" s="33"/>
      <c r="EB153" s="33"/>
      <c r="EC153" s="33"/>
      <c r="ED153" s="33"/>
      <c r="EE153" s="33"/>
      <c r="EF153" s="33"/>
      <c r="EG153" s="33"/>
      <c r="EH153" s="33"/>
      <c r="EI153" s="33"/>
      <c r="EJ153" s="33"/>
      <c r="EK153" s="33"/>
      <c r="EL153" s="33"/>
      <c r="EM153" s="33"/>
      <c r="EN153" s="33"/>
      <c r="EO153" s="33"/>
      <c r="EP153" s="33"/>
      <c r="EQ153" s="33"/>
      <c r="ER153" s="33"/>
      <c r="ES153" s="33"/>
      <c r="ET153" s="33"/>
      <c r="EU153" s="33"/>
      <c r="EV153" s="1"/>
    </row>
    <row r="154" customFormat="false" ht="12.8" hidden="false" customHeight="false" outlineLevel="0" collapsed="false">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c r="CK154" s="33"/>
      <c r="CL154" s="33"/>
      <c r="CM154" s="33"/>
      <c r="CN154" s="33"/>
      <c r="CO154" s="33"/>
      <c r="CP154" s="33"/>
      <c r="CQ154" s="33"/>
      <c r="CR154" s="33"/>
      <c r="CS154" s="33"/>
      <c r="CT154" s="33"/>
      <c r="CU154" s="33"/>
      <c r="CV154" s="33"/>
      <c r="CW154" s="33"/>
      <c r="CX154" s="33"/>
      <c r="CY154" s="33"/>
      <c r="CZ154" s="33"/>
      <c r="DA154" s="33"/>
      <c r="DB154" s="33"/>
      <c r="DC154" s="33"/>
      <c r="DD154" s="33"/>
      <c r="DE154" s="33"/>
      <c r="DF154" s="33"/>
      <c r="DG154" s="33"/>
      <c r="DH154" s="33"/>
      <c r="DI154" s="33"/>
      <c r="DJ154" s="33"/>
      <c r="DK154" s="33"/>
      <c r="DL154" s="33"/>
      <c r="DM154" s="33"/>
      <c r="DN154" s="33"/>
      <c r="DO154" s="33"/>
      <c r="DP154" s="33"/>
      <c r="DQ154" s="33"/>
      <c r="DR154" s="33"/>
      <c r="DS154" s="33"/>
      <c r="DT154" s="33"/>
      <c r="DU154" s="33"/>
      <c r="DV154" s="33"/>
      <c r="DW154" s="33"/>
      <c r="DX154" s="33"/>
      <c r="DY154" s="33"/>
      <c r="DZ154" s="33"/>
      <c r="EA154" s="33"/>
      <c r="EB154" s="33"/>
      <c r="EC154" s="33"/>
      <c r="ED154" s="33"/>
      <c r="EE154" s="33"/>
      <c r="EF154" s="33"/>
      <c r="EG154" s="33"/>
      <c r="EH154" s="33"/>
      <c r="EI154" s="33"/>
      <c r="EJ154" s="33"/>
      <c r="EK154" s="33"/>
      <c r="EL154" s="33"/>
      <c r="EM154" s="33"/>
      <c r="EN154" s="33"/>
      <c r="EO154" s="33"/>
      <c r="EP154" s="33"/>
      <c r="EQ154" s="33"/>
      <c r="ER154" s="33"/>
      <c r="ES154" s="33"/>
      <c r="ET154" s="33"/>
      <c r="EU154" s="33"/>
    </row>
    <row r="155" customFormat="false" ht="12.8" hidden="false" customHeight="false" outlineLevel="0" collapsed="false">
      <c r="A155" s="33" t="s">
        <v>354</v>
      </c>
      <c r="B155" s="33" t="n">
        <f aca="false">B80</f>
        <v>-5918</v>
      </c>
      <c r="C155" s="33" t="n">
        <f aca="false">C80</f>
        <v>-2616</v>
      </c>
      <c r="D155" s="33" t="n">
        <f aca="false">D80</f>
        <v>-1204</v>
      </c>
      <c r="E155" s="33" t="n">
        <f aca="false">E80</f>
        <v>600</v>
      </c>
      <c r="F155" s="33" t="n">
        <f aca="false">F80</f>
        <v>-156.04909144605</v>
      </c>
      <c r="G155" s="33" t="n">
        <f aca="false">G80</f>
        <v>394.51470431175</v>
      </c>
      <c r="H155" s="33" t="n">
        <f aca="false">H80</f>
        <v>219.38635904237</v>
      </c>
      <c r="I155" s="33" t="n">
        <f aca="false">I80</f>
        <v>1700.40287500652</v>
      </c>
      <c r="J155" s="33" t="n">
        <f aca="false">J80</f>
        <v>-662.65995561758</v>
      </c>
      <c r="K155" s="33" t="n">
        <f aca="false">K80</f>
        <v>1008.33057134443</v>
      </c>
      <c r="L155" s="33" t="n">
        <f aca="false">L80</f>
        <v>2599.44613607724</v>
      </c>
      <c r="M155" s="33" t="n">
        <f aca="false">M80</f>
        <v>6901.45783140762</v>
      </c>
      <c r="N155" s="33" t="n">
        <f aca="false">N80</f>
        <v>1774.32837545794</v>
      </c>
      <c r="O155" s="33" t="n">
        <f aca="false">O80</f>
        <v>1350.43380436374</v>
      </c>
      <c r="P155" s="33" t="n">
        <f aca="false">P80</f>
        <v>6652.48882865999</v>
      </c>
      <c r="Q155" s="33" t="n">
        <f aca="false">Q80</f>
        <v>317</v>
      </c>
      <c r="R155" s="33" t="n">
        <f aca="false">R80</f>
        <v>282</v>
      </c>
      <c r="S155" s="33" t="n">
        <f aca="false">S80</f>
        <v>2416</v>
      </c>
      <c r="T155" s="33"/>
      <c r="U155" s="33"/>
      <c r="V155" s="33"/>
      <c r="W155" s="33"/>
      <c r="X155" s="33"/>
      <c r="Y155" s="33" t="n">
        <f aca="false">Y80</f>
        <v>-8512</v>
      </c>
      <c r="Z155" s="33" t="n">
        <f aca="false">Z80</f>
        <v>-6787.49490240048</v>
      </c>
      <c r="AA155" s="33" t="n">
        <f aca="false">AA80</f>
        <v>-567.607395876221</v>
      </c>
      <c r="AB155" s="33" t="n">
        <f aca="false">AB80</f>
        <v>-9134.4202315237</v>
      </c>
      <c r="AC155" s="33" t="n">
        <f aca="false">SUM(F155:I155)</f>
        <v>2158.25484691459</v>
      </c>
      <c r="AD155" s="33" t="n">
        <f aca="false">AD80</f>
        <v>9845.37182716581</v>
      </c>
      <c r="AE155" s="33" t="n">
        <f aca="false">AE80</f>
        <v>10093.428914642</v>
      </c>
      <c r="AF155" s="33" t="n">
        <f aca="false">AF80</f>
        <v>10217.5091799662</v>
      </c>
      <c r="AG155" s="33" t="n">
        <f aca="false">AG80</f>
        <v>9669.12768711336</v>
      </c>
      <c r="AH155" s="33" t="n">
        <f aca="false">AH80</f>
        <v>11682.3844896339</v>
      </c>
      <c r="AI155" s="33" t="n">
        <f aca="false">AI80</f>
        <v>14937.5475496306</v>
      </c>
      <c r="AJ155" s="33" t="n">
        <f aca="false">AJ80</f>
        <v>17996.2006793246</v>
      </c>
      <c r="AK155" s="33" t="n">
        <f aca="false">AK80</f>
        <v>22123.8479565281</v>
      </c>
      <c r="AL155" s="33" t="n">
        <f aca="false">AL80</f>
        <v>25695.5369024479</v>
      </c>
      <c r="AM155" s="33" t="n">
        <f aca="false">AM80</f>
        <v>27209.0493107294</v>
      </c>
      <c r="AN155" s="33" t="n">
        <f aca="false">AN80</f>
        <v>31006.2016869851</v>
      </c>
      <c r="AO155" s="33" t="n">
        <f aca="false">AO80</f>
        <v>35021.4689630854</v>
      </c>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c r="DK155" s="33"/>
      <c r="DL155" s="33"/>
      <c r="DM155" s="33"/>
      <c r="DN155" s="33"/>
      <c r="DO155" s="33"/>
      <c r="DP155" s="33"/>
      <c r="DQ155" s="33"/>
      <c r="DR155" s="33"/>
      <c r="DS155" s="33"/>
      <c r="DT155" s="33"/>
      <c r="DU155" s="33"/>
      <c r="DV155" s="33"/>
      <c r="DW155" s="33"/>
      <c r="DX155" s="33"/>
      <c r="DY155" s="33"/>
      <c r="DZ155" s="33"/>
      <c r="EA155" s="33"/>
      <c r="EB155" s="33"/>
      <c r="EC155" s="33"/>
      <c r="ED155" s="33"/>
      <c r="EE155" s="33"/>
      <c r="EF155" s="33"/>
      <c r="EG155" s="33"/>
      <c r="EH155" s="33"/>
      <c r="EI155" s="33"/>
      <c r="EJ155" s="33"/>
      <c r="EK155" s="33"/>
      <c r="EL155" s="33"/>
      <c r="EM155" s="33"/>
      <c r="EN155" s="33"/>
      <c r="EO155" s="33"/>
      <c r="EP155" s="33"/>
      <c r="EQ155" s="33"/>
      <c r="ER155" s="33"/>
      <c r="ES155" s="33"/>
      <c r="ET155" s="33"/>
      <c r="EU155" s="33"/>
    </row>
    <row r="156" s="122" customFormat="true" ht="12.8" hidden="false" customHeight="false" outlineLevel="0" collapsed="false">
      <c r="A156" s="33" t="s">
        <v>299</v>
      </c>
      <c r="B156" s="33" t="n">
        <v>-5918</v>
      </c>
      <c r="C156" s="33" t="n">
        <v>-2616</v>
      </c>
      <c r="D156" s="33" t="n">
        <v>-1204</v>
      </c>
      <c r="E156" s="33" t="n">
        <v>600</v>
      </c>
      <c r="F156" s="33" t="n">
        <v>-157</v>
      </c>
      <c r="G156" s="33" t="n">
        <v>394</v>
      </c>
      <c r="H156" s="33" t="n">
        <v>219</v>
      </c>
      <c r="I156" s="33" t="n">
        <v>1700</v>
      </c>
      <c r="J156" s="33" t="n">
        <v>-663</v>
      </c>
      <c r="K156" s="33" t="n">
        <v>1008</v>
      </c>
      <c r="L156" s="33" t="n">
        <v>2599</v>
      </c>
      <c r="M156" s="33" t="n">
        <v>6901</v>
      </c>
      <c r="N156" s="33" t="n">
        <v>1774</v>
      </c>
      <c r="O156" s="33" t="n">
        <v>1350</v>
      </c>
      <c r="P156" s="33" t="n">
        <v>6652</v>
      </c>
      <c r="Q156" s="33" t="n">
        <v>317</v>
      </c>
      <c r="R156" s="33" t="n">
        <v>282</v>
      </c>
      <c r="S156" s="33" t="n">
        <v>2416</v>
      </c>
      <c r="T156" s="33"/>
      <c r="U156" s="33"/>
      <c r="V156" s="33"/>
      <c r="W156" s="33"/>
      <c r="X156" s="33"/>
      <c r="Y156" s="33" t="n">
        <v>-8512</v>
      </c>
      <c r="Z156" s="33" t="n">
        <v>-6788</v>
      </c>
      <c r="AA156" s="33" t="n">
        <v>-570</v>
      </c>
      <c r="AB156" s="33" t="n">
        <v>-9138</v>
      </c>
      <c r="AC156" s="33" t="n">
        <f aca="false">SUM(F156:I156)</f>
        <v>2156</v>
      </c>
      <c r="AD156" s="33" t="n">
        <f aca="false">SUM(J156:M156)</f>
        <v>9845</v>
      </c>
      <c r="AE156" s="33" t="n">
        <f aca="false">SUM(N156:Q156)</f>
        <v>10093</v>
      </c>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c r="CK156" s="33"/>
      <c r="CL156" s="33"/>
      <c r="CM156" s="33"/>
      <c r="CN156" s="33"/>
      <c r="CO156" s="33"/>
      <c r="CP156" s="33"/>
      <c r="CQ156" s="33"/>
      <c r="CR156" s="33"/>
      <c r="CS156" s="33"/>
      <c r="CT156" s="33"/>
      <c r="CU156" s="33"/>
      <c r="CV156" s="33"/>
      <c r="CW156" s="33"/>
      <c r="CX156" s="33"/>
      <c r="CY156" s="33"/>
      <c r="CZ156" s="33"/>
      <c r="DA156" s="33"/>
      <c r="DB156" s="33"/>
      <c r="DC156" s="33"/>
      <c r="DD156" s="33"/>
      <c r="DE156" s="33"/>
      <c r="DF156" s="33"/>
      <c r="DG156" s="33"/>
      <c r="DH156" s="33"/>
      <c r="DI156" s="33"/>
      <c r="DJ156" s="33"/>
      <c r="DK156" s="33"/>
      <c r="DL156" s="33"/>
      <c r="DM156" s="33"/>
      <c r="DN156" s="33"/>
      <c r="DO156" s="33"/>
      <c r="DP156" s="33"/>
      <c r="DQ156" s="33"/>
      <c r="DR156" s="33"/>
      <c r="DS156" s="33"/>
      <c r="DT156" s="33"/>
      <c r="DU156" s="33"/>
      <c r="DV156" s="33"/>
      <c r="DW156" s="33"/>
      <c r="DX156" s="33"/>
      <c r="DY156" s="33"/>
      <c r="DZ156" s="33"/>
      <c r="EA156" s="33"/>
      <c r="EB156" s="33"/>
      <c r="EC156" s="33"/>
      <c r="ED156" s="33"/>
      <c r="EE156" s="33"/>
      <c r="EF156" s="33"/>
      <c r="EG156" s="33"/>
      <c r="EH156" s="33"/>
      <c r="EI156" s="33"/>
      <c r="EJ156" s="33"/>
      <c r="EK156" s="33"/>
      <c r="EL156" s="33"/>
      <c r="EM156" s="33"/>
      <c r="EN156" s="33"/>
      <c r="EO156" s="33"/>
      <c r="EP156" s="33"/>
      <c r="EQ156" s="33"/>
      <c r="ER156" s="33"/>
      <c r="ES156" s="33"/>
      <c r="ET156" s="33"/>
      <c r="EU156" s="33"/>
      <c r="EV156" s="1"/>
    </row>
    <row r="157" s="122" customFormat="true" ht="12.8" hidden="false" customHeight="false" outlineLevel="0" collapsed="false">
      <c r="A157" s="33" t="s">
        <v>355</v>
      </c>
      <c r="B157" s="33" t="n">
        <v>254</v>
      </c>
      <c r="C157" s="33" t="n">
        <v>243</v>
      </c>
      <c r="D157" s="33" t="n">
        <v>227</v>
      </c>
      <c r="E157" s="33" t="n">
        <v>223</v>
      </c>
      <c r="F157" s="33" t="n">
        <v>207</v>
      </c>
      <c r="G157" s="33" t="n">
        <v>208</v>
      </c>
      <c r="H157" s="33" t="n">
        <v>205</v>
      </c>
      <c r="I157" s="33" t="n">
        <v>203</v>
      </c>
      <c r="J157" s="33" t="n">
        <v>194</v>
      </c>
      <c r="K157" s="33" t="n">
        <v>181</v>
      </c>
      <c r="L157" s="33" t="n">
        <v>186</v>
      </c>
      <c r="M157" s="33" t="n">
        <v>176</v>
      </c>
      <c r="N157" s="33" t="n">
        <v>178</v>
      </c>
      <c r="O157" s="33" t="n">
        <v>181</v>
      </c>
      <c r="P157" s="33" t="n">
        <v>195</v>
      </c>
      <c r="Q157" s="33" t="n">
        <v>193</v>
      </c>
      <c r="R157" s="33" t="n">
        <v>191</v>
      </c>
      <c r="S157" s="33" t="n">
        <v>195</v>
      </c>
      <c r="T157" s="33"/>
      <c r="U157" s="33"/>
      <c r="V157" s="33"/>
      <c r="W157" s="33"/>
      <c r="X157" s="33"/>
      <c r="Y157" s="33" t="n">
        <v>472</v>
      </c>
      <c r="Z157" s="33" t="n">
        <v>575</v>
      </c>
      <c r="AA157" s="33" t="n">
        <v>902</v>
      </c>
      <c r="AB157" s="33" t="n">
        <v>947</v>
      </c>
      <c r="AC157" s="33" t="n">
        <f aca="false">SUM(F157:I157)</f>
        <v>823</v>
      </c>
      <c r="AD157" s="33" t="n">
        <f aca="false">SUM(J157:M157)</f>
        <v>737</v>
      </c>
      <c r="AE157" s="33" t="n">
        <f aca="false">SUM(N157:Q157)</f>
        <v>747</v>
      </c>
      <c r="AF157" s="33" t="n">
        <f aca="false">+AF52*0.013</f>
        <v>757.373764997187</v>
      </c>
      <c r="AG157" s="33" t="n">
        <f aca="false">+AG52*0.013</f>
        <v>870.979829746766</v>
      </c>
      <c r="AH157" s="33" t="n">
        <f aca="false">+AH52*0.013</f>
        <v>1010.33660250625</v>
      </c>
      <c r="AI157" s="33" t="n">
        <f aca="false">+AI52*0.013</f>
        <v>1171.99045890725</v>
      </c>
      <c r="AJ157" s="33" t="n">
        <f aca="false">+AJ52*0.013</f>
        <v>1347.78902774334</v>
      </c>
      <c r="AK157" s="33" t="n">
        <f aca="false">+AK52*0.013</f>
        <v>1536.47949162741</v>
      </c>
      <c r="AL157" s="33" t="n">
        <f aca="false">+AL52*0.013</f>
        <v>1736.22182553897</v>
      </c>
      <c r="AM157" s="33" t="n">
        <f aca="false">+AM52*0.013</f>
        <v>1944.56844460364</v>
      </c>
      <c r="AN157" s="33" t="n">
        <f aca="false">+AN52*0.013</f>
        <v>2158.47097351003</v>
      </c>
      <c r="AO157" s="33" t="n">
        <f aca="false">+AO52*0.013</f>
        <v>2374.31807086105</v>
      </c>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c r="CK157" s="33"/>
      <c r="CL157" s="33"/>
      <c r="CM157" s="33"/>
      <c r="CN157" s="33"/>
      <c r="CO157" s="33"/>
      <c r="CP157" s="33"/>
      <c r="CQ157" s="33"/>
      <c r="CR157" s="33"/>
      <c r="CS157" s="33"/>
      <c r="CT157" s="33"/>
      <c r="CU157" s="33"/>
      <c r="CV157" s="33"/>
      <c r="CW157" s="33"/>
      <c r="CX157" s="33"/>
      <c r="CY157" s="33"/>
      <c r="CZ157" s="33"/>
      <c r="DA157" s="33"/>
      <c r="DB157" s="33"/>
      <c r="DC157" s="33"/>
      <c r="DD157" s="33"/>
      <c r="DE157" s="33"/>
      <c r="DF157" s="33"/>
      <c r="DG157" s="33"/>
      <c r="DH157" s="33"/>
      <c r="DI157" s="33"/>
      <c r="DJ157" s="33"/>
      <c r="DK157" s="33"/>
      <c r="DL157" s="33"/>
      <c r="DM157" s="33"/>
      <c r="DN157" s="33"/>
      <c r="DO157" s="33"/>
      <c r="DP157" s="33"/>
      <c r="DQ157" s="33"/>
      <c r="DR157" s="33"/>
      <c r="DS157" s="33"/>
      <c r="DT157" s="33"/>
      <c r="DU157" s="33"/>
      <c r="DV157" s="33"/>
      <c r="DW157" s="33"/>
      <c r="DX157" s="33"/>
      <c r="DY157" s="33"/>
      <c r="DZ157" s="33"/>
      <c r="EA157" s="33"/>
      <c r="EB157" s="33"/>
      <c r="EC157" s="33"/>
      <c r="ED157" s="33"/>
      <c r="EE157" s="33"/>
      <c r="EF157" s="33"/>
      <c r="EG157" s="33"/>
      <c r="EH157" s="33"/>
      <c r="EI157" s="33"/>
      <c r="EJ157" s="33"/>
      <c r="EK157" s="33"/>
      <c r="EL157" s="33"/>
      <c r="EM157" s="33"/>
      <c r="EN157" s="33"/>
      <c r="EO157" s="33"/>
      <c r="EP157" s="33"/>
      <c r="EQ157" s="33"/>
      <c r="ER157" s="33"/>
      <c r="ES157" s="33"/>
      <c r="ET157" s="33"/>
      <c r="EU157" s="33"/>
      <c r="EV157" s="1"/>
    </row>
    <row r="158" s="121" customFormat="true" ht="10.5" hidden="false" customHeight="true" outlineLevel="0" collapsed="false">
      <c r="B158" s="38" t="n">
        <f aca="false">+B157/B$52</f>
        <v>0.0370586518821126</v>
      </c>
      <c r="C158" s="38" t="n">
        <f aca="false">+C157/C$52</f>
        <v>0.0301003344481605</v>
      </c>
      <c r="D158" s="38" t="n">
        <f aca="false">+D157/D$52</f>
        <v>0.0272084382116745</v>
      </c>
      <c r="E158" s="38" t="n">
        <f aca="false">+E157/E$52</f>
        <v>0.0259091437202277</v>
      </c>
      <c r="F158" s="38" t="n">
        <f aca="false">+F157/F$52</f>
        <v>0.0234588793778685</v>
      </c>
      <c r="G158" s="38" t="n">
        <f aca="false">+G157/G$52</f>
        <v>0.0225339546778295</v>
      </c>
      <c r="H158" s="38" t="n">
        <f aca="false">+H157/H$52</f>
        <v>0.0220610715137254</v>
      </c>
      <c r="I158" s="38" t="n">
        <f aca="false">+I157/I$52</f>
        <v>0.0204299284714607</v>
      </c>
      <c r="J158" s="38" t="n">
        <f aca="false">+J157/J$52</f>
        <v>0.0191485034704337</v>
      </c>
      <c r="K158" s="38" t="n">
        <f aca="false">+K157/K$52</f>
        <v>0.016915365258408</v>
      </c>
      <c r="L158" s="38" t="n">
        <f aca="false">+L157/L$52</f>
        <v>0.0166242923939404</v>
      </c>
      <c r="M158" s="38" t="n">
        <f aca="false">+M157/M$52</f>
        <v>0.0147163861841457</v>
      </c>
      <c r="N158" s="38" t="n">
        <f aca="false">+N157/N$52</f>
        <v>0.0154335326460288</v>
      </c>
      <c r="O158" s="38" t="n">
        <f aca="false">+O157/O$52</f>
        <v>0.0143066788159276</v>
      </c>
      <c r="P158" s="38" t="n">
        <f aca="false">+P157/P$52</f>
        <v>0.014479314034033</v>
      </c>
      <c r="Q158" s="38" t="n">
        <f aca="false">+Q157/Q$52</f>
        <v>0.0134344981205624</v>
      </c>
      <c r="R158" s="38" t="n">
        <f aca="false">+R157/R$52</f>
        <v>0.0144664091494357</v>
      </c>
      <c r="S158" s="38" t="n">
        <f aca="false">+S157/S$52</f>
        <v>0.0137411035163132</v>
      </c>
      <c r="Y158" s="38" t="n">
        <f aca="false">+Y157/Y$52</f>
        <v>0.0333639640913268</v>
      </c>
      <c r="Z158" s="38" t="n">
        <f aca="false">+Z157/Z$52</f>
        <v>0.0516180920931496</v>
      </c>
      <c r="AA158" s="38" t="n">
        <f aca="false">+AA157/AA$52</f>
        <v>0.0516686552484893</v>
      </c>
      <c r="AB158" s="38" t="n">
        <f aca="false">+AB157/AB$52</f>
        <v>0.0297046040842833</v>
      </c>
      <c r="AC158" s="38" t="n">
        <f aca="false">+AC157/AC$52</f>
        <v>0.0220754174620404</v>
      </c>
      <c r="AD158" s="38" t="n">
        <f aca="false">+AD157/AD$52</f>
        <v>0.0167582375012972</v>
      </c>
      <c r="AE158" s="38" t="n">
        <f aca="false">+AE157/AE$52</f>
        <v>0.0143605713620677</v>
      </c>
      <c r="AF158" s="38" t="n">
        <f aca="false">+AF157/AF$52</f>
        <v>0.013</v>
      </c>
      <c r="AG158" s="38" t="n">
        <f aca="false">+AG157/AG$52</f>
        <v>0.013</v>
      </c>
      <c r="AH158" s="38" t="n">
        <f aca="false">+AH157/AH$52</f>
        <v>0.013</v>
      </c>
      <c r="AI158" s="38" t="n">
        <f aca="false">+AI157/AI$52</f>
        <v>0.013</v>
      </c>
      <c r="AJ158" s="38" t="n">
        <f aca="false">+AJ157/AJ$52</f>
        <v>0.013</v>
      </c>
      <c r="AK158" s="38" t="n">
        <f aca="false">+AK157/AK$52</f>
        <v>0.013</v>
      </c>
      <c r="AL158" s="38" t="n">
        <f aca="false">+AL157/AL$52</f>
        <v>0.013</v>
      </c>
      <c r="AM158" s="38" t="n">
        <f aca="false">+AM157/AM$52</f>
        <v>0.013</v>
      </c>
      <c r="AN158" s="38" t="n">
        <f aca="false">+AN157/AN$52</f>
        <v>0.013</v>
      </c>
      <c r="AO158" s="38" t="n">
        <f aca="false">+AO157/AO$52</f>
        <v>0.013</v>
      </c>
    </row>
    <row r="159" s="38" customFormat="true" ht="12.8" hidden="false" customHeight="false" outlineLevel="0" collapsed="false">
      <c r="A159" s="33" t="s">
        <v>356</v>
      </c>
      <c r="B159" s="33" t="n">
        <v>359</v>
      </c>
      <c r="C159" s="33" t="n">
        <v>470</v>
      </c>
      <c r="D159" s="33" t="n">
        <v>482</v>
      </c>
      <c r="E159" s="33" t="n">
        <v>482</v>
      </c>
      <c r="F159" s="33" t="n">
        <v>470</v>
      </c>
      <c r="G159" s="33" t="n">
        <v>504</v>
      </c>
      <c r="H159" s="33" t="n">
        <v>492</v>
      </c>
      <c r="I159" s="33" t="n">
        <v>29</v>
      </c>
      <c r="J159" s="33" t="n">
        <v>484</v>
      </c>
      <c r="K159" s="33" t="n">
        <v>455</v>
      </c>
      <c r="L159" s="33" t="n">
        <v>438</v>
      </c>
      <c r="M159" s="33" t="n">
        <v>14</v>
      </c>
      <c r="N159" s="33" t="n">
        <v>435</v>
      </c>
      <c r="O159" s="33" t="n">
        <v>475</v>
      </c>
      <c r="P159" s="33" t="n">
        <v>465</v>
      </c>
      <c r="Q159" s="33" t="n">
        <v>415</v>
      </c>
      <c r="R159" s="33" t="n">
        <v>473</v>
      </c>
      <c r="S159" s="33" t="n">
        <v>550</v>
      </c>
      <c r="T159" s="33"/>
      <c r="U159" s="33"/>
      <c r="V159" s="33"/>
      <c r="W159" s="33"/>
      <c r="X159" s="33"/>
      <c r="Y159" s="33" t="n">
        <v>4596</v>
      </c>
      <c r="Z159" s="33" t="n">
        <v>827</v>
      </c>
      <c r="AA159" s="33" t="n">
        <v>1168</v>
      </c>
      <c r="AB159" s="33" t="n">
        <v>1793</v>
      </c>
      <c r="AC159" s="33" t="n">
        <f aca="false">SUM(F159:I159)</f>
        <v>1495</v>
      </c>
      <c r="AD159" s="33" t="n">
        <f aca="false">SUM(J159:M159)</f>
        <v>1391</v>
      </c>
      <c r="AE159" s="33" t="n">
        <f aca="false">SUM(N159:Q159)</f>
        <v>1790</v>
      </c>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c r="CK159" s="33"/>
      <c r="CL159" s="33"/>
      <c r="CM159" s="33"/>
      <c r="CN159" s="33"/>
      <c r="CO159" s="33"/>
      <c r="CP159" s="33"/>
      <c r="CQ159" s="33"/>
      <c r="CR159" s="33"/>
      <c r="CS159" s="33"/>
      <c r="CT159" s="33"/>
      <c r="CU159" s="33"/>
      <c r="CV159" s="33"/>
      <c r="CW159" s="33"/>
      <c r="CX159" s="33"/>
      <c r="CY159" s="33"/>
      <c r="CZ159" s="33"/>
      <c r="DA159" s="33"/>
      <c r="DB159" s="33"/>
      <c r="DC159" s="33"/>
      <c r="DD159" s="33"/>
      <c r="DE159" s="33"/>
      <c r="DF159" s="33"/>
      <c r="DG159" s="33"/>
      <c r="DH159" s="33"/>
      <c r="DI159" s="33"/>
      <c r="DJ159" s="33"/>
      <c r="DK159" s="33"/>
      <c r="DL159" s="33"/>
      <c r="DM159" s="33"/>
      <c r="DN159" s="33"/>
      <c r="DO159" s="33"/>
      <c r="DP159" s="33"/>
      <c r="DQ159" s="33"/>
      <c r="DR159" s="33"/>
      <c r="DS159" s="33"/>
      <c r="DT159" s="33"/>
      <c r="DU159" s="33"/>
      <c r="DV159" s="33"/>
      <c r="DW159" s="33"/>
      <c r="DX159" s="33"/>
      <c r="DY159" s="33"/>
      <c r="DZ159" s="33"/>
      <c r="EA159" s="33"/>
      <c r="EB159" s="33"/>
      <c r="EC159" s="33"/>
      <c r="ED159" s="33"/>
      <c r="EE159" s="33"/>
      <c r="EF159" s="33"/>
      <c r="EG159" s="33"/>
      <c r="EH159" s="33"/>
      <c r="EI159" s="33"/>
      <c r="EJ159" s="33"/>
      <c r="EK159" s="33"/>
      <c r="EL159" s="33"/>
      <c r="EM159" s="33"/>
      <c r="EN159" s="33"/>
      <c r="EO159" s="33"/>
      <c r="EP159" s="33"/>
      <c r="EQ159" s="33"/>
      <c r="ER159" s="33"/>
      <c r="ES159" s="33"/>
      <c r="ET159" s="33"/>
      <c r="EU159" s="33"/>
      <c r="EV159" s="1"/>
    </row>
    <row r="160" s="38" customFormat="true" ht="12.8" hidden="false" customHeight="false" outlineLevel="0" collapsed="false">
      <c r="A160" s="33" t="s">
        <v>339</v>
      </c>
      <c r="B160" s="33" t="n">
        <v>-281</v>
      </c>
      <c r="C160" s="33" t="n">
        <v>14</v>
      </c>
      <c r="D160" s="33" t="n">
        <v>16</v>
      </c>
      <c r="E160" s="33" t="n">
        <v>-190</v>
      </c>
      <c r="F160" s="33" t="n">
        <v>10</v>
      </c>
      <c r="G160" s="33" t="n">
        <v>6</v>
      </c>
      <c r="H160" s="33" t="n">
        <v>16</v>
      </c>
      <c r="I160" s="33" t="n">
        <v>469</v>
      </c>
      <c r="J160" s="33" t="n">
        <v>-16</v>
      </c>
      <c r="K160" s="33" t="n">
        <v>-7</v>
      </c>
      <c r="L160" s="33" t="n">
        <v>124</v>
      </c>
      <c r="M160" s="33" t="n">
        <v>419</v>
      </c>
      <c r="N160" s="33" t="n">
        <v>-412</v>
      </c>
      <c r="O160" s="33" t="n">
        <v>87</v>
      </c>
      <c r="P160" s="33" t="n">
        <v>-4167</v>
      </c>
      <c r="Q160" s="33" t="n">
        <v>-287</v>
      </c>
      <c r="R160" s="33" t="n">
        <v>106</v>
      </c>
      <c r="S160" s="33" t="n">
        <v>665</v>
      </c>
      <c r="T160" s="33"/>
      <c r="U160" s="33"/>
      <c r="V160" s="33"/>
      <c r="W160" s="33"/>
      <c r="X160" s="33"/>
      <c r="Y160" s="33" t="n">
        <v>-88</v>
      </c>
      <c r="Z160" s="33" t="n">
        <v>-266</v>
      </c>
      <c r="AA160" s="33" t="n">
        <v>-692</v>
      </c>
      <c r="AB160" s="33" t="n">
        <v>-441</v>
      </c>
      <c r="AC160" s="33" t="n">
        <f aca="false">SUM(F160:I160)</f>
        <v>501</v>
      </c>
      <c r="AD160" s="33" t="n">
        <f aca="false">SUM(J160:M160)</f>
        <v>520</v>
      </c>
      <c r="AE160" s="33" t="n">
        <f aca="false">SUM(N160:Q160)</f>
        <v>-4779</v>
      </c>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c r="CK160" s="33"/>
      <c r="CL160" s="33"/>
      <c r="CM160" s="33"/>
      <c r="CN160" s="33"/>
      <c r="CO160" s="33"/>
      <c r="CP160" s="33"/>
      <c r="CQ160" s="33"/>
      <c r="CR160" s="33"/>
      <c r="CS160" s="33"/>
      <c r="CT160" s="33"/>
      <c r="CU160" s="33"/>
      <c r="CV160" s="33"/>
      <c r="CW160" s="33"/>
      <c r="CX160" s="33"/>
      <c r="CY160" s="33"/>
      <c r="CZ160" s="33"/>
      <c r="DA160" s="33"/>
      <c r="DB160" s="33"/>
      <c r="DC160" s="33"/>
      <c r="DD160" s="33"/>
      <c r="DE160" s="33"/>
      <c r="DF160" s="33"/>
      <c r="DG160" s="33"/>
      <c r="DH160" s="33"/>
      <c r="DI160" s="33"/>
      <c r="DJ160" s="33"/>
      <c r="DK160" s="33"/>
      <c r="DL160" s="33"/>
      <c r="DM160" s="33"/>
      <c r="DN160" s="33"/>
      <c r="DO160" s="33"/>
      <c r="DP160" s="33"/>
      <c r="DQ160" s="33"/>
      <c r="DR160" s="33"/>
      <c r="DS160" s="33"/>
      <c r="DT160" s="33"/>
      <c r="DU160" s="33"/>
      <c r="DV160" s="33"/>
      <c r="DW160" s="33"/>
      <c r="DX160" s="33"/>
      <c r="DY160" s="33"/>
      <c r="DZ160" s="33"/>
      <c r="EA160" s="33"/>
      <c r="EB160" s="33"/>
      <c r="EC160" s="33"/>
      <c r="ED160" s="33"/>
      <c r="EE160" s="33"/>
      <c r="EF160" s="33"/>
      <c r="EG160" s="33"/>
      <c r="EH160" s="33"/>
      <c r="EI160" s="33"/>
      <c r="EJ160" s="33"/>
      <c r="EK160" s="33"/>
      <c r="EL160" s="33"/>
      <c r="EM160" s="33"/>
      <c r="EN160" s="33"/>
      <c r="EO160" s="33"/>
      <c r="EP160" s="33"/>
      <c r="EQ160" s="33"/>
      <c r="ER160" s="33"/>
      <c r="ES160" s="33"/>
      <c r="ET160" s="33"/>
      <c r="EU160" s="33"/>
      <c r="EV160" s="1"/>
    </row>
    <row r="161" s="38" customFormat="true" ht="12.8" hidden="false" customHeight="false" outlineLevel="0" collapsed="false">
      <c r="A161" s="33" t="s">
        <v>357</v>
      </c>
      <c r="B161" s="33" t="n">
        <v>5570</v>
      </c>
      <c r="C161" s="33" t="n">
        <v>1677</v>
      </c>
      <c r="D161" s="33" t="n">
        <v>550</v>
      </c>
      <c r="E161" s="33" t="n">
        <v>-752</v>
      </c>
      <c r="F161" s="33" t="n">
        <v>-320</v>
      </c>
      <c r="G161" s="33" t="n">
        <v>-386</v>
      </c>
      <c r="H161" s="33" t="n">
        <v>96</v>
      </c>
      <c r="I161" s="33" t="n">
        <v>-1000</v>
      </c>
      <c r="J161" s="33" t="n">
        <v>721</v>
      </c>
      <c r="K161" s="33" t="n">
        <v>-333</v>
      </c>
      <c r="L161" s="33" t="n">
        <v>-1664</v>
      </c>
      <c r="M161" s="33" t="n">
        <v>-556</v>
      </c>
      <c r="N161" s="33" t="n">
        <v>-51</v>
      </c>
      <c r="O161" s="33" t="n">
        <v>17</v>
      </c>
      <c r="P161" s="33" t="n">
        <v>-1471</v>
      </c>
      <c r="Q161" s="33" t="n">
        <v>1602</v>
      </c>
      <c r="R161" s="33" t="n">
        <v>1474</v>
      </c>
      <c r="S161" s="33" t="n">
        <v>-1612</v>
      </c>
      <c r="T161" s="33"/>
      <c r="U161" s="33"/>
      <c r="V161" s="33"/>
      <c r="W161" s="33"/>
      <c r="X161" s="33"/>
      <c r="Y161" s="33" t="n">
        <v>-60</v>
      </c>
      <c r="Z161" s="33" t="n">
        <v>125</v>
      </c>
      <c r="AA161" s="33" t="n">
        <v>-1142</v>
      </c>
      <c r="AB161" s="33" t="n">
        <v>7045</v>
      </c>
      <c r="AC161" s="33" t="n">
        <f aca="false">SUM(F161:I161)</f>
        <v>-1610</v>
      </c>
      <c r="AD161" s="33" t="n">
        <f aca="false">SUM(J161:M161)</f>
        <v>-1832</v>
      </c>
      <c r="AE161" s="33" t="n">
        <f aca="false">SUM(N161:Q161)</f>
        <v>97</v>
      </c>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c r="CK161" s="33"/>
      <c r="CL161" s="33"/>
      <c r="CM161" s="33"/>
      <c r="CN161" s="33"/>
      <c r="CO161" s="33"/>
      <c r="CP161" s="33"/>
      <c r="CQ161" s="33"/>
      <c r="CR161" s="33"/>
      <c r="CS161" s="33"/>
      <c r="CT161" s="33"/>
      <c r="CU161" s="33"/>
      <c r="CV161" s="33"/>
      <c r="CW161" s="33"/>
      <c r="CX161" s="33"/>
      <c r="CY161" s="33"/>
      <c r="CZ161" s="33"/>
      <c r="DA161" s="33"/>
      <c r="DB161" s="33"/>
      <c r="DC161" s="33"/>
      <c r="DD161" s="33"/>
      <c r="DE161" s="33"/>
      <c r="DF161" s="33"/>
      <c r="DG161" s="33"/>
      <c r="DH161" s="33"/>
      <c r="DI161" s="33"/>
      <c r="DJ161" s="33"/>
      <c r="DK161" s="33"/>
      <c r="DL161" s="33"/>
      <c r="DM161" s="33"/>
      <c r="DN161" s="33"/>
      <c r="DO161" s="33"/>
      <c r="DP161" s="33"/>
      <c r="DQ161" s="33"/>
      <c r="DR161" s="33"/>
      <c r="DS161" s="33"/>
      <c r="DT161" s="33"/>
      <c r="DU161" s="33"/>
      <c r="DV161" s="33"/>
      <c r="DW161" s="33"/>
      <c r="DX161" s="33"/>
      <c r="DY161" s="33"/>
      <c r="DZ161" s="33"/>
      <c r="EA161" s="33"/>
      <c r="EB161" s="33"/>
      <c r="EC161" s="33"/>
      <c r="ED161" s="33"/>
      <c r="EE161" s="33"/>
      <c r="EF161" s="33"/>
      <c r="EG161" s="33"/>
      <c r="EH161" s="33"/>
      <c r="EI161" s="33"/>
      <c r="EJ161" s="33"/>
      <c r="EK161" s="33"/>
      <c r="EL161" s="33"/>
      <c r="EM161" s="33"/>
      <c r="EN161" s="33"/>
      <c r="EO161" s="33"/>
      <c r="EP161" s="33"/>
      <c r="EQ161" s="33"/>
      <c r="ER161" s="33"/>
      <c r="ES161" s="33"/>
      <c r="ET161" s="33"/>
      <c r="EU161" s="33"/>
      <c r="EV161" s="1"/>
    </row>
    <row r="162" customFormat="false" ht="12.8" hidden="false" customHeight="false" outlineLevel="0" collapsed="false">
      <c r="A162" s="33" t="s">
        <v>358</v>
      </c>
      <c r="B162" s="33" t="n">
        <v>-15</v>
      </c>
      <c r="C162" s="33" t="n">
        <v>25</v>
      </c>
      <c r="D162" s="33" t="n">
        <v>15</v>
      </c>
      <c r="E162" s="33" t="n">
        <v>71</v>
      </c>
      <c r="F162" s="33" t="n">
        <v>83</v>
      </c>
      <c r="G162" s="33" t="n">
        <v>2</v>
      </c>
      <c r="H162" s="33" t="n">
        <v>71</v>
      </c>
      <c r="I162" s="33" t="n">
        <v>-18</v>
      </c>
      <c r="J162" s="33" t="n">
        <v>150</v>
      </c>
      <c r="K162" s="33" t="n">
        <v>59</v>
      </c>
      <c r="L162" s="33" t="n">
        <v>-36</v>
      </c>
      <c r="M162" s="33" t="n">
        <v>135</v>
      </c>
      <c r="N162" s="33" t="n">
        <v>-51</v>
      </c>
      <c r="O162" s="33" t="n">
        <v>-101</v>
      </c>
      <c r="P162" s="33" t="n">
        <v>22</v>
      </c>
      <c r="Q162" s="33" t="n">
        <f aca="false">-35+10</f>
        <v>-25</v>
      </c>
      <c r="R162" s="33" t="n">
        <v>5</v>
      </c>
      <c r="S162" s="33" t="n">
        <v>-58</v>
      </c>
      <c r="T162" s="33"/>
      <c r="U162" s="33"/>
      <c r="V162" s="33"/>
      <c r="W162" s="33"/>
      <c r="X162" s="33"/>
      <c r="Y162" s="33" t="n">
        <v>16</v>
      </c>
      <c r="Z162" s="33" t="n">
        <v>48</v>
      </c>
      <c r="AA162" s="33" t="n">
        <v>38</v>
      </c>
      <c r="AB162" s="33" t="n">
        <v>96</v>
      </c>
      <c r="AC162" s="33" t="n">
        <f aca="false">SUM(F162:I162)</f>
        <v>138</v>
      </c>
      <c r="AD162" s="33" t="n">
        <f aca="false">SUM(J162:M162)</f>
        <v>308</v>
      </c>
      <c r="AE162" s="33" t="n">
        <f aca="false">SUM(N162:Q162)</f>
        <v>-155</v>
      </c>
      <c r="AF162" s="33"/>
      <c r="AG162" s="33"/>
      <c r="AH162" s="33"/>
      <c r="AI162" s="33"/>
      <c r="AJ162" s="33"/>
      <c r="AK162" s="33"/>
      <c r="AL162" s="33"/>
      <c r="AM162" s="33"/>
      <c r="AN162" s="33"/>
      <c r="AO162" s="33"/>
      <c r="AP162" s="33"/>
      <c r="AQ162" s="33"/>
      <c r="AR162" s="83"/>
      <c r="AS162" s="33"/>
      <c r="AT162" s="33"/>
      <c r="AU162" s="33"/>
      <c r="AV162" s="33"/>
      <c r="AW162" s="33"/>
      <c r="AX162" s="33"/>
      <c r="AY162" s="33"/>
      <c r="AZ162" s="33"/>
      <c r="BA162" s="33"/>
      <c r="BB162" s="33"/>
      <c r="BC162" s="33"/>
      <c r="BD162" s="33"/>
      <c r="BE162" s="33"/>
      <c r="BF162" s="33"/>
      <c r="BG162" s="33"/>
      <c r="BH162" s="33"/>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c r="CK162" s="33"/>
      <c r="CL162" s="33"/>
      <c r="CM162" s="33"/>
      <c r="CN162" s="33"/>
      <c r="CO162" s="33"/>
      <c r="CP162" s="33"/>
      <c r="CQ162" s="33"/>
      <c r="CR162" s="33"/>
      <c r="CS162" s="33"/>
      <c r="CT162" s="33"/>
      <c r="CU162" s="33"/>
      <c r="CV162" s="33"/>
      <c r="CW162" s="33"/>
      <c r="CX162" s="33"/>
      <c r="CY162" s="33"/>
      <c r="CZ162" s="33"/>
      <c r="DA162" s="33"/>
      <c r="DB162" s="33"/>
      <c r="DC162" s="33"/>
      <c r="DD162" s="33"/>
      <c r="DE162" s="33"/>
      <c r="DF162" s="33"/>
      <c r="DG162" s="33"/>
      <c r="DH162" s="33"/>
      <c r="DI162" s="33"/>
      <c r="DJ162" s="33"/>
      <c r="DK162" s="33"/>
      <c r="DL162" s="33"/>
      <c r="DM162" s="33"/>
      <c r="DN162" s="33"/>
      <c r="DO162" s="33"/>
      <c r="DP162" s="33"/>
      <c r="DQ162" s="33"/>
      <c r="DR162" s="33"/>
      <c r="DS162" s="33"/>
      <c r="DT162" s="33"/>
      <c r="DU162" s="33"/>
      <c r="DV162" s="33"/>
      <c r="DW162" s="33"/>
      <c r="DX162" s="33"/>
      <c r="DY162" s="33"/>
      <c r="DZ162" s="33"/>
      <c r="EA162" s="33"/>
      <c r="EB162" s="33"/>
      <c r="EC162" s="33"/>
      <c r="ED162" s="33"/>
      <c r="EE162" s="33"/>
      <c r="EF162" s="33"/>
      <c r="EG162" s="33"/>
      <c r="EH162" s="33"/>
      <c r="EI162" s="33"/>
      <c r="EJ162" s="33"/>
      <c r="EK162" s="33"/>
      <c r="EL162" s="33"/>
      <c r="EM162" s="33"/>
      <c r="EN162" s="33"/>
      <c r="EO162" s="33"/>
      <c r="EP162" s="33"/>
      <c r="EQ162" s="33"/>
      <c r="ER162" s="33"/>
      <c r="ES162" s="33"/>
      <c r="ET162" s="33"/>
      <c r="EU162" s="33"/>
    </row>
    <row r="163" customFormat="false" ht="12.8" hidden="false" customHeight="false" outlineLevel="0" collapsed="false">
      <c r="A163" s="33" t="s">
        <v>282</v>
      </c>
      <c r="B163" s="33" t="n">
        <f aca="false">+5+18-18+13+182-181</f>
        <v>19</v>
      </c>
      <c r="C163" s="33" t="n">
        <f aca="false">-7+33-17+2+11</f>
        <v>22</v>
      </c>
      <c r="D163" s="33" t="n">
        <f aca="false">+7-10-30-14+25</f>
        <v>-22</v>
      </c>
      <c r="E163" s="33" t="n">
        <f aca="false">-12-11-42+13+38</f>
        <v>-14</v>
      </c>
      <c r="F163" s="33" t="n">
        <f aca="false">+20+-36+67+4</f>
        <v>55</v>
      </c>
      <c r="G163" s="33" t="n">
        <f aca="false">+6+24-4+74+11</f>
        <v>111</v>
      </c>
      <c r="H163" s="33" t="n">
        <f aca="false">-36-3</f>
        <v>-39</v>
      </c>
      <c r="I163" s="33" t="n">
        <f aca="false">+39-5+9-62-6-204</f>
        <v>-229</v>
      </c>
      <c r="J163" s="33" t="n">
        <v>-29</v>
      </c>
      <c r="K163" s="33" t="n">
        <v>-58</v>
      </c>
      <c r="L163" s="33" t="n">
        <v>-7</v>
      </c>
      <c r="M163" s="33" t="n">
        <f aca="false">+68-6128-62+10</f>
        <v>-6112</v>
      </c>
      <c r="N163" s="33" t="n">
        <v>-27</v>
      </c>
      <c r="O163" s="33" t="n">
        <v>106</v>
      </c>
      <c r="P163" s="33" t="n">
        <v>-16</v>
      </c>
      <c r="Q163" s="33" t="n">
        <v>-20</v>
      </c>
      <c r="R163" s="33" t="n">
        <v>20</v>
      </c>
      <c r="S163" s="33" t="n">
        <v>296</v>
      </c>
      <c r="T163" s="33"/>
      <c r="U163" s="33"/>
      <c r="V163" s="33"/>
      <c r="W163" s="33"/>
      <c r="X163" s="33"/>
      <c r="Y163" s="33" t="n">
        <v>-1444</v>
      </c>
      <c r="Z163" s="33" t="n">
        <f aca="false">+2+404+1690-204+76+339+34</f>
        <v>2341</v>
      </c>
      <c r="AA163" s="33" t="n">
        <f aca="false">+4+109-413-1684+116+37+860</f>
        <v>-971</v>
      </c>
      <c r="AB163" s="33" t="n">
        <f aca="false">+-7+114-14+28+182-107-191</f>
        <v>5</v>
      </c>
      <c r="AC163" s="33" t="n">
        <f aca="false">SUM(F163:I163)</f>
        <v>-102</v>
      </c>
      <c r="AD163" s="33" t="n">
        <f aca="false">SUM(J163:M163)</f>
        <v>-6206</v>
      </c>
      <c r="AE163" s="33" t="n">
        <f aca="false">SUM(N163:Q163)</f>
        <v>43</v>
      </c>
      <c r="AF163" s="33"/>
      <c r="AG163" s="33"/>
      <c r="AH163" s="33"/>
      <c r="AI163" s="33"/>
      <c r="AJ163" s="33"/>
      <c r="AK163" s="33"/>
      <c r="AL163" s="33"/>
      <c r="AM163" s="33"/>
      <c r="AN163" s="33"/>
      <c r="AO163" s="33"/>
      <c r="AP163" s="33"/>
      <c r="AQ163" s="33"/>
      <c r="AR163" s="33"/>
      <c r="AS163" s="83"/>
      <c r="AT163" s="33"/>
      <c r="AU163" s="33"/>
      <c r="AV163" s="33"/>
      <c r="AW163" s="33"/>
      <c r="AX163" s="33"/>
      <c r="AY163" s="33"/>
      <c r="AZ163" s="33"/>
      <c r="BA163" s="33"/>
      <c r="BB163" s="33"/>
      <c r="BC163" s="33"/>
      <c r="BD163" s="33"/>
      <c r="BE163" s="33"/>
      <c r="BF163" s="33"/>
      <c r="BG163" s="33"/>
      <c r="BH163" s="33"/>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c r="CF163" s="33"/>
      <c r="CG163" s="33"/>
      <c r="CH163" s="33"/>
      <c r="CI163" s="33"/>
      <c r="CJ163" s="33"/>
      <c r="CK163" s="33"/>
      <c r="CL163" s="33"/>
      <c r="CM163" s="33"/>
      <c r="CN163" s="33"/>
      <c r="CO163" s="33"/>
      <c r="CP163" s="33"/>
      <c r="CQ163" s="33"/>
      <c r="CR163" s="33"/>
      <c r="CS163" s="33"/>
      <c r="CT163" s="33"/>
      <c r="CU163" s="33"/>
      <c r="CV163" s="33"/>
      <c r="CW163" s="33"/>
      <c r="CX163" s="33"/>
      <c r="CY163" s="33"/>
      <c r="CZ163" s="33"/>
      <c r="DA163" s="33"/>
      <c r="DB163" s="33"/>
      <c r="DC163" s="33"/>
      <c r="DD163" s="33"/>
      <c r="DE163" s="33"/>
      <c r="DF163" s="33"/>
      <c r="DG163" s="33"/>
      <c r="DH163" s="33"/>
      <c r="DI163" s="33"/>
      <c r="DJ163" s="33"/>
      <c r="DK163" s="33"/>
      <c r="DL163" s="33"/>
      <c r="DM163" s="33"/>
      <c r="DN163" s="33"/>
      <c r="DO163" s="33"/>
      <c r="DP163" s="33"/>
      <c r="DQ163" s="33"/>
      <c r="DR163" s="33"/>
      <c r="DS163" s="33"/>
      <c r="DT163" s="33"/>
      <c r="DU163" s="33"/>
      <c r="DV163" s="33"/>
      <c r="DW163" s="33"/>
      <c r="DX163" s="33"/>
      <c r="DY163" s="33"/>
      <c r="DZ163" s="33"/>
      <c r="EA163" s="33"/>
      <c r="EB163" s="33"/>
      <c r="EC163" s="33"/>
      <c r="ED163" s="33"/>
      <c r="EE163" s="33"/>
      <c r="EF163" s="33"/>
      <c r="EG163" s="33"/>
      <c r="EH163" s="33"/>
      <c r="EI163" s="33"/>
      <c r="EJ163" s="33"/>
      <c r="EK163" s="33"/>
      <c r="EL163" s="33"/>
      <c r="EM163" s="33"/>
      <c r="EN163" s="33"/>
      <c r="EO163" s="33"/>
      <c r="EP163" s="33"/>
      <c r="EQ163" s="33"/>
      <c r="ER163" s="33"/>
      <c r="ES163" s="33"/>
      <c r="ET163" s="33"/>
      <c r="EU163" s="33"/>
    </row>
    <row r="164" customFormat="false" ht="12.8" hidden="false" customHeight="false" outlineLevel="0" collapsed="false">
      <c r="A164" s="33" t="s">
        <v>333</v>
      </c>
      <c r="B164" s="33" t="n">
        <v>-26</v>
      </c>
      <c r="C164" s="33" t="n">
        <v>-103</v>
      </c>
      <c r="D164" s="33" t="n">
        <v>-90</v>
      </c>
      <c r="E164" s="33" t="n">
        <v>-323</v>
      </c>
      <c r="F164" s="33" t="n">
        <v>168</v>
      </c>
      <c r="G164" s="33" t="n">
        <v>-13</v>
      </c>
      <c r="H164" s="33" t="n">
        <v>-518</v>
      </c>
      <c r="I164" s="33" t="n">
        <v>-395</v>
      </c>
      <c r="J164" s="33" t="n">
        <v>-422</v>
      </c>
      <c r="K164" s="33" t="n">
        <v>-162</v>
      </c>
      <c r="L164" s="33" t="n">
        <v>196</v>
      </c>
      <c r="M164" s="33" t="n">
        <v>246</v>
      </c>
      <c r="N164" s="33" t="n">
        <v>-123</v>
      </c>
      <c r="O164" s="33" t="n">
        <v>-212</v>
      </c>
      <c r="P164" s="33" t="n">
        <v>-22</v>
      </c>
      <c r="Q164" s="33" t="n">
        <v>-109</v>
      </c>
      <c r="R164" s="33" t="n">
        <v>-74</v>
      </c>
      <c r="S164" s="33" t="n">
        <v>-425</v>
      </c>
      <c r="T164" s="33"/>
      <c r="U164" s="33"/>
      <c r="V164" s="33"/>
      <c r="W164" s="33"/>
      <c r="X164" s="33"/>
      <c r="Y164" s="33" t="n">
        <v>-407</v>
      </c>
      <c r="Z164" s="33" t="n">
        <v>142</v>
      </c>
      <c r="AA164" s="33" t="n">
        <v>-597</v>
      </c>
      <c r="AB164" s="33" t="n">
        <v>-542</v>
      </c>
      <c r="AC164" s="33" t="n">
        <f aca="false">SUM(F164:I164)</f>
        <v>-758</v>
      </c>
      <c r="AD164" s="33" t="n">
        <f aca="false">SUM(J164:M164)</f>
        <v>-142</v>
      </c>
      <c r="AE164" s="33" t="n">
        <f aca="false">SUM(N164:Q164)</f>
        <v>-466</v>
      </c>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c r="DH164" s="33"/>
      <c r="DI164" s="33"/>
      <c r="DJ164" s="33"/>
      <c r="DK164" s="33"/>
      <c r="DL164" s="33"/>
      <c r="DM164" s="33"/>
      <c r="DN164" s="33"/>
      <c r="DO164" s="33"/>
      <c r="DP164" s="33"/>
      <c r="DQ164" s="33"/>
      <c r="DR164" s="33"/>
      <c r="DS164" s="33"/>
      <c r="DT164" s="33"/>
      <c r="DU164" s="33"/>
      <c r="DV164" s="33"/>
      <c r="DW164" s="33"/>
      <c r="DX164" s="33"/>
      <c r="DY164" s="33"/>
      <c r="DZ164" s="33"/>
      <c r="EA164" s="33"/>
      <c r="EB164" s="33"/>
      <c r="EC164" s="33"/>
      <c r="ED164" s="33"/>
      <c r="EE164" s="33"/>
      <c r="EF164" s="33"/>
      <c r="EG164" s="33"/>
      <c r="EH164" s="33"/>
      <c r="EI164" s="33"/>
      <c r="EJ164" s="33"/>
      <c r="EK164" s="33"/>
      <c r="EL164" s="33"/>
      <c r="EM164" s="33"/>
      <c r="EN164" s="33"/>
      <c r="EO164" s="33"/>
      <c r="EP164" s="33"/>
      <c r="EQ164" s="33"/>
      <c r="ER164" s="33"/>
      <c r="ES164" s="33"/>
      <c r="ET164" s="33"/>
      <c r="EU164" s="33"/>
    </row>
    <row r="165" customFormat="false" ht="12.8" hidden="false" customHeight="false" outlineLevel="0" collapsed="false">
      <c r="A165" s="33" t="s">
        <v>359</v>
      </c>
      <c r="B165" s="33" t="n">
        <v>-20</v>
      </c>
      <c r="C165" s="33" t="n">
        <v>78</v>
      </c>
      <c r="D165" s="33" t="n">
        <v>-115</v>
      </c>
      <c r="E165" s="33" t="n">
        <v>-139</v>
      </c>
      <c r="F165" s="33" t="n">
        <v>-119</v>
      </c>
      <c r="G165" s="33" t="n">
        <v>-114</v>
      </c>
      <c r="H165" s="33" t="n">
        <v>-948</v>
      </c>
      <c r="I165" s="33" t="n">
        <v>-281</v>
      </c>
      <c r="J165" s="33" t="n">
        <v>-322</v>
      </c>
      <c r="K165" s="33" t="n">
        <v>-108</v>
      </c>
      <c r="L165" s="33" t="n">
        <v>-234</v>
      </c>
      <c r="M165" s="33" t="n">
        <v>-30</v>
      </c>
      <c r="N165" s="33" t="n">
        <v>-497</v>
      </c>
      <c r="O165" s="33" t="n">
        <v>-251</v>
      </c>
      <c r="P165" s="33" t="n">
        <v>-126</v>
      </c>
      <c r="Q165" s="33" t="n">
        <v>-154</v>
      </c>
      <c r="R165" s="33" t="n">
        <v>-212</v>
      </c>
      <c r="S165" s="33" t="n">
        <v>-163</v>
      </c>
      <c r="T165" s="33"/>
      <c r="U165" s="33"/>
      <c r="V165" s="33"/>
      <c r="W165" s="33"/>
      <c r="X165" s="33"/>
      <c r="Y165" s="33" t="n">
        <v>-478</v>
      </c>
      <c r="Z165" s="33" t="n">
        <v>94</v>
      </c>
      <c r="AA165" s="33" t="n">
        <v>-236</v>
      </c>
      <c r="AB165" s="33" t="n">
        <v>-196</v>
      </c>
      <c r="AC165" s="33" t="n">
        <f aca="false">SUM(F165:I165)</f>
        <v>-1462</v>
      </c>
      <c r="AD165" s="33" t="n">
        <f aca="false">SUM(J165:M165)</f>
        <v>-694</v>
      </c>
      <c r="AE165" s="33" t="n">
        <f aca="false">SUM(N165:Q165)</f>
        <v>-1028</v>
      </c>
      <c r="AF165" s="33"/>
      <c r="AG165" s="33"/>
      <c r="AH165" s="33"/>
      <c r="AI165" s="33"/>
      <c r="AJ165" s="33"/>
      <c r="AK165" s="33"/>
      <c r="AL165" s="33"/>
      <c r="AM165" s="33"/>
      <c r="AN165" s="33"/>
      <c r="AO165" s="33"/>
      <c r="AP165" s="33"/>
      <c r="AQ165" s="83"/>
      <c r="AR165" s="33"/>
      <c r="AS165" s="33"/>
      <c r="AT165" s="33"/>
      <c r="AU165" s="33"/>
      <c r="AV165" s="33"/>
      <c r="AW165" s="33"/>
      <c r="AX165" s="33"/>
      <c r="AY165" s="33"/>
      <c r="AZ165" s="33"/>
      <c r="BA165" s="33"/>
      <c r="BB165" s="33"/>
      <c r="BC165" s="33"/>
      <c r="BD165" s="33"/>
      <c r="BE165" s="33"/>
      <c r="BF165" s="33"/>
      <c r="BG165" s="33"/>
      <c r="BH165" s="33"/>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c r="CK165" s="33"/>
      <c r="CL165" s="33"/>
      <c r="CM165" s="33"/>
      <c r="CN165" s="33"/>
      <c r="CO165" s="33"/>
      <c r="CP165" s="33"/>
      <c r="CQ165" s="33"/>
      <c r="CR165" s="33"/>
      <c r="CS165" s="33"/>
      <c r="CT165" s="33"/>
      <c r="CU165" s="33"/>
      <c r="CV165" s="33"/>
      <c r="CW165" s="33"/>
      <c r="CX165" s="33"/>
      <c r="CY165" s="33"/>
      <c r="CZ165" s="33"/>
      <c r="DA165" s="33"/>
      <c r="DB165" s="33"/>
      <c r="DC165" s="33"/>
      <c r="DD165" s="33"/>
      <c r="DE165" s="33"/>
      <c r="DF165" s="33"/>
      <c r="DG165" s="33"/>
      <c r="DH165" s="33"/>
      <c r="DI165" s="33"/>
      <c r="DJ165" s="33"/>
      <c r="DK165" s="33"/>
      <c r="DL165" s="33"/>
      <c r="DM165" s="33"/>
      <c r="DN165" s="33"/>
      <c r="DO165" s="33"/>
      <c r="DP165" s="33"/>
      <c r="DQ165" s="33"/>
      <c r="DR165" s="33"/>
      <c r="DS165" s="33"/>
      <c r="DT165" s="33"/>
      <c r="DU165" s="33"/>
      <c r="DV165" s="33"/>
      <c r="DW165" s="33"/>
      <c r="DX165" s="33"/>
      <c r="DY165" s="33"/>
      <c r="DZ165" s="33"/>
      <c r="EA165" s="33"/>
      <c r="EB165" s="33"/>
      <c r="EC165" s="33"/>
      <c r="ED165" s="33"/>
      <c r="EE165" s="33"/>
      <c r="EF165" s="33"/>
      <c r="EG165" s="33"/>
      <c r="EH165" s="33"/>
      <c r="EI165" s="33"/>
      <c r="EJ165" s="33"/>
      <c r="EK165" s="33"/>
      <c r="EL165" s="33"/>
      <c r="EM165" s="33"/>
      <c r="EN165" s="33"/>
      <c r="EO165" s="33"/>
      <c r="EP165" s="33"/>
      <c r="EQ165" s="33"/>
      <c r="ER165" s="33"/>
      <c r="ES165" s="33"/>
      <c r="ET165" s="33"/>
      <c r="EU165" s="33"/>
    </row>
    <row r="166" customFormat="false" ht="12.8" hidden="false" customHeight="false" outlineLevel="0" collapsed="false">
      <c r="A166" s="33" t="s">
        <v>336</v>
      </c>
      <c r="B166" s="33" t="n">
        <v>42</v>
      </c>
      <c r="C166" s="33" t="n">
        <v>53</v>
      </c>
      <c r="D166" s="33" t="n">
        <v>47</v>
      </c>
      <c r="E166" s="33" t="n">
        <v>51</v>
      </c>
      <c r="F166" s="33" t="n">
        <v>52</v>
      </c>
      <c r="G166" s="33" t="n">
        <v>42</v>
      </c>
      <c r="H166" s="33" t="n">
        <v>47</v>
      </c>
      <c r="I166" s="33" t="n">
        <v>50</v>
      </c>
      <c r="J166" s="33" t="n">
        <v>46</v>
      </c>
      <c r="K166" s="33" t="n">
        <v>47</v>
      </c>
      <c r="L166" s="33" t="n">
        <v>44</v>
      </c>
      <c r="M166" s="33" t="n">
        <v>59</v>
      </c>
      <c r="N166" s="33" t="n">
        <v>43</v>
      </c>
      <c r="O166" s="33" t="n">
        <v>46</v>
      </c>
      <c r="P166" s="33" t="n">
        <v>46</v>
      </c>
      <c r="Q166" s="33" t="n">
        <v>42</v>
      </c>
      <c r="R166" s="33" t="n">
        <v>62</v>
      </c>
      <c r="S166" s="33" t="n">
        <v>38</v>
      </c>
      <c r="T166" s="33"/>
      <c r="U166" s="33"/>
      <c r="V166" s="33"/>
      <c r="W166" s="33"/>
      <c r="X166" s="33"/>
      <c r="Y166" s="33" t="n">
        <v>201</v>
      </c>
      <c r="Z166" s="33" t="n">
        <v>341</v>
      </c>
      <c r="AA166" s="33" t="n">
        <v>165</v>
      </c>
      <c r="AB166" s="33" t="n">
        <v>193</v>
      </c>
      <c r="AC166" s="33" t="n">
        <f aca="false">SUM(F166:I166)</f>
        <v>191</v>
      </c>
      <c r="AD166" s="33" t="n">
        <f aca="false">SUM(J166:M166)</f>
        <v>196</v>
      </c>
      <c r="AE166" s="33" t="n">
        <f aca="false">SUM(N166:Q166)</f>
        <v>177</v>
      </c>
      <c r="AF166" s="33"/>
      <c r="AG166" s="33"/>
      <c r="AH166" s="33"/>
      <c r="AI166" s="33"/>
      <c r="AJ166" s="33"/>
      <c r="AK166" s="33"/>
      <c r="AL166" s="33"/>
      <c r="AM166" s="33"/>
      <c r="AN166" s="33"/>
      <c r="AO166" s="33"/>
      <c r="AP166" s="83"/>
      <c r="AQ166" s="33"/>
      <c r="AR166" s="33"/>
      <c r="AS166" s="33"/>
      <c r="AT166" s="83"/>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83"/>
      <c r="EJ166" s="83"/>
      <c r="EK166" s="83"/>
      <c r="EL166" s="83"/>
      <c r="EM166" s="83"/>
      <c r="EN166" s="83"/>
      <c r="EO166" s="83"/>
      <c r="EP166" s="83"/>
      <c r="EQ166" s="83"/>
      <c r="ER166" s="83"/>
      <c r="ES166" s="83"/>
      <c r="ET166" s="83"/>
      <c r="EU166" s="83"/>
    </row>
    <row r="167" customFormat="false" ht="12.8" hidden="false" customHeight="false" outlineLevel="0" collapsed="false">
      <c r="A167" s="33" t="s">
        <v>341</v>
      </c>
      <c r="B167" s="33" t="n">
        <v>8</v>
      </c>
      <c r="C167" s="33" t="n">
        <v>-53</v>
      </c>
      <c r="D167" s="33" t="n">
        <v>-35</v>
      </c>
      <c r="E167" s="33" t="n">
        <v>-53</v>
      </c>
      <c r="F167" s="33" t="n">
        <v>-7</v>
      </c>
      <c r="G167" s="33" t="n">
        <v>-19</v>
      </c>
      <c r="H167" s="33" t="n">
        <v>112</v>
      </c>
      <c r="I167" s="33" t="n">
        <v>-22</v>
      </c>
      <c r="J167" s="33" t="n">
        <v>46</v>
      </c>
      <c r="K167" s="33" t="n">
        <v>-70</v>
      </c>
      <c r="L167" s="33" t="n">
        <v>48</v>
      </c>
      <c r="M167" s="33" t="n">
        <v>62</v>
      </c>
      <c r="N167" s="33" t="n">
        <v>6</v>
      </c>
      <c r="O167" s="33" t="n">
        <v>125</v>
      </c>
      <c r="P167" s="33" t="n">
        <v>101</v>
      </c>
      <c r="Q167" s="33" t="n">
        <v>-106</v>
      </c>
      <c r="R167" s="33" t="n">
        <v>184</v>
      </c>
      <c r="S167" s="33" t="n">
        <v>161</v>
      </c>
      <c r="T167" s="33"/>
      <c r="U167" s="33"/>
      <c r="V167" s="33"/>
      <c r="W167" s="33"/>
      <c r="X167" s="33"/>
      <c r="Y167" s="33" t="n">
        <v>95</v>
      </c>
      <c r="Z167" s="33" t="n">
        <v>-133</v>
      </c>
      <c r="AA167" s="33" t="n">
        <v>90</v>
      </c>
      <c r="AB167" s="33" t="n">
        <v>-133</v>
      </c>
      <c r="AC167" s="33" t="n">
        <f aca="false">SUM(F167:I167)</f>
        <v>64</v>
      </c>
      <c r="AD167" s="33" t="n">
        <f aca="false">SUM(J167:M167)</f>
        <v>86</v>
      </c>
      <c r="AE167" s="33" t="n">
        <f aca="false">SUM(N167:Q167)</f>
        <v>126</v>
      </c>
      <c r="AF167" s="33"/>
      <c r="AG167" s="33"/>
      <c r="AH167" s="33"/>
      <c r="AI167" s="33"/>
      <c r="AJ167" s="83"/>
      <c r="AK167" s="83"/>
      <c r="AL167" s="83"/>
      <c r="AM167" s="83"/>
      <c r="AN167" s="83"/>
      <c r="AO167" s="8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c r="CK167" s="33"/>
      <c r="CL167" s="33"/>
      <c r="CM167" s="33"/>
      <c r="CN167" s="33"/>
      <c r="CO167" s="33"/>
      <c r="CP167" s="33"/>
      <c r="CQ167" s="33"/>
      <c r="CR167" s="33"/>
      <c r="CS167" s="33"/>
      <c r="CT167" s="33"/>
      <c r="CU167" s="33"/>
      <c r="CV167" s="33"/>
      <c r="CW167" s="33"/>
      <c r="CX167" s="33"/>
      <c r="CY167" s="33"/>
      <c r="CZ167" s="33"/>
      <c r="DA167" s="33"/>
      <c r="DB167" s="33"/>
      <c r="DC167" s="33"/>
      <c r="DD167" s="33"/>
      <c r="DE167" s="33"/>
      <c r="DF167" s="33"/>
      <c r="DG167" s="33"/>
      <c r="DH167" s="33"/>
      <c r="DI167" s="33"/>
      <c r="DJ167" s="33"/>
      <c r="DK167" s="33"/>
      <c r="DL167" s="33"/>
      <c r="DM167" s="33"/>
      <c r="DN167" s="33"/>
      <c r="DO167" s="33"/>
      <c r="DP167" s="33"/>
      <c r="DQ167" s="33"/>
      <c r="DR167" s="33"/>
      <c r="DS167" s="33"/>
      <c r="DT167" s="33"/>
      <c r="DU167" s="33"/>
      <c r="DV167" s="33"/>
      <c r="DW167" s="33"/>
      <c r="DX167" s="33"/>
      <c r="DY167" s="33"/>
      <c r="DZ167" s="33"/>
      <c r="EA167" s="33"/>
      <c r="EB167" s="33"/>
      <c r="EC167" s="33"/>
      <c r="ED167" s="33"/>
      <c r="EE167" s="33"/>
      <c r="EF167" s="33"/>
      <c r="EG167" s="33"/>
      <c r="EH167" s="33"/>
      <c r="EI167" s="33"/>
      <c r="EJ167" s="33"/>
      <c r="EK167" s="33"/>
      <c r="EL167" s="33"/>
      <c r="EM167" s="33"/>
      <c r="EN167" s="33"/>
      <c r="EO167" s="33"/>
      <c r="EP167" s="33"/>
      <c r="EQ167" s="33"/>
      <c r="ER167" s="33"/>
      <c r="ES167" s="33"/>
      <c r="ET167" s="33"/>
      <c r="EU167" s="33"/>
    </row>
    <row r="168" customFormat="false" ht="12.8" hidden="false" customHeight="false" outlineLevel="0" collapsed="false">
      <c r="A168" s="33" t="s">
        <v>360</v>
      </c>
      <c r="B168" s="33" t="n">
        <v>134</v>
      </c>
      <c r="C168" s="33" t="n">
        <v>192</v>
      </c>
      <c r="D168" s="33" t="n">
        <v>159</v>
      </c>
      <c r="E168" s="33" t="n">
        <v>251</v>
      </c>
      <c r="F168" s="33" t="n">
        <v>350</v>
      </c>
      <c r="G168" s="33" t="n">
        <v>588</v>
      </c>
      <c r="H168" s="33" t="n">
        <v>501</v>
      </c>
      <c r="I168" s="33" t="n">
        <v>614</v>
      </c>
      <c r="J168" s="33" t="n">
        <v>696</v>
      </c>
      <c r="K168" s="33" t="n">
        <v>675</v>
      </c>
      <c r="L168" s="33" t="n">
        <v>789</v>
      </c>
      <c r="M168" s="33" t="n">
        <v>658</v>
      </c>
      <c r="N168" s="33" t="n">
        <v>675</v>
      </c>
      <c r="O168" s="33" t="n">
        <v>812</v>
      </c>
      <c r="P168" s="33" t="n">
        <v>592</v>
      </c>
      <c r="Q168" s="33" t="n">
        <v>581</v>
      </c>
      <c r="R168" s="33" t="n">
        <v>443</v>
      </c>
      <c r="S168" s="33" t="n">
        <v>387</v>
      </c>
      <c r="T168" s="33"/>
      <c r="U168" s="33"/>
      <c r="V168" s="33"/>
      <c r="W168" s="33"/>
      <c r="X168" s="33"/>
      <c r="Y168" s="33" t="n">
        <v>481</v>
      </c>
      <c r="Z168" s="33" t="n">
        <v>-3</v>
      </c>
      <c r="AA168" s="33" t="n">
        <v>516</v>
      </c>
      <c r="AB168" s="33" t="n">
        <v>736</v>
      </c>
      <c r="AC168" s="33" t="n">
        <f aca="false">SUM(F168:I168)</f>
        <v>2053</v>
      </c>
      <c r="AD168" s="33" t="n">
        <f aca="false">SUM(J168:M168)</f>
        <v>2818</v>
      </c>
      <c r="AE168" s="33" t="n">
        <f aca="false">SUM(N168:Q168)</f>
        <v>2660</v>
      </c>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c r="CK168" s="33"/>
      <c r="CL168" s="33"/>
      <c r="CM168" s="33"/>
      <c r="CN168" s="33"/>
      <c r="CO168" s="33"/>
      <c r="CP168" s="33"/>
      <c r="CQ168" s="33"/>
      <c r="CR168" s="33"/>
      <c r="CS168" s="33"/>
      <c r="CT168" s="33"/>
      <c r="CU168" s="33"/>
      <c r="CV168" s="33"/>
      <c r="CW168" s="33"/>
      <c r="CX168" s="33"/>
      <c r="CY168" s="33"/>
      <c r="CZ168" s="33"/>
      <c r="DA168" s="33"/>
      <c r="DB168" s="33"/>
      <c r="DC168" s="33"/>
      <c r="DD168" s="33"/>
      <c r="DE168" s="33"/>
      <c r="DF168" s="33"/>
      <c r="DG168" s="33"/>
      <c r="DH168" s="33"/>
      <c r="DI168" s="33"/>
      <c r="DJ168" s="33"/>
      <c r="DK168" s="33"/>
      <c r="DL168" s="33"/>
      <c r="DM168" s="33"/>
      <c r="DN168" s="33"/>
      <c r="DO168" s="33"/>
      <c r="DP168" s="33"/>
      <c r="DQ168" s="33"/>
      <c r="DR168" s="33"/>
      <c r="DS168" s="33"/>
      <c r="DT168" s="33"/>
      <c r="DU168" s="33"/>
      <c r="DV168" s="33"/>
      <c r="DW168" s="33"/>
      <c r="DX168" s="33"/>
      <c r="DY168" s="33"/>
      <c r="DZ168" s="33"/>
      <c r="EA168" s="33"/>
      <c r="EB168" s="33"/>
      <c r="EC168" s="33"/>
      <c r="ED168" s="33"/>
      <c r="EE168" s="33"/>
      <c r="EF168" s="33"/>
      <c r="EG168" s="33"/>
      <c r="EH168" s="33"/>
      <c r="EI168" s="33"/>
      <c r="EJ168" s="33"/>
      <c r="EK168" s="33"/>
      <c r="EL168" s="33"/>
      <c r="EM168" s="33"/>
      <c r="EN168" s="33"/>
      <c r="EO168" s="33"/>
      <c r="EP168" s="33"/>
      <c r="EQ168" s="33"/>
      <c r="ER168" s="33"/>
      <c r="ES168" s="33"/>
      <c r="ET168" s="33"/>
      <c r="EU168" s="33"/>
    </row>
    <row r="169" customFormat="false" ht="12.8" hidden="false" customHeight="false" outlineLevel="0" collapsed="false">
      <c r="A169" s="33" t="s">
        <v>361</v>
      </c>
      <c r="B169" s="33" t="n">
        <v>-72</v>
      </c>
      <c r="C169" s="33" t="n">
        <v>486</v>
      </c>
      <c r="D169" s="33" t="n">
        <v>483</v>
      </c>
      <c r="E169" s="33" t="n">
        <v>-405</v>
      </c>
      <c r="F169" s="33" t="n">
        <v>-142</v>
      </c>
      <c r="G169" s="33" t="n">
        <v>-87</v>
      </c>
      <c r="H169" s="33" t="n">
        <v>740</v>
      </c>
      <c r="I169" s="33" t="n">
        <v>-254</v>
      </c>
      <c r="J169" s="33" t="n">
        <v>587</v>
      </c>
      <c r="K169" s="33" t="n">
        <v>158</v>
      </c>
      <c r="L169" s="33" t="n">
        <v>-256</v>
      </c>
      <c r="M169" s="33" t="n">
        <v>-158</v>
      </c>
      <c r="N169" s="33" t="n">
        <v>430</v>
      </c>
      <c r="O169" s="33" t="n">
        <v>-20</v>
      </c>
      <c r="P169" s="33" t="n">
        <v>111</v>
      </c>
      <c r="Q169" s="33" t="n">
        <v>446</v>
      </c>
      <c r="R169" s="33" t="n">
        <v>-541</v>
      </c>
      <c r="S169" s="33" t="n">
        <v>447</v>
      </c>
      <c r="T169" s="33"/>
      <c r="U169" s="33"/>
      <c r="V169" s="33"/>
      <c r="W169" s="33"/>
      <c r="X169" s="33"/>
      <c r="Y169" s="33" t="n">
        <v>960</v>
      </c>
      <c r="Z169" s="33" t="n">
        <v>83</v>
      </c>
      <c r="AA169" s="33" t="n">
        <v>1068</v>
      </c>
      <c r="AB169" s="33" t="n">
        <v>492</v>
      </c>
      <c r="AC169" s="33" t="n">
        <f aca="false">SUM(F169:I169)</f>
        <v>257</v>
      </c>
      <c r="AD169" s="33" t="n">
        <f aca="false">SUM(J169:M169)</f>
        <v>331</v>
      </c>
      <c r="AE169" s="33" t="n">
        <f aca="false">SUM(N169:Q169)</f>
        <v>967</v>
      </c>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c r="CK169" s="33"/>
      <c r="CL169" s="33"/>
      <c r="CM169" s="33"/>
      <c r="CN169" s="33"/>
      <c r="CO169" s="33"/>
      <c r="CP169" s="33"/>
      <c r="CQ169" s="33"/>
      <c r="CR169" s="33"/>
      <c r="CS169" s="33"/>
      <c r="CT169" s="33"/>
      <c r="CU169" s="33"/>
      <c r="CV169" s="33"/>
      <c r="CW169" s="33"/>
      <c r="CX169" s="33"/>
      <c r="CY169" s="33"/>
      <c r="CZ169" s="33"/>
      <c r="DA169" s="33"/>
      <c r="DB169" s="33"/>
      <c r="DC169" s="33"/>
      <c r="DD169" s="33"/>
      <c r="DE169" s="33"/>
      <c r="DF169" s="33"/>
      <c r="DG169" s="33"/>
      <c r="DH169" s="33"/>
      <c r="DI169" s="33"/>
      <c r="DJ169" s="33"/>
      <c r="DK169" s="33"/>
      <c r="DL169" s="33"/>
      <c r="DM169" s="33"/>
      <c r="DN169" s="33"/>
      <c r="DO169" s="33"/>
      <c r="DP169" s="33"/>
      <c r="DQ169" s="33"/>
      <c r="DR169" s="33"/>
      <c r="DS169" s="33"/>
      <c r="DT169" s="33"/>
      <c r="DU169" s="33"/>
      <c r="DV169" s="33"/>
      <c r="DW169" s="33"/>
      <c r="DX169" s="33"/>
      <c r="DY169" s="33"/>
      <c r="DZ169" s="33"/>
      <c r="EA169" s="33"/>
      <c r="EB169" s="33"/>
      <c r="EC169" s="33"/>
      <c r="ED169" s="33"/>
      <c r="EE169" s="33"/>
      <c r="EF169" s="33"/>
      <c r="EG169" s="33"/>
      <c r="EH169" s="33"/>
      <c r="EI169" s="33"/>
      <c r="EJ169" s="33"/>
      <c r="EK169" s="33"/>
      <c r="EL169" s="33"/>
      <c r="EM169" s="33"/>
      <c r="EN169" s="33"/>
      <c r="EO169" s="33"/>
      <c r="EP169" s="33"/>
      <c r="EQ169" s="33"/>
      <c r="ER169" s="33"/>
      <c r="ES169" s="33"/>
      <c r="ET169" s="33"/>
      <c r="EU169" s="33"/>
    </row>
    <row r="170" customFormat="false" ht="12.8" hidden="false" customHeight="true" outlineLevel="0" collapsed="false">
      <c r="A170" s="33" t="s">
        <v>362</v>
      </c>
      <c r="B170" s="33" t="n">
        <v>-39</v>
      </c>
      <c r="C170" s="33" t="n">
        <v>-49</v>
      </c>
      <c r="D170" s="33" t="n">
        <v>-81</v>
      </c>
      <c r="E170" s="33" t="n">
        <v>-46</v>
      </c>
      <c r="F170" s="33" t="n">
        <v>-44</v>
      </c>
      <c r="G170" s="33" t="n">
        <v>-46</v>
      </c>
      <c r="H170" s="33" t="n">
        <v>-47</v>
      </c>
      <c r="I170" s="33" t="n">
        <v>-43</v>
      </c>
      <c r="J170" s="33" t="n">
        <v>-56</v>
      </c>
      <c r="K170" s="33" t="n">
        <v>-25</v>
      </c>
      <c r="L170" s="33" t="n">
        <v>-76</v>
      </c>
      <c r="M170" s="33" t="n">
        <v>-64</v>
      </c>
      <c r="N170" s="33" t="n">
        <v>-56</v>
      </c>
      <c r="O170" s="33" t="n">
        <v>-51</v>
      </c>
      <c r="P170" s="33" t="n">
        <v>-54</v>
      </c>
      <c r="Q170" s="33" t="n">
        <v>-48</v>
      </c>
      <c r="R170" s="33" t="n">
        <v>-62</v>
      </c>
      <c r="S170" s="33" t="n">
        <v>-35</v>
      </c>
      <c r="T170" s="33"/>
      <c r="U170" s="33"/>
      <c r="V170" s="33"/>
      <c r="W170" s="33"/>
      <c r="X170" s="33"/>
      <c r="Y170" s="33" t="n">
        <v>-153</v>
      </c>
      <c r="Z170" s="33" t="n">
        <v>-131</v>
      </c>
      <c r="AA170" s="33" t="n">
        <v>-184</v>
      </c>
      <c r="AB170" s="33" t="n">
        <v>-215</v>
      </c>
      <c r="AC170" s="33" t="n">
        <f aca="false">SUM(F170:I170)</f>
        <v>-180</v>
      </c>
      <c r="AD170" s="33" t="n">
        <f aca="false">SUM(J170:M170)</f>
        <v>-221</v>
      </c>
      <c r="AE170" s="33" t="n">
        <f aca="false">SUM(N170:Q170)</f>
        <v>-209</v>
      </c>
      <c r="AF170" s="33"/>
      <c r="AG170" s="33"/>
      <c r="AH170" s="33"/>
      <c r="AI170" s="33"/>
      <c r="AJ170" s="33"/>
      <c r="AK170" s="33"/>
      <c r="AL170" s="33"/>
      <c r="AM170" s="33"/>
      <c r="AN170" s="33"/>
      <c r="AO170" s="33"/>
      <c r="AP170" s="33"/>
      <c r="AQ170" s="33"/>
      <c r="AR170" s="40"/>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c r="CK170" s="33"/>
      <c r="CL170" s="33"/>
      <c r="CM170" s="33"/>
      <c r="CN170" s="33"/>
      <c r="CO170" s="33"/>
      <c r="CP170" s="33"/>
      <c r="CQ170" s="33"/>
      <c r="CR170" s="33"/>
      <c r="CS170" s="33"/>
      <c r="CT170" s="33"/>
      <c r="CU170" s="33"/>
      <c r="CV170" s="33"/>
      <c r="CW170" s="33"/>
      <c r="CX170" s="33"/>
      <c r="CY170" s="33"/>
      <c r="CZ170" s="33"/>
      <c r="DA170" s="33"/>
      <c r="DB170" s="33"/>
      <c r="DC170" s="33"/>
      <c r="DD170" s="33"/>
      <c r="DE170" s="33"/>
      <c r="DF170" s="33"/>
      <c r="DG170" s="33"/>
      <c r="DH170" s="33"/>
      <c r="DI170" s="33"/>
      <c r="DJ170" s="33"/>
      <c r="DK170" s="33"/>
      <c r="DL170" s="33"/>
      <c r="DM170" s="33"/>
      <c r="DN170" s="33"/>
      <c r="DO170" s="33"/>
      <c r="DP170" s="33"/>
      <c r="DQ170" s="33"/>
      <c r="DR170" s="33"/>
      <c r="DS170" s="33"/>
      <c r="DT170" s="33"/>
      <c r="DU170" s="33"/>
      <c r="DV170" s="33"/>
      <c r="DW170" s="33"/>
      <c r="DX170" s="33"/>
      <c r="DY170" s="33"/>
      <c r="DZ170" s="33"/>
      <c r="EA170" s="33"/>
      <c r="EB170" s="33"/>
      <c r="EC170" s="33"/>
      <c r="ED170" s="33"/>
      <c r="EE170" s="33"/>
      <c r="EF170" s="33"/>
      <c r="EG170" s="33"/>
      <c r="EH170" s="33"/>
      <c r="EI170" s="33"/>
      <c r="EJ170" s="33"/>
      <c r="EK170" s="33"/>
      <c r="EL170" s="33"/>
      <c r="EM170" s="33"/>
      <c r="EN170" s="33"/>
      <c r="EO170" s="33"/>
      <c r="EP170" s="33"/>
      <c r="EQ170" s="33"/>
      <c r="ER170" s="33"/>
      <c r="ES170" s="33"/>
      <c r="ET170" s="33"/>
      <c r="EU170" s="33"/>
    </row>
    <row r="171" customFormat="false" ht="12.8" hidden="false" customHeight="true" outlineLevel="0" collapsed="false">
      <c r="A171" s="33" t="s">
        <v>363</v>
      </c>
      <c r="B171" s="33" t="n">
        <f aca="false">SUM(B156:B170)</f>
        <v>15.0370586518821</v>
      </c>
      <c r="C171" s="33" t="n">
        <f aca="false">SUM(C156:C170)</f>
        <v>439.030100334448</v>
      </c>
      <c r="D171" s="33" t="n">
        <f aca="false">SUM(D156:D170)</f>
        <v>432.027208438212</v>
      </c>
      <c r="E171" s="33" t="n">
        <f aca="false">SUM(E156:E170)</f>
        <v>-243.97409085628</v>
      </c>
      <c r="F171" s="33" t="n">
        <f aca="false">SUM(F156:F170)</f>
        <v>606.023458879378</v>
      </c>
      <c r="G171" s="33" t="n">
        <f aca="false">SUM(G156:G170)</f>
        <v>1190.02253395468</v>
      </c>
      <c r="H171" s="33" t="n">
        <f aca="false">SUM(H156:H170)</f>
        <v>947.022061071514</v>
      </c>
      <c r="I171" s="33" t="n">
        <f aca="false">SUM(I156:I170)</f>
        <v>823.020429928472</v>
      </c>
      <c r="J171" s="33" t="n">
        <f aca="false">SUM(J156:J170)</f>
        <v>1416.01914850347</v>
      </c>
      <c r="K171" s="33" t="n">
        <f aca="false">SUM(K156:K170)</f>
        <v>1820.01691536526</v>
      </c>
      <c r="L171" s="33" t="n">
        <f aca="false">SUM(L156:L170)</f>
        <v>2151.01662429239</v>
      </c>
      <c r="M171" s="33" t="n">
        <f aca="false">SUM(M156:M170)</f>
        <v>1750.01471638618</v>
      </c>
      <c r="N171" s="33" t="n">
        <f aca="false">SUM(N156:N170)</f>
        <v>2324.01543353265</v>
      </c>
      <c r="O171" s="33" t="n">
        <f aca="false">SUM(O156:O170)</f>
        <v>2564.01430667882</v>
      </c>
      <c r="P171" s="33" t="n">
        <f aca="false">SUM(P156:P170)</f>
        <v>2328.01447931403</v>
      </c>
      <c r="Q171" s="33" t="n">
        <f aca="false">SUM(Q156:Q170)</f>
        <v>2847.01343449812</v>
      </c>
      <c r="R171" s="33" t="n">
        <f aca="false">SUM(R156:R170)</f>
        <v>2351.01446640915</v>
      </c>
      <c r="S171" s="33" t="n">
        <f aca="false">SUM(S156:S170)</f>
        <v>2862.01374110352</v>
      </c>
      <c r="T171" s="33"/>
      <c r="U171" s="33"/>
      <c r="V171" s="33"/>
      <c r="W171" s="33"/>
      <c r="X171" s="33"/>
      <c r="Y171" s="33" t="n">
        <f aca="false">SUM(Y156:Y170)</f>
        <v>-4320.96663603591</v>
      </c>
      <c r="Z171" s="33" t="n">
        <f aca="false">SUM(Z156:Z170)</f>
        <v>-2744.94838190791</v>
      </c>
      <c r="AA171" s="33" t="n">
        <f aca="false">SUM(AA156:AA170)</f>
        <v>-444.948331344752</v>
      </c>
      <c r="AB171" s="33" t="n">
        <f aca="false">SUM(AB156:AB170)</f>
        <v>642.029704604084</v>
      </c>
      <c r="AC171" s="33" t="n">
        <f aca="false">SUM(AC156:AC170)</f>
        <v>3566.02207541746</v>
      </c>
      <c r="AD171" s="33" t="n">
        <f aca="false">SUM(AD156:AD170)</f>
        <v>7137.0167582375</v>
      </c>
      <c r="AE171" s="33" t="n">
        <f aca="false">SUM(AE156:AE170)</f>
        <v>10063.0143605714</v>
      </c>
      <c r="AF171" s="33"/>
      <c r="AG171" s="33"/>
      <c r="AH171" s="33"/>
      <c r="AI171" s="33"/>
      <c r="AJ171" s="33"/>
      <c r="AK171" s="33"/>
      <c r="AL171" s="33"/>
      <c r="AM171" s="33"/>
      <c r="AN171" s="33"/>
      <c r="AO171" s="33"/>
      <c r="AP171" s="33"/>
      <c r="AQ171" s="33"/>
      <c r="AR171" s="119"/>
      <c r="AS171" s="40"/>
      <c r="AT171" s="33"/>
      <c r="AU171" s="33"/>
      <c r="AV171" s="33"/>
      <c r="AW171" s="33"/>
      <c r="AX171" s="33"/>
      <c r="AY171" s="33"/>
      <c r="AZ171" s="33"/>
      <c r="BA171" s="33"/>
      <c r="BB171" s="33"/>
      <c r="BC171" s="33"/>
      <c r="BD171" s="33"/>
      <c r="BE171" s="33"/>
      <c r="BF171" s="33"/>
      <c r="BG171" s="33"/>
      <c r="BH171" s="33"/>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c r="CK171" s="33"/>
      <c r="CL171" s="33"/>
      <c r="CM171" s="33"/>
      <c r="CN171" s="33"/>
      <c r="CO171" s="33"/>
      <c r="CP171" s="33"/>
      <c r="CQ171" s="33"/>
      <c r="CR171" s="33"/>
      <c r="CS171" s="33"/>
      <c r="CT171" s="33"/>
      <c r="CU171" s="33"/>
      <c r="CV171" s="33"/>
      <c r="CW171" s="33"/>
      <c r="CX171" s="33"/>
      <c r="CY171" s="33"/>
      <c r="CZ171" s="33"/>
      <c r="DA171" s="33"/>
      <c r="DB171" s="33"/>
      <c r="DC171" s="33"/>
      <c r="DD171" s="33"/>
      <c r="DE171" s="33"/>
      <c r="DF171" s="33"/>
      <c r="DG171" s="33"/>
      <c r="DH171" s="33"/>
      <c r="DI171" s="33"/>
      <c r="DJ171" s="33"/>
      <c r="DK171" s="33"/>
      <c r="DL171" s="33"/>
      <c r="DM171" s="33"/>
      <c r="DN171" s="33"/>
      <c r="DO171" s="33"/>
      <c r="DP171" s="33"/>
      <c r="DQ171" s="33"/>
      <c r="DR171" s="33"/>
      <c r="DS171" s="33"/>
      <c r="DT171" s="33"/>
      <c r="DU171" s="33"/>
      <c r="DV171" s="33"/>
      <c r="DW171" s="33"/>
      <c r="DX171" s="33"/>
      <c r="DY171" s="33"/>
      <c r="DZ171" s="33"/>
      <c r="EA171" s="33"/>
      <c r="EB171" s="33"/>
      <c r="EC171" s="33"/>
      <c r="ED171" s="33"/>
      <c r="EE171" s="33"/>
      <c r="EF171" s="33"/>
      <c r="EG171" s="33"/>
      <c r="EH171" s="33"/>
      <c r="EI171" s="33"/>
      <c r="EJ171" s="33"/>
      <c r="EK171" s="33"/>
      <c r="EL171" s="33"/>
      <c r="EM171" s="33"/>
      <c r="EN171" s="33"/>
      <c r="EO171" s="33"/>
      <c r="EP171" s="33"/>
      <c r="EQ171" s="33"/>
      <c r="ER171" s="33"/>
      <c r="ES171" s="33"/>
      <c r="ET171" s="33"/>
      <c r="EU171" s="33"/>
    </row>
    <row r="172" customFormat="false" ht="12.8" hidden="false" customHeight="true" outlineLevel="0" collapsed="false">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112"/>
      <c r="AS172" s="12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c r="CK172" s="33"/>
      <c r="CL172" s="33"/>
      <c r="CM172" s="33"/>
      <c r="CN172" s="33"/>
      <c r="CO172" s="33"/>
      <c r="CP172" s="33"/>
      <c r="CQ172" s="33"/>
      <c r="CR172" s="33"/>
      <c r="CS172" s="33"/>
      <c r="CT172" s="33"/>
      <c r="CU172" s="33"/>
      <c r="CV172" s="33"/>
      <c r="CW172" s="33"/>
      <c r="CX172" s="33"/>
      <c r="CY172" s="33"/>
      <c r="CZ172" s="33"/>
      <c r="DA172" s="33"/>
      <c r="DB172" s="33"/>
      <c r="DC172" s="33"/>
      <c r="DD172" s="33"/>
      <c r="DE172" s="33"/>
      <c r="DF172" s="33"/>
      <c r="DG172" s="33"/>
      <c r="DH172" s="33"/>
      <c r="DI172" s="33"/>
      <c r="DJ172" s="33"/>
      <c r="DK172" s="33"/>
      <c r="DL172" s="33"/>
      <c r="DM172" s="33"/>
      <c r="DN172" s="33"/>
      <c r="DO172" s="33"/>
      <c r="DP172" s="33"/>
      <c r="DQ172" s="33"/>
      <c r="DR172" s="33"/>
      <c r="DS172" s="33"/>
      <c r="DT172" s="33"/>
      <c r="DU172" s="33"/>
      <c r="DV172" s="33"/>
      <c r="DW172" s="33"/>
      <c r="DX172" s="33"/>
      <c r="DY172" s="33"/>
      <c r="DZ172" s="33"/>
      <c r="EA172" s="33"/>
      <c r="EB172" s="33"/>
      <c r="EC172" s="33"/>
      <c r="ED172" s="33"/>
      <c r="EE172" s="33"/>
      <c r="EF172" s="33"/>
      <c r="EG172" s="33"/>
      <c r="EH172" s="33"/>
      <c r="EI172" s="33"/>
      <c r="EJ172" s="33"/>
      <c r="EK172" s="33"/>
      <c r="EL172" s="33"/>
      <c r="EM172" s="33"/>
      <c r="EN172" s="33"/>
      <c r="EO172" s="33"/>
      <c r="EP172" s="33"/>
      <c r="EQ172" s="33"/>
      <c r="ER172" s="33"/>
      <c r="ES172" s="33"/>
      <c r="ET172" s="33"/>
      <c r="EU172" s="33"/>
    </row>
    <row r="173" customFormat="false" ht="12.8" hidden="false" customHeight="true" outlineLevel="0" collapsed="false">
      <c r="A173" s="33" t="s">
        <v>364</v>
      </c>
      <c r="B173" s="33" t="n">
        <v>62</v>
      </c>
      <c r="C173" s="33" t="n">
        <v>57</v>
      </c>
      <c r="D173" s="33" t="n">
        <v>74</v>
      </c>
      <c r="E173" s="33" t="n">
        <v>59</v>
      </c>
      <c r="F173" s="33" t="n">
        <v>57</v>
      </c>
      <c r="G173" s="33" t="n">
        <v>50</v>
      </c>
      <c r="H173" s="33" t="n">
        <v>61</v>
      </c>
      <c r="I173" s="33" t="n">
        <v>55</v>
      </c>
      <c r="J173" s="33" t="n">
        <v>57</v>
      </c>
      <c r="K173" s="33" t="n">
        <v>99</v>
      </c>
      <c r="L173" s="33" t="n">
        <v>42</v>
      </c>
      <c r="M173" s="33" t="n">
        <v>44</v>
      </c>
      <c r="N173" s="33" t="n">
        <v>74</v>
      </c>
      <c r="O173" s="33" t="n">
        <v>89</v>
      </c>
      <c r="P173" s="33" t="n">
        <v>98</v>
      </c>
      <c r="Q173" s="33" t="n">
        <v>75</v>
      </c>
      <c r="R173" s="33" t="n">
        <v>65</v>
      </c>
      <c r="S173" s="33" t="n">
        <v>70</v>
      </c>
      <c r="T173" s="33"/>
      <c r="U173" s="33"/>
      <c r="V173" s="33"/>
      <c r="W173" s="33"/>
      <c r="X173" s="33"/>
      <c r="Y173" s="33" t="n">
        <v>588</v>
      </c>
      <c r="Z173" s="33" t="n">
        <v>616</v>
      </c>
      <c r="AA173" s="33" t="n">
        <v>298</v>
      </c>
      <c r="AB173" s="33" t="n">
        <v>252</v>
      </c>
      <c r="AC173" s="33" t="n">
        <f aca="false">SUM(F173:I173)</f>
        <v>223</v>
      </c>
      <c r="AD173" s="33" t="n">
        <f aca="false">SUM(J173:M173)</f>
        <v>242</v>
      </c>
      <c r="AE173" s="33" t="n">
        <f aca="false">SUM(N173:Q173)</f>
        <v>336</v>
      </c>
      <c r="AF173" s="33" t="n">
        <v>10000</v>
      </c>
      <c r="AG173" s="33" t="n">
        <f aca="false">+AF173*1.2</f>
        <v>12000</v>
      </c>
      <c r="AH173" s="33" t="n">
        <f aca="false">+AH52*0.01</f>
        <v>777.182001927883</v>
      </c>
      <c r="AI173" s="33" t="n">
        <f aca="false">+AI52*0.01</f>
        <v>901.531122236344</v>
      </c>
      <c r="AJ173" s="33" t="n">
        <f aca="false">+AJ52*0.01</f>
        <v>1036.7607905718</v>
      </c>
      <c r="AK173" s="33" t="n">
        <f aca="false">+AK52*0.01</f>
        <v>1181.90730125185</v>
      </c>
      <c r="AL173" s="33" t="n">
        <f aca="false">+AL52*0.01</f>
        <v>1335.55525041459</v>
      </c>
      <c r="AM173" s="33" t="n">
        <f aca="false">+AM52*0.01</f>
        <v>1495.82188046434</v>
      </c>
      <c r="AN173" s="33" t="n">
        <f aca="false">+AN52*0.01</f>
        <v>1660.36228731541</v>
      </c>
      <c r="AO173" s="33" t="n">
        <f aca="false">+AO52*0.01</f>
        <v>1826.39851604696</v>
      </c>
      <c r="AP173" s="33"/>
      <c r="AQ173" s="40"/>
      <c r="AR173" s="112"/>
      <c r="AS173" s="112"/>
      <c r="AT173" s="33"/>
      <c r="AU173" s="33"/>
      <c r="AV173" s="33"/>
      <c r="AW173" s="33"/>
      <c r="AX173" s="33"/>
      <c r="AY173" s="33"/>
      <c r="AZ173" s="33"/>
      <c r="BA173" s="33"/>
      <c r="BB173" s="33"/>
      <c r="BC173" s="33"/>
      <c r="BD173" s="33"/>
      <c r="BE173" s="33"/>
      <c r="BF173" s="33"/>
      <c r="BG173" s="33"/>
      <c r="BH173" s="33"/>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c r="CK173" s="33"/>
      <c r="CL173" s="33"/>
      <c r="CM173" s="33"/>
      <c r="CN173" s="33"/>
      <c r="CO173" s="33"/>
      <c r="CP173" s="33"/>
      <c r="CQ173" s="33"/>
      <c r="CR173" s="33"/>
      <c r="CS173" s="33"/>
      <c r="CT173" s="33"/>
      <c r="CU173" s="33"/>
      <c r="CV173" s="33"/>
      <c r="CW173" s="33"/>
      <c r="CX173" s="33"/>
      <c r="CY173" s="33"/>
      <c r="CZ173" s="33"/>
      <c r="DA173" s="33"/>
      <c r="DB173" s="33"/>
      <c r="DC173" s="33"/>
      <c r="DD173" s="33"/>
      <c r="DE173" s="33"/>
      <c r="DF173" s="33"/>
      <c r="DG173" s="33"/>
      <c r="DH173" s="33"/>
      <c r="DI173" s="33"/>
      <c r="DJ173" s="33"/>
      <c r="DK173" s="33"/>
      <c r="DL173" s="33"/>
      <c r="DM173" s="33"/>
      <c r="DN173" s="33"/>
      <c r="DO173" s="33"/>
      <c r="DP173" s="33"/>
      <c r="DQ173" s="33"/>
      <c r="DR173" s="33"/>
      <c r="DS173" s="33"/>
      <c r="DT173" s="33"/>
      <c r="DU173" s="33"/>
      <c r="DV173" s="33"/>
      <c r="DW173" s="33"/>
      <c r="DX173" s="33"/>
      <c r="DY173" s="33"/>
      <c r="DZ173" s="33"/>
      <c r="EA173" s="33"/>
      <c r="EB173" s="33"/>
      <c r="EC173" s="33"/>
      <c r="ED173" s="33"/>
      <c r="EE173" s="33"/>
      <c r="EF173" s="33"/>
      <c r="EG173" s="33"/>
      <c r="EH173" s="33"/>
      <c r="EI173" s="33"/>
      <c r="EJ173" s="33"/>
      <c r="EK173" s="33"/>
      <c r="EL173" s="33"/>
      <c r="EM173" s="33"/>
      <c r="EN173" s="33"/>
      <c r="EO173" s="33"/>
      <c r="EP173" s="33"/>
      <c r="EQ173" s="33"/>
      <c r="ER173" s="33"/>
      <c r="ES173" s="33"/>
      <c r="ET173" s="33"/>
      <c r="EU173" s="33"/>
    </row>
    <row r="174" s="121" customFormat="true" ht="10.5" hidden="false" customHeight="true" outlineLevel="0" collapsed="false">
      <c r="A174" s="124" t="s">
        <v>265</v>
      </c>
      <c r="B174" s="38" t="n">
        <f aca="false">+B173/B$52</f>
        <v>0.00904581266413773</v>
      </c>
      <c r="C174" s="38" t="n">
        <f aca="false">+C173/C$52</f>
        <v>0.00706057227796358</v>
      </c>
      <c r="D174" s="38" t="n">
        <f aca="false">+D173/D$52</f>
        <v>0.0088697111350833</v>
      </c>
      <c r="E174" s="38" t="n">
        <f aca="false">+E173/E$52</f>
        <v>0.00685488555826653</v>
      </c>
      <c r="F174" s="38" t="n">
        <f aca="false">+F173/F$52</f>
        <v>0.00645969142289132</v>
      </c>
      <c r="G174" s="38" t="n">
        <f aca="false">+G173/G$52</f>
        <v>0.00541681602832441</v>
      </c>
      <c r="H174" s="38" t="n">
        <f aca="false">+H173/H$52</f>
        <v>0.00656451396262073</v>
      </c>
      <c r="I174" s="38" t="n">
        <f aca="false">+I173/I$52</f>
        <v>0.00553520229522335</v>
      </c>
      <c r="J174" s="38" t="n">
        <f aca="false">+J173/J$52</f>
        <v>0.00562610668976659</v>
      </c>
      <c r="K174" s="38" t="n">
        <f aca="false">+K173/K$52</f>
        <v>0.00925205061095244</v>
      </c>
      <c r="L174" s="38" t="n">
        <f aca="false">+L173/L$52</f>
        <v>0.00375387247605106</v>
      </c>
      <c r="M174" s="38" t="n">
        <f aca="false">+M173/M$52</f>
        <v>0.00367909654603643</v>
      </c>
      <c r="N174" s="38" t="n">
        <f aca="false">+N173/N$52</f>
        <v>0.00641618772924794</v>
      </c>
      <c r="O174" s="38" t="n">
        <f aca="false">+O173/O$52</f>
        <v>0.0070347757713677</v>
      </c>
      <c r="P174" s="38" t="n">
        <f aca="false">+P173/P$52</f>
        <v>0.00727678346325763</v>
      </c>
      <c r="Q174" s="38" t="n">
        <f aca="false">+Q173/Q$52</f>
        <v>0.00522065989141027</v>
      </c>
      <c r="R174" s="38" t="n">
        <f aca="false">+R173/R$52</f>
        <v>0.00492312353253049</v>
      </c>
      <c r="S174" s="38" t="n">
        <f aca="false">+S173/S$52</f>
        <v>0.00493270382636883</v>
      </c>
      <c r="Y174" s="38" t="n">
        <f aca="false">+Y173/Y$52</f>
        <v>0.0415635823849579</v>
      </c>
      <c r="Z174" s="38" t="n">
        <f aca="false">+Z173/Z$52</f>
        <v>0.0552986864858785</v>
      </c>
      <c r="AA174" s="38" t="n">
        <f aca="false">+AA173/AA$52</f>
        <v>0.0170701322217847</v>
      </c>
      <c r="AB174" s="38" t="n">
        <f aca="false">+AB173/AB$52</f>
        <v>0.00790449865811973</v>
      </c>
      <c r="AC174" s="38" t="n">
        <f aca="false">+AC173/AC$52</f>
        <v>0.00598155296966586</v>
      </c>
      <c r="AD174" s="38" t="n">
        <f aca="false">+AD173/AD$52</f>
        <v>0.0055027048511722</v>
      </c>
      <c r="AE174" s="38" t="n">
        <f aca="false">+AE173/AE$52</f>
        <v>0.00645937346406258</v>
      </c>
      <c r="AF174" s="38" t="n">
        <f aca="false">+AF173/AF$52</f>
        <v>0.171645765945541</v>
      </c>
      <c r="AG174" s="38" t="n">
        <f aca="false">+AG173/AG$52</f>
        <v>0.179108625334477</v>
      </c>
      <c r="AH174" s="38" t="n">
        <f aca="false">+AH173/AH$52</f>
        <v>0.01</v>
      </c>
      <c r="AI174" s="38" t="n">
        <f aca="false">+AI173/AI$52</f>
        <v>0.01</v>
      </c>
      <c r="AJ174" s="38" t="n">
        <f aca="false">+AJ173/AJ$52</f>
        <v>0.01</v>
      </c>
      <c r="AK174" s="38" t="n">
        <f aca="false">+AK173/AK$52</f>
        <v>0.01</v>
      </c>
      <c r="AL174" s="38" t="n">
        <f aca="false">+AL173/AL$52</f>
        <v>0.01</v>
      </c>
      <c r="AM174" s="38" t="n">
        <f aca="false">+AM173/AM$52</f>
        <v>0.01</v>
      </c>
      <c r="AN174" s="38" t="n">
        <f aca="false">+AN173/AN$52</f>
        <v>0.01</v>
      </c>
      <c r="AO174" s="38" t="n">
        <f aca="false">+AO173/AO$52</f>
        <v>0.01</v>
      </c>
    </row>
    <row r="175" customFormat="false" ht="12.8" hidden="false" customHeight="true" outlineLevel="0" collapsed="false">
      <c r="A175" s="83" t="s">
        <v>365</v>
      </c>
      <c r="B175" s="83" t="n">
        <f aca="false">B171-B173</f>
        <v>-46.9629413481179</v>
      </c>
      <c r="C175" s="83" t="n">
        <f aca="false">C171-C173</f>
        <v>382.030100334448</v>
      </c>
      <c r="D175" s="83" t="n">
        <f aca="false">D171-D173</f>
        <v>358.027208438212</v>
      </c>
      <c r="E175" s="83" t="n">
        <f aca="false">E171-E173</f>
        <v>-302.97409085628</v>
      </c>
      <c r="F175" s="83" t="n">
        <f aca="false">F171-F173</f>
        <v>549.023458879378</v>
      </c>
      <c r="G175" s="83" t="n">
        <f aca="false">G171-G173</f>
        <v>1140.02253395468</v>
      </c>
      <c r="H175" s="83" t="n">
        <f aca="false">H171-H173</f>
        <v>886.022061071514</v>
      </c>
      <c r="I175" s="83" t="n">
        <f aca="false">I171-I173</f>
        <v>768.020429928472</v>
      </c>
      <c r="J175" s="83" t="n">
        <f aca="false">J171-J173</f>
        <v>1359.01914850347</v>
      </c>
      <c r="K175" s="83" t="n">
        <f aca="false">K171-K173</f>
        <v>1721.01691536526</v>
      </c>
      <c r="L175" s="83" t="n">
        <f aca="false">L171-L173</f>
        <v>2109.01662429239</v>
      </c>
      <c r="M175" s="83" t="n">
        <f aca="false">M171-M173</f>
        <v>1706.01471638618</v>
      </c>
      <c r="N175" s="83" t="n">
        <f aca="false">N171-N173</f>
        <v>2250.01543353265</v>
      </c>
      <c r="O175" s="83" t="n">
        <f aca="false">O171-O173</f>
        <v>2475.01430667882</v>
      </c>
      <c r="P175" s="83" t="n">
        <f aca="false">P171-P173</f>
        <v>2230.01447931403</v>
      </c>
      <c r="Q175" s="83" t="n">
        <f aca="false">Q171-Q173</f>
        <v>2772.01343449812</v>
      </c>
      <c r="R175" s="83" t="n">
        <f aca="false">R171-R173</f>
        <v>2286.01446640915</v>
      </c>
      <c r="S175" s="83" t="n">
        <f aca="false">S171-S173</f>
        <v>2792.01374110352</v>
      </c>
      <c r="T175" s="33"/>
      <c r="U175" s="33"/>
      <c r="V175" s="33"/>
      <c r="W175" s="33"/>
      <c r="X175" s="33"/>
      <c r="Y175" s="83" t="n">
        <f aca="false">Y171-Y173</f>
        <v>-4908.96663603591</v>
      </c>
      <c r="Z175" s="83" t="n">
        <f aca="false">Z171-Z173</f>
        <v>-3360.94838190791</v>
      </c>
      <c r="AA175" s="83" t="n">
        <f aca="false">AA171-AA173</f>
        <v>-742.948331344752</v>
      </c>
      <c r="AB175" s="83" t="n">
        <f aca="false">AB171-AB173</f>
        <v>390.029704604084</v>
      </c>
      <c r="AC175" s="83" t="n">
        <f aca="false">AC171-AC173</f>
        <v>3343.02207541746</v>
      </c>
      <c r="AD175" s="83" t="n">
        <f aca="false">AD171-AD173</f>
        <v>6895.0167582375</v>
      </c>
      <c r="AE175" s="83" t="n">
        <f aca="false">AE171-AE173</f>
        <v>9727.01436057136</v>
      </c>
      <c r="AF175" s="83"/>
      <c r="AG175" s="33"/>
      <c r="AH175" s="33"/>
      <c r="AI175" s="33"/>
      <c r="AJ175" s="33"/>
      <c r="AK175" s="33"/>
      <c r="AL175" s="33"/>
      <c r="AM175" s="33"/>
      <c r="AN175" s="33"/>
      <c r="AO175" s="33"/>
      <c r="AP175" s="40"/>
      <c r="AQ175" s="119"/>
      <c r="AR175" s="3"/>
      <c r="AT175" s="40"/>
      <c r="AU175" s="40"/>
      <c r="AV175" s="40"/>
      <c r="AW175" s="40"/>
      <c r="AX175" s="40"/>
      <c r="AY175" s="40"/>
      <c r="AZ175" s="40"/>
      <c r="BA175" s="40"/>
      <c r="BB175" s="40"/>
      <c r="BC175" s="40"/>
      <c r="BD175" s="40"/>
      <c r="BE175" s="40"/>
      <c r="BF175" s="40"/>
      <c r="BG175" s="40"/>
      <c r="BH175" s="40"/>
      <c r="BI175" s="40"/>
      <c r="BJ175" s="40"/>
      <c r="BK175" s="40"/>
      <c r="BL175" s="40"/>
      <c r="BM175" s="40"/>
      <c r="BN175" s="40"/>
      <c r="BO175" s="40"/>
      <c r="BP175" s="40"/>
      <c r="BQ175" s="40"/>
      <c r="BR175" s="40"/>
      <c r="BS175" s="40"/>
      <c r="BT175" s="40"/>
      <c r="BU175" s="40"/>
      <c r="BV175" s="40"/>
      <c r="BW175" s="40"/>
      <c r="BX175" s="40"/>
      <c r="BY175" s="40"/>
      <c r="BZ175" s="40"/>
      <c r="CA175" s="40"/>
      <c r="CB175" s="40"/>
      <c r="CC175" s="40"/>
      <c r="CD175" s="40"/>
      <c r="CE175" s="40"/>
      <c r="CF175" s="40"/>
      <c r="CG175" s="40"/>
      <c r="CH175" s="40"/>
      <c r="CI175" s="40"/>
      <c r="CJ175" s="40"/>
      <c r="CK175" s="40"/>
      <c r="CL175" s="40"/>
      <c r="CM175" s="40"/>
      <c r="CN175" s="40"/>
      <c r="CO175" s="40"/>
      <c r="CP175" s="40"/>
      <c r="CQ175" s="40"/>
      <c r="CR175" s="40"/>
      <c r="CS175" s="40"/>
      <c r="CT175" s="40"/>
      <c r="CU175" s="40"/>
      <c r="CV175" s="40"/>
      <c r="CW175" s="40"/>
      <c r="CX175" s="40"/>
      <c r="CY175" s="40"/>
      <c r="CZ175" s="40"/>
      <c r="DA175" s="40"/>
      <c r="DB175" s="40"/>
      <c r="DC175" s="40"/>
      <c r="DD175" s="40"/>
      <c r="DE175" s="40"/>
      <c r="DF175" s="40"/>
      <c r="DG175" s="40"/>
      <c r="DH175" s="40"/>
      <c r="DI175" s="40"/>
      <c r="DJ175" s="40"/>
      <c r="DK175" s="40"/>
      <c r="DL175" s="40"/>
      <c r="DM175" s="40"/>
      <c r="DN175" s="40"/>
      <c r="DO175" s="40"/>
      <c r="DP175" s="40"/>
      <c r="DQ175" s="40"/>
      <c r="DR175" s="40"/>
      <c r="DS175" s="40"/>
      <c r="DT175" s="40"/>
      <c r="DU175" s="40"/>
      <c r="DV175" s="40"/>
      <c r="DW175" s="40"/>
      <c r="DX175" s="40"/>
      <c r="DY175" s="40"/>
      <c r="DZ175" s="40"/>
      <c r="EA175" s="40"/>
      <c r="EB175" s="40"/>
      <c r="EC175" s="40"/>
      <c r="ED175" s="40"/>
      <c r="EE175" s="40"/>
      <c r="EF175" s="40"/>
      <c r="EG175" s="40"/>
      <c r="EH175" s="40"/>
      <c r="EI175" s="40"/>
      <c r="EJ175" s="40"/>
      <c r="EK175" s="40"/>
      <c r="EL175" s="40"/>
      <c r="EM175" s="40"/>
      <c r="EN175" s="40"/>
      <c r="EO175" s="40"/>
      <c r="EP175" s="40"/>
      <c r="EQ175" s="40"/>
      <c r="ER175" s="40"/>
      <c r="ES175" s="40"/>
      <c r="ET175" s="40"/>
      <c r="EU175" s="40"/>
    </row>
    <row r="176" customFormat="false" ht="10.5" hidden="false" customHeight="true" outlineLevel="0" collapsed="false">
      <c r="A176" s="50" t="s">
        <v>265</v>
      </c>
      <c r="B176" s="38"/>
      <c r="C176" s="38"/>
      <c r="D176" s="38"/>
      <c r="E176" s="38"/>
      <c r="F176" s="50" t="s">
        <v>283</v>
      </c>
      <c r="G176" s="38" t="n">
        <f aca="false">G175/C175-1</f>
        <v>1.98411704459058</v>
      </c>
      <c r="H176" s="38" t="n">
        <f aca="false">H175/D175-1</f>
        <v>1.47473387549657</v>
      </c>
      <c r="I176" s="50" t="s">
        <v>283</v>
      </c>
      <c r="J176" s="38" t="n">
        <f aca="false">J175/F175-1</f>
        <v>1.47533894321636</v>
      </c>
      <c r="K176" s="38" t="n">
        <f aca="false">K175/G175-1</f>
        <v>0.509634120472287</v>
      </c>
      <c r="L176" s="38" t="n">
        <f aca="false">L175/H175-1</f>
        <v>1.38032066802247</v>
      </c>
      <c r="M176" s="38" t="n">
        <f aca="false">M175/I175-1</f>
        <v>1.22131423840518</v>
      </c>
      <c r="N176" s="38" t="n">
        <f aca="false">N175/J175-1</f>
        <v>0.65561716772742</v>
      </c>
      <c r="O176" s="38" t="n">
        <f aca="false">O175/K175-1</f>
        <v>0.438111551712165</v>
      </c>
      <c r="P176" s="38" t="n">
        <f aca="false">P175/L175-1</f>
        <v>0.0573716933417898</v>
      </c>
      <c r="Q176" s="38" t="n">
        <f aca="false">Q175/M175-1</f>
        <v>0.624847316891861</v>
      </c>
      <c r="R176" s="38" t="n">
        <f aca="false">R175/N175-1</f>
        <v>0.0159994604214706</v>
      </c>
      <c r="S176" s="38" t="n">
        <f aca="false">S175/O175-1</f>
        <v>0.128079839203062</v>
      </c>
      <c r="T176" s="38"/>
      <c r="U176" s="38"/>
      <c r="V176" s="38"/>
      <c r="W176" s="38"/>
      <c r="X176" s="38"/>
      <c r="Y176" s="38"/>
      <c r="Z176" s="38" t="n">
        <f aca="false">+Y175/Z175-1</f>
        <v>0.460589714040547</v>
      </c>
      <c r="AA176" s="38" t="n">
        <f aca="false">+Z175/AA175-1</f>
        <v>3.52379827790248</v>
      </c>
      <c r="AB176" s="50" t="s">
        <v>283</v>
      </c>
      <c r="AC176" s="38" t="n">
        <f aca="false">AC175/AB175-1</f>
        <v>7.57119864450051</v>
      </c>
      <c r="AD176" s="38" t="n">
        <f aca="false">AD175/AC175-1</f>
        <v>1.06251008898183</v>
      </c>
      <c r="AE176" s="38" t="n">
        <f aca="false">AE175/AD175-1</f>
        <v>0.410731068775208</v>
      </c>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c r="BC176" s="38"/>
      <c r="BD176" s="38"/>
      <c r="BE176" s="38"/>
      <c r="BF176" s="38"/>
      <c r="BG176" s="38"/>
      <c r="BH176" s="38"/>
      <c r="BI176" s="38"/>
      <c r="BJ176" s="38"/>
      <c r="BK176" s="38"/>
      <c r="BL176" s="38"/>
      <c r="BM176" s="38"/>
      <c r="BN176" s="38"/>
      <c r="BO176" s="38"/>
      <c r="BP176" s="38"/>
      <c r="BQ176" s="38"/>
      <c r="BR176" s="38"/>
      <c r="BS176" s="38"/>
      <c r="BT176" s="38"/>
      <c r="BU176" s="38"/>
      <c r="BV176" s="38"/>
      <c r="BW176" s="38"/>
      <c r="BX176" s="38"/>
      <c r="BY176" s="38"/>
      <c r="BZ176" s="38"/>
      <c r="CA176" s="38"/>
      <c r="CB176" s="38"/>
      <c r="CC176" s="38"/>
      <c r="CD176" s="38"/>
      <c r="CE176" s="38"/>
      <c r="CF176" s="38"/>
      <c r="CG176" s="38"/>
      <c r="CH176" s="38"/>
      <c r="CI176" s="38"/>
      <c r="CJ176" s="38"/>
      <c r="CK176" s="38"/>
      <c r="CL176" s="38"/>
      <c r="CM176" s="38"/>
      <c r="CN176" s="38"/>
      <c r="CO176" s="38"/>
      <c r="CP176" s="38"/>
      <c r="CQ176" s="38"/>
      <c r="CR176" s="38"/>
      <c r="CS176" s="38"/>
      <c r="CT176" s="38"/>
      <c r="CU176" s="38"/>
      <c r="CV176" s="38"/>
      <c r="CW176" s="38"/>
      <c r="CX176" s="38"/>
      <c r="CY176" s="38"/>
      <c r="CZ176" s="38"/>
      <c r="DA176" s="38"/>
      <c r="DB176" s="38"/>
      <c r="DC176" s="38"/>
      <c r="DD176" s="38"/>
      <c r="DE176" s="38"/>
      <c r="DF176" s="38"/>
      <c r="DG176" s="38"/>
      <c r="DH176" s="38"/>
      <c r="DI176" s="38"/>
      <c r="DJ176" s="38"/>
      <c r="DK176" s="38"/>
      <c r="DL176" s="38"/>
      <c r="DM176" s="38"/>
      <c r="DN176" s="38"/>
      <c r="DO176" s="38"/>
      <c r="DP176" s="38"/>
      <c r="DQ176" s="38"/>
      <c r="DR176" s="38"/>
      <c r="DS176" s="38"/>
      <c r="DT176" s="38"/>
      <c r="DU176" s="38"/>
      <c r="DV176" s="38"/>
      <c r="DW176" s="38"/>
      <c r="DX176" s="38"/>
      <c r="DY176" s="38"/>
      <c r="DZ176" s="38"/>
      <c r="EA176" s="38"/>
      <c r="EB176" s="38"/>
      <c r="EC176" s="38"/>
      <c r="ED176" s="38"/>
      <c r="EE176" s="38"/>
      <c r="EF176" s="38"/>
      <c r="EG176" s="38"/>
      <c r="EH176" s="38"/>
      <c r="EI176" s="38"/>
      <c r="EJ176" s="38"/>
      <c r="EK176" s="38"/>
      <c r="EL176" s="38"/>
      <c r="EM176" s="38"/>
      <c r="EN176" s="38"/>
      <c r="EO176" s="38"/>
      <c r="EP176" s="38"/>
      <c r="EQ176" s="38"/>
      <c r="ER176" s="38"/>
      <c r="ES176" s="38"/>
      <c r="ET176" s="38"/>
      <c r="EU176" s="38"/>
      <c r="EV176" s="38"/>
    </row>
    <row r="177" customFormat="false" ht="12.8" hidden="false" customHeight="false" outlineLevel="0" collapsed="false">
      <c r="A177" s="123" t="s">
        <v>366</v>
      </c>
      <c r="B177" s="123" t="n">
        <f aca="false">B175/B88</f>
        <v>-0.0239884546692666</v>
      </c>
      <c r="C177" s="123" t="n">
        <f aca="false">C175/C88</f>
        <v>0.194034025571085</v>
      </c>
      <c r="D177" s="123" t="n">
        <f aca="false">D175/D88</f>
        <v>0.180913192742906</v>
      </c>
      <c r="E177" s="123" t="n">
        <f aca="false">E175/E88</f>
        <v>-0.14703376040973</v>
      </c>
      <c r="F177" s="123" t="n">
        <f aca="false">F175/F88</f>
        <v>0.273213963114893</v>
      </c>
      <c r="G177" s="123" t="n">
        <f aca="false">G175/G88</f>
        <v>0.548298640801596</v>
      </c>
      <c r="H177" s="123" t="n">
        <f aca="false">H175/H88</f>
        <v>0.420234329857481</v>
      </c>
      <c r="I177" s="123" t="n">
        <f aca="false">I175/I88</f>
        <v>0.361949399089717</v>
      </c>
      <c r="J177" s="123" t="n">
        <f aca="false">J175/J88</f>
        <v>0.653343179896866</v>
      </c>
      <c r="K177" s="123" t="n">
        <f aca="false">K175/K88</f>
        <v>0.800472983890818</v>
      </c>
      <c r="L177" s="123" t="n">
        <f aca="false">L175/L88</f>
        <v>0.978907301269178</v>
      </c>
      <c r="M177" s="123" t="n">
        <f aca="false">M175/M88</f>
        <v>0.796681944702617</v>
      </c>
      <c r="N177" s="123" t="n">
        <f aca="false">N175/N88</f>
        <v>1.06001901120816</v>
      </c>
      <c r="O177" s="123" t="n">
        <f aca="false">O175/O88</f>
        <v>1.18682953230978</v>
      </c>
      <c r="P177" s="123" t="n">
        <f aca="false">P175/P88</f>
        <v>1.04976438323873</v>
      </c>
      <c r="Q177" s="123" t="n">
        <f aca="false">Q175/Q88</f>
        <v>1.31624569539322</v>
      </c>
      <c r="R177" s="123" t="n">
        <f aca="false">R175/R88</f>
        <v>1.10361320794053</v>
      </c>
      <c r="S177" s="123" t="n">
        <f aca="false">S175/S88</f>
        <v>1.3618084557078</v>
      </c>
      <c r="T177" s="123"/>
      <c r="U177" s="123"/>
      <c r="V177" s="123"/>
      <c r="W177" s="123"/>
      <c r="X177" s="123"/>
      <c r="Y177" s="123" t="n">
        <f aca="false">Y175/Y88</f>
        <v>-3.93235457922231</v>
      </c>
      <c r="Z177" s="123" t="n">
        <f aca="false">Z175/Z88</f>
        <v>-1.91736458549142</v>
      </c>
      <c r="AA177" s="123" t="n">
        <f aca="false">AA175/AA88</f>
        <v>-0.391953749060803</v>
      </c>
      <c r="AB177" s="123" t="n">
        <f aca="false">AB175/AB88</f>
        <v>0.197493394401785</v>
      </c>
      <c r="AC177" s="123" t="n">
        <f aca="false">AC175/AC88</f>
        <v>1.59823209610243</v>
      </c>
      <c r="AD177" s="123" t="n">
        <f aca="false">AD175/AD88</f>
        <v>3.20623890176122</v>
      </c>
      <c r="AE177" s="123" t="n">
        <f aca="false">AE175/AE88</f>
        <v>4.61087831037956</v>
      </c>
      <c r="AF177" s="123"/>
      <c r="AG177" s="123"/>
      <c r="AH177" s="123"/>
      <c r="AI177" s="123"/>
      <c r="AJ177" s="123"/>
      <c r="AK177" s="123"/>
      <c r="AL177" s="123"/>
      <c r="AM177" s="123"/>
      <c r="AN177" s="123"/>
      <c r="AO177" s="123"/>
      <c r="AP177" s="112"/>
      <c r="AQ177" s="112"/>
      <c r="AR177" s="85"/>
      <c r="AS177" s="85"/>
      <c r="AT177" s="112"/>
      <c r="AU177" s="112"/>
      <c r="AV177" s="112"/>
      <c r="AW177" s="112"/>
      <c r="AX177" s="112"/>
      <c r="AY177" s="112"/>
      <c r="AZ177" s="112"/>
      <c r="BA177" s="112"/>
      <c r="BB177" s="112"/>
      <c r="BC177" s="112"/>
      <c r="BD177" s="112"/>
      <c r="BE177" s="112"/>
      <c r="BF177" s="112"/>
      <c r="BG177" s="112"/>
      <c r="BH177" s="112"/>
      <c r="BI177" s="112"/>
      <c r="BJ177" s="112"/>
      <c r="BK177" s="112"/>
      <c r="BL177" s="112"/>
      <c r="BM177" s="112"/>
      <c r="BN177" s="112"/>
      <c r="BO177" s="112"/>
      <c r="BP177" s="112"/>
      <c r="BQ177" s="112"/>
      <c r="BR177" s="112"/>
      <c r="BS177" s="112"/>
      <c r="BT177" s="112"/>
      <c r="BU177" s="112"/>
      <c r="BV177" s="112"/>
      <c r="BW177" s="112"/>
      <c r="BX177" s="112"/>
      <c r="BY177" s="112"/>
      <c r="BZ177" s="112"/>
      <c r="CA177" s="112"/>
      <c r="CB177" s="112"/>
      <c r="CC177" s="112"/>
      <c r="CD177" s="112"/>
      <c r="CE177" s="112"/>
      <c r="CF177" s="112"/>
      <c r="CG177" s="112"/>
      <c r="CH177" s="112"/>
      <c r="CI177" s="112"/>
      <c r="CJ177" s="112"/>
      <c r="CK177" s="112"/>
      <c r="CL177" s="112"/>
      <c r="CM177" s="112"/>
      <c r="CN177" s="112"/>
      <c r="CO177" s="112"/>
      <c r="CP177" s="112"/>
      <c r="CQ177" s="112"/>
      <c r="CR177" s="112"/>
      <c r="CS177" s="112"/>
      <c r="CT177" s="112"/>
      <c r="CU177" s="112"/>
      <c r="CV177" s="112"/>
      <c r="CW177" s="112"/>
      <c r="CX177" s="112"/>
      <c r="CY177" s="112"/>
      <c r="CZ177" s="112"/>
      <c r="DA177" s="112"/>
      <c r="DB177" s="112"/>
      <c r="DC177" s="112"/>
      <c r="DD177" s="112"/>
      <c r="DE177" s="112"/>
      <c r="DF177" s="112"/>
      <c r="DG177" s="112"/>
      <c r="DH177" s="112"/>
      <c r="DI177" s="112"/>
      <c r="DJ177" s="112"/>
      <c r="DK177" s="112"/>
      <c r="DL177" s="112"/>
      <c r="DM177" s="112"/>
      <c r="DN177" s="112"/>
      <c r="DO177" s="112"/>
      <c r="DP177" s="112"/>
      <c r="DQ177" s="112"/>
      <c r="DR177" s="112"/>
      <c r="DS177" s="112"/>
      <c r="DT177" s="112"/>
      <c r="DU177" s="112"/>
      <c r="DV177" s="112"/>
      <c r="DW177" s="112"/>
      <c r="DX177" s="112"/>
      <c r="DY177" s="112"/>
      <c r="DZ177" s="112"/>
      <c r="EA177" s="112"/>
      <c r="EB177" s="112"/>
      <c r="EC177" s="112"/>
      <c r="ED177" s="112"/>
      <c r="EE177" s="112"/>
      <c r="EF177" s="112"/>
      <c r="EG177" s="112"/>
      <c r="EH177" s="112"/>
      <c r="EI177" s="112"/>
      <c r="EJ177" s="112"/>
      <c r="EK177" s="112"/>
      <c r="EL177" s="112"/>
      <c r="EM177" s="112"/>
      <c r="EN177" s="112"/>
      <c r="EO177" s="112"/>
      <c r="EP177" s="112"/>
      <c r="EQ177" s="112"/>
      <c r="ER177" s="112"/>
      <c r="ES177" s="112"/>
      <c r="ET177" s="112"/>
      <c r="EU177" s="112"/>
      <c r="EV177" s="112"/>
    </row>
    <row r="178" customFormat="false" ht="12.8" hidden="false" customHeight="false" outlineLevel="0" collapsed="false">
      <c r="AQ178" s="3"/>
      <c r="AR178" s="44"/>
    </row>
    <row r="179" customFormat="false" ht="12.8" hidden="false" customHeight="false" outlineLevel="0" collapsed="false">
      <c r="A179" s="77" t="s">
        <v>367</v>
      </c>
      <c r="B179" s="77" t="n">
        <v>30900</v>
      </c>
      <c r="C179" s="77" t="n">
        <v>32500</v>
      </c>
      <c r="D179" s="77" t="n">
        <v>32600</v>
      </c>
      <c r="E179" s="77" t="n">
        <v>32800</v>
      </c>
      <c r="F179" s="77" t="n">
        <v>32700</v>
      </c>
      <c r="G179" s="77" t="n">
        <v>32200</v>
      </c>
      <c r="H179" s="77" t="n">
        <v>32000</v>
      </c>
      <c r="I179" s="77" t="n">
        <v>30400</v>
      </c>
      <c r="J179" s="77" t="n">
        <v>30700</v>
      </c>
      <c r="K179" s="77" t="n">
        <v>30400</v>
      </c>
      <c r="L179" s="77" t="n">
        <v>30800</v>
      </c>
      <c r="M179" s="77" t="n">
        <v>31100</v>
      </c>
      <c r="N179" s="77" t="n">
        <v>31500</v>
      </c>
      <c r="O179" s="77" t="n">
        <v>32700</v>
      </c>
      <c r="P179" s="77" t="n">
        <v>33600</v>
      </c>
      <c r="Q179" s="77" t="n">
        <v>34000</v>
      </c>
      <c r="R179" s="77" t="n">
        <v>35000</v>
      </c>
      <c r="S179" s="77"/>
      <c r="T179" s="77"/>
      <c r="U179" s="77"/>
      <c r="V179" s="77"/>
      <c r="W179" s="77"/>
      <c r="X179" s="77"/>
      <c r="Y179" s="77" t="n">
        <v>26900</v>
      </c>
      <c r="Z179" s="77" t="n">
        <v>22800</v>
      </c>
      <c r="AA179" s="77" t="n">
        <v>29300</v>
      </c>
      <c r="AB179" s="77" t="n">
        <v>32800</v>
      </c>
      <c r="AC179" s="77" t="n">
        <v>30400</v>
      </c>
      <c r="AD179" s="77" t="n">
        <v>31300</v>
      </c>
      <c r="AE179" s="77" t="n">
        <v>33354</v>
      </c>
      <c r="AF179" s="77"/>
      <c r="AG179" s="77"/>
      <c r="AH179" s="77"/>
      <c r="AI179" s="77"/>
      <c r="AJ179" s="85"/>
      <c r="AK179" s="85"/>
      <c r="AL179" s="85"/>
      <c r="AM179" s="85"/>
      <c r="AN179" s="85"/>
      <c r="AO179" s="85"/>
      <c r="AP179" s="85"/>
      <c r="AQ179" s="85"/>
      <c r="AR179" s="82"/>
      <c r="AS179" s="44"/>
      <c r="AT179" s="85"/>
      <c r="AU179" s="85"/>
      <c r="AV179" s="85"/>
      <c r="AW179" s="85"/>
      <c r="AX179" s="85"/>
      <c r="AY179" s="85"/>
      <c r="AZ179" s="85"/>
      <c r="BA179" s="85"/>
      <c r="BB179" s="85"/>
      <c r="BC179" s="85"/>
      <c r="BD179" s="85"/>
      <c r="BE179" s="85"/>
      <c r="BF179" s="85"/>
      <c r="BG179" s="85"/>
      <c r="BH179" s="85"/>
      <c r="BI179" s="85"/>
      <c r="BJ179" s="85"/>
      <c r="BK179" s="85"/>
      <c r="BL179" s="85"/>
      <c r="BM179" s="85"/>
      <c r="BN179" s="85"/>
      <c r="BO179" s="85"/>
      <c r="BP179" s="85"/>
      <c r="BQ179" s="85"/>
      <c r="BR179" s="85"/>
      <c r="BS179" s="85"/>
      <c r="BT179" s="85"/>
      <c r="BU179" s="85"/>
      <c r="BV179" s="85"/>
      <c r="BW179" s="85"/>
      <c r="BX179" s="85"/>
      <c r="BY179" s="85"/>
      <c r="BZ179" s="85"/>
      <c r="CA179" s="85"/>
      <c r="CB179" s="85"/>
      <c r="CC179" s="85"/>
      <c r="CD179" s="85"/>
      <c r="CE179" s="85"/>
      <c r="CF179" s="85"/>
      <c r="CG179" s="85"/>
      <c r="CH179" s="85"/>
      <c r="CI179" s="85"/>
      <c r="CJ179" s="85"/>
      <c r="CK179" s="85"/>
      <c r="CL179" s="85"/>
      <c r="CM179" s="85"/>
      <c r="CN179" s="85"/>
      <c r="CO179" s="85"/>
      <c r="CP179" s="85"/>
      <c r="CQ179" s="85"/>
      <c r="CR179" s="85"/>
      <c r="CS179" s="85"/>
      <c r="CT179" s="85"/>
      <c r="CU179" s="85"/>
      <c r="CV179" s="85"/>
      <c r="CW179" s="85"/>
      <c r="CX179" s="85"/>
      <c r="CY179" s="85"/>
      <c r="CZ179" s="85"/>
      <c r="DA179" s="85"/>
      <c r="DB179" s="85"/>
      <c r="DC179" s="85"/>
      <c r="DD179" s="85"/>
      <c r="DE179" s="85"/>
      <c r="DF179" s="85"/>
      <c r="DG179" s="85"/>
      <c r="DH179" s="85"/>
      <c r="DI179" s="85"/>
      <c r="DJ179" s="85"/>
      <c r="DK179" s="85"/>
      <c r="DL179" s="85"/>
      <c r="DM179" s="85"/>
      <c r="DN179" s="85"/>
      <c r="DO179" s="85"/>
      <c r="DP179" s="85"/>
      <c r="DQ179" s="85"/>
      <c r="DR179" s="85"/>
      <c r="DS179" s="85"/>
      <c r="DT179" s="85"/>
      <c r="DU179" s="85"/>
      <c r="DV179" s="85"/>
      <c r="DW179" s="85"/>
      <c r="DX179" s="85"/>
      <c r="DY179" s="85"/>
      <c r="DZ179" s="85"/>
      <c r="EA179" s="85"/>
      <c r="EB179" s="85"/>
      <c r="EC179" s="85"/>
      <c r="ED179" s="85"/>
      <c r="EE179" s="85"/>
      <c r="EF179" s="85"/>
      <c r="EG179" s="85"/>
      <c r="EH179" s="85"/>
      <c r="EI179" s="85"/>
      <c r="EJ179" s="85"/>
      <c r="EK179" s="85"/>
      <c r="EL179" s="85"/>
      <c r="EM179" s="85"/>
      <c r="EN179" s="85"/>
      <c r="EO179" s="85"/>
      <c r="EP179" s="85"/>
      <c r="EQ179" s="85"/>
      <c r="ER179" s="85"/>
      <c r="ES179" s="85"/>
      <c r="ET179" s="85"/>
      <c r="EU179" s="85"/>
      <c r="EV179" s="85"/>
    </row>
    <row r="180" customFormat="false" ht="12.8" hidden="false" customHeight="false" outlineLevel="0" collapsed="false">
      <c r="A180" s="62" t="s">
        <v>368</v>
      </c>
      <c r="B180" s="62" t="n">
        <f aca="false">+(B52*1000000)/B179</f>
        <v>221812.297734628</v>
      </c>
      <c r="C180" s="62" t="n">
        <f aca="false">+(C52*1000000)/C179</f>
        <v>248400</v>
      </c>
      <c r="D180" s="62" t="n">
        <f aca="false">+(D52*1000000)/D179</f>
        <v>255920.245398773</v>
      </c>
      <c r="E180" s="62" t="n">
        <f aca="false">+(E52*1000000)/E179</f>
        <v>262408.536585366</v>
      </c>
      <c r="F180" s="62" t="n">
        <f aca="false">+(F52*1000000)/F179</f>
        <v>269845.59353376</v>
      </c>
      <c r="G180" s="62" t="n">
        <f aca="false">+(G52*1000000)/G179</f>
        <v>286661.947338874</v>
      </c>
      <c r="H180" s="62" t="n">
        <f aca="false">+(H52*1000000)/H179</f>
        <v>290387.073720074</v>
      </c>
      <c r="I180" s="62" t="n">
        <f aca="false">+(I52*1000000)/I179</f>
        <v>326855.357730478</v>
      </c>
      <c r="J180" s="62" t="n">
        <f aca="false">+(J52*1000000)/J179</f>
        <v>330011.076364248</v>
      </c>
      <c r="K180" s="62" t="n">
        <f aca="false">+(K52*1000000)/K179</f>
        <v>351984.558267909</v>
      </c>
      <c r="L180" s="62" t="n">
        <f aca="false">+(L52*1000000)/L179</f>
        <v>363261.238184326</v>
      </c>
      <c r="M180" s="62" t="n">
        <f aca="false">+(M52*1000000)/M179</f>
        <v>384548.483325004</v>
      </c>
      <c r="N180" s="62" t="n">
        <f aca="false">+(N52*1000000)/N179</f>
        <v>366137.408744696</v>
      </c>
      <c r="O180" s="62" t="n">
        <f aca="false">+(O52*1000000)/O179</f>
        <v>386894.000133448</v>
      </c>
      <c r="P180" s="62" t="n">
        <f aca="false">+(P52*1000000)/P179</f>
        <v>400818.119900595</v>
      </c>
      <c r="Q180" s="62" t="n">
        <f aca="false">+(Q52*1000000)/Q179</f>
        <v>422529.411764706</v>
      </c>
      <c r="R180" s="62" t="n">
        <f aca="false">+(R52*1000000)/R179</f>
        <v>377228.571428572</v>
      </c>
      <c r="S180" s="62" t="e">
        <f aca="false">+(S52*1000000)/S179</f>
        <v>#DIV/0!</v>
      </c>
      <c r="T180" s="62"/>
      <c r="U180" s="62"/>
      <c r="V180" s="62"/>
      <c r="W180" s="62"/>
      <c r="X180" s="62"/>
      <c r="Y180" s="62" t="n">
        <f aca="false">+(Y52*1000000)/Y179</f>
        <v>525910.780669145</v>
      </c>
      <c r="Z180" s="62" t="n">
        <f aca="false">+(Z52*1000000)/Z179</f>
        <v>488574.784982435</v>
      </c>
      <c r="AA180" s="62" t="n">
        <f aca="false">+(AA52*1000000)/AA179</f>
        <v>595815.447239719</v>
      </c>
      <c r="AB180" s="62" t="n">
        <f aca="false">+(AB52*1000000)/AB179</f>
        <v>971968.895380375</v>
      </c>
      <c r="AC180" s="62" t="n">
        <f aca="false">+(AC52*1000000)/AC179</f>
        <v>1226358.16367254</v>
      </c>
      <c r="AD180" s="62" t="n">
        <f aca="false">+(AD52*1000000)/AD179</f>
        <v>1405059.80278485</v>
      </c>
      <c r="AE180" s="62" t="n">
        <f aca="false">+(AE52*1000000)/AE179</f>
        <v>1559555.94275475</v>
      </c>
      <c r="AF180" s="62"/>
      <c r="AG180" s="62"/>
      <c r="AH180" s="62"/>
      <c r="AI180" s="62"/>
      <c r="AJ180" s="62"/>
      <c r="AK180" s="62"/>
      <c r="AL180" s="62"/>
      <c r="AM180" s="62"/>
      <c r="AN180" s="62"/>
      <c r="AO180" s="62"/>
      <c r="AP180" s="62"/>
      <c r="AQ180" s="62"/>
      <c r="AS180" s="82"/>
      <c r="AT180" s="62"/>
      <c r="AU180" s="62"/>
      <c r="AV180" s="62"/>
      <c r="AW180" s="62"/>
      <c r="AX180" s="62"/>
      <c r="AY180" s="62"/>
      <c r="AZ180" s="62"/>
      <c r="BA180" s="62"/>
      <c r="BB180" s="62"/>
      <c r="BC180" s="62"/>
      <c r="BD180" s="62"/>
      <c r="BE180" s="62"/>
      <c r="BF180" s="62"/>
      <c r="BG180" s="62"/>
      <c r="BH180" s="62"/>
      <c r="BI180" s="62"/>
      <c r="BJ180" s="62"/>
      <c r="BK180" s="62"/>
      <c r="BL180" s="62"/>
      <c r="BM180" s="62"/>
      <c r="BN180" s="62"/>
      <c r="BO180" s="62"/>
      <c r="BP180" s="62"/>
      <c r="BQ180" s="62"/>
      <c r="BR180" s="62"/>
      <c r="BS180" s="62"/>
      <c r="BT180" s="62"/>
      <c r="BU180" s="62"/>
      <c r="BV180" s="62"/>
      <c r="BW180" s="62"/>
      <c r="BX180" s="62"/>
      <c r="BY180" s="62"/>
      <c r="BZ180" s="62"/>
      <c r="CA180" s="62"/>
      <c r="CB180" s="62"/>
      <c r="CC180" s="62"/>
      <c r="CD180" s="62"/>
      <c r="CE180" s="62"/>
      <c r="CF180" s="62"/>
      <c r="CG180" s="62"/>
      <c r="CH180" s="62"/>
      <c r="CI180" s="62"/>
      <c r="CJ180" s="62"/>
      <c r="CK180" s="62"/>
      <c r="CL180" s="62"/>
      <c r="CM180" s="62"/>
      <c r="CN180" s="62"/>
      <c r="CO180" s="62"/>
      <c r="CP180" s="62"/>
      <c r="CQ180" s="62"/>
      <c r="CR180" s="62"/>
      <c r="CS180" s="62"/>
      <c r="CT180" s="62"/>
      <c r="CU180" s="62"/>
      <c r="CV180" s="62"/>
      <c r="CW180" s="62"/>
      <c r="CX180" s="62"/>
      <c r="CY180" s="62"/>
      <c r="CZ180" s="62"/>
      <c r="DA180" s="62"/>
      <c r="DB180" s="62"/>
      <c r="DC180" s="62"/>
      <c r="DD180" s="62"/>
      <c r="DE180" s="62"/>
      <c r="DF180" s="62"/>
      <c r="DG180" s="62"/>
      <c r="DH180" s="62"/>
      <c r="DI180" s="62"/>
      <c r="DJ180" s="62"/>
      <c r="DK180" s="62"/>
      <c r="DL180" s="62"/>
      <c r="DM180" s="62"/>
      <c r="DN180" s="62"/>
      <c r="DO180" s="62"/>
      <c r="DP180" s="62"/>
      <c r="DQ180" s="62"/>
      <c r="DR180" s="62"/>
      <c r="DS180" s="62"/>
      <c r="DT180" s="62"/>
      <c r="DU180" s="62"/>
      <c r="DV180" s="62"/>
      <c r="DW180" s="62"/>
      <c r="DX180" s="62"/>
      <c r="DY180" s="62"/>
      <c r="DZ180" s="62"/>
      <c r="EA180" s="62"/>
      <c r="EB180" s="62"/>
      <c r="EC180" s="62"/>
      <c r="ED180" s="62"/>
      <c r="EE180" s="62"/>
      <c r="EF180" s="62"/>
      <c r="EG180" s="62"/>
      <c r="EH180" s="62"/>
      <c r="EI180" s="62"/>
      <c r="EJ180" s="62"/>
      <c r="EK180" s="62"/>
      <c r="EL180" s="62"/>
      <c r="EM180" s="62"/>
      <c r="EN180" s="62"/>
      <c r="EO180" s="62"/>
      <c r="EP180" s="62"/>
      <c r="EQ180" s="62"/>
      <c r="ER180" s="62"/>
      <c r="ES180" s="62"/>
      <c r="ET180" s="62"/>
      <c r="EU180" s="62"/>
      <c r="EV180" s="62"/>
    </row>
    <row r="181" customFormat="false" ht="12.8" hidden="false" customHeight="false" outlineLevel="0" collapsed="false">
      <c r="AQ181" s="44"/>
      <c r="AR181" s="33"/>
    </row>
    <row r="182" customFormat="false" ht="12.8" hidden="false" customHeight="false" outlineLevel="0" collapsed="false">
      <c r="A182" s="44" t="s">
        <v>369</v>
      </c>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c r="AC182" s="44"/>
      <c r="AD182" s="44" t="n">
        <f aca="false">+AE182/1.5</f>
        <v>1333.33333333333</v>
      </c>
      <c r="AE182" s="44" t="n">
        <v>2000</v>
      </c>
      <c r="AF182" s="44"/>
      <c r="AG182" s="44"/>
      <c r="AH182" s="44"/>
      <c r="AI182" s="44"/>
      <c r="AJ182" s="44"/>
      <c r="AK182" s="44"/>
      <c r="AL182" s="44"/>
      <c r="AM182" s="44"/>
      <c r="AN182" s="44"/>
      <c r="AO182" s="44"/>
      <c r="AP182" s="44"/>
      <c r="AQ182" s="82"/>
      <c r="AR182" s="33"/>
      <c r="AS182" s="33"/>
      <c r="AT182" s="44"/>
      <c r="AU182" s="44"/>
      <c r="AV182" s="44"/>
      <c r="AW182" s="44"/>
      <c r="AX182" s="44"/>
      <c r="AY182" s="44"/>
      <c r="AZ182" s="44"/>
      <c r="BA182" s="44"/>
      <c r="BB182" s="44"/>
      <c r="BC182" s="44"/>
      <c r="BD182" s="44"/>
      <c r="BE182" s="44"/>
      <c r="BF182" s="44"/>
      <c r="BG182" s="44"/>
      <c r="BH182" s="44"/>
      <c r="BI182" s="44"/>
      <c r="BJ182" s="44"/>
      <c r="BK182" s="44"/>
      <c r="BL182" s="44"/>
      <c r="BM182" s="44"/>
      <c r="BN182" s="44"/>
      <c r="BO182" s="44"/>
      <c r="BP182" s="44"/>
      <c r="BQ182" s="44"/>
      <c r="BR182" s="44"/>
      <c r="BS182" s="44"/>
      <c r="BT182" s="44"/>
      <c r="BU182" s="44"/>
      <c r="BV182" s="44"/>
      <c r="BW182" s="44"/>
      <c r="BX182" s="44"/>
      <c r="BY182" s="44"/>
      <c r="BZ182" s="44"/>
      <c r="CA182" s="44"/>
      <c r="CB182" s="44"/>
      <c r="CC182" s="44"/>
      <c r="CD182" s="44"/>
      <c r="CE182" s="44"/>
      <c r="CF182" s="44"/>
      <c r="CG182" s="44"/>
      <c r="CH182" s="44"/>
      <c r="CI182" s="44"/>
      <c r="CJ182" s="44"/>
      <c r="CK182" s="44"/>
      <c r="CL182" s="44"/>
      <c r="CM182" s="44"/>
      <c r="CN182" s="44"/>
      <c r="CO182" s="44"/>
      <c r="CP182" s="44"/>
      <c r="CQ182" s="44"/>
      <c r="CR182" s="44"/>
      <c r="CS182" s="44"/>
      <c r="CT182" s="44"/>
      <c r="CU182" s="44"/>
      <c r="CV182" s="44"/>
      <c r="CW182" s="44"/>
      <c r="CX182" s="44"/>
      <c r="CY182" s="44"/>
      <c r="CZ182" s="44"/>
      <c r="DA182" s="44"/>
      <c r="DB182" s="44"/>
      <c r="DC182" s="44"/>
      <c r="DD182" s="44"/>
      <c r="DE182" s="44"/>
      <c r="DF182" s="44"/>
      <c r="DG182" s="44"/>
      <c r="DH182" s="44"/>
      <c r="DI182" s="44"/>
      <c r="DJ182" s="44"/>
      <c r="DK182" s="44"/>
      <c r="DL182" s="44"/>
      <c r="DM182" s="44"/>
      <c r="DN182" s="44"/>
      <c r="DO182" s="44"/>
      <c r="DP182" s="44"/>
      <c r="DQ182" s="44"/>
      <c r="DR182" s="44"/>
      <c r="DS182" s="44"/>
      <c r="DT182" s="44"/>
      <c r="DU182" s="44"/>
      <c r="DV182" s="44"/>
      <c r="DW182" s="44"/>
      <c r="DX182" s="44"/>
      <c r="DY182" s="44"/>
      <c r="DZ182" s="44"/>
      <c r="EA182" s="44"/>
      <c r="EB182" s="44"/>
      <c r="EC182" s="44"/>
      <c r="ED182" s="44"/>
      <c r="EE182" s="44"/>
      <c r="EF182" s="44"/>
      <c r="EG182" s="44"/>
      <c r="EH182" s="44"/>
      <c r="EI182" s="44"/>
      <c r="EJ182" s="44"/>
      <c r="EK182" s="44"/>
      <c r="EL182" s="44"/>
      <c r="EM182" s="44"/>
      <c r="EN182" s="44"/>
      <c r="EO182" s="44"/>
      <c r="EP182" s="44"/>
      <c r="EQ182" s="44"/>
      <c r="ER182" s="44"/>
      <c r="ES182" s="44"/>
      <c r="ET182" s="44"/>
      <c r="EU182" s="44"/>
    </row>
    <row r="183" customFormat="false" ht="10.5" hidden="false" customHeight="true" outlineLevel="0" collapsed="false">
      <c r="A183" s="38" t="s">
        <v>370</v>
      </c>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t="n">
        <f aca="false">+AE182/AD182-1</f>
        <v>0.5</v>
      </c>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c r="BC183" s="38"/>
      <c r="BD183" s="38"/>
      <c r="BE183" s="38"/>
      <c r="BF183" s="38"/>
      <c r="BG183" s="38"/>
      <c r="BH183" s="38"/>
      <c r="BI183" s="38"/>
      <c r="BJ183" s="38"/>
      <c r="BK183" s="38"/>
      <c r="BL183" s="38"/>
      <c r="BM183" s="38"/>
      <c r="BN183" s="38"/>
      <c r="BO183" s="38"/>
      <c r="BP183" s="38"/>
      <c r="BQ183" s="38"/>
      <c r="BR183" s="38"/>
      <c r="BS183" s="38"/>
      <c r="BT183" s="38"/>
      <c r="BU183" s="38"/>
      <c r="BV183" s="38"/>
      <c r="BW183" s="38"/>
      <c r="BX183" s="38"/>
      <c r="BY183" s="38"/>
      <c r="BZ183" s="38"/>
      <c r="CA183" s="38"/>
      <c r="CB183" s="38"/>
      <c r="CC183" s="38"/>
      <c r="CD183" s="38"/>
      <c r="CE183" s="38"/>
      <c r="CF183" s="38"/>
      <c r="CG183" s="38"/>
      <c r="CH183" s="38"/>
      <c r="CI183" s="38"/>
      <c r="CJ183" s="38"/>
      <c r="CK183" s="38"/>
      <c r="CL183" s="38"/>
      <c r="CM183" s="38"/>
      <c r="CN183" s="38"/>
      <c r="CO183" s="38"/>
      <c r="CP183" s="38"/>
      <c r="CQ183" s="38"/>
      <c r="CR183" s="38"/>
      <c r="CS183" s="38"/>
      <c r="CT183" s="38"/>
      <c r="CU183" s="38"/>
      <c r="CV183" s="38"/>
      <c r="CW183" s="38"/>
      <c r="CX183" s="38"/>
      <c r="CY183" s="38"/>
      <c r="CZ183" s="38"/>
      <c r="DA183" s="38"/>
      <c r="DB183" s="38"/>
      <c r="DC183" s="38"/>
      <c r="DD183" s="38"/>
      <c r="DE183" s="38"/>
      <c r="DF183" s="38"/>
      <c r="DG183" s="38"/>
      <c r="DH183" s="38"/>
      <c r="DI183" s="38"/>
      <c r="DJ183" s="38"/>
      <c r="DK183" s="38"/>
      <c r="DL183" s="38"/>
      <c r="DM183" s="38"/>
      <c r="DN183" s="38"/>
      <c r="DO183" s="38"/>
      <c r="DP183" s="38"/>
      <c r="DQ183" s="38"/>
      <c r="DR183" s="38"/>
      <c r="DS183" s="38"/>
      <c r="DT183" s="38"/>
      <c r="DU183" s="38"/>
      <c r="DV183" s="38"/>
      <c r="DW183" s="38"/>
      <c r="DX183" s="38"/>
      <c r="DY183" s="38"/>
      <c r="DZ183" s="38"/>
      <c r="EA183" s="38"/>
      <c r="EB183" s="38"/>
      <c r="EC183" s="38"/>
      <c r="ED183" s="38"/>
      <c r="EE183" s="38"/>
      <c r="EF183" s="38"/>
      <c r="EG183" s="38"/>
      <c r="EH183" s="38"/>
      <c r="EI183" s="38"/>
      <c r="EJ183" s="38"/>
      <c r="EK183" s="38"/>
      <c r="EL183" s="38"/>
      <c r="EM183" s="38"/>
      <c r="EN183" s="38"/>
      <c r="EO183" s="38"/>
      <c r="EP183" s="38"/>
      <c r="EQ183" s="38"/>
      <c r="ER183" s="38"/>
      <c r="ES183" s="38"/>
      <c r="ET183" s="38"/>
      <c r="EU183" s="38"/>
      <c r="EV183" s="38"/>
    </row>
    <row r="184" customFormat="false" ht="12.8" hidden="false" customHeight="false" outlineLevel="0" collapsed="false">
      <c r="AA184" s="125"/>
      <c r="AQ184" s="33"/>
      <c r="AR184" s="33"/>
      <c r="AS184" s="33"/>
    </row>
    <row r="185" customFormat="false" ht="12.8" hidden="false" customHeight="false" outlineLevel="0" collapsed="false">
      <c r="A185" s="1" t="s">
        <v>371</v>
      </c>
      <c r="C185" s="3" t="n">
        <f aca="false">+AVERAGE(B125:C125)/C52*90</f>
        <v>27.5083612040134</v>
      </c>
      <c r="D185" s="3" t="n">
        <f aca="false">+AVERAGE(C125:D125)/D52*90</f>
        <v>26.5749730312837</v>
      </c>
      <c r="E185" s="3" t="n">
        <f aca="false">+AVERAGE(D125:E125)/E52*90</f>
        <v>27.4329034506797</v>
      </c>
      <c r="F185" s="3" t="n">
        <f aca="false">+AVERAGE(E125:F125)/F52*90</f>
        <v>27.2836966677383</v>
      </c>
      <c r="G185" s="3" t="n">
        <f aca="false">+AVERAGE(F125:G125)/G52*90</f>
        <v>25.0923168880071</v>
      </c>
      <c r="H185" s="3" t="n">
        <f aca="false">+AVERAGE(G125:H125)/H52*90</f>
        <v>27.0027515327999</v>
      </c>
      <c r="I185" s="3" t="n">
        <f aca="false">+AVERAGE(H125:I125)/I52*90</f>
        <v>29.0024472261357</v>
      </c>
      <c r="J185" s="3" t="n">
        <f aca="false">+AVERAGE(I125:J125)/J52*90</f>
        <v>31.5891085086473</v>
      </c>
      <c r="K185" s="3" t="n">
        <f aca="false">+AVERAGE(J125:K125)/K52*90</f>
        <v>31.503232330293</v>
      </c>
      <c r="L185" s="3" t="n">
        <f aca="false">+AVERAGE(K125:L125)/L52*90</f>
        <v>30.1730906950017</v>
      </c>
      <c r="M185" s="3" t="n">
        <f aca="false">+AVERAGE(L125:M125)/M52*90</f>
        <v>26.5346476799818</v>
      </c>
      <c r="N185" s="3" t="n">
        <f aca="false">+AVERAGE(M125:N125)/N52*90</f>
        <v>26.6176415000246</v>
      </c>
      <c r="O185" s="3" t="n">
        <f aca="false">+AVERAGE(N125:O125)/O52*90</f>
        <v>25.8160462324314</v>
      </c>
      <c r="P185" s="3" t="n">
        <f aca="false">+AVERAGE(O125:P125)/P52*90</f>
        <v>25.2006891795409</v>
      </c>
      <c r="Q185" s="3" t="n">
        <f aca="false">+AVERAGE(P125:Q125)/Q52*90</f>
        <v>23.8062091048309</v>
      </c>
      <c r="R185" s="3" t="n">
        <f aca="false">+AVERAGE(Q125:R125)/R52*90</f>
        <v>26.319018404908</v>
      </c>
      <c r="S185" s="3" t="n">
        <f aca="false">+AVERAGE(R125:S125)/S52*90</f>
        <v>25.980198717497</v>
      </c>
      <c r="T185" s="1" t="n">
        <v>25</v>
      </c>
      <c r="U185" s="1" t="n">
        <v>24</v>
      </c>
      <c r="Z185" s="3" t="n">
        <f aca="false">+AVERAGE(Y125:Z125)/Z52*365</f>
        <v>37.468226491493</v>
      </c>
      <c r="AA185" s="3" t="n">
        <f aca="false">+AVERAGE(Z125:AA125)/AA52*365</f>
        <v>36.7145320343313</v>
      </c>
      <c r="AB185" s="3" t="n">
        <f aca="false">+AVERAGE(AA125:AB125)/AB52*365</f>
        <v>29.8703789866966</v>
      </c>
      <c r="AC185" s="3" t="n">
        <f aca="false">+AVERAGE(AB125:AC125)/AC52*365</f>
        <v>30.2671274308903</v>
      </c>
      <c r="AD185" s="3" t="n">
        <f aca="false">+AVERAGE(AC125:AD125)/AD52*365</f>
        <v>27.956980873051</v>
      </c>
      <c r="AE185" s="3" t="n">
        <f aca="false">+AVERAGE(AD125:AE125)/AE52*365</f>
        <v>25.1204265044362</v>
      </c>
      <c r="AF185" s="126" t="n">
        <v>24</v>
      </c>
      <c r="AG185" s="126" t="n">
        <v>23</v>
      </c>
      <c r="AH185" s="126" t="n">
        <v>22</v>
      </c>
      <c r="AI185" s="126" t="n">
        <v>21</v>
      </c>
      <c r="AJ185" s="126" t="n">
        <v>20</v>
      </c>
      <c r="AK185" s="126" t="n">
        <v>20</v>
      </c>
      <c r="AL185" s="126" t="n">
        <v>20</v>
      </c>
      <c r="AM185" s="126" t="n">
        <v>20</v>
      </c>
      <c r="AN185" s="126" t="n">
        <v>20</v>
      </c>
      <c r="AO185" s="126" t="n">
        <v>20</v>
      </c>
      <c r="AQ185" s="33"/>
      <c r="AR185" s="33"/>
      <c r="AS185" s="33"/>
    </row>
    <row r="186" customFormat="false" ht="12.8" hidden="false" customHeight="false" outlineLevel="0" collapsed="false">
      <c r="A186" s="1" t="s">
        <v>372</v>
      </c>
      <c r="C186" s="3" t="n">
        <f aca="false">+AVERAGE(B136:C136)/C54*90</f>
        <v>13.943661971831</v>
      </c>
      <c r="D186" s="3" t="n">
        <f aca="false">+AVERAGE(C136:D136)/D54*90</f>
        <v>13.2</v>
      </c>
      <c r="E186" s="3" t="n">
        <f aca="false">+AVERAGE(D136:E136)/E54*90</f>
        <v>12.2224231464738</v>
      </c>
      <c r="F186" s="3" t="n">
        <f aca="false">+AVERAGE(E136:F136)/F54*90</f>
        <v>11.8551042810099</v>
      </c>
      <c r="G186" s="3" t="n">
        <f aca="false">+AVERAGE(F136:G136)/G54*90</f>
        <v>11.0553905294426</v>
      </c>
      <c r="H186" s="3" t="n">
        <f aca="false">+AVERAGE(G136:H136)/H54*90</f>
        <v>11.5220373863831</v>
      </c>
      <c r="I186" s="3" t="n">
        <f aca="false">+AVERAGE(H136:I136)/I54*90</f>
        <v>11.4225239616613</v>
      </c>
      <c r="J186" s="3" t="n">
        <f aca="false">+AVERAGE(I136:J136)/J54*90</f>
        <v>11.4871028625354</v>
      </c>
      <c r="K186" s="3" t="n">
        <f aca="false">+AVERAGE(J136:K136)/K54*90</f>
        <v>10.7078516739228</v>
      </c>
      <c r="L186" s="3" t="n">
        <f aca="false">+AVERAGE(K136:L136)/L54*90</f>
        <v>10.0763688760807</v>
      </c>
      <c r="M186" s="3" t="n">
        <f aca="false">+AVERAGE(L136:M136)/M54*90</f>
        <v>10.0905038497906</v>
      </c>
      <c r="N186" s="3" t="n">
        <f aca="false">+AVERAGE(M136:N136)/N54*90</f>
        <v>10.9587788407428</v>
      </c>
      <c r="O186" s="3" t="n">
        <f aca="false">+AVERAGE(N136:O136)/O54*90</f>
        <v>10.9523503724634</v>
      </c>
      <c r="P186" s="3" t="n">
        <f aca="false">+AVERAGE(O136:P136)/P54*90</f>
        <v>11.6120284440159</v>
      </c>
      <c r="Q186" s="3" t="n">
        <f aca="false">+AVERAGE(P136:Q136)/Q54*90</f>
        <v>10.8211143695015</v>
      </c>
      <c r="R186" s="3" t="n">
        <f aca="false">+AVERAGE(Q136:R136)/R54*90</f>
        <v>13.3149690943295</v>
      </c>
      <c r="S186" s="3" t="n">
        <f aca="false">+AVERAGE(R136:S136)/S54*90</f>
        <v>14.3664875671623</v>
      </c>
      <c r="T186" s="1" t="n">
        <v>14</v>
      </c>
      <c r="U186" s="1" t="n">
        <v>14</v>
      </c>
      <c r="Z186" s="3" t="n">
        <f aca="false">+AVERAGE(Y136:Z136)/Z54*365</f>
        <v>16.1507243847094</v>
      </c>
      <c r="AA186" s="3" t="n">
        <f aca="false">+AVERAGE(Z136:AA136)/AA54*365</f>
        <v>19.4906368867649</v>
      </c>
      <c r="AB186" s="3" t="n">
        <f aca="false">+AVERAGE(AA136:AB136)/AB54*365</f>
        <v>14.0643501892653</v>
      </c>
      <c r="AC186" s="3" t="n">
        <f aca="false">+AVERAGE(AB136:AC136)/AC54*365</f>
        <v>11.9001288659794</v>
      </c>
      <c r="AD186" s="3" t="n">
        <f aca="false">+AVERAGE(AC136:AD136)/AD54*365</f>
        <v>10.9918865580001</v>
      </c>
      <c r="AE186" s="3" t="n">
        <f aca="false">+AVERAGE(AD136:AE136)/AE54*365</f>
        <v>10.6515737592414</v>
      </c>
      <c r="AF186" s="126" t="n">
        <v>11</v>
      </c>
      <c r="AG186" s="126" t="n">
        <v>10</v>
      </c>
      <c r="AH186" s="126" t="n">
        <v>10</v>
      </c>
      <c r="AI186" s="126" t="n">
        <v>10</v>
      </c>
      <c r="AJ186" s="126" t="n">
        <v>9</v>
      </c>
      <c r="AK186" s="126" t="n">
        <v>9</v>
      </c>
      <c r="AL186" s="126" t="n">
        <v>9</v>
      </c>
      <c r="AM186" s="126" t="n">
        <v>9</v>
      </c>
      <c r="AN186" s="126" t="n">
        <v>9</v>
      </c>
      <c r="AO186" s="126" t="n">
        <v>9</v>
      </c>
      <c r="AQ186" s="33"/>
      <c r="AR186" s="122"/>
      <c r="AS186" s="122"/>
    </row>
    <row r="187" customFormat="false" ht="12.8" hidden="false" customHeight="false" outlineLevel="0" collapsed="false">
      <c r="A187" s="1" t="s">
        <v>373</v>
      </c>
      <c r="C187" s="3" t="n">
        <f aca="false">+C185-C186</f>
        <v>13.5646992321824</v>
      </c>
      <c r="D187" s="3" t="n">
        <f aca="false">+D185-D186</f>
        <v>13.3749730312837</v>
      </c>
      <c r="E187" s="3" t="n">
        <f aca="false">+E185-E186</f>
        <v>15.2104803042059</v>
      </c>
      <c r="F187" s="3" t="n">
        <f aca="false">+F185-F186</f>
        <v>15.4285923867284</v>
      </c>
      <c r="G187" s="3" t="n">
        <f aca="false">+G185-G186</f>
        <v>14.0369263585645</v>
      </c>
      <c r="H187" s="3" t="n">
        <f aca="false">+H185-H186</f>
        <v>15.4807141464168</v>
      </c>
      <c r="I187" s="3" t="n">
        <f aca="false">+I185-I186</f>
        <v>17.5799232644744</v>
      </c>
      <c r="J187" s="3" t="n">
        <f aca="false">+J185-J186</f>
        <v>20.1020056461119</v>
      </c>
      <c r="K187" s="3" t="n">
        <f aca="false">+K185-K186</f>
        <v>20.7953806563702</v>
      </c>
      <c r="L187" s="3" t="n">
        <f aca="false">+L185-L186</f>
        <v>20.096721818921</v>
      </c>
      <c r="M187" s="3" t="n">
        <f aca="false">+M185-M186</f>
        <v>16.4441438301912</v>
      </c>
      <c r="N187" s="3" t="n">
        <f aca="false">+N185-N186</f>
        <v>15.6588626592818</v>
      </c>
      <c r="O187" s="3" t="n">
        <f aca="false">+O185-O186</f>
        <v>14.863695859968</v>
      </c>
      <c r="P187" s="3" t="n">
        <f aca="false">+P185-P186</f>
        <v>13.588660735525</v>
      </c>
      <c r="Q187" s="3" t="n">
        <f aca="false">+Q185-Q186</f>
        <v>12.9850947353294</v>
      </c>
      <c r="R187" s="3" t="n">
        <f aca="false">+R185-R186</f>
        <v>13.0040493105785</v>
      </c>
      <c r="S187" s="3" t="n">
        <f aca="false">+S185-S186</f>
        <v>11.6137111503347</v>
      </c>
      <c r="T187" s="3" t="n">
        <f aca="false">+T185-T186</f>
        <v>11</v>
      </c>
      <c r="U187" s="3" t="n">
        <f aca="false">+U185-U186</f>
        <v>10</v>
      </c>
      <c r="Z187" s="3" t="n">
        <f aca="false">+Z185-Z186</f>
        <v>21.3175021067836</v>
      </c>
      <c r="AA187" s="3" t="n">
        <f aca="false">+AA185-AA186</f>
        <v>17.2238951475664</v>
      </c>
      <c r="AB187" s="3" t="n">
        <f aca="false">+AB185-AB186</f>
        <v>15.8060287974313</v>
      </c>
      <c r="AC187" s="3" t="n">
        <f aca="false">+AC185-AC186</f>
        <v>18.3669985649109</v>
      </c>
      <c r="AD187" s="3" t="n">
        <f aca="false">+AD185-AD186</f>
        <v>16.9650943150509</v>
      </c>
      <c r="AE187" s="3" t="n">
        <f aca="false">+AE185-AE186</f>
        <v>14.4688527451948</v>
      </c>
      <c r="AF187" s="127" t="n">
        <f aca="false">+AF185-AF186</f>
        <v>13</v>
      </c>
      <c r="AG187" s="127" t="n">
        <f aca="false">+AG185-AG186</f>
        <v>13</v>
      </c>
      <c r="AH187" s="127" t="n">
        <f aca="false">+AH185-AH186</f>
        <v>12</v>
      </c>
      <c r="AI187" s="127" t="n">
        <f aca="false">+AI185-AI186</f>
        <v>11</v>
      </c>
      <c r="AJ187" s="127" t="n">
        <f aca="false">+AJ185-AJ186</f>
        <v>11</v>
      </c>
      <c r="AK187" s="127" t="n">
        <f aca="false">+AK185-AK186</f>
        <v>11</v>
      </c>
      <c r="AL187" s="127" t="n">
        <f aca="false">+AL185-AL186</f>
        <v>11</v>
      </c>
      <c r="AM187" s="127" t="n">
        <f aca="false">+AM185-AM186</f>
        <v>11</v>
      </c>
      <c r="AN187" s="127" t="n">
        <f aca="false">+AN185-AN186</f>
        <v>11</v>
      </c>
      <c r="AO187" s="127" t="n">
        <f aca="false">+AO185-AO186</f>
        <v>11</v>
      </c>
      <c r="AQ187" s="33"/>
      <c r="AR187" s="122"/>
      <c r="AS187" s="122"/>
    </row>
    <row r="188" customFormat="false" ht="10.5" hidden="false" customHeight="true" outlineLevel="0" collapsed="false">
      <c r="A188" s="38"/>
      <c r="B188" s="38"/>
      <c r="C188" s="38"/>
      <c r="D188" s="38"/>
      <c r="E188" s="38"/>
      <c r="F188" s="38"/>
      <c r="G188" s="38" t="n">
        <f aca="false">+G185/C185-1</f>
        <v>-0.0878294529466095</v>
      </c>
      <c r="H188" s="38" t="n">
        <f aca="false">+H185/D185-1</f>
        <v>0.0160970436738579</v>
      </c>
      <c r="I188" s="38" t="n">
        <f aca="false">+I185/E185-1</f>
        <v>0.0572139138781964</v>
      </c>
      <c r="J188" s="38" t="n">
        <f aca="false">+J185/F185-1</f>
        <v>0.157801631257686</v>
      </c>
      <c r="K188" s="38" t="n">
        <f aca="false">+K185/G185-1</f>
        <v>0.255493164337882</v>
      </c>
      <c r="L188" s="38" t="n">
        <f aca="false">+L185/H185-1</f>
        <v>0.117408004082504</v>
      </c>
      <c r="M188" s="38" t="n">
        <f aca="false">+M185/I185-1</f>
        <v>-0.0850893556296209</v>
      </c>
      <c r="N188" s="38" t="n">
        <f aca="false">+N185/J185-1</f>
        <v>-0.15737914880573</v>
      </c>
      <c r="O188" s="38" t="n">
        <f aca="false">+O185/K185-1</f>
        <v>-0.180527065865329</v>
      </c>
      <c r="P188" s="38" t="n">
        <f aca="false">+P185/L185-1</f>
        <v>-0.164795895976426</v>
      </c>
      <c r="Q188" s="38" t="n">
        <f aca="false">+Q185/M185-1</f>
        <v>-0.102825506034864</v>
      </c>
      <c r="R188" s="38" t="n">
        <f aca="false">+R185/N185-1</f>
        <v>-0.0112189915517629</v>
      </c>
      <c r="S188" s="38" t="n">
        <f aca="false">+S185/O185-1</f>
        <v>0.00635854474336162</v>
      </c>
      <c r="T188" s="38" t="n">
        <f aca="false">+T185/P185-1</f>
        <v>-0.00796363853826088</v>
      </c>
      <c r="U188" s="38" t="n">
        <f aca="false">+U185/Q185-1</f>
        <v>0.00814035087719289</v>
      </c>
      <c r="V188" s="38"/>
      <c r="W188" s="38"/>
      <c r="X188" s="38"/>
      <c r="Y188" s="38"/>
      <c r="Z188" s="38"/>
      <c r="AA188" s="38" t="n">
        <f aca="false">+AA185/Z185-1</f>
        <v>-0.0201155626443355</v>
      </c>
      <c r="AB188" s="38" t="n">
        <f aca="false">+AB185/AA185-1</f>
        <v>-0.186415369293956</v>
      </c>
      <c r="AC188" s="38" t="n">
        <f aca="false">+AC185/AB185-1</f>
        <v>0.0132823371397603</v>
      </c>
      <c r="AD188" s="38" t="n">
        <f aca="false">+AD185/AC185-1</f>
        <v>-0.0763252661857041</v>
      </c>
      <c r="AE188" s="38" t="n">
        <f aca="false">+AE185/AD185-1</f>
        <v>-0.101461398192287</v>
      </c>
      <c r="AF188" s="38" t="n">
        <f aca="false">+AF185/AE185-1</f>
        <v>-0.0446022086543144</v>
      </c>
      <c r="AG188" s="38" t="n">
        <f aca="false">+AG185/AF185-1</f>
        <v>-0.0416666666666666</v>
      </c>
      <c r="AH188" s="38" t="n">
        <f aca="false">+AH185/AG185-1</f>
        <v>-0.0434782608695652</v>
      </c>
      <c r="AI188" s="38"/>
      <c r="AJ188" s="38"/>
      <c r="AK188" s="38"/>
      <c r="AL188" s="38"/>
      <c r="AM188" s="38"/>
      <c r="AN188" s="38"/>
      <c r="AO188" s="38"/>
      <c r="AP188" s="38"/>
      <c r="AQ188" s="38"/>
      <c r="AR188" s="38"/>
      <c r="AS188" s="38"/>
      <c r="AT188" s="38"/>
      <c r="AU188" s="38"/>
      <c r="AV188" s="38"/>
      <c r="AW188" s="38"/>
      <c r="AX188" s="38"/>
      <c r="AY188" s="38"/>
      <c r="AZ188" s="38"/>
      <c r="BA188" s="38"/>
      <c r="BB188" s="38"/>
      <c r="BC188" s="38"/>
      <c r="BD188" s="38"/>
      <c r="BE188" s="38"/>
      <c r="BF188" s="38"/>
      <c r="BG188" s="38"/>
      <c r="BH188" s="38"/>
      <c r="BI188" s="38"/>
      <c r="BJ188" s="38"/>
      <c r="BK188" s="38"/>
      <c r="BL188" s="38"/>
      <c r="BM188" s="38"/>
      <c r="BN188" s="38"/>
      <c r="BO188" s="38"/>
      <c r="BP188" s="38"/>
      <c r="BQ188" s="38"/>
      <c r="BR188" s="38"/>
      <c r="BS188" s="38"/>
      <c r="BT188" s="38"/>
      <c r="BU188" s="38"/>
      <c r="BV188" s="38"/>
      <c r="BW188" s="38"/>
      <c r="BX188" s="38"/>
      <c r="BY188" s="38"/>
      <c r="BZ188" s="38"/>
      <c r="CA188" s="38"/>
      <c r="CB188" s="38"/>
      <c r="CC188" s="38"/>
      <c r="CD188" s="38"/>
      <c r="CE188" s="38"/>
      <c r="CF188" s="38"/>
      <c r="CG188" s="38"/>
      <c r="CH188" s="38"/>
      <c r="CI188" s="38"/>
      <c r="CJ188" s="38"/>
      <c r="CK188" s="38"/>
      <c r="CL188" s="38"/>
      <c r="CM188" s="38"/>
      <c r="CN188" s="38"/>
      <c r="CO188" s="38"/>
      <c r="CP188" s="38"/>
      <c r="CQ188" s="38"/>
      <c r="CR188" s="38"/>
      <c r="CS188" s="38"/>
      <c r="CT188" s="38"/>
      <c r="CU188" s="38"/>
      <c r="CV188" s="38"/>
      <c r="CW188" s="38"/>
      <c r="CX188" s="38"/>
      <c r="CY188" s="38"/>
      <c r="CZ188" s="38"/>
      <c r="DA188" s="38"/>
      <c r="DB188" s="38"/>
      <c r="DC188" s="38"/>
      <c r="DD188" s="38"/>
      <c r="DE188" s="38"/>
      <c r="DF188" s="38"/>
      <c r="DG188" s="38"/>
      <c r="DH188" s="38"/>
      <c r="DI188" s="38"/>
      <c r="DJ188" s="38"/>
      <c r="DK188" s="38"/>
      <c r="DL188" s="38"/>
      <c r="DM188" s="38"/>
      <c r="DN188" s="38"/>
      <c r="DO188" s="38"/>
      <c r="DP188" s="38"/>
      <c r="DQ188" s="38"/>
      <c r="DR188" s="38"/>
      <c r="DS188" s="38"/>
      <c r="DT188" s="38"/>
      <c r="DU188" s="38"/>
      <c r="DV188" s="38"/>
      <c r="DW188" s="38"/>
      <c r="DX188" s="38"/>
      <c r="DY188" s="38"/>
      <c r="DZ188" s="38"/>
      <c r="EA188" s="38"/>
      <c r="EB188" s="38"/>
      <c r="EC188" s="38"/>
      <c r="ED188" s="38"/>
      <c r="EE188" s="38"/>
      <c r="EF188" s="38"/>
      <c r="EG188" s="38"/>
      <c r="EH188" s="38"/>
      <c r="EI188" s="38"/>
      <c r="EJ188" s="38"/>
      <c r="EK188" s="38"/>
      <c r="EL188" s="38"/>
      <c r="EM188" s="38"/>
      <c r="EN188" s="38"/>
      <c r="EO188" s="38"/>
      <c r="EP188" s="38"/>
      <c r="EQ188" s="38"/>
      <c r="ER188" s="38"/>
      <c r="ES188" s="38"/>
      <c r="ET188" s="38"/>
      <c r="EU188" s="38"/>
      <c r="EV188" s="38"/>
    </row>
    <row r="189" customFormat="false" ht="10.5" hidden="false" customHeight="true" outlineLevel="0" collapsed="false">
      <c r="A189" s="38"/>
      <c r="B189" s="38"/>
      <c r="C189" s="38"/>
      <c r="D189" s="38"/>
      <c r="E189" s="38"/>
      <c r="F189" s="38"/>
      <c r="G189" s="38" t="n">
        <f aca="false">+G186/C186-1</f>
        <v>-0.207138658999572</v>
      </c>
      <c r="H189" s="38" t="n">
        <f aca="false">+H186/D186-1</f>
        <v>-0.127118379819462</v>
      </c>
      <c r="I189" s="38" t="n">
        <f aca="false">+I186/E186-1</f>
        <v>-0.0654452210683993</v>
      </c>
      <c r="J189" s="38" t="n">
        <f aca="false">+J186/F186-1</f>
        <v>-0.0310416011324324</v>
      </c>
      <c r="K189" s="38" t="n">
        <f aca="false">+K186/G186-1</f>
        <v>-0.0314361446205123</v>
      </c>
      <c r="L189" s="38" t="n">
        <f aca="false">+L186/H186-1</f>
        <v>-0.125469868029669</v>
      </c>
      <c r="M189" s="38" t="n">
        <f aca="false">+M186/I186-1</f>
        <v>-0.116613466195519</v>
      </c>
      <c r="N189" s="38" t="n">
        <f aca="false">+N186/J186-1</f>
        <v>-0.045992799761174</v>
      </c>
      <c r="O189" s="38" t="n">
        <f aca="false">+O186/K186-1</f>
        <v>0.0228335903396977</v>
      </c>
      <c r="P189" s="38" t="n">
        <f aca="false">+P186/L186-1</f>
        <v>0.152402079243104</v>
      </c>
      <c r="Q189" s="38" t="n">
        <f aca="false">+Q186/M186-1</f>
        <v>0.0724057520404258</v>
      </c>
      <c r="R189" s="38" t="n">
        <f aca="false">+R186/N186-1</f>
        <v>0.215004818313041</v>
      </c>
      <c r="S189" s="38" t="n">
        <f aca="false">+S186/O186-1</f>
        <v>0.311726440315752</v>
      </c>
      <c r="T189" s="38" t="n">
        <f aca="false">+T186/P186-1</f>
        <v>0.205646375006488</v>
      </c>
      <c r="U189" s="38" t="n">
        <f aca="false">+U186/Q186-1</f>
        <v>0.293766937669373</v>
      </c>
      <c r="V189" s="38"/>
      <c r="W189" s="38"/>
      <c r="X189" s="38"/>
      <c r="Y189" s="38"/>
      <c r="Z189" s="38"/>
      <c r="AA189" s="38" t="n">
        <f aca="false">+AA186/Z186-1</f>
        <v>0.206796452128026</v>
      </c>
      <c r="AB189" s="38" t="n">
        <f aca="false">+AB186/AA186-1</f>
        <v>-0.278404791440362</v>
      </c>
      <c r="AC189" s="38" t="n">
        <f aca="false">+AC186/AB186-1</f>
        <v>-0.153879937157548</v>
      </c>
      <c r="AD189" s="38" t="n">
        <f aca="false">+AD186/AC186-1</f>
        <v>-0.0763220565262803</v>
      </c>
      <c r="AE189" s="38" t="n">
        <f aca="false">+AE186/AD186-1</f>
        <v>-0.0309603630789853</v>
      </c>
      <c r="AF189" s="38" t="n">
        <f aca="false">+AF186/AE186-1</f>
        <v>0.0327112451769207</v>
      </c>
      <c r="AG189" s="38" t="n">
        <f aca="false">+AG186/AF186-1</f>
        <v>-0.0909090909090909</v>
      </c>
      <c r="AH189" s="38" t="n">
        <f aca="false">+AH186/AG186-1</f>
        <v>0</v>
      </c>
      <c r="AI189" s="38"/>
      <c r="AJ189" s="38"/>
      <c r="AK189" s="38"/>
      <c r="AL189" s="38"/>
      <c r="AM189" s="38"/>
      <c r="AN189" s="38"/>
      <c r="AO189" s="38"/>
      <c r="AP189" s="38"/>
      <c r="AQ189" s="38"/>
      <c r="AR189" s="38"/>
      <c r="AS189" s="38"/>
      <c r="AT189" s="38"/>
      <c r="AU189" s="38"/>
      <c r="AV189" s="38"/>
      <c r="AW189" s="38"/>
      <c r="AX189" s="38"/>
      <c r="AY189" s="38"/>
      <c r="AZ189" s="38"/>
      <c r="BA189" s="38"/>
      <c r="BB189" s="38"/>
      <c r="BC189" s="38"/>
      <c r="BD189" s="38"/>
      <c r="BE189" s="38"/>
      <c r="BF189" s="38"/>
      <c r="BG189" s="38"/>
      <c r="BH189" s="38"/>
      <c r="BI189" s="38"/>
      <c r="BJ189" s="38"/>
      <c r="BK189" s="38"/>
      <c r="BL189" s="38"/>
      <c r="BM189" s="38"/>
      <c r="BN189" s="38"/>
      <c r="BO189" s="38"/>
      <c r="BP189" s="38"/>
      <c r="BQ189" s="38"/>
      <c r="BR189" s="38"/>
      <c r="BS189" s="38"/>
      <c r="BT189" s="38"/>
      <c r="BU189" s="38"/>
      <c r="BV189" s="38"/>
      <c r="BW189" s="38"/>
      <c r="BX189" s="38"/>
      <c r="BY189" s="38"/>
      <c r="BZ189" s="38"/>
      <c r="CA189" s="38"/>
      <c r="CB189" s="38"/>
      <c r="CC189" s="38"/>
      <c r="CD189" s="38"/>
      <c r="CE189" s="38"/>
      <c r="CF189" s="38"/>
      <c r="CG189" s="38"/>
      <c r="CH189" s="38"/>
      <c r="CI189" s="38"/>
      <c r="CJ189" s="38"/>
      <c r="CK189" s="38"/>
      <c r="CL189" s="38"/>
      <c r="CM189" s="38"/>
      <c r="CN189" s="38"/>
      <c r="CO189" s="38"/>
      <c r="CP189" s="38"/>
      <c r="CQ189" s="38"/>
      <c r="CR189" s="38"/>
      <c r="CS189" s="38"/>
      <c r="CT189" s="38"/>
      <c r="CU189" s="38"/>
      <c r="CV189" s="38"/>
      <c r="CW189" s="38"/>
      <c r="CX189" s="38"/>
      <c r="CY189" s="38"/>
      <c r="CZ189" s="38"/>
      <c r="DA189" s="38"/>
      <c r="DB189" s="38"/>
      <c r="DC189" s="38"/>
      <c r="DD189" s="38"/>
      <c r="DE189" s="38"/>
      <c r="DF189" s="38"/>
      <c r="DG189" s="38"/>
      <c r="DH189" s="38"/>
      <c r="DI189" s="38"/>
      <c r="DJ189" s="38"/>
      <c r="DK189" s="38"/>
      <c r="DL189" s="38"/>
      <c r="DM189" s="38"/>
      <c r="DN189" s="38"/>
      <c r="DO189" s="38"/>
      <c r="DP189" s="38"/>
      <c r="DQ189" s="38"/>
      <c r="DR189" s="38"/>
      <c r="DS189" s="38"/>
      <c r="DT189" s="38"/>
      <c r="DU189" s="38"/>
      <c r="DV189" s="38"/>
      <c r="DW189" s="38"/>
      <c r="DX189" s="38"/>
      <c r="DY189" s="38"/>
      <c r="DZ189" s="38"/>
      <c r="EA189" s="38"/>
      <c r="EB189" s="38"/>
      <c r="EC189" s="38"/>
      <c r="ED189" s="38"/>
      <c r="EE189" s="38"/>
      <c r="EF189" s="38"/>
      <c r="EG189" s="38"/>
      <c r="EH189" s="38"/>
      <c r="EI189" s="38"/>
      <c r="EJ189" s="38"/>
      <c r="EK189" s="38"/>
      <c r="EL189" s="38"/>
      <c r="EM189" s="38"/>
      <c r="EN189" s="38"/>
      <c r="EO189" s="38"/>
      <c r="EP189" s="38"/>
      <c r="EQ189" s="38"/>
      <c r="ER189" s="38"/>
      <c r="ES189" s="38"/>
      <c r="ET189" s="38"/>
      <c r="EU189" s="38"/>
      <c r="EV189" s="38"/>
    </row>
    <row r="190" customFormat="false" ht="10.5" hidden="false" customHeight="true" outlineLevel="0" collapsed="false">
      <c r="A190" s="38"/>
      <c r="B190" s="38"/>
      <c r="C190" s="38"/>
      <c r="D190" s="38"/>
      <c r="E190" s="38"/>
      <c r="F190" s="38"/>
      <c r="G190" s="38" t="n">
        <f aca="false">+G187/C187-1</f>
        <v>0.0348129448577677</v>
      </c>
      <c r="H190" s="38" t="n">
        <f aca="false">+H187/D187-1</f>
        <v>0.157438905499682</v>
      </c>
      <c r="I190" s="38" t="n">
        <f aca="false">+I187/E187-1</f>
        <v>0.155776998022435</v>
      </c>
      <c r="J190" s="38" t="n">
        <f aca="false">+J187/F187-1</f>
        <v>0.302906003492809</v>
      </c>
      <c r="K190" s="38" t="n">
        <f aca="false">+K187/G187-1</f>
        <v>0.481476793791255</v>
      </c>
      <c r="L190" s="38" t="n">
        <f aca="false">+L187/H187-1</f>
        <v>0.298177954120589</v>
      </c>
      <c r="M190" s="38" t="n">
        <f aca="false">+M187/I187-1</f>
        <v>-0.0646066207000156</v>
      </c>
      <c r="N190" s="38" t="n">
        <f aca="false">+N187/J187-1</f>
        <v>-0.221029834786139</v>
      </c>
      <c r="O190" s="38" t="n">
        <f aca="false">+O187/K187-1</f>
        <v>-0.28524050097564</v>
      </c>
      <c r="P190" s="38" t="n">
        <f aca="false">+P187/L187-1</f>
        <v>-0.323836949231623</v>
      </c>
      <c r="Q190" s="38" t="n">
        <f aca="false">+Q187/M187-1</f>
        <v>-0.210351425442478</v>
      </c>
      <c r="R190" s="38" t="n">
        <f aca="false">+R187/N187-1</f>
        <v>-0.169540624148056</v>
      </c>
      <c r="S190" s="38" t="n">
        <f aca="false">+S187/O187-1</f>
        <v>-0.218652530316259</v>
      </c>
      <c r="T190" s="38" t="n">
        <f aca="false">+T187/P187-1</f>
        <v>-0.190501535501394</v>
      </c>
      <c r="U190" s="38" t="n">
        <f aca="false">+U187/Q187-1</f>
        <v>-0.229886250056199</v>
      </c>
      <c r="V190" s="38"/>
      <c r="W190" s="38"/>
      <c r="X190" s="38"/>
      <c r="Y190" s="38"/>
      <c r="Z190" s="38"/>
      <c r="AA190" s="38" t="n">
        <f aca="false">+AA187/Z187-1</f>
        <v>-0.192030329759631</v>
      </c>
      <c r="AB190" s="38" t="n">
        <f aca="false">+AB187/AA187-1</f>
        <v>-0.0823197272154418</v>
      </c>
      <c r="AC190" s="38" t="n">
        <f aca="false">+AC187/AB187-1</f>
        <v>0.16202487040235</v>
      </c>
      <c r="AD190" s="38" t="n">
        <f aca="false">+AD187/AC187-1</f>
        <v>-0.0763273457503441</v>
      </c>
      <c r="AE190" s="38" t="n">
        <f aca="false">+AE187/AD187-1</f>
        <v>-0.147139858081513</v>
      </c>
      <c r="AF190" s="38" t="n">
        <f aca="false">+AF187/AE187-1</f>
        <v>-0.101518259330039</v>
      </c>
      <c r="AG190" s="38" t="n">
        <f aca="false">+AG187/AF187-1</f>
        <v>0</v>
      </c>
      <c r="AH190" s="38" t="n">
        <f aca="false">+AH187/AG187-1</f>
        <v>-0.0769230769230769</v>
      </c>
      <c r="AI190" s="38"/>
      <c r="AJ190" s="38"/>
      <c r="AK190" s="38"/>
      <c r="AL190" s="38"/>
      <c r="AM190" s="38"/>
      <c r="AN190" s="38"/>
      <c r="AO190" s="38"/>
      <c r="AP190" s="38"/>
      <c r="AQ190" s="38"/>
      <c r="AR190" s="38"/>
      <c r="AS190" s="38"/>
      <c r="AT190" s="38"/>
      <c r="AU190" s="38"/>
      <c r="AV190" s="38"/>
      <c r="AW190" s="38"/>
      <c r="AX190" s="38"/>
      <c r="AY190" s="38"/>
      <c r="AZ190" s="38"/>
      <c r="BA190" s="38"/>
      <c r="BB190" s="38"/>
      <c r="BC190" s="38"/>
      <c r="BD190" s="38"/>
      <c r="BE190" s="38"/>
      <c r="BF190" s="38"/>
      <c r="BG190" s="38"/>
      <c r="BH190" s="38"/>
      <c r="BI190" s="38"/>
      <c r="BJ190" s="38"/>
      <c r="BK190" s="38"/>
      <c r="BL190" s="38"/>
      <c r="BM190" s="38"/>
      <c r="BN190" s="38"/>
      <c r="BO190" s="38"/>
      <c r="BP190" s="38"/>
      <c r="BQ190" s="38"/>
      <c r="BR190" s="38"/>
      <c r="BS190" s="38"/>
      <c r="BT190" s="38"/>
      <c r="BU190" s="38"/>
      <c r="BV190" s="38"/>
      <c r="BW190" s="38"/>
      <c r="BX190" s="38"/>
      <c r="BY190" s="38"/>
      <c r="BZ190" s="38"/>
      <c r="CA190" s="38"/>
      <c r="CB190" s="38"/>
      <c r="CC190" s="38"/>
      <c r="CD190" s="38"/>
      <c r="CE190" s="38"/>
      <c r="CF190" s="38"/>
      <c r="CG190" s="38"/>
      <c r="CH190" s="38"/>
      <c r="CI190" s="38"/>
      <c r="CJ190" s="38"/>
      <c r="CK190" s="38"/>
      <c r="CL190" s="38"/>
      <c r="CM190" s="38"/>
      <c r="CN190" s="38"/>
      <c r="CO190" s="38"/>
      <c r="CP190" s="38"/>
      <c r="CQ190" s="38"/>
      <c r="CR190" s="38"/>
      <c r="CS190" s="38"/>
      <c r="CT190" s="38"/>
      <c r="CU190" s="38"/>
      <c r="CV190" s="38"/>
      <c r="CW190" s="38"/>
      <c r="CX190" s="38"/>
      <c r="CY190" s="38"/>
      <c r="CZ190" s="38"/>
      <c r="DA190" s="38"/>
      <c r="DB190" s="38"/>
      <c r="DC190" s="38"/>
      <c r="DD190" s="38"/>
      <c r="DE190" s="38"/>
      <c r="DF190" s="38"/>
      <c r="DG190" s="38"/>
      <c r="DH190" s="38"/>
      <c r="DI190" s="38"/>
      <c r="DJ190" s="38"/>
      <c r="DK190" s="38"/>
      <c r="DL190" s="38"/>
      <c r="DM190" s="38"/>
      <c r="DN190" s="38"/>
      <c r="DO190" s="38"/>
      <c r="DP190" s="38"/>
      <c r="DQ190" s="38"/>
      <c r="DR190" s="38"/>
      <c r="DS190" s="38"/>
      <c r="DT190" s="38"/>
      <c r="DU190" s="38"/>
      <c r="DV190" s="38"/>
      <c r="DW190" s="38"/>
      <c r="DX190" s="38"/>
      <c r="DY190" s="38"/>
      <c r="DZ190" s="38"/>
      <c r="EA190" s="38"/>
      <c r="EB190" s="38"/>
      <c r="EC190" s="38"/>
      <c r="ED190" s="38"/>
      <c r="EE190" s="38"/>
      <c r="EF190" s="38"/>
      <c r="EG190" s="38"/>
      <c r="EH190" s="38"/>
      <c r="EI190" s="38"/>
      <c r="EJ190" s="38"/>
      <c r="EK190" s="38"/>
      <c r="EL190" s="38"/>
      <c r="EM190" s="38"/>
      <c r="EN190" s="38"/>
      <c r="EO190" s="38"/>
      <c r="EP190" s="38"/>
      <c r="EQ190" s="38"/>
      <c r="ER190" s="38"/>
      <c r="ES190" s="38"/>
      <c r="ET190" s="38"/>
      <c r="EU190" s="38"/>
      <c r="EV190" s="38"/>
    </row>
    <row r="191" customFormat="false" ht="12.8" hidden="false" customHeight="false" outlineLevel="0" collapsed="false">
      <c r="AA191" s="125"/>
      <c r="AQ191" s="33"/>
      <c r="AR191" s="33"/>
      <c r="AS191" s="33"/>
    </row>
    <row r="192" customFormat="false" ht="12.8" hidden="false" customHeight="false" outlineLevel="0" collapsed="false">
      <c r="A192" s="1" t="s">
        <v>374</v>
      </c>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c r="CK192" s="33"/>
      <c r="CL192" s="33"/>
      <c r="CM192" s="33"/>
      <c r="CN192" s="33"/>
      <c r="CO192" s="33"/>
      <c r="CP192" s="33"/>
      <c r="CQ192" s="33"/>
      <c r="CR192" s="33"/>
      <c r="CS192" s="33"/>
      <c r="CT192" s="33"/>
      <c r="CU192" s="33"/>
      <c r="CV192" s="33"/>
      <c r="CW192" s="33"/>
      <c r="CX192" s="33"/>
      <c r="CY192" s="33"/>
      <c r="CZ192" s="33"/>
      <c r="DA192" s="33"/>
      <c r="DB192" s="33"/>
      <c r="DC192" s="33"/>
      <c r="DD192" s="33"/>
      <c r="DE192" s="33"/>
      <c r="DF192" s="33"/>
      <c r="DG192" s="33"/>
      <c r="DH192" s="33"/>
      <c r="DI192" s="33"/>
      <c r="DJ192" s="33"/>
      <c r="DK192" s="33"/>
      <c r="DL192" s="33"/>
      <c r="DM192" s="33"/>
      <c r="DN192" s="33"/>
      <c r="DO192" s="33"/>
      <c r="DP192" s="33"/>
      <c r="DQ192" s="33"/>
      <c r="DR192" s="33"/>
      <c r="DS192" s="33"/>
      <c r="DT192" s="33"/>
      <c r="DU192" s="33"/>
      <c r="DV192" s="33"/>
      <c r="DW192" s="33"/>
      <c r="DX192" s="33"/>
      <c r="DY192" s="33"/>
      <c r="DZ192" s="33"/>
      <c r="EA192" s="33"/>
      <c r="EB192" s="33"/>
      <c r="EC192" s="33"/>
      <c r="ED192" s="33"/>
      <c r="EE192" s="33"/>
      <c r="EF192" s="33"/>
      <c r="EG192" s="33"/>
      <c r="EH192" s="33"/>
      <c r="EI192" s="33"/>
      <c r="EJ192" s="33"/>
      <c r="EK192" s="33"/>
      <c r="EL192" s="33"/>
      <c r="EM192" s="33"/>
      <c r="EN192" s="33"/>
      <c r="EO192" s="33"/>
      <c r="EP192" s="33"/>
      <c r="EQ192" s="33"/>
      <c r="ER192" s="33"/>
      <c r="ES192" s="33"/>
      <c r="ET192" s="33"/>
      <c r="EU192" s="33"/>
    </row>
    <row r="193" customFormat="false" ht="12.8" hidden="false" customHeight="false" outlineLevel="0" collapsed="false">
      <c r="A193" s="33" t="s">
        <v>375</v>
      </c>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t="n">
        <v>0</v>
      </c>
      <c r="Z193" s="33" t="n">
        <v>0</v>
      </c>
      <c r="AA193" s="33" t="n">
        <v>2838</v>
      </c>
      <c r="AB193" s="33" t="n">
        <v>0</v>
      </c>
      <c r="AC193" s="33" t="n">
        <v>0</v>
      </c>
      <c r="AD193" s="33" t="n">
        <v>0</v>
      </c>
      <c r="AE193" s="33" t="n">
        <v>0</v>
      </c>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c r="CK193" s="33"/>
      <c r="CL193" s="33"/>
      <c r="CM193" s="33"/>
      <c r="CN193" s="33"/>
      <c r="CO193" s="33"/>
      <c r="CP193" s="33"/>
      <c r="CQ193" s="33"/>
      <c r="CR193" s="33"/>
      <c r="CS193" s="33"/>
      <c r="CT193" s="33"/>
      <c r="CU193" s="33"/>
      <c r="CV193" s="33"/>
      <c r="CW193" s="33"/>
      <c r="CX193" s="33"/>
      <c r="CY193" s="33"/>
      <c r="CZ193" s="33"/>
      <c r="DA193" s="33"/>
      <c r="DB193" s="33"/>
      <c r="DC193" s="33"/>
      <c r="DD193" s="33"/>
      <c r="DE193" s="33"/>
      <c r="DF193" s="33"/>
      <c r="DG193" s="33"/>
      <c r="DH193" s="33"/>
      <c r="DI193" s="33"/>
      <c r="DJ193" s="33"/>
      <c r="DK193" s="33"/>
      <c r="DL193" s="33"/>
      <c r="DM193" s="33"/>
      <c r="DN193" s="33"/>
      <c r="DO193" s="33"/>
      <c r="DP193" s="33"/>
      <c r="DQ193" s="33"/>
      <c r="DR193" s="33"/>
      <c r="DS193" s="33"/>
      <c r="DT193" s="33"/>
      <c r="DU193" s="33"/>
      <c r="DV193" s="33"/>
      <c r="DW193" s="33"/>
      <c r="DX193" s="33"/>
      <c r="DY193" s="33"/>
      <c r="DZ193" s="33"/>
      <c r="EA193" s="33"/>
      <c r="EB193" s="33"/>
      <c r="EC193" s="33"/>
      <c r="ED193" s="33"/>
      <c r="EE193" s="33"/>
      <c r="EF193" s="33"/>
      <c r="EG193" s="33"/>
      <c r="EH193" s="33"/>
      <c r="EI193" s="33"/>
      <c r="EJ193" s="33"/>
      <c r="EK193" s="33"/>
      <c r="EL193" s="33"/>
      <c r="EM193" s="33"/>
      <c r="EN193" s="33"/>
      <c r="EO193" s="33"/>
      <c r="EP193" s="33"/>
      <c r="EQ193" s="33"/>
      <c r="ER193" s="33"/>
      <c r="ES193" s="33"/>
      <c r="ET193" s="33"/>
      <c r="EU193" s="33"/>
    </row>
    <row r="194" customFormat="false" ht="12.8" hidden="false" customHeight="false" outlineLevel="0" collapsed="false">
      <c r="A194" s="33" t="s">
        <v>376</v>
      </c>
      <c r="B194" s="33"/>
      <c r="C194" s="33"/>
      <c r="D194" s="33"/>
      <c r="E194" s="33"/>
      <c r="F194" s="33"/>
      <c r="G194" s="33"/>
      <c r="H194" s="33"/>
      <c r="I194" s="33"/>
      <c r="J194" s="33"/>
      <c r="K194" s="33"/>
      <c r="L194" s="33"/>
      <c r="M194" s="33" t="n">
        <v>2529</v>
      </c>
      <c r="N194" s="33" t="n">
        <v>2428</v>
      </c>
      <c r="O194" s="33"/>
      <c r="P194" s="33"/>
      <c r="Q194" s="33"/>
      <c r="R194" s="33" t="n">
        <v>1961</v>
      </c>
      <c r="S194" s="33"/>
      <c r="T194" s="33"/>
      <c r="U194" s="33"/>
      <c r="V194" s="33"/>
      <c r="W194" s="33"/>
      <c r="X194" s="33"/>
      <c r="Y194" s="33" t="n">
        <v>0</v>
      </c>
      <c r="Z194" s="33" t="n">
        <v>0</v>
      </c>
      <c r="AA194" s="33" t="n">
        <v>3821</v>
      </c>
      <c r="AB194" s="33" t="n">
        <v>1726</v>
      </c>
      <c r="AC194" s="33" t="n">
        <v>1806</v>
      </c>
      <c r="AD194" s="33" t="n">
        <v>2602</v>
      </c>
      <c r="AE194" s="33" t="n">
        <v>2674</v>
      </c>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c r="CK194" s="33"/>
      <c r="CL194" s="33"/>
      <c r="CM194" s="33"/>
      <c r="CN194" s="33"/>
      <c r="CO194" s="33"/>
      <c r="CP194" s="33"/>
      <c r="CQ194" s="33"/>
      <c r="CR194" s="33"/>
      <c r="CS194" s="33"/>
      <c r="CT194" s="33"/>
      <c r="CU194" s="33"/>
      <c r="CV194" s="33"/>
      <c r="CW194" s="33"/>
      <c r="CX194" s="33"/>
      <c r="CY194" s="33"/>
      <c r="CZ194" s="33"/>
      <c r="DA194" s="33"/>
      <c r="DB194" s="33"/>
      <c r="DC194" s="33"/>
      <c r="DD194" s="33"/>
      <c r="DE194" s="33"/>
      <c r="DF194" s="33"/>
      <c r="DG194" s="33"/>
      <c r="DH194" s="33"/>
      <c r="DI194" s="33"/>
      <c r="DJ194" s="33"/>
      <c r="DK194" s="33"/>
      <c r="DL194" s="33"/>
      <c r="DM194" s="33"/>
      <c r="DN194" s="33"/>
      <c r="DO194" s="33"/>
      <c r="DP194" s="33"/>
      <c r="DQ194" s="33"/>
      <c r="DR194" s="33"/>
      <c r="DS194" s="33"/>
      <c r="DT194" s="33"/>
      <c r="DU194" s="33"/>
      <c r="DV194" s="33"/>
      <c r="DW194" s="33"/>
      <c r="DX194" s="33"/>
      <c r="DY194" s="33"/>
      <c r="DZ194" s="33"/>
      <c r="EA194" s="33"/>
      <c r="EB194" s="33"/>
      <c r="EC194" s="33"/>
      <c r="ED194" s="33"/>
      <c r="EE194" s="33"/>
      <c r="EF194" s="33"/>
      <c r="EG194" s="33"/>
      <c r="EH194" s="33"/>
      <c r="EI194" s="33"/>
      <c r="EJ194" s="33"/>
      <c r="EK194" s="33"/>
      <c r="EL194" s="33"/>
      <c r="EM194" s="33"/>
      <c r="EN194" s="33"/>
      <c r="EO194" s="33"/>
      <c r="EP194" s="33"/>
      <c r="EQ194" s="33"/>
      <c r="ER194" s="33"/>
      <c r="ES194" s="33"/>
      <c r="ET194" s="33"/>
      <c r="EU194" s="33"/>
    </row>
    <row r="195" customFormat="false" ht="12.8" hidden="false" customHeight="false" outlineLevel="0" collapsed="false">
      <c r="A195" s="33" t="s">
        <v>377</v>
      </c>
      <c r="B195" s="33"/>
      <c r="C195" s="33"/>
      <c r="D195" s="33"/>
      <c r="E195" s="33"/>
      <c r="F195" s="33"/>
      <c r="G195" s="33"/>
      <c r="H195" s="33"/>
      <c r="I195" s="33"/>
      <c r="J195" s="33"/>
      <c r="K195" s="33"/>
      <c r="L195" s="33"/>
      <c r="M195" s="33" t="n">
        <v>2054</v>
      </c>
      <c r="N195" s="33" t="n">
        <v>2191</v>
      </c>
      <c r="O195" s="33"/>
      <c r="P195" s="33"/>
      <c r="Q195" s="33"/>
      <c r="R195" s="33" t="n">
        <v>1343</v>
      </c>
      <c r="S195" s="33"/>
      <c r="T195" s="33"/>
      <c r="U195" s="33"/>
      <c r="V195" s="33"/>
      <c r="W195" s="33"/>
      <c r="X195" s="33"/>
      <c r="Y195" s="33" t="n">
        <v>0</v>
      </c>
      <c r="Z195" s="33" t="n">
        <v>0</v>
      </c>
      <c r="AA195" s="33" t="n">
        <v>3388</v>
      </c>
      <c r="AB195" s="33" t="n">
        <v>364</v>
      </c>
      <c r="AC195" s="33" t="n">
        <v>1425</v>
      </c>
      <c r="AD195" s="33" t="n">
        <v>2054</v>
      </c>
      <c r="AE195" s="33" t="n">
        <v>1252</v>
      </c>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c r="BF195" s="33"/>
      <c r="BG195" s="33"/>
      <c r="BH195" s="33"/>
      <c r="BI195" s="33"/>
      <c r="BJ195" s="33"/>
      <c r="BK195" s="33"/>
      <c r="BL195" s="33"/>
      <c r="BM195" s="33"/>
      <c r="BN195" s="33"/>
      <c r="BO195" s="33"/>
      <c r="BP195" s="33"/>
      <c r="BQ195" s="33"/>
      <c r="BR195" s="33"/>
      <c r="BS195" s="33"/>
      <c r="BT195" s="33"/>
      <c r="BU195" s="33"/>
      <c r="BV195" s="33"/>
      <c r="BW195" s="33"/>
      <c r="BX195" s="33"/>
      <c r="BY195" s="33"/>
      <c r="BZ195" s="33"/>
      <c r="CA195" s="33"/>
      <c r="CB195" s="33"/>
      <c r="CC195" s="33"/>
      <c r="CD195" s="33"/>
      <c r="CE195" s="33"/>
      <c r="CF195" s="33"/>
      <c r="CG195" s="33"/>
      <c r="CH195" s="33"/>
      <c r="CI195" s="33"/>
      <c r="CJ195" s="33"/>
      <c r="CK195" s="33"/>
      <c r="CL195" s="33"/>
      <c r="CM195" s="33"/>
      <c r="CN195" s="33"/>
      <c r="CO195" s="33"/>
      <c r="CP195" s="33"/>
      <c r="CQ195" s="33"/>
      <c r="CR195" s="33"/>
      <c r="CS195" s="33"/>
      <c r="CT195" s="33"/>
      <c r="CU195" s="33"/>
      <c r="CV195" s="33"/>
      <c r="CW195" s="33"/>
      <c r="CX195" s="33"/>
      <c r="CY195" s="33"/>
      <c r="CZ195" s="33"/>
      <c r="DA195" s="33"/>
      <c r="DB195" s="33"/>
      <c r="DC195" s="33"/>
      <c r="DD195" s="33"/>
      <c r="DE195" s="33"/>
      <c r="DF195" s="33"/>
      <c r="DG195" s="33"/>
      <c r="DH195" s="33"/>
      <c r="DI195" s="33"/>
      <c r="DJ195" s="33"/>
      <c r="DK195" s="33"/>
      <c r="DL195" s="33"/>
      <c r="DM195" s="33"/>
      <c r="DN195" s="33"/>
      <c r="DO195" s="33"/>
      <c r="DP195" s="33"/>
      <c r="DQ195" s="33"/>
      <c r="DR195" s="33"/>
      <c r="DS195" s="33"/>
      <c r="DT195" s="33"/>
      <c r="DU195" s="33"/>
      <c r="DV195" s="33"/>
      <c r="DW195" s="33"/>
      <c r="DX195" s="33"/>
      <c r="DY195" s="33"/>
      <c r="DZ195" s="33"/>
      <c r="EA195" s="33"/>
      <c r="EB195" s="33"/>
      <c r="EC195" s="33"/>
      <c r="ED195" s="33"/>
      <c r="EE195" s="33"/>
      <c r="EF195" s="33"/>
      <c r="EG195" s="33"/>
      <c r="EH195" s="33"/>
      <c r="EI195" s="33"/>
      <c r="EJ195" s="33"/>
      <c r="EK195" s="33"/>
      <c r="EL195" s="33"/>
      <c r="EM195" s="33"/>
      <c r="EN195" s="33"/>
      <c r="EO195" s="33"/>
      <c r="EP195" s="33"/>
      <c r="EQ195" s="33"/>
      <c r="ER195" s="33"/>
      <c r="ES195" s="33"/>
      <c r="ET195" s="33"/>
      <c r="EU195" s="33"/>
    </row>
    <row r="196" customFormat="false" ht="12.8" hidden="false" customHeight="false" outlineLevel="0" collapsed="false">
      <c r="A196" s="33" t="s">
        <v>378</v>
      </c>
      <c r="B196" s="33"/>
      <c r="C196" s="33"/>
      <c r="D196" s="33"/>
      <c r="E196" s="33"/>
      <c r="F196" s="33"/>
      <c r="G196" s="33"/>
      <c r="H196" s="33"/>
      <c r="I196" s="33"/>
      <c r="J196" s="33"/>
      <c r="K196" s="33"/>
      <c r="L196" s="33"/>
      <c r="M196" s="33" t="n">
        <v>523</v>
      </c>
      <c r="N196" s="33" t="n">
        <v>412</v>
      </c>
      <c r="O196" s="33"/>
      <c r="P196" s="33"/>
      <c r="Q196" s="33"/>
      <c r="R196" s="33" t="n">
        <v>569</v>
      </c>
      <c r="S196" s="33"/>
      <c r="T196" s="33"/>
      <c r="U196" s="33"/>
      <c r="V196" s="33"/>
      <c r="W196" s="33"/>
      <c r="X196" s="33"/>
      <c r="Y196" s="33" t="n">
        <v>0</v>
      </c>
      <c r="Z196" s="33" t="n">
        <v>83</v>
      </c>
      <c r="AA196" s="33" t="n">
        <v>1312</v>
      </c>
      <c r="AB196" s="33" t="n">
        <v>110</v>
      </c>
      <c r="AC196" s="33" t="n">
        <v>170</v>
      </c>
      <c r="AD196" s="33" t="n">
        <v>523</v>
      </c>
      <c r="AE196" s="33" t="n">
        <v>667</v>
      </c>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c r="CK196" s="33"/>
      <c r="CL196" s="33"/>
      <c r="CM196" s="33"/>
      <c r="CN196" s="33"/>
      <c r="CO196" s="33"/>
      <c r="CP196" s="33"/>
      <c r="CQ196" s="33"/>
      <c r="CR196" s="33"/>
      <c r="CS196" s="33"/>
      <c r="CT196" s="33"/>
      <c r="CU196" s="33"/>
      <c r="CV196" s="33"/>
      <c r="CW196" s="33"/>
      <c r="CX196" s="33"/>
      <c r="CY196" s="33"/>
      <c r="CZ196" s="33"/>
      <c r="DA196" s="33"/>
      <c r="DB196" s="33"/>
      <c r="DC196" s="33"/>
      <c r="DD196" s="33"/>
      <c r="DE196" s="33"/>
      <c r="DF196" s="33"/>
      <c r="DG196" s="33"/>
      <c r="DH196" s="33"/>
      <c r="DI196" s="33"/>
      <c r="DJ196" s="33"/>
      <c r="DK196" s="33"/>
      <c r="DL196" s="33"/>
      <c r="DM196" s="33"/>
      <c r="DN196" s="33"/>
      <c r="DO196" s="33"/>
      <c r="DP196" s="33"/>
      <c r="DQ196" s="33"/>
      <c r="DR196" s="33"/>
      <c r="DS196" s="33"/>
      <c r="DT196" s="33"/>
      <c r="DU196" s="33"/>
      <c r="DV196" s="33"/>
      <c r="DW196" s="33"/>
      <c r="DX196" s="33"/>
      <c r="DY196" s="33"/>
      <c r="DZ196" s="33"/>
      <c r="EA196" s="33"/>
      <c r="EB196" s="33"/>
      <c r="EC196" s="33"/>
      <c r="ED196" s="33"/>
      <c r="EE196" s="33"/>
      <c r="EF196" s="33"/>
      <c r="EG196" s="33"/>
      <c r="EH196" s="33"/>
      <c r="EI196" s="33"/>
      <c r="EJ196" s="33"/>
      <c r="EK196" s="33"/>
      <c r="EL196" s="33"/>
      <c r="EM196" s="33"/>
      <c r="EN196" s="33"/>
      <c r="EO196" s="33"/>
      <c r="EP196" s="33"/>
      <c r="EQ196" s="33"/>
      <c r="ER196" s="33"/>
      <c r="ES196" s="33"/>
      <c r="ET196" s="33"/>
      <c r="EU196" s="33"/>
    </row>
    <row r="197" customFormat="false" ht="12.8" hidden="false" customHeight="false" outlineLevel="0" collapsed="false">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c r="BF197" s="33"/>
      <c r="BG197" s="33"/>
      <c r="BH197" s="33"/>
      <c r="BI197" s="33"/>
      <c r="BJ197" s="33"/>
      <c r="BK197" s="33"/>
      <c r="BL197" s="33"/>
      <c r="BM197" s="33"/>
      <c r="BN197" s="33"/>
      <c r="BO197" s="33"/>
      <c r="BP197" s="33"/>
      <c r="BQ197" s="33"/>
      <c r="BR197" s="33"/>
      <c r="BS197" s="33"/>
      <c r="BT197" s="33"/>
      <c r="BU197" s="33"/>
      <c r="BV197" s="33"/>
      <c r="BW197" s="33"/>
      <c r="BX197" s="33"/>
      <c r="BY197" s="33"/>
      <c r="BZ197" s="33"/>
      <c r="CA197" s="33"/>
      <c r="CB197" s="33"/>
      <c r="CC197" s="33"/>
      <c r="CD197" s="33"/>
      <c r="CE197" s="33"/>
      <c r="CF197" s="33"/>
      <c r="CG197" s="33"/>
      <c r="CH197" s="33"/>
      <c r="CI197" s="33"/>
      <c r="CJ197" s="33"/>
      <c r="CK197" s="33"/>
      <c r="CL197" s="33"/>
      <c r="CM197" s="33"/>
      <c r="CN197" s="33"/>
      <c r="CO197" s="33"/>
      <c r="CP197" s="33"/>
      <c r="CQ197" s="33"/>
      <c r="CR197" s="33"/>
      <c r="CS197" s="33"/>
      <c r="CT197" s="33"/>
      <c r="CU197" s="33"/>
      <c r="CV197" s="33"/>
      <c r="CW197" s="33"/>
      <c r="CX197" s="33"/>
      <c r="CY197" s="33"/>
      <c r="CZ197" s="33"/>
      <c r="DA197" s="33"/>
      <c r="DB197" s="33"/>
      <c r="DC197" s="33"/>
      <c r="DD197" s="33"/>
      <c r="DE197" s="33"/>
      <c r="DF197" s="33"/>
      <c r="DG197" s="33"/>
      <c r="DH197" s="33"/>
      <c r="DI197" s="33"/>
      <c r="DJ197" s="33"/>
      <c r="DK197" s="33"/>
      <c r="DL197" s="33"/>
      <c r="DM197" s="33"/>
      <c r="DN197" s="33"/>
      <c r="DO197" s="33"/>
      <c r="DP197" s="33"/>
      <c r="DQ197" s="33"/>
      <c r="DR197" s="33"/>
      <c r="DS197" s="33"/>
      <c r="DT197" s="33"/>
      <c r="DU197" s="33"/>
      <c r="DV197" s="33"/>
      <c r="DW197" s="33"/>
      <c r="DX197" s="33"/>
      <c r="DY197" s="33"/>
      <c r="DZ197" s="33"/>
      <c r="EA197" s="33"/>
      <c r="EB197" s="33"/>
      <c r="EC197" s="33"/>
      <c r="ED197" s="33"/>
      <c r="EE197" s="33"/>
      <c r="EF197" s="33"/>
      <c r="EG197" s="33"/>
      <c r="EH197" s="33"/>
      <c r="EI197" s="33"/>
      <c r="EJ197" s="33"/>
      <c r="EK197" s="33"/>
      <c r="EL197" s="33"/>
      <c r="EM197" s="33"/>
      <c r="EN197" s="33"/>
      <c r="EO197" s="33"/>
      <c r="EP197" s="33"/>
      <c r="EQ197" s="33"/>
      <c r="ER197" s="33"/>
      <c r="ES197" s="33"/>
      <c r="ET197" s="33"/>
      <c r="EU197" s="33"/>
    </row>
    <row r="198" customFormat="false" ht="12.8" hidden="false" customHeight="false" outlineLevel="0" collapsed="false">
      <c r="A198" s="33" t="s">
        <v>379</v>
      </c>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c r="CK198" s="33"/>
      <c r="CL198" s="33"/>
      <c r="CM198" s="33"/>
      <c r="CN198" s="33"/>
      <c r="CO198" s="33"/>
      <c r="CP198" s="33"/>
      <c r="CQ198" s="33"/>
      <c r="CR198" s="33"/>
      <c r="CS198" s="33"/>
      <c r="CT198" s="33"/>
      <c r="CU198" s="33"/>
      <c r="CV198" s="33"/>
      <c r="CW198" s="33"/>
      <c r="CX198" s="33"/>
      <c r="CY198" s="33"/>
      <c r="CZ198" s="33"/>
      <c r="DA198" s="33"/>
      <c r="DB198" s="33"/>
      <c r="DC198" s="33"/>
      <c r="DD198" s="33"/>
      <c r="DE198" s="33"/>
      <c r="DF198" s="33"/>
      <c r="DG198" s="33"/>
      <c r="DH198" s="33"/>
      <c r="DI198" s="33"/>
      <c r="DJ198" s="33"/>
      <c r="DK198" s="33"/>
      <c r="DL198" s="33"/>
      <c r="DM198" s="33"/>
      <c r="DN198" s="33"/>
      <c r="DO198" s="33"/>
      <c r="DP198" s="33"/>
      <c r="DQ198" s="33"/>
      <c r="DR198" s="33"/>
      <c r="DS198" s="33"/>
      <c r="DT198" s="33"/>
      <c r="DU198" s="33"/>
      <c r="DV198" s="33"/>
      <c r="DW198" s="33"/>
      <c r="DX198" s="33"/>
      <c r="DY198" s="33"/>
      <c r="DZ198" s="33"/>
      <c r="EA198" s="33"/>
      <c r="EB198" s="33"/>
      <c r="EC198" s="33"/>
      <c r="ED198" s="33"/>
      <c r="EE198" s="33"/>
      <c r="EF198" s="33"/>
      <c r="EG198" s="33"/>
      <c r="EH198" s="33"/>
      <c r="EI198" s="33"/>
      <c r="EJ198" s="33"/>
      <c r="EK198" s="33"/>
      <c r="EL198" s="33"/>
      <c r="EM198" s="33"/>
      <c r="EN198" s="33"/>
      <c r="EO198" s="33"/>
      <c r="EP198" s="33"/>
      <c r="EQ198" s="33"/>
      <c r="ER198" s="33"/>
      <c r="ES198" s="33"/>
      <c r="ET198" s="33"/>
      <c r="EU198" s="33"/>
    </row>
    <row r="199" s="18" customFormat="true" ht="12.8" hidden="false" customHeight="false" outlineLevel="0" collapsed="false">
      <c r="A199" s="33" t="s">
        <v>380</v>
      </c>
      <c r="B199" s="33"/>
      <c r="C199" s="33"/>
      <c r="D199" s="33"/>
      <c r="E199" s="33"/>
      <c r="F199" s="33"/>
      <c r="G199" s="33"/>
      <c r="H199" s="33"/>
      <c r="I199" s="33"/>
      <c r="J199" s="33"/>
      <c r="K199" s="33"/>
      <c r="L199" s="33"/>
      <c r="M199" s="33" t="n">
        <v>2602</v>
      </c>
      <c r="N199" s="33" t="n">
        <v>2757</v>
      </c>
      <c r="O199" s="33"/>
      <c r="P199" s="33"/>
      <c r="Q199" s="33"/>
      <c r="R199" s="33" t="n">
        <v>2337</v>
      </c>
      <c r="S199" s="33"/>
      <c r="T199" s="33"/>
      <c r="U199" s="33"/>
      <c r="V199" s="33"/>
      <c r="W199" s="33"/>
      <c r="X199" s="33"/>
      <c r="Y199" s="33" t="n">
        <v>7953</v>
      </c>
      <c r="Z199" s="33" t="n">
        <v>6299</v>
      </c>
      <c r="AA199" s="33" t="n">
        <v>0</v>
      </c>
      <c r="AB199" s="33" t="n">
        <v>1802</v>
      </c>
      <c r="AC199" s="33" t="n">
        <v>2245</v>
      </c>
      <c r="AD199" s="33" t="n">
        <v>2602</v>
      </c>
      <c r="AE199" s="33" t="n">
        <v>3011</v>
      </c>
      <c r="AF199" s="33"/>
      <c r="AG199" s="33"/>
      <c r="AH199" s="33"/>
      <c r="AI199" s="33"/>
      <c r="AJ199" s="33"/>
      <c r="AK199" s="33"/>
      <c r="AL199" s="33"/>
      <c r="AM199" s="33"/>
      <c r="AN199" s="33"/>
      <c r="AO199" s="33"/>
      <c r="AP199" s="33"/>
      <c r="AQ199" s="33"/>
      <c r="AR199" s="1"/>
      <c r="AS199" s="1"/>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c r="CK199" s="33"/>
      <c r="CL199" s="33"/>
      <c r="CM199" s="33"/>
      <c r="CN199" s="33"/>
      <c r="CO199" s="33"/>
      <c r="CP199" s="33"/>
      <c r="CQ199" s="33"/>
      <c r="CR199" s="33"/>
      <c r="CS199" s="33"/>
      <c r="CT199" s="33"/>
      <c r="CU199" s="33"/>
      <c r="CV199" s="33"/>
      <c r="CW199" s="33"/>
      <c r="CX199" s="33"/>
      <c r="CY199" s="33"/>
      <c r="CZ199" s="33"/>
      <c r="DA199" s="33"/>
      <c r="DB199" s="33"/>
      <c r="DC199" s="33"/>
      <c r="DD199" s="33"/>
      <c r="DE199" s="33"/>
      <c r="DF199" s="33"/>
      <c r="DG199" s="33"/>
      <c r="DH199" s="33"/>
      <c r="DI199" s="33"/>
      <c r="DJ199" s="33"/>
      <c r="DK199" s="33"/>
      <c r="DL199" s="33"/>
      <c r="DM199" s="33"/>
      <c r="DN199" s="33"/>
      <c r="DO199" s="33"/>
      <c r="DP199" s="33"/>
      <c r="DQ199" s="33"/>
      <c r="DR199" s="33"/>
      <c r="DS199" s="33"/>
      <c r="DT199" s="33"/>
      <c r="DU199" s="33"/>
      <c r="DV199" s="33"/>
      <c r="DW199" s="33"/>
      <c r="DX199" s="33"/>
      <c r="DY199" s="33"/>
      <c r="DZ199" s="33"/>
      <c r="EA199" s="33"/>
      <c r="EB199" s="33"/>
      <c r="EC199" s="33"/>
      <c r="ED199" s="33"/>
      <c r="EE199" s="33"/>
      <c r="EF199" s="33"/>
      <c r="EG199" s="33"/>
      <c r="EH199" s="33"/>
      <c r="EI199" s="33"/>
      <c r="EJ199" s="33"/>
      <c r="EK199" s="33"/>
      <c r="EL199" s="33"/>
      <c r="EM199" s="33"/>
      <c r="EN199" s="33"/>
      <c r="EO199" s="33"/>
      <c r="EP199" s="33"/>
      <c r="EQ199" s="33"/>
      <c r="ER199" s="33"/>
      <c r="ES199" s="33"/>
      <c r="ET199" s="33"/>
      <c r="EU199" s="33"/>
      <c r="EV199" s="1"/>
    </row>
    <row r="200" s="88" customFormat="true" ht="12.8" hidden="false" customHeight="false" outlineLevel="0" collapsed="false">
      <c r="A200" s="33" t="s">
        <v>282</v>
      </c>
      <c r="B200" s="33"/>
      <c r="C200" s="33"/>
      <c r="D200" s="33"/>
      <c r="E200" s="33"/>
      <c r="F200" s="33"/>
      <c r="G200" s="33"/>
      <c r="H200" s="33"/>
      <c r="I200" s="33"/>
      <c r="J200" s="33"/>
      <c r="K200" s="33"/>
      <c r="L200" s="33"/>
      <c r="M200" s="33" t="n">
        <v>608</v>
      </c>
      <c r="N200" s="33" t="n">
        <v>814</v>
      </c>
      <c r="O200" s="33"/>
      <c r="P200" s="33"/>
      <c r="Q200" s="33"/>
      <c r="R200" s="33" t="n">
        <v>1800</v>
      </c>
      <c r="S200" s="33"/>
      <c r="T200" s="33"/>
      <c r="U200" s="33"/>
      <c r="V200" s="33"/>
      <c r="W200" s="33"/>
      <c r="X200" s="33"/>
      <c r="Y200" s="33" t="n">
        <v>204</v>
      </c>
      <c r="Z200" s="33" t="n">
        <v>329</v>
      </c>
      <c r="AA200" s="33" t="n">
        <v>315</v>
      </c>
      <c r="AB200" s="33" t="n">
        <v>312</v>
      </c>
      <c r="AC200" s="33" t="n">
        <v>329</v>
      </c>
      <c r="AD200" s="33" t="n">
        <v>608</v>
      </c>
      <c r="AE200" s="33" t="n">
        <v>1455</v>
      </c>
      <c r="AF200" s="33"/>
      <c r="AG200" s="33"/>
      <c r="AH200" s="33"/>
      <c r="AI200" s="33"/>
      <c r="AJ200" s="33"/>
      <c r="AK200" s="33"/>
      <c r="AL200" s="33"/>
      <c r="AM200" s="33"/>
      <c r="AN200" s="33"/>
      <c r="AO200" s="33"/>
      <c r="AP200" s="33"/>
      <c r="AQ200" s="33"/>
      <c r="AR200" s="1"/>
      <c r="AS200" s="1"/>
      <c r="AT200" s="33"/>
      <c r="AU200" s="33"/>
      <c r="AV200" s="33"/>
      <c r="AW200" s="33"/>
      <c r="AX200" s="33"/>
      <c r="AY200" s="33"/>
      <c r="AZ200" s="33"/>
      <c r="BA200" s="33"/>
      <c r="BB200" s="33"/>
      <c r="BC200" s="33"/>
      <c r="BD200" s="33"/>
      <c r="BE200" s="33"/>
      <c r="BF200" s="33"/>
      <c r="BG200" s="33"/>
      <c r="BH200" s="33"/>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c r="CK200" s="33"/>
      <c r="CL200" s="33"/>
      <c r="CM200" s="33"/>
      <c r="CN200" s="33"/>
      <c r="CO200" s="33"/>
      <c r="CP200" s="33"/>
      <c r="CQ200" s="33"/>
      <c r="CR200" s="33"/>
      <c r="CS200" s="33"/>
      <c r="CT200" s="33"/>
      <c r="CU200" s="33"/>
      <c r="CV200" s="33"/>
      <c r="CW200" s="33"/>
      <c r="CX200" s="33"/>
      <c r="CY200" s="33"/>
      <c r="CZ200" s="33"/>
      <c r="DA200" s="33"/>
      <c r="DB200" s="33"/>
      <c r="DC200" s="33"/>
      <c r="DD200" s="33"/>
      <c r="DE200" s="33"/>
      <c r="DF200" s="33"/>
      <c r="DG200" s="33"/>
      <c r="DH200" s="33"/>
      <c r="DI200" s="33"/>
      <c r="DJ200" s="33"/>
      <c r="DK200" s="33"/>
      <c r="DL200" s="33"/>
      <c r="DM200" s="33"/>
      <c r="DN200" s="33"/>
      <c r="DO200" s="33"/>
      <c r="DP200" s="33"/>
      <c r="DQ200" s="33"/>
      <c r="DR200" s="33"/>
      <c r="DS200" s="33"/>
      <c r="DT200" s="33"/>
      <c r="DU200" s="33"/>
      <c r="DV200" s="33"/>
      <c r="DW200" s="33"/>
      <c r="DX200" s="33"/>
      <c r="DY200" s="33"/>
      <c r="DZ200" s="33"/>
      <c r="EA200" s="33"/>
      <c r="EB200" s="33"/>
      <c r="EC200" s="33"/>
      <c r="ED200" s="33"/>
      <c r="EE200" s="33"/>
      <c r="EF200" s="33"/>
      <c r="EG200" s="33"/>
      <c r="EH200" s="33"/>
      <c r="EI200" s="33"/>
      <c r="EJ200" s="33"/>
      <c r="EK200" s="33"/>
      <c r="EL200" s="33"/>
      <c r="EM200" s="33"/>
      <c r="EN200" s="33"/>
      <c r="EO200" s="33"/>
      <c r="EP200" s="33"/>
      <c r="EQ200" s="33"/>
      <c r="ER200" s="33"/>
      <c r="ES200" s="33"/>
      <c r="ET200" s="33"/>
      <c r="EU200" s="33"/>
      <c r="EV200" s="1"/>
    </row>
    <row r="201" customFormat="false" ht="12.8" hidden="false" customHeight="false" outlineLevel="0" collapsed="false">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T201" s="33"/>
      <c r="AU201" s="33"/>
      <c r="AV201" s="33"/>
      <c r="AW201" s="33"/>
      <c r="AX201" s="33"/>
      <c r="AY201" s="33"/>
      <c r="AZ201" s="33"/>
      <c r="BA201" s="33"/>
      <c r="BB201" s="33"/>
      <c r="BC201" s="33"/>
      <c r="BD201" s="33"/>
      <c r="BE201" s="33"/>
      <c r="BF201" s="33"/>
      <c r="BG201" s="33"/>
      <c r="BH201" s="33"/>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c r="CK201" s="33"/>
      <c r="CL201" s="33"/>
      <c r="CM201" s="33"/>
      <c r="CN201" s="33"/>
      <c r="CO201" s="33"/>
      <c r="CP201" s="33"/>
      <c r="CQ201" s="33"/>
      <c r="CR201" s="33"/>
      <c r="CS201" s="33"/>
      <c r="CT201" s="33"/>
      <c r="CU201" s="33"/>
      <c r="CV201" s="33"/>
      <c r="CW201" s="33"/>
      <c r="CX201" s="33"/>
      <c r="CY201" s="33"/>
      <c r="CZ201" s="33"/>
      <c r="DA201" s="33"/>
      <c r="DB201" s="33"/>
      <c r="DC201" s="33"/>
      <c r="DD201" s="33"/>
      <c r="DE201" s="33"/>
      <c r="DF201" s="33"/>
      <c r="DG201" s="33"/>
      <c r="DH201" s="33"/>
      <c r="DI201" s="33"/>
      <c r="DJ201" s="33"/>
      <c r="DK201" s="33"/>
      <c r="DL201" s="33"/>
      <c r="DM201" s="33"/>
      <c r="DN201" s="33"/>
      <c r="DO201" s="33"/>
      <c r="DP201" s="33"/>
      <c r="DQ201" s="33"/>
      <c r="DR201" s="33"/>
      <c r="DS201" s="33"/>
      <c r="DT201" s="33"/>
      <c r="DU201" s="33"/>
      <c r="DV201" s="33"/>
      <c r="DW201" s="33"/>
      <c r="DX201" s="33"/>
      <c r="DY201" s="33"/>
      <c r="DZ201" s="33"/>
      <c r="EA201" s="33"/>
      <c r="EB201" s="33"/>
      <c r="EC201" s="33"/>
      <c r="ED201" s="33"/>
      <c r="EE201" s="33"/>
      <c r="EF201" s="33"/>
      <c r="EG201" s="33"/>
      <c r="EH201" s="33"/>
      <c r="EI201" s="33"/>
      <c r="EJ201" s="33"/>
      <c r="EK201" s="33"/>
      <c r="EL201" s="33"/>
      <c r="EM201" s="33"/>
      <c r="EN201" s="33"/>
      <c r="EO201" s="33"/>
      <c r="EP201" s="33"/>
      <c r="EQ201" s="33"/>
      <c r="ER201" s="33"/>
      <c r="ES201" s="33"/>
      <c r="ET201" s="33"/>
      <c r="EU201" s="33"/>
    </row>
    <row r="202" customFormat="false" ht="12.8" hidden="false" customHeight="false" outlineLevel="0" collapsed="false">
      <c r="A202" s="33" t="s">
        <v>381</v>
      </c>
      <c r="B202" s="33"/>
      <c r="C202" s="33"/>
      <c r="D202" s="33"/>
      <c r="E202" s="33"/>
      <c r="F202" s="33"/>
      <c r="G202" s="33"/>
      <c r="H202" s="33"/>
      <c r="I202" s="33"/>
      <c r="J202" s="33"/>
      <c r="K202" s="33"/>
      <c r="L202" s="33"/>
      <c r="M202" s="33" t="n">
        <v>144</v>
      </c>
      <c r="N202" s="33" t="n">
        <v>144</v>
      </c>
      <c r="O202" s="33"/>
      <c r="P202" s="33"/>
      <c r="Q202" s="33"/>
      <c r="R202" s="33" t="n">
        <v>99</v>
      </c>
      <c r="S202" s="33"/>
      <c r="T202" s="33"/>
      <c r="U202" s="33"/>
      <c r="V202" s="33"/>
      <c r="W202" s="33"/>
      <c r="X202" s="33"/>
      <c r="Y202" s="33"/>
      <c r="Z202" s="33" t="n">
        <v>83</v>
      </c>
      <c r="AA202" s="33" t="n">
        <v>132</v>
      </c>
      <c r="AB202" s="33" t="n">
        <v>110</v>
      </c>
      <c r="AC202" s="33" t="n">
        <v>126</v>
      </c>
      <c r="AD202" s="33" t="n">
        <v>144</v>
      </c>
      <c r="AE202" s="33" t="n">
        <v>119</v>
      </c>
      <c r="AF202" s="33"/>
      <c r="AG202" s="33"/>
      <c r="AH202" s="33"/>
      <c r="AI202" s="33"/>
      <c r="AJ202" s="33"/>
      <c r="AK202" s="33"/>
      <c r="AL202" s="33"/>
      <c r="AM202" s="33"/>
      <c r="AN202" s="33"/>
      <c r="AO202" s="33"/>
    </row>
    <row r="206" customFormat="false" ht="12.8" hidden="false" customHeight="false" outlineLevel="0" collapsed="false">
      <c r="A206" s="25" t="s">
        <v>382</v>
      </c>
    </row>
    <row r="207" s="33" customFormat="true" ht="13.1" hidden="false" customHeight="false" outlineLevel="0" collapsed="false">
      <c r="A207" s="33" t="s">
        <v>383</v>
      </c>
      <c r="Q207" s="128" t="n">
        <v>1756996685</v>
      </c>
      <c r="R207" s="128" t="n">
        <v>1251737898</v>
      </c>
      <c r="S207" s="128" t="n">
        <v>1343010453</v>
      </c>
    </row>
    <row r="208" s="33" customFormat="true" ht="13.1" hidden="false" customHeight="false" outlineLevel="0" collapsed="false">
      <c r="A208" s="33" t="s">
        <v>384</v>
      </c>
      <c r="Q208" s="128" t="n">
        <v>3226135952</v>
      </c>
      <c r="R208" s="128" t="n">
        <v>2674155880</v>
      </c>
      <c r="S208" s="128" t="n">
        <v>1961404914</v>
      </c>
    </row>
    <row r="209" s="33" customFormat="true" ht="13.1" hidden="false" customHeight="false" outlineLevel="0" collapsed="false">
      <c r="A209" s="33" t="s">
        <v>385</v>
      </c>
      <c r="Q209" s="128" t="n">
        <v>115226817</v>
      </c>
      <c r="R209" s="128" t="n">
        <v>94237546</v>
      </c>
      <c r="S209" s="128" t="n">
        <v>58969858</v>
      </c>
    </row>
    <row r="210" s="33" customFormat="true" ht="13.1" hidden="false" customHeight="false" outlineLevel="0" collapsed="false">
      <c r="A210" s="33" t="s">
        <v>386</v>
      </c>
      <c r="Q210" s="128" t="n">
        <v>24081415</v>
      </c>
      <c r="R210" s="128" t="n">
        <v>21493129</v>
      </c>
      <c r="S210" s="128" t="n">
        <v>17476109</v>
      </c>
    </row>
    <row r="211" s="33" customFormat="true" ht="13.1" hidden="false" customHeight="false" outlineLevel="0" collapsed="false">
      <c r="A211" s="33" t="s">
        <v>387</v>
      </c>
      <c r="Q211" s="128" t="n">
        <v>713022</v>
      </c>
      <c r="R211" s="128" t="n">
        <v>641450</v>
      </c>
      <c r="S211" s="128" t="n">
        <v>550971</v>
      </c>
    </row>
    <row r="212" s="33" customFormat="true" ht="13.1" hidden="false" customHeight="false" outlineLevel="0" collapsed="false">
      <c r="A212" s="33" t="s">
        <v>388</v>
      </c>
      <c r="Q212" s="128" t="n">
        <v>326282729</v>
      </c>
      <c r="R212" s="128" t="n">
        <v>144968829</v>
      </c>
      <c r="S212" s="128" t="n">
        <v>130705103</v>
      </c>
    </row>
    <row r="213" s="33" customFormat="true" ht="13.1" hidden="false" customHeight="false" outlineLevel="0" collapsed="false">
      <c r="A213" s="33" t="s">
        <v>389</v>
      </c>
      <c r="Q213" s="128" t="n">
        <v>0</v>
      </c>
      <c r="R213" s="128" t="n">
        <v>0</v>
      </c>
      <c r="S213" s="128" t="n">
        <v>90553975</v>
      </c>
    </row>
    <row r="214" s="33" customFormat="true" ht="12.8" hidden="false" customHeight="false" outlineLevel="0" collapsed="false">
      <c r="Q214" s="33" t="n">
        <f aca="false">+SUM(Q207:Q213)</f>
        <v>5449436620</v>
      </c>
      <c r="R214" s="33" t="n">
        <f aca="false">+SUM(R207:R213)</f>
        <v>4187234732</v>
      </c>
      <c r="S214" s="33" t="n">
        <f aca="false">+SUM(S207:S213)</f>
        <v>3602671383</v>
      </c>
    </row>
    <row r="229" customFormat="false" ht="12.8" hidden="false" customHeight="false" outlineLevel="0" collapsed="false">
      <c r="AR229" s="18"/>
      <c r="AS229" s="18"/>
    </row>
    <row r="230" customFormat="false" ht="12.8" hidden="false" customHeight="false" outlineLevel="0" collapsed="false">
      <c r="AR230" s="88"/>
      <c r="AS230" s="88"/>
    </row>
  </sheetData>
  <hyperlinks>
    <hyperlink ref="A1" r:id="rId2" location="Main" display="Main"/>
  </hyperlink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5"/>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M30" activeCellId="0" sqref="M30"/>
    </sheetView>
  </sheetViews>
  <sheetFormatPr defaultColWidth="11.53515625" defaultRowHeight="12.8" customHeight="false" zeroHeight="false" outlineLevelRow="0" outlineLevelCol="0"/>
  <cols>
    <col collapsed="false" customWidth="false" hidden="false" outlineLevel="0" max="1" min="1" style="1" width="11.53"/>
    <col collapsed="false" customWidth="true" hidden="false" outlineLevel="0" max="2" min="2" style="1" width="17.67"/>
    <col collapsed="false" customWidth="true" hidden="false" outlineLevel="0" max="3" min="3" style="4" width="17.67"/>
    <col collapsed="false" customWidth="true" hidden="false" outlineLevel="0" max="4" min="4" style="1" width="22.84"/>
    <col collapsed="false" customWidth="true" hidden="false" outlineLevel="0" max="5" min="5" style="1" width="15.36"/>
    <col collapsed="false" customWidth="true" hidden="false" outlineLevel="0" max="11" min="6" style="1" width="17.67"/>
    <col collapsed="false" customWidth="false" hidden="false" outlineLevel="0" max="16384" min="12" style="1" width="11.53"/>
  </cols>
  <sheetData>
    <row r="1" customFormat="false" ht="12.8" hidden="false" customHeight="false" outlineLevel="0" collapsed="false">
      <c r="A1" s="29" t="s">
        <v>212</v>
      </c>
    </row>
    <row r="3" customFormat="false" ht="13.8" hidden="false" customHeight="false" outlineLevel="0" collapsed="false">
      <c r="B3" s="9"/>
      <c r="F3" s="129"/>
      <c r="G3" s="129"/>
      <c r="H3" s="129"/>
      <c r="I3" s="130"/>
      <c r="J3" s="129"/>
      <c r="K3" s="129"/>
      <c r="L3" s="129"/>
      <c r="M3" s="129"/>
      <c r="N3" s="129"/>
      <c r="O3" s="129"/>
    </row>
    <row r="4" customFormat="false" ht="14.55" hidden="false" customHeight="false" outlineLevel="0" collapsed="false">
      <c r="B4" s="131" t="s">
        <v>390</v>
      </c>
      <c r="C4" s="131" t="s">
        <v>391</v>
      </c>
      <c r="D4" s="131" t="s">
        <v>392</v>
      </c>
      <c r="E4" s="132" t="s">
        <v>393</v>
      </c>
      <c r="F4" s="131" t="s">
        <v>394</v>
      </c>
      <c r="G4" s="131" t="s">
        <v>395</v>
      </c>
      <c r="H4" s="131" t="s">
        <v>396</v>
      </c>
      <c r="I4" s="131" t="s">
        <v>397</v>
      </c>
      <c r="J4" s="131" t="s">
        <v>398</v>
      </c>
      <c r="K4" s="131" t="s">
        <v>399</v>
      </c>
    </row>
    <row r="5" customFormat="false" ht="13.8" hidden="false" customHeight="false" outlineLevel="0" collapsed="false">
      <c r="B5" s="133" t="s">
        <v>400</v>
      </c>
      <c r="C5" s="133" t="s">
        <v>401</v>
      </c>
      <c r="D5" s="133" t="s">
        <v>402</v>
      </c>
      <c r="E5" s="134" t="n">
        <v>0</v>
      </c>
      <c r="F5" s="133" t="s">
        <v>403</v>
      </c>
      <c r="G5" s="133" t="s">
        <v>404</v>
      </c>
      <c r="H5" s="135" t="s">
        <v>405</v>
      </c>
      <c r="I5" s="133" t="s">
        <v>406</v>
      </c>
      <c r="J5" s="133" t="s">
        <v>407</v>
      </c>
      <c r="K5" s="133" t="s">
        <v>401</v>
      </c>
      <c r="M5" s="1" t="s">
        <v>408</v>
      </c>
    </row>
    <row r="6" customFormat="false" ht="13.8" hidden="false" customHeight="false" outlineLevel="0" collapsed="false">
      <c r="B6" s="136" t="s">
        <v>409</v>
      </c>
      <c r="C6" s="136" t="s">
        <v>401</v>
      </c>
      <c r="D6" s="136" t="s">
        <v>402</v>
      </c>
      <c r="E6" s="137" t="n">
        <v>875</v>
      </c>
      <c r="F6" s="136" t="s">
        <v>410</v>
      </c>
      <c r="G6" s="136" t="s">
        <v>411</v>
      </c>
      <c r="H6" s="138" t="s">
        <v>405</v>
      </c>
      <c r="I6" s="136" t="s">
        <v>406</v>
      </c>
      <c r="J6" s="136" t="s">
        <v>407</v>
      </c>
      <c r="K6" s="136" t="s">
        <v>401</v>
      </c>
      <c r="M6" s="23" t="s">
        <v>412</v>
      </c>
    </row>
    <row r="7" customFormat="false" ht="13.8" hidden="false" customHeight="false" outlineLevel="0" collapsed="false">
      <c r="B7" s="133" t="s">
        <v>413</v>
      </c>
      <c r="C7" s="133" t="s">
        <v>401</v>
      </c>
      <c r="D7" s="133" t="s">
        <v>402</v>
      </c>
      <c r="E7" s="134" t="n">
        <v>4500</v>
      </c>
      <c r="F7" s="133" t="s">
        <v>410</v>
      </c>
      <c r="G7" s="133" t="s">
        <v>414</v>
      </c>
      <c r="H7" s="135" t="s">
        <v>415</v>
      </c>
      <c r="I7" s="133" t="s">
        <v>406</v>
      </c>
      <c r="J7" s="133" t="s">
        <v>407</v>
      </c>
      <c r="K7" s="133" t="s">
        <v>401</v>
      </c>
    </row>
    <row r="8" customFormat="false" ht="13.8" hidden="false" customHeight="false" outlineLevel="0" collapsed="false">
      <c r="B8" s="136" t="s">
        <v>416</v>
      </c>
      <c r="C8" s="136" t="s">
        <v>401</v>
      </c>
      <c r="D8" s="136" t="s">
        <v>402</v>
      </c>
      <c r="E8" s="137" t="n">
        <v>4500</v>
      </c>
      <c r="F8" s="136" t="s">
        <v>410</v>
      </c>
      <c r="G8" s="136" t="s">
        <v>414</v>
      </c>
      <c r="H8" s="138" t="s">
        <v>415</v>
      </c>
      <c r="I8" s="136" t="s">
        <v>406</v>
      </c>
      <c r="J8" s="136" t="s">
        <v>407</v>
      </c>
      <c r="K8" s="136" t="s">
        <v>401</v>
      </c>
    </row>
    <row r="9" customFormat="false" ht="13.8" hidden="false" customHeight="false" outlineLevel="0" collapsed="false">
      <c r="B9" s="133" t="s">
        <v>417</v>
      </c>
      <c r="C9" s="133" t="s">
        <v>401</v>
      </c>
      <c r="D9" s="133" t="s">
        <v>402</v>
      </c>
      <c r="E9" s="134" t="n">
        <v>4300</v>
      </c>
      <c r="F9" s="133" t="s">
        <v>410</v>
      </c>
      <c r="G9" s="133" t="s">
        <v>418</v>
      </c>
      <c r="H9" s="135" t="s">
        <v>415</v>
      </c>
      <c r="I9" s="133" t="s">
        <v>406</v>
      </c>
      <c r="J9" s="133" t="s">
        <v>407</v>
      </c>
      <c r="K9" s="133" t="s">
        <v>401</v>
      </c>
    </row>
    <row r="10" customFormat="false" ht="13.8" hidden="false" customHeight="false" outlineLevel="0" collapsed="false">
      <c r="B10" s="136" t="s">
        <v>419</v>
      </c>
      <c r="C10" s="136" t="s">
        <v>401</v>
      </c>
      <c r="D10" s="136" t="s">
        <v>402</v>
      </c>
      <c r="E10" s="137" t="n">
        <v>4150</v>
      </c>
      <c r="F10" s="136" t="s">
        <v>410</v>
      </c>
      <c r="G10" s="136" t="s">
        <v>420</v>
      </c>
      <c r="H10" s="138" t="s">
        <v>415</v>
      </c>
      <c r="I10" s="136" t="s">
        <v>406</v>
      </c>
      <c r="J10" s="136" t="s">
        <v>407</v>
      </c>
      <c r="K10" s="136" t="s">
        <v>401</v>
      </c>
    </row>
    <row r="11" customFormat="false" ht="13.8" hidden="false" customHeight="false" outlineLevel="0" collapsed="false">
      <c r="B11" s="133" t="s">
        <v>421</v>
      </c>
      <c r="C11" s="133" t="s">
        <v>401</v>
      </c>
      <c r="D11" s="133" t="s">
        <v>402</v>
      </c>
      <c r="E11" s="134" t="n">
        <v>4800</v>
      </c>
      <c r="F11" s="133" t="s">
        <v>410</v>
      </c>
      <c r="G11" s="133" t="s">
        <v>422</v>
      </c>
      <c r="H11" s="135" t="s">
        <v>415</v>
      </c>
      <c r="I11" s="133" t="s">
        <v>406</v>
      </c>
      <c r="J11" s="133" t="s">
        <v>407</v>
      </c>
      <c r="K11" s="133" t="s">
        <v>401</v>
      </c>
    </row>
    <row r="12" customFormat="false" ht="13.8" hidden="false" customHeight="false" outlineLevel="0" collapsed="false">
      <c r="B12" s="136" t="s">
        <v>423</v>
      </c>
      <c r="C12" s="136" t="s">
        <v>401</v>
      </c>
      <c r="D12" s="136" t="s">
        <v>402</v>
      </c>
      <c r="E12" s="137" t="n">
        <v>4800</v>
      </c>
      <c r="F12" s="136" t="s">
        <v>410</v>
      </c>
      <c r="G12" s="136" t="s">
        <v>424</v>
      </c>
      <c r="H12" s="138" t="s">
        <v>415</v>
      </c>
      <c r="I12" s="136" t="s">
        <v>406</v>
      </c>
      <c r="J12" s="136" t="s">
        <v>407</v>
      </c>
      <c r="K12" s="136" t="s">
        <v>401</v>
      </c>
    </row>
    <row r="13" customFormat="false" ht="13.8" hidden="false" customHeight="false" outlineLevel="0" collapsed="false">
      <c r="B13" s="133" t="s">
        <v>425</v>
      </c>
      <c r="C13" s="133" t="s">
        <v>401</v>
      </c>
      <c r="D13" s="133" t="s">
        <v>402</v>
      </c>
      <c r="E13" s="134" t="n">
        <v>5350</v>
      </c>
      <c r="F13" s="133" t="s">
        <v>410</v>
      </c>
      <c r="G13" s="133" t="s">
        <v>426</v>
      </c>
      <c r="H13" s="135" t="s">
        <v>415</v>
      </c>
      <c r="I13" s="133" t="s">
        <v>406</v>
      </c>
      <c r="J13" s="133" t="s">
        <v>407</v>
      </c>
      <c r="K13" s="133" t="s">
        <v>401</v>
      </c>
    </row>
    <row r="14" customFormat="false" ht="13.8" hidden="false" customHeight="false" outlineLevel="0" collapsed="false">
      <c r="B14" s="139"/>
      <c r="C14" s="139"/>
      <c r="D14" s="139"/>
      <c r="E14" s="140" t="n">
        <f aca="false">+AVERAGE(E5:E13)</f>
        <v>3697.22222222222</v>
      </c>
      <c r="F14" s="139"/>
      <c r="G14" s="139"/>
      <c r="H14" s="139"/>
      <c r="I14" s="139"/>
      <c r="J14" s="139"/>
      <c r="K14" s="139"/>
    </row>
    <row r="15" customFormat="false" ht="13.8" hidden="false" customHeight="false" outlineLevel="0" collapsed="false">
      <c r="B15" s="139"/>
      <c r="C15" s="139"/>
      <c r="D15" s="139"/>
      <c r="E15" s="139"/>
      <c r="F15" s="139"/>
      <c r="G15" s="139"/>
      <c r="H15" s="139"/>
      <c r="I15" s="139"/>
      <c r="J15" s="139"/>
      <c r="K15" s="139"/>
    </row>
  </sheetData>
  <hyperlinks>
    <hyperlink ref="A1" r:id="rId1" location="Main" display="Main"/>
  </hyperlink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M26" activeCellId="0" sqref="M26"/>
    </sheetView>
  </sheetViews>
  <sheetFormatPr defaultColWidth="11.53515625" defaultRowHeight="12.8" customHeight="false" zeroHeight="false" outlineLevelRow="0" outlineLevelCol="0"/>
  <cols>
    <col collapsed="false" customWidth="false" hidden="false" outlineLevel="0" max="16384" min="1" style="1" width="11.53"/>
  </cols>
  <sheetData>
    <row r="1" customFormat="false" ht="12.8" hidden="false" customHeight="false" outlineLevel="0" collapsed="false">
      <c r="A1" s="29" t="s">
        <v>212</v>
      </c>
      <c r="G1" s="1" t="s">
        <v>427</v>
      </c>
      <c r="H1" s="1" t="s">
        <v>428</v>
      </c>
    </row>
    <row r="2" customFormat="false" ht="12.8" hidden="false" customHeight="false" outlineLevel="0" collapsed="false">
      <c r="A2" s="39" t="n">
        <v>2026</v>
      </c>
    </row>
    <row r="3" customFormat="false" ht="12.8" hidden="false" customHeight="false" outlineLevel="0" collapsed="false">
      <c r="A3" s="25" t="s">
        <v>2</v>
      </c>
      <c r="B3" s="1" t="s">
        <v>429</v>
      </c>
    </row>
    <row r="4" customFormat="false" ht="12.8" hidden="false" customHeight="false" outlineLevel="0" collapsed="false">
      <c r="A4" s="25" t="s">
        <v>2</v>
      </c>
      <c r="B4" s="1" t="s">
        <v>430</v>
      </c>
    </row>
    <row r="5" customFormat="false" ht="12.8" hidden="false" customHeight="false" outlineLevel="0" collapsed="false">
      <c r="A5" s="25" t="s">
        <v>2</v>
      </c>
      <c r="B5" s="1" t="s">
        <v>431</v>
      </c>
    </row>
    <row r="6" customFormat="false" ht="12.8" hidden="false" customHeight="false" outlineLevel="0" collapsed="false">
      <c r="A6" s="25"/>
      <c r="B6" s="25" t="s">
        <v>2</v>
      </c>
      <c r="C6" s="1" t="s">
        <v>432</v>
      </c>
    </row>
    <row r="7" customFormat="false" ht="12.8" hidden="false" customHeight="false" outlineLevel="0" collapsed="false">
      <c r="A7" s="25" t="s">
        <v>2</v>
      </c>
      <c r="B7" s="1" t="s">
        <v>433</v>
      </c>
    </row>
    <row r="8" customFormat="false" ht="12.8" hidden="false" customHeight="false" outlineLevel="0" collapsed="false">
      <c r="A8" s="25"/>
    </row>
    <row r="10" customFormat="false" ht="12.8" hidden="false" customHeight="false" outlineLevel="0" collapsed="false">
      <c r="B10" s="20" t="s">
        <v>434</v>
      </c>
    </row>
    <row r="11" customFormat="false" ht="12.8" hidden="false" customHeight="false" outlineLevel="0" collapsed="false">
      <c r="B11" s="25" t="s">
        <v>2</v>
      </c>
      <c r="C11" s="1" t="s">
        <v>435</v>
      </c>
    </row>
    <row r="13" customFormat="false" ht="12.8" hidden="false" customHeight="false" outlineLevel="0" collapsed="false">
      <c r="B13" s="20" t="s">
        <v>436</v>
      </c>
    </row>
    <row r="14" customFormat="false" ht="12.8" hidden="false" customHeight="false" outlineLevel="0" collapsed="false">
      <c r="B14" s="25" t="s">
        <v>2</v>
      </c>
      <c r="C14" s="1" t="s">
        <v>437</v>
      </c>
    </row>
    <row r="15" customFormat="false" ht="12.8" hidden="false" customHeight="false" outlineLevel="0" collapsed="false">
      <c r="C15" s="1" t="s">
        <v>438</v>
      </c>
    </row>
    <row r="17" customFormat="false" ht="12.8" hidden="false" customHeight="false" outlineLevel="0" collapsed="false">
      <c r="B17" s="20" t="s">
        <v>439</v>
      </c>
    </row>
    <row r="18" customFormat="false" ht="12.8" hidden="false" customHeight="false" outlineLevel="0" collapsed="false">
      <c r="B18" s="25" t="s">
        <v>2</v>
      </c>
      <c r="C18" s="1" t="s">
        <v>440</v>
      </c>
    </row>
    <row r="19" customFormat="false" ht="12.8" hidden="false" customHeight="false" outlineLevel="0" collapsed="false">
      <c r="C19" s="5" t="s">
        <v>441</v>
      </c>
    </row>
    <row r="21" customFormat="false" ht="12.8" hidden="false" customHeight="false" outlineLevel="0" collapsed="false">
      <c r="B21" s="20"/>
    </row>
    <row r="22" customFormat="false" ht="12.8" hidden="false" customHeight="false" outlineLevel="0" collapsed="false">
      <c r="B22" s="1" t="s">
        <v>442</v>
      </c>
    </row>
    <row r="25" customFormat="false" ht="12.8" hidden="false" customHeight="false" outlineLevel="0" collapsed="false">
      <c r="A25" s="5" t="s">
        <v>443</v>
      </c>
    </row>
  </sheetData>
  <hyperlinks>
    <hyperlink ref="A1" r:id="rId1" display="Main"/>
  </hyperlink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2"/>
</worksheet>
</file>

<file path=docProps/app.xml><?xml version="1.0" encoding="utf-8"?>
<Properties xmlns="http://schemas.openxmlformats.org/officeDocument/2006/extended-properties" xmlns:vt="http://schemas.openxmlformats.org/officeDocument/2006/docPropsVTypes">
  <Template/>
  <TotalTime>19467</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2026-01-31T00:26:24Z</dcterms:created>
  <dc:creator/>
  <dc:description/>
  <dc:language>en-US</dc:language>
  <cp:lastModifiedBy/>
  <dcterms:modified xsi:type="dcterms:W3CDTF">2026-08-17T23:03:57Z</dcterms:modified>
  <cp:revision>382</cp:revision>
  <dc:subject/>
  <dc:title/>
</cp:coreProperties>
</file>

<file path=docProps/custom.xml><?xml version="1.0" encoding="utf-8"?>
<Properties xmlns="http://schemas.openxmlformats.org/officeDocument/2006/custom-properties" xmlns:vt="http://schemas.openxmlformats.org/officeDocument/2006/docPropsVTypes"/>
</file>