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Model" sheetId="2" state="visible" r:id="rId4"/>
    <sheet name="Bond" sheetId="3" state="visible" r:id="rId5"/>
    <sheet name="Board" sheetId="4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27" authorId="0">
      <text>
        <r>
          <rPr>
            <sz val="10"/>
            <rFont val="Arial"/>
            <family val="2"/>
          </rPr>
          <t xml:space="preserve">Royalties, localisation and manifacturing of products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</xdr:colOff>
                <xdr:row>22</xdr:row>
                <xdr:rowOff>1</xdr:rowOff>
              </xdr:from>
              <xdr:to>
                <xdr:col>2</xdr:col>
                <xdr:colOff>1</xdr:colOff>
                <xdr:row>26</xdr:row>
                <xdr:rowOff>1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Compensation, consulting costs, training, support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</xdr:colOff>
                <xdr:row>24</xdr:row>
                <xdr:rowOff>1</xdr:rowOff>
              </xdr:from>
              <xdr:to>
                <xdr:col>2</xdr:col>
                <xdr:colOff>1</xdr:colOff>
                <xdr:row>28</xdr:row>
                <xdr:rowOff>1</xdr:rowOff>
              </xdr:to>
            </anchor>
          </commentPr>
        </mc:Choice>
        <mc:Fallback/>
      </mc:AlternateContent>
    </comment>
    <comment ref="R17" authorId="0">
      <text>
        <r>
          <rPr>
            <sz val="10"/>
            <rFont val="Arial"/>
            <family val="2"/>
          </rPr>
          <t xml:space="preserve">Since Q126, Digital Media, Digital Experience and Publishing and ADV will be merged as one due to management changes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</xdr:colOff>
                <xdr:row>12</xdr:row>
                <xdr:rowOff>1</xdr:rowOff>
              </xdr:from>
              <xdr:to>
                <xdr:col>19</xdr:col>
                <xdr:colOff>1</xdr:colOff>
                <xdr:row>22</xdr:row>
                <xdr:rowOff>1</xdr:rowOff>
              </xdr:to>
            </anchor>
          </commentPr>
        </mc:Choice>
        <mc:Fallback/>
      </mc:AlternateContent>
    </comment>
    <comment ref="R23" authorId="0">
      <text>
        <r>
          <rPr>
            <sz val="10"/>
            <rFont val="Arial"/>
            <family val="2"/>
          </rPr>
          <t xml:space="preserve">Exp 6.426,40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</xdr:colOff>
                <xdr:row>18</xdr:row>
                <xdr:rowOff>1</xdr:rowOff>
              </xdr:from>
              <xdr:to>
                <xdr:col>19</xdr:col>
                <xdr:colOff>1</xdr:colOff>
                <xdr:row>22</xdr:row>
                <xdr:rowOff>1</xdr:rowOff>
              </xdr:to>
            </anchor>
          </commentPr>
        </mc:Choice>
        <mc:Fallback/>
      </mc:AlternateContent>
    </comment>
    <comment ref="S23" authorId="0">
      <text>
        <r>
          <rPr>
            <sz val="10"/>
            <rFont val="Arial"/>
            <family val="2"/>
          </rPr>
          <t xml:space="preserve">12/03 exp 6553.22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</xdr:colOff>
                <xdr:row>18</xdr:row>
                <xdr:rowOff>1</xdr:rowOff>
              </xdr:from>
              <xdr:to>
                <xdr:col>20</xdr:col>
                <xdr:colOff>1</xdr:colOff>
                <xdr:row>22</xdr:row>
                <xdr:rowOff>1</xdr:rowOff>
              </xdr:to>
            </anchor>
          </commentPr>
        </mc:Choice>
        <mc:Fallback/>
      </mc:AlternateContent>
    </comment>
    <comment ref="T23" authorId="0">
      <text>
        <r>
          <rPr>
            <sz val="10"/>
            <rFont val="Arial"/>
            <family val="2"/>
          </rPr>
          <t xml:space="preserve">12/03 exp 6.763,48
Guidance: 6.6 – 6.7B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</xdr:colOff>
                <xdr:row>18</xdr:row>
                <xdr:rowOff>1</xdr:rowOff>
              </xdr:from>
              <xdr:to>
                <xdr:col>21</xdr:col>
                <xdr:colOff>1</xdr:colOff>
                <xdr:row>22</xdr:row>
                <xdr:rowOff>1</xdr:rowOff>
              </xdr:to>
            </anchor>
          </commentPr>
        </mc:Choice>
        <mc:Fallback/>
      </mc:AlternateContent>
    </comment>
    <comment ref="T59" authorId="0">
      <text>
        <r>
          <rPr>
            <sz val="10"/>
            <rFont val="Arial"/>
            <family val="2"/>
          </rPr>
          <t xml:space="preserve">Guidance: 4.4 – 4.45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</xdr:colOff>
                <xdr:row>54</xdr:row>
                <xdr:rowOff>1</xdr:rowOff>
              </xdr:from>
              <xdr:to>
                <xdr:col>21</xdr:col>
                <xdr:colOff>1</xdr:colOff>
                <xdr:row>58</xdr:row>
                <xdr:rowOff>1</xdr:rowOff>
              </xdr:to>
            </anchor>
          </commentPr>
        </mc:Choice>
        <mc:Fallback/>
      </mc:AlternateContent>
    </comment>
    <comment ref="AE41" authorId="0">
      <text>
        <r>
          <rPr>
            <sz val="10"/>
            <rFont val="Arial"/>
            <family val="2"/>
          </rPr>
          <t xml:space="preserve">Figma termination fee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1</xdr:colOff>
                <xdr:row>36</xdr:row>
                <xdr:rowOff>1</xdr:rowOff>
              </xdr:from>
              <xdr:to>
                <xdr:col>32</xdr:col>
                <xdr:colOff>1</xdr:colOff>
                <xdr:row>40</xdr:row>
                <xdr:rowOff>1</xdr:rowOff>
              </xdr:to>
            </anchor>
          </commentPr>
        </mc:Choice>
        <mc:Fallback/>
      </mc:AlternateContent>
    </comment>
    <comment ref="AG2" authorId="0">
      <text>
        <r>
          <rPr>
            <sz val="10"/>
            <rFont val="Arial"/>
            <family val="2"/>
          </rPr>
          <t xml:space="preserve">12/03 exp. 26.035,12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</xdr:colOff>
                <xdr:row>0</xdr:row>
                <xdr:rowOff>0</xdr:rowOff>
              </xdr:from>
              <xdr:to>
                <xdr:col>34</xdr:col>
                <xdr:colOff>1</xdr:colOff>
                <xdr:row>3</xdr:row>
                <xdr:rowOff>1</xdr:rowOff>
              </xdr:to>
            </anchor>
          </commentPr>
        </mc:Choice>
        <mc:Fallback/>
      </mc:AlternateContent>
    </comment>
    <comment ref="AG23" authorId="0">
      <text>
        <r>
          <rPr>
            <sz val="10"/>
            <rFont val="Arial"/>
            <family val="2"/>
          </rPr>
          <t xml:space="preserve">Guidance: 26.5 – 26.6 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</xdr:colOff>
                <xdr:row>18</xdr:row>
                <xdr:rowOff>1</xdr:rowOff>
              </xdr:from>
              <xdr:to>
                <xdr:col>34</xdr:col>
                <xdr:colOff>1</xdr:colOff>
                <xdr:row>22</xdr:row>
                <xdr:rowOff>1</xdr:rowOff>
              </xdr:to>
            </anchor>
          </commentPr>
        </mc:Choice>
        <mc:Fallback/>
      </mc:AlternateContent>
    </comment>
    <comment ref="AG59" authorId="0">
      <text>
        <r>
          <rPr>
            <sz val="10"/>
            <rFont val="Arial"/>
            <family val="2"/>
          </rPr>
          <t xml:space="preserve">Guidence: 17.9 - 18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</xdr:colOff>
                <xdr:row>54</xdr:row>
                <xdr:rowOff>1</xdr:rowOff>
              </xdr:from>
              <xdr:to>
                <xdr:col>34</xdr:col>
                <xdr:colOff>1</xdr:colOff>
                <xdr:row>58</xdr:row>
                <xdr:rowOff>1</xdr:rowOff>
              </xdr:to>
            </anchor>
          </commentPr>
        </mc:Choice>
        <mc:Fallback/>
      </mc:AlternateContent>
    </comment>
    <comment ref="AH2" authorId="0">
      <text>
        <r>
          <rPr>
            <sz val="10"/>
            <rFont val="Arial"/>
            <family val="2"/>
          </rPr>
          <t xml:space="preserve">12/03 exp. 28.426,00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1</xdr:colOff>
                <xdr:row>0</xdr:row>
                <xdr:rowOff>0</xdr:rowOff>
              </xdr:from>
              <xdr:to>
                <xdr:col>35</xdr:col>
                <xdr:colOff>1</xdr:colOff>
                <xdr:row>3</xdr:row>
                <xdr:rowOff>1</xdr:rowOff>
              </xdr:to>
            </anchor>
          </commentPr>
        </mc:Choice>
        <mc:Fallback/>
      </mc:AlternateContent>
    </comment>
    <comment ref="AI2" authorId="0">
      <text>
        <r>
          <rPr>
            <sz val="10"/>
            <rFont val="Arial"/>
            <family val="2"/>
          </rPr>
          <t xml:space="preserve">12/03 exp. 30.679,90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1</xdr:colOff>
                <xdr:row>0</xdr:row>
                <xdr:rowOff>0</xdr:rowOff>
              </xdr:from>
              <xdr:to>
                <xdr:col>36</xdr:col>
                <xdr:colOff>1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<sst xmlns="http://schemas.openxmlformats.org/spreadsheetml/2006/main" count="383" uniqueCount="282">
  <si>
    <t xml:space="preserve">Adobe Inc.</t>
  </si>
  <si>
    <t xml:space="preserve">Price</t>
  </si>
  <si>
    <t xml:space="preserve">Share</t>
  </si>
  <si>
    <t xml:space="preserve">Q226</t>
  </si>
  <si>
    <t xml:space="preserve">MC</t>
  </si>
  <si>
    <t xml:space="preserve">Cash</t>
  </si>
  <si>
    <t xml:space="preserve">Debt</t>
  </si>
  <si>
    <t xml:space="preserve">EV</t>
  </si>
  <si>
    <t xml:space="preserve">P/FCF</t>
  </si>
  <si>
    <t xml:space="preserve">BETA</t>
  </si>
  <si>
    <t xml:space="preserve">WACC</t>
  </si>
  <si>
    <t xml:space="preserve">EV/EBITDA</t>
  </si>
  <si>
    <t xml:space="preserve">CAPM</t>
  </si>
  <si>
    <t xml:space="preserve">EV/FCF</t>
  </si>
  <si>
    <t xml:space="preserve">Cost of Debt</t>
  </si>
  <si>
    <t xml:space="preserve">Inc. Margin</t>
  </si>
  <si>
    <t xml:space="preserve">Cr. Spread</t>
  </si>
  <si>
    <t xml:space="preserve">P/E</t>
  </si>
  <si>
    <t xml:space="preserve">Rating</t>
  </si>
  <si>
    <t xml:space="preserve">A+</t>
  </si>
  <si>
    <t xml:space="preserve">A1</t>
  </si>
  <si>
    <t xml:space="preserve">Leverage</t>
  </si>
  <si>
    <t xml:space="preserve">S&amp;P</t>
  </si>
  <si>
    <t xml:space="preserve">Moody’s</t>
  </si>
  <si>
    <t xml:space="preserve">-&gt;</t>
  </si>
  <si>
    <t xml:space="preserve">Subscription, fees charged for subscriptions, services and subscription-based consulting services</t>
  </si>
  <si>
    <t xml:space="preserve">Product, fees related to licences for on-premise software</t>
  </si>
  <si>
    <t xml:space="preserve">Services and Other, fees for project-based consulting and training and mantainance for ceertain licences</t>
  </si>
  <si>
    <t xml:space="preserve">Segments</t>
  </si>
  <si>
    <t xml:space="preserve">Digital Media, products to create (Creative Cloud)</t>
  </si>
  <si>
    <t xml:space="preserve">Digital experience, platform and set of products to optimize customer experience and data management (A Experience, Journey Optimiser, GenStudio, …)</t>
  </si>
  <si>
    <t xml:space="preserve">Publishing and Advertising, eLearning solutions, technial documentation, web conferences, PDF standard, …</t>
  </si>
  <si>
    <t xml:space="preserve">Total Adobe ARR</t>
  </si>
  <si>
    <t xml:space="preserve">annual value of subscriptions contracts in the creative &amp; marketing and Business Professional &amp; Consumers customer groups</t>
  </si>
  <si>
    <t xml:space="preserve">Geography division</t>
  </si>
  <si>
    <t xml:space="preserve">America</t>
  </si>
  <si>
    <t xml:space="preserve">EMEA</t>
  </si>
  <si>
    <t xml:space="preserve">APAC</t>
  </si>
  <si>
    <t xml:space="preserve">Business Professionals and Customers</t>
  </si>
  <si>
    <t xml:space="preserve">Acrobat Suite (PDF reader enhanced with AI features)</t>
  </si>
  <si>
    <t xml:space="preserve">Acrobad Studio, AI vertical tool to use PDFs</t>
  </si>
  <si>
    <t xml:space="preserve">Adobe Acrobat, PDF reader  tool</t>
  </si>
  <si>
    <t xml:space="preserve">Adobe Acrobat Reader, free PDF tool</t>
  </si>
  <si>
    <t xml:space="preserve">Adobe Express, all-in-one AI app for videmaking, marketing and social content</t>
  </si>
  <si>
    <t xml:space="preserve">Creative and Marketing Professionals </t>
  </si>
  <si>
    <t xml:space="preserve">Adobe Creative Cloud Pro, subscription based ecosystem. It includes Adobe Firefly models</t>
  </si>
  <si>
    <t xml:space="preserve">Photography</t>
  </si>
  <si>
    <t xml:space="preserve">Adobe Photoshop – Lightroom, PS – imaging and design app. LR – edit, organise, store photoes app.</t>
  </si>
  <si>
    <t xml:space="preserve">Adobe PS Express, non specialist PS</t>
  </si>
  <si>
    <t xml:space="preserve">Lightroom Classic and Web, both alternatives for non specialist</t>
  </si>
  <si>
    <t xml:space="preserve">Design and UI</t>
  </si>
  <si>
    <t xml:space="preserve">Adobe Illustrator, vector graphics app (used for prints, books, media)</t>
  </si>
  <si>
    <t xml:space="preserve">Adobe XD, UI for websites vector based</t>
  </si>
  <si>
    <t xml:space="preserve">Adobe InDesign, used for long documents and managing large amount of text)ù</t>
  </si>
  <si>
    <t xml:space="preserve">Adobe InCopy, together with InDesign (for page design) while InCopy (editorial work)</t>
  </si>
  <si>
    <t xml:space="preserve">Adobe Express, non specialist alternative to PS, Illustrator, InDesign</t>
  </si>
  <si>
    <t xml:space="preserve">Drawing and Painting</t>
  </si>
  <si>
    <t xml:space="preserve">Adobe Fresco, PS and Illustartor but optimised for drawing on a tablet</t>
  </si>
  <si>
    <t xml:space="preserve">Adobe Capture, convert real world object into creative assets (throtugh cameras)</t>
  </si>
  <si>
    <t xml:space="preserve">Adobe Bridge, file organiser</t>
  </si>
  <si>
    <t xml:space="preserve">Video Editing</t>
  </si>
  <si>
    <t xml:space="preserve">Adobe Premiere Pro, video editing app</t>
  </si>
  <si>
    <t xml:space="preserve">Adobe After Effects, motion graphics and visual effects app</t>
  </si>
  <si>
    <t xml:space="preserve">Adobe Media Encoder, export engine</t>
  </si>
  <si>
    <t xml:space="preserve">2D Animation</t>
  </si>
  <si>
    <t xml:space="preserve">Adobe Animate, Illustrator but with a timeline</t>
  </si>
  <si>
    <t xml:space="preserve">Adobe Character Animator, animates characters using a camera, facial tracking</t>
  </si>
  <si>
    <t xml:space="preserve">Audio Production</t>
  </si>
  <si>
    <t xml:space="preserve">Adobe Audition, to perform audio work (record, edit, master, restore and mix audio)</t>
  </si>
  <si>
    <t xml:space="preserve">Websites</t>
  </si>
  <si>
    <t xml:space="preserve">Adobe Dreamware, programming websites through coding and/or visual workflow</t>
  </si>
  <si>
    <t xml:space="preserve">AI</t>
  </si>
  <si>
    <t xml:space="preserve">Adobe Firefly Environment, family of AI models for image, video, vector, audio, 3D models, …</t>
  </si>
  <si>
    <t xml:space="preserve">On top of</t>
  </si>
  <si>
    <t xml:space="preserve">Adobe Substance 3D Collection, tools to assemble scenes, textures, enrich digitalised assets in 3D</t>
  </si>
  <si>
    <t xml:space="preserve">Adobe Stock, provides digital assets royalty free</t>
  </si>
  <si>
    <t xml:space="preserve">Adobe Experience Platform, platform for data management about known and unknown customers (Palantir Foundry)</t>
  </si>
  <si>
    <t xml:space="preserve">Creative Cloud Services</t>
  </si>
  <si>
    <t xml:space="preserve">Frame.io, cloud workspace to upload and organise the team</t>
  </si>
  <si>
    <t xml:space="preserve">Behance, online platform to find opportunities, publish works, …</t>
  </si>
  <si>
    <t xml:space="preserve">Adobe Portfolio, website builder for portfolio sites</t>
  </si>
  <si>
    <t xml:space="preserve">Adobe Fonts, library of fonts</t>
  </si>
  <si>
    <t xml:space="preserve">Adobe Color, generates colour palette and colour tool</t>
  </si>
  <si>
    <t xml:space="preserve">Creative Cloud Libraries, saves fonts, colors, logos to be reused</t>
  </si>
  <si>
    <t xml:space="preserve">Mixamo, web based 3D character animation</t>
  </si>
  <si>
    <t xml:space="preserve">Operations</t>
  </si>
  <si>
    <t xml:space="preserve">Marketing and Sales</t>
  </si>
  <si>
    <t xml:space="preserve">They sell their products as pey-per-use of with the SaaS model through their website adobe.com</t>
  </si>
  <si>
    <t xml:space="preserve">Service and Support</t>
  </si>
  <si>
    <t xml:space="preserve">Consulting Services</t>
  </si>
  <si>
    <t xml:space="preserve">they have a team that designs and implements solutions for their largest customers (throguth subscription)</t>
  </si>
  <si>
    <t xml:space="preserve">Customer Success Account Management</t>
  </si>
  <si>
    <t xml:space="preserve">they have a team that helps customers to understand their current and future needs (through subscription)</t>
  </si>
  <si>
    <t xml:space="preserve">Technical Support</t>
  </si>
  <si>
    <t xml:space="preserve">classic customer care</t>
  </si>
  <si>
    <t xml:space="preserve">Digital Learning Solutions</t>
  </si>
  <si>
    <t xml:space="preserve">Fee-based learning programs and learning.adobe.com</t>
  </si>
  <si>
    <t xml:space="preserve">Can issue up to 3B$ of unsecured Commercial Paper with maturity up to 397 days</t>
  </si>
  <si>
    <t xml:space="preserve">Revenue recognised as the sale takes place</t>
  </si>
  <si>
    <t xml:space="preserve">Main</t>
  </si>
  <si>
    <t xml:space="preserve">02/22</t>
  </si>
  <si>
    <t xml:space="preserve">05/22</t>
  </si>
  <si>
    <t xml:space="preserve">08/22</t>
  </si>
  <si>
    <t xml:space="preserve">11/22</t>
  </si>
  <si>
    <t xml:space="preserve">02/23</t>
  </si>
  <si>
    <t xml:space="preserve">05/23</t>
  </si>
  <si>
    <t xml:space="preserve">08/23</t>
  </si>
  <si>
    <t xml:space="preserve">11/23</t>
  </si>
  <si>
    <t xml:space="preserve">02/24</t>
  </si>
  <si>
    <t xml:space="preserve">05/24</t>
  </si>
  <si>
    <t xml:space="preserve">08/24</t>
  </si>
  <si>
    <t xml:space="preserve">11/24</t>
  </si>
  <si>
    <t xml:space="preserve">02/25</t>
  </si>
  <si>
    <t xml:space="preserve">05/25</t>
  </si>
  <si>
    <t xml:space="preserve">08/25</t>
  </si>
  <si>
    <t xml:space="preserve">11/25</t>
  </si>
  <si>
    <t xml:space="preserve">02/26</t>
  </si>
  <si>
    <t xml:space="preserve">05/26</t>
  </si>
  <si>
    <t xml:space="preserve">08/26</t>
  </si>
  <si>
    <t xml:space="preserve">11/26</t>
  </si>
  <si>
    <t xml:space="preserve">11/20</t>
  </si>
  <si>
    <t xml:space="preserve">11/21</t>
  </si>
  <si>
    <t xml:space="preserve">11/27</t>
  </si>
  <si>
    <t xml:space="preserve">11/28</t>
  </si>
  <si>
    <t xml:space="preserve">11/29</t>
  </si>
  <si>
    <t xml:space="preserve">11/30</t>
  </si>
  <si>
    <t xml:space="preserve">11/31</t>
  </si>
  <si>
    <t xml:space="preserve">11/32</t>
  </si>
  <si>
    <t xml:space="preserve">11/33</t>
  </si>
  <si>
    <t xml:space="preserve">11/34</t>
  </si>
  <si>
    <t xml:space="preserve">11/35</t>
  </si>
  <si>
    <t xml:space="preserve">11/36</t>
  </si>
  <si>
    <t xml:space="preserve">in Millions</t>
  </si>
  <si>
    <t xml:space="preserve">Q122</t>
  </si>
  <si>
    <t xml:space="preserve">Q222</t>
  </si>
  <si>
    <t xml:space="preserve">Q322</t>
  </si>
  <si>
    <t xml:space="preserve">Q422</t>
  </si>
  <si>
    <t xml:space="preserve">Q123</t>
  </si>
  <si>
    <t xml:space="preserve">Q223</t>
  </si>
  <si>
    <t xml:space="preserve">Q323</t>
  </si>
  <si>
    <t xml:space="preserve">Q423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</si>
  <si>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</si>
  <si>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</si>
  <si>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</si>
  <si>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</si>
  <si>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</si>
  <si>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</si>
  <si>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</si>
  <si>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</si>
  <si>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</si>
  <si>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Q326</t>
  </si>
  <si>
    <t xml:space="preserve">Q426</t>
  </si>
  <si>
    <t xml:space="preserve">Creative &amp; Marketing Pro</t>
  </si>
  <si>
    <t xml:space="preserve">Business Pro &amp; Consumers</t>
  </si>
  <si>
    <t xml:space="preserve"> Digital Media</t>
  </si>
  <si>
    <t xml:space="preserve">%</t>
  </si>
  <si>
    <t xml:space="preserve"> Digital Experience</t>
  </si>
  <si>
    <t xml:space="preserve"> Publishing and ADV</t>
  </si>
  <si>
    <t xml:space="preserve">Subscription</t>
  </si>
  <si>
    <t xml:space="preserve">Product</t>
  </si>
  <si>
    <t xml:space="preserve">Services</t>
  </si>
  <si>
    <t xml:space="preserve">Revenues</t>
  </si>
  <si>
    <t xml:space="preserve">COGS</t>
  </si>
  <si>
    <t xml:space="preserve">Gross Margin</t>
  </si>
  <si>
    <t xml:space="preserve">R&amp;D</t>
  </si>
  <si>
    <t xml:space="preserve">S&amp;M</t>
  </si>
  <si>
    <t xml:space="preserve">G&amp;A</t>
  </si>
  <si>
    <t xml:space="preserve">Acquisition fee</t>
  </si>
  <si>
    <t xml:space="preserve">N.M.</t>
  </si>
  <si>
    <t xml:space="preserve">Op Exp</t>
  </si>
  <si>
    <t xml:space="preserve">Op Inc / EBIT</t>
  </si>
  <si>
    <t xml:space="preserve">Interest Exp</t>
  </si>
  <si>
    <t xml:space="preserve">Investemnt gain</t>
  </si>
  <si>
    <t xml:space="preserve">Other Income</t>
  </si>
  <si>
    <t xml:space="preserve">Pretax</t>
  </si>
  <si>
    <t xml:space="preserve">Taxes</t>
  </si>
  <si>
    <t xml:space="preserve">Net Inc</t>
  </si>
  <si>
    <t xml:space="preserve">EPS</t>
  </si>
  <si>
    <t xml:space="preserve">Shares</t>
  </si>
  <si>
    <t xml:space="preserve">Gordon Growth Model</t>
  </si>
  <si>
    <t xml:space="preserve">Revenue q/q</t>
  </si>
  <si>
    <t xml:space="preserve">Terminal</t>
  </si>
  <si>
    <t xml:space="preserve">Payout Ratio</t>
  </si>
  <si>
    <t xml:space="preserve">Discount</t>
  </si>
  <si>
    <t xml:space="preserve">Sustained Growth</t>
  </si>
  <si>
    <t xml:space="preserve">Op Margin</t>
  </si>
  <si>
    <t xml:space="preserve">ROIC</t>
  </si>
  <si>
    <t xml:space="preserve">Equity Value</t>
  </si>
  <si>
    <t xml:space="preserve">NI Margin</t>
  </si>
  <si>
    <t xml:space="preserve">NPV</t>
  </si>
  <si>
    <t xml:space="preserve">Just. P/E</t>
  </si>
  <si>
    <t xml:space="preserve">Tax Rate</t>
  </si>
  <si>
    <t xml:space="preserve">Rule of 40</t>
  </si>
  <si>
    <t xml:space="preserve">Diff</t>
  </si>
  <si>
    <t xml:space="preserve">Dividend Payout</t>
  </si>
  <si>
    <t xml:space="preserve">Incr. Margin</t>
  </si>
  <si>
    <t xml:space="preserve">Debt-to-EBITDA</t>
  </si>
  <si>
    <t xml:space="preserve">Subscription % Rev</t>
  </si>
  <si>
    <t xml:space="preserve">Product % Rev</t>
  </si>
  <si>
    <t xml:space="preserve">Services % Rev</t>
  </si>
  <si>
    <t xml:space="preserve">Debt (-)</t>
  </si>
  <si>
    <t xml:space="preserve">ROA</t>
  </si>
  <si>
    <t xml:space="preserve">Cash (+)</t>
  </si>
  <si>
    <t xml:space="preserve">ROE</t>
  </si>
  <si>
    <t xml:space="preserve">A. Turnover</t>
  </si>
  <si>
    <t xml:space="preserve">TV</t>
  </si>
  <si>
    <t xml:space="preserve">Financial Leverage</t>
  </si>
  <si>
    <t xml:space="preserve">Financial Leverage %</t>
  </si>
  <si>
    <t xml:space="preserve">NWC</t>
  </si>
  <si>
    <t xml:space="preserve">NOPAT</t>
  </si>
  <si>
    <t xml:space="preserve">EBITDA</t>
  </si>
  <si>
    <t xml:space="preserve">UFCF</t>
  </si>
  <si>
    <t xml:space="preserve">Net Cash</t>
  </si>
  <si>
    <t xml:space="preserve">Short-term investment</t>
  </si>
  <si>
    <t xml:space="preserve">A/R</t>
  </si>
  <si>
    <t xml:space="preserve">Prepaid exp</t>
  </si>
  <si>
    <t xml:space="preserve">PP&amp;E</t>
  </si>
  <si>
    <t xml:space="preserve">Op lease ROU</t>
  </si>
  <si>
    <t xml:space="preserve">Goodwill</t>
  </si>
  <si>
    <t xml:space="preserve">Other intangible</t>
  </si>
  <si>
    <t xml:space="preserve">D/T</t>
  </si>
  <si>
    <t xml:space="preserve">Other Assets</t>
  </si>
  <si>
    <t xml:space="preserve">A</t>
  </si>
  <si>
    <t xml:space="preserve">A/P</t>
  </si>
  <si>
    <t xml:space="preserve">Accr. Exp</t>
  </si>
  <si>
    <t xml:space="preserve">Debt (Non Curr.)</t>
  </si>
  <si>
    <t xml:space="preserve">D/R</t>
  </si>
  <si>
    <t xml:space="preserve">Income Tax Payables</t>
  </si>
  <si>
    <t xml:space="preserve">Op lease</t>
  </si>
  <si>
    <t xml:space="preserve">Other liabilities</t>
  </si>
  <si>
    <t xml:space="preserve">L</t>
  </si>
  <si>
    <t xml:space="preserve">Preferred Stock</t>
  </si>
  <si>
    <t xml:space="preserve">Stock</t>
  </si>
  <si>
    <t xml:space="preserve">APIC</t>
  </si>
  <si>
    <t xml:space="preserve">Retained Earnings</t>
  </si>
  <si>
    <t xml:space="preserve">Acc. Income</t>
  </si>
  <si>
    <t xml:space="preserve">Treasury stock</t>
  </si>
  <si>
    <t xml:space="preserve">SE</t>
  </si>
  <si>
    <t xml:space="preserve">L+SE</t>
  </si>
  <si>
    <t xml:space="preserve">Model NI</t>
  </si>
  <si>
    <t xml:space="preserve">Net inc</t>
  </si>
  <si>
    <t xml:space="preserve">D&amp;A</t>
  </si>
  <si>
    <t xml:space="preserve">SBC</t>
  </si>
  <si>
    <t xml:space="preserve">Lease asset impairment</t>
  </si>
  <si>
    <t xml:space="preserve">Other non-cash adj</t>
  </si>
  <si>
    <t xml:space="preserve">Changes in D/R</t>
  </si>
  <si>
    <t xml:space="preserve">Changes in Op asset and L</t>
  </si>
  <si>
    <t xml:space="preserve">CFFO</t>
  </si>
  <si>
    <t xml:space="preserve">Cap Ex</t>
  </si>
  <si>
    <t xml:space="preserve">FCF</t>
  </si>
  <si>
    <t xml:space="preserve">Employees</t>
  </si>
  <si>
    <t xml:space="preserve">Revenue / Employees</t>
  </si>
  <si>
    <t xml:space="preserve">RPO</t>
  </si>
  <si>
    <t xml:space="preserve">DSO</t>
  </si>
  <si>
    <t xml:space="preserve">DPO</t>
  </si>
  <si>
    <t xml:space="preserve">CCC</t>
  </si>
  <si>
    <t xml:space="preserve">Share Issuance</t>
  </si>
  <si>
    <t xml:space="preserve">Y/Y</t>
  </si>
  <si>
    <t xml:space="preserve">Share Repurchase</t>
  </si>
  <si>
    <t xml:space="preserve">Dividends</t>
  </si>
  <si>
    <t xml:space="preserve">Total SH Return</t>
  </si>
  <si>
    <t xml:space="preserve">ISIN</t>
  </si>
  <si>
    <t xml:space="preserve">Coupon (%)</t>
  </si>
  <si>
    <t xml:space="preserve">Maturity Date</t>
  </si>
  <si>
    <t xml:space="preserve">US00724PAC32</t>
  </si>
  <si>
    <t xml:space="preserve">Feb 01, 2027</t>
  </si>
  <si>
    <t xml:space="preserve">US00724PAE97</t>
  </si>
  <si>
    <t xml:space="preserve">Apr 04, 2027</t>
  </si>
  <si>
    <t xml:space="preserve">US00724PAH29</t>
  </si>
  <si>
    <t xml:space="preserve">Jan 17, 2028</t>
  </si>
  <si>
    <t xml:space="preserve">US00724PAF62</t>
  </si>
  <si>
    <t xml:space="preserve">Apr 04, 2029</t>
  </si>
  <si>
    <t xml:space="preserve">US00724PAJ84</t>
  </si>
  <si>
    <t xml:space="preserve">Jan 17, 2030</t>
  </si>
  <si>
    <t xml:space="preserve">US00724PAD15</t>
  </si>
  <si>
    <t xml:space="preserve">Feb 01, 2030</t>
  </si>
  <si>
    <t xml:space="preserve">US00724PAG46</t>
  </si>
  <si>
    <t xml:space="preserve">Apr 04, 2034</t>
  </si>
  <si>
    <t xml:space="preserve">US00724PAK57</t>
  </si>
  <si>
    <t xml:space="preserve">Jan 17, 2035</t>
  </si>
  <si>
    <t xml:space="preserve">Auditor</t>
  </si>
  <si>
    <t xml:space="preserve">KPMG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</si>
</sst>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#,##0\x"/>
    <numFmt numFmtId="167" formatCode="0.00%"/>
    <numFmt numFmtId="168" formatCode="0\x"/>
    <numFmt numFmtId="169" formatCode="0\X"/>
    <numFmt numFmtId="170" formatCode="#,##0.00"/>
    <numFmt numFmtId="171" formatCode="0.00%;\(0.00%\);\-"/>
    <numFmt numFmtId="172" formatCode="#,##0"/>
    <numFmt numFmtId="173" formatCode="#,##0.00;\(#,##0.00\);\-"/>
    <numFmt numFmtId="174" formatCode="0%"/>
    <numFmt numFmtId="175" formatCode="0.00%;\(0.00%\)"/>
    <numFmt numFmtId="176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sz val="13"/>
      <name val="Arial"/>
      <family val="2"/>
      <charset val="1"/>
    </font>
    <font>
      <i val="true"/>
      <sz val="10"/>
      <name val="Arial"/>
      <family val="2"/>
      <charset val="1"/>
    </font>
    <font>
      <b val="true"/>
      <i val="true"/>
      <u val="singl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8"/>
      <color rgb="FF808080"/>
      <name val="Arial"/>
      <family val="2"/>
      <charset val="1"/>
    </font>
    <font>
      <i val="true"/>
      <sz val="8"/>
      <color rgb="FF666666"/>
      <name val="Arial"/>
      <family val="2"/>
      <charset val="1"/>
    </font>
    <font>
      <b val="true"/>
      <i val="true"/>
      <sz val="8"/>
      <color rgb="FF808080"/>
      <name val="Arial"/>
      <family val="2"/>
      <charset val="1"/>
    </font>
    <font>
      <b val="true"/>
      <i val="true"/>
      <sz val="8"/>
      <color rgb="FF666666"/>
      <name val="Arial"/>
      <family val="2"/>
      <charset val="1"/>
    </font>
    <font>
      <sz val="10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B3B3B3"/>
      </patternFill>
    </fill>
    <fill>
      <patternFill patternType="solid">
        <fgColor rgb="FFDDDDDD"/>
        <bgColor rgb="FFEEEEEE"/>
      </patternFill>
    </fill>
    <fill>
      <patternFill patternType="solid">
        <fgColor rgb="FFEEEEEE"/>
        <bgColor rgb="FFDDDDDD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7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7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66"/>
      <rgbColor rgb="FFB2B2B2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GB" sz="1300" b="0" u="none" strike="noStrike">
                <a:uFillTx/>
                <a:latin typeface="Arial"/>
              </a:defRPr>
            </a:pPr>
            <a:r>
              <a:rPr lang="en-GB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Employees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Model!$AA$2:$AF$2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Model!$AA$142:$AF$142</c:f>
              <c:numCache>
                <c:formatCode>#,##0;\(#,##0\);\-</c:formatCode>
                <c:ptCount val="6"/>
                <c:pt idx="0">
                  <c:v>22516</c:v>
                </c:pt>
                <c:pt idx="1">
                  <c:v>25988</c:v>
                </c:pt>
                <c:pt idx="2">
                  <c:v>29239</c:v>
                </c:pt>
                <c:pt idx="3">
                  <c:v>29945</c:v>
                </c:pt>
                <c:pt idx="4">
                  <c:v>30709</c:v>
                </c:pt>
                <c:pt idx="5">
                  <c:v>31360</c:v>
                </c:pt>
              </c:numCache>
            </c:numRef>
          </c:val>
        </c:ser>
        <c:gapWidth val="100"/>
        <c:overlap val="0"/>
        <c:axId val="23780160"/>
        <c:axId val="70409232"/>
      </c:barChart>
      <c:catAx>
        <c:axId val="23780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0409232"/>
        <c:crosses val="autoZero"/>
        <c:auto val="1"/>
        <c:lblAlgn val="ctr"/>
        <c:lblOffset val="100"/>
        <c:noMultiLvlLbl val="0"/>
      </c:catAx>
      <c:valAx>
        <c:axId val="704092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378016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GB" sz="1300" b="0" u="none" strike="noStrike">
                <a:uFillTx/>
                <a:latin typeface="Arial"/>
              </a:defRPr>
            </a:pPr>
            <a:r>
              <a:rPr lang="en-GB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Revenue Segments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Model!$A$17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Model!$AA$2:$AF$2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Model!$AA$17:$AF$17</c:f>
              <c:numCache>
                <c:formatCode>#,##0;\(#,##0\);\-</c:formatCode>
                <c:ptCount val="6"/>
                <c:pt idx="0">
                  <c:v>11626</c:v>
                </c:pt>
                <c:pt idx="1">
                  <c:v>14573</c:v>
                </c:pt>
                <c:pt idx="2">
                  <c:v>16388</c:v>
                </c:pt>
                <c:pt idx="3">
                  <c:v>18284</c:v>
                </c:pt>
                <c:pt idx="4">
                  <c:v>20521</c:v>
                </c:pt>
                <c:pt idx="5">
                  <c:v>22904</c:v>
                </c:pt>
              </c:numCache>
            </c:numRef>
          </c:val>
        </c:ser>
        <c:ser>
          <c:idx val="1"/>
          <c:order val="1"/>
          <c:tx>
            <c:strRef>
              <c:f>Model!$A$19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Model!$AA$2:$AF$2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Model!$AA$19:$AF$19</c:f>
              <c:numCache>
                <c:formatCode>#,##0;\(#,##0\);\-</c:formatCode>
                <c:ptCount val="6"/>
                <c:pt idx="0">
                  <c:v>507</c:v>
                </c:pt>
                <c:pt idx="1">
                  <c:v>555</c:v>
                </c:pt>
                <c:pt idx="2">
                  <c:v>532</c:v>
                </c:pt>
                <c:pt idx="3">
                  <c:v>460</c:v>
                </c:pt>
                <c:pt idx="4">
                  <c:v>386</c:v>
                </c:pt>
                <c:pt idx="5">
                  <c:v>325</c:v>
                </c:pt>
              </c:numCache>
            </c:numRef>
          </c:val>
        </c:ser>
        <c:ser>
          <c:idx val="2"/>
          <c:order val="2"/>
          <c:tx>
            <c:strRef>
              <c:f>Model!$A$21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Model!$AA$2:$AF$2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Model!$AA$21:$AF$21</c:f>
              <c:numCache>
                <c:formatCode>#,##0;\(#,##0\);\-</c:formatCode>
                <c:ptCount val="6"/>
                <c:pt idx="0">
                  <c:v>735</c:v>
                </c:pt>
                <c:pt idx="1">
                  <c:v>657</c:v>
                </c:pt>
                <c:pt idx="2">
                  <c:v>686</c:v>
                </c:pt>
                <c:pt idx="3">
                  <c:v>665</c:v>
                </c:pt>
                <c:pt idx="4">
                  <c:v>598</c:v>
                </c:pt>
                <c:pt idx="5">
                  <c:v>540</c:v>
                </c:pt>
              </c:numCache>
            </c:numRef>
          </c:val>
        </c:ser>
        <c:gapWidth val="100"/>
        <c:overlap val="0"/>
        <c:axId val="25498702"/>
        <c:axId val="88336112"/>
      </c:barChart>
      <c:catAx>
        <c:axId val="2549870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336112"/>
        <c:crosses val="autoZero"/>
        <c:auto val="1"/>
        <c:lblAlgn val="ctr"/>
        <c:lblOffset val="100"/>
        <c:noMultiLvlLbl val="0"/>
      </c:catAx>
      <c:valAx>
        <c:axId val="883361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549870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GB"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GB" sz="1300" b="0" u="none" strike="noStrike">
                <a:uFillTx/>
                <a:latin typeface="Arial"/>
              </a:defRPr>
            </a:pPr>
            <a:r>
              <a:rPr lang="en-GB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Remaining Performance Obligations (RPO)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Model!$B$2:$S$2</c:f>
              <c:strCache>
                <c:ptCount val="18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  <c:pt idx="15">
                  <c:v>Q425</c:v>
                </c:pt>
                <c:pt idx="16">
                  <c:v>Q126</c:v>
                </c:pt>
                <c:pt idx="17">
                  <c:v>Q226</c:v>
                </c:pt>
              </c:strCache>
            </c:strRef>
          </c:cat>
          <c:val>
            <c:numRef>
              <c:f>Model!$B$145:$S$145</c:f>
              <c:numCache>
                <c:formatCode>#,##0;\(#,##0\);\-</c:formatCode>
                <c:ptCount val="18"/>
                <c:pt idx="0">
                  <c:v>13830</c:v>
                </c:pt>
                <c:pt idx="1">
                  <c:v>13820</c:v>
                </c:pt>
                <c:pt idx="2">
                  <c:v>14110</c:v>
                </c:pt>
                <c:pt idx="3">
                  <c:v>15190</c:v>
                </c:pt>
                <c:pt idx="4">
                  <c:v>15210</c:v>
                </c:pt>
                <c:pt idx="5">
                  <c:v>15220</c:v>
                </c:pt>
                <c:pt idx="6">
                  <c:v>15720</c:v>
                </c:pt>
                <c:pt idx="7">
                  <c:v>17220</c:v>
                </c:pt>
                <c:pt idx="8">
                  <c:v>17580</c:v>
                </c:pt>
                <c:pt idx="9">
                  <c:v>17860</c:v>
                </c:pt>
                <c:pt idx="10">
                  <c:v>18140</c:v>
                </c:pt>
                <c:pt idx="11">
                  <c:v>19960</c:v>
                </c:pt>
                <c:pt idx="12">
                  <c:v>19690</c:v>
                </c:pt>
                <c:pt idx="13">
                  <c:v>19690</c:v>
                </c:pt>
                <c:pt idx="14">
                  <c:v>20440</c:v>
                </c:pt>
                <c:pt idx="15">
                  <c:v>22520</c:v>
                </c:pt>
                <c:pt idx="16">
                  <c:v>22220</c:v>
                </c:pt>
                <c:pt idx="17">
                  <c:v>22270</c:v>
                </c:pt>
              </c:numCache>
            </c:numRef>
          </c:val>
        </c:ser>
        <c:gapWidth val="100"/>
        <c:overlap val="0"/>
        <c:axId val="79222780"/>
        <c:axId val="41843608"/>
      </c:barChart>
      <c:catAx>
        <c:axId val="792227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1843608"/>
        <c:crosses val="autoZero"/>
        <c:auto val="1"/>
        <c:lblAlgn val="ctr"/>
        <c:lblOffset val="100"/>
        <c:noMultiLvlLbl val="0"/>
      </c:catAx>
      <c:valAx>
        <c:axId val="418436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922278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32</xdr:col>
      <xdr:colOff>119160</xdr:colOff>
      <xdr:row>1</xdr:row>
      <xdr:rowOff>43920</xdr:rowOff>
    </xdr:from>
    <xdr:to>
      <xdr:col>32</xdr:col>
      <xdr:colOff>119520</xdr:colOff>
      <xdr:row>170</xdr:row>
      <xdr:rowOff>106200</xdr:rowOff>
    </xdr:to>
    <xdr:sp>
      <xdr:nvSpPr>
        <xdr:cNvPr id="1" name="Vertical line 1"/>
        <xdr:cNvSpPr/>
      </xdr:nvSpPr>
      <xdr:spPr>
        <a:xfrm flipH="1">
          <a:off x="26871120" y="206640"/>
          <a:ext cx="360" cy="263372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70560</xdr:colOff>
      <xdr:row>0</xdr:row>
      <xdr:rowOff>104040</xdr:rowOff>
    </xdr:from>
    <xdr:to>
      <xdr:col>19</xdr:col>
      <xdr:colOff>70920</xdr:colOff>
      <xdr:row>169</xdr:row>
      <xdr:rowOff>73800</xdr:rowOff>
    </xdr:to>
    <xdr:sp>
      <xdr:nvSpPr>
        <xdr:cNvPr id="2" name="Vertical line 2"/>
        <xdr:cNvSpPr/>
      </xdr:nvSpPr>
      <xdr:spPr>
        <a:xfrm flipH="1">
          <a:off x="16256160" y="104040"/>
          <a:ext cx="360" cy="262447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483120</xdr:colOff>
      <xdr:row>168</xdr:row>
      <xdr:rowOff>24840</xdr:rowOff>
    </xdr:from>
    <xdr:to>
      <xdr:col>34</xdr:col>
      <xdr:colOff>550440</xdr:colOff>
      <xdr:row>188</xdr:row>
      <xdr:rowOff>10440</xdr:rowOff>
    </xdr:to>
    <xdr:graphicFrame>
      <xdr:nvGraphicFramePr>
        <xdr:cNvPr id="3" name=""/>
        <xdr:cNvGraphicFramePr/>
      </xdr:nvGraphicFramePr>
      <xdr:xfrm>
        <a:off x="23171040" y="26137440"/>
        <a:ext cx="575676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35</xdr:col>
      <xdr:colOff>620280</xdr:colOff>
      <xdr:row>165</xdr:row>
      <xdr:rowOff>136800</xdr:rowOff>
    </xdr:from>
    <xdr:to>
      <xdr:col>42</xdr:col>
      <xdr:colOff>687240</xdr:colOff>
      <xdr:row>186</xdr:row>
      <xdr:rowOff>18000</xdr:rowOff>
    </xdr:to>
    <xdr:graphicFrame>
      <xdr:nvGraphicFramePr>
        <xdr:cNvPr id="4" name="Revenue Segments"/>
        <xdr:cNvGraphicFramePr/>
      </xdr:nvGraphicFramePr>
      <xdr:xfrm>
        <a:off x="29810520" y="25819920"/>
        <a:ext cx="575676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44640</xdr:colOff>
      <xdr:row>175</xdr:row>
      <xdr:rowOff>146880</xdr:rowOff>
    </xdr:from>
    <xdr:to>
      <xdr:col>19</xdr:col>
      <xdr:colOff>111600</xdr:colOff>
      <xdr:row>195</xdr:row>
      <xdr:rowOff>132480</xdr:rowOff>
    </xdr:to>
    <xdr:graphicFrame>
      <xdr:nvGraphicFramePr>
        <xdr:cNvPr id="5" name=""/>
        <xdr:cNvGraphicFramePr/>
      </xdr:nvGraphicFramePr>
      <xdr:xfrm>
        <a:off x="10540440" y="27397440"/>
        <a:ext cx="575676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  <sheetName val="Zero-rate curve BoE"/>
    </sheetNames>
    <sheetDataSet>
      <sheetData sheetId="0"/>
      <sheetData sheetId="1"/>
      <sheetData sheetId="2">
        <row r="6">
          <cell r="J6">
            <v>0.794782608695652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ADBE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ADBE.od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ADBE.o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8" activeCellId="0" sqref="A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56"/>
    <col collapsed="false" customWidth="false" hidden="false" outlineLevel="0" max="3" min="2" style="1" width="11.53"/>
    <col collapsed="false" customWidth="true" hidden="false" outlineLevel="0" max="4" min="4" style="1" width="15.3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E1" s="1" t="s">
        <v>1</v>
      </c>
      <c r="F1" s="3" t="n">
        <v>277</v>
      </c>
    </row>
    <row r="2" customFormat="false" ht="12.8" hidden="false" customHeight="false" outlineLevel="0" collapsed="false">
      <c r="E2" s="1" t="s">
        <v>2</v>
      </c>
      <c r="F2" s="3" t="n">
        <v>397.5</v>
      </c>
      <c r="G2" s="4" t="s">
        <v>3</v>
      </c>
    </row>
    <row r="3" customFormat="false" ht="12.8" hidden="false" customHeight="false" outlineLevel="0" collapsed="false">
      <c r="E3" s="1" t="s">
        <v>4</v>
      </c>
      <c r="F3" s="3" t="n">
        <f aca="false">+F2*F1</f>
        <v>110107.5</v>
      </c>
    </row>
    <row r="4" customFormat="false" ht="12.8" hidden="false" customHeight="false" outlineLevel="0" collapsed="false">
      <c r="E4" s="1" t="s">
        <v>5</v>
      </c>
      <c r="F4" s="3" t="n">
        <v>5626</v>
      </c>
      <c r="G4" s="4" t="s">
        <v>3</v>
      </c>
    </row>
    <row r="5" customFormat="false" ht="12.8" hidden="false" customHeight="false" outlineLevel="0" collapsed="false">
      <c r="E5" s="1" t="s">
        <v>6</v>
      </c>
      <c r="F5" s="3" t="n">
        <v>6645</v>
      </c>
      <c r="G5" s="4" t="s">
        <v>3</v>
      </c>
    </row>
    <row r="6" customFormat="false" ht="12.8" hidden="false" customHeight="false" outlineLevel="0" collapsed="false">
      <c r="E6" s="1" t="s">
        <v>7</v>
      </c>
      <c r="F6" s="5" t="n">
        <f aca="false">+F3-F4+F5</f>
        <v>111126.5</v>
      </c>
    </row>
    <row r="10" customFormat="false" ht="16.15" hidden="false" customHeight="false" outlineLevel="0" collapsed="false">
      <c r="A10" s="6" t="s">
        <v>8</v>
      </c>
      <c r="B10" s="7" t="n">
        <f aca="false">+F3/SUM(Model!P139:S139)</f>
        <v>10.7113195074949</v>
      </c>
      <c r="C10" s="6"/>
      <c r="D10" s="6" t="s">
        <v>9</v>
      </c>
      <c r="E10" s="6" t="n">
        <v>1.42</v>
      </c>
      <c r="F10" s="6"/>
      <c r="G10" s="6" t="s">
        <v>10</v>
      </c>
      <c r="H10" s="8" t="n">
        <f aca="false">+(F3/(F3+F5))*E11+(F5/(F3+F5))*E12*(1-Model!AF68)</f>
        <v>0.126330211995218</v>
      </c>
    </row>
    <row r="11" customFormat="false" ht="16.15" hidden="false" customHeight="false" outlineLevel="0" collapsed="false">
      <c r="A11" s="6" t="s">
        <v>11</v>
      </c>
      <c r="B11" s="9" t="n">
        <f aca="false">+F6/SUM(Model!P85:S85)</f>
        <v>11.2294361358124</v>
      </c>
      <c r="C11" s="6"/>
      <c r="D11" s="6" t="s">
        <v>12</v>
      </c>
      <c r="E11" s="10" t="n">
        <f aca="false">+0.0495+E10*(0.1-0.045)</f>
        <v>0.1276</v>
      </c>
      <c r="F11" s="6"/>
      <c r="G11" s="6"/>
      <c r="H11" s="6"/>
    </row>
    <row r="12" customFormat="false" ht="16.15" hidden="false" customHeight="false" outlineLevel="0" collapsed="false">
      <c r="A12" s="6" t="s">
        <v>13</v>
      </c>
      <c r="B12" s="11" t="n">
        <f aca="false">+F6/SUM(Model!P139:S139)</f>
        <v>10.8104484004235</v>
      </c>
      <c r="C12" s="6"/>
      <c r="D12" s="6" t="s">
        <v>14</v>
      </c>
      <c r="E12" s="10" t="n">
        <f aca="false">+0.0495 + (E13/10)</f>
        <v>0.128978260869565</v>
      </c>
      <c r="F12" s="6"/>
      <c r="G12" s="6"/>
      <c r="H12" s="6"/>
    </row>
    <row r="13" customFormat="false" ht="16.15" hidden="false" customHeight="false" outlineLevel="0" collapsed="false">
      <c r="A13" s="6" t="s">
        <v>15</v>
      </c>
      <c r="B13" s="8" t="n">
        <f aca="false">+(SUM(Model!P45:S45)-SUM(Model!L45:O45))/(SUM(Model!P23:S23)-SUM(Model!L23:O23))</f>
        <v>0.33461686561417</v>
      </c>
      <c r="C13" s="6"/>
      <c r="D13" s="6" t="s">
        <v>16</v>
      </c>
      <c r="E13" s="12" t="n">
        <f aca="false">+'[1]Credit Spread US'!J6</f>
        <v>0.794782608695652</v>
      </c>
      <c r="F13" s="6"/>
      <c r="G13" s="6"/>
      <c r="H13" s="6"/>
    </row>
    <row r="14" customFormat="false" ht="16.15" hidden="false" customHeight="false" outlineLevel="0" collapsed="false">
      <c r="A14" s="6" t="s">
        <v>17</v>
      </c>
      <c r="B14" s="7" t="n">
        <f aca="false">+F1/SUM(Model!P59:S59)</f>
        <v>15.8422427090204</v>
      </c>
      <c r="C14" s="6"/>
      <c r="D14" s="6" t="s">
        <v>18</v>
      </c>
      <c r="E14" s="13" t="s">
        <v>19</v>
      </c>
      <c r="F14" s="13" t="s">
        <v>20</v>
      </c>
      <c r="G14" s="6"/>
      <c r="H14" s="6"/>
    </row>
    <row r="15" customFormat="false" ht="16.15" hidden="false" customHeight="false" outlineLevel="0" collapsed="false">
      <c r="A15" s="6" t="s">
        <v>21</v>
      </c>
      <c r="B15" s="8" t="n">
        <f aca="false">+(F5-F4)/SUM(Model!P85:S85)</f>
        <v>0.102970897332255</v>
      </c>
      <c r="C15" s="6"/>
      <c r="D15" s="6"/>
      <c r="E15" s="13" t="s">
        <v>22</v>
      </c>
      <c r="F15" s="13" t="s">
        <v>23</v>
      </c>
      <c r="G15" s="6"/>
      <c r="H15" s="6"/>
    </row>
    <row r="18" customFormat="false" ht="16.15" hidden="false" customHeight="false" outlineLevel="0" collapsed="false">
      <c r="A18" s="14"/>
      <c r="B18" s="0"/>
      <c r="C18" s="0"/>
      <c r="D18" s="14"/>
      <c r="E18" s="14"/>
    </row>
    <row r="22" customFormat="false" ht="12.8" hidden="false" customHeight="false" outlineLevel="0" collapsed="false">
      <c r="A22" s="4" t="s">
        <v>24</v>
      </c>
      <c r="B22" s="1" t="s">
        <v>25</v>
      </c>
    </row>
    <row r="23" customFormat="false" ht="12.8" hidden="false" customHeight="false" outlineLevel="0" collapsed="false">
      <c r="A23" s="4" t="s">
        <v>24</v>
      </c>
      <c r="B23" s="1" t="s">
        <v>26</v>
      </c>
    </row>
    <row r="24" customFormat="false" ht="12.8" hidden="false" customHeight="false" outlineLevel="0" collapsed="false">
      <c r="A24" s="4" t="s">
        <v>24</v>
      </c>
      <c r="B24" s="1" t="s">
        <v>27</v>
      </c>
    </row>
    <row r="26" customFormat="false" ht="12.8" hidden="false" customHeight="false" outlineLevel="0" collapsed="false">
      <c r="A26" s="1" t="s">
        <v>28</v>
      </c>
    </row>
    <row r="27" customFormat="false" ht="12.8" hidden="false" customHeight="false" outlineLevel="0" collapsed="false">
      <c r="A27" s="4" t="s">
        <v>24</v>
      </c>
      <c r="B27" s="1" t="s">
        <v>29</v>
      </c>
    </row>
    <row r="28" customFormat="false" ht="12.8" hidden="false" customHeight="false" outlineLevel="0" collapsed="false">
      <c r="A28" s="4" t="s">
        <v>24</v>
      </c>
      <c r="B28" s="1" t="s">
        <v>30</v>
      </c>
    </row>
    <row r="29" customFormat="false" ht="12.8" hidden="false" customHeight="false" outlineLevel="0" collapsed="false">
      <c r="A29" s="4" t="s">
        <v>24</v>
      </c>
      <c r="B29" s="1" t="s">
        <v>31</v>
      </c>
    </row>
    <row r="31" customFormat="false" ht="12.8" hidden="false" customHeight="false" outlineLevel="0" collapsed="false">
      <c r="A31" s="1" t="s">
        <v>32</v>
      </c>
      <c r="B31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B36" s="1" t="n">
        <v>2020</v>
      </c>
      <c r="C36" s="1" t="n">
        <f aca="false">+B36+1</f>
        <v>2021</v>
      </c>
      <c r="D36" s="1" t="n">
        <f aca="false">+C36+1</f>
        <v>2022</v>
      </c>
      <c r="E36" s="1" t="n">
        <f aca="false">+D36+1</f>
        <v>2023</v>
      </c>
      <c r="F36" s="1" t="n">
        <f aca="false">+E36+1</f>
        <v>2024</v>
      </c>
      <c r="G36" s="1" t="n">
        <f aca="false">+F36+1</f>
        <v>2025</v>
      </c>
    </row>
    <row r="37" customFormat="false" ht="12.8" hidden="false" customHeight="false" outlineLevel="0" collapsed="false">
      <c r="A37" s="15" t="s">
        <v>35</v>
      </c>
      <c r="B37" s="3" t="n">
        <v>7454</v>
      </c>
      <c r="C37" s="3" t="n">
        <v>8996</v>
      </c>
      <c r="D37" s="3" t="n">
        <v>10251</v>
      </c>
      <c r="E37" s="3" t="n">
        <v>11654</v>
      </c>
      <c r="F37" s="3" t="n">
        <v>12891</v>
      </c>
      <c r="G37" s="3" t="n">
        <v>14120</v>
      </c>
      <c r="H37" s="3"/>
    </row>
    <row r="38" customFormat="false" ht="12.8" hidden="false" customHeight="false" outlineLevel="0" collapsed="false">
      <c r="A38" s="16"/>
      <c r="B38" s="16"/>
      <c r="C38" s="17" t="n">
        <f aca="false">+C37/B37-1</f>
        <v>0.206868795277703</v>
      </c>
      <c r="D38" s="17" t="n">
        <f aca="false">+D37/C37-1</f>
        <v>0.139506447309915</v>
      </c>
      <c r="E38" s="17" t="n">
        <f aca="false">+E37/D37-1</f>
        <v>0.136864696127207</v>
      </c>
      <c r="F38" s="17" t="n">
        <f aca="false">+F37/E37-1</f>
        <v>0.106143813282993</v>
      </c>
      <c r="G38" s="17" t="n">
        <f aca="false">+G37/F37-1</f>
        <v>0.0953378325963852</v>
      </c>
      <c r="H38" s="16"/>
    </row>
    <row r="39" customFormat="false" ht="12.8" hidden="false" customHeight="false" outlineLevel="0" collapsed="false">
      <c r="A39" s="15" t="s">
        <v>36</v>
      </c>
      <c r="B39" s="3" t="n">
        <v>3400</v>
      </c>
      <c r="C39" s="3" t="n">
        <v>4252</v>
      </c>
      <c r="D39" s="3" t="n">
        <v>4593</v>
      </c>
      <c r="E39" s="3" t="n">
        <v>4881</v>
      </c>
      <c r="F39" s="3" t="n">
        <v>5554</v>
      </c>
      <c r="G39" s="3" t="n">
        <v>6289</v>
      </c>
      <c r="H39" s="3"/>
    </row>
    <row r="40" customFormat="false" ht="12.8" hidden="false" customHeight="false" outlineLevel="0" collapsed="false">
      <c r="A40" s="16"/>
      <c r="B40" s="16"/>
      <c r="C40" s="17" t="n">
        <f aca="false">+C39/B39-1</f>
        <v>0.250588235294118</v>
      </c>
      <c r="D40" s="17" t="n">
        <f aca="false">+D39/C39-1</f>
        <v>0.080197554092192</v>
      </c>
      <c r="E40" s="17" t="n">
        <f aca="false">+E39/D39-1</f>
        <v>0.062704114957544</v>
      </c>
      <c r="F40" s="17" t="n">
        <f aca="false">+F39/E39-1</f>
        <v>0.137881581643106</v>
      </c>
      <c r="G40" s="17" t="n">
        <f aca="false">+G39/F39-1</f>
        <v>0.132337054375225</v>
      </c>
      <c r="H40" s="16"/>
    </row>
    <row r="41" customFormat="false" ht="12.8" hidden="false" customHeight="false" outlineLevel="0" collapsed="false">
      <c r="A41" s="15" t="s">
        <v>37</v>
      </c>
      <c r="B41" s="3" t="n">
        <v>2014</v>
      </c>
      <c r="C41" s="3" t="n">
        <v>2537</v>
      </c>
      <c r="D41" s="3" t="n">
        <v>2762</v>
      </c>
      <c r="E41" s="3" t="n">
        <v>2874</v>
      </c>
      <c r="F41" s="3" t="n">
        <v>3060</v>
      </c>
      <c r="G41" s="3" t="n">
        <v>3360</v>
      </c>
      <c r="H41" s="3"/>
    </row>
    <row r="42" customFormat="false" ht="12.8" hidden="false" customHeight="false" outlineLevel="0" collapsed="false">
      <c r="A42" s="17"/>
      <c r="B42" s="17"/>
      <c r="C42" s="17" t="n">
        <f aca="false">+C41/B41-1</f>
        <v>0.259682224428997</v>
      </c>
      <c r="D42" s="17" t="n">
        <f aca="false">+D41/C41-1</f>
        <v>0.0886874260938115</v>
      </c>
      <c r="E42" s="17" t="n">
        <f aca="false">+E41/D41-1</f>
        <v>0.0405503258508326</v>
      </c>
      <c r="F42" s="17" t="n">
        <f aca="false">+F41/E41-1</f>
        <v>0.0647181628392484</v>
      </c>
      <c r="G42" s="17" t="n">
        <f aca="false">+G41/F41-1</f>
        <v>0.0980392156862746</v>
      </c>
      <c r="H42" s="17"/>
    </row>
    <row r="46" customFormat="false" ht="12.8" hidden="false" customHeight="false" outlineLevel="0" collapsed="false">
      <c r="B46" s="4" t="s">
        <v>24</v>
      </c>
      <c r="C46" s="1" t="s">
        <v>38</v>
      </c>
    </row>
    <row r="47" customFormat="false" ht="12.8" hidden="false" customHeight="false" outlineLevel="0" collapsed="false">
      <c r="C47" s="1" t="s">
        <v>39</v>
      </c>
    </row>
    <row r="48" customFormat="false" ht="12.8" hidden="false" customHeight="false" outlineLevel="0" collapsed="false">
      <c r="D48" s="1" t="s">
        <v>40</v>
      </c>
    </row>
    <row r="49" customFormat="false" ht="12.8" hidden="false" customHeight="false" outlineLevel="0" collapsed="false">
      <c r="D49" s="1" t="s">
        <v>41</v>
      </c>
    </row>
    <row r="50" customFormat="false" ht="12.8" hidden="false" customHeight="false" outlineLevel="0" collapsed="false">
      <c r="D50" s="1" t="s">
        <v>42</v>
      </c>
    </row>
    <row r="51" customFormat="false" ht="12.8" hidden="false" customHeight="false" outlineLevel="0" collapsed="false">
      <c r="D51" s="1" t="s">
        <v>43</v>
      </c>
    </row>
    <row r="52" customFormat="false" ht="12.8" hidden="false" customHeight="false" outlineLevel="0" collapsed="false">
      <c r="B52" s="4"/>
    </row>
    <row r="53" customFormat="false" ht="12.8" hidden="false" customHeight="false" outlineLevel="0" collapsed="false">
      <c r="B53" s="4" t="s">
        <v>24</v>
      </c>
      <c r="C53" s="1" t="s">
        <v>44</v>
      </c>
    </row>
    <row r="54" customFormat="false" ht="12.8" hidden="false" customHeight="false" outlineLevel="0" collapsed="false">
      <c r="D54" s="1" t="s">
        <v>45</v>
      </c>
    </row>
    <row r="55" customFormat="false" ht="12.8" hidden="false" customHeight="false" outlineLevel="0" collapsed="false">
      <c r="E55" s="18" t="s">
        <v>46</v>
      </c>
    </row>
    <row r="56" customFormat="false" ht="12.8" hidden="false" customHeight="false" outlineLevel="0" collapsed="false">
      <c r="E56" s="1" t="s">
        <v>47</v>
      </c>
    </row>
    <row r="57" customFormat="false" ht="12.8" hidden="false" customHeight="false" outlineLevel="0" collapsed="false">
      <c r="E57" s="1" t="s">
        <v>48</v>
      </c>
    </row>
    <row r="58" customFormat="false" ht="12.8" hidden="false" customHeight="false" outlineLevel="0" collapsed="false">
      <c r="E58" s="1" t="s">
        <v>49</v>
      </c>
    </row>
    <row r="60" customFormat="false" ht="12.8" hidden="false" customHeight="false" outlineLevel="0" collapsed="false">
      <c r="E60" s="18" t="s">
        <v>50</v>
      </c>
    </row>
    <row r="61" customFormat="false" ht="12.8" hidden="false" customHeight="false" outlineLevel="0" collapsed="false">
      <c r="E61" s="1" t="s">
        <v>51</v>
      </c>
    </row>
    <row r="62" customFormat="false" ht="12.8" hidden="false" customHeight="false" outlineLevel="0" collapsed="false">
      <c r="E62" s="1" t="s">
        <v>52</v>
      </c>
    </row>
    <row r="63" customFormat="false" ht="12.8" hidden="false" customHeight="false" outlineLevel="0" collapsed="false">
      <c r="E63" s="1" t="s">
        <v>53</v>
      </c>
    </row>
    <row r="64" customFormat="false" ht="12.8" hidden="false" customHeight="false" outlineLevel="0" collapsed="false">
      <c r="E64" s="1" t="s">
        <v>54</v>
      </c>
    </row>
    <row r="65" customFormat="false" ht="12.8" hidden="false" customHeight="false" outlineLevel="0" collapsed="false">
      <c r="E65" s="1" t="s">
        <v>55</v>
      </c>
    </row>
    <row r="67" customFormat="false" ht="12.8" hidden="false" customHeight="false" outlineLevel="0" collapsed="false">
      <c r="E67" s="18" t="s">
        <v>56</v>
      </c>
    </row>
    <row r="68" customFormat="false" ht="12.8" hidden="false" customHeight="false" outlineLevel="0" collapsed="false">
      <c r="E68" s="1" t="s">
        <v>57</v>
      </c>
    </row>
    <row r="69" customFormat="false" ht="12.8" hidden="false" customHeight="false" outlineLevel="0" collapsed="false">
      <c r="E69" s="1" t="s">
        <v>58</v>
      </c>
    </row>
    <row r="70" customFormat="false" ht="12.8" hidden="false" customHeight="false" outlineLevel="0" collapsed="false">
      <c r="E70" s="1" t="s">
        <v>59</v>
      </c>
    </row>
    <row r="72" customFormat="false" ht="12.8" hidden="false" customHeight="false" outlineLevel="0" collapsed="false">
      <c r="E72" s="18" t="s">
        <v>60</v>
      </c>
    </row>
    <row r="73" customFormat="false" ht="12.8" hidden="false" customHeight="false" outlineLevel="0" collapsed="false">
      <c r="E73" s="1" t="s">
        <v>61</v>
      </c>
    </row>
    <row r="74" customFormat="false" ht="12.8" hidden="false" customHeight="false" outlineLevel="0" collapsed="false">
      <c r="E74" s="1" t="s">
        <v>62</v>
      </c>
    </row>
    <row r="75" customFormat="false" ht="12.8" hidden="false" customHeight="false" outlineLevel="0" collapsed="false">
      <c r="E75" s="1" t="s">
        <v>63</v>
      </c>
    </row>
    <row r="77" customFormat="false" ht="12.8" hidden="false" customHeight="false" outlineLevel="0" collapsed="false">
      <c r="E77" s="18" t="s">
        <v>64</v>
      </c>
    </row>
    <row r="78" customFormat="false" ht="12.8" hidden="false" customHeight="false" outlineLevel="0" collapsed="false">
      <c r="E78" s="1" t="s">
        <v>65</v>
      </c>
    </row>
    <row r="79" customFormat="false" ht="12.8" hidden="false" customHeight="false" outlineLevel="0" collapsed="false">
      <c r="E79" s="1" t="s">
        <v>66</v>
      </c>
    </row>
    <row r="81" customFormat="false" ht="12.8" hidden="false" customHeight="false" outlineLevel="0" collapsed="false">
      <c r="E81" s="18" t="s">
        <v>67</v>
      </c>
    </row>
    <row r="82" customFormat="false" ht="12.8" hidden="false" customHeight="false" outlineLevel="0" collapsed="false">
      <c r="E82" s="1" t="s">
        <v>68</v>
      </c>
    </row>
    <row r="84" customFormat="false" ht="12.8" hidden="false" customHeight="false" outlineLevel="0" collapsed="false">
      <c r="E84" s="18" t="s">
        <v>69</v>
      </c>
    </row>
    <row r="85" customFormat="false" ht="12.8" hidden="false" customHeight="false" outlineLevel="0" collapsed="false">
      <c r="E85" s="1" t="s">
        <v>70</v>
      </c>
    </row>
    <row r="87" customFormat="false" ht="12.8" hidden="false" customHeight="false" outlineLevel="0" collapsed="false">
      <c r="E87" s="18" t="s">
        <v>71</v>
      </c>
    </row>
    <row r="88" customFormat="false" ht="12.8" hidden="false" customHeight="false" outlineLevel="0" collapsed="false">
      <c r="E88" s="1" t="s">
        <v>72</v>
      </c>
    </row>
    <row r="90" customFormat="false" ht="12.8" hidden="false" customHeight="false" outlineLevel="0" collapsed="false">
      <c r="E90" s="18" t="s">
        <v>73</v>
      </c>
    </row>
    <row r="91" customFormat="false" ht="12.8" hidden="false" customHeight="false" outlineLevel="0" collapsed="false">
      <c r="E91" s="1" t="s">
        <v>74</v>
      </c>
    </row>
    <row r="92" customFormat="false" ht="12.8" hidden="false" customHeight="false" outlineLevel="0" collapsed="false">
      <c r="E92" s="1" t="s">
        <v>75</v>
      </c>
    </row>
    <row r="93" customFormat="false" ht="12.8" hidden="false" customHeight="false" outlineLevel="0" collapsed="false">
      <c r="E93" s="1" t="s">
        <v>76</v>
      </c>
    </row>
    <row r="95" customFormat="false" ht="12.8" hidden="false" customHeight="false" outlineLevel="0" collapsed="false">
      <c r="D95" s="1" t="s">
        <v>77</v>
      </c>
    </row>
    <row r="96" customFormat="false" ht="12.8" hidden="false" customHeight="false" outlineLevel="0" collapsed="false">
      <c r="E96" s="1" t="s">
        <v>78</v>
      </c>
    </row>
    <row r="97" customFormat="false" ht="12.8" hidden="false" customHeight="false" outlineLevel="0" collapsed="false">
      <c r="E97" s="1" t="s">
        <v>79</v>
      </c>
    </row>
    <row r="98" customFormat="false" ht="12.8" hidden="false" customHeight="false" outlineLevel="0" collapsed="false">
      <c r="E98" s="1" t="s">
        <v>80</v>
      </c>
      <c r="H98" s="19"/>
    </row>
    <row r="99" customFormat="false" ht="12.8" hidden="false" customHeight="false" outlineLevel="0" collapsed="false">
      <c r="E99" s="1" t="s">
        <v>81</v>
      </c>
      <c r="H99" s="19"/>
    </row>
    <row r="100" customFormat="false" ht="12.8" hidden="false" customHeight="false" outlineLevel="0" collapsed="false">
      <c r="E100" s="1" t="s">
        <v>82</v>
      </c>
      <c r="H100" s="19"/>
    </row>
    <row r="101" customFormat="false" ht="12.8" hidden="false" customHeight="false" outlineLevel="0" collapsed="false">
      <c r="E101" s="1" t="s">
        <v>83</v>
      </c>
      <c r="H101" s="19"/>
    </row>
    <row r="102" customFormat="false" ht="12.8" hidden="false" customHeight="false" outlineLevel="0" collapsed="false">
      <c r="E102" s="1" t="s">
        <v>84</v>
      </c>
      <c r="H102" s="19"/>
    </row>
    <row r="105" customFormat="false" ht="12.8" hidden="false" customHeight="false" outlineLevel="0" collapsed="false">
      <c r="B105" s="2" t="s">
        <v>85</v>
      </c>
    </row>
    <row r="106" customFormat="false" ht="12.8" hidden="false" customHeight="false" outlineLevel="0" collapsed="false">
      <c r="B106" s="4" t="s">
        <v>24</v>
      </c>
      <c r="C106" s="1" t="s">
        <v>86</v>
      </c>
    </row>
    <row r="107" customFormat="false" ht="12.8" hidden="false" customHeight="false" outlineLevel="0" collapsed="false">
      <c r="C107" s="1" t="s">
        <v>87</v>
      </c>
    </row>
    <row r="108" customFormat="false" ht="12.8" hidden="false" customHeight="false" outlineLevel="0" collapsed="false">
      <c r="B108" s="4"/>
    </row>
    <row r="109" customFormat="false" ht="12.8" hidden="false" customHeight="false" outlineLevel="0" collapsed="false">
      <c r="B109" s="4" t="s">
        <v>24</v>
      </c>
      <c r="C109" s="1" t="s">
        <v>88</v>
      </c>
    </row>
    <row r="110" customFormat="false" ht="12.8" hidden="false" customHeight="false" outlineLevel="0" collapsed="false">
      <c r="C110" s="4" t="s">
        <v>24</v>
      </c>
      <c r="D110" s="1" t="s">
        <v>89</v>
      </c>
    </row>
    <row r="111" customFormat="false" ht="12.8" hidden="false" customHeight="false" outlineLevel="0" collapsed="false">
      <c r="D111" s="1" t="s">
        <v>90</v>
      </c>
    </row>
    <row r="113" customFormat="false" ht="12.8" hidden="false" customHeight="false" outlineLevel="0" collapsed="false">
      <c r="B113" s="4"/>
      <c r="C113" s="4" t="s">
        <v>24</v>
      </c>
      <c r="D113" s="1" t="s">
        <v>91</v>
      </c>
    </row>
    <row r="114" customFormat="false" ht="12.8" hidden="false" customHeight="false" outlineLevel="0" collapsed="false">
      <c r="D114" s="20" t="s">
        <v>92</v>
      </c>
    </row>
    <row r="116" customFormat="false" ht="12.8" hidden="false" customHeight="false" outlineLevel="0" collapsed="false">
      <c r="B116" s="4"/>
      <c r="C116" s="4" t="s">
        <v>24</v>
      </c>
      <c r="D116" s="1" t="s">
        <v>93</v>
      </c>
    </row>
    <row r="117" customFormat="false" ht="12.8" hidden="false" customHeight="false" outlineLevel="0" collapsed="false">
      <c r="D117" s="1" t="s">
        <v>94</v>
      </c>
    </row>
    <row r="119" customFormat="false" ht="12.8" hidden="false" customHeight="false" outlineLevel="0" collapsed="false">
      <c r="B119" s="4"/>
      <c r="C119" s="4" t="s">
        <v>24</v>
      </c>
      <c r="D119" s="1" t="s">
        <v>95</v>
      </c>
    </row>
    <row r="120" customFormat="false" ht="12.8" hidden="false" customHeight="false" outlineLevel="0" collapsed="false">
      <c r="D120" s="1" t="s">
        <v>96</v>
      </c>
    </row>
    <row r="123" customFormat="false" ht="12.8" hidden="false" customHeight="false" outlineLevel="0" collapsed="false">
      <c r="B123" s="4" t="s">
        <v>24</v>
      </c>
      <c r="C123" s="1" t="s">
        <v>97</v>
      </c>
    </row>
    <row r="124" customFormat="false" ht="12.8" hidden="false" customHeight="false" outlineLevel="0" collapsed="false">
      <c r="B124" s="4" t="s">
        <v>24</v>
      </c>
      <c r="C124" s="1" t="s">
        <v>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Z1168"/>
  <sheetViews>
    <sheetView showFormulas="false" showGridLines="false" showRowColHeaders="true" showZeros="true" rightToLeft="false" tabSelected="false" showOutlineSymbols="true" defaultGridColor="true" view="normal" topLeftCell="A1" colorId="64" zoomScale="40" zoomScaleNormal="40" zoomScalePageLayoutView="100" workbookViewId="0">
      <pane xSplit="1" ySplit="2" topLeftCell="N50" activePane="bottomRight" state="frozen"/>
      <selection pane="topLeft" activeCell="A1" activeCellId="0" sqref="A1"/>
      <selection pane="topRight" activeCell="N1" activeCellId="0" sqref="N1"/>
      <selection pane="bottomLeft" activeCell="A50" activeCellId="0" sqref="A50"/>
      <selection pane="bottomRight" activeCell="AS70" activeCellId="0" sqref="AS7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22.06"/>
    <col collapsed="false" customWidth="false" hidden="false" outlineLevel="0" max="48" min="2" style="3" width="11.53"/>
    <col collapsed="false" customWidth="true" hidden="false" outlineLevel="0" max="49" min="49" style="3" width="15"/>
    <col collapsed="false" customWidth="false" hidden="false" outlineLevel="0" max="130" min="50" style="3" width="11.53"/>
    <col collapsed="false" customWidth="false" hidden="false" outlineLevel="0" max="16384" min="131" style="21" width="11.53"/>
  </cols>
  <sheetData>
    <row r="1" s="3" customFormat="true" ht="12.8" hidden="false" customHeight="false" outlineLevel="0" collapsed="false">
      <c r="A1" s="22" t="s">
        <v>99</v>
      </c>
      <c r="B1" s="23" t="s">
        <v>100</v>
      </c>
      <c r="C1" s="23" t="s">
        <v>101</v>
      </c>
      <c r="D1" s="23" t="s">
        <v>102</v>
      </c>
      <c r="E1" s="23" t="s">
        <v>103</v>
      </c>
      <c r="F1" s="23" t="s">
        <v>104</v>
      </c>
      <c r="G1" s="23" t="s">
        <v>105</v>
      </c>
      <c r="H1" s="23" t="s">
        <v>106</v>
      </c>
      <c r="I1" s="23" t="s">
        <v>107</v>
      </c>
      <c r="J1" s="23" t="s">
        <v>108</v>
      </c>
      <c r="K1" s="23" t="s">
        <v>109</v>
      </c>
      <c r="L1" s="23" t="s">
        <v>110</v>
      </c>
      <c r="M1" s="23" t="s">
        <v>111</v>
      </c>
      <c r="N1" s="23" t="s">
        <v>112</v>
      </c>
      <c r="O1" s="23" t="s">
        <v>113</v>
      </c>
      <c r="P1" s="23" t="s">
        <v>114</v>
      </c>
      <c r="Q1" s="23" t="s">
        <v>115</v>
      </c>
      <c r="R1" s="23" t="s">
        <v>116</v>
      </c>
      <c r="S1" s="23" t="s">
        <v>117</v>
      </c>
      <c r="T1" s="23" t="s">
        <v>118</v>
      </c>
      <c r="U1" s="23" t="s">
        <v>119</v>
      </c>
      <c r="V1" s="23"/>
      <c r="W1" s="23"/>
      <c r="X1" s="23"/>
      <c r="Y1" s="23"/>
      <c r="Z1" s="23"/>
      <c r="AA1" s="23" t="s">
        <v>120</v>
      </c>
      <c r="AB1" s="23" t="s">
        <v>121</v>
      </c>
      <c r="AC1" s="23" t="s">
        <v>103</v>
      </c>
      <c r="AD1" s="23" t="s">
        <v>107</v>
      </c>
      <c r="AE1" s="23" t="s">
        <v>111</v>
      </c>
      <c r="AF1" s="23" t="s">
        <v>115</v>
      </c>
      <c r="AG1" s="23" t="s">
        <v>119</v>
      </c>
      <c r="AH1" s="23" t="s">
        <v>122</v>
      </c>
      <c r="AI1" s="23" t="s">
        <v>123</v>
      </c>
      <c r="AJ1" s="23" t="s">
        <v>124</v>
      </c>
      <c r="AK1" s="23" t="s">
        <v>125</v>
      </c>
      <c r="AL1" s="23" t="s">
        <v>126</v>
      </c>
      <c r="AM1" s="23" t="s">
        <v>127</v>
      </c>
      <c r="AN1" s="23" t="s">
        <v>128</v>
      </c>
      <c r="AO1" s="23" t="s">
        <v>129</v>
      </c>
      <c r="AP1" s="23" t="s">
        <v>130</v>
      </c>
      <c r="AQ1" s="23" t="s">
        <v>131</v>
      </c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</row>
    <row r="2" s="3" customFormat="true" ht="12.8" hidden="false" customHeight="false" outlineLevel="0" collapsed="false">
      <c r="A2" s="2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  <c r="I2" s="4" t="s">
        <v>140</v>
      </c>
      <c r="J2" s="4" t="s">
        <v>141</v>
      </c>
      <c r="K2" s="4" t="s">
        <v>142</v>
      </c>
      <c r="L2" s="4" t="s">
        <v>143</v>
      </c>
      <c r="M2" s="4" t="s">
        <v>144</v>
      </c>
      <c r="N2" s="4" t="s">
        <v>145</v>
      </c>
      <c r="O2" s="4" t="s">
        <v>146</v>
      </c>
      <c r="P2" s="4" t="s">
        <v>147</v>
      </c>
      <c r="Q2" s="4" t="s">
        <v>148</v>
      </c>
      <c r="R2" s="4" t="s">
        <v>149</v>
      </c>
      <c r="S2" s="4" t="s">
        <v>3</v>
      </c>
      <c r="T2" s="4" t="s">
        <v>150</v>
      </c>
      <c r="U2" s="4" t="s">
        <v>151</v>
      </c>
      <c r="V2" s="4"/>
      <c r="W2" s="4"/>
      <c r="X2" s="4"/>
      <c r="Y2" s="4"/>
      <c r="Z2" s="4"/>
      <c r="AA2" s="4" t="n">
        <v>2020</v>
      </c>
      <c r="AB2" s="4" t="n">
        <f aca="false">+AA2+1</f>
        <v>2021</v>
      </c>
      <c r="AC2" s="4" t="n">
        <f aca="false">+AB2+1</f>
        <v>2022</v>
      </c>
      <c r="AD2" s="4" t="n">
        <f aca="false">+AC2+1</f>
        <v>2023</v>
      </c>
      <c r="AE2" s="4" t="n">
        <f aca="false">+AD2+1</f>
        <v>2024</v>
      </c>
      <c r="AF2" s="4" t="n">
        <f aca="false">+AE2+1</f>
        <v>2025</v>
      </c>
      <c r="AG2" s="4" t="n">
        <f aca="false">+AF2+1</f>
        <v>2026</v>
      </c>
      <c r="AH2" s="4" t="n">
        <f aca="false">+AG2+1</f>
        <v>2027</v>
      </c>
      <c r="AI2" s="4" t="n">
        <f aca="false">+AH2+1</f>
        <v>2028</v>
      </c>
      <c r="AJ2" s="4" t="n">
        <f aca="false">+AI2+1</f>
        <v>2029</v>
      </c>
      <c r="AK2" s="4" t="n">
        <f aca="false">+AJ2+1</f>
        <v>2030</v>
      </c>
      <c r="AL2" s="4" t="n">
        <f aca="false">+AK2+1</f>
        <v>2031</v>
      </c>
      <c r="AM2" s="4" t="n">
        <f aca="false">+AL2+1</f>
        <v>2032</v>
      </c>
      <c r="AN2" s="4" t="n">
        <f aca="false">+AM2+1</f>
        <v>2033</v>
      </c>
      <c r="AO2" s="4" t="n">
        <f aca="false">+AN2+1</f>
        <v>2034</v>
      </c>
      <c r="AP2" s="4" t="n">
        <f aca="false">+AO2+1</f>
        <v>2035</v>
      </c>
      <c r="AQ2" s="4" t="n">
        <f aca="false">+AP2+1</f>
        <v>2036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</row>
    <row r="3" s="3" customFormat="true" ht="12.8" hidden="false" customHeight="false" outlineLevel="0" collapsed="false">
      <c r="A3" s="3" t="s">
        <v>32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 t="n">
        <v>22610</v>
      </c>
      <c r="AF3" s="23" t="n">
        <v>25200</v>
      </c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="3" customFormat="true" ht="12.8" hidden="false" customHeight="false" outlineLevel="0" collapsed="false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="3" customFormat="true" ht="12.8" hidden="false" customHeight="false" outlineLevel="0" collapsed="false">
      <c r="A5" s="3" t="s">
        <v>152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 t="n">
        <v>13425</v>
      </c>
      <c r="AE5" s="23" t="n">
        <v>14749</v>
      </c>
      <c r="AF5" s="23" t="n">
        <v>16303</v>
      </c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s="3" customFormat="true" ht="12.8" hidden="false" customHeight="false" outlineLevel="0" collapsed="false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5" t="n">
        <f aca="false">+AE5/AD5-1</f>
        <v>0.0986219739292364</v>
      </c>
      <c r="AF6" s="25" t="n">
        <f aca="false">+AF5/AE5-1</f>
        <v>0.105363075462743</v>
      </c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s="3" customFormat="true" ht="12.8" hidden="false" customHeight="false" outlineLevel="0" collapsed="false">
      <c r="A7" s="3" t="s">
        <v>153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 t="n">
        <v>4744</v>
      </c>
      <c r="AE7" s="23" t="n">
        <v>5662</v>
      </c>
      <c r="AF7" s="23" t="n">
        <v>6495</v>
      </c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s="26" customFormat="true" ht="12.8" hidden="false" customHeight="false" outlineLevel="0" collapsed="false">
      <c r="A8" s="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5" t="n">
        <f aca="false">+AE7/AD7-1</f>
        <v>0.193507588532884</v>
      </c>
      <c r="AF8" s="25" t="n">
        <f aca="false">+AF7/AE7-1</f>
        <v>0.147121158601201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</row>
    <row r="9" s="26" customFormat="true" ht="12.8" hidden="false" customHeight="false" outlineLevel="0" collapsed="false">
      <c r="A9" s="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</row>
    <row r="10" s="26" customFormat="true" ht="12.8" hidden="false" customHeight="false" outlineLevel="0" collapsed="false">
      <c r="A10" s="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</row>
    <row r="11" s="26" customFormat="true" ht="12.8" hidden="false" customHeight="false" outlineLevel="0" collapsed="false">
      <c r="A11" s="3" t="s">
        <v>154</v>
      </c>
      <c r="B11" s="23" t="n">
        <v>2995</v>
      </c>
      <c r="C11" s="23" t="n">
        <v>3079</v>
      </c>
      <c r="D11" s="23" t="n">
        <v>3116</v>
      </c>
      <c r="E11" s="23" t="n">
        <f aca="false">+AC11-D11-C11-B11</f>
        <v>3195</v>
      </c>
      <c r="F11" s="23" t="n">
        <v>3301</v>
      </c>
      <c r="G11" s="23" t="n">
        <v>3418</v>
      </c>
      <c r="H11" s="23" t="n">
        <v>3506</v>
      </c>
      <c r="I11" s="23" t="n">
        <f aca="false">+AD11-H11-G11-F11</f>
        <v>3613</v>
      </c>
      <c r="J11" s="23" t="n">
        <v>3725</v>
      </c>
      <c r="K11" s="23" t="n">
        <v>3828</v>
      </c>
      <c r="L11" s="23" t="n">
        <v>3921</v>
      </c>
      <c r="M11" s="23" t="n">
        <f aca="false">+AE11-L11-K11-J11</f>
        <v>4073</v>
      </c>
      <c r="N11" s="23" t="n">
        <v>4159</v>
      </c>
      <c r="O11" s="23" t="n">
        <v>4280</v>
      </c>
      <c r="P11" s="23" t="n">
        <v>4397</v>
      </c>
      <c r="Q11" s="23" t="n">
        <f aca="false">+AF11-P11-O11-N11</f>
        <v>4553</v>
      </c>
      <c r="R11" s="23"/>
      <c r="S11" s="23"/>
      <c r="T11" s="23"/>
      <c r="U11" s="23"/>
      <c r="V11" s="23"/>
      <c r="W11" s="23"/>
      <c r="X11" s="23"/>
      <c r="Y11" s="23"/>
      <c r="Z11" s="23"/>
      <c r="AA11" s="23" t="n">
        <v>8813</v>
      </c>
      <c r="AB11" s="23" t="n">
        <v>11048</v>
      </c>
      <c r="AC11" s="23" t="n">
        <v>12385</v>
      </c>
      <c r="AD11" s="23" t="n">
        <v>13838</v>
      </c>
      <c r="AE11" s="23" t="n">
        <v>15547</v>
      </c>
      <c r="AF11" s="23" t="n">
        <v>17389</v>
      </c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</row>
    <row r="12" s="26" customFormat="true" ht="10.5" hidden="false" customHeight="true" outlineLevel="0" collapsed="false">
      <c r="A12" s="27" t="s">
        <v>155</v>
      </c>
      <c r="B12" s="27"/>
      <c r="C12" s="27"/>
      <c r="D12" s="27"/>
      <c r="E12" s="27"/>
      <c r="F12" s="25" t="n">
        <f aca="false">+F11/B11-1</f>
        <v>0.102170283806344</v>
      </c>
      <c r="G12" s="25" t="n">
        <f aca="false">+G11/C11-1</f>
        <v>0.110100682039623</v>
      </c>
      <c r="H12" s="25" t="n">
        <f aca="false">+H11/D11-1</f>
        <v>0.125160462130937</v>
      </c>
      <c r="I12" s="25" t="n">
        <f aca="false">+I11/E11-1</f>
        <v>0.130829420970266</v>
      </c>
      <c r="J12" s="25" t="n">
        <f aca="false">+J11/F11-1</f>
        <v>0.128445925477128</v>
      </c>
      <c r="K12" s="25" t="n">
        <f aca="false">+K11/G11-1</f>
        <v>0.119953188999415</v>
      </c>
      <c r="L12" s="25" t="n">
        <f aca="false">+L11/H11-1</f>
        <v>0.118368511123788</v>
      </c>
      <c r="M12" s="25" t="n">
        <f aca="false">+M11/I11-1</f>
        <v>0.127318018267368</v>
      </c>
      <c r="N12" s="25" t="n">
        <f aca="false">+N11/J11-1</f>
        <v>0.116510067114094</v>
      </c>
      <c r="O12" s="25" t="n">
        <f aca="false">+O11/K11-1</f>
        <v>0.118077324973877</v>
      </c>
      <c r="P12" s="25" t="n">
        <f aca="false">+P11/L11-1</f>
        <v>0.121397602652385</v>
      </c>
      <c r="Q12" s="25" t="n">
        <f aca="false">+Q11/M11-1</f>
        <v>0.117849251166217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5" t="n">
        <f aca="false">+AB11/AA11-1</f>
        <v>0.253602632474753</v>
      </c>
      <c r="AC12" s="25" t="n">
        <f aca="false">+AC11/AB11-1</f>
        <v>0.121017378711079</v>
      </c>
      <c r="AD12" s="25" t="n">
        <f aca="false">+AD11/AC11-1</f>
        <v>0.117319337908761</v>
      </c>
      <c r="AE12" s="25" t="n">
        <f aca="false">+AE11/AD11-1</f>
        <v>0.123500505853447</v>
      </c>
      <c r="AF12" s="25" t="n">
        <f aca="false">+AF11/AE11-1</f>
        <v>0.118479449411462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</row>
    <row r="13" s="26" customFormat="true" ht="12.8" hidden="false" customHeight="false" outlineLevel="0" collapsed="false">
      <c r="A13" s="3" t="s">
        <v>156</v>
      </c>
      <c r="B13" s="23" t="n">
        <v>932</v>
      </c>
      <c r="C13" s="23" t="n">
        <v>961</v>
      </c>
      <c r="D13" s="23" t="n">
        <v>981</v>
      </c>
      <c r="E13" s="23" t="n">
        <f aca="false">+AC13-D13-C13-B13</f>
        <v>1006</v>
      </c>
      <c r="F13" s="23" t="n">
        <v>1042</v>
      </c>
      <c r="G13" s="23" t="n">
        <v>1070</v>
      </c>
      <c r="H13" s="23" t="n">
        <v>1096</v>
      </c>
      <c r="I13" s="23" t="n">
        <f aca="false">+AD13-H13-G13-F13</f>
        <v>1123</v>
      </c>
      <c r="J13" s="23" t="n">
        <v>1164</v>
      </c>
      <c r="K13" s="23" t="n">
        <v>1204</v>
      </c>
      <c r="L13" s="23" t="n">
        <v>1231</v>
      </c>
      <c r="M13" s="23" t="n">
        <f aca="false">+AE13-L13-K13-J13</f>
        <v>1265</v>
      </c>
      <c r="N13" s="23" t="n">
        <v>1297</v>
      </c>
      <c r="O13" s="23" t="n">
        <v>1334</v>
      </c>
      <c r="P13" s="23" t="n">
        <v>1368</v>
      </c>
      <c r="Q13" s="23" t="n">
        <f aca="false">+AF13-P13-O13-N13</f>
        <v>1410</v>
      </c>
      <c r="R13" s="23"/>
      <c r="S13" s="23"/>
      <c r="T13" s="23"/>
      <c r="U13" s="23"/>
      <c r="V13" s="23"/>
      <c r="W13" s="23"/>
      <c r="X13" s="23"/>
      <c r="Y13" s="23"/>
      <c r="Z13" s="23"/>
      <c r="AA13" s="23" t="n">
        <v>2660</v>
      </c>
      <c r="AB13" s="23" t="n">
        <v>3379</v>
      </c>
      <c r="AC13" s="23" t="n">
        <v>3880</v>
      </c>
      <c r="AD13" s="23" t="n">
        <v>4331</v>
      </c>
      <c r="AE13" s="23" t="n">
        <v>4864</v>
      </c>
      <c r="AF13" s="23" t="n">
        <v>5409</v>
      </c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</row>
    <row r="14" s="26" customFormat="true" ht="10.5" hidden="false" customHeight="true" outlineLevel="0" collapsed="false">
      <c r="A14" s="27" t="s">
        <v>155</v>
      </c>
      <c r="B14" s="27"/>
      <c r="C14" s="27"/>
      <c r="D14" s="27"/>
      <c r="E14" s="27"/>
      <c r="F14" s="25" t="n">
        <f aca="false">+F13/B13-1</f>
        <v>0.118025751072961</v>
      </c>
      <c r="G14" s="25" t="n">
        <f aca="false">+G13/C13-1</f>
        <v>0.113423517169615</v>
      </c>
      <c r="H14" s="25" t="n">
        <f aca="false">+H13/D13-1</f>
        <v>0.117227319062182</v>
      </c>
      <c r="I14" s="25" t="n">
        <f aca="false">+I13/E13-1</f>
        <v>0.116302186878728</v>
      </c>
      <c r="J14" s="25" t="n">
        <f aca="false">+J13/F13-1</f>
        <v>0.117082533589251</v>
      </c>
      <c r="K14" s="25" t="n">
        <f aca="false">+K13/G13-1</f>
        <v>0.125233644859813</v>
      </c>
      <c r="L14" s="25" t="n">
        <f aca="false">+L13/H13-1</f>
        <v>0.123175182481752</v>
      </c>
      <c r="M14" s="25" t="n">
        <f aca="false">+M13/I13-1</f>
        <v>0.126447016918967</v>
      </c>
      <c r="N14" s="25" t="n">
        <f aca="false">+N13/J13-1</f>
        <v>0.11426116838488</v>
      </c>
      <c r="O14" s="25" t="n">
        <f aca="false">+O13/K13-1</f>
        <v>0.10797342192691</v>
      </c>
      <c r="P14" s="25" t="n">
        <f aca="false">+P13/L13-1</f>
        <v>0.111291632818846</v>
      </c>
      <c r="Q14" s="25" t="n">
        <f aca="false">+Q13/M13-1</f>
        <v>0.114624505928854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5" t="n">
        <f aca="false">+AB13/AA13-1</f>
        <v>0.270300751879699</v>
      </c>
      <c r="AC14" s="25" t="n">
        <f aca="false">+AC13/AB13-1</f>
        <v>0.148268718555786</v>
      </c>
      <c r="AD14" s="25" t="n">
        <f aca="false">+AD13/AC13-1</f>
        <v>0.116237113402062</v>
      </c>
      <c r="AE14" s="25" t="n">
        <f aca="false">+AE13/AD13-1</f>
        <v>0.123066266451166</v>
      </c>
      <c r="AF14" s="25" t="n">
        <f aca="false">+AF13/AE13-1</f>
        <v>0.112047697368421</v>
      </c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</row>
    <row r="15" s="29" customFormat="true" ht="12.8" hidden="false" customHeight="false" outlineLevel="0" collapsed="false">
      <c r="A15" s="3" t="s">
        <v>157</v>
      </c>
      <c r="B15" s="23" t="n">
        <v>31</v>
      </c>
      <c r="C15" s="23" t="n">
        <v>30</v>
      </c>
      <c r="D15" s="23" t="n">
        <v>31</v>
      </c>
      <c r="E15" s="23" t="n">
        <f aca="false">+AC15-D15-C15-B15</f>
        <v>31</v>
      </c>
      <c r="F15" s="23" t="n">
        <v>30</v>
      </c>
      <c r="G15" s="23" t="n">
        <v>29</v>
      </c>
      <c r="H15" s="23" t="n">
        <v>29</v>
      </c>
      <c r="I15" s="23" t="n">
        <f aca="false">+AD15-H15-G15-F15</f>
        <v>27</v>
      </c>
      <c r="J15" s="23" t="n">
        <v>27</v>
      </c>
      <c r="K15" s="23" t="n">
        <v>28</v>
      </c>
      <c r="L15" s="23" t="n">
        <v>28</v>
      </c>
      <c r="M15" s="23" t="n">
        <f aca="false">+AE15-L15-K15-J15</f>
        <v>27</v>
      </c>
      <c r="N15" s="23" t="n">
        <v>27</v>
      </c>
      <c r="O15" s="23" t="n">
        <v>27</v>
      </c>
      <c r="P15" s="23" t="n">
        <v>26</v>
      </c>
      <c r="Q15" s="23" t="n">
        <f aca="false">+AF15-P15-O15-N15</f>
        <v>26</v>
      </c>
      <c r="R15" s="23"/>
      <c r="S15" s="23"/>
      <c r="T15" s="23"/>
      <c r="U15" s="23"/>
      <c r="V15" s="23"/>
      <c r="W15" s="23"/>
      <c r="X15" s="23"/>
      <c r="Y15" s="23"/>
      <c r="Z15" s="23"/>
      <c r="AA15" s="23" t="n">
        <v>153</v>
      </c>
      <c r="AB15" s="23" t="n">
        <v>146</v>
      </c>
      <c r="AC15" s="23" t="n">
        <v>123</v>
      </c>
      <c r="AD15" s="23" t="n">
        <v>115</v>
      </c>
      <c r="AE15" s="23" t="n">
        <v>110</v>
      </c>
      <c r="AF15" s="23" t="n">
        <v>106</v>
      </c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</row>
    <row r="16" s="29" customFormat="true" ht="10.5" hidden="false" customHeight="true" outlineLevel="0" collapsed="false">
      <c r="A16" s="27" t="s">
        <v>155</v>
      </c>
      <c r="B16" s="27"/>
      <c r="C16" s="27"/>
      <c r="D16" s="27"/>
      <c r="E16" s="27"/>
      <c r="F16" s="25" t="n">
        <f aca="false">+F15/B15-1</f>
        <v>-0.032258064516129</v>
      </c>
      <c r="G16" s="25" t="n">
        <f aca="false">+G15/C15-1</f>
        <v>-0.0333333333333333</v>
      </c>
      <c r="H16" s="25" t="n">
        <f aca="false">+H15/D15-1</f>
        <v>-0.0645161290322581</v>
      </c>
      <c r="I16" s="25" t="n">
        <f aca="false">+I15/E15-1</f>
        <v>-0.129032258064516</v>
      </c>
      <c r="J16" s="25" t="n">
        <f aca="false">+J15/F15-1</f>
        <v>-0.1</v>
      </c>
      <c r="K16" s="25" t="n">
        <f aca="false">+K15/G15-1</f>
        <v>-0.0344827586206896</v>
      </c>
      <c r="L16" s="25" t="n">
        <f aca="false">+L15/H15-1</f>
        <v>-0.0344827586206896</v>
      </c>
      <c r="M16" s="25" t="n">
        <f aca="false">+M15/I15-1</f>
        <v>0</v>
      </c>
      <c r="N16" s="25" t="n">
        <f aca="false">+N15/J15-1</f>
        <v>0</v>
      </c>
      <c r="O16" s="25" t="n">
        <f aca="false">+O15/K15-1</f>
        <v>-0.0357142857142857</v>
      </c>
      <c r="P16" s="25" t="n">
        <f aca="false">+P15/L15-1</f>
        <v>-0.0714285714285714</v>
      </c>
      <c r="Q16" s="25" t="n">
        <f aca="false">+Q15/M15-1</f>
        <v>-0.0370370370370371</v>
      </c>
      <c r="R16" s="25"/>
      <c r="S16" s="25"/>
      <c r="T16" s="27"/>
      <c r="U16" s="27"/>
      <c r="V16" s="27"/>
      <c r="W16" s="27"/>
      <c r="X16" s="27"/>
      <c r="Y16" s="27"/>
      <c r="Z16" s="27"/>
      <c r="AA16" s="27"/>
      <c r="AB16" s="25" t="n">
        <f aca="false">+AB15/AA15-1</f>
        <v>-0.0457516339869281</v>
      </c>
      <c r="AC16" s="25" t="n">
        <f aca="false">+AC15/AB15-1</f>
        <v>-0.157534246575342</v>
      </c>
      <c r="AD16" s="25" t="n">
        <f aca="false">+AD15/AC15-1</f>
        <v>-0.0650406504065041</v>
      </c>
      <c r="AE16" s="25" t="n">
        <f aca="false">+AE15/AD15-1</f>
        <v>-0.0434782608695652</v>
      </c>
      <c r="AF16" s="25" t="n">
        <f aca="false">+AF15/AE15-1</f>
        <v>-0.0363636363636364</v>
      </c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</row>
    <row r="17" s="3" customFormat="true" ht="12.8" hidden="false" customHeight="false" outlineLevel="0" collapsed="false">
      <c r="A17" s="3" t="s">
        <v>158</v>
      </c>
      <c r="B17" s="3" t="n">
        <f aca="false">+B15+B13+B11</f>
        <v>3958</v>
      </c>
      <c r="C17" s="3" t="n">
        <f aca="false">+C15+C13+C11</f>
        <v>4070</v>
      </c>
      <c r="D17" s="3" t="n">
        <f aca="false">+D15+D13+D11</f>
        <v>4128</v>
      </c>
      <c r="E17" s="3" t="n">
        <f aca="false">+E15+E13+E11</f>
        <v>4232</v>
      </c>
      <c r="F17" s="3" t="n">
        <f aca="false">+F15+F13+F11</f>
        <v>4373</v>
      </c>
      <c r="G17" s="3" t="n">
        <f aca="false">+G15+G13+G11</f>
        <v>4517</v>
      </c>
      <c r="H17" s="3" t="n">
        <f aca="false">+H15+H13+H11</f>
        <v>4631</v>
      </c>
      <c r="I17" s="3" t="n">
        <f aca="false">+I15+I13+I11</f>
        <v>4763</v>
      </c>
      <c r="J17" s="3" t="n">
        <f aca="false">+J15+J13+J11</f>
        <v>4916</v>
      </c>
      <c r="K17" s="3" t="n">
        <f aca="false">+K15+K13+K11</f>
        <v>5060</v>
      </c>
      <c r="L17" s="3" t="n">
        <f aca="false">+L15+L13+L11</f>
        <v>5180</v>
      </c>
      <c r="M17" s="3" t="n">
        <f aca="false">+M15+M13+M11</f>
        <v>5365</v>
      </c>
      <c r="N17" s="3" t="n">
        <f aca="false">+N15+N13+N11</f>
        <v>5483</v>
      </c>
      <c r="O17" s="3" t="n">
        <f aca="false">+O15+O13+O11</f>
        <v>5641</v>
      </c>
      <c r="P17" s="3" t="n">
        <f aca="false">+P15+P13+P11</f>
        <v>5791</v>
      </c>
      <c r="Q17" s="3" t="n">
        <f aca="false">+Q15+Q13+Q11</f>
        <v>5989</v>
      </c>
      <c r="R17" s="3" t="n">
        <v>6198</v>
      </c>
      <c r="S17" s="3" t="n">
        <v>6416</v>
      </c>
      <c r="AA17" s="3" t="n">
        <f aca="false">+AA15+AA13+AA11</f>
        <v>11626</v>
      </c>
      <c r="AB17" s="3" t="n">
        <f aca="false">+AB15+AB13+AB11</f>
        <v>14573</v>
      </c>
      <c r="AC17" s="3" t="n">
        <f aca="false">+AC15+AC13+AC11</f>
        <v>16388</v>
      </c>
      <c r="AD17" s="3" t="n">
        <f aca="false">+AD15+AD13+AD11</f>
        <v>18284</v>
      </c>
      <c r="AE17" s="3" t="n">
        <f aca="false">+AE15+AE13+AE11</f>
        <v>20521</v>
      </c>
      <c r="AF17" s="3" t="n">
        <f aca="false">+AF15+AF13+AF11</f>
        <v>22904</v>
      </c>
    </row>
    <row r="18" s="3" customFormat="true" ht="10.5" hidden="false" customHeight="true" outlineLevel="0" collapsed="false">
      <c r="A18" s="27" t="s">
        <v>155</v>
      </c>
      <c r="B18" s="30"/>
      <c r="C18" s="30"/>
      <c r="D18" s="30"/>
      <c r="E18" s="30"/>
      <c r="F18" s="25" t="n">
        <f aca="false">+F17/B17-1</f>
        <v>0.104850934815564</v>
      </c>
      <c r="G18" s="25" t="n">
        <f aca="false">+G17/C17-1</f>
        <v>0.10982800982801</v>
      </c>
      <c r="H18" s="25" t="n">
        <f aca="false">+H17/D17-1</f>
        <v>0.121850775193799</v>
      </c>
      <c r="I18" s="25" t="n">
        <f aca="false">+I17/E17-1</f>
        <v>0.125472589792061</v>
      </c>
      <c r="J18" s="25" t="n">
        <f aca="false">+J17/F17-1</f>
        <v>0.124171049622685</v>
      </c>
      <c r="K18" s="25" t="n">
        <f aca="false">+K17/G17-1</f>
        <v>0.120212530440558</v>
      </c>
      <c r="L18" s="25" t="n">
        <f aca="false">+L17/H17-1</f>
        <v>0.118548909522781</v>
      </c>
      <c r="M18" s="25" t="n">
        <f aca="false">+M17/I17-1</f>
        <v>0.12639093008608</v>
      </c>
      <c r="N18" s="25" t="n">
        <f aca="false">+N17/J17-1</f>
        <v>0.115337672904801</v>
      </c>
      <c r="O18" s="25" t="n">
        <f aca="false">+O17/K17-1</f>
        <v>0.114822134387352</v>
      </c>
      <c r="P18" s="25" t="n">
        <f aca="false">+P17/L17-1</f>
        <v>0.117953667953668</v>
      </c>
      <c r="Q18" s="25" t="n">
        <f aca="false">+Q17/M17-1</f>
        <v>0.116309412861137</v>
      </c>
      <c r="R18" s="25" t="n">
        <f aca="false">+R17/N17-1</f>
        <v>0.13040306401605</v>
      </c>
      <c r="S18" s="25" t="n">
        <f aca="false">+S17/O17-1</f>
        <v>0.137386988122673</v>
      </c>
      <c r="T18" s="30"/>
      <c r="U18" s="30"/>
      <c r="V18" s="30"/>
      <c r="W18" s="30"/>
      <c r="X18" s="30"/>
      <c r="Y18" s="30"/>
      <c r="Z18" s="30"/>
      <c r="AA18" s="30" t="n">
        <f aca="false">+AA17/AA$23</f>
        <v>0.903481504507305</v>
      </c>
      <c r="AB18" s="30" t="n">
        <f aca="false">+AB17/AB$23</f>
        <v>0.923218245169465</v>
      </c>
      <c r="AC18" s="30" t="n">
        <f aca="false">+AC17/AC$23</f>
        <v>0.93081903896399</v>
      </c>
      <c r="AD18" s="30" t="n">
        <f aca="false">+AD17/AD$23</f>
        <v>0.942037199237467</v>
      </c>
      <c r="AE18" s="30" t="n">
        <f aca="false">+AE17/AE$23</f>
        <v>0.954243199255987</v>
      </c>
      <c r="AF18" s="30" t="n">
        <f aca="false">+AF17/AF$23</f>
        <v>0.963608060919685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</row>
    <row r="19" s="3" customFormat="true" ht="12.8" hidden="false" customHeight="false" outlineLevel="0" collapsed="false">
      <c r="A19" s="3" t="s">
        <v>159</v>
      </c>
      <c r="B19" s="3" t="n">
        <v>145</v>
      </c>
      <c r="C19" s="3" t="n">
        <v>146</v>
      </c>
      <c r="D19" s="3" t="n">
        <v>126</v>
      </c>
      <c r="E19" s="3" t="n">
        <v>115</v>
      </c>
      <c r="F19" s="3" t="n">
        <v>120</v>
      </c>
      <c r="G19" s="3" t="n">
        <v>130</v>
      </c>
      <c r="H19" s="3" t="n">
        <v>96</v>
      </c>
      <c r="I19" s="3" t="n">
        <v>114</v>
      </c>
      <c r="J19" s="3" t="n">
        <v>119</v>
      </c>
      <c r="K19" s="3" t="n">
        <v>104</v>
      </c>
      <c r="L19" s="3" t="n">
        <v>82</v>
      </c>
      <c r="M19" s="3" t="n">
        <v>81</v>
      </c>
      <c r="N19" s="3" t="n">
        <v>95</v>
      </c>
      <c r="O19" s="3" t="n">
        <v>88</v>
      </c>
      <c r="P19" s="3" t="n">
        <v>68</v>
      </c>
      <c r="Q19" s="3" t="n">
        <v>74</v>
      </c>
      <c r="R19" s="3" t="n">
        <v>90</v>
      </c>
      <c r="S19" s="3" t="n">
        <v>89</v>
      </c>
      <c r="AA19" s="3" t="n">
        <v>507</v>
      </c>
      <c r="AB19" s="3" t="n">
        <v>555</v>
      </c>
      <c r="AC19" s="3" t="n">
        <v>532</v>
      </c>
      <c r="AD19" s="3" t="n">
        <v>460</v>
      </c>
      <c r="AE19" s="3" t="n">
        <v>386</v>
      </c>
      <c r="AF19" s="3" t="n">
        <v>325</v>
      </c>
    </row>
    <row r="20" s="3" customFormat="true" ht="10.5" hidden="false" customHeight="true" outlineLevel="0" collapsed="false">
      <c r="A20" s="27" t="s">
        <v>155</v>
      </c>
      <c r="B20" s="30"/>
      <c r="C20" s="30"/>
      <c r="D20" s="30"/>
      <c r="E20" s="30"/>
      <c r="F20" s="25" t="n">
        <f aca="false">+F19/B19-1</f>
        <v>-0.172413793103448</v>
      </c>
      <c r="G20" s="25" t="n">
        <f aca="false">+G19/C19-1</f>
        <v>-0.10958904109589</v>
      </c>
      <c r="H20" s="25" t="n">
        <f aca="false">+H19/D19-1</f>
        <v>-0.238095238095238</v>
      </c>
      <c r="I20" s="25" t="n">
        <f aca="false">+I19/E19-1</f>
        <v>-0.00869565217391299</v>
      </c>
      <c r="J20" s="25" t="n">
        <f aca="false">+J19/F19-1</f>
        <v>-0.0083333333333333</v>
      </c>
      <c r="K20" s="25" t="n">
        <f aca="false">+K19/G19-1</f>
        <v>-0.2</v>
      </c>
      <c r="L20" s="25" t="n">
        <f aca="false">+L19/H19-1</f>
        <v>-0.145833333333333</v>
      </c>
      <c r="M20" s="25" t="n">
        <f aca="false">+M19/I19-1</f>
        <v>-0.289473684210526</v>
      </c>
      <c r="N20" s="25" t="n">
        <f aca="false">+N19/J19-1</f>
        <v>-0.201680672268908</v>
      </c>
      <c r="O20" s="25" t="n">
        <f aca="false">+O19/K19-1</f>
        <v>-0.153846153846154</v>
      </c>
      <c r="P20" s="25" t="n">
        <f aca="false">+P19/L19-1</f>
        <v>-0.170731707317073</v>
      </c>
      <c r="Q20" s="25" t="n">
        <f aca="false">+Q19/M19-1</f>
        <v>-0.0864197530864198</v>
      </c>
      <c r="R20" s="25" t="n">
        <f aca="false">+R19/N19-1</f>
        <v>-0.0526315789473685</v>
      </c>
      <c r="S20" s="25" t="n">
        <f aca="false">+S19/O19-1</f>
        <v>0.0113636363636365</v>
      </c>
      <c r="T20" s="30"/>
      <c r="U20" s="30"/>
      <c r="V20" s="30"/>
      <c r="W20" s="30"/>
      <c r="X20" s="30"/>
      <c r="Y20" s="30"/>
      <c r="Z20" s="30"/>
      <c r="AA20" s="30" t="n">
        <f aca="false">+AA19/AA$23</f>
        <v>0.0394000621697233</v>
      </c>
      <c r="AB20" s="30" t="n">
        <f aca="false">+AB19/AB$23</f>
        <v>0.0351599619892303</v>
      </c>
      <c r="AC20" s="30" t="n">
        <f aca="false">+AC19/AC$23</f>
        <v>0.0302169714869931</v>
      </c>
      <c r="AD20" s="30" t="n">
        <f aca="false">+AD19/AD$23</f>
        <v>0.0237003452006801</v>
      </c>
      <c r="AE20" s="30" t="n">
        <f aca="false">+AE19/AE$23</f>
        <v>0.017949314112997</v>
      </c>
      <c r="AF20" s="30" t="n">
        <f aca="false">+AF19/AF$23</f>
        <v>0.0136732719087888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</row>
    <row r="21" s="3" customFormat="true" ht="12.8" hidden="false" customHeight="false" outlineLevel="0" collapsed="false">
      <c r="A21" s="3" t="s">
        <v>160</v>
      </c>
      <c r="B21" s="3" t="n">
        <v>159</v>
      </c>
      <c r="C21" s="3" t="n">
        <v>170</v>
      </c>
      <c r="D21" s="3" t="n">
        <v>179</v>
      </c>
      <c r="E21" s="3" t="n">
        <v>178</v>
      </c>
      <c r="F21" s="3" t="n">
        <v>162</v>
      </c>
      <c r="G21" s="3" t="n">
        <v>169</v>
      </c>
      <c r="H21" s="3" t="n">
        <v>163</v>
      </c>
      <c r="I21" s="3" t="n">
        <v>171</v>
      </c>
      <c r="J21" s="3" t="n">
        <v>147</v>
      </c>
      <c r="K21" s="3" t="n">
        <v>145</v>
      </c>
      <c r="L21" s="3" t="n">
        <v>146</v>
      </c>
      <c r="M21" s="3" t="n">
        <v>160</v>
      </c>
      <c r="N21" s="3" t="n">
        <v>136</v>
      </c>
      <c r="O21" s="3" t="n">
        <v>144</v>
      </c>
      <c r="P21" s="3" t="n">
        <v>129</v>
      </c>
      <c r="Q21" s="3" t="n">
        <v>131</v>
      </c>
      <c r="R21" s="3" t="n">
        <v>110</v>
      </c>
      <c r="S21" s="3" t="n">
        <v>113</v>
      </c>
      <c r="AA21" s="3" t="n">
        <v>735</v>
      </c>
      <c r="AB21" s="3" t="n">
        <v>657</v>
      </c>
      <c r="AC21" s="3" t="n">
        <v>686</v>
      </c>
      <c r="AD21" s="3" t="n">
        <v>665</v>
      </c>
      <c r="AE21" s="3" t="n">
        <v>598</v>
      </c>
      <c r="AF21" s="3" t="n">
        <v>540</v>
      </c>
    </row>
    <row r="22" s="3" customFormat="true" ht="10.5" hidden="false" customHeight="true" outlineLevel="0" collapsed="false">
      <c r="A22" s="27" t="s">
        <v>155</v>
      </c>
      <c r="B22" s="30"/>
      <c r="C22" s="30"/>
      <c r="D22" s="30"/>
      <c r="E22" s="30"/>
      <c r="F22" s="25" t="n">
        <f aca="false">+F21/B21-1</f>
        <v>0.0188679245283019</v>
      </c>
      <c r="G22" s="25" t="n">
        <f aca="false">+G21/C21-1</f>
        <v>-0.00588235294117645</v>
      </c>
      <c r="H22" s="25" t="n">
        <f aca="false">+H21/D21-1</f>
        <v>-0.0893854748603352</v>
      </c>
      <c r="I22" s="25" t="n">
        <f aca="false">+I21/E21-1</f>
        <v>-0.0393258426966292</v>
      </c>
      <c r="J22" s="25" t="n">
        <f aca="false">+J21/F21-1</f>
        <v>-0.0925925925925926</v>
      </c>
      <c r="K22" s="25" t="n">
        <f aca="false">+K21/G21-1</f>
        <v>-0.142011834319527</v>
      </c>
      <c r="L22" s="25" t="n">
        <f aca="false">+L21/H21-1</f>
        <v>-0.104294478527607</v>
      </c>
      <c r="M22" s="25" t="n">
        <f aca="false">+M21/I21-1</f>
        <v>-0.064327485380117</v>
      </c>
      <c r="N22" s="25" t="n">
        <f aca="false">+N21/J21-1</f>
        <v>-0.0748299319727891</v>
      </c>
      <c r="O22" s="25" t="n">
        <f aca="false">+O21/K21-1</f>
        <v>-0.00689655172413795</v>
      </c>
      <c r="P22" s="25" t="n">
        <f aca="false">+P21/L21-1</f>
        <v>-0.116438356164384</v>
      </c>
      <c r="Q22" s="25" t="n">
        <f aca="false">+Q21/M21-1</f>
        <v>-0.18125</v>
      </c>
      <c r="R22" s="25" t="n">
        <f aca="false">+R21/N21-1</f>
        <v>-0.191176470588235</v>
      </c>
      <c r="S22" s="25" t="n">
        <f aca="false">+S21/O21-1</f>
        <v>-0.215277777777778</v>
      </c>
      <c r="T22" s="30"/>
      <c r="U22" s="30"/>
      <c r="V22" s="30"/>
      <c r="W22" s="30"/>
      <c r="X22" s="30"/>
      <c r="Y22" s="30"/>
      <c r="Z22" s="30"/>
      <c r="AA22" s="30" t="n">
        <f aca="false">+AA21/AA$23</f>
        <v>0.0571184333229717</v>
      </c>
      <c r="AB22" s="30" t="n">
        <f aca="false">+AB21/AB$23</f>
        <v>0.041621792841305</v>
      </c>
      <c r="AC22" s="30" t="n">
        <f aca="false">+AC21/AC$23</f>
        <v>0.0389639895490174</v>
      </c>
      <c r="AD22" s="30" t="n">
        <f aca="false">+AD21/AD$23</f>
        <v>0.0342624555618528</v>
      </c>
      <c r="AE22" s="30" t="n">
        <f aca="false">+AE21/AE$23</f>
        <v>0.027807486631016</v>
      </c>
      <c r="AF22" s="30" t="n">
        <f aca="false">+AF21/AF$23</f>
        <v>0.0227186671715259</v>
      </c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</row>
    <row r="23" s="3" customFormat="true" ht="12.8" hidden="false" customHeight="false" outlineLevel="0" collapsed="false">
      <c r="A23" s="15" t="s">
        <v>161</v>
      </c>
      <c r="B23" s="15" t="n">
        <f aca="false">+B21+B19+B17</f>
        <v>4262</v>
      </c>
      <c r="C23" s="15" t="n">
        <f aca="false">+C21+C19+C17</f>
        <v>4386</v>
      </c>
      <c r="D23" s="15" t="n">
        <f aca="false">+D21+D19+D17</f>
        <v>4433</v>
      </c>
      <c r="E23" s="15" t="n">
        <f aca="false">+E21+E19+E17</f>
        <v>4525</v>
      </c>
      <c r="F23" s="15" t="n">
        <f aca="false">+F21+F19+F17</f>
        <v>4655</v>
      </c>
      <c r="G23" s="15" t="n">
        <f aca="false">+G21+G19+G17</f>
        <v>4816</v>
      </c>
      <c r="H23" s="15" t="n">
        <f aca="false">+H21+H19+H17</f>
        <v>4890</v>
      </c>
      <c r="I23" s="15" t="n">
        <f aca="false">+I21+I19+I17</f>
        <v>5048</v>
      </c>
      <c r="J23" s="15" t="n">
        <f aca="false">+J21+J19+J17</f>
        <v>5182</v>
      </c>
      <c r="K23" s="15" t="n">
        <f aca="false">+K21+K19+K17</f>
        <v>5309</v>
      </c>
      <c r="L23" s="15" t="n">
        <f aca="false">+L21+L19+L17</f>
        <v>5408</v>
      </c>
      <c r="M23" s="15" t="n">
        <f aca="false">+M21+M19+M17</f>
        <v>5606</v>
      </c>
      <c r="N23" s="15" t="n">
        <f aca="false">+N21+N19+N17</f>
        <v>5714</v>
      </c>
      <c r="O23" s="15" t="n">
        <f aca="false">+O21+O19+O17</f>
        <v>5873</v>
      </c>
      <c r="P23" s="15" t="n">
        <f aca="false">+P21+P19+P17</f>
        <v>5988</v>
      </c>
      <c r="Q23" s="15" t="n">
        <f aca="false">+Q21+Q19+Q17</f>
        <v>6194</v>
      </c>
      <c r="R23" s="15" t="n">
        <f aca="false">+R21+R19+R17</f>
        <v>6398</v>
      </c>
      <c r="S23" s="15" t="n">
        <f aca="false">+S21+S19+S17</f>
        <v>6618</v>
      </c>
      <c r="T23" s="15" t="n">
        <f aca="false">+P23*1.11</f>
        <v>6646.68</v>
      </c>
      <c r="U23" s="15" t="n">
        <f aca="false">+Q23*1.11</f>
        <v>6875.34</v>
      </c>
      <c r="V23" s="15"/>
      <c r="W23" s="15"/>
      <c r="X23" s="15"/>
      <c r="Y23" s="15"/>
      <c r="Z23" s="15"/>
      <c r="AA23" s="15" t="n">
        <f aca="false">+AA21+AA19+AA17</f>
        <v>12868</v>
      </c>
      <c r="AB23" s="15" t="n">
        <f aca="false">+AB21+AB19+AB17</f>
        <v>15785</v>
      </c>
      <c r="AC23" s="15" t="n">
        <f aca="false">+AC21+AC19+AC17</f>
        <v>17606</v>
      </c>
      <c r="AD23" s="15" t="n">
        <f aca="false">+AD21+AD19+AD17</f>
        <v>19409</v>
      </c>
      <c r="AE23" s="15" t="n">
        <f aca="false">+AE21+AE19+AE17</f>
        <v>21505</v>
      </c>
      <c r="AF23" s="15" t="n">
        <f aca="false">+AF21+AF19+AF17</f>
        <v>23769</v>
      </c>
      <c r="AG23" s="15" t="n">
        <f aca="false">+AF23*1.115</f>
        <v>26502.435</v>
      </c>
      <c r="AH23" s="15" t="n">
        <f aca="false">+AG23*1.105</f>
        <v>29285.190675</v>
      </c>
      <c r="AI23" s="15" t="n">
        <f aca="false">+AH23*1.095</f>
        <v>32067.283789125</v>
      </c>
      <c r="AJ23" s="15" t="n">
        <f aca="false">+AI23*1.09</f>
        <v>34953.3393301463</v>
      </c>
      <c r="AK23" s="15" t="n">
        <f aca="false">+AJ23*1.08</f>
        <v>37749.606476558</v>
      </c>
      <c r="AL23" s="15" t="n">
        <f aca="false">+AK23*1.07</f>
        <v>40392.078929917</v>
      </c>
      <c r="AM23" s="15" t="n">
        <f aca="false">+AL23*1.06</f>
        <v>42815.603665712</v>
      </c>
      <c r="AN23" s="15" t="n">
        <f aca="false">+AM23*1.05</f>
        <v>44956.3838489976</v>
      </c>
      <c r="AO23" s="15" t="n">
        <f aca="false">+AN23*1.04</f>
        <v>46754.6392029575</v>
      </c>
      <c r="AP23" s="15" t="n">
        <f aca="false">+AO23*1.03</f>
        <v>48157.2783790462</v>
      </c>
      <c r="AQ23" s="15" t="n">
        <f aca="false">+AP23*1.02</f>
        <v>49120.4239466272</v>
      </c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</row>
    <row r="24" s="3" customFormat="true" ht="10.5" hidden="false" customHeight="true" outlineLevel="0" collapsed="false">
      <c r="A24" s="27" t="s">
        <v>155</v>
      </c>
      <c r="B24" s="25"/>
      <c r="C24" s="25"/>
      <c r="D24" s="25"/>
      <c r="E24" s="25"/>
      <c r="F24" s="25" t="n">
        <f aca="false">+F23/B23-1</f>
        <v>0.0922102299389958</v>
      </c>
      <c r="G24" s="25" t="n">
        <f aca="false">+G23/C23-1</f>
        <v>0.0980392156862746</v>
      </c>
      <c r="H24" s="25" t="n">
        <f aca="false">+H23/D23-1</f>
        <v>0.103090457929168</v>
      </c>
      <c r="I24" s="25" t="n">
        <f aca="false">+I23/E23-1</f>
        <v>0.115580110497238</v>
      </c>
      <c r="J24" s="25" t="n">
        <f aca="false">+J23/F23-1</f>
        <v>0.113211600429646</v>
      </c>
      <c r="K24" s="25" t="n">
        <f aca="false">+K23/G23-1</f>
        <v>0.102367109634552</v>
      </c>
      <c r="L24" s="25" t="n">
        <f aca="false">+L23/H23-1</f>
        <v>0.105930470347648</v>
      </c>
      <c r="M24" s="25" t="n">
        <f aca="false">+M23/I23-1</f>
        <v>0.11053882725832</v>
      </c>
      <c r="N24" s="25" t="n">
        <f aca="false">+N23/J23-1</f>
        <v>0.102663064453879</v>
      </c>
      <c r="O24" s="25" t="n">
        <f aca="false">+O23/K23-1</f>
        <v>0.106234695799586</v>
      </c>
      <c r="P24" s="25" t="n">
        <f aca="false">+P23/L23-1</f>
        <v>0.107248520710059</v>
      </c>
      <c r="Q24" s="25" t="n">
        <f aca="false">+Q23/M23-1</f>
        <v>0.104887620406707</v>
      </c>
      <c r="R24" s="25" t="n">
        <f aca="false">+R23/N23-1</f>
        <v>0.119705985299265</v>
      </c>
      <c r="S24" s="25" t="n">
        <f aca="false">+S23/O23-1</f>
        <v>0.126851694193768</v>
      </c>
      <c r="T24" s="25" t="n">
        <f aca="false">+T23/P23-1</f>
        <v>0.11</v>
      </c>
      <c r="U24" s="25" t="n">
        <f aca="false">+U23/Q23-1</f>
        <v>0.11</v>
      </c>
      <c r="V24" s="25"/>
      <c r="W24" s="25"/>
      <c r="X24" s="25"/>
      <c r="Y24" s="25"/>
      <c r="Z24" s="25"/>
      <c r="AA24" s="25"/>
      <c r="AB24" s="25" t="n">
        <f aca="false">+AB23/AA23-1</f>
        <v>0.226686353745726</v>
      </c>
      <c r="AC24" s="25" t="n">
        <f aca="false">+AC23/AB23-1</f>
        <v>0.115362686094393</v>
      </c>
      <c r="AD24" s="25" t="n">
        <f aca="false">+AD23/AC23-1</f>
        <v>0.102408269907986</v>
      </c>
      <c r="AE24" s="25" t="n">
        <f aca="false">+AE23/AD23-1</f>
        <v>0.107991138131795</v>
      </c>
      <c r="AF24" s="25" t="n">
        <f aca="false">+AF23/AE23-1</f>
        <v>0.105277842362241</v>
      </c>
      <c r="AG24" s="25" t="n">
        <f aca="false">+AG23/AF23-1</f>
        <v>0.115</v>
      </c>
      <c r="AH24" s="25" t="n">
        <f aca="false">+AH23/AG23-1</f>
        <v>0.105</v>
      </c>
      <c r="AI24" s="25" t="n">
        <f aca="false">+AI23/AH23-1</f>
        <v>0.095</v>
      </c>
      <c r="AJ24" s="25" t="n">
        <f aca="false">+AJ23/AI23-1</f>
        <v>0.0900000000000001</v>
      </c>
      <c r="AK24" s="25" t="n">
        <f aca="false">+AK23/AJ23-1</f>
        <v>0.0800000000000001</v>
      </c>
      <c r="AL24" s="25" t="n">
        <f aca="false">+AL23/AK23-1</f>
        <v>0.0700000000000001</v>
      </c>
      <c r="AM24" s="25" t="n">
        <f aca="false">+AM23/AL23-1</f>
        <v>0.0600000000000001</v>
      </c>
      <c r="AN24" s="25" t="n">
        <f aca="false">+AN23/AM23-1</f>
        <v>0.05</v>
      </c>
      <c r="AO24" s="25" t="n">
        <f aca="false">+AO23/AN23-1</f>
        <v>0.04</v>
      </c>
      <c r="AP24" s="25" t="n">
        <f aca="false">+AP23/AO23-1</f>
        <v>0.03</v>
      </c>
      <c r="AQ24" s="25" t="n">
        <f aca="false">+AQ23/AP23-1</f>
        <v>0.02</v>
      </c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</row>
    <row r="25" s="3" customFormat="true" ht="12.8" hidden="false" customHeight="false" outlineLevel="0" collapsed="false">
      <c r="A25" s="3" t="s">
        <v>158</v>
      </c>
      <c r="B25" s="3" t="n">
        <v>393</v>
      </c>
      <c r="C25" s="3" t="n">
        <v>410</v>
      </c>
      <c r="D25" s="3" t="n">
        <v>413</v>
      </c>
      <c r="E25" s="3" t="n">
        <v>430</v>
      </c>
      <c r="F25" s="3" t="n">
        <v>434</v>
      </c>
      <c r="G25" s="3" t="n">
        <v>436</v>
      </c>
      <c r="H25" s="3" t="n">
        <v>447</v>
      </c>
      <c r="I25" s="3" t="n">
        <v>505</v>
      </c>
      <c r="J25" s="3" t="n">
        <v>455</v>
      </c>
      <c r="K25" s="3" t="n">
        <v>456</v>
      </c>
      <c r="L25" s="3" t="n">
        <v>413</v>
      </c>
      <c r="M25" s="3" t="n">
        <v>475</v>
      </c>
      <c r="N25" s="3" t="n">
        <v>490</v>
      </c>
      <c r="O25" s="3" t="n">
        <v>505</v>
      </c>
      <c r="P25" s="3" t="n">
        <v>510</v>
      </c>
      <c r="Q25" s="3" t="n">
        <v>522</v>
      </c>
      <c r="R25" s="3" t="n">
        <v>540</v>
      </c>
      <c r="S25" s="3" t="n">
        <v>586</v>
      </c>
      <c r="AA25" s="3" t="n">
        <v>1108</v>
      </c>
      <c r="AB25" s="3" t="n">
        <v>1374</v>
      </c>
      <c r="AC25" s="3" t="n">
        <v>1646</v>
      </c>
      <c r="AD25" s="3" t="n">
        <v>1822</v>
      </c>
      <c r="AE25" s="3" t="n">
        <v>1799</v>
      </c>
      <c r="AF25" s="3" t="n">
        <v>2027</v>
      </c>
    </row>
    <row r="26" s="3" customFormat="true" ht="10.5" hidden="false" customHeight="true" outlineLevel="0" collapsed="false">
      <c r="A26" s="27" t="s">
        <v>155</v>
      </c>
      <c r="B26" s="28"/>
      <c r="C26" s="28"/>
      <c r="D26" s="28"/>
      <c r="E26" s="28"/>
      <c r="F26" s="25" t="n">
        <f aca="false">+F25/B25-1</f>
        <v>0.104325699745547</v>
      </c>
      <c r="G26" s="25" t="n">
        <f aca="false">+G25/C25-1</f>
        <v>0.0634146341463415</v>
      </c>
      <c r="H26" s="25" t="n">
        <f aca="false">+H25/D25-1</f>
        <v>0.0823244552058111</v>
      </c>
      <c r="I26" s="25" t="n">
        <f aca="false">+I25/E25-1</f>
        <v>0.174418604651163</v>
      </c>
      <c r="J26" s="25" t="n">
        <f aca="false">+J25/F25-1</f>
        <v>0.0483870967741935</v>
      </c>
      <c r="K26" s="25" t="n">
        <f aca="false">+K25/G25-1</f>
        <v>0.0458715596330275</v>
      </c>
      <c r="L26" s="25" t="n">
        <f aca="false">+L25/H25-1</f>
        <v>-0.0760626398210291</v>
      </c>
      <c r="M26" s="25" t="n">
        <f aca="false">+M25/I25-1</f>
        <v>-0.0594059405940595</v>
      </c>
      <c r="N26" s="25" t="n">
        <f aca="false">+N25/J25-1</f>
        <v>0.0769230769230769</v>
      </c>
      <c r="O26" s="25" t="n">
        <f aca="false">+O25/K25-1</f>
        <v>0.107456140350877</v>
      </c>
      <c r="P26" s="25" t="n">
        <f aca="false">+P25/L25-1</f>
        <v>0.234866828087167</v>
      </c>
      <c r="Q26" s="25" t="n">
        <f aca="false">+Q25/M25-1</f>
        <v>0.0989473684210527</v>
      </c>
      <c r="R26" s="25" t="n">
        <f aca="false">+R25/N25-1</f>
        <v>0.102040816326531</v>
      </c>
      <c r="S26" s="25" t="n">
        <f aca="false">+S25/O25-1</f>
        <v>0.16039603960396</v>
      </c>
      <c r="T26" s="25" t="n">
        <f aca="false">+T25/P25-1</f>
        <v>-1</v>
      </c>
      <c r="U26" s="25" t="n">
        <f aca="false">+U25/Q25-1</f>
        <v>-1</v>
      </c>
      <c r="V26" s="28"/>
      <c r="W26" s="28"/>
      <c r="X26" s="28"/>
      <c r="Y26" s="28"/>
      <c r="Z26" s="28"/>
      <c r="AA26" s="28"/>
      <c r="AB26" s="25" t="n">
        <f aca="false">+AB25/AA25-1</f>
        <v>0.240072202166065</v>
      </c>
      <c r="AC26" s="25" t="n">
        <f aca="false">+AC25/AB25-1</f>
        <v>0.197962154294032</v>
      </c>
      <c r="AD26" s="25" t="n">
        <f aca="false">+AD25/AC25-1</f>
        <v>0.106925880923451</v>
      </c>
      <c r="AE26" s="25" t="n">
        <f aca="false">+AE25/AD25-1</f>
        <v>-0.0126234906695939</v>
      </c>
      <c r="AF26" s="25" t="n">
        <f aca="false">+AF25/AE25-1</f>
        <v>0.126737076153419</v>
      </c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</row>
    <row r="27" s="3" customFormat="true" ht="12.8" hidden="false" customHeight="false" outlineLevel="0" collapsed="false">
      <c r="A27" s="3" t="s">
        <v>159</v>
      </c>
      <c r="B27" s="3" t="n">
        <v>10</v>
      </c>
      <c r="C27" s="3" t="n">
        <v>9</v>
      </c>
      <c r="D27" s="3" t="n">
        <v>8</v>
      </c>
      <c r="E27" s="3" t="n">
        <v>8</v>
      </c>
      <c r="F27" s="3" t="n">
        <v>8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8</v>
      </c>
      <c r="L27" s="3" t="n">
        <v>6</v>
      </c>
      <c r="M27" s="3" t="n">
        <v>6</v>
      </c>
      <c r="N27" s="3" t="n">
        <v>6</v>
      </c>
      <c r="O27" s="3" t="n">
        <v>6</v>
      </c>
      <c r="P27" s="3" t="n">
        <v>5</v>
      </c>
      <c r="Q27" s="3" t="n">
        <v>6</v>
      </c>
      <c r="R27" s="3" t="n">
        <v>6</v>
      </c>
      <c r="S27" s="3" t="n">
        <v>5</v>
      </c>
      <c r="AA27" s="3" t="n">
        <v>36</v>
      </c>
      <c r="AB27" s="3" t="n">
        <v>41</v>
      </c>
      <c r="AC27" s="3" t="n">
        <v>35</v>
      </c>
      <c r="AD27" s="3" t="n">
        <v>29</v>
      </c>
      <c r="AE27" s="3" t="n">
        <v>25</v>
      </c>
      <c r="AF27" s="3" t="n">
        <v>23</v>
      </c>
    </row>
    <row r="28" s="3" customFormat="true" ht="10.5" hidden="false" customHeight="true" outlineLevel="0" collapsed="false">
      <c r="A28" s="27" t="s">
        <v>155</v>
      </c>
      <c r="B28" s="28"/>
      <c r="C28" s="28"/>
      <c r="D28" s="28"/>
      <c r="E28" s="28"/>
      <c r="F28" s="25" t="n">
        <f aca="false">+F27/B27-1</f>
        <v>-0.2</v>
      </c>
      <c r="G28" s="25" t="n">
        <f aca="false">+G27/C27-1</f>
        <v>-0.111111111111111</v>
      </c>
      <c r="H28" s="25" t="n">
        <f aca="false">+H27/D27-1</f>
        <v>-0.125</v>
      </c>
      <c r="I28" s="25" t="n">
        <f aca="false">+I27/E27-1</f>
        <v>-0.25</v>
      </c>
      <c r="J28" s="25" t="n">
        <f aca="false">+J27/F27-1</f>
        <v>-0.375</v>
      </c>
      <c r="K28" s="25" t="n">
        <f aca="false">+K27/G27-1</f>
        <v>0</v>
      </c>
      <c r="L28" s="25" t="n">
        <f aca="false">+L27/H27-1</f>
        <v>-0.142857142857143</v>
      </c>
      <c r="M28" s="25" t="n">
        <f aca="false">+M27/I27-1</f>
        <v>0</v>
      </c>
      <c r="N28" s="25" t="n">
        <f aca="false">+N27/J27-1</f>
        <v>0.2</v>
      </c>
      <c r="O28" s="25" t="n">
        <f aca="false">+O27/K27-1</f>
        <v>-0.25</v>
      </c>
      <c r="P28" s="25" t="n">
        <f aca="false">+P27/L27-1</f>
        <v>-0.166666666666667</v>
      </c>
      <c r="Q28" s="25" t="n">
        <f aca="false">+Q27/M27-1</f>
        <v>0</v>
      </c>
      <c r="R28" s="25" t="n">
        <f aca="false">+R27/N27-1</f>
        <v>0</v>
      </c>
      <c r="S28" s="25" t="n">
        <f aca="false">+S27/O27-1</f>
        <v>-0.166666666666667</v>
      </c>
      <c r="T28" s="25" t="n">
        <f aca="false">+T27/P27-1</f>
        <v>-1</v>
      </c>
      <c r="U28" s="25" t="n">
        <f aca="false">+U27/Q27-1</f>
        <v>-1</v>
      </c>
      <c r="V28" s="28"/>
      <c r="W28" s="28"/>
      <c r="X28" s="28"/>
      <c r="Y28" s="28"/>
      <c r="Z28" s="28"/>
      <c r="AA28" s="28"/>
      <c r="AB28" s="25" t="n">
        <f aca="false">+AB27/AA27-1</f>
        <v>0.138888888888889</v>
      </c>
      <c r="AC28" s="25" t="n">
        <f aca="false">+AC27/AB27-1</f>
        <v>-0.146341463414634</v>
      </c>
      <c r="AD28" s="25" t="n">
        <f aca="false">+AD27/AC27-1</f>
        <v>-0.171428571428571</v>
      </c>
      <c r="AE28" s="25" t="n">
        <f aca="false">+AE27/AD27-1</f>
        <v>-0.137931034482759</v>
      </c>
      <c r="AF28" s="25" t="n">
        <f aca="false">+AF27/AE27-1</f>
        <v>-0.08</v>
      </c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</row>
    <row r="29" s="3" customFormat="true" ht="12.8" hidden="false" customHeight="false" outlineLevel="0" collapsed="false">
      <c r="A29" s="3" t="s">
        <v>160</v>
      </c>
      <c r="B29" s="3" t="n">
        <v>109</v>
      </c>
      <c r="C29" s="3" t="n">
        <v>120</v>
      </c>
      <c r="D29" s="3" t="n">
        <v>125</v>
      </c>
      <c r="E29" s="3" t="n">
        <v>130</v>
      </c>
      <c r="F29" s="3" t="n">
        <v>126</v>
      </c>
      <c r="G29" s="3" t="n">
        <v>128</v>
      </c>
      <c r="H29" s="3" t="n">
        <v>126</v>
      </c>
      <c r="I29" s="3" t="n">
        <v>123</v>
      </c>
      <c r="J29" s="3" t="n">
        <v>130</v>
      </c>
      <c r="K29" s="3" t="n">
        <v>134</v>
      </c>
      <c r="L29" s="3" t="n">
        <v>135</v>
      </c>
      <c r="M29" s="3" t="n">
        <v>135</v>
      </c>
      <c r="N29" s="3" t="n">
        <v>126</v>
      </c>
      <c r="O29" s="3" t="n">
        <v>127</v>
      </c>
      <c r="P29" s="3" t="n">
        <v>127</v>
      </c>
      <c r="Q29" s="3" t="n">
        <v>121</v>
      </c>
      <c r="R29" s="3" t="n">
        <v>118</v>
      </c>
      <c r="S29" s="3" t="n">
        <v>124</v>
      </c>
      <c r="AA29" s="3" t="n">
        <v>578</v>
      </c>
      <c r="AB29" s="3" t="n">
        <v>450</v>
      </c>
      <c r="AC29" s="3" t="n">
        <v>484</v>
      </c>
      <c r="AD29" s="3" t="n">
        <v>503</v>
      </c>
      <c r="AE29" s="3" t="n">
        <v>534</v>
      </c>
      <c r="AF29" s="3" t="n">
        <v>501</v>
      </c>
    </row>
    <row r="30" s="3" customFormat="true" ht="10.5" hidden="false" customHeight="true" outlineLevel="0" collapsed="false">
      <c r="A30" s="27" t="s">
        <v>155</v>
      </c>
      <c r="B30" s="28"/>
      <c r="C30" s="28"/>
      <c r="D30" s="28"/>
      <c r="E30" s="28"/>
      <c r="F30" s="25" t="n">
        <f aca="false">+F29/B29-1</f>
        <v>0.155963302752294</v>
      </c>
      <c r="G30" s="25" t="n">
        <f aca="false">+G29/C29-1</f>
        <v>0.0666666666666667</v>
      </c>
      <c r="H30" s="25" t="n">
        <f aca="false">+H29/D29-1</f>
        <v>0.00800000000000001</v>
      </c>
      <c r="I30" s="25" t="n">
        <f aca="false">+I29/E29-1</f>
        <v>-0.0538461538461539</v>
      </c>
      <c r="J30" s="25" t="n">
        <f aca="false">+J29/F29-1</f>
        <v>0.0317460317460319</v>
      </c>
      <c r="K30" s="25" t="n">
        <f aca="false">+K29/G29-1</f>
        <v>0.046875</v>
      </c>
      <c r="L30" s="25" t="n">
        <f aca="false">+L29/H29-1</f>
        <v>0.0714285714285714</v>
      </c>
      <c r="M30" s="25" t="n">
        <f aca="false">+M29/I29-1</f>
        <v>0.0975609756097562</v>
      </c>
      <c r="N30" s="25" t="n">
        <f aca="false">+N29/J29-1</f>
        <v>-0.0307692307692308</v>
      </c>
      <c r="O30" s="25" t="n">
        <f aca="false">+O29/K29-1</f>
        <v>-0.0522388059701493</v>
      </c>
      <c r="P30" s="25" t="n">
        <f aca="false">+P29/L29-1</f>
        <v>-0.0592592592592592</v>
      </c>
      <c r="Q30" s="25" t="n">
        <f aca="false">+Q29/M29-1</f>
        <v>-0.103703703703704</v>
      </c>
      <c r="R30" s="25" t="n">
        <f aca="false">+R29/N29-1</f>
        <v>-0.0634920634920635</v>
      </c>
      <c r="S30" s="25" t="n">
        <f aca="false">+S29/O29-1</f>
        <v>-0.0236220472440944</v>
      </c>
      <c r="T30" s="25" t="n">
        <f aca="false">+T29/P29-1</f>
        <v>-1</v>
      </c>
      <c r="U30" s="25" t="n">
        <f aca="false">+U29/Q29-1</f>
        <v>-1</v>
      </c>
      <c r="V30" s="28"/>
      <c r="W30" s="28"/>
      <c r="X30" s="28"/>
      <c r="Y30" s="28"/>
      <c r="Z30" s="28"/>
      <c r="AA30" s="28"/>
      <c r="AB30" s="25" t="n">
        <f aca="false">+AB29/AA29-1</f>
        <v>-0.221453287197232</v>
      </c>
      <c r="AC30" s="25" t="n">
        <f aca="false">+AC29/AB29-1</f>
        <v>0.0755555555555556</v>
      </c>
      <c r="AD30" s="25" t="n">
        <f aca="false">+AD29/AC29-1</f>
        <v>0.0392561983471074</v>
      </c>
      <c r="AE30" s="25" t="n">
        <f aca="false">+AE29/AD29-1</f>
        <v>0.0616302186878728</v>
      </c>
      <c r="AF30" s="25" t="n">
        <f aca="false">+AF29/AE29-1</f>
        <v>-0.0617977528089888</v>
      </c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</row>
    <row r="31" s="3" customFormat="true" ht="12.8" hidden="false" customHeight="false" outlineLevel="0" collapsed="false">
      <c r="A31" s="3" t="s">
        <v>162</v>
      </c>
      <c r="B31" s="3" t="n">
        <f aca="false">+B29+B27+B25+42</f>
        <v>554</v>
      </c>
      <c r="C31" s="3" t="n">
        <f aca="false">+C29+C27+C25+42</f>
        <v>581</v>
      </c>
      <c r="D31" s="3" t="n">
        <f aca="false">+D29+D27+D25+43</f>
        <v>589</v>
      </c>
      <c r="E31" s="3" t="n">
        <f aca="false">+E29+E27+E25+42</f>
        <v>610</v>
      </c>
      <c r="F31" s="3" t="n">
        <f aca="false">+F29+F27+F25+42</f>
        <v>610</v>
      </c>
      <c r="G31" s="3" t="n">
        <f aca="false">+G29+G27+G25+42</f>
        <v>614</v>
      </c>
      <c r="H31" s="3" t="n">
        <f aca="false">+H29+H27+H25+42</f>
        <v>622</v>
      </c>
      <c r="I31" s="3" t="n">
        <f aca="false">+I29+I27+I25+42</f>
        <v>676</v>
      </c>
      <c r="J31" s="3" t="n">
        <f aca="false">+J29+J27+J25+42</f>
        <v>632</v>
      </c>
      <c r="K31" s="3" t="n">
        <f aca="false">+K29+K27+K25+42</f>
        <v>640</v>
      </c>
      <c r="L31" s="3" t="n">
        <f aca="false">+L29+L27+L25+43</f>
        <v>597</v>
      </c>
      <c r="M31" s="3" t="n">
        <f aca="false">+M29+M27+M25+42</f>
        <v>658</v>
      </c>
      <c r="N31" s="3" t="n">
        <f aca="false">+N29+N27+N25+41</f>
        <v>663</v>
      </c>
      <c r="O31" s="3" t="n">
        <f aca="false">+O29+O27+O25+41</f>
        <v>679</v>
      </c>
      <c r="P31" s="3" t="n">
        <f aca="false">+P29+P27+P25+38</f>
        <v>680</v>
      </c>
      <c r="Q31" s="3" t="n">
        <f aca="false">+Q29+Q27+Q25+37</f>
        <v>686</v>
      </c>
      <c r="R31" s="3" t="n">
        <f aca="false">+R29+R27+R25+35</f>
        <v>699</v>
      </c>
      <c r="S31" s="3" t="n">
        <f aca="false">+S29+S27+S25+37</f>
        <v>752</v>
      </c>
      <c r="T31" s="3" t="n">
        <f aca="false">+T23-T33</f>
        <v>731.1348</v>
      </c>
      <c r="U31" s="3" t="n">
        <f aca="false">+U23-U33</f>
        <v>756.2874</v>
      </c>
      <c r="AA31" s="3" t="n">
        <f aca="false">SUM(AA25:AA29)+162</f>
        <v>1884</v>
      </c>
      <c r="AB31" s="3" t="n">
        <f aca="false">SUM(AB25:AB29)+172</f>
        <v>2037.37896109105</v>
      </c>
      <c r="AC31" s="3" t="n">
        <f aca="false">SUM(AC25:AC29)+169</f>
        <v>2334.05162069088</v>
      </c>
      <c r="AD31" s="3" t="n">
        <f aca="false">SUM(AD25:AD29)+168</f>
        <v>2521.9354973095</v>
      </c>
      <c r="AE31" s="3" t="n">
        <f aca="false">SUM(AE25:AE29)+169</f>
        <v>2526.84944547485</v>
      </c>
      <c r="AF31" s="3" t="n">
        <f aca="false">SUM(AF25:AF29)+157</f>
        <v>2708.04673707615</v>
      </c>
      <c r="AG31" s="3" t="n">
        <f aca="false">+AG23-AG33</f>
        <v>2955.0215025</v>
      </c>
      <c r="AH31" s="3" t="n">
        <f aca="false">+AH23-AH33</f>
        <v>3221.37097425</v>
      </c>
      <c r="AI31" s="3" t="n">
        <f aca="false">+AI23-AI33</f>
        <v>3367.06479785813</v>
      </c>
      <c r="AJ31" s="3" t="n">
        <f aca="false">+AJ23-AJ33</f>
        <v>3495.33393301463</v>
      </c>
      <c r="AK31" s="3" t="n">
        <f aca="false">+AK23-AK33</f>
        <v>3586.21261527301</v>
      </c>
      <c r="AL31" s="3" t="n">
        <f aca="false">+AL23-AL33</f>
        <v>3635.28710369253</v>
      </c>
      <c r="AM31" s="3" t="n">
        <f aca="false">+AM23-AM33</f>
        <v>3639.32631158552</v>
      </c>
      <c r="AN31" s="3" t="n">
        <f aca="false">+AN23-AN33</f>
        <v>3596.51070791981</v>
      </c>
      <c r="AO31" s="3" t="n">
        <f aca="false">+AO23-AO33</f>
        <v>3506.59794022181</v>
      </c>
      <c r="AP31" s="3" t="n">
        <f aca="false">+AP23-AP33</f>
        <v>3371.00948653324</v>
      </c>
      <c r="AQ31" s="3" t="n">
        <f aca="false">+AQ23-AQ33</f>
        <v>3192.82755653076</v>
      </c>
    </row>
    <row r="32" s="3" customFormat="true" ht="10.5" hidden="false" customHeight="true" outlineLevel="0" collapsed="false">
      <c r="A32" s="27" t="s">
        <v>155</v>
      </c>
      <c r="B32" s="25" t="n">
        <f aca="false">+B31/B$23</f>
        <v>0.129985922102299</v>
      </c>
      <c r="C32" s="25" t="n">
        <f aca="false">+C31/C$23</f>
        <v>0.132466940264478</v>
      </c>
      <c r="D32" s="25" t="n">
        <f aca="false">+D31/D$23</f>
        <v>0.132867132867133</v>
      </c>
      <c r="E32" s="25" t="n">
        <f aca="false">+E31/E$23</f>
        <v>0.134806629834254</v>
      </c>
      <c r="F32" s="25" t="n">
        <f aca="false">+F31/F$23</f>
        <v>0.131041890440387</v>
      </c>
      <c r="G32" s="25" t="n">
        <f aca="false">+G31/G$23</f>
        <v>0.127491694352159</v>
      </c>
      <c r="H32" s="25" t="n">
        <f aca="false">+H31/H$23</f>
        <v>0.12719836400818</v>
      </c>
      <c r="I32" s="25" t="n">
        <f aca="false">+I31/I$23</f>
        <v>0.13391442155309</v>
      </c>
      <c r="J32" s="25" t="n">
        <f aca="false">+J31/J$23</f>
        <v>0.121960632960247</v>
      </c>
      <c r="K32" s="25" t="n">
        <f aca="false">+K31/K$23</f>
        <v>0.120550009417969</v>
      </c>
      <c r="L32" s="25" t="n">
        <f aca="false">+L31/L$23</f>
        <v>0.11039201183432</v>
      </c>
      <c r="M32" s="25" t="n">
        <f aca="false">+M31/M$23</f>
        <v>0.117374241883696</v>
      </c>
      <c r="N32" s="25" t="n">
        <f aca="false">+N31/N$23</f>
        <v>0.116030801540077</v>
      </c>
      <c r="O32" s="25" t="n">
        <f aca="false">+O31/O$23</f>
        <v>0.115613825983313</v>
      </c>
      <c r="P32" s="25" t="n">
        <f aca="false">+P31/P$23</f>
        <v>0.113560454241817</v>
      </c>
      <c r="Q32" s="25" t="n">
        <f aca="false">+Q31/Q$23</f>
        <v>0.110752340975137</v>
      </c>
      <c r="R32" s="25" t="n">
        <f aca="false">+R31/R$23</f>
        <v>0.109252891528603</v>
      </c>
      <c r="S32" s="25" t="n">
        <f aca="false">+S31/S$23</f>
        <v>0.113629495315805</v>
      </c>
      <c r="T32" s="25" t="n">
        <f aca="false">+T31/T$23</f>
        <v>0.11</v>
      </c>
      <c r="U32" s="25" t="n">
        <f aca="false">+U31/U$23</f>
        <v>0.11</v>
      </c>
      <c r="V32" s="28"/>
      <c r="W32" s="28"/>
      <c r="X32" s="28"/>
      <c r="Y32" s="28"/>
      <c r="Z32" s="28"/>
      <c r="AA32" s="25" t="n">
        <f aca="false">+AA31/AA$23</f>
        <v>0.146409698476842</v>
      </c>
      <c r="AB32" s="25" t="n">
        <f aca="false">+AB31/AB$23</f>
        <v>0.129070570864178</v>
      </c>
      <c r="AC32" s="25" t="n">
        <f aca="false">+AC31/AC$23</f>
        <v>0.132571374570651</v>
      </c>
      <c r="AD32" s="25" t="n">
        <f aca="false">+AD31/AD$23</f>
        <v>0.129936395348009</v>
      </c>
      <c r="AE32" s="25" t="n">
        <f aca="false">+AE31/AE$23</f>
        <v>0.117500555474301</v>
      </c>
      <c r="AF32" s="25" t="n">
        <f aca="false">+AF31/AF$23</f>
        <v>0.113931875008463</v>
      </c>
      <c r="AG32" s="25" t="n">
        <f aca="false">+AG31/AG$23</f>
        <v>0.1115</v>
      </c>
      <c r="AH32" s="25" t="n">
        <f aca="false">+AH31/AH$23</f>
        <v>0.11</v>
      </c>
      <c r="AI32" s="25" t="n">
        <f aca="false">+AI31/AI$23</f>
        <v>0.105</v>
      </c>
      <c r="AJ32" s="25" t="n">
        <f aca="false">+AJ31/AJ$23</f>
        <v>0.1</v>
      </c>
      <c r="AK32" s="25" t="n">
        <f aca="false">+AK31/AK$23</f>
        <v>0.095</v>
      </c>
      <c r="AL32" s="25" t="n">
        <f aca="false">+AL31/AL$23</f>
        <v>0.09</v>
      </c>
      <c r="AM32" s="25" t="n">
        <f aca="false">+AM31/AM$23</f>
        <v>0.085</v>
      </c>
      <c r="AN32" s="25" t="n">
        <f aca="false">+AN31/AN$23</f>
        <v>0.0800000000000001</v>
      </c>
      <c r="AO32" s="25" t="n">
        <f aca="false">+AO31/AO$23</f>
        <v>0.0749999999999999</v>
      </c>
      <c r="AP32" s="25" t="n">
        <f aca="false">+AP31/AP$23</f>
        <v>0.0700000000000001</v>
      </c>
      <c r="AQ32" s="25" t="n">
        <f aca="false">+AQ31/AQ$23</f>
        <v>0.0649999999999998</v>
      </c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</row>
    <row r="33" s="3" customFormat="true" ht="12.8" hidden="false" customHeight="false" outlineLevel="0" collapsed="false">
      <c r="A33" s="16" t="s">
        <v>163</v>
      </c>
      <c r="B33" s="16" t="n">
        <f aca="false">+B23-B31</f>
        <v>3708</v>
      </c>
      <c r="C33" s="16" t="n">
        <f aca="false">+C23-C31</f>
        <v>3805</v>
      </c>
      <c r="D33" s="16" t="n">
        <f aca="false">+D23-D31</f>
        <v>3844</v>
      </c>
      <c r="E33" s="16" t="n">
        <f aca="false">+E23-E31</f>
        <v>3915</v>
      </c>
      <c r="F33" s="16" t="n">
        <f aca="false">+F23-F31</f>
        <v>4045</v>
      </c>
      <c r="G33" s="16" t="n">
        <f aca="false">+G23-G31</f>
        <v>4202</v>
      </c>
      <c r="H33" s="16" t="n">
        <f aca="false">+H23-H31</f>
        <v>4268</v>
      </c>
      <c r="I33" s="16" t="n">
        <f aca="false">+I23-I31</f>
        <v>4372</v>
      </c>
      <c r="J33" s="16" t="n">
        <f aca="false">+J23-J31</f>
        <v>4550</v>
      </c>
      <c r="K33" s="16" t="n">
        <f aca="false">+K23-K31</f>
        <v>4669</v>
      </c>
      <c r="L33" s="16" t="n">
        <f aca="false">+L23-L31</f>
        <v>4811</v>
      </c>
      <c r="M33" s="16" t="n">
        <f aca="false">+M23-M31</f>
        <v>4948</v>
      </c>
      <c r="N33" s="16" t="n">
        <f aca="false">+N23-N31</f>
        <v>5051</v>
      </c>
      <c r="O33" s="16" t="n">
        <f aca="false">+O23-O31</f>
        <v>5194</v>
      </c>
      <c r="P33" s="16" t="n">
        <f aca="false">+P23-P31</f>
        <v>5308</v>
      </c>
      <c r="Q33" s="16" t="n">
        <f aca="false">+Q23-Q31</f>
        <v>5508</v>
      </c>
      <c r="R33" s="16" t="n">
        <f aca="false">+R23-R31</f>
        <v>5699</v>
      </c>
      <c r="S33" s="16" t="n">
        <f aca="false">+S23-S31</f>
        <v>5866</v>
      </c>
      <c r="T33" s="16" t="n">
        <f aca="false">+T23*0.89</f>
        <v>5915.5452</v>
      </c>
      <c r="U33" s="16" t="n">
        <f aca="false">+U23*0.89</f>
        <v>6119.0526</v>
      </c>
      <c r="V33" s="16"/>
      <c r="W33" s="16"/>
      <c r="X33" s="16"/>
      <c r="Y33" s="16"/>
      <c r="Z33" s="16"/>
      <c r="AA33" s="16" t="n">
        <f aca="false">+AA23-AA31</f>
        <v>10984</v>
      </c>
      <c r="AB33" s="16" t="n">
        <f aca="false">+AB23-AB31</f>
        <v>13747.621038909</v>
      </c>
      <c r="AC33" s="16" t="n">
        <f aca="false">+AC23-AC31</f>
        <v>15271.9483793091</v>
      </c>
      <c r="AD33" s="16" t="n">
        <f aca="false">+AD23-AD31</f>
        <v>16887.0645026905</v>
      </c>
      <c r="AE33" s="16" t="n">
        <f aca="false">+AE23-AE31</f>
        <v>18978.1505545252</v>
      </c>
      <c r="AF33" s="16" t="n">
        <f aca="false">+AF23-AF31</f>
        <v>21060.9532629239</v>
      </c>
      <c r="AG33" s="16" t="n">
        <f aca="false">+AG23*0.8885</f>
        <v>23547.4134975</v>
      </c>
      <c r="AH33" s="16" t="n">
        <f aca="false">+AH23*0.89</f>
        <v>26063.81970075</v>
      </c>
      <c r="AI33" s="16" t="n">
        <f aca="false">+AI23*0.895</f>
        <v>28700.2189912669</v>
      </c>
      <c r="AJ33" s="16" t="n">
        <f aca="false">+AJ23*0.9</f>
        <v>31458.0053971316</v>
      </c>
      <c r="AK33" s="16" t="n">
        <f aca="false">+AK23*0.905</f>
        <v>34163.393861285</v>
      </c>
      <c r="AL33" s="16" t="n">
        <f aca="false">+AL23*0.91</f>
        <v>36756.7918262245</v>
      </c>
      <c r="AM33" s="16" t="n">
        <f aca="false">+AM23*0.915</f>
        <v>39176.2773541265</v>
      </c>
      <c r="AN33" s="16" t="n">
        <f aca="false">+AN23*0.92</f>
        <v>41359.8731410778</v>
      </c>
      <c r="AO33" s="16" t="n">
        <f aca="false">+AO23*0.925</f>
        <v>43248.0412627357</v>
      </c>
      <c r="AP33" s="16" t="n">
        <f aca="false">+AP23*0.93</f>
        <v>44786.268892513</v>
      </c>
      <c r="AQ33" s="16" t="n">
        <f aca="false">+AQ23*0.935</f>
        <v>45927.5963900964</v>
      </c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</row>
    <row r="34" s="3" customFormat="true" ht="10.5" hidden="false" customHeight="true" outlineLevel="0" collapsed="false">
      <c r="A34" s="27" t="s">
        <v>155</v>
      </c>
      <c r="B34" s="25" t="n">
        <f aca="false">+B33/B$23</f>
        <v>0.870014077897701</v>
      </c>
      <c r="C34" s="25" t="n">
        <f aca="false">+C33/C$23</f>
        <v>0.867533059735522</v>
      </c>
      <c r="D34" s="25" t="n">
        <f aca="false">+D33/D$23</f>
        <v>0.867132867132867</v>
      </c>
      <c r="E34" s="25" t="n">
        <f aca="false">+E33/E$23</f>
        <v>0.865193370165746</v>
      </c>
      <c r="F34" s="25" t="n">
        <f aca="false">+F33/F$23</f>
        <v>0.868958109559613</v>
      </c>
      <c r="G34" s="25" t="n">
        <f aca="false">+G33/G$23</f>
        <v>0.872508305647841</v>
      </c>
      <c r="H34" s="25" t="n">
        <f aca="false">+H33/H$23</f>
        <v>0.87280163599182</v>
      </c>
      <c r="I34" s="25" t="n">
        <f aca="false">+I33/I$23</f>
        <v>0.86608557844691</v>
      </c>
      <c r="J34" s="25" t="n">
        <f aca="false">+J33/J$23</f>
        <v>0.878039367039753</v>
      </c>
      <c r="K34" s="25" t="n">
        <f aca="false">+K33/K$23</f>
        <v>0.879449990582031</v>
      </c>
      <c r="L34" s="25" t="n">
        <f aca="false">+L33/L$23</f>
        <v>0.88960798816568</v>
      </c>
      <c r="M34" s="25" t="n">
        <f aca="false">+M33/M$23</f>
        <v>0.882625758116304</v>
      </c>
      <c r="N34" s="25" t="n">
        <f aca="false">+N33/N$23</f>
        <v>0.883969198459923</v>
      </c>
      <c r="O34" s="25" t="n">
        <f aca="false">+O33/O$23</f>
        <v>0.884386174016687</v>
      </c>
      <c r="P34" s="25" t="n">
        <f aca="false">+P33/P$23</f>
        <v>0.886439545758183</v>
      </c>
      <c r="Q34" s="25" t="n">
        <f aca="false">+Q33/Q$23</f>
        <v>0.889247659024863</v>
      </c>
      <c r="R34" s="25" t="n">
        <f aca="false">+R33/R$23</f>
        <v>0.890747108471397</v>
      </c>
      <c r="S34" s="25" t="n">
        <f aca="false">+S33/S$23</f>
        <v>0.886370504684195</v>
      </c>
      <c r="T34" s="25" t="n">
        <f aca="false">+T33/T$23</f>
        <v>0.89</v>
      </c>
      <c r="U34" s="25" t="n">
        <f aca="false">+U33/U$23</f>
        <v>0.89</v>
      </c>
      <c r="V34" s="28"/>
      <c r="W34" s="28"/>
      <c r="X34" s="28"/>
      <c r="Y34" s="28"/>
      <c r="Z34" s="28"/>
      <c r="AA34" s="25" t="n">
        <f aca="false">+AA33/AA$23</f>
        <v>0.853590301523158</v>
      </c>
      <c r="AB34" s="25" t="n">
        <f aca="false">+AB33/AB$23</f>
        <v>0.870929429135825</v>
      </c>
      <c r="AC34" s="25" t="n">
        <f aca="false">+AC33/AC$23</f>
        <v>0.867428625429348</v>
      </c>
      <c r="AD34" s="25" t="n">
        <f aca="false">+AD33/AD$23</f>
        <v>0.870063604651991</v>
      </c>
      <c r="AE34" s="25" t="n">
        <f aca="false">+AE33/AE$23</f>
        <v>0.882499444525701</v>
      </c>
      <c r="AF34" s="25" t="n">
        <f aca="false">+AF33/AF$23</f>
        <v>0.886068124991539</v>
      </c>
      <c r="AG34" s="25" t="n">
        <f aca="false">+AG33/AG$23</f>
        <v>0.8885</v>
      </c>
      <c r="AH34" s="25" t="n">
        <f aca="false">+AH33/AH$23</f>
        <v>0.89</v>
      </c>
      <c r="AI34" s="25" t="n">
        <f aca="false">+AI33/AI$23</f>
        <v>0.895000000000001</v>
      </c>
      <c r="AJ34" s="25" t="n">
        <f aca="false">+AJ33/AJ$23</f>
        <v>0.899999999999998</v>
      </c>
      <c r="AK34" s="25" t="n">
        <f aca="false">+AK33/AK$23</f>
        <v>0.905</v>
      </c>
      <c r="AL34" s="25" t="n">
        <f aca="false">+AL33/AL$23</f>
        <v>0.910000000000001</v>
      </c>
      <c r="AM34" s="25" t="n">
        <f aca="false">+AM33/AM$23</f>
        <v>0.915000000000001</v>
      </c>
      <c r="AN34" s="25" t="n">
        <f aca="false">+AN33/AN$23</f>
        <v>0.92</v>
      </c>
      <c r="AO34" s="25" t="n">
        <f aca="false">+AO33/AO$23</f>
        <v>0.925</v>
      </c>
      <c r="AP34" s="25" t="n">
        <f aca="false">+AP33/AP$23</f>
        <v>0.930000000000001</v>
      </c>
      <c r="AQ34" s="25" t="n">
        <f aca="false">+AQ33/AQ$23</f>
        <v>0.934999999999999</v>
      </c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</row>
    <row r="35" s="3" customFormat="true" ht="12.8" hidden="false" customHeight="false" outlineLevel="0" collapsed="false">
      <c r="A35" s="3" t="s">
        <v>164</v>
      </c>
      <c r="B35" s="3" t="n">
        <v>701</v>
      </c>
      <c r="C35" s="3" t="n">
        <v>738</v>
      </c>
      <c r="D35" s="3" t="n">
        <v>775</v>
      </c>
      <c r="E35" s="3" t="n">
        <v>773</v>
      </c>
      <c r="F35" s="3" t="n">
        <v>827</v>
      </c>
      <c r="G35" s="3" t="n">
        <v>876</v>
      </c>
      <c r="H35" s="3" t="n">
        <v>881</v>
      </c>
      <c r="I35" s="3" t="n">
        <v>889</v>
      </c>
      <c r="J35" s="3" t="n">
        <v>939</v>
      </c>
      <c r="K35" s="3" t="n">
        <v>984</v>
      </c>
      <c r="L35" s="3" t="n">
        <v>1022</v>
      </c>
      <c r="M35" s="3" t="n">
        <v>999</v>
      </c>
      <c r="N35" s="3" t="n">
        <v>1026</v>
      </c>
      <c r="O35" s="3" t="n">
        <v>1082</v>
      </c>
      <c r="P35" s="3" t="n">
        <v>1088</v>
      </c>
      <c r="Q35" s="3" t="n">
        <v>1098</v>
      </c>
      <c r="R35" s="3" t="n">
        <v>1110</v>
      </c>
      <c r="S35" s="3" t="n">
        <v>1198</v>
      </c>
      <c r="T35" s="3" t="n">
        <f aca="false">+P35*1.1</f>
        <v>1196.8</v>
      </c>
      <c r="U35" s="3" t="n">
        <f aca="false">+Q35*1.1</f>
        <v>1207.8</v>
      </c>
      <c r="AA35" s="3" t="n">
        <v>2188</v>
      </c>
      <c r="AB35" s="3" t="n">
        <v>2540</v>
      </c>
      <c r="AC35" s="3" t="n">
        <v>2987</v>
      </c>
      <c r="AD35" s="3" t="n">
        <v>3473</v>
      </c>
      <c r="AE35" s="3" t="n">
        <v>3944</v>
      </c>
      <c r="AF35" s="3" t="n">
        <v>4294</v>
      </c>
      <c r="AG35" s="3" t="n">
        <f aca="false">+AG23*0.17</f>
        <v>4505.41395</v>
      </c>
      <c r="AH35" s="3" t="n">
        <f aca="false">+AH23*0.17</f>
        <v>4978.48241475</v>
      </c>
      <c r="AI35" s="3" t="n">
        <f aca="false">+AI23*0.17</f>
        <v>5451.43824415125</v>
      </c>
      <c r="AJ35" s="3" t="n">
        <f aca="false">+AJ23*0.15</f>
        <v>5243.00089952195</v>
      </c>
      <c r="AK35" s="3" t="n">
        <f aca="false">+AK23*0.15</f>
        <v>5662.4409714837</v>
      </c>
      <c r="AL35" s="3" t="n">
        <f aca="false">+AL23*0.15</f>
        <v>6058.81183948755</v>
      </c>
      <c r="AM35" s="3" t="n">
        <f aca="false">+AM23*0.15</f>
        <v>6422.3405498568</v>
      </c>
      <c r="AN35" s="3" t="n">
        <f aca="false">+AN23*0.15</f>
        <v>6743.45757734964</v>
      </c>
      <c r="AO35" s="3" t="n">
        <f aca="false">+AO23*0.15</f>
        <v>7013.19588044362</v>
      </c>
      <c r="AP35" s="3" t="n">
        <f aca="false">+AP23*0.15</f>
        <v>7223.59175685693</v>
      </c>
      <c r="AQ35" s="3" t="n">
        <f aca="false">+AQ23*0.15</f>
        <v>7368.06359199408</v>
      </c>
    </row>
    <row r="36" s="3" customFormat="true" ht="10.5" hidden="false" customHeight="true" outlineLevel="0" collapsed="false">
      <c r="A36" s="27" t="s">
        <v>155</v>
      </c>
      <c r="B36" s="25" t="n">
        <f aca="false">+B35/B$23</f>
        <v>0.164476771468794</v>
      </c>
      <c r="C36" s="25" t="n">
        <f aca="false">+C35/C$23</f>
        <v>0.168262653898769</v>
      </c>
      <c r="D36" s="25" t="n">
        <f aca="false">+D35/D$23</f>
        <v>0.174825174825175</v>
      </c>
      <c r="E36" s="25" t="n">
        <f aca="false">+E35/E$23</f>
        <v>0.170828729281768</v>
      </c>
      <c r="F36" s="25" t="n">
        <f aca="false">+F35/F$23</f>
        <v>0.17765843179377</v>
      </c>
      <c r="G36" s="25" t="n">
        <f aca="false">+G35/G$23</f>
        <v>0.181893687707641</v>
      </c>
      <c r="H36" s="25" t="n">
        <f aca="false">+H35/H$23</f>
        <v>0.180163599182004</v>
      </c>
      <c r="I36" s="25" t="n">
        <f aca="false">+I35/I$23</f>
        <v>0.176109350237718</v>
      </c>
      <c r="J36" s="25" t="n">
        <f aca="false">+J35/J$23</f>
        <v>0.181204168274797</v>
      </c>
      <c r="K36" s="25" t="n">
        <f aca="false">+K35/K$23</f>
        <v>0.185345639480128</v>
      </c>
      <c r="L36" s="25" t="n">
        <f aca="false">+L35/L$23</f>
        <v>0.188979289940828</v>
      </c>
      <c r="M36" s="25" t="n">
        <f aca="false">+M35/M$23</f>
        <v>0.178201926507314</v>
      </c>
      <c r="N36" s="25" t="n">
        <f aca="false">+N35/N$23</f>
        <v>0.179558977948897</v>
      </c>
      <c r="O36" s="25" t="n">
        <f aca="false">+O35/O$23</f>
        <v>0.184232930359271</v>
      </c>
      <c r="P36" s="25" t="n">
        <f aca="false">+P35/P$23</f>
        <v>0.181696726786907</v>
      </c>
      <c r="Q36" s="25" t="n">
        <f aca="false">+Q35/Q$23</f>
        <v>0.177268324184695</v>
      </c>
      <c r="R36" s="25" t="n">
        <f aca="false">+R35/R$23</f>
        <v>0.1734917161613</v>
      </c>
      <c r="S36" s="25" t="n">
        <f aca="false">+S35/S$23</f>
        <v>0.181021456633424</v>
      </c>
      <c r="T36" s="25" t="n">
        <f aca="false">+T35/T$23</f>
        <v>0.180059819338376</v>
      </c>
      <c r="U36" s="25" t="n">
        <f aca="false">+U35/U$23</f>
        <v>0.175671312255103</v>
      </c>
      <c r="V36" s="28"/>
      <c r="W36" s="28"/>
      <c r="X36" s="28"/>
      <c r="Y36" s="28"/>
      <c r="Z36" s="28"/>
      <c r="AA36" s="25" t="n">
        <f aca="false">+AA35/AA$23</f>
        <v>0.17003419334784</v>
      </c>
      <c r="AB36" s="25" t="n">
        <f aca="false">+AB35/AB$23</f>
        <v>0.160912258473234</v>
      </c>
      <c r="AC36" s="25" t="n">
        <f aca="false">+AC35/AC$23</f>
        <v>0.169658071112121</v>
      </c>
      <c r="AD36" s="25" t="n">
        <f aca="false">+AD35/AD$23</f>
        <v>0.178937606265135</v>
      </c>
      <c r="AE36" s="25" t="n">
        <f aca="false">+AE35/AE$23</f>
        <v>0.183399209486166</v>
      </c>
      <c r="AF36" s="25" t="n">
        <f aca="false">+AF35/AF$23</f>
        <v>0.180655475619504</v>
      </c>
      <c r="AG36" s="25" t="n">
        <f aca="false">+AG35/AG$23</f>
        <v>0.17</v>
      </c>
      <c r="AH36" s="25" t="n">
        <f aca="false">+AH35/AH$23</f>
        <v>0.17</v>
      </c>
      <c r="AI36" s="25" t="n">
        <f aca="false">+AI35/AI$23</f>
        <v>0.17</v>
      </c>
      <c r="AJ36" s="25" t="n">
        <f aca="false">+AJ35/AJ$23</f>
        <v>0.15</v>
      </c>
      <c r="AK36" s="25" t="n">
        <f aca="false">+AK35/AK$23</f>
        <v>0.15</v>
      </c>
      <c r="AL36" s="25" t="n">
        <f aca="false">+AL35/AL$23</f>
        <v>0.15</v>
      </c>
      <c r="AM36" s="25" t="n">
        <f aca="false">+AM35/AM$23</f>
        <v>0.15</v>
      </c>
      <c r="AN36" s="25" t="n">
        <f aca="false">+AN35/AN$23</f>
        <v>0.15</v>
      </c>
      <c r="AO36" s="25" t="n">
        <f aca="false">+AO35/AO$23</f>
        <v>0.15</v>
      </c>
      <c r="AP36" s="25" t="n">
        <f aca="false">+AP35/AP$23</f>
        <v>0.15</v>
      </c>
      <c r="AQ36" s="25" t="n">
        <f aca="false">+AQ35/AQ$23</f>
        <v>0.15</v>
      </c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</row>
    <row r="37" s="3" customFormat="true" ht="12.8" hidden="false" customHeight="false" outlineLevel="0" collapsed="false">
      <c r="A37" s="3" t="s">
        <v>165</v>
      </c>
      <c r="B37" s="3" t="n">
        <v>1158</v>
      </c>
      <c r="C37" s="3" t="n">
        <v>1247</v>
      </c>
      <c r="D37" s="3" t="n">
        <v>1266</v>
      </c>
      <c r="E37" s="3" t="n">
        <v>1297</v>
      </c>
      <c r="F37" s="3" t="n">
        <v>1301</v>
      </c>
      <c r="G37" s="3" t="n">
        <v>1345</v>
      </c>
      <c r="H37" s="3" t="n">
        <v>1337</v>
      </c>
      <c r="I37" s="3" t="n">
        <v>1368</v>
      </c>
      <c r="J37" s="3" t="n">
        <v>1352</v>
      </c>
      <c r="K37" s="3" t="n">
        <v>1445</v>
      </c>
      <c r="L37" s="3" t="n">
        <v>1431</v>
      </c>
      <c r="M37" s="3" t="n">
        <v>1536</v>
      </c>
      <c r="N37" s="3" t="n">
        <v>1495</v>
      </c>
      <c r="O37" s="3" t="n">
        <v>1626</v>
      </c>
      <c r="P37" s="3" t="n">
        <v>1639</v>
      </c>
      <c r="Q37" s="3" t="n">
        <v>1728</v>
      </c>
      <c r="R37" s="3" t="n">
        <v>1708</v>
      </c>
      <c r="S37" s="3" t="n">
        <v>1884</v>
      </c>
      <c r="T37" s="3" t="n">
        <f aca="false">+P37*1.1</f>
        <v>1802.9</v>
      </c>
      <c r="U37" s="3" t="n">
        <f aca="false">+Q37*1.1</f>
        <v>1900.8</v>
      </c>
      <c r="AA37" s="3" t="n">
        <v>3591</v>
      </c>
      <c r="AB37" s="3" t="n">
        <v>4321</v>
      </c>
      <c r="AC37" s="3" t="n">
        <v>4968</v>
      </c>
      <c r="AD37" s="3" t="n">
        <v>5351</v>
      </c>
      <c r="AE37" s="3" t="n">
        <v>5764</v>
      </c>
      <c r="AF37" s="3" t="n">
        <v>6488</v>
      </c>
      <c r="AG37" s="3" t="n">
        <f aca="false">+AG23*0.27</f>
        <v>7155.65745</v>
      </c>
      <c r="AH37" s="3" t="n">
        <f aca="false">+AH23*0.27</f>
        <v>7907.00148225</v>
      </c>
      <c r="AI37" s="3" t="n">
        <f aca="false">+AI23*0.25</f>
        <v>8016.82094728125</v>
      </c>
      <c r="AJ37" s="3" t="n">
        <f aca="false">+AJ23*0.25</f>
        <v>8738.33483253658</v>
      </c>
      <c r="AK37" s="3" t="n">
        <f aca="false">+AK23*0.25</f>
        <v>9437.4016191395</v>
      </c>
      <c r="AL37" s="3" t="n">
        <f aca="false">+AL23*0.25</f>
        <v>10098.0197324793</v>
      </c>
      <c r="AM37" s="3" t="n">
        <f aca="false">+AM23*0.2</f>
        <v>8563.1207331424</v>
      </c>
      <c r="AN37" s="3" t="n">
        <f aca="false">+AN23*0.2</f>
        <v>8991.27676979952</v>
      </c>
      <c r="AO37" s="3" t="n">
        <f aca="false">+AO23*0.2</f>
        <v>9350.9278405915</v>
      </c>
      <c r="AP37" s="3" t="n">
        <f aca="false">+AP23*0.2</f>
        <v>9631.45567580924</v>
      </c>
      <c r="AQ37" s="3" t="n">
        <f aca="false">+AQ23*0.2</f>
        <v>9824.08478932544</v>
      </c>
    </row>
    <row r="38" s="3" customFormat="true" ht="10.5" hidden="false" customHeight="true" outlineLevel="0" collapsed="false">
      <c r="A38" s="27" t="s">
        <v>155</v>
      </c>
      <c r="B38" s="25" t="n">
        <f aca="false">+B37/B$23</f>
        <v>0.271703425621774</v>
      </c>
      <c r="C38" s="25" t="n">
        <f aca="false">+C37/C$23</f>
        <v>0.284313725490196</v>
      </c>
      <c r="D38" s="25" t="n">
        <f aca="false">+D37/D$23</f>
        <v>0.285585382359576</v>
      </c>
      <c r="E38" s="25" t="n">
        <f aca="false">+E37/E$23</f>
        <v>0.286629834254144</v>
      </c>
      <c r="F38" s="25" t="n">
        <f aca="false">+F37/F$23</f>
        <v>0.279484425349087</v>
      </c>
      <c r="G38" s="25" t="n">
        <f aca="false">+G37/G$23</f>
        <v>0.279277408637874</v>
      </c>
      <c r="H38" s="25" t="n">
        <f aca="false">+H37/H$23</f>
        <v>0.273415132924335</v>
      </c>
      <c r="I38" s="25" t="n">
        <f aca="false">+I37/I$23</f>
        <v>0.270998415213946</v>
      </c>
      <c r="J38" s="25" t="n">
        <f aca="false">+J37/J$23</f>
        <v>0.260903126206098</v>
      </c>
      <c r="K38" s="25" t="n">
        <f aca="false">+K37/K$23</f>
        <v>0.272179318139009</v>
      </c>
      <c r="L38" s="25" t="n">
        <f aca="false">+L37/L$23</f>
        <v>0.264607988165681</v>
      </c>
      <c r="M38" s="25" t="n">
        <f aca="false">+M37/M$23</f>
        <v>0.2739921512665</v>
      </c>
      <c r="N38" s="25" t="n">
        <f aca="false">+N37/N$23</f>
        <v>0.261638081904095</v>
      </c>
      <c r="O38" s="25" t="n">
        <f aca="false">+O37/O$23</f>
        <v>0.276860207730291</v>
      </c>
      <c r="P38" s="25" t="n">
        <f aca="false">+P37/P$23</f>
        <v>0.273714094856379</v>
      </c>
      <c r="Q38" s="25" t="n">
        <f aca="false">+Q37/Q$23</f>
        <v>0.27897965773329</v>
      </c>
      <c r="R38" s="25" t="n">
        <f aca="false">+R37/R$23</f>
        <v>0.266958424507659</v>
      </c>
      <c r="S38" s="25" t="n">
        <f aca="false">+S37/S$23</f>
        <v>0.28467815049864</v>
      </c>
      <c r="T38" s="25" t="n">
        <f aca="false">+T37/T$23</f>
        <v>0.271248202109926</v>
      </c>
      <c r="U38" s="25" t="n">
        <f aca="false">+U37/U$23</f>
        <v>0.276466327483441</v>
      </c>
      <c r="V38" s="28"/>
      <c r="W38" s="28"/>
      <c r="X38" s="28"/>
      <c r="Y38" s="28"/>
      <c r="Z38" s="28"/>
      <c r="AA38" s="25" t="n">
        <f aca="false">+AA37/AA$23</f>
        <v>0.279064345663662</v>
      </c>
      <c r="AB38" s="25" t="n">
        <f aca="false">+AB37/AB$23</f>
        <v>0.273740893253088</v>
      </c>
      <c r="AC38" s="25" t="n">
        <f aca="false">+AC37/AC$23</f>
        <v>0.282176530728161</v>
      </c>
      <c r="AD38" s="25" t="n">
        <f aca="false">+AD37/AD$23</f>
        <v>0.27569684167139</v>
      </c>
      <c r="AE38" s="25" t="n">
        <f aca="false">+AE37/AE$23</f>
        <v>0.268030690537084</v>
      </c>
      <c r="AF38" s="25" t="n">
        <f aca="false">+AF37/AF$23</f>
        <v>0.272960578905297</v>
      </c>
      <c r="AG38" s="25" t="n">
        <f aca="false">+AG37/AG$23</f>
        <v>0.27</v>
      </c>
      <c r="AH38" s="25" t="n">
        <f aca="false">+AH37/AH$23</f>
        <v>0.27</v>
      </c>
      <c r="AI38" s="25" t="n">
        <f aca="false">+AI37/AI$23</f>
        <v>0.25</v>
      </c>
      <c r="AJ38" s="25" t="n">
        <f aca="false">+AJ37/AJ$23</f>
        <v>0.25</v>
      </c>
      <c r="AK38" s="25" t="n">
        <f aca="false">+AK37/AK$23</f>
        <v>0.25</v>
      </c>
      <c r="AL38" s="25" t="n">
        <f aca="false">+AL37/AL$23</f>
        <v>0.25</v>
      </c>
      <c r="AM38" s="25" t="n">
        <f aca="false">+AM37/AM$23</f>
        <v>0.2</v>
      </c>
      <c r="AN38" s="25" t="n">
        <f aca="false">+AN37/AN$23</f>
        <v>0.2</v>
      </c>
      <c r="AO38" s="25" t="n">
        <f aca="false">+AO37/AO$23</f>
        <v>0.2</v>
      </c>
      <c r="AP38" s="25" t="n">
        <f aca="false">+AP37/AP$23</f>
        <v>0.2</v>
      </c>
      <c r="AQ38" s="25" t="n">
        <f aca="false">+AQ37/AQ$23</f>
        <v>0.2</v>
      </c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</row>
    <row r="39" s="3" customFormat="true" ht="12.8" hidden="false" customHeight="false" outlineLevel="0" collapsed="false">
      <c r="A39" s="3" t="s">
        <v>166</v>
      </c>
      <c r="B39" s="3" t="n">
        <v>269</v>
      </c>
      <c r="C39" s="3" t="n">
        <v>291</v>
      </c>
      <c r="D39" s="3" t="n">
        <v>319</v>
      </c>
      <c r="E39" s="3" t="n">
        <v>340</v>
      </c>
      <c r="F39" s="3" t="n">
        <v>331</v>
      </c>
      <c r="G39" s="3" t="n">
        <v>357</v>
      </c>
      <c r="H39" s="3" t="n">
        <v>353</v>
      </c>
      <c r="I39" s="3" t="n">
        <v>372</v>
      </c>
      <c r="J39" s="3" t="n">
        <v>352</v>
      </c>
      <c r="K39" s="3" t="n">
        <v>355</v>
      </c>
      <c r="L39" s="3" t="n">
        <v>366</v>
      </c>
      <c r="M39" s="3" t="n">
        <v>456</v>
      </c>
      <c r="N39" s="3" t="n">
        <v>367</v>
      </c>
      <c r="O39" s="3" t="n">
        <v>377</v>
      </c>
      <c r="P39" s="3" t="n">
        <v>408</v>
      </c>
      <c r="Q39" s="3" t="n">
        <v>421</v>
      </c>
      <c r="R39" s="3" t="n">
        <v>463</v>
      </c>
      <c r="S39" s="3" t="n">
        <v>546</v>
      </c>
      <c r="T39" s="3" t="n">
        <f aca="false">+P39*1.1</f>
        <v>448.8</v>
      </c>
      <c r="U39" s="3" t="n">
        <f aca="false">+Q39*1.1</f>
        <v>463.1</v>
      </c>
      <c r="AA39" s="3" t="n">
        <v>968</v>
      </c>
      <c r="AB39" s="3" t="n">
        <v>1085</v>
      </c>
      <c r="AC39" s="3" t="n">
        <v>1219</v>
      </c>
      <c r="AD39" s="3" t="n">
        <v>1413</v>
      </c>
      <c r="AE39" s="3" t="n">
        <v>1529</v>
      </c>
      <c r="AF39" s="3" t="n">
        <v>1573</v>
      </c>
      <c r="AG39" s="3" t="n">
        <f aca="false">+AF39*1.06</f>
        <v>1667.38</v>
      </c>
      <c r="AH39" s="3" t="n">
        <f aca="false">+AG39*1.06</f>
        <v>1767.4228</v>
      </c>
      <c r="AI39" s="3" t="n">
        <f aca="false">+AH39*1.06</f>
        <v>1873.468168</v>
      </c>
      <c r="AJ39" s="3" t="n">
        <f aca="false">+AI39*1.06</f>
        <v>1985.87625808</v>
      </c>
      <c r="AK39" s="3" t="n">
        <f aca="false">+AJ39*1.055</f>
        <v>2095.0994522744</v>
      </c>
      <c r="AL39" s="3" t="n">
        <f aca="false">+AK39*1.054</f>
        <v>2208.23482269722</v>
      </c>
      <c r="AM39" s="3" t="n">
        <f aca="false">+AL39*1.05</f>
        <v>2318.64656383208</v>
      </c>
      <c r="AN39" s="3" t="n">
        <f aca="false">+AM39*1.05</f>
        <v>2434.57889202368</v>
      </c>
      <c r="AO39" s="3" t="n">
        <f aca="false">+AN39*1.05</f>
        <v>2556.30783662487</v>
      </c>
      <c r="AP39" s="3" t="n">
        <f aca="false">+AO39*1.05</f>
        <v>2684.12322845611</v>
      </c>
      <c r="AQ39" s="3" t="n">
        <f aca="false">+AP39*1.05</f>
        <v>2818.32938987892</v>
      </c>
    </row>
    <row r="40" s="3" customFormat="true" ht="10.5" hidden="false" customHeight="true" outlineLevel="0" collapsed="false">
      <c r="A40" s="27" t="s">
        <v>155</v>
      </c>
      <c r="B40" s="25" t="n">
        <f aca="false">+B39/B$23</f>
        <v>0.0631159080244017</v>
      </c>
      <c r="C40" s="25" t="n">
        <f aca="false">+C39/C$23</f>
        <v>0.0663474692202462</v>
      </c>
      <c r="D40" s="25" t="n">
        <f aca="false">+D39/D$23</f>
        <v>0.0719602977667494</v>
      </c>
      <c r="E40" s="25" t="n">
        <f aca="false">+E39/E$23</f>
        <v>0.0751381215469613</v>
      </c>
      <c r="F40" s="25" t="n">
        <f aca="false">+F39/F$23</f>
        <v>0.0711063372717508</v>
      </c>
      <c r="G40" s="25" t="n">
        <f aca="false">+G39/G$23</f>
        <v>0.0741279069767442</v>
      </c>
      <c r="H40" s="25" t="n">
        <f aca="false">+H39/H$23</f>
        <v>0.0721881390593047</v>
      </c>
      <c r="I40" s="25" t="n">
        <f aca="false">+I39/I$23</f>
        <v>0.0736925515055468</v>
      </c>
      <c r="J40" s="25" t="n">
        <f aca="false">+J39/J$23</f>
        <v>0.0679274411424161</v>
      </c>
      <c r="K40" s="25" t="n">
        <f aca="false">+K39/K$23</f>
        <v>0.06686758334903</v>
      </c>
      <c r="L40" s="25" t="n">
        <f aca="false">+L39/L$23</f>
        <v>0.0676775147928994</v>
      </c>
      <c r="M40" s="25" t="n">
        <f aca="false">+M39/M$23</f>
        <v>0.0813414199072422</v>
      </c>
      <c r="N40" s="25" t="n">
        <f aca="false">+N39/N$23</f>
        <v>0.0642282114105705</v>
      </c>
      <c r="O40" s="25" t="n">
        <f aca="false">+O39/O$23</f>
        <v>0.0641920653839605</v>
      </c>
      <c r="P40" s="25" t="n">
        <f aca="false">+P39/P$23</f>
        <v>0.0681362725450902</v>
      </c>
      <c r="Q40" s="25" t="n">
        <f aca="false">+Q39/Q$23</f>
        <v>0.0679690022602519</v>
      </c>
      <c r="R40" s="25" t="n">
        <f aca="false">+R39/R$23</f>
        <v>0.0723663644889028</v>
      </c>
      <c r="S40" s="25" t="n">
        <f aca="false">+S39/S$23</f>
        <v>0.0825022665457842</v>
      </c>
      <c r="T40" s="25" t="n">
        <f aca="false">+T39/T$23</f>
        <v>0.0675224322518912</v>
      </c>
      <c r="U40" s="25" t="n">
        <f aca="false">+U39/U$23</f>
        <v>0.0673566689065559</v>
      </c>
      <c r="V40" s="28"/>
      <c r="W40" s="28"/>
      <c r="X40" s="28"/>
      <c r="Y40" s="28"/>
      <c r="Z40" s="28"/>
      <c r="AA40" s="25" t="n">
        <f aca="false">+AA39/AA$23</f>
        <v>0.0752253652471247</v>
      </c>
      <c r="AB40" s="25" t="n">
        <f aca="false">+AB39/AB$23</f>
        <v>0.0687361419068736</v>
      </c>
      <c r="AC40" s="25" t="n">
        <f aca="false">+AC39/AC$23</f>
        <v>0.069237759854595</v>
      </c>
      <c r="AD40" s="25" t="n">
        <f aca="false">+AD39/AD$23</f>
        <v>0.0728012777577413</v>
      </c>
      <c r="AE40" s="25" t="n">
        <f aca="false">+AE39/AE$23</f>
        <v>0.0710997442455243</v>
      </c>
      <c r="AF40" s="25" t="n">
        <f aca="false">+AF39/AF$23</f>
        <v>0.0661786360385376</v>
      </c>
      <c r="AG40" s="25" t="n">
        <f aca="false">+AG39/AG$23</f>
        <v>0.0629142190142151</v>
      </c>
      <c r="AH40" s="25" t="n">
        <f aca="false">+AH39/AH$23</f>
        <v>0.0603521014977991</v>
      </c>
      <c r="AI40" s="25" t="n">
        <f aca="false">+AI39/AI$23</f>
        <v>0.0584230388928466</v>
      </c>
      <c r="AJ40" s="25" t="n">
        <f aca="false">+AJ39/AJ$23</f>
        <v>0.056815065345337</v>
      </c>
      <c r="AK40" s="25" t="n">
        <f aca="false">+AK39/AK$23</f>
        <v>0.0554999017956764</v>
      </c>
      <c r="AL40" s="25" t="n">
        <f aca="false">+AL39/AL$23</f>
        <v>0.0546699967220964</v>
      </c>
      <c r="AM40" s="25" t="n">
        <f aca="false">+AM39/AM$23</f>
        <v>0.0541542420360389</v>
      </c>
      <c r="AN40" s="25" t="n">
        <f aca="false">+AN39/AN$23</f>
        <v>0.0541542420360388</v>
      </c>
      <c r="AO40" s="25" t="n">
        <f aca="false">+AO39/AO$23</f>
        <v>0.05467495590177</v>
      </c>
      <c r="AP40" s="25" t="n">
        <f aca="false">+AP39/AP$23</f>
        <v>0.0557366055309306</v>
      </c>
      <c r="AQ40" s="25" t="n">
        <f aca="false">+AQ39/AQ$23</f>
        <v>0.0573759174583109</v>
      </c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</row>
    <row r="41" s="3" customFormat="true" ht="12.8" hidden="false" customHeight="false" outlineLevel="0" collapsed="false">
      <c r="A41" s="3" t="s">
        <v>167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1000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1000</v>
      </c>
      <c r="AF41" s="3" t="n">
        <v>0</v>
      </c>
      <c r="AG41" s="3" t="n">
        <f aca="false">+AF41*1.1</f>
        <v>0</v>
      </c>
      <c r="AH41" s="3" t="n">
        <f aca="false">+AG41*1.1</f>
        <v>0</v>
      </c>
      <c r="AI41" s="3" t="n">
        <f aca="false">+AH41*1.1</f>
        <v>0</v>
      </c>
      <c r="AJ41" s="3" t="n">
        <f aca="false">+AI41*1.1</f>
        <v>0</v>
      </c>
      <c r="AK41" s="3" t="n">
        <f aca="false">+AJ41*1.1</f>
        <v>0</v>
      </c>
      <c r="AL41" s="3" t="n">
        <f aca="false">+AK41*1.1</f>
        <v>0</v>
      </c>
      <c r="AM41" s="3" t="n">
        <f aca="false">+AL41*1.1</f>
        <v>0</v>
      </c>
      <c r="AN41" s="3" t="n">
        <f aca="false">+AM41*1.1</f>
        <v>0</v>
      </c>
      <c r="AO41" s="3" t="n">
        <f aca="false">+AN41*1.1</f>
        <v>0</v>
      </c>
      <c r="AP41" s="3" t="n">
        <f aca="false">+AO41*1.1</f>
        <v>0</v>
      </c>
      <c r="AQ41" s="3" t="n">
        <f aca="false">+AP41*1.1</f>
        <v>0</v>
      </c>
    </row>
    <row r="42" s="3" customFormat="true" ht="10.5" hidden="false" customHeight="true" outlineLevel="0" collapsed="false">
      <c r="A42" s="27" t="s">
        <v>155</v>
      </c>
      <c r="B42" s="31"/>
      <c r="C42" s="31"/>
      <c r="D42" s="31"/>
      <c r="E42" s="31"/>
      <c r="F42" s="31" t="s">
        <v>168</v>
      </c>
      <c r="G42" s="31" t="s">
        <v>168</v>
      </c>
      <c r="H42" s="31" t="s">
        <v>168</v>
      </c>
      <c r="I42" s="31" t="s">
        <v>168</v>
      </c>
      <c r="J42" s="31" t="s">
        <v>168</v>
      </c>
      <c r="K42" s="31" t="s">
        <v>168</v>
      </c>
      <c r="L42" s="31" t="s">
        <v>168</v>
      </c>
      <c r="M42" s="31" t="s">
        <v>168</v>
      </c>
      <c r="N42" s="31" t="s">
        <v>168</v>
      </c>
      <c r="O42" s="31" t="s">
        <v>168</v>
      </c>
      <c r="P42" s="31" t="s">
        <v>168</v>
      </c>
      <c r="Q42" s="31" t="s">
        <v>168</v>
      </c>
      <c r="R42" s="31" t="s">
        <v>168</v>
      </c>
      <c r="S42" s="31" t="s">
        <v>168</v>
      </c>
      <c r="T42" s="31" t="s">
        <v>168</v>
      </c>
      <c r="U42" s="31" t="s">
        <v>168</v>
      </c>
      <c r="V42" s="28"/>
      <c r="W42" s="28"/>
      <c r="X42" s="28"/>
      <c r="Y42" s="28"/>
      <c r="Z42" s="28"/>
      <c r="AA42" s="28"/>
      <c r="AB42" s="31" t="s">
        <v>168</v>
      </c>
      <c r="AC42" s="31" t="s">
        <v>168</v>
      </c>
      <c r="AD42" s="31" t="s">
        <v>168</v>
      </c>
      <c r="AE42" s="31" t="s">
        <v>168</v>
      </c>
      <c r="AF42" s="31" t="s">
        <v>168</v>
      </c>
      <c r="AG42" s="31" t="s">
        <v>168</v>
      </c>
      <c r="AH42" s="31" t="s">
        <v>168</v>
      </c>
      <c r="AI42" s="31" t="s">
        <v>168</v>
      </c>
      <c r="AJ42" s="31" t="s">
        <v>168</v>
      </c>
      <c r="AK42" s="31" t="s">
        <v>168</v>
      </c>
      <c r="AL42" s="31" t="s">
        <v>168</v>
      </c>
      <c r="AM42" s="31" t="s">
        <v>168</v>
      </c>
      <c r="AN42" s="31" t="s">
        <v>168</v>
      </c>
      <c r="AO42" s="31" t="s">
        <v>168</v>
      </c>
      <c r="AP42" s="31" t="s">
        <v>168</v>
      </c>
      <c r="AQ42" s="31" t="s">
        <v>168</v>
      </c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</row>
    <row r="43" s="32" customFormat="true" ht="12.8" hidden="false" customHeight="false" outlineLevel="0" collapsed="false">
      <c r="A43" s="3" t="s">
        <v>169</v>
      </c>
      <c r="B43" s="3" t="n">
        <f aca="false">+B35+B37+B39+B41</f>
        <v>2128</v>
      </c>
      <c r="C43" s="3" t="n">
        <f aca="false">+C35+C37+C39+C41</f>
        <v>2276</v>
      </c>
      <c r="D43" s="3" t="n">
        <f aca="false">+D35+D37+D39+D41</f>
        <v>2360</v>
      </c>
      <c r="E43" s="3" t="n">
        <f aca="false">+E35+E37+E39+E41</f>
        <v>2410</v>
      </c>
      <c r="F43" s="3" t="n">
        <f aca="false">+F35+F37+F39+F41</f>
        <v>2459</v>
      </c>
      <c r="G43" s="3" t="n">
        <f aca="false">+G35+G37+G39+G41</f>
        <v>2578</v>
      </c>
      <c r="H43" s="3" t="n">
        <f aca="false">+H35+H37+H39+H41</f>
        <v>2571</v>
      </c>
      <c r="I43" s="3" t="n">
        <f aca="false">+I35+I37+I39+I41</f>
        <v>2629</v>
      </c>
      <c r="J43" s="3" t="n">
        <f aca="false">+J35+J37+J39+J41</f>
        <v>3643</v>
      </c>
      <c r="K43" s="3" t="n">
        <f aca="false">+K35+K37+K39+K41</f>
        <v>2784</v>
      </c>
      <c r="L43" s="3" t="n">
        <f aca="false">+L35+L37+L39+L41</f>
        <v>2819</v>
      </c>
      <c r="M43" s="3" t="n">
        <f aca="false">+M35+M37+M39+M41</f>
        <v>2991</v>
      </c>
      <c r="N43" s="3" t="n">
        <f aca="false">+N35+N37+N39+N41</f>
        <v>2888</v>
      </c>
      <c r="O43" s="3" t="n">
        <f aca="false">+O35+O37+O39+O41</f>
        <v>3085</v>
      </c>
      <c r="P43" s="3" t="n">
        <f aca="false">+P35+P37+P39+P41</f>
        <v>3135</v>
      </c>
      <c r="Q43" s="3" t="n">
        <f aca="false">+Q35+Q37+Q39+Q41</f>
        <v>3247</v>
      </c>
      <c r="R43" s="3" t="n">
        <f aca="false">+R35+R37+R39+R41</f>
        <v>3281</v>
      </c>
      <c r="S43" s="3" t="n">
        <f aca="false">+S35+S37+S39+S41</f>
        <v>3628</v>
      </c>
      <c r="T43" s="3" t="n">
        <f aca="false">+T35+T37+T39+T41</f>
        <v>3448.5</v>
      </c>
      <c r="U43" s="3" t="n">
        <f aca="false">+U35+U37+U39+U41</f>
        <v>3571.7</v>
      </c>
      <c r="V43" s="3"/>
      <c r="W43" s="3"/>
      <c r="X43" s="3"/>
      <c r="Y43" s="3"/>
      <c r="Z43" s="3"/>
      <c r="AA43" s="3" t="n">
        <f aca="false">SUM(AA35:AA41)</f>
        <v>6747.52432390426</v>
      </c>
      <c r="AB43" s="3" t="n">
        <f aca="false">SUM(AB35:AB41)</f>
        <v>7946.50338929363</v>
      </c>
      <c r="AC43" s="3" t="n">
        <f aca="false">SUM(AC35:AC41)</f>
        <v>9174.5210723617</v>
      </c>
      <c r="AD43" s="3" t="n">
        <f aca="false">SUM(AD35:AD41)</f>
        <v>10237.5274357257</v>
      </c>
      <c r="AE43" s="3" t="n">
        <f aca="false">SUM(AE35:AE41)</f>
        <v>12237.5225296443</v>
      </c>
      <c r="AF43" s="3" t="n">
        <f aca="false">SUM(AF35:AF41)</f>
        <v>12355.5197946906</v>
      </c>
      <c r="AG43" s="3" t="n">
        <f aca="false">SUM(AG35:AG41)</f>
        <v>13328.954314219</v>
      </c>
      <c r="AH43" s="3" t="n">
        <f aca="false">SUM(AH35:AH41)</f>
        <v>14653.4070491015</v>
      </c>
      <c r="AI43" s="3" t="n">
        <f aca="false">SUM(AI35:AI41)</f>
        <v>15342.2057824714</v>
      </c>
      <c r="AJ43" s="3" t="n">
        <f aca="false">SUM(AJ35:AJ41)</f>
        <v>15967.6688052039</v>
      </c>
      <c r="AK43" s="3" t="n">
        <f aca="false">SUM(AK35:AK41)</f>
        <v>17195.3975427994</v>
      </c>
      <c r="AL43" s="3" t="n">
        <f aca="false">SUM(AL35:AL41)</f>
        <v>18365.5210646607</v>
      </c>
      <c r="AM43" s="3" t="n">
        <f aca="false">SUM(AM35:AM41)</f>
        <v>17304.5120010733</v>
      </c>
      <c r="AN43" s="3" t="n">
        <f aca="false">SUM(AN35:AN41)</f>
        <v>18169.7173934149</v>
      </c>
      <c r="AO43" s="3" t="n">
        <f aca="false">SUM(AO35:AO41)</f>
        <v>18920.8362326159</v>
      </c>
      <c r="AP43" s="3" t="n">
        <f aca="false">SUM(AP35:AP41)</f>
        <v>19539.5763977278</v>
      </c>
      <c r="AQ43" s="3" t="n">
        <f aca="false">SUM(AQ35:AQ41)</f>
        <v>20010.8851471159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</row>
    <row r="44" s="32" customFormat="true" ht="10.5" hidden="false" customHeight="true" outlineLevel="0" collapsed="false">
      <c r="A44" s="27" t="s">
        <v>155</v>
      </c>
      <c r="B44" s="25" t="n">
        <f aca="false">+B43/B$23</f>
        <v>0.49929610511497</v>
      </c>
      <c r="C44" s="25" t="n">
        <f aca="false">+C43/C$23</f>
        <v>0.518923848609211</v>
      </c>
      <c r="D44" s="25" t="n">
        <f aca="false">+D43/D$23</f>
        <v>0.5323708549515</v>
      </c>
      <c r="E44" s="25" t="n">
        <f aca="false">+E43/E$23</f>
        <v>0.532596685082873</v>
      </c>
      <c r="F44" s="25" t="n">
        <f aca="false">+F43/F$23</f>
        <v>0.528249194414608</v>
      </c>
      <c r="G44" s="25" t="n">
        <f aca="false">+G43/G$23</f>
        <v>0.535299003322259</v>
      </c>
      <c r="H44" s="25" t="n">
        <f aca="false">+H43/H$23</f>
        <v>0.525766871165644</v>
      </c>
      <c r="I44" s="25" t="n">
        <f aca="false">+I43/I$23</f>
        <v>0.520800316957211</v>
      </c>
      <c r="J44" s="25" t="n">
        <f aca="false">+J43/J$23</f>
        <v>0.703010420686994</v>
      </c>
      <c r="K44" s="25" t="n">
        <f aca="false">+K43/K$23</f>
        <v>0.524392540968167</v>
      </c>
      <c r="L44" s="25" t="n">
        <f aca="false">+L43/L$23</f>
        <v>0.521264792899408</v>
      </c>
      <c r="M44" s="25" t="n">
        <f aca="false">+M43/M$23</f>
        <v>0.533535497681056</v>
      </c>
      <c r="N44" s="25" t="n">
        <f aca="false">+N43/N$23</f>
        <v>0.505425271263563</v>
      </c>
      <c r="O44" s="25" t="n">
        <f aca="false">+O43/O$23</f>
        <v>0.525285203473523</v>
      </c>
      <c r="P44" s="25" t="n">
        <f aca="false">+P43/P$23</f>
        <v>0.523547094188377</v>
      </c>
      <c r="Q44" s="25" t="n">
        <f aca="false">+Q43/Q$23</f>
        <v>0.524216984178237</v>
      </c>
      <c r="R44" s="25" t="n">
        <f aca="false">+R43/R$23</f>
        <v>0.512816505157862</v>
      </c>
      <c r="S44" s="25" t="n">
        <f aca="false">+S43/S$23</f>
        <v>0.548201873677848</v>
      </c>
      <c r="T44" s="25" t="n">
        <f aca="false">+T43/T$23</f>
        <v>0.518830453700193</v>
      </c>
      <c r="U44" s="25" t="n">
        <f aca="false">+U43/U$23</f>
        <v>0.5194943086451</v>
      </c>
      <c r="V44" s="28"/>
      <c r="W44" s="28"/>
      <c r="X44" s="28"/>
      <c r="Y44" s="28"/>
      <c r="Z44" s="28"/>
      <c r="AA44" s="25" t="n">
        <f aca="false">+AA43/AA$23</f>
        <v>0.524364650598715</v>
      </c>
      <c r="AB44" s="25" t="n">
        <f aca="false">+AB43/AB$23</f>
        <v>0.503421183990728</v>
      </c>
      <c r="AC44" s="25" t="n">
        <f aca="false">+AC43/AC$23</f>
        <v>0.521101957989418</v>
      </c>
      <c r="AD44" s="25" t="n">
        <f aca="false">+AD43/AD$23</f>
        <v>0.52746290049594</v>
      </c>
      <c r="AE44" s="25" t="n">
        <f aca="false">+AE43/AE$23</f>
        <v>0.56905475608669</v>
      </c>
      <c r="AF44" s="25" t="n">
        <f aca="false">+AF43/AF$23</f>
        <v>0.519816559160695</v>
      </c>
      <c r="AG44" s="25" t="n">
        <f aca="false">+AG43/AG$23</f>
        <v>0.502933195165615</v>
      </c>
      <c r="AH44" s="25" t="n">
        <f aca="false">+AH43/AH$23</f>
        <v>0.500369186996987</v>
      </c>
      <c r="AI44" s="25" t="n">
        <f aca="false">+AI43/AI$23</f>
        <v>0.478437958243111</v>
      </c>
      <c r="AJ44" s="25" t="n">
        <f aca="false">+AJ43/AJ$23</f>
        <v>0.456828134627818</v>
      </c>
      <c r="AK44" s="25" t="n">
        <f aca="false">+AK43/AK$23</f>
        <v>0.455511968144026</v>
      </c>
      <c r="AL44" s="25" t="n">
        <f aca="false">+AL43/AL$23</f>
        <v>0.454681253136937</v>
      </c>
      <c r="AM44" s="25" t="n">
        <f aca="false">+AM43/AM$23</f>
        <v>0.404163681450818</v>
      </c>
      <c r="AN44" s="25" t="n">
        <f aca="false">+AN43/AN$23</f>
        <v>0.404163231954876</v>
      </c>
      <c r="AO44" s="25" t="n">
        <f aca="false">+AO43/AO$23</f>
        <v>0.404683611191658</v>
      </c>
      <c r="AP44" s="25" t="n">
        <f aca="false">+AP43/AP$23</f>
        <v>0.405745030770462</v>
      </c>
      <c r="AQ44" s="25" t="n">
        <f aca="false">+AQ43/AQ$23</f>
        <v>0.407384210870393</v>
      </c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</row>
    <row r="45" s="3" customFormat="true" ht="12.8" hidden="false" customHeight="false" outlineLevel="0" collapsed="false">
      <c r="A45" s="3" t="s">
        <v>170</v>
      </c>
      <c r="B45" s="3" t="n">
        <f aca="false">+B33-B43</f>
        <v>1580</v>
      </c>
      <c r="C45" s="3" t="n">
        <f aca="false">+C33-C43</f>
        <v>1529</v>
      </c>
      <c r="D45" s="3" t="n">
        <f aca="false">+D33-D43</f>
        <v>1484</v>
      </c>
      <c r="E45" s="3" t="n">
        <f aca="false">+E33-E43</f>
        <v>1505</v>
      </c>
      <c r="F45" s="3" t="n">
        <f aca="false">+F33-F43</f>
        <v>1586</v>
      </c>
      <c r="G45" s="3" t="n">
        <f aca="false">+G33-G43</f>
        <v>1624</v>
      </c>
      <c r="H45" s="3" t="n">
        <f aca="false">+H33-H43</f>
        <v>1697</v>
      </c>
      <c r="I45" s="3" t="n">
        <f aca="false">+I33-I43</f>
        <v>1743</v>
      </c>
      <c r="J45" s="3" t="n">
        <f aca="false">+J33-J43</f>
        <v>907</v>
      </c>
      <c r="K45" s="3" t="n">
        <f aca="false">+K33-K43</f>
        <v>1885</v>
      </c>
      <c r="L45" s="3" t="n">
        <f aca="false">+L33-L43</f>
        <v>1992</v>
      </c>
      <c r="M45" s="3" t="n">
        <f aca="false">+M33-M43</f>
        <v>1957</v>
      </c>
      <c r="N45" s="3" t="n">
        <f aca="false">+N33-N43</f>
        <v>2163</v>
      </c>
      <c r="O45" s="3" t="n">
        <f aca="false">+O33-O43</f>
        <v>2109</v>
      </c>
      <c r="P45" s="3" t="n">
        <f aca="false">+P33-P43</f>
        <v>2173</v>
      </c>
      <c r="Q45" s="3" t="n">
        <f aca="false">+Q33-Q43</f>
        <v>2261</v>
      </c>
      <c r="R45" s="3" t="n">
        <f aca="false">+R33-R43</f>
        <v>2418</v>
      </c>
      <c r="S45" s="3" t="n">
        <f aca="false">+S33-S43</f>
        <v>2238</v>
      </c>
      <c r="T45" s="3" t="n">
        <f aca="false">+T33-T43</f>
        <v>2467.0452</v>
      </c>
      <c r="U45" s="3" t="n">
        <f aca="false">+U33-U43</f>
        <v>2547.3526</v>
      </c>
      <c r="AA45" s="3" t="n">
        <f aca="false">+AA33-AA43</f>
        <v>4236.47567609574</v>
      </c>
      <c r="AB45" s="3" t="n">
        <f aca="false">+AB33-AB43</f>
        <v>5801.11764961537</v>
      </c>
      <c r="AC45" s="3" t="n">
        <f aca="false">+AC33-AC43</f>
        <v>6097.42730694741</v>
      </c>
      <c r="AD45" s="3" t="n">
        <f aca="false">+AD33-AD43</f>
        <v>6649.53706696481</v>
      </c>
      <c r="AE45" s="3" t="n">
        <f aca="false">+AE33-AE43</f>
        <v>6740.62802488093</v>
      </c>
      <c r="AF45" s="3" t="n">
        <f aca="false">+AF33-AF43</f>
        <v>8705.43346823334</v>
      </c>
      <c r="AG45" s="3" t="n">
        <f aca="false">+AG33-AG43</f>
        <v>10218.459183281</v>
      </c>
      <c r="AH45" s="3" t="n">
        <f aca="false">+AH33-AH43</f>
        <v>11410.4126516485</v>
      </c>
      <c r="AI45" s="3" t="n">
        <f aca="false">+AI33-AI43</f>
        <v>13358.0132087955</v>
      </c>
      <c r="AJ45" s="3" t="n">
        <f aca="false">+AJ33-AJ43</f>
        <v>15490.3365919277</v>
      </c>
      <c r="AK45" s="3" t="n">
        <f aca="false">+AK33-AK43</f>
        <v>16967.9963184856</v>
      </c>
      <c r="AL45" s="3" t="n">
        <f aca="false">+AL33-AL43</f>
        <v>18391.2707615638</v>
      </c>
      <c r="AM45" s="3" t="n">
        <f aca="false">+AM33-AM43</f>
        <v>21871.7653530532</v>
      </c>
      <c r="AN45" s="3" t="n">
        <f aca="false">+AN33-AN43</f>
        <v>23190.1557476629</v>
      </c>
      <c r="AO45" s="3" t="n">
        <f aca="false">+AO33-AO43</f>
        <v>24327.2050301198</v>
      </c>
      <c r="AP45" s="3" t="n">
        <f aca="false">+AP33-AP43</f>
        <v>25246.6924947852</v>
      </c>
      <c r="AQ45" s="3" t="n">
        <f aca="false">+AQ33-AQ43</f>
        <v>25916.7112429805</v>
      </c>
    </row>
    <row r="46" s="3" customFormat="true" ht="10.5" hidden="false" customHeight="true" outlineLevel="0" collapsed="false">
      <c r="A46" s="27" t="s">
        <v>155</v>
      </c>
      <c r="B46" s="25" t="n">
        <f aca="false">+B45/B$23</f>
        <v>0.370717972782731</v>
      </c>
      <c r="C46" s="25" t="n">
        <f aca="false">+C45/C$23</f>
        <v>0.348609211126311</v>
      </c>
      <c r="D46" s="25" t="n">
        <f aca="false">+D45/D$23</f>
        <v>0.334762012181367</v>
      </c>
      <c r="E46" s="25" t="n">
        <f aca="false">+E45/E$23</f>
        <v>0.332596685082873</v>
      </c>
      <c r="F46" s="25" t="n">
        <f aca="false">+F45/F$23</f>
        <v>0.340708915145005</v>
      </c>
      <c r="G46" s="25" t="n">
        <f aca="false">+G45/G$23</f>
        <v>0.337209302325581</v>
      </c>
      <c r="H46" s="25" t="n">
        <f aca="false">+H45/H$23</f>
        <v>0.347034764826176</v>
      </c>
      <c r="I46" s="25" t="n">
        <f aca="false">+I45/I$23</f>
        <v>0.345285261489699</v>
      </c>
      <c r="J46" s="25" t="n">
        <f aca="false">+J45/J$23</f>
        <v>0.17502894635276</v>
      </c>
      <c r="K46" s="25" t="n">
        <f aca="false">+K45/K$23</f>
        <v>0.355057449613863</v>
      </c>
      <c r="L46" s="25" t="n">
        <f aca="false">+L45/L$23</f>
        <v>0.368343195266272</v>
      </c>
      <c r="M46" s="25" t="n">
        <f aca="false">+M45/M$23</f>
        <v>0.349090260435248</v>
      </c>
      <c r="N46" s="25" t="n">
        <f aca="false">+N45/N$23</f>
        <v>0.37854392719636</v>
      </c>
      <c r="O46" s="25" t="n">
        <f aca="false">+O45/O$23</f>
        <v>0.359100970543164</v>
      </c>
      <c r="P46" s="25" t="n">
        <f aca="false">+P45/P$23</f>
        <v>0.362892451569806</v>
      </c>
      <c r="Q46" s="25" t="n">
        <f aca="false">+Q45/Q$23</f>
        <v>0.365030674846626</v>
      </c>
      <c r="R46" s="25" t="n">
        <f aca="false">+R45/R$23</f>
        <v>0.377930603313536</v>
      </c>
      <c r="S46" s="25" t="n">
        <f aca="false">+S45/S$23</f>
        <v>0.338168631006346</v>
      </c>
      <c r="T46" s="25" t="n">
        <f aca="false">+T45/T$23</f>
        <v>0.371169546299807</v>
      </c>
      <c r="U46" s="25" t="n">
        <f aca="false">+U45/U$23</f>
        <v>0.3705056913549</v>
      </c>
      <c r="V46" s="28"/>
      <c r="W46" s="28"/>
      <c r="X46" s="28"/>
      <c r="Y46" s="28"/>
      <c r="Z46" s="28"/>
      <c r="AA46" s="25" t="n">
        <f aca="false">+AA45/AA$23</f>
        <v>0.329225650924444</v>
      </c>
      <c r="AB46" s="25" t="n">
        <f aca="false">+AB45/AB$23</f>
        <v>0.367508245145098</v>
      </c>
      <c r="AC46" s="25" t="n">
        <f aca="false">+AC45/AC$23</f>
        <v>0.34632666743993</v>
      </c>
      <c r="AD46" s="25" t="n">
        <f aca="false">+AD45/AD$23</f>
        <v>0.342600704156052</v>
      </c>
      <c r="AE46" s="25" t="n">
        <f aca="false">+AE45/AE$23</f>
        <v>0.313444688439011</v>
      </c>
      <c r="AF46" s="25" t="n">
        <f aca="false">+AF45/AF$23</f>
        <v>0.366251565830844</v>
      </c>
      <c r="AG46" s="25" t="n">
        <f aca="false">+AG45/AG$23</f>
        <v>0.385566804834385</v>
      </c>
      <c r="AH46" s="25" t="n">
        <f aca="false">+AH45/AH$23</f>
        <v>0.389630813003013</v>
      </c>
      <c r="AI46" s="25" t="n">
        <f aca="false">+AI45/AI$23</f>
        <v>0.416562041756889</v>
      </c>
      <c r="AJ46" s="25" t="n">
        <f aca="false">+AJ45/AJ$23</f>
        <v>0.44317186537218</v>
      </c>
      <c r="AK46" s="25" t="n">
        <f aca="false">+AK45/AK$23</f>
        <v>0.449488031855975</v>
      </c>
      <c r="AL46" s="25" t="n">
        <f aca="false">+AL45/AL$23</f>
        <v>0.455318746863064</v>
      </c>
      <c r="AM46" s="25" t="n">
        <f aca="false">+AM45/AM$23</f>
        <v>0.510836318549182</v>
      </c>
      <c r="AN46" s="25" t="n">
        <f aca="false">+AN45/AN$23</f>
        <v>0.515836768045124</v>
      </c>
      <c r="AO46" s="25" t="n">
        <f aca="false">+AO45/AO$23</f>
        <v>0.520316388808342</v>
      </c>
      <c r="AP46" s="25" t="n">
        <f aca="false">+AP45/AP$23</f>
        <v>0.524254969229539</v>
      </c>
      <c r="AQ46" s="25" t="n">
        <f aca="false">+AQ45/AQ$23</f>
        <v>0.527615789129606</v>
      </c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</row>
    <row r="47" s="3" customFormat="true" ht="12.8" hidden="false" customHeight="false" outlineLevel="0" collapsed="false">
      <c r="A47" s="3" t="s">
        <v>171</v>
      </c>
      <c r="B47" s="3" t="n">
        <v>-28</v>
      </c>
      <c r="C47" s="3" t="n">
        <v>-28</v>
      </c>
      <c r="D47" s="3" t="n">
        <v>-28</v>
      </c>
      <c r="E47" s="3" t="n">
        <v>-28</v>
      </c>
      <c r="F47" s="3" t="n">
        <v>-32</v>
      </c>
      <c r="G47" s="3" t="n">
        <v>-26</v>
      </c>
      <c r="H47" s="3" t="n">
        <v>-27</v>
      </c>
      <c r="I47" s="3" t="n">
        <v>-28</v>
      </c>
      <c r="J47" s="3" t="n">
        <v>-27</v>
      </c>
      <c r="K47" s="3" t="n">
        <v>-41</v>
      </c>
      <c r="L47" s="3" t="n">
        <v>-51</v>
      </c>
      <c r="M47" s="3" t="n">
        <v>-50</v>
      </c>
      <c r="N47" s="3" t="n">
        <v>-62</v>
      </c>
      <c r="O47" s="3" t="n">
        <v>-68</v>
      </c>
      <c r="P47" s="3" t="n">
        <v>-67</v>
      </c>
      <c r="Q47" s="3" t="n">
        <v>-66</v>
      </c>
      <c r="R47" s="3" t="n">
        <v>-63</v>
      </c>
      <c r="S47" s="3" t="n">
        <v>-65</v>
      </c>
      <c r="T47" s="3" t="n">
        <v>-62</v>
      </c>
      <c r="U47" s="3" t="n">
        <v>-60</v>
      </c>
      <c r="AA47" s="3" t="n">
        <v>-116</v>
      </c>
      <c r="AB47" s="3" t="n">
        <v>-113</v>
      </c>
      <c r="AC47" s="3" t="n">
        <v>-112</v>
      </c>
      <c r="AD47" s="3" t="n">
        <v>-113</v>
      </c>
      <c r="AE47" s="3" t="n">
        <v>-169</v>
      </c>
      <c r="AF47" s="3" t="n">
        <v>-263</v>
      </c>
      <c r="AG47" s="3" t="n">
        <f aca="false">+AF90*$AU$66-($AF$109+$AF$110)*(Bond!$C$12/100)</f>
        <v>-256.613125</v>
      </c>
      <c r="AH47" s="3" t="n">
        <f aca="false">+AG90*$AU$66-($AF$109+$AF$110)*(Bond!$C$12/100)</f>
        <v>-91.8635880675042</v>
      </c>
      <c r="AI47" s="3" t="n">
        <f aca="false">+AH90*$AU$66-($AF$109+$AF$110)*(Bond!$C$12/100)</f>
        <v>95.1531969497917</v>
      </c>
      <c r="AJ47" s="3" t="n">
        <f aca="false">+AI90*$AU$66-($AF$109+$AF$110)*(Bond!$C$12/100)</f>
        <v>317.275320592913</v>
      </c>
      <c r="AK47" s="3" t="n">
        <f aca="false">+AJ90*$AU$66-($AF$109+$AF$110)*(Bond!$C$12/100)</f>
        <v>580.62252632273</v>
      </c>
      <c r="AL47" s="3" t="n">
        <f aca="false">+AK90*$AU$66-($AF$109+$AF$110)*(Bond!$C$12/100)</f>
        <v>876.039398260827</v>
      </c>
      <c r="AM47" s="3" t="n">
        <f aca="false">+AL90*$AU$66-($AF$109+$AF$110)*(Bond!$C$12/100)</f>
        <v>1203.68200119019</v>
      </c>
      <c r="AN47" s="3" t="n">
        <f aca="false">+AM90*$AU$66-($AF$109+$AF$110)*(Bond!$C$12/100)</f>
        <v>1597.49708087713</v>
      </c>
      <c r="AO47" s="3" t="n">
        <f aca="false">+AN90*$AU$66-($AF$109+$AF$110)*(Bond!$C$12/100)</f>
        <v>2025.00848942781</v>
      </c>
      <c r="AP47" s="3" t="n">
        <f aca="false">+AO90*$AU$66-($AF$109+$AF$110)*(Bond!$C$12/100)</f>
        <v>2484.39305157141</v>
      </c>
      <c r="AQ47" s="3" t="n">
        <f aca="false">+AP90*$AU$66-($AF$109+$AF$110)*(Bond!$C$12/100)</f>
        <v>2973.18971913826</v>
      </c>
    </row>
    <row r="48" s="3" customFormat="true" ht="10.5" hidden="false" customHeight="true" outlineLevel="0" collapsed="false">
      <c r="A48" s="27" t="s">
        <v>155</v>
      </c>
      <c r="B48" s="25" t="n">
        <f aca="false">+B47/B$23</f>
        <v>-0.00656968559361802</v>
      </c>
      <c r="C48" s="25" t="n">
        <f aca="false">+C47/C$23</f>
        <v>-0.00638394892840857</v>
      </c>
      <c r="D48" s="25" t="n">
        <f aca="false">+D47/D$23</f>
        <v>-0.00631626438078051</v>
      </c>
      <c r="E48" s="25" t="n">
        <f aca="false">+E47/E$23</f>
        <v>-0.0061878453038674</v>
      </c>
      <c r="F48" s="25" t="n">
        <f aca="false">+F47/F$23</f>
        <v>-0.00687432867883996</v>
      </c>
      <c r="G48" s="25" t="n">
        <f aca="false">+G47/G$23</f>
        <v>-0.00539867109634552</v>
      </c>
      <c r="H48" s="25" t="n">
        <f aca="false">+H47/H$23</f>
        <v>-0.00552147239263804</v>
      </c>
      <c r="I48" s="25" t="n">
        <f aca="false">+I47/I$23</f>
        <v>-0.00554675118858954</v>
      </c>
      <c r="J48" s="25" t="n">
        <f aca="false">+J47/J$23</f>
        <v>-0.00521034349671941</v>
      </c>
      <c r="K48" s="25" t="n">
        <f aca="false">+K47/K$23</f>
        <v>-0.00772273497833867</v>
      </c>
      <c r="L48" s="25" t="n">
        <f aca="false">+L47/L$23</f>
        <v>-0.00943047337278107</v>
      </c>
      <c r="M48" s="25" t="n">
        <f aca="false">+M47/M$23</f>
        <v>-0.00891901534070639</v>
      </c>
      <c r="N48" s="25" t="n">
        <f aca="false">+N47/N$23</f>
        <v>-0.0108505425271264</v>
      </c>
      <c r="O48" s="25" t="n">
        <f aca="false">+O47/O$23</f>
        <v>-0.0115784096713775</v>
      </c>
      <c r="P48" s="25" t="n">
        <f aca="false">+P47/P$23</f>
        <v>-0.011189044756179</v>
      </c>
      <c r="Q48" s="25" t="n">
        <f aca="false">+Q47/Q$23</f>
        <v>-0.0106554730384243</v>
      </c>
      <c r="R48" s="25" t="n">
        <f aca="false">+R47/R$23</f>
        <v>-0.00984682713347921</v>
      </c>
      <c r="S48" s="25" t="n">
        <f aca="false">+S47/S$23</f>
        <v>-0.00982169839830765</v>
      </c>
      <c r="T48" s="25" t="n">
        <f aca="false">+T47/T$23</f>
        <v>-0.00932796523978889</v>
      </c>
      <c r="U48" s="25" t="n">
        <f aca="false">+U47/U$23</f>
        <v>-0.00872684114531063</v>
      </c>
      <c r="V48" s="28"/>
      <c r="W48" s="28"/>
      <c r="X48" s="28"/>
      <c r="Y48" s="28"/>
      <c r="Z48" s="28"/>
      <c r="AA48" s="25" t="n">
        <f aca="false">+AA47/AA$23</f>
        <v>-0.00901460988498601</v>
      </c>
      <c r="AB48" s="25" t="n">
        <f aca="false">+AB47/AB$23</f>
        <v>-0.00715869496357301</v>
      </c>
      <c r="AC48" s="25" t="n">
        <f aca="false">+AC47/AC$23</f>
        <v>-0.00636146768147223</v>
      </c>
      <c r="AD48" s="25" t="n">
        <f aca="false">+AD47/AD$23</f>
        <v>-0.00582204132103663</v>
      </c>
      <c r="AE48" s="25" t="n">
        <f aca="false">+AE47/AE$23</f>
        <v>-0.00785863752615671</v>
      </c>
      <c r="AF48" s="25" t="n">
        <f aca="false">+AF47/AF$23</f>
        <v>-0.0110648323446506</v>
      </c>
      <c r="AG48" s="25" t="n">
        <f aca="false">+AG47/AG$23</f>
        <v>-0.00968262444564056</v>
      </c>
      <c r="AH48" s="25" t="n">
        <f aca="false">+AH47/AH$23</f>
        <v>-0.00313686153137892</v>
      </c>
      <c r="AI48" s="25" t="n">
        <f aca="false">+AI47/AI$23</f>
        <v>0.00296729830862884</v>
      </c>
      <c r="AJ48" s="25" t="n">
        <f aca="false">+AJ47/AJ$23</f>
        <v>0.00907711041843924</v>
      </c>
      <c r="AK48" s="25" t="n">
        <f aca="false">+AK47/AK$23</f>
        <v>0.0153808895116109</v>
      </c>
      <c r="AL48" s="25" t="n">
        <f aca="false">+AL47/AL$23</f>
        <v>0.0216883958803115</v>
      </c>
      <c r="AM48" s="25" t="n">
        <f aca="false">+AM47/AM$23</f>
        <v>0.0281131619815076</v>
      </c>
      <c r="AN48" s="25" t="n">
        <f aca="false">+AN47/AN$23</f>
        <v>0.0355343767470913</v>
      </c>
      <c r="AO48" s="25" t="n">
        <f aca="false">+AO47/AO$23</f>
        <v>0.0433113916383235</v>
      </c>
      <c r="AP48" s="25" t="n">
        <f aca="false">+AP47/AP$23</f>
        <v>0.0515891498688265</v>
      </c>
      <c r="AQ48" s="25" t="n">
        <f aca="false">+AQ47/AQ$23</f>
        <v>0.0605285842477427</v>
      </c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</row>
    <row r="49" s="32" customFormat="true" ht="12.8" hidden="false" customHeight="false" outlineLevel="0" collapsed="false">
      <c r="A49" s="3" t="s">
        <v>172</v>
      </c>
      <c r="B49" s="3" t="n">
        <v>-9</v>
      </c>
      <c r="C49" s="3" t="n">
        <v>-8</v>
      </c>
      <c r="D49" s="3" t="n">
        <v>-6</v>
      </c>
      <c r="E49" s="3" t="n">
        <v>4</v>
      </c>
      <c r="F49" s="3" t="n">
        <v>1</v>
      </c>
      <c r="G49" s="3" t="n">
        <v>5</v>
      </c>
      <c r="H49" s="3" t="n">
        <v>6</v>
      </c>
      <c r="I49" s="3" t="n">
        <v>4</v>
      </c>
      <c r="J49" s="3" t="n">
        <v>18</v>
      </c>
      <c r="K49" s="3" t="n">
        <v>4</v>
      </c>
      <c r="L49" s="3" t="n">
        <v>12</v>
      </c>
      <c r="M49" s="3" t="n">
        <v>14</v>
      </c>
      <c r="N49" s="3" t="n">
        <v>6</v>
      </c>
      <c r="O49" s="3" t="n">
        <v>2</v>
      </c>
      <c r="P49" s="3" t="n">
        <v>23</v>
      </c>
      <c r="Q49" s="3" t="n">
        <v>12</v>
      </c>
      <c r="R49" s="3" t="n">
        <v>5</v>
      </c>
      <c r="S49" s="3" t="n">
        <v>18</v>
      </c>
      <c r="T49" s="3" t="n">
        <v>6</v>
      </c>
      <c r="U49" s="3" t="n">
        <v>6</v>
      </c>
      <c r="V49" s="3"/>
      <c r="W49" s="3"/>
      <c r="X49" s="3"/>
      <c r="Y49" s="3"/>
      <c r="Z49" s="3"/>
      <c r="AA49" s="3" t="n">
        <v>13</v>
      </c>
      <c r="AB49" s="3" t="n">
        <v>16</v>
      </c>
      <c r="AC49" s="3" t="n">
        <v>-19</v>
      </c>
      <c r="AD49" s="3" t="n">
        <v>16</v>
      </c>
      <c r="AE49" s="3" t="n">
        <v>48</v>
      </c>
      <c r="AF49" s="3" t="n">
        <v>43</v>
      </c>
      <c r="AG49" s="3" t="n">
        <v>35</v>
      </c>
      <c r="AH49" s="3" t="n">
        <v>70</v>
      </c>
      <c r="AI49" s="3" t="n">
        <v>70</v>
      </c>
      <c r="AJ49" s="3" t="n">
        <v>70</v>
      </c>
      <c r="AK49" s="3" t="n">
        <v>70</v>
      </c>
      <c r="AL49" s="3" t="n">
        <v>70</v>
      </c>
      <c r="AM49" s="3" t="n">
        <v>70</v>
      </c>
      <c r="AN49" s="3" t="n">
        <v>70</v>
      </c>
      <c r="AO49" s="3" t="n">
        <v>70</v>
      </c>
      <c r="AP49" s="3" t="n">
        <v>70</v>
      </c>
      <c r="AQ49" s="3" t="n">
        <v>70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</row>
    <row r="50" s="32" customFormat="true" ht="10.5" hidden="false" customHeight="true" outlineLevel="0" collapsed="false">
      <c r="A50" s="27" t="s">
        <v>155</v>
      </c>
      <c r="B50" s="25" t="n">
        <f aca="false">+B49/B$23</f>
        <v>-0.00211168465509151</v>
      </c>
      <c r="C50" s="25" t="n">
        <f aca="false">+C49/C$23</f>
        <v>-0.00182398540811674</v>
      </c>
      <c r="D50" s="25" t="n">
        <f aca="false">+D49/D$23</f>
        <v>-0.00135348522445297</v>
      </c>
      <c r="E50" s="25" t="n">
        <f aca="false">+E49/E$23</f>
        <v>0.000883977900552486</v>
      </c>
      <c r="F50" s="25" t="n">
        <f aca="false">+F49/F$23</f>
        <v>0.000214822771213749</v>
      </c>
      <c r="G50" s="25" t="n">
        <f aca="false">+G49/G$23</f>
        <v>0.00103820598006645</v>
      </c>
      <c r="H50" s="25" t="n">
        <f aca="false">+H49/H$23</f>
        <v>0.00122699386503068</v>
      </c>
      <c r="I50" s="25" t="n">
        <f aca="false">+I49/I$23</f>
        <v>0.000792393026941363</v>
      </c>
      <c r="J50" s="25" t="n">
        <f aca="false">+J49/J$23</f>
        <v>0.00347356233114628</v>
      </c>
      <c r="K50" s="25" t="n">
        <f aca="false">+K49/K$23</f>
        <v>0.000753437558862309</v>
      </c>
      <c r="L50" s="25" t="n">
        <f aca="false">+L49/L$23</f>
        <v>0.0022189349112426</v>
      </c>
      <c r="M50" s="25" t="n">
        <f aca="false">+M49/M$23</f>
        <v>0.00249732429539779</v>
      </c>
      <c r="N50" s="25" t="n">
        <f aca="false">+N49/N$23</f>
        <v>0.00105005250262513</v>
      </c>
      <c r="O50" s="25" t="n">
        <f aca="false">+O49/O$23</f>
        <v>0.000340541460922867</v>
      </c>
      <c r="P50" s="25" t="n">
        <f aca="false">+P49/P$23</f>
        <v>0.00384101536406146</v>
      </c>
      <c r="Q50" s="25" t="n">
        <f aca="false">+Q49/Q$23</f>
        <v>0.00193735873425896</v>
      </c>
      <c r="R50" s="25" t="n">
        <f aca="false">+R49/R$23</f>
        <v>0.000781494216942795</v>
      </c>
      <c r="S50" s="25" t="n">
        <f aca="false">+S49/S$23</f>
        <v>0.00271985494106981</v>
      </c>
      <c r="T50" s="25" t="n">
        <f aca="false">+T49/T$23</f>
        <v>0.000902706313527957</v>
      </c>
      <c r="U50" s="25" t="n">
        <f aca="false">+U49/U$23</f>
        <v>0.000872684114531063</v>
      </c>
      <c r="V50" s="28"/>
      <c r="W50" s="28"/>
      <c r="X50" s="28"/>
      <c r="Y50" s="28"/>
      <c r="Z50" s="28"/>
      <c r="AA50" s="25" t="n">
        <f aca="false">+AA49/AA$23</f>
        <v>0.00101025800435188</v>
      </c>
      <c r="AB50" s="25" t="n">
        <f aca="false">+AB49/AB$23</f>
        <v>0.00101362052581565</v>
      </c>
      <c r="AC50" s="25" t="n">
        <f aca="false">+AC49/AC$23</f>
        <v>-0.0010791775531069</v>
      </c>
      <c r="AD50" s="25" t="n">
        <f aca="false">+AD49/AD$23</f>
        <v>0.000824359833067134</v>
      </c>
      <c r="AE50" s="25" t="n">
        <f aca="false">+AE49/AE$23</f>
        <v>0.00223203906068356</v>
      </c>
      <c r="AF50" s="25" t="n">
        <f aca="false">+AF49/AF$23</f>
        <v>0.00180907905254744</v>
      </c>
      <c r="AG50" s="25" t="n">
        <f aca="false">+AG49/AG$23</f>
        <v>0.00132063336821692</v>
      </c>
      <c r="AH50" s="25" t="n">
        <f aca="false">+AH49/AH$23</f>
        <v>0.00239028663930664</v>
      </c>
      <c r="AI50" s="25" t="n">
        <f aca="false">+AI49/AI$23</f>
        <v>0.00218291017288278</v>
      </c>
      <c r="AJ50" s="25" t="n">
        <f aca="false">+AJ49/AJ$23</f>
        <v>0.00200266988337869</v>
      </c>
      <c r="AK50" s="25" t="n">
        <f aca="false">+AK49/AK$23</f>
        <v>0.00185432396609138</v>
      </c>
      <c r="AL50" s="25" t="n">
        <f aca="false">+AL49/AL$23</f>
        <v>0.00173301305242186</v>
      </c>
      <c r="AM50" s="25" t="n">
        <f aca="false">+AM49/AM$23</f>
        <v>0.00163491797398288</v>
      </c>
      <c r="AN50" s="25" t="n">
        <f aca="false">+AN49/AN$23</f>
        <v>0.00155706473712656</v>
      </c>
      <c r="AO50" s="25" t="n">
        <f aca="false">+AO49/AO$23</f>
        <v>0.00149717763185246</v>
      </c>
      <c r="AP50" s="25" t="n">
        <f aca="false">+AP49/AP$23</f>
        <v>0.00145357051636161</v>
      </c>
      <c r="AQ50" s="25" t="n">
        <f aca="false">+AQ49/AQ$23</f>
        <v>0.00142506913368785</v>
      </c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</row>
    <row r="51" s="3" customFormat="true" ht="12.8" hidden="false" customHeight="false" outlineLevel="0" collapsed="false">
      <c r="A51" s="3" t="s">
        <v>173</v>
      </c>
      <c r="B51" s="3" t="n">
        <v>0</v>
      </c>
      <c r="C51" s="3" t="n">
        <v>-1</v>
      </c>
      <c r="D51" s="3" t="n">
        <v>6</v>
      </c>
      <c r="E51" s="3" t="n">
        <v>36</v>
      </c>
      <c r="F51" s="3" t="n">
        <v>43</v>
      </c>
      <c r="G51" s="3" t="n">
        <v>47</v>
      </c>
      <c r="H51" s="3" t="n">
        <v>67</v>
      </c>
      <c r="I51" s="3" t="n">
        <v>89</v>
      </c>
      <c r="J51" s="3" t="n">
        <v>70</v>
      </c>
      <c r="K51" s="3" t="n">
        <v>82</v>
      </c>
      <c r="L51" s="3" t="n">
        <v>89</v>
      </c>
      <c r="M51" s="3" t="n">
        <v>70</v>
      </c>
      <c r="N51" s="3" t="n">
        <v>75</v>
      </c>
      <c r="O51" s="3" t="n">
        <v>58</v>
      </c>
      <c r="P51" s="3" t="n">
        <v>58</v>
      </c>
      <c r="Q51" s="3" t="n">
        <v>57</v>
      </c>
      <c r="R51" s="3" t="n">
        <v>62</v>
      </c>
      <c r="S51" s="3" t="n">
        <v>47</v>
      </c>
      <c r="T51" s="3" t="n">
        <v>50</v>
      </c>
      <c r="U51" s="3" t="n">
        <v>50</v>
      </c>
      <c r="AA51" s="3" t="n">
        <v>42</v>
      </c>
      <c r="AB51" s="3" t="n">
        <v>0</v>
      </c>
      <c r="AC51" s="3" t="n">
        <v>41</v>
      </c>
      <c r="AD51" s="3" t="n">
        <v>246</v>
      </c>
      <c r="AE51" s="3" t="n">
        <v>311</v>
      </c>
      <c r="AF51" s="3" t="n">
        <v>248</v>
      </c>
      <c r="AG51" s="3" t="n">
        <v>300</v>
      </c>
      <c r="AH51" s="3" t="n">
        <v>300</v>
      </c>
      <c r="AI51" s="3" t="n">
        <f aca="false">+AH90*$AU$66</f>
        <v>359.466321949792</v>
      </c>
      <c r="AJ51" s="3" t="n">
        <f aca="false">+AI90*$AU$66</f>
        <v>581.588445592913</v>
      </c>
      <c r="AK51" s="3" t="n">
        <f aca="false">+AJ90*$AU$66</f>
        <v>844.93565132273</v>
      </c>
      <c r="AL51" s="3" t="n">
        <f aca="false">+AK90*$AU$66</f>
        <v>1140.35252326083</v>
      </c>
      <c r="AM51" s="3" t="n">
        <f aca="false">+AL90*$AU$66</f>
        <v>1467.99512619019</v>
      </c>
      <c r="AN51" s="3" t="n">
        <f aca="false">+AM90*$AU$66</f>
        <v>1861.81020587713</v>
      </c>
      <c r="AO51" s="3" t="n">
        <f aca="false">+AN90*$AU$66</f>
        <v>2289.32161442781</v>
      </c>
      <c r="AP51" s="3" t="n">
        <f aca="false">+AO90*$AU$66</f>
        <v>2748.70617657141</v>
      </c>
      <c r="AQ51" s="3" t="n">
        <f aca="false">+AP90*$AU$66</f>
        <v>3237.50284413826</v>
      </c>
    </row>
    <row r="52" s="32" customFormat="true" ht="10.5" hidden="false" customHeight="true" outlineLevel="0" collapsed="false">
      <c r="A52" s="27" t="s">
        <v>155</v>
      </c>
      <c r="B52" s="25" t="n">
        <f aca="false">+B51/B$23</f>
        <v>0</v>
      </c>
      <c r="C52" s="25" t="n">
        <f aca="false">+C51/C$23</f>
        <v>-0.000227998176014592</v>
      </c>
      <c r="D52" s="25" t="n">
        <f aca="false">+D51/D$23</f>
        <v>0.00135348522445297</v>
      </c>
      <c r="E52" s="25" t="n">
        <f aca="false">+E51/E$23</f>
        <v>0.00795580110497238</v>
      </c>
      <c r="F52" s="25" t="n">
        <f aca="false">+F51/F$23</f>
        <v>0.00923737916219119</v>
      </c>
      <c r="G52" s="25" t="n">
        <f aca="false">+G51/G$23</f>
        <v>0.00975913621262458</v>
      </c>
      <c r="H52" s="25" t="n">
        <f aca="false">+H51/H$23</f>
        <v>0.0137014314928425</v>
      </c>
      <c r="I52" s="25" t="n">
        <f aca="false">+I51/I$23</f>
        <v>0.0176307448494453</v>
      </c>
      <c r="J52" s="25" t="n">
        <f aca="false">+J51/J$23</f>
        <v>0.0135082979544577</v>
      </c>
      <c r="K52" s="25" t="n">
        <f aca="false">+K51/K$23</f>
        <v>0.0154454699566773</v>
      </c>
      <c r="L52" s="25" t="n">
        <f aca="false">+L51/L$23</f>
        <v>0.016457100591716</v>
      </c>
      <c r="M52" s="25" t="n">
        <f aca="false">+M51/M$23</f>
        <v>0.0124866214769889</v>
      </c>
      <c r="N52" s="25" t="n">
        <f aca="false">+N51/N$23</f>
        <v>0.0131256562828141</v>
      </c>
      <c r="O52" s="25" t="n">
        <f aca="false">+O51/O$23</f>
        <v>0.00987570236676315</v>
      </c>
      <c r="P52" s="25" t="n">
        <f aca="false">+P51/P$23</f>
        <v>0.00968603874415498</v>
      </c>
      <c r="Q52" s="25" t="n">
        <f aca="false">+Q51/Q$23</f>
        <v>0.00920245398773006</v>
      </c>
      <c r="R52" s="25" t="n">
        <f aca="false">+R51/R$23</f>
        <v>0.00969052829009065</v>
      </c>
      <c r="S52" s="25" t="n">
        <f aca="false">+S51/S$23</f>
        <v>0.00710184345723784</v>
      </c>
      <c r="T52" s="25" t="n">
        <f aca="false">+T51/T$23</f>
        <v>0.00752255261273297</v>
      </c>
      <c r="U52" s="25" t="n">
        <f aca="false">+U51/U$23</f>
        <v>0.00727236762109219</v>
      </c>
      <c r="V52" s="28"/>
      <c r="W52" s="28"/>
      <c r="X52" s="28"/>
      <c r="Y52" s="28"/>
      <c r="Z52" s="28"/>
      <c r="AA52" s="25" t="n">
        <f aca="false">+AA51/AA$23</f>
        <v>0.00326391047559838</v>
      </c>
      <c r="AB52" s="25" t="n">
        <f aca="false">+AB51/AB$23</f>
        <v>0</v>
      </c>
      <c r="AC52" s="25" t="n">
        <f aca="false">+AC51/AC$23</f>
        <v>0.00232875156196751</v>
      </c>
      <c r="AD52" s="25" t="n">
        <f aca="false">+AD51/AD$23</f>
        <v>0.0126745324334072</v>
      </c>
      <c r="AE52" s="25" t="n">
        <f aca="false">+AE51/AE$23</f>
        <v>0.0144617530806789</v>
      </c>
      <c r="AF52" s="25" t="n">
        <f aca="false">+AF51/AF$23</f>
        <v>0.0104337582565527</v>
      </c>
      <c r="AG52" s="25" t="n">
        <f aca="false">+AG51/AG$23</f>
        <v>0.0113197145847165</v>
      </c>
      <c r="AH52" s="25" t="n">
        <f aca="false">+AH51/AH$23</f>
        <v>0.0102440855970285</v>
      </c>
      <c r="AI52" s="25" t="n">
        <f aca="false">+AI51/AI$23</f>
        <v>0.0112097527284708</v>
      </c>
      <c r="AJ52" s="25" t="n">
        <f aca="false">+AJ51/AJ$23</f>
        <v>0.0166389952072851</v>
      </c>
      <c r="AK52" s="25" t="n">
        <f aca="false">+AK51/AK$23</f>
        <v>0.0223826346864682</v>
      </c>
      <c r="AL52" s="25" t="n">
        <f aca="false">+AL51/AL$23</f>
        <v>0.0282320829596173</v>
      </c>
      <c r="AM52" s="25" t="n">
        <f aca="false">+AM51/AM$23</f>
        <v>0.034286451678966</v>
      </c>
      <c r="AN52" s="25" t="n">
        <f aca="false">+AN51/AN$23</f>
        <v>0.0414137002684802</v>
      </c>
      <c r="AO52" s="25" t="n">
        <f aca="false">+AO51/AO$23</f>
        <v>0.0489645873319667</v>
      </c>
      <c r="AP52" s="25" t="n">
        <f aca="false">+AP51/AP$23</f>
        <v>0.0570776893772179</v>
      </c>
      <c r="AQ52" s="25" t="n">
        <f aca="false">+AQ51/AQ$23</f>
        <v>0.0659095053344009</v>
      </c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</row>
    <row r="53" s="32" customFormat="true" ht="12.8" hidden="false" customHeight="false" outlineLevel="0" collapsed="false">
      <c r="A53" s="3" t="s">
        <v>174</v>
      </c>
      <c r="B53" s="3" t="n">
        <f aca="false">+B45+B47+B49+B51</f>
        <v>1543</v>
      </c>
      <c r="C53" s="3" t="n">
        <f aca="false">+C45+C47+C49+C51</f>
        <v>1492</v>
      </c>
      <c r="D53" s="3" t="n">
        <f aca="false">+D45+D47+D49+D51</f>
        <v>1456</v>
      </c>
      <c r="E53" s="3" t="n">
        <f aca="false">+E45+E47+E49+E51</f>
        <v>1517</v>
      </c>
      <c r="F53" s="3" t="n">
        <f aca="false">+F45+F47+F49+F51</f>
        <v>1598</v>
      </c>
      <c r="G53" s="3" t="n">
        <f aca="false">+G45+G47+G49+G51</f>
        <v>1650</v>
      </c>
      <c r="H53" s="3" t="n">
        <f aca="false">+H45+H47+H49+H51</f>
        <v>1743</v>
      </c>
      <c r="I53" s="3" t="n">
        <f aca="false">+I45+I47+I49+I51</f>
        <v>1808</v>
      </c>
      <c r="J53" s="3" t="n">
        <f aca="false">+J45+J47+J49+J51</f>
        <v>968</v>
      </c>
      <c r="K53" s="3" t="n">
        <f aca="false">+K45+K47+K49+K51</f>
        <v>1930</v>
      </c>
      <c r="L53" s="3" t="n">
        <f aca="false">+L45+L47+L49+L51</f>
        <v>2042</v>
      </c>
      <c r="M53" s="3" t="n">
        <f aca="false">+M45+M47+M49+M51</f>
        <v>1991</v>
      </c>
      <c r="N53" s="3" t="n">
        <f aca="false">+N45+N47+N49+N51</f>
        <v>2182</v>
      </c>
      <c r="O53" s="3" t="n">
        <f aca="false">+O45+O47+O49+O51</f>
        <v>2101</v>
      </c>
      <c r="P53" s="3" t="n">
        <f aca="false">+P45+P47+P49+P51</f>
        <v>2187</v>
      </c>
      <c r="Q53" s="3" t="n">
        <f aca="false">+Q45+Q47+Q49+Q51</f>
        <v>2264</v>
      </c>
      <c r="R53" s="3" t="n">
        <f aca="false">+R45+R47+R49+R51</f>
        <v>2422</v>
      </c>
      <c r="S53" s="3" t="n">
        <f aca="false">+S45+S47+S49+S51</f>
        <v>2238</v>
      </c>
      <c r="T53" s="3" t="n">
        <f aca="false">+T45+T47+T49+T51</f>
        <v>2461.0452</v>
      </c>
      <c r="U53" s="3" t="n">
        <f aca="false">+U45+U47+U49+U51</f>
        <v>2543.3526</v>
      </c>
      <c r="V53" s="3"/>
      <c r="W53" s="3"/>
      <c r="X53" s="3"/>
      <c r="Y53" s="3"/>
      <c r="Z53" s="3"/>
      <c r="AA53" s="3" t="n">
        <f aca="false">+AA45+AA47+AA49+AA51</f>
        <v>4175.47567609574</v>
      </c>
      <c r="AB53" s="3" t="n">
        <f aca="false">+AB45+AB47+AB49+AB51</f>
        <v>5704.11764961537</v>
      </c>
      <c r="AC53" s="3" t="n">
        <f aca="false">+AC45+AC47+AC49+AC51</f>
        <v>6007.42730694741</v>
      </c>
      <c r="AD53" s="3" t="n">
        <f aca="false">+AD45+AD47+AD49+AD51</f>
        <v>6798.53706696481</v>
      </c>
      <c r="AE53" s="3" t="n">
        <f aca="false">+AE45+AE47+AE49+AE51</f>
        <v>6930.62802488093</v>
      </c>
      <c r="AF53" s="3" t="n">
        <f aca="false">+AF45+AF47+AF49+AF51</f>
        <v>8733.43346823334</v>
      </c>
      <c r="AG53" s="3" t="n">
        <f aca="false">+AG45+AG47+AG49+AG51</f>
        <v>10296.846058281</v>
      </c>
      <c r="AH53" s="3" t="n">
        <f aca="false">+AH45+AH47+AH49+AH51</f>
        <v>11688.549063581</v>
      </c>
      <c r="AI53" s="3" t="n">
        <f aca="false">+AI45+AI47+AI49+AI51</f>
        <v>13882.6327276951</v>
      </c>
      <c r="AJ53" s="3" t="n">
        <f aca="false">+AJ45+AJ47+AJ49+AJ51</f>
        <v>16459.2003581136</v>
      </c>
      <c r="AK53" s="3" t="n">
        <f aca="false">+AK45+AK47+AK49+AK51</f>
        <v>18463.5544961311</v>
      </c>
      <c r="AL53" s="3" t="n">
        <f aca="false">+AL45+AL47+AL49+AL51</f>
        <v>20477.6626830854</v>
      </c>
      <c r="AM53" s="3" t="n">
        <f aca="false">+AM45+AM47+AM49+AM51</f>
        <v>24613.4424804336</v>
      </c>
      <c r="AN53" s="3" t="n">
        <f aca="false">+AN45+AN47+AN49+AN51</f>
        <v>26719.4630344172</v>
      </c>
      <c r="AO53" s="3" t="n">
        <f aca="false">+AO45+AO47+AO49+AO51</f>
        <v>28711.5351339754</v>
      </c>
      <c r="AP53" s="3" t="n">
        <f aca="false">+AP45+AP47+AP49+AP51</f>
        <v>30549.791722928</v>
      </c>
      <c r="AQ53" s="3" t="n">
        <f aca="false">+AQ45+AQ47+AQ49+AQ51</f>
        <v>32197.403806257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</row>
    <row r="54" s="3" customFormat="true" ht="10.5" hidden="false" customHeight="true" outlineLevel="0" collapsed="false">
      <c r="A54" s="27" t="s">
        <v>155</v>
      </c>
      <c r="B54" s="25" t="n">
        <f aca="false">+B53/B$23</f>
        <v>0.362036602534022</v>
      </c>
      <c r="C54" s="25" t="n">
        <f aca="false">+C53/C$23</f>
        <v>0.340173278613771</v>
      </c>
      <c r="D54" s="25" t="n">
        <f aca="false">+D53/D$23</f>
        <v>0.328445747800587</v>
      </c>
      <c r="E54" s="25" t="n">
        <f aca="false">+E53/E$23</f>
        <v>0.33524861878453</v>
      </c>
      <c r="F54" s="25" t="n">
        <f aca="false">+F53/F$23</f>
        <v>0.34328678839957</v>
      </c>
      <c r="G54" s="25" t="n">
        <f aca="false">+G53/G$23</f>
        <v>0.342607973421927</v>
      </c>
      <c r="H54" s="25" t="n">
        <f aca="false">+H53/H$23</f>
        <v>0.356441717791411</v>
      </c>
      <c r="I54" s="25" t="n">
        <f aca="false">+I53/I$23</f>
        <v>0.358161648177496</v>
      </c>
      <c r="J54" s="25" t="n">
        <f aca="false">+J53/J$23</f>
        <v>0.186800463141644</v>
      </c>
      <c r="K54" s="25" t="n">
        <f aca="false">+K53/K$23</f>
        <v>0.363533622151064</v>
      </c>
      <c r="L54" s="25" t="n">
        <f aca="false">+L53/L$23</f>
        <v>0.37758875739645</v>
      </c>
      <c r="M54" s="25" t="n">
        <f aca="false">+M53/M$23</f>
        <v>0.355155190866928</v>
      </c>
      <c r="N54" s="25" t="n">
        <f aca="false">+N53/N$23</f>
        <v>0.381869093454673</v>
      </c>
      <c r="O54" s="25" t="n">
        <f aca="false">+O53/O$23</f>
        <v>0.357738804699472</v>
      </c>
      <c r="P54" s="25" t="n">
        <f aca="false">+P53/P$23</f>
        <v>0.365230460921844</v>
      </c>
      <c r="Q54" s="25" t="n">
        <f aca="false">+Q53/Q$23</f>
        <v>0.365515014530191</v>
      </c>
      <c r="R54" s="25" t="n">
        <f aca="false">+R53/R$23</f>
        <v>0.37855579868709</v>
      </c>
      <c r="S54" s="25" t="n">
        <f aca="false">+S53/S$23</f>
        <v>0.338168631006346</v>
      </c>
      <c r="T54" s="25" t="n">
        <f aca="false">+T53/T$23</f>
        <v>0.370266839986279</v>
      </c>
      <c r="U54" s="25" t="n">
        <f aca="false">+U53/U$23</f>
        <v>0.369923901945213</v>
      </c>
      <c r="V54" s="28"/>
      <c r="W54" s="28"/>
      <c r="X54" s="28"/>
      <c r="Y54" s="28"/>
      <c r="Z54" s="28"/>
      <c r="AA54" s="25" t="n">
        <f aca="false">+AA53/AA$23</f>
        <v>0.324485209519408</v>
      </c>
      <c r="AB54" s="25" t="n">
        <f aca="false">+AB53/AB$23</f>
        <v>0.36136317070734</v>
      </c>
      <c r="AC54" s="25" t="n">
        <f aca="false">+AC53/AC$23</f>
        <v>0.341214773767318</v>
      </c>
      <c r="AD54" s="25" t="n">
        <f aca="false">+AD53/AD$23</f>
        <v>0.350277555101489</v>
      </c>
      <c r="AE54" s="25" t="n">
        <f aca="false">+AE53/AE$23</f>
        <v>0.322279843054217</v>
      </c>
      <c r="AF54" s="25" t="n">
        <f aca="false">+AF53/AF$23</f>
        <v>0.367429570795294</v>
      </c>
      <c r="AG54" s="25" t="n">
        <f aca="false">+AG53/AG$23</f>
        <v>0.388524528341678</v>
      </c>
      <c r="AH54" s="25" t="n">
        <f aca="false">+AH53/AH$23</f>
        <v>0.399128323707969</v>
      </c>
      <c r="AI54" s="25" t="n">
        <f aca="false">+AI53/AI$23</f>
        <v>0.432922002966872</v>
      </c>
      <c r="AJ54" s="25" t="n">
        <f aca="false">+AJ53/AJ$23</f>
        <v>0.470890640881283</v>
      </c>
      <c r="AK54" s="25" t="n">
        <f aca="false">+AK53/AK$23</f>
        <v>0.489105880020145</v>
      </c>
      <c r="AL54" s="25" t="n">
        <f aca="false">+AL53/AL$23</f>
        <v>0.506972238755414</v>
      </c>
      <c r="AM54" s="25" t="n">
        <f aca="false">+AM53/AM$23</f>
        <v>0.574870850183639</v>
      </c>
      <c r="AN54" s="25" t="n">
        <f aca="false">+AN53/AN$23</f>
        <v>0.594341909797822</v>
      </c>
      <c r="AO54" s="25" t="n">
        <f aca="false">+AO53/AO$23</f>
        <v>0.614089545410485</v>
      </c>
      <c r="AP54" s="25" t="n">
        <f aca="false">+AP53/AP$23</f>
        <v>0.634375378991945</v>
      </c>
      <c r="AQ54" s="25" t="n">
        <f aca="false">+AQ53/AQ$23</f>
        <v>0.655478947845437</v>
      </c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</row>
    <row r="55" s="32" customFormat="true" ht="12.8" hidden="false" customHeight="false" outlineLevel="0" collapsed="false">
      <c r="A55" s="3" t="s">
        <v>175</v>
      </c>
      <c r="B55" s="3" t="n">
        <v>277</v>
      </c>
      <c r="C55" s="3" t="n">
        <v>314</v>
      </c>
      <c r="D55" s="3" t="n">
        <v>320</v>
      </c>
      <c r="E55" s="3" t="n">
        <v>341</v>
      </c>
      <c r="F55" s="3" t="n">
        <v>351</v>
      </c>
      <c r="G55" s="3" t="n">
        <v>355</v>
      </c>
      <c r="H55" s="3" t="n">
        <v>340</v>
      </c>
      <c r="I55" s="3" t="n">
        <v>325</v>
      </c>
      <c r="J55" s="3" t="n">
        <v>348</v>
      </c>
      <c r="K55" s="3" t="n">
        <v>357</v>
      </c>
      <c r="L55" s="3" t="n">
        <v>358</v>
      </c>
      <c r="M55" s="3" t="n">
        <v>308</v>
      </c>
      <c r="N55" s="3" t="n">
        <v>371</v>
      </c>
      <c r="O55" s="3" t="n">
        <v>410</v>
      </c>
      <c r="P55" s="3" t="n">
        <v>415</v>
      </c>
      <c r="Q55" s="3" t="n">
        <v>408</v>
      </c>
      <c r="R55" s="3" t="n">
        <v>533</v>
      </c>
      <c r="S55" s="3" t="n">
        <v>526</v>
      </c>
      <c r="T55" s="3" t="n">
        <f aca="false">+T53*0.22</f>
        <v>541.429944</v>
      </c>
      <c r="U55" s="3" t="n">
        <f aca="false">+U53*0.22</f>
        <v>559.537572</v>
      </c>
      <c r="V55" s="3"/>
      <c r="W55" s="3"/>
      <c r="X55" s="3"/>
      <c r="Y55" s="3"/>
      <c r="Z55" s="3"/>
      <c r="AA55" s="3" t="n">
        <v>-1084</v>
      </c>
      <c r="AB55" s="3" t="n">
        <v>883</v>
      </c>
      <c r="AC55" s="3" t="n">
        <v>1252</v>
      </c>
      <c r="AD55" s="3" t="n">
        <v>1371</v>
      </c>
      <c r="AE55" s="3" t="n">
        <v>1371</v>
      </c>
      <c r="AF55" s="3" t="n">
        <v>1604</v>
      </c>
      <c r="AG55" s="3" t="n">
        <f aca="false">+AG53*0.2</f>
        <v>2059.3692116562</v>
      </c>
      <c r="AH55" s="3" t="n">
        <f aca="false">+AH53*0.2</f>
        <v>2337.7098127162</v>
      </c>
      <c r="AI55" s="3" t="n">
        <f aca="false">+AI53*0.2</f>
        <v>2776.52654553902</v>
      </c>
      <c r="AJ55" s="3" t="n">
        <f aca="false">+AJ53*0.2</f>
        <v>3291.84007162271</v>
      </c>
      <c r="AK55" s="3" t="n">
        <f aca="false">+AK53*0.2</f>
        <v>3692.71089922621</v>
      </c>
      <c r="AL55" s="3" t="n">
        <f aca="false">+AL53*0.2</f>
        <v>4095.53253661708</v>
      </c>
      <c r="AM55" s="3" t="n">
        <f aca="false">+AM53*0.2</f>
        <v>4922.68849608672</v>
      </c>
      <c r="AN55" s="3" t="n">
        <f aca="false">+AN53*0.2</f>
        <v>5343.89260688344</v>
      </c>
      <c r="AO55" s="3" t="n">
        <f aca="false">+AO53*0.2</f>
        <v>5742.30702679508</v>
      </c>
      <c r="AP55" s="3" t="n">
        <f aca="false">+AP53*0.2</f>
        <v>6109.9583445856</v>
      </c>
      <c r="AQ55" s="3" t="n">
        <f aca="false">+AQ53*0.2</f>
        <v>6439.48076125141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</row>
    <row r="56" s="32" customFormat="true" ht="10.5" hidden="false" customHeight="true" outlineLevel="0" collapsed="false">
      <c r="A56" s="27" t="s">
        <v>155</v>
      </c>
      <c r="B56" s="25" t="n">
        <f aca="false">+B55/B$23</f>
        <v>0.0649929610511497</v>
      </c>
      <c r="C56" s="25" t="n">
        <f aca="false">+C55/C$23</f>
        <v>0.0715914272685819</v>
      </c>
      <c r="D56" s="25" t="n">
        <f aca="false">+D55/D$23</f>
        <v>0.0721858786374915</v>
      </c>
      <c r="E56" s="25" t="n">
        <f aca="false">+E55/E$23</f>
        <v>0.0753591160220995</v>
      </c>
      <c r="F56" s="25" t="n">
        <f aca="false">+F55/F$23</f>
        <v>0.0754027926960258</v>
      </c>
      <c r="G56" s="25" t="n">
        <f aca="false">+G55/G$23</f>
        <v>0.0737126245847176</v>
      </c>
      <c r="H56" s="25" t="n">
        <f aca="false">+H55/H$23</f>
        <v>0.0695296523517383</v>
      </c>
      <c r="I56" s="25" t="n">
        <f aca="false">+I55/I$23</f>
        <v>0.0643819334389857</v>
      </c>
      <c r="J56" s="25" t="n">
        <f aca="false">+J55/J$23</f>
        <v>0.0671555384021613</v>
      </c>
      <c r="K56" s="25" t="n">
        <f aca="false">+K55/K$23</f>
        <v>0.0672443021284611</v>
      </c>
      <c r="L56" s="25" t="n">
        <f aca="false">+L55/L$23</f>
        <v>0.066198224852071</v>
      </c>
      <c r="M56" s="25" t="n">
        <f aca="false">+M55/M$23</f>
        <v>0.0549411344987513</v>
      </c>
      <c r="N56" s="25" t="n">
        <f aca="false">+N55/N$23</f>
        <v>0.0649282464123206</v>
      </c>
      <c r="O56" s="25" t="n">
        <f aca="false">+O55/O$23</f>
        <v>0.0698109994891878</v>
      </c>
      <c r="P56" s="25" t="n">
        <f aca="false">+P55/P$23</f>
        <v>0.0693052772211089</v>
      </c>
      <c r="Q56" s="25" t="n">
        <f aca="false">+Q55/Q$23</f>
        <v>0.0658701969648046</v>
      </c>
      <c r="R56" s="25" t="n">
        <f aca="false">+R55/R$23</f>
        <v>0.0833072835261019</v>
      </c>
      <c r="S56" s="25" t="n">
        <f aca="false">+S55/S$23</f>
        <v>0.0794802055001511</v>
      </c>
      <c r="T56" s="25" t="n">
        <f aca="false">+T55/T$23</f>
        <v>0.0814587047969814</v>
      </c>
      <c r="U56" s="25" t="n">
        <f aca="false">+U55/U$23</f>
        <v>0.0813832584279468</v>
      </c>
      <c r="V56" s="28"/>
      <c r="W56" s="28"/>
      <c r="X56" s="28"/>
      <c r="Y56" s="28"/>
      <c r="Z56" s="28"/>
      <c r="AA56" s="25" t="n">
        <f aca="false">+AA55/AA$23</f>
        <v>-0.0842399751321107</v>
      </c>
      <c r="AB56" s="25" t="n">
        <f aca="false">+AB55/AB$23</f>
        <v>0.0559391827684511</v>
      </c>
      <c r="AC56" s="25" t="n">
        <f aca="false">+AC55/AC$23</f>
        <v>0.0711121208678859</v>
      </c>
      <c r="AD56" s="25" t="n">
        <f aca="false">+AD55/AD$23</f>
        <v>0.07063733319594</v>
      </c>
      <c r="AE56" s="25" t="n">
        <f aca="false">+AE55/AE$23</f>
        <v>0.0637526156707742</v>
      </c>
      <c r="AF56" s="25" t="n">
        <f aca="false">+AF55/AF$23</f>
        <v>0.0674828558206067</v>
      </c>
      <c r="AG56" s="25" t="n">
        <f aca="false">+AG55/AG$23</f>
        <v>0.0777049056683357</v>
      </c>
      <c r="AH56" s="25" t="n">
        <f aca="false">+AH55/AH$23</f>
        <v>0.0798256647415938</v>
      </c>
      <c r="AI56" s="25" t="n">
        <f aca="false">+AI55/AI$23</f>
        <v>0.0865844005933743</v>
      </c>
      <c r="AJ56" s="25" t="n">
        <f aca="false">+AJ55/AJ$23</f>
        <v>0.0941781281762567</v>
      </c>
      <c r="AK56" s="25" t="n">
        <f aca="false">+AK55/AK$23</f>
        <v>0.097821176004029</v>
      </c>
      <c r="AL56" s="25" t="n">
        <f aca="false">+AL55/AL$23</f>
        <v>0.101394447751083</v>
      </c>
      <c r="AM56" s="25" t="n">
        <f aca="false">+AM55/AM$23</f>
        <v>0.114974170036728</v>
      </c>
      <c r="AN56" s="25" t="n">
        <f aca="false">+AN55/AN$23</f>
        <v>0.118868381959564</v>
      </c>
      <c r="AO56" s="25" t="n">
        <f aca="false">+AO55/AO$23</f>
        <v>0.122817909082097</v>
      </c>
      <c r="AP56" s="25" t="n">
        <f aca="false">+AP55/AP$23</f>
        <v>0.126875075798389</v>
      </c>
      <c r="AQ56" s="25" t="n">
        <f aca="false">+AQ55/AQ$23</f>
        <v>0.131095789569088</v>
      </c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</row>
    <row r="57" s="3" customFormat="true" ht="12.8" hidden="false" customHeight="false" outlineLevel="0" collapsed="false">
      <c r="A57" s="15" t="s">
        <v>176</v>
      </c>
      <c r="B57" s="15" t="n">
        <f aca="false">+B53-B55</f>
        <v>1266</v>
      </c>
      <c r="C57" s="15" t="n">
        <f aca="false">+C53-C55</f>
        <v>1178</v>
      </c>
      <c r="D57" s="15" t="n">
        <f aca="false">+D53-D55</f>
        <v>1136</v>
      </c>
      <c r="E57" s="15" t="n">
        <f aca="false">+E53-E55</f>
        <v>1176</v>
      </c>
      <c r="F57" s="15" t="n">
        <f aca="false">+F53-F55</f>
        <v>1247</v>
      </c>
      <c r="G57" s="15" t="n">
        <f aca="false">+G53-G55</f>
        <v>1295</v>
      </c>
      <c r="H57" s="15" t="n">
        <f aca="false">+H53-H55</f>
        <v>1403</v>
      </c>
      <c r="I57" s="15" t="n">
        <f aca="false">+I53-I55</f>
        <v>1483</v>
      </c>
      <c r="J57" s="15" t="n">
        <f aca="false">+J53-J55</f>
        <v>620</v>
      </c>
      <c r="K57" s="15" t="n">
        <f aca="false">+K53-K55</f>
        <v>1573</v>
      </c>
      <c r="L57" s="15" t="n">
        <f aca="false">+L53-L55</f>
        <v>1684</v>
      </c>
      <c r="M57" s="15" t="n">
        <f aca="false">+M53-M55</f>
        <v>1683</v>
      </c>
      <c r="N57" s="15" t="n">
        <f aca="false">+N53-N55</f>
        <v>1811</v>
      </c>
      <c r="O57" s="15" t="n">
        <f aca="false">+O53-O55</f>
        <v>1691</v>
      </c>
      <c r="P57" s="15" t="n">
        <f aca="false">+P53-P55</f>
        <v>1772</v>
      </c>
      <c r="Q57" s="15" t="n">
        <f aca="false">+Q53-Q55</f>
        <v>1856</v>
      </c>
      <c r="R57" s="15" t="n">
        <f aca="false">+R53-R55</f>
        <v>1889</v>
      </c>
      <c r="S57" s="15" t="n">
        <f aca="false">+S53-S55</f>
        <v>1712</v>
      </c>
      <c r="T57" s="15" t="n">
        <f aca="false">+T53-T55</f>
        <v>1919.615256</v>
      </c>
      <c r="U57" s="15" t="n">
        <f aca="false">+U53-U55</f>
        <v>1983.815028</v>
      </c>
      <c r="V57" s="15"/>
      <c r="W57" s="15"/>
      <c r="X57" s="15"/>
      <c r="Y57" s="15"/>
      <c r="Z57" s="15"/>
      <c r="AA57" s="15" t="n">
        <f aca="false">+AA53-AA55</f>
        <v>5259.47567609574</v>
      </c>
      <c r="AB57" s="15" t="n">
        <f aca="false">+AB53-AB55</f>
        <v>4821.11764961537</v>
      </c>
      <c r="AC57" s="15" t="n">
        <f aca="false">+AC53-AC55</f>
        <v>4755.42730694741</v>
      </c>
      <c r="AD57" s="15" t="n">
        <f aca="false">+AD53-AD55</f>
        <v>5427.53706696481</v>
      </c>
      <c r="AE57" s="15" t="n">
        <f aca="false">+AE53-AE55</f>
        <v>5559.62802488093</v>
      </c>
      <c r="AF57" s="15" t="n">
        <f aca="false">+AF53-AF55</f>
        <v>7129.43346823334</v>
      </c>
      <c r="AG57" s="15" t="n">
        <f aca="false">+AG53-AG55</f>
        <v>8237.47684662479</v>
      </c>
      <c r="AH57" s="15" t="n">
        <f aca="false">+AH53-AH55</f>
        <v>9350.8392508648</v>
      </c>
      <c r="AI57" s="15" t="n">
        <f aca="false">+AI53-AI55</f>
        <v>11106.1061821561</v>
      </c>
      <c r="AJ57" s="15" t="n">
        <f aca="false">+AJ53-AJ55</f>
        <v>13167.3602864909</v>
      </c>
      <c r="AK57" s="15" t="n">
        <f aca="false">+AK53-AK55</f>
        <v>14770.8435969049</v>
      </c>
      <c r="AL57" s="15" t="n">
        <f aca="false">+AL53-AL55</f>
        <v>16382.1301464683</v>
      </c>
      <c r="AM57" s="15" t="n">
        <f aca="false">+AM53-AM55</f>
        <v>19690.7539843469</v>
      </c>
      <c r="AN57" s="15" t="n">
        <f aca="false">+AN53-AN55</f>
        <v>21375.5704275338</v>
      </c>
      <c r="AO57" s="15" t="n">
        <f aca="false">+AO53-AO55</f>
        <v>22969.2281071803</v>
      </c>
      <c r="AP57" s="15" t="n">
        <f aca="false">+AP53-AP55</f>
        <v>24439.8333783424</v>
      </c>
      <c r="AQ57" s="15" t="n">
        <f aca="false">+AQ53-AQ55</f>
        <v>25757.9230450056</v>
      </c>
      <c r="AR57" s="15" t="n">
        <f aca="false">+AQ57*(1+$AU$64)</f>
        <v>25500.3438145556</v>
      </c>
      <c r="AS57" s="15" t="n">
        <f aca="false">+AR57*(1+$AU$64)</f>
        <v>25245.34037641</v>
      </c>
      <c r="AT57" s="15" t="n">
        <f aca="false">+AS57*(1+$AU$64)</f>
        <v>24992.8869726459</v>
      </c>
      <c r="AU57" s="15" t="n">
        <f aca="false">+AT57*(1+$AU$64)</f>
        <v>24742.9581029194</v>
      </c>
      <c r="AV57" s="15" t="n">
        <f aca="false">+AU57*(1+$AU$64)</f>
        <v>24495.5285218903</v>
      </c>
      <c r="AW57" s="15" t="n">
        <f aca="false">+AV57*(1+$AU$64)</f>
        <v>24250.5732366713</v>
      </c>
      <c r="AX57" s="15" t="n">
        <f aca="false">+AW57*(1+$AU$64)</f>
        <v>24008.0675043046</v>
      </c>
      <c r="AY57" s="15" t="n">
        <f aca="false">+AX57*(1+$AU$64)</f>
        <v>23767.9868292616</v>
      </c>
      <c r="AZ57" s="15" t="n">
        <f aca="false">+AY57*(1+$AU$64)</f>
        <v>23530.306960969</v>
      </c>
      <c r="BA57" s="15" t="n">
        <f aca="false">+AZ57*(1+$AU$64)</f>
        <v>23295.0038913593</v>
      </c>
      <c r="BB57" s="15" t="n">
        <f aca="false">+BA57*(1+$AU$64)</f>
        <v>23062.0538524457</v>
      </c>
      <c r="BC57" s="15" t="n">
        <f aca="false">+BB57*(1+$AU$64)</f>
        <v>22831.4333139212</v>
      </c>
      <c r="BD57" s="15" t="n">
        <f aca="false">+BC57*(1+$AU$64)</f>
        <v>22603.118980782</v>
      </c>
      <c r="BE57" s="15" t="n">
        <f aca="false">+BD57*(1+$AU$64)</f>
        <v>22377.0877909742</v>
      </c>
      <c r="BF57" s="15" t="n">
        <f aca="false">+BE57*(1+$AU$64)</f>
        <v>22153.3169130645</v>
      </c>
      <c r="BG57" s="15" t="n">
        <f aca="false">+BF57*(1+$AU$64)</f>
        <v>21931.7837439338</v>
      </c>
      <c r="BH57" s="15" t="n">
        <f aca="false">+BG57*(1+$AU$64)</f>
        <v>21712.4659064945</v>
      </c>
      <c r="BI57" s="15" t="n">
        <f aca="false">+BH57*(1+$AU$64)</f>
        <v>21495.3412474295</v>
      </c>
      <c r="BJ57" s="15" t="n">
        <f aca="false">+BI57*(1+$AU$64)</f>
        <v>21280.3878349552</v>
      </c>
      <c r="BK57" s="15" t="n">
        <f aca="false">+BJ57*(1+$AU$64)</f>
        <v>21067.5839566057</v>
      </c>
      <c r="BL57" s="15" t="n">
        <f aca="false">+BK57*(1+$AU$64)</f>
        <v>20856.9081170396</v>
      </c>
      <c r="BM57" s="15" t="n">
        <f aca="false">+BL57*(1+$AU$64)</f>
        <v>20648.3390358692</v>
      </c>
      <c r="BN57" s="15" t="n">
        <f aca="false">+BM57*(1+$AU$64)</f>
        <v>20441.8556455105</v>
      </c>
      <c r="BO57" s="15" t="n">
        <f aca="false">+BN57*(1+$AU$64)</f>
        <v>20237.4370890554</v>
      </c>
      <c r="BP57" s="15" t="n">
        <f aca="false">+BO57*(1+$AU$64)</f>
        <v>20035.0627181649</v>
      </c>
      <c r="BQ57" s="15" t="n">
        <f aca="false">+BP57*(1+$AU$64)</f>
        <v>19834.7120909832</v>
      </c>
      <c r="BR57" s="15" t="n">
        <f aca="false">+BQ57*(1+$AU$64)</f>
        <v>19636.3649700734</v>
      </c>
      <c r="BS57" s="15" t="n">
        <f aca="false">+BR57*(1+$AU$64)</f>
        <v>19440.0013203727</v>
      </c>
      <c r="BT57" s="15" t="n">
        <f aca="false">+BS57*(1+$AU$64)</f>
        <v>19245.6013071689</v>
      </c>
      <c r="BU57" s="15" t="n">
        <f aca="false">+BT57*(1+$AU$64)</f>
        <v>19053.1452940972</v>
      </c>
      <c r="BV57" s="15" t="n">
        <f aca="false">+BU57*(1+$AU$64)</f>
        <v>18862.6138411563</v>
      </c>
      <c r="BW57" s="15" t="n">
        <f aca="false">+BV57*(1+$AU$64)</f>
        <v>18673.9877027447</v>
      </c>
      <c r="BX57" s="15" t="n">
        <f aca="false">+BW57*(1+$AU$64)</f>
        <v>18487.2478257173</v>
      </c>
      <c r="BY57" s="15" t="n">
        <f aca="false">+BX57*(1+$AU$64)</f>
        <v>18302.3753474601</v>
      </c>
      <c r="BZ57" s="15" t="n">
        <f aca="false">+BY57*(1+$AU$64)</f>
        <v>18119.3515939855</v>
      </c>
      <c r="CA57" s="15" t="n">
        <f aca="false">+BZ57*(1+$AU$64)</f>
        <v>17938.1580780456</v>
      </c>
      <c r="CB57" s="15" t="n">
        <f aca="false">+CA57*(1+$AU$64)</f>
        <v>17758.7764972652</v>
      </c>
      <c r="CC57" s="15" t="n">
        <f aca="false">+CB57*(1+$AU$64)</f>
        <v>17581.1887322925</v>
      </c>
      <c r="CD57" s="15" t="n">
        <f aca="false">+CC57*(1+$AU$64)</f>
        <v>17405.3768449696</v>
      </c>
      <c r="CE57" s="15" t="n">
        <f aca="false">+CD57*(1+$AU$64)</f>
        <v>17231.3230765199</v>
      </c>
      <c r="CF57" s="15" t="n">
        <f aca="false">+CE57*(1+$AU$64)</f>
        <v>17059.0098457547</v>
      </c>
      <c r="CG57" s="15" t="n">
        <f aca="false">+CF57*(1+$AU$64)</f>
        <v>16888.4197472971</v>
      </c>
      <c r="CH57" s="15" t="n">
        <f aca="false">+CG57*(1+$AU$64)</f>
        <v>16719.5355498242</v>
      </c>
      <c r="CI57" s="15" t="n">
        <f aca="false">+CH57*(1+$AU$64)</f>
        <v>16552.3401943259</v>
      </c>
      <c r="CJ57" s="15" t="n">
        <f aca="false">+CI57*(1+$AU$64)</f>
        <v>16386.8167923827</v>
      </c>
      <c r="CK57" s="15" t="n">
        <f aca="false">+CJ57*(1+$AU$64)</f>
        <v>16222.9486244588</v>
      </c>
      <c r="CL57" s="15" t="n">
        <f aca="false">+CK57*(1+$AU$64)</f>
        <v>16060.7191382143</v>
      </c>
      <c r="CM57" s="15" t="n">
        <f aca="false">+CL57*(1+$AU$64)</f>
        <v>15900.1119468321</v>
      </c>
      <c r="CN57" s="15" t="n">
        <f aca="false">+CM57*(1+$AU$64)</f>
        <v>15741.1108273638</v>
      </c>
      <c r="CO57" s="15" t="n">
        <f aca="false">+CN57*(1+$AU$64)</f>
        <v>15583.6997190902</v>
      </c>
      <c r="CP57" s="15" t="n">
        <f aca="false">+CO57*(1+$AU$64)</f>
        <v>15427.8627218993</v>
      </c>
      <c r="CQ57" s="15" t="n">
        <f aca="false">+CP57*(1+$AU$64)</f>
        <v>15273.5840946803</v>
      </c>
      <c r="CR57" s="15" t="n">
        <f aca="false">+CQ57*(1+$AU$64)</f>
        <v>15120.8482537335</v>
      </c>
      <c r="CS57" s="15" t="n">
        <f aca="false">+CR57*(1+$AU$64)</f>
        <v>14969.6397711961</v>
      </c>
      <c r="CT57" s="15" t="n">
        <f aca="false">+CS57*(1+$AU$64)</f>
        <v>14819.9433734842</v>
      </c>
      <c r="CU57" s="15" t="n">
        <f aca="false">+CT57*(1+$AU$64)</f>
        <v>14671.7439397493</v>
      </c>
      <c r="CV57" s="15" t="n">
        <f aca="false">+CU57*(1+$AU$64)</f>
        <v>14525.0265003518</v>
      </c>
      <c r="CW57" s="15" t="n">
        <f aca="false">+CV57*(1+$AU$64)</f>
        <v>14379.7762353483</v>
      </c>
      <c r="CX57" s="15" t="n">
        <f aca="false">+CW57*(1+$AU$64)</f>
        <v>14235.9784729948</v>
      </c>
      <c r="CY57" s="15" t="n">
        <f aca="false">+CX57*(1+$AU$64)</f>
        <v>14093.6186882649</v>
      </c>
      <c r="CZ57" s="15" t="n">
        <f aca="false">+CY57*(1+$AU$64)</f>
        <v>13952.6825013822</v>
      </c>
      <c r="DA57" s="15" t="n">
        <f aca="false">+CZ57*(1+$AU$64)</f>
        <v>13813.1556763684</v>
      </c>
      <c r="DB57" s="15" t="n">
        <f aca="false">+DA57*(1+$AU$64)</f>
        <v>13675.0241196047</v>
      </c>
      <c r="DC57" s="15" t="n">
        <f aca="false">+DB57*(1+$AU$64)</f>
        <v>13538.2738784087</v>
      </c>
      <c r="DD57" s="15" t="n">
        <f aca="false">+DC57*(1+$AU$64)</f>
        <v>13402.8911396246</v>
      </c>
      <c r="DE57" s="15" t="n">
        <f aca="false">+DD57*(1+$AU$64)</f>
        <v>13268.8622282283</v>
      </c>
      <c r="DF57" s="15" t="n">
        <f aca="false">+DE57*(1+$AU$64)</f>
        <v>13136.1736059461</v>
      </c>
      <c r="DG57" s="15" t="n">
        <f aca="false">+DF57*(1+$AU$64)</f>
        <v>13004.8118698866</v>
      </c>
      <c r="DH57" s="15" t="n">
        <f aca="false">+DG57*(1+$AU$64)</f>
        <v>12874.7637511877</v>
      </c>
      <c r="DI57" s="15" t="n">
        <f aca="false">+DH57*(1+$AU$64)</f>
        <v>12746.0161136759</v>
      </c>
      <c r="DJ57" s="15" t="n">
        <f aca="false">+DI57*(1+$AU$64)</f>
        <v>12618.5559525391</v>
      </c>
      <c r="DK57" s="15" t="n">
        <f aca="false">+DJ57*(1+$AU$64)</f>
        <v>12492.3703930137</v>
      </c>
      <c r="DL57" s="15" t="n">
        <f aca="false">+DK57*(1+$AU$64)</f>
        <v>12367.4466890836</v>
      </c>
      <c r="DM57" s="15" t="n">
        <f aca="false">+DL57*(1+$AU$64)</f>
        <v>12243.7722221927</v>
      </c>
      <c r="DN57" s="15" t="n">
        <f aca="false">+DM57*(1+$AU$64)</f>
        <v>12121.3344999708</v>
      </c>
      <c r="DO57" s="15" t="n">
        <f aca="false">+DN57*(1+$AU$64)</f>
        <v>12000.1211549711</v>
      </c>
      <c r="DP57" s="15" t="n">
        <f aca="false">+DO57*(1+$AU$64)</f>
        <v>11880.1199434214</v>
      </c>
      <c r="DQ57" s="15" t="n">
        <f aca="false">+DP57*(1+$AU$64)</f>
        <v>11761.3187439872</v>
      </c>
      <c r="DR57" s="15" t="n">
        <f aca="false">+DQ57*(1+$AU$64)</f>
        <v>11643.7055565473</v>
      </c>
      <c r="DS57" s="15" t="n">
        <f aca="false">+DR57*(1+$AU$64)</f>
        <v>11527.2685009818</v>
      </c>
      <c r="DT57" s="15" t="n">
        <f aca="false">+DS57*(1+$AU$64)</f>
        <v>11411.995815972</v>
      </c>
      <c r="DU57" s="15" t="n">
        <f aca="false">+DT57*(1+$AU$64)</f>
        <v>11297.8758578123</v>
      </c>
      <c r="DV57" s="15" t="n">
        <f aca="false">+DU57*(1+$AU$64)</f>
        <v>11184.8970992342</v>
      </c>
      <c r="DW57" s="15" t="n">
        <f aca="false">+DV57*(1+$AU$64)</f>
        <v>11073.0481282418</v>
      </c>
      <c r="DX57" s="15" t="n">
        <f aca="false">+DW57*(1+$AU$64)</f>
        <v>10962.3176469594</v>
      </c>
      <c r="DY57" s="15" t="n">
        <f aca="false">+DX57*(1+$AU$64)</f>
        <v>10852.6944704898</v>
      </c>
      <c r="DZ57" s="15" t="n">
        <f aca="false">+DY57*(1+$AU$64)</f>
        <v>10744.1675257849</v>
      </c>
    </row>
    <row r="58" s="32" customFormat="true" ht="10.5" hidden="false" customHeight="true" outlineLevel="0" collapsed="false">
      <c r="A58" s="27" t="s">
        <v>155</v>
      </c>
      <c r="B58" s="25" t="n">
        <f aca="false">+B57/B$23</f>
        <v>0.297043641482872</v>
      </c>
      <c r="C58" s="25" t="n">
        <f aca="false">+C57/C$23</f>
        <v>0.268581851345189</v>
      </c>
      <c r="D58" s="25" t="n">
        <f aca="false">+D57/D$23</f>
        <v>0.256259869163095</v>
      </c>
      <c r="E58" s="25" t="n">
        <f aca="false">+E57/E$23</f>
        <v>0.259889502762431</v>
      </c>
      <c r="F58" s="25" t="n">
        <f aca="false">+F57/F$23</f>
        <v>0.267883995703545</v>
      </c>
      <c r="G58" s="25" t="n">
        <f aca="false">+G57/G$23</f>
        <v>0.268895348837209</v>
      </c>
      <c r="H58" s="25" t="n">
        <f aca="false">+H57/H$23</f>
        <v>0.286912065439673</v>
      </c>
      <c r="I58" s="25" t="n">
        <f aca="false">+I57/I$23</f>
        <v>0.29377971473851</v>
      </c>
      <c r="J58" s="25" t="n">
        <f aca="false">+J57/J$23</f>
        <v>0.119644924739483</v>
      </c>
      <c r="K58" s="25" t="n">
        <f aca="false">+K57/K$23</f>
        <v>0.296289320022603</v>
      </c>
      <c r="L58" s="25" t="n">
        <f aca="false">+L57/L$23</f>
        <v>0.311390532544379</v>
      </c>
      <c r="M58" s="25" t="n">
        <f aca="false">+M57/M$23</f>
        <v>0.300214056368177</v>
      </c>
      <c r="N58" s="25" t="n">
        <f aca="false">+N57/N$23</f>
        <v>0.316940847042352</v>
      </c>
      <c r="O58" s="25" t="n">
        <f aca="false">+O57/O$23</f>
        <v>0.287927805210284</v>
      </c>
      <c r="P58" s="25" t="n">
        <f aca="false">+P57/P$23</f>
        <v>0.295925183700735</v>
      </c>
      <c r="Q58" s="25" t="n">
        <f aca="false">+Q57/Q$23</f>
        <v>0.299644817565386</v>
      </c>
      <c r="R58" s="25" t="n">
        <f aca="false">+R57/R$23</f>
        <v>0.295248515160988</v>
      </c>
      <c r="S58" s="25" t="n">
        <f aca="false">+S57/S$23</f>
        <v>0.258688425506195</v>
      </c>
      <c r="T58" s="25" t="n">
        <f aca="false">+T57/T$23</f>
        <v>0.288808135189298</v>
      </c>
      <c r="U58" s="25" t="n">
        <f aca="false">+U57/U$23</f>
        <v>0.288540643517266</v>
      </c>
      <c r="V58" s="33"/>
      <c r="W58" s="33"/>
      <c r="X58" s="33"/>
      <c r="Y58" s="33"/>
      <c r="Z58" s="33"/>
      <c r="AA58" s="25" t="n">
        <f aca="false">+AA57/AA$23</f>
        <v>0.408725184651519</v>
      </c>
      <c r="AB58" s="25" t="n">
        <f aca="false">+AB57/AB$23</f>
        <v>0.305423987938889</v>
      </c>
      <c r="AC58" s="25" t="n">
        <f aca="false">+AC57/AC$23</f>
        <v>0.270102652899432</v>
      </c>
      <c r="AD58" s="25" t="n">
        <f aca="false">+AD57/AD$23</f>
        <v>0.279640221905549</v>
      </c>
      <c r="AE58" s="25" t="n">
        <f aca="false">+AE57/AE$23</f>
        <v>0.258527227383442</v>
      </c>
      <c r="AF58" s="25" t="n">
        <f aca="false">+AF57/AF$23</f>
        <v>0.299946714974687</v>
      </c>
      <c r="AG58" s="25" t="n">
        <f aca="false">+AG57/AG$23</f>
        <v>0.310819622673343</v>
      </c>
      <c r="AH58" s="25" t="n">
        <f aca="false">+AH57/AH$23</f>
        <v>0.319302658966375</v>
      </c>
      <c r="AI58" s="25" t="n">
        <f aca="false">+AI57/AI$23</f>
        <v>0.346337602373497</v>
      </c>
      <c r="AJ58" s="25" t="n">
        <f aca="false">+AJ57/AJ$23</f>
        <v>0.376712512705027</v>
      </c>
      <c r="AK58" s="25" t="n">
        <f aca="false">+AK57/AK$23</f>
        <v>0.391284704016116</v>
      </c>
      <c r="AL58" s="25" t="n">
        <f aca="false">+AL57/AL$23</f>
        <v>0.405577791004331</v>
      </c>
      <c r="AM58" s="25" t="n">
        <f aca="false">+AM57/AM$23</f>
        <v>0.459896680146911</v>
      </c>
      <c r="AN58" s="25" t="n">
        <f aca="false">+AN57/AN$23</f>
        <v>0.475473527838257</v>
      </c>
      <c r="AO58" s="25" t="n">
        <f aca="false">+AO57/AO$23</f>
        <v>0.491271636328388</v>
      </c>
      <c r="AP58" s="25" t="n">
        <f aca="false">+AP57/AP$23</f>
        <v>0.507500303193556</v>
      </c>
      <c r="AQ58" s="25" t="n">
        <f aca="false">+AQ57/AQ$23</f>
        <v>0.52438315827635</v>
      </c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</row>
    <row r="59" s="32" customFormat="true" ht="12.8" hidden="false" customHeight="false" outlineLevel="0" collapsed="false">
      <c r="A59" s="34" t="s">
        <v>177</v>
      </c>
      <c r="B59" s="34" t="n">
        <f aca="false">+B57/B61</f>
        <v>2.66526315789474</v>
      </c>
      <c r="C59" s="34" t="n">
        <f aca="false">+C57/C61</f>
        <v>2.49048625792812</v>
      </c>
      <c r="D59" s="34" t="n">
        <f aca="false">+D57/D61</f>
        <v>2.42217484008529</v>
      </c>
      <c r="E59" s="34" t="n">
        <f aca="false">+E57/E61</f>
        <v>2.52360515021459</v>
      </c>
      <c r="F59" s="34" t="n">
        <f aca="false">+F57/F61</f>
        <v>2.71086956521739</v>
      </c>
      <c r="G59" s="34" t="n">
        <f aca="false">+G57/G61</f>
        <v>2.82135076252723</v>
      </c>
      <c r="H59" s="34" t="n">
        <f aca="false">+H57/H61</f>
        <v>3.05664488017429</v>
      </c>
      <c r="I59" s="34" t="n">
        <f aca="false">+I57/I61</f>
        <v>3.23093681917211</v>
      </c>
      <c r="J59" s="34" t="n">
        <f aca="false">+J57/J61</f>
        <v>1.35964912280702</v>
      </c>
      <c r="K59" s="34" t="n">
        <f aca="false">+K57/K61</f>
        <v>3.48780487804878</v>
      </c>
      <c r="L59" s="34" t="n">
        <f aca="false">+L57/L61</f>
        <v>3.75892857142857</v>
      </c>
      <c r="M59" s="34" t="n">
        <f aca="false">+M57/M61</f>
        <v>3.79909706546275</v>
      </c>
      <c r="N59" s="34" t="n">
        <f aca="false">+N57/N61</f>
        <v>4.13470319634703</v>
      </c>
      <c r="O59" s="34" t="n">
        <f aca="false">+O57/O61</f>
        <v>3.94172494172494</v>
      </c>
      <c r="P59" s="34" t="n">
        <f aca="false">+P57/P61</f>
        <v>4.17924528301887</v>
      </c>
      <c r="Q59" s="34" t="n">
        <f aca="false">+Q57/Q61</f>
        <v>4.45083932853717</v>
      </c>
      <c r="R59" s="34" t="n">
        <f aca="false">+R57/R61</f>
        <v>4.59610705596107</v>
      </c>
      <c r="S59" s="34" t="n">
        <f aca="false">+S57/S61</f>
        <v>4.25870646766169</v>
      </c>
      <c r="T59" s="34" t="n">
        <f aca="false">+T57/T61</f>
        <v>4.82339629127092</v>
      </c>
      <c r="U59" s="34" t="n">
        <f aca="false">+U57/U61</f>
        <v>5.03506096697413</v>
      </c>
      <c r="V59" s="34"/>
      <c r="W59" s="34"/>
      <c r="X59" s="34"/>
      <c r="Y59" s="34"/>
      <c r="Z59" s="34"/>
      <c r="AA59" s="34" t="n">
        <f aca="false">+AA57/AA61</f>
        <v>10.8442797445273</v>
      </c>
      <c r="AB59" s="34" t="n">
        <f aca="false">+AB57/AB61</f>
        <v>10.023113616664</v>
      </c>
      <c r="AC59" s="34" t="n">
        <f aca="false">+AC57/AC61</f>
        <v>10.0964486347079</v>
      </c>
      <c r="AD59" s="34" t="n">
        <f aca="false">+AD57/AD61</f>
        <v>11.8246994922981</v>
      </c>
      <c r="AE59" s="34" t="n">
        <f aca="false">+AE57/AE61</f>
        <v>12.3547289441798</v>
      </c>
      <c r="AF59" s="34" t="n">
        <f aca="false">+AF57/AF61</f>
        <v>16.6965654993755</v>
      </c>
      <c r="AG59" s="34" t="n">
        <f aca="false">+AG57/AG61</f>
        <v>19.685219248255</v>
      </c>
      <c r="AH59" s="34" t="n">
        <f aca="false">+AH57/AH61</f>
        <v>22.8018752209628</v>
      </c>
      <c r="AI59" s="34" t="n">
        <f aca="false">+AI57/AI61</f>
        <v>27.6347614000688</v>
      </c>
      <c r="AJ59" s="34" t="n">
        <f aca="false">+AJ57/AJ61</f>
        <v>33.4323220090816</v>
      </c>
      <c r="AK59" s="34" t="n">
        <f aca="false">+AK57/AK61</f>
        <v>38.2689940243288</v>
      </c>
      <c r="AL59" s="34" t="n">
        <f aca="false">+AL57/AL61</f>
        <v>43.30978648109</v>
      </c>
      <c r="AM59" s="34" t="n">
        <f aca="false">+AM57/AM61</f>
        <v>53.1192508263486</v>
      </c>
      <c r="AN59" s="34" t="n">
        <f aca="false">+AN57/AN61</f>
        <v>58.8411609067306</v>
      </c>
      <c r="AO59" s="34" t="n">
        <f aca="false">+AO57/AO61</f>
        <v>64.5184379962476</v>
      </c>
      <c r="AP59" s="34" t="n">
        <f aca="false">+AP57/AP61</f>
        <v>70.0502369687454</v>
      </c>
      <c r="AQ59" s="34" t="n">
        <f aca="false">+AQ57/AQ61</f>
        <v>75.3348857051176</v>
      </c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</row>
    <row r="60" s="3" customFormat="true" ht="10.5" hidden="false" customHeight="true" outlineLevel="0" collapsed="false">
      <c r="A60" s="27" t="s">
        <v>155</v>
      </c>
      <c r="B60" s="35"/>
      <c r="C60" s="35"/>
      <c r="D60" s="35"/>
      <c r="E60" s="35"/>
      <c r="F60" s="25" t="n">
        <f aca="false">+F59/B59-1</f>
        <v>0.017111408750601</v>
      </c>
      <c r="G60" s="25" t="n">
        <f aca="false">+G59/C59-1</f>
        <v>0.132851367296589</v>
      </c>
      <c r="H60" s="25" t="n">
        <f aca="false">+H59/D59-1</f>
        <v>0.261942296480407</v>
      </c>
      <c r="I60" s="25" t="n">
        <f aca="false">+I59/E59-1</f>
        <v>0.280286188549494</v>
      </c>
      <c r="J60" s="25" t="n">
        <f aca="false">+J59/F59-1</f>
        <v>-0.498445391747211</v>
      </c>
      <c r="K60" s="25" t="n">
        <f aca="false">+K59/G59-1</f>
        <v>0.236218099632734</v>
      </c>
      <c r="L60" s="25" t="n">
        <f aca="false">+L59/H59-1</f>
        <v>0.229756389369718</v>
      </c>
      <c r="M60" s="25" t="n">
        <f aca="false">+M59/I59-1</f>
        <v>0.175850002054891</v>
      </c>
      <c r="N60" s="25" t="n">
        <f aca="false">+N59/J59-1</f>
        <v>2.04100751215201</v>
      </c>
      <c r="O60" s="25" t="n">
        <f aca="false">+O59/K59-1</f>
        <v>0.130144913361697</v>
      </c>
      <c r="P60" s="25" t="n">
        <f aca="false">+P59/L59-1</f>
        <v>0.111818222560839</v>
      </c>
      <c r="Q60" s="25" t="n">
        <f aca="false">+Q59/M59-1</f>
        <v>0.171551885051673</v>
      </c>
      <c r="R60" s="25" t="n">
        <f aca="false">+R59/N59-1</f>
        <v>0.11159298206016</v>
      </c>
      <c r="S60" s="25" t="n">
        <f aca="false">+S59/O59-1</f>
        <v>0.080416957200985</v>
      </c>
      <c r="T60" s="25" t="n">
        <f aca="false">+T59/P59-1</f>
        <v>0.154130941026449</v>
      </c>
      <c r="U60" s="25" t="n">
        <f aca="false">+U59/Q59-1</f>
        <v>0.131261003894511</v>
      </c>
      <c r="V60" s="35"/>
      <c r="W60" s="35"/>
      <c r="X60" s="35"/>
      <c r="Y60" s="35"/>
      <c r="Z60" s="35"/>
      <c r="AA60" s="35"/>
      <c r="AB60" s="25" t="n">
        <f aca="false">+AB59/AA59-1</f>
        <v>-0.0757234364299531</v>
      </c>
      <c r="AC60" s="25" t="n">
        <f aca="false">+AC59/AB59-1</f>
        <v>0.00731659051753963</v>
      </c>
      <c r="AD60" s="25" t="n">
        <f aca="false">+AD59/AC59-1</f>
        <v>0.171174134601061</v>
      </c>
      <c r="AE60" s="25" t="n">
        <f aca="false">+AE59/AD59-1</f>
        <v>0.0448239257350283</v>
      </c>
      <c r="AF60" s="25" t="n">
        <f aca="false">+AF59/AE59-1</f>
        <v>0.351431146309449</v>
      </c>
      <c r="AG60" s="25" t="n">
        <f aca="false">+AG59/AF59-1</f>
        <v>0.178998114851302</v>
      </c>
      <c r="AH60" s="25" t="n">
        <f aca="false">+AH59/AG59-1</f>
        <v>0.158324676672526</v>
      </c>
      <c r="AI60" s="25" t="n">
        <f aca="false">+AI59/AH59-1</f>
        <v>0.211951259809674</v>
      </c>
      <c r="AJ60" s="25" t="n">
        <f aca="false">+AJ59/AI59-1</f>
        <v>0.209792316462642</v>
      </c>
      <c r="AK60" s="25" t="n">
        <f aca="false">+AK59/AJ59-1</f>
        <v>0.144670538107803</v>
      </c>
      <c r="AL60" s="25" t="n">
        <f aca="false">+AL59/AK59-1</f>
        <v>0.131720014734554</v>
      </c>
      <c r="AM60" s="25" t="n">
        <f aca="false">+AM59/AL59-1</f>
        <v>0.226495329168654</v>
      </c>
      <c r="AN60" s="25" t="n">
        <f aca="false">+AN59/AM59-1</f>
        <v>0.10771819992506</v>
      </c>
      <c r="AO60" s="25" t="n">
        <f aca="false">+AO59/AN59-1</f>
        <v>0.0964847906130899</v>
      </c>
      <c r="AP60" s="25" t="n">
        <f aca="false">+AP59/AO59-1</f>
        <v>0.0857398155364433</v>
      </c>
      <c r="AQ60" s="25" t="n">
        <f aca="false">+AQ59/AP59-1</f>
        <v>0.0754408402462665</v>
      </c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</row>
    <row r="61" s="3" customFormat="true" ht="12.8" hidden="false" customHeight="false" outlineLevel="0" collapsed="false">
      <c r="A61" s="3" t="s">
        <v>178</v>
      </c>
      <c r="B61" s="3" t="n">
        <v>475</v>
      </c>
      <c r="C61" s="3" t="n">
        <v>473</v>
      </c>
      <c r="D61" s="3" t="n">
        <v>469</v>
      </c>
      <c r="E61" s="3" t="n">
        <v>466</v>
      </c>
      <c r="F61" s="3" t="n">
        <v>460</v>
      </c>
      <c r="G61" s="3" t="n">
        <v>459</v>
      </c>
      <c r="H61" s="3" t="n">
        <v>459</v>
      </c>
      <c r="I61" s="3" t="n">
        <v>459</v>
      </c>
      <c r="J61" s="3" t="n">
        <v>456</v>
      </c>
      <c r="K61" s="3" t="n">
        <v>451</v>
      </c>
      <c r="L61" s="3" t="n">
        <v>448</v>
      </c>
      <c r="M61" s="3" t="n">
        <v>443</v>
      </c>
      <c r="N61" s="3" t="n">
        <v>438</v>
      </c>
      <c r="O61" s="3" t="n">
        <v>429</v>
      </c>
      <c r="P61" s="3" t="n">
        <v>424</v>
      </c>
      <c r="Q61" s="3" t="n">
        <v>417</v>
      </c>
      <c r="R61" s="3" t="n">
        <v>411</v>
      </c>
      <c r="S61" s="3" t="n">
        <v>402</v>
      </c>
      <c r="T61" s="3" t="n">
        <f aca="false">+S61*0.99</f>
        <v>397.98</v>
      </c>
      <c r="U61" s="3" t="n">
        <f aca="false">+T61*0.99</f>
        <v>394.0002</v>
      </c>
      <c r="AA61" s="3" t="n">
        <v>485</v>
      </c>
      <c r="AB61" s="3" t="n">
        <v>481</v>
      </c>
      <c r="AC61" s="3" t="n">
        <v>471</v>
      </c>
      <c r="AD61" s="3" t="n">
        <v>459</v>
      </c>
      <c r="AE61" s="3" t="n">
        <v>450</v>
      </c>
      <c r="AF61" s="3" t="n">
        <v>427</v>
      </c>
      <c r="AG61" s="3" t="n">
        <f aca="false">+AF61*0.98</f>
        <v>418.46</v>
      </c>
      <c r="AH61" s="3" t="n">
        <f aca="false">+AG61*0.98</f>
        <v>410.0908</v>
      </c>
      <c r="AI61" s="3" t="n">
        <f aca="false">+AH61*0.98</f>
        <v>401.888984</v>
      </c>
      <c r="AJ61" s="3" t="n">
        <f aca="false">+AI61*0.98</f>
        <v>393.85120432</v>
      </c>
      <c r="AK61" s="3" t="n">
        <f aca="false">+AJ61*0.98</f>
        <v>385.9741802336</v>
      </c>
      <c r="AL61" s="3" t="n">
        <f aca="false">+AK61*0.98</f>
        <v>378.254696628928</v>
      </c>
      <c r="AM61" s="3" t="n">
        <f aca="false">+AL61*0.98</f>
        <v>370.689602696349</v>
      </c>
      <c r="AN61" s="3" t="n">
        <f aca="false">+AM61*0.98</f>
        <v>363.275810642422</v>
      </c>
      <c r="AO61" s="3" t="n">
        <f aca="false">+AN61*0.98</f>
        <v>356.010294429574</v>
      </c>
      <c r="AP61" s="3" t="n">
        <f aca="false">+AO61*0.98</f>
        <v>348.890088540983</v>
      </c>
      <c r="AQ61" s="3" t="n">
        <f aca="false">+AP61*0.98</f>
        <v>341.912286770163</v>
      </c>
      <c r="AR61" s="1"/>
      <c r="AS61" s="1"/>
    </row>
    <row r="62" s="3" customFormat="true" ht="10.5" hidden="false" customHeight="true" outlineLevel="0" collapsed="false">
      <c r="A62" s="27" t="s">
        <v>155</v>
      </c>
      <c r="B62" s="28"/>
      <c r="C62" s="28"/>
      <c r="D62" s="28"/>
      <c r="E62" s="28"/>
      <c r="F62" s="25" t="n">
        <f aca="false">+F61/B61-1</f>
        <v>-0.031578947368421</v>
      </c>
      <c r="G62" s="25" t="n">
        <f aca="false">+G61/C61-1</f>
        <v>-0.0295983086680761</v>
      </c>
      <c r="H62" s="25" t="n">
        <f aca="false">+H61/D61-1</f>
        <v>-0.0213219616204691</v>
      </c>
      <c r="I62" s="25" t="n">
        <f aca="false">+I61/E61-1</f>
        <v>-0.0150214592274678</v>
      </c>
      <c r="J62" s="25" t="n">
        <f aca="false">+J61/F61-1</f>
        <v>-0.00869565217391299</v>
      </c>
      <c r="K62" s="25" t="n">
        <f aca="false">+K61/G61-1</f>
        <v>-0.0174291938997821</v>
      </c>
      <c r="L62" s="25" t="n">
        <f aca="false">+L61/H61-1</f>
        <v>-0.0239651416122004</v>
      </c>
      <c r="M62" s="25" t="n">
        <f aca="false">+M61/I61-1</f>
        <v>-0.0348583877995643</v>
      </c>
      <c r="N62" s="25" t="n">
        <f aca="false">+N61/J61-1</f>
        <v>-0.0394736842105263</v>
      </c>
      <c r="O62" s="25" t="n">
        <f aca="false">+O61/K61-1</f>
        <v>-0.0487804878048781</v>
      </c>
      <c r="P62" s="25" t="n">
        <f aca="false">+P61/L61-1</f>
        <v>-0.0535714285714286</v>
      </c>
      <c r="Q62" s="25" t="n">
        <f aca="false">+Q61/M61-1</f>
        <v>-0.0586907449209932</v>
      </c>
      <c r="R62" s="25" t="n">
        <f aca="false">+R61/N61-1</f>
        <v>-0.0616438356164384</v>
      </c>
      <c r="S62" s="25" t="n">
        <f aca="false">+S61/O61-1</f>
        <v>-0.0629370629370629</v>
      </c>
      <c r="T62" s="25" t="n">
        <f aca="false">+T61/P61-1</f>
        <v>-0.0613679245283019</v>
      </c>
      <c r="U62" s="25" t="n">
        <f aca="false">+U61/Q61-1</f>
        <v>-0.0551553956834532</v>
      </c>
      <c r="V62" s="28"/>
      <c r="W62" s="28"/>
      <c r="X62" s="28"/>
      <c r="Y62" s="28"/>
      <c r="Z62" s="28"/>
      <c r="AA62" s="28"/>
      <c r="AB62" s="25" t="n">
        <f aca="false">+AB61/AA61-1</f>
        <v>-0.00824742268041234</v>
      </c>
      <c r="AC62" s="25" t="n">
        <f aca="false">+AC61/AB61-1</f>
        <v>-0.0207900207900208</v>
      </c>
      <c r="AD62" s="25" t="n">
        <f aca="false">+AD61/AC61-1</f>
        <v>-0.0254777070063694</v>
      </c>
      <c r="AE62" s="25" t="n">
        <f aca="false">+AE61/AD61-1</f>
        <v>-0.0196078431372549</v>
      </c>
      <c r="AF62" s="25" t="n">
        <f aca="false">+AF61/AE61-1</f>
        <v>-0.0511111111111111</v>
      </c>
      <c r="AG62" s="25" t="n">
        <f aca="false">+AG61/AF61-1</f>
        <v>-0.02</v>
      </c>
      <c r="AH62" s="25" t="n">
        <f aca="false">+AH61/AG61-1</f>
        <v>-0.0199999999999999</v>
      </c>
      <c r="AI62" s="25" t="n">
        <f aca="false">+AI61/AH61-1</f>
        <v>-0.02</v>
      </c>
      <c r="AJ62" s="25" t="n">
        <f aca="false">+AJ61/AI61-1</f>
        <v>-0.0199999999999999</v>
      </c>
      <c r="AK62" s="25" t="n">
        <f aca="false">+AK61/AJ61-1</f>
        <v>-0.02</v>
      </c>
      <c r="AL62" s="25" t="n">
        <f aca="false">+AL61/AK61-1</f>
        <v>-0.02</v>
      </c>
      <c r="AM62" s="25" t="n">
        <f aca="false">+AM61/AL61-1</f>
        <v>-0.0200000000000011</v>
      </c>
      <c r="AN62" s="25" t="n">
        <f aca="false">+AN61/AM61-1</f>
        <v>-0.0200000000000001</v>
      </c>
      <c r="AO62" s="25" t="n">
        <f aca="false">+AO61/AN61-1</f>
        <v>-0.0199999999999988</v>
      </c>
      <c r="AP62" s="25" t="n">
        <f aca="false">+AP61/AO61-1</f>
        <v>-0.0199999999999986</v>
      </c>
      <c r="AQ62" s="25" t="n">
        <f aca="false">+AQ61/AP61-1</f>
        <v>-0.020000000000001</v>
      </c>
      <c r="AR62" s="36"/>
      <c r="AS62" s="36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</row>
    <row r="63" s="3" customFormat="true" ht="12.8" hidden="false" customHeight="false" outlineLevel="0" collapsed="false">
      <c r="AN63" s="1"/>
      <c r="AO63" s="1"/>
      <c r="AR63" s="1"/>
      <c r="AS63" s="1"/>
      <c r="AW63" s="37" t="s">
        <v>179</v>
      </c>
      <c r="AX63" s="37"/>
    </row>
    <row r="64" s="3" customFormat="true" ht="12.8" hidden="false" customHeight="false" outlineLevel="0" collapsed="false">
      <c r="A64" s="17" t="s">
        <v>180</v>
      </c>
      <c r="B64" s="17"/>
      <c r="C64" s="17" t="n">
        <f aca="false">+C23/B23-1</f>
        <v>0.029094321914594</v>
      </c>
      <c r="D64" s="17" t="n">
        <f aca="false">+D23/C23-1</f>
        <v>0.0107159142726858</v>
      </c>
      <c r="E64" s="17" t="n">
        <f aca="false">+E23/D23-1</f>
        <v>0.0207534401082787</v>
      </c>
      <c r="F64" s="17" t="n">
        <f aca="false">+F23/E23-1</f>
        <v>0.0287292817679559</v>
      </c>
      <c r="G64" s="17" t="n">
        <f aca="false">+G23/F23-1</f>
        <v>0.0345864661654136</v>
      </c>
      <c r="H64" s="17" t="n">
        <f aca="false">+H23/G23-1</f>
        <v>0.0153654485049834</v>
      </c>
      <c r="I64" s="17" t="n">
        <f aca="false">+I23/H23-1</f>
        <v>0.0323108384458077</v>
      </c>
      <c r="J64" s="17" t="n">
        <f aca="false">+J23/I23-1</f>
        <v>0.0265451664025356</v>
      </c>
      <c r="K64" s="17" t="n">
        <f aca="false">+K23/J23-1</f>
        <v>0.0245079120030876</v>
      </c>
      <c r="L64" s="17" t="n">
        <f aca="false">+L23/K23-1</f>
        <v>0.0186475795818422</v>
      </c>
      <c r="M64" s="17" t="n">
        <f aca="false">+M23/L23-1</f>
        <v>0.036612426035503</v>
      </c>
      <c r="N64" s="17" t="n">
        <f aca="false">+N23/M23-1</f>
        <v>0.0192650731359258</v>
      </c>
      <c r="O64" s="17" t="n">
        <f aca="false">+O23/N23-1</f>
        <v>0.027826391319566</v>
      </c>
      <c r="P64" s="17" t="n">
        <f aca="false">+P23/O23-1</f>
        <v>0.0195811340030649</v>
      </c>
      <c r="Q64" s="17" t="n">
        <f aca="false">+Q23/P23-1</f>
        <v>0.0344021376085504</v>
      </c>
      <c r="R64" s="17" t="n">
        <f aca="false">+R23/Q23-1</f>
        <v>0.0329350984824024</v>
      </c>
      <c r="S64" s="17" t="n">
        <f aca="false">+S23/R23-1</f>
        <v>0.034385745545483</v>
      </c>
      <c r="T64" s="17" t="n">
        <f aca="false">+T23/S23-1</f>
        <v>0.00433363553943789</v>
      </c>
      <c r="U64" s="17" t="n">
        <f aca="false">+U23/T23-1</f>
        <v>0.0344021376085506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9"/>
      <c r="AO64" s="19"/>
      <c r="AP64" s="17"/>
      <c r="AQ64" s="17"/>
      <c r="AR64" s="1"/>
      <c r="AS64" s="1"/>
      <c r="AT64" s="38" t="s">
        <v>181</v>
      </c>
      <c r="AU64" s="39" t="n">
        <v>-0.01</v>
      </c>
      <c r="AV64" s="40"/>
      <c r="AW64" s="41" t="s">
        <v>182</v>
      </c>
      <c r="AX64" s="41" t="n">
        <f aca="false">+SUM(P166:S166)/SUM(P57:S57)</f>
        <v>1.21510582376539</v>
      </c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</row>
    <row r="65" s="3" customFormat="true" ht="12.8" hidden="false" customHeight="false" outlineLevel="0" collapsed="false">
      <c r="A65" s="17" t="s">
        <v>163</v>
      </c>
      <c r="B65" s="17" t="n">
        <f aca="false">+B33/B23</f>
        <v>0.870014077897701</v>
      </c>
      <c r="C65" s="17" t="n">
        <f aca="false">+C33/C23</f>
        <v>0.867533059735522</v>
      </c>
      <c r="D65" s="17" t="n">
        <f aca="false">+D33/D23</f>
        <v>0.867132867132867</v>
      </c>
      <c r="E65" s="17" t="n">
        <f aca="false">+E33/E23</f>
        <v>0.865193370165746</v>
      </c>
      <c r="F65" s="17" t="n">
        <f aca="false">+F33/F23</f>
        <v>0.868958109559613</v>
      </c>
      <c r="G65" s="17" t="n">
        <f aca="false">+G33/G23</f>
        <v>0.872508305647841</v>
      </c>
      <c r="H65" s="17" t="n">
        <f aca="false">+H33/H23</f>
        <v>0.87280163599182</v>
      </c>
      <c r="I65" s="17" t="n">
        <f aca="false">+I33/I23</f>
        <v>0.86608557844691</v>
      </c>
      <c r="J65" s="17" t="n">
        <f aca="false">+J33/J23</f>
        <v>0.878039367039753</v>
      </c>
      <c r="K65" s="17" t="n">
        <f aca="false">+K33/K23</f>
        <v>0.879449990582031</v>
      </c>
      <c r="L65" s="17" t="n">
        <f aca="false">+L33/L23</f>
        <v>0.88960798816568</v>
      </c>
      <c r="M65" s="17" t="n">
        <f aca="false">+M33/M23</f>
        <v>0.882625758116304</v>
      </c>
      <c r="N65" s="17" t="n">
        <f aca="false">+N33/N23</f>
        <v>0.883969198459923</v>
      </c>
      <c r="O65" s="17" t="n">
        <f aca="false">+O33/O23</f>
        <v>0.884386174016687</v>
      </c>
      <c r="P65" s="17" t="n">
        <f aca="false">+P33/P23</f>
        <v>0.886439545758183</v>
      </c>
      <c r="Q65" s="17" t="n">
        <f aca="false">+Q33/Q23</f>
        <v>0.889247659024863</v>
      </c>
      <c r="R65" s="17" t="n">
        <f aca="false">+R33/R23</f>
        <v>0.890747108471397</v>
      </c>
      <c r="S65" s="17" t="n">
        <f aca="false">+S33/S23</f>
        <v>0.886370504684195</v>
      </c>
      <c r="T65" s="17" t="n">
        <f aca="false">+T33/T23</f>
        <v>0.89</v>
      </c>
      <c r="U65" s="17" t="n">
        <f aca="false">+U33/U23</f>
        <v>0.89</v>
      </c>
      <c r="V65" s="17"/>
      <c r="W65" s="17"/>
      <c r="X65" s="17"/>
      <c r="Y65" s="17"/>
      <c r="Z65" s="17"/>
      <c r="AA65" s="17" t="n">
        <f aca="false">+AA33/AA23</f>
        <v>0.853590301523158</v>
      </c>
      <c r="AB65" s="17" t="n">
        <f aca="false">+AB33/AB23</f>
        <v>0.870929429135822</v>
      </c>
      <c r="AC65" s="17" t="n">
        <f aca="false">+AC33/AC23</f>
        <v>0.867428625429349</v>
      </c>
      <c r="AD65" s="17" t="n">
        <f aca="false">+AD33/AD23</f>
        <v>0.870063604651991</v>
      </c>
      <c r="AE65" s="17" t="n">
        <f aca="false">+AE33/AE23</f>
        <v>0.882499444525699</v>
      </c>
      <c r="AF65" s="17" t="n">
        <f aca="false">+AF33/AF23</f>
        <v>0.886068124991537</v>
      </c>
      <c r="AG65" s="17" t="n">
        <f aca="false">+AG33/AG23</f>
        <v>0.8885</v>
      </c>
      <c r="AH65" s="17" t="n">
        <f aca="false">+AH33/AH23</f>
        <v>0.89</v>
      </c>
      <c r="AI65" s="17" t="n">
        <f aca="false">+AI33/AI23</f>
        <v>0.895</v>
      </c>
      <c r="AJ65" s="17" t="n">
        <f aca="false">+AJ33/AJ23</f>
        <v>0.9</v>
      </c>
      <c r="AK65" s="17" t="n">
        <f aca="false">+AK33/AK23</f>
        <v>0.905</v>
      </c>
      <c r="AL65" s="17" t="n">
        <f aca="false">+AL33/AL23</f>
        <v>0.91</v>
      </c>
      <c r="AM65" s="17" t="n">
        <f aca="false">+AM33/AM23</f>
        <v>0.915</v>
      </c>
      <c r="AN65" s="17" t="n">
        <f aca="false">+AN33/AN23</f>
        <v>0.92</v>
      </c>
      <c r="AO65" s="17" t="n">
        <f aca="false">+AO33/AO23</f>
        <v>0.925</v>
      </c>
      <c r="AP65" s="17" t="n">
        <f aca="false">+AP33/AP23</f>
        <v>0.93</v>
      </c>
      <c r="AQ65" s="17" t="n">
        <f aca="false">+AQ33/AQ23</f>
        <v>0.935</v>
      </c>
      <c r="AR65" s="1"/>
      <c r="AS65" s="1"/>
      <c r="AT65" s="42" t="s">
        <v>183</v>
      </c>
      <c r="AU65" s="43" t="n">
        <f aca="false">+Main!H10</f>
        <v>0.126330211995218</v>
      </c>
      <c r="AV65" s="17"/>
      <c r="AW65" s="41" t="s">
        <v>184</v>
      </c>
      <c r="AX65" s="41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</row>
    <row r="66" s="3" customFormat="true" ht="12.8" hidden="false" customHeight="false" outlineLevel="0" collapsed="false">
      <c r="A66" s="17" t="s">
        <v>185</v>
      </c>
      <c r="B66" s="17" t="n">
        <f aca="false">+B45/B23</f>
        <v>0.370717972782731</v>
      </c>
      <c r="C66" s="17" t="n">
        <f aca="false">+C45/C23</f>
        <v>0.348609211126311</v>
      </c>
      <c r="D66" s="17" t="n">
        <f aca="false">+D45/D23</f>
        <v>0.334762012181367</v>
      </c>
      <c r="E66" s="17" t="n">
        <f aca="false">+E45/E23</f>
        <v>0.332596685082873</v>
      </c>
      <c r="F66" s="17" t="n">
        <f aca="false">+F45/F23</f>
        <v>0.340708915145005</v>
      </c>
      <c r="G66" s="17" t="n">
        <f aca="false">+G45/G23</f>
        <v>0.337209302325581</v>
      </c>
      <c r="H66" s="17" t="n">
        <f aca="false">+H45/H23</f>
        <v>0.347034764826176</v>
      </c>
      <c r="I66" s="17" t="n">
        <f aca="false">+I45/I23</f>
        <v>0.345285261489699</v>
      </c>
      <c r="J66" s="17" t="n">
        <f aca="false">+J45/J23</f>
        <v>0.17502894635276</v>
      </c>
      <c r="K66" s="17" t="n">
        <f aca="false">+K45/K23</f>
        <v>0.355057449613863</v>
      </c>
      <c r="L66" s="17" t="n">
        <f aca="false">+L45/L23</f>
        <v>0.368343195266272</v>
      </c>
      <c r="M66" s="17" t="n">
        <f aca="false">+M45/M23</f>
        <v>0.349090260435248</v>
      </c>
      <c r="N66" s="17" t="n">
        <f aca="false">+N45/N23</f>
        <v>0.37854392719636</v>
      </c>
      <c r="O66" s="17" t="n">
        <f aca="false">+O45/O23</f>
        <v>0.359100970543164</v>
      </c>
      <c r="P66" s="17" t="n">
        <f aca="false">+P45/P23</f>
        <v>0.362892451569806</v>
      </c>
      <c r="Q66" s="17" t="n">
        <f aca="false">+Q45/Q23</f>
        <v>0.365030674846626</v>
      </c>
      <c r="R66" s="17" t="n">
        <f aca="false">+R45/R23</f>
        <v>0.377930603313536</v>
      </c>
      <c r="S66" s="17" t="n">
        <f aca="false">+S45/S23</f>
        <v>0.338168631006346</v>
      </c>
      <c r="T66" s="17" t="n">
        <f aca="false">+T45/T23</f>
        <v>0.371169546299807</v>
      </c>
      <c r="U66" s="17" t="n">
        <f aca="false">+U45/U23</f>
        <v>0.3705056913549</v>
      </c>
      <c r="V66" s="17"/>
      <c r="W66" s="17"/>
      <c r="X66" s="17"/>
      <c r="Y66" s="17"/>
      <c r="Z66" s="17"/>
      <c r="AA66" s="17" t="n">
        <f aca="false">+AA45/AA23</f>
        <v>0.329225650924444</v>
      </c>
      <c r="AB66" s="17" t="n">
        <f aca="false">+AB45/AB23</f>
        <v>0.367508245145098</v>
      </c>
      <c r="AC66" s="17" t="n">
        <f aca="false">+AC45/AC23</f>
        <v>0.34632666743993</v>
      </c>
      <c r="AD66" s="17" t="n">
        <f aca="false">+AD45/AD23</f>
        <v>0.342600704156052</v>
      </c>
      <c r="AE66" s="17" t="n">
        <f aca="false">+AE45/AE23</f>
        <v>0.313444688439011</v>
      </c>
      <c r="AF66" s="17" t="n">
        <f aca="false">+AF45/AF23</f>
        <v>0.366251565830844</v>
      </c>
      <c r="AG66" s="17" t="n">
        <f aca="false">+AG45/AG23</f>
        <v>0.385566804834385</v>
      </c>
      <c r="AH66" s="17" t="n">
        <f aca="false">+AH45/AH23</f>
        <v>0.389630813003013</v>
      </c>
      <c r="AI66" s="17" t="n">
        <f aca="false">+AI45/AI23</f>
        <v>0.416562041756889</v>
      </c>
      <c r="AJ66" s="17" t="n">
        <f aca="false">+AJ45/AJ23</f>
        <v>0.44317186537218</v>
      </c>
      <c r="AK66" s="17" t="n">
        <f aca="false">+AK45/AK23</f>
        <v>0.449488031855975</v>
      </c>
      <c r="AL66" s="17" t="n">
        <f aca="false">+AL45/AL23</f>
        <v>0.455318746863064</v>
      </c>
      <c r="AM66" s="17" t="n">
        <f aca="false">+AM45/AM23</f>
        <v>0.510836318549182</v>
      </c>
      <c r="AN66" s="17" t="n">
        <f aca="false">+AN45/AN23</f>
        <v>0.515836768045124</v>
      </c>
      <c r="AO66" s="17" t="n">
        <f aca="false">+AO45/AO23</f>
        <v>0.520316388808342</v>
      </c>
      <c r="AP66" s="17" t="n">
        <f aca="false">+AP45/AP23</f>
        <v>0.524254969229539</v>
      </c>
      <c r="AQ66" s="17" t="n">
        <f aca="false">+AQ45/AQ23</f>
        <v>0.527615789129606</v>
      </c>
      <c r="AR66" s="1"/>
      <c r="AS66" s="1"/>
      <c r="AT66" s="44" t="s">
        <v>186</v>
      </c>
      <c r="AU66" s="45" t="n">
        <v>0.02</v>
      </c>
      <c r="AV66" s="17"/>
      <c r="AW66" s="41" t="s">
        <v>187</v>
      </c>
      <c r="AX66" s="41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</row>
    <row r="67" s="3" customFormat="true" ht="12.8" hidden="false" customHeight="false" outlineLevel="0" collapsed="false">
      <c r="A67" s="17" t="s">
        <v>188</v>
      </c>
      <c r="B67" s="17" t="n">
        <f aca="false">+B57/B23</f>
        <v>0.297043641482872</v>
      </c>
      <c r="C67" s="17" t="n">
        <f aca="false">+C57/C23</f>
        <v>0.268581851345189</v>
      </c>
      <c r="D67" s="17" t="n">
        <f aca="false">+D57/D23</f>
        <v>0.256259869163095</v>
      </c>
      <c r="E67" s="17" t="n">
        <f aca="false">+E57/E23</f>
        <v>0.259889502762431</v>
      </c>
      <c r="F67" s="17" t="n">
        <f aca="false">+F57/F23</f>
        <v>0.267883995703545</v>
      </c>
      <c r="G67" s="17" t="n">
        <f aca="false">+G57/G23</f>
        <v>0.268895348837209</v>
      </c>
      <c r="H67" s="17" t="n">
        <f aca="false">+H57/H23</f>
        <v>0.286912065439673</v>
      </c>
      <c r="I67" s="17" t="n">
        <f aca="false">+I57/I23</f>
        <v>0.29377971473851</v>
      </c>
      <c r="J67" s="17" t="n">
        <f aca="false">+J57/J23</f>
        <v>0.119644924739483</v>
      </c>
      <c r="K67" s="17" t="n">
        <f aca="false">+K57/K23</f>
        <v>0.296289320022603</v>
      </c>
      <c r="L67" s="17" t="n">
        <f aca="false">+L57/L23</f>
        <v>0.311390532544379</v>
      </c>
      <c r="M67" s="17" t="n">
        <f aca="false">+M57/M23</f>
        <v>0.300214056368177</v>
      </c>
      <c r="N67" s="17" t="n">
        <f aca="false">+N57/N23</f>
        <v>0.316940847042352</v>
      </c>
      <c r="O67" s="17" t="n">
        <f aca="false">+O57/O23</f>
        <v>0.287927805210284</v>
      </c>
      <c r="P67" s="17" t="n">
        <f aca="false">+P57/P23</f>
        <v>0.295925183700735</v>
      </c>
      <c r="Q67" s="17" t="n">
        <f aca="false">+Q57/Q23</f>
        <v>0.299644817565386</v>
      </c>
      <c r="R67" s="17" t="n">
        <f aca="false">+R57/R23</f>
        <v>0.295248515160988</v>
      </c>
      <c r="S67" s="17" t="n">
        <f aca="false">+S57/S23</f>
        <v>0.258688425506195</v>
      </c>
      <c r="T67" s="17" t="n">
        <f aca="false">+T57/T23</f>
        <v>0.288808135189298</v>
      </c>
      <c r="U67" s="17" t="n">
        <f aca="false">+U57/U23</f>
        <v>0.288540643517266</v>
      </c>
      <c r="V67" s="17"/>
      <c r="W67" s="17"/>
      <c r="X67" s="17"/>
      <c r="Y67" s="17"/>
      <c r="Z67" s="17"/>
      <c r="AA67" s="17" t="n">
        <f aca="false">+AA57/AA23</f>
        <v>0.408725184651519</v>
      </c>
      <c r="AB67" s="17" t="n">
        <f aca="false">+AB57/AB23</f>
        <v>0.305423987938889</v>
      </c>
      <c r="AC67" s="17" t="n">
        <f aca="false">+AC57/AC23</f>
        <v>0.270102652899432</v>
      </c>
      <c r="AD67" s="17" t="n">
        <f aca="false">+AD57/AD23</f>
        <v>0.279640221905549</v>
      </c>
      <c r="AE67" s="17" t="n">
        <f aca="false">+AE57/AE23</f>
        <v>0.258527227383442</v>
      </c>
      <c r="AF67" s="17" t="n">
        <f aca="false">+AF57/AF23</f>
        <v>0.299946714974687</v>
      </c>
      <c r="AG67" s="17" t="n">
        <f aca="false">+AG57/AG23</f>
        <v>0.310819622673343</v>
      </c>
      <c r="AH67" s="17" t="n">
        <f aca="false">+AH57/AH23</f>
        <v>0.319302658966375</v>
      </c>
      <c r="AI67" s="17" t="n">
        <f aca="false">+AI57/AI23</f>
        <v>0.346337602373497</v>
      </c>
      <c r="AJ67" s="17" t="n">
        <f aca="false">+AJ57/AJ23</f>
        <v>0.376712512705027</v>
      </c>
      <c r="AK67" s="17" t="n">
        <f aca="false">+AK57/AK23</f>
        <v>0.391284704016116</v>
      </c>
      <c r="AL67" s="17" t="n">
        <f aca="false">+AL57/AL23</f>
        <v>0.405577791004331</v>
      </c>
      <c r="AM67" s="17" t="n">
        <f aca="false">+AM57/AM23</f>
        <v>0.459896680146911</v>
      </c>
      <c r="AN67" s="17" t="n">
        <f aca="false">+AN57/AN23</f>
        <v>0.475473527838257</v>
      </c>
      <c r="AO67" s="17" t="n">
        <f aca="false">+AO57/AO23</f>
        <v>0.491271636328388</v>
      </c>
      <c r="AP67" s="17" t="n">
        <f aca="false">+AP57/AP23</f>
        <v>0.507500303193556</v>
      </c>
      <c r="AQ67" s="17" t="n">
        <f aca="false">+AQ57/AQ23</f>
        <v>0.52438315827635</v>
      </c>
      <c r="AR67" s="1"/>
      <c r="AS67" s="1"/>
      <c r="AT67" s="46" t="s">
        <v>189</v>
      </c>
      <c r="AU67" s="47" t="n">
        <f aca="false">NPV(AU65,AG57:DZ57)</f>
        <v>136435.383969097</v>
      </c>
      <c r="AV67" s="17"/>
      <c r="AW67" s="41" t="s">
        <v>190</v>
      </c>
      <c r="AX67" s="41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</row>
    <row r="68" s="3" customFormat="true" ht="12.8" hidden="false" customHeight="false" outlineLevel="0" collapsed="false">
      <c r="A68" s="17" t="s">
        <v>191</v>
      </c>
      <c r="B68" s="17" t="n">
        <f aca="false">+B55/B53</f>
        <v>0.17952041477641</v>
      </c>
      <c r="C68" s="17" t="n">
        <f aca="false">+C55/C53</f>
        <v>0.210455764075067</v>
      </c>
      <c r="D68" s="17" t="n">
        <f aca="false">+D55/D53</f>
        <v>0.21978021978022</v>
      </c>
      <c r="E68" s="17" t="n">
        <f aca="false">+E55/E53</f>
        <v>0.224785761371127</v>
      </c>
      <c r="F68" s="17" t="n">
        <f aca="false">+F55/F53</f>
        <v>0.219649561952441</v>
      </c>
      <c r="G68" s="17" t="n">
        <f aca="false">+G55/G53</f>
        <v>0.215151515151515</v>
      </c>
      <c r="H68" s="17" t="n">
        <f aca="false">+H55/H53</f>
        <v>0.195065978198508</v>
      </c>
      <c r="I68" s="17" t="n">
        <f aca="false">+I55/I53</f>
        <v>0.179756637168142</v>
      </c>
      <c r="J68" s="17" t="n">
        <f aca="false">+J55/J53</f>
        <v>0.359504132231405</v>
      </c>
      <c r="K68" s="17" t="n">
        <f aca="false">+K55/K53</f>
        <v>0.184974093264249</v>
      </c>
      <c r="L68" s="17" t="n">
        <f aca="false">+L55/L53</f>
        <v>0.175318315377081</v>
      </c>
      <c r="M68" s="17" t="n">
        <f aca="false">+M55/M53</f>
        <v>0.154696132596685</v>
      </c>
      <c r="N68" s="17" t="n">
        <f aca="false">+N55/N53</f>
        <v>0.170027497708524</v>
      </c>
      <c r="O68" s="17" t="n">
        <f aca="false">+O55/O53</f>
        <v>0.195145168967159</v>
      </c>
      <c r="P68" s="17" t="n">
        <f aca="false">+P55/P53</f>
        <v>0.189757658893461</v>
      </c>
      <c r="Q68" s="17" t="n">
        <f aca="false">+Q55/Q53</f>
        <v>0.180212014134276</v>
      </c>
      <c r="R68" s="17" t="n">
        <f aca="false">+R55/R53</f>
        <v>0.220066061106524</v>
      </c>
      <c r="S68" s="17" t="n">
        <f aca="false">+S55/S53</f>
        <v>0.23503127792672</v>
      </c>
      <c r="T68" s="17" t="n">
        <f aca="false">+T55/T53</f>
        <v>0.22</v>
      </c>
      <c r="U68" s="17" t="n">
        <f aca="false">+U55/U53</f>
        <v>0.22</v>
      </c>
      <c r="V68" s="17"/>
      <c r="W68" s="17"/>
      <c r="X68" s="17"/>
      <c r="Y68" s="17"/>
      <c r="Z68" s="17"/>
      <c r="AA68" s="17" t="n">
        <f aca="false">+AA55/AA53</f>
        <v>-0.259611139924922</v>
      </c>
      <c r="AB68" s="17" t="n">
        <f aca="false">+AB55/AB53</f>
        <v>0.154800453679202</v>
      </c>
      <c r="AC68" s="17" t="n">
        <f aca="false">+AC55/AC53</f>
        <v>0.208408680792875</v>
      </c>
      <c r="AD68" s="17" t="n">
        <f aca="false">+AD55/AD53</f>
        <v>0.201661031850795</v>
      </c>
      <c r="AE68" s="17" t="n">
        <f aca="false">+AE55/AE53</f>
        <v>0.19781757079995</v>
      </c>
      <c r="AF68" s="17" t="n">
        <f aca="false">+AF55/AF53</f>
        <v>0.183662016300271</v>
      </c>
      <c r="AG68" s="17" t="n">
        <f aca="false">+AG55/AG53</f>
        <v>0.2</v>
      </c>
      <c r="AH68" s="17" t="n">
        <f aca="false">+AH55/AH53</f>
        <v>0.2</v>
      </c>
      <c r="AI68" s="17" t="n">
        <f aca="false">+AI55/AI53</f>
        <v>0.2</v>
      </c>
      <c r="AJ68" s="17" t="n">
        <f aca="false">+AJ55/AJ53</f>
        <v>0.2</v>
      </c>
      <c r="AK68" s="17" t="n">
        <f aca="false">+AK55/AK53</f>
        <v>0.2</v>
      </c>
      <c r="AL68" s="17" t="n">
        <f aca="false">+AL55/AL53</f>
        <v>0.2</v>
      </c>
      <c r="AM68" s="17" t="n">
        <f aca="false">+AM55/AM53</f>
        <v>0.2</v>
      </c>
      <c r="AN68" s="17" t="n">
        <f aca="false">+AN55/AN53</f>
        <v>0.2</v>
      </c>
      <c r="AO68" s="17" t="n">
        <f aca="false">+AO55/AO53</f>
        <v>0.2</v>
      </c>
      <c r="AP68" s="17" t="n">
        <f aca="false">+AP55/AP53</f>
        <v>0.2</v>
      </c>
      <c r="AQ68" s="17" t="n">
        <f aca="false">+AQ55/AQ53</f>
        <v>0.2</v>
      </c>
      <c r="AR68" s="1"/>
      <c r="AS68" s="1"/>
      <c r="AT68" s="44" t="s">
        <v>2</v>
      </c>
      <c r="AU68" s="48" t="n">
        <f aca="false">+AU67/Main!F1</f>
        <v>492.546512523816</v>
      </c>
      <c r="AV68" s="17"/>
      <c r="AW68" s="41"/>
      <c r="AX68" s="41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</row>
    <row r="69" s="3" customFormat="true" ht="12.8" hidden="false" customHeight="false" outlineLevel="0" collapsed="false">
      <c r="A69" s="40" t="s">
        <v>192</v>
      </c>
      <c r="B69" s="40"/>
      <c r="C69" s="40"/>
      <c r="D69" s="40"/>
      <c r="E69" s="40"/>
      <c r="F69" s="40" t="n">
        <f aca="false">+F66+F24</f>
        <v>0.432919145084001</v>
      </c>
      <c r="G69" s="40" t="n">
        <f aca="false">+G66+G24</f>
        <v>0.435248518011856</v>
      </c>
      <c r="H69" s="40" t="n">
        <f aca="false">+H66+H24</f>
        <v>0.450125222755343</v>
      </c>
      <c r="I69" s="40" t="n">
        <f aca="false">+I66+I24</f>
        <v>0.460865371986937</v>
      </c>
      <c r="J69" s="40" t="n">
        <f aca="false">+J66+J24</f>
        <v>0.288240546782405</v>
      </c>
      <c r="K69" s="40" t="n">
        <f aca="false">+K66+K24</f>
        <v>0.457424559248415</v>
      </c>
      <c r="L69" s="40" t="n">
        <f aca="false">+L66+L24</f>
        <v>0.47427366561392</v>
      </c>
      <c r="M69" s="40" t="n">
        <f aca="false">+M66+M24</f>
        <v>0.459629087693568</v>
      </c>
      <c r="N69" s="40" t="n">
        <f aca="false">+N66+N24</f>
        <v>0.481206991650239</v>
      </c>
      <c r="O69" s="40" t="n">
        <f aca="false">+O66+O24</f>
        <v>0.465335666342749</v>
      </c>
      <c r="P69" s="40" t="n">
        <f aca="false">+P66+P24</f>
        <v>0.470140972279865</v>
      </c>
      <c r="Q69" s="40" t="n">
        <f aca="false">+Q66+Q24</f>
        <v>0.469918295253333</v>
      </c>
      <c r="R69" s="40" t="n">
        <f aca="false">+R66+R24</f>
        <v>0.497636588612801</v>
      </c>
      <c r="S69" s="40" t="n">
        <f aca="false">+S66+S24</f>
        <v>0.465020325200114</v>
      </c>
      <c r="T69" s="40" t="n">
        <f aca="false">+T66+T24</f>
        <v>0.481169546299807</v>
      </c>
      <c r="U69" s="40" t="n">
        <f aca="false">+U66+U24</f>
        <v>0.4805056913549</v>
      </c>
      <c r="V69" s="40"/>
      <c r="W69" s="40"/>
      <c r="X69" s="40"/>
      <c r="Y69" s="40"/>
      <c r="Z69" s="40"/>
      <c r="AA69" s="40" t="n">
        <f aca="false">+AA66+AA24</f>
        <v>0.329225650924444</v>
      </c>
      <c r="AB69" s="40" t="n">
        <f aca="false">+AB66+AB24</f>
        <v>0.594194598890824</v>
      </c>
      <c r="AC69" s="40" t="n">
        <f aca="false">+AC66+AC24</f>
        <v>0.461689353534323</v>
      </c>
      <c r="AD69" s="40" t="n">
        <f aca="false">+AD66+AD24</f>
        <v>0.445008974064038</v>
      </c>
      <c r="AE69" s="40" t="n">
        <f aca="false">+AE66+AE24</f>
        <v>0.421435826570806</v>
      </c>
      <c r="AF69" s="40" t="n">
        <f aca="false">+AF66+AF24</f>
        <v>0.471529408193085</v>
      </c>
      <c r="AG69" s="40" t="n">
        <f aca="false">+AG66+AG24</f>
        <v>0.500566804834385</v>
      </c>
      <c r="AH69" s="40" t="n">
        <f aca="false">+AH66+AH24</f>
        <v>0.494630813003013</v>
      </c>
      <c r="AI69" s="40" t="n">
        <f aca="false">+AI66+AI24</f>
        <v>0.511562041756889</v>
      </c>
      <c r="AJ69" s="40" t="n">
        <f aca="false">+AJ66+AJ24</f>
        <v>0.533171865372181</v>
      </c>
      <c r="AK69" s="40" t="n">
        <f aca="false">+AK66+AK24</f>
        <v>0.529488031855975</v>
      </c>
      <c r="AL69" s="40" t="n">
        <f aca="false">+AL66+AL24</f>
        <v>0.525318746863064</v>
      </c>
      <c r="AM69" s="40" t="n">
        <f aca="false">+AM66+AM24</f>
        <v>0.570836318549182</v>
      </c>
      <c r="AN69" s="40" t="n">
        <f aca="false">+AN66+AN24</f>
        <v>0.565836768045124</v>
      </c>
      <c r="AO69" s="40" t="n">
        <f aca="false">+AO66+AO24</f>
        <v>0.560316388808342</v>
      </c>
      <c r="AP69" s="40" t="n">
        <f aca="false">+AP66+AP24</f>
        <v>0.554254969229539</v>
      </c>
      <c r="AQ69" s="40" t="n">
        <f aca="false">+AQ66+AQ24</f>
        <v>0.547615789129606</v>
      </c>
      <c r="AR69" s="1"/>
      <c r="AS69" s="1"/>
      <c r="AT69" s="49" t="s">
        <v>193</v>
      </c>
      <c r="AU69" s="50" t="n">
        <f aca="false">+AU68/Main!F1-1</f>
        <v>0.778146254598614</v>
      </c>
      <c r="AV69" s="17"/>
      <c r="AW69" s="41" t="s">
        <v>194</v>
      </c>
      <c r="AX69" s="41" t="n">
        <v>0</v>
      </c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</row>
    <row r="70" s="3" customFormat="true" ht="12.8" hidden="false" customHeight="false" outlineLevel="0" collapsed="false">
      <c r="A70" s="17" t="s">
        <v>195</v>
      </c>
      <c r="B70" s="17"/>
      <c r="C70" s="17"/>
      <c r="D70" s="17"/>
      <c r="E70" s="17"/>
      <c r="F70" s="17" t="n">
        <f aca="false">(F45-B45)/(F23-B23)</f>
        <v>0.0152671755725191</v>
      </c>
      <c r="G70" s="17" t="n">
        <f aca="false">(G45-C45)/(G23-C23)</f>
        <v>0.22093023255814</v>
      </c>
      <c r="H70" s="17" t="n">
        <f aca="false">(H45-D45)/(H23-D23)</f>
        <v>0.466083150984683</v>
      </c>
      <c r="I70" s="17" t="n">
        <f aca="false">(I45-E45)/(I23-E23)</f>
        <v>0.455066921606119</v>
      </c>
      <c r="J70" s="17" t="n">
        <f aca="false">(J45-F45)/(J23-F23)</f>
        <v>-1.28842504743833</v>
      </c>
      <c r="K70" s="17" t="n">
        <f aca="false">(K45-G45)/(K23-G23)</f>
        <v>0.529411764705882</v>
      </c>
      <c r="L70" s="17" t="n">
        <f aca="false">(L45-H45)/(L23-H23)</f>
        <v>0.56949806949807</v>
      </c>
      <c r="M70" s="17" t="n">
        <f aca="false">(M45-I45)/(M23-I23)</f>
        <v>0.383512544802867</v>
      </c>
      <c r="N70" s="17" t="n">
        <f aca="false">(N45-J45)/(N23-J23)</f>
        <v>2.3609022556391</v>
      </c>
      <c r="O70" s="17" t="n">
        <f aca="false">(O45-K45)/(O23-K23)</f>
        <v>0.397163120567376</v>
      </c>
      <c r="P70" s="17" t="n">
        <f aca="false">(P45-L45)/(P23-L23)</f>
        <v>0.312068965517241</v>
      </c>
      <c r="Q70" s="17" t="n">
        <f aca="false">(Q45-M45)/(Q23-M23)</f>
        <v>0.517006802721089</v>
      </c>
      <c r="R70" s="17" t="n">
        <f aca="false">(R45-N45)/(R23-N23)</f>
        <v>0.37280701754386</v>
      </c>
      <c r="S70" s="17" t="n">
        <f aca="false">(S45-O45)/(S23-O23)</f>
        <v>0.173154362416107</v>
      </c>
      <c r="T70" s="17"/>
      <c r="U70" s="17"/>
      <c r="V70" s="17"/>
      <c r="W70" s="17"/>
      <c r="X70" s="17"/>
      <c r="Y70" s="17"/>
      <c r="Z70" s="17"/>
      <c r="AA70" s="17"/>
      <c r="AB70" s="17" t="n">
        <f aca="false">+(AB45-AA45)/(AB23-AA23)</f>
        <v>0.536387375220989</v>
      </c>
      <c r="AC70" s="17" t="n">
        <f aca="false">+(AC45-AB45)/(AC23-AB23)</f>
        <v>0.162718098479978</v>
      </c>
      <c r="AD70" s="17" t="n">
        <f aca="false">+(AD45-AC45)/(AD23-AC23)</f>
        <v>0.306217282316916</v>
      </c>
      <c r="AE70" s="17" t="n">
        <f aca="false">+(AE45-AD45)/(AE23-AD23)</f>
        <v>0.043459426486701</v>
      </c>
      <c r="AF70" s="17" t="n">
        <f aca="false">+(AF45-AE45)/(AF23-AE23)</f>
        <v>0.867846927275798</v>
      </c>
      <c r="AG70" s="17" t="n">
        <f aca="false">+(AG45-AF45)/(AG23-AF23)</f>
        <v>0.553525404865178</v>
      </c>
      <c r="AH70" s="17" t="n">
        <f aca="false">+(AH45-AG45)/(AH23-AG23)</f>
        <v>0.428335652704226</v>
      </c>
      <c r="AI70" s="17" t="n">
        <f aca="false">+(AI45-AH45)/(AI23-AH23)</f>
        <v>0.700048660218748</v>
      </c>
      <c r="AJ70" s="17" t="n">
        <f aca="false">+(AJ45-AI45)/(AJ23-AI23)</f>
        <v>0.738836572208743</v>
      </c>
      <c r="AK70" s="17" t="n">
        <f aca="false">+(AK45-AJ45)/(AK23-AJ23)</f>
        <v>0.528440112903401</v>
      </c>
      <c r="AL70" s="17" t="n">
        <f aca="false">+(AL45-AK45)/(AL23-AK23)</f>
        <v>0.538614675535765</v>
      </c>
      <c r="AM70" s="17" t="n">
        <f aca="false">+(AM45-AL45)/(AM23-AL23)</f>
        <v>1.4361291799845</v>
      </c>
      <c r="AN70" s="17" t="n">
        <f aca="false">+(AN45-AM45)/(AN23-AM23)</f>
        <v>0.615845757963959</v>
      </c>
      <c r="AO70" s="17" t="n">
        <f aca="false">+(AO45-AN45)/(AO23-AN23)</f>
        <v>0.632306907888807</v>
      </c>
      <c r="AP70" s="17" t="n">
        <f aca="false">+(AP45-AO45)/(AP23-AO23)</f>
        <v>0.655540983269413</v>
      </c>
      <c r="AQ70" s="17" t="n">
        <f aca="false">+(AQ45-AP45)/(AQ23-AP23)</f>
        <v>0.695656784132962</v>
      </c>
      <c r="AR70" s="1"/>
      <c r="AS70" s="1"/>
      <c r="AT70" s="17"/>
      <c r="AU70" s="17"/>
      <c r="AV70" s="17"/>
      <c r="AW70" s="41" t="s">
        <v>196</v>
      </c>
      <c r="AX70" s="3" t="n">
        <f aca="false">+(-S92+S109+S110)</f>
        <v>1726</v>
      </c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</row>
    <row r="71" s="3" customFormat="true" ht="12.8" hidden="false" customHeight="false" outlineLevel="0" collapsed="false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1"/>
      <c r="AS71" s="1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</row>
    <row r="72" s="3" customFormat="true" ht="12.8" hidden="false" customHeight="false" outlineLevel="0" collapsed="false">
      <c r="A72" s="16" t="s">
        <v>197</v>
      </c>
      <c r="B72" s="17" t="n">
        <f aca="false">+B17/B$23</f>
        <v>0.928671984983576</v>
      </c>
      <c r="C72" s="17" t="n">
        <f aca="false">+C17/C$23</f>
        <v>0.927952576379389</v>
      </c>
      <c r="D72" s="17" t="n">
        <f aca="false">+D17/D$23</f>
        <v>0.931197834423641</v>
      </c>
      <c r="E72" s="17" t="n">
        <f aca="false">+E17/E$23</f>
        <v>0.93524861878453</v>
      </c>
      <c r="F72" s="17" t="n">
        <f aca="false">+F17/F$23</f>
        <v>0.939419978517723</v>
      </c>
      <c r="G72" s="17" t="n">
        <f aca="false">+G17/G$23</f>
        <v>0.937915282392027</v>
      </c>
      <c r="H72" s="17" t="n">
        <f aca="false">+H17/H$23</f>
        <v>0.947034764826176</v>
      </c>
      <c r="I72" s="17" t="n">
        <f aca="false">+I17/I$23</f>
        <v>0.943541996830428</v>
      </c>
      <c r="J72" s="17" t="n">
        <f aca="false">+J17/J$23</f>
        <v>0.948668467773061</v>
      </c>
      <c r="K72" s="17" t="n">
        <f aca="false">+K17/K$23</f>
        <v>0.953098511960821</v>
      </c>
      <c r="L72" s="17" t="n">
        <f aca="false">+L17/L$23</f>
        <v>0.957840236686391</v>
      </c>
      <c r="M72" s="17" t="n">
        <f aca="false">+M17/M$23</f>
        <v>0.957010346057795</v>
      </c>
      <c r="N72" s="17" t="n">
        <f aca="false">+N17/N$23</f>
        <v>0.959572978648932</v>
      </c>
      <c r="O72" s="17" t="n">
        <f aca="false">+O17/O$23</f>
        <v>0.960497190532947</v>
      </c>
      <c r="P72" s="17" t="n">
        <f aca="false">+P17/P$23</f>
        <v>0.967100868403474</v>
      </c>
      <c r="Q72" s="17" t="n">
        <f aca="false">+Q17/Q$23</f>
        <v>0.966903454956409</v>
      </c>
      <c r="R72" s="17" t="n">
        <f aca="false">+R17/R$23</f>
        <v>0.968740231322288</v>
      </c>
      <c r="S72" s="17" t="n">
        <f aca="false">+S17/S$23</f>
        <v>0.969477183439106</v>
      </c>
      <c r="T72" s="17"/>
      <c r="U72" s="17"/>
      <c r="V72" s="17"/>
      <c r="W72" s="17"/>
      <c r="X72" s="17"/>
      <c r="Y72" s="17"/>
      <c r="Z72" s="17"/>
      <c r="AA72" s="17" t="n">
        <f aca="false">+AA17/AA$23</f>
        <v>0.903481504507305</v>
      </c>
      <c r="AB72" s="17" t="n">
        <f aca="false">+AB17/AB$23</f>
        <v>0.923218245169465</v>
      </c>
      <c r="AC72" s="17" t="n">
        <f aca="false">+AC17/AC$23</f>
        <v>0.93081903896399</v>
      </c>
      <c r="AD72" s="17" t="n">
        <f aca="false">+AD17/AD$23</f>
        <v>0.942037199237467</v>
      </c>
      <c r="AE72" s="17" t="n">
        <f aca="false">+AE17/AE$23</f>
        <v>0.954243199255987</v>
      </c>
      <c r="AF72" s="17" t="n">
        <f aca="false">+AF17/AF$23</f>
        <v>0.963608060919685</v>
      </c>
      <c r="AG72" s="17" t="n">
        <f aca="false">+AG17/AG$23</f>
        <v>0</v>
      </c>
      <c r="AH72" s="17" t="n">
        <f aca="false">+AH17/AH$23</f>
        <v>0</v>
      </c>
      <c r="AI72" s="17"/>
      <c r="AJ72" s="17"/>
      <c r="AK72" s="17"/>
      <c r="AL72" s="17"/>
      <c r="AM72" s="17"/>
      <c r="AN72" s="17"/>
      <c r="AO72" s="17"/>
      <c r="AP72" s="17"/>
      <c r="AQ72" s="17"/>
      <c r="AR72" s="1"/>
      <c r="AS72" s="1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</row>
    <row r="73" s="3" customFormat="true" ht="12.8" hidden="false" customHeight="false" outlineLevel="0" collapsed="false">
      <c r="A73" s="16" t="s">
        <v>198</v>
      </c>
      <c r="B73" s="17" t="n">
        <f aca="false">+B19/B$23</f>
        <v>0.0340215861098076</v>
      </c>
      <c r="C73" s="17" t="n">
        <f aca="false">+C19/C$23</f>
        <v>0.0332877336981304</v>
      </c>
      <c r="D73" s="17" t="n">
        <f aca="false">+D19/D$23</f>
        <v>0.0284231897135123</v>
      </c>
      <c r="E73" s="17" t="n">
        <f aca="false">+E19/E$23</f>
        <v>0.025414364640884</v>
      </c>
      <c r="F73" s="17" t="n">
        <f aca="false">+F19/F$23</f>
        <v>0.0257787325456498</v>
      </c>
      <c r="G73" s="17" t="n">
        <f aca="false">+G19/G$23</f>
        <v>0.0269933554817276</v>
      </c>
      <c r="H73" s="17" t="n">
        <f aca="false">+H19/H$23</f>
        <v>0.0196319018404908</v>
      </c>
      <c r="I73" s="17" t="n">
        <f aca="false">+I19/I$23</f>
        <v>0.0225832012678288</v>
      </c>
      <c r="J73" s="17" t="n">
        <f aca="false">+J19/J$23</f>
        <v>0.0229641065225782</v>
      </c>
      <c r="K73" s="17" t="n">
        <f aca="false">+K19/K$23</f>
        <v>0.01958937653042</v>
      </c>
      <c r="L73" s="17" t="n">
        <f aca="false">+L19/L$23</f>
        <v>0.0151627218934911</v>
      </c>
      <c r="M73" s="17" t="n">
        <f aca="false">+M19/M$23</f>
        <v>0.0144488048519443</v>
      </c>
      <c r="N73" s="17" t="n">
        <f aca="false">+N19/N$23</f>
        <v>0.0166258312915646</v>
      </c>
      <c r="O73" s="17" t="n">
        <f aca="false">+O19/O$23</f>
        <v>0.0149838242806062</v>
      </c>
      <c r="P73" s="17" t="n">
        <f aca="false">+P19/P$23</f>
        <v>0.0113560454241817</v>
      </c>
      <c r="Q73" s="17" t="n">
        <f aca="false">+Q19/Q$23</f>
        <v>0.0119470455279303</v>
      </c>
      <c r="R73" s="17" t="n">
        <f aca="false">+R19/R$23</f>
        <v>0.0140668959049703</v>
      </c>
      <c r="S73" s="17" t="n">
        <f aca="false">+S19/S$23</f>
        <v>0.0134481716530674</v>
      </c>
      <c r="T73" s="17"/>
      <c r="U73" s="17"/>
      <c r="V73" s="17"/>
      <c r="W73" s="17"/>
      <c r="X73" s="17"/>
      <c r="Y73" s="17"/>
      <c r="Z73" s="17"/>
      <c r="AA73" s="17" t="n">
        <f aca="false">+AA19/AA$23</f>
        <v>0.0394000621697233</v>
      </c>
      <c r="AB73" s="17" t="n">
        <f aca="false">+AB19/AB$23</f>
        <v>0.0351599619892303</v>
      </c>
      <c r="AC73" s="17" t="n">
        <f aca="false">+AC19/AC$23</f>
        <v>0.0302169714869931</v>
      </c>
      <c r="AD73" s="17" t="n">
        <f aca="false">+AD19/AD$23</f>
        <v>0.0237003452006801</v>
      </c>
      <c r="AE73" s="17" t="n">
        <f aca="false">+AE19/AE$23</f>
        <v>0.017949314112997</v>
      </c>
      <c r="AF73" s="17" t="n">
        <f aca="false">+AF19/AF$23</f>
        <v>0.0136732719087888</v>
      </c>
      <c r="AG73" s="17" t="n">
        <f aca="false">+AG19/AG$23</f>
        <v>0</v>
      </c>
      <c r="AH73" s="17" t="n">
        <f aca="false">+AH19/AH$23</f>
        <v>0</v>
      </c>
      <c r="AI73" s="17"/>
      <c r="AJ73" s="17"/>
      <c r="AK73" s="17"/>
      <c r="AL73" s="17"/>
      <c r="AM73" s="17"/>
      <c r="AN73" s="17"/>
      <c r="AO73" s="17"/>
      <c r="AP73" s="17"/>
      <c r="AQ73" s="17"/>
      <c r="AR73" s="1"/>
      <c r="AS73" s="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</row>
    <row r="74" s="3" customFormat="true" ht="12.8" hidden="false" customHeight="false" outlineLevel="0" collapsed="false">
      <c r="A74" s="16" t="s">
        <v>199</v>
      </c>
      <c r="B74" s="17" t="n">
        <f aca="false">+B21/B$23</f>
        <v>0.0373064289066166</v>
      </c>
      <c r="C74" s="17" t="n">
        <f aca="false">+C21/C$23</f>
        <v>0.0387596899224806</v>
      </c>
      <c r="D74" s="17" t="n">
        <f aca="false">+D21/D$23</f>
        <v>0.0403789758628468</v>
      </c>
      <c r="E74" s="17" t="n">
        <f aca="false">+E21/E$23</f>
        <v>0.0393370165745856</v>
      </c>
      <c r="F74" s="17" t="n">
        <f aca="false">+F21/F$23</f>
        <v>0.0348012889366273</v>
      </c>
      <c r="G74" s="17" t="n">
        <f aca="false">+G21/G$23</f>
        <v>0.0350913621262459</v>
      </c>
      <c r="H74" s="17" t="n">
        <f aca="false">+H21/H$23</f>
        <v>0.0333333333333333</v>
      </c>
      <c r="I74" s="17" t="n">
        <f aca="false">+I21/I$23</f>
        <v>0.0338748019017433</v>
      </c>
      <c r="J74" s="17" t="n">
        <f aca="false">+J21/J$23</f>
        <v>0.0283674257043613</v>
      </c>
      <c r="K74" s="17" t="n">
        <f aca="false">+K21/K$23</f>
        <v>0.0273121115087587</v>
      </c>
      <c r="L74" s="17" t="n">
        <f aca="false">+L21/L$23</f>
        <v>0.0269970414201183</v>
      </c>
      <c r="M74" s="17" t="n">
        <f aca="false">+M21/M$23</f>
        <v>0.0285408490902604</v>
      </c>
      <c r="N74" s="17" t="n">
        <f aca="false">+N21/N$23</f>
        <v>0.023801190059503</v>
      </c>
      <c r="O74" s="17" t="n">
        <f aca="false">+O21/O$23</f>
        <v>0.0245189851864465</v>
      </c>
      <c r="P74" s="17" t="n">
        <f aca="false">+P21/P$23</f>
        <v>0.0215430861723447</v>
      </c>
      <c r="Q74" s="17" t="n">
        <f aca="false">+Q21/Q$23</f>
        <v>0.0211494995156603</v>
      </c>
      <c r="R74" s="17" t="n">
        <f aca="false">+R21/R$23</f>
        <v>0.0171928727727415</v>
      </c>
      <c r="S74" s="17" t="n">
        <f aca="false">+S21/S$23</f>
        <v>0.0170746449078271</v>
      </c>
      <c r="T74" s="17"/>
      <c r="U74" s="17"/>
      <c r="V74" s="17"/>
      <c r="W74" s="17"/>
      <c r="X74" s="17"/>
      <c r="Y74" s="17"/>
      <c r="Z74" s="17"/>
      <c r="AA74" s="17" t="n">
        <f aca="false">+AA21/AA$23</f>
        <v>0.0571184333229717</v>
      </c>
      <c r="AB74" s="17" t="n">
        <f aca="false">+AB21/AB$23</f>
        <v>0.041621792841305</v>
      </c>
      <c r="AC74" s="17" t="n">
        <f aca="false">+AC21/AC$23</f>
        <v>0.0389639895490174</v>
      </c>
      <c r="AD74" s="17" t="n">
        <f aca="false">+AD21/AD$23</f>
        <v>0.0342624555618528</v>
      </c>
      <c r="AE74" s="17" t="n">
        <f aca="false">+AE21/AE$23</f>
        <v>0.027807486631016</v>
      </c>
      <c r="AF74" s="17" t="n">
        <f aca="false">+AF21/AF$23</f>
        <v>0.0227186671715259</v>
      </c>
      <c r="AG74" s="17" t="n">
        <f aca="false">+AG21/AG$23</f>
        <v>0</v>
      </c>
      <c r="AH74" s="17" t="n">
        <f aca="false">+AH21/AH$23</f>
        <v>0</v>
      </c>
      <c r="AI74" s="17"/>
      <c r="AJ74" s="17"/>
      <c r="AK74" s="17"/>
      <c r="AL74" s="17"/>
      <c r="AM74" s="17"/>
      <c r="AN74" s="17"/>
      <c r="AO74" s="17"/>
      <c r="AP74" s="17"/>
      <c r="AQ74" s="17"/>
      <c r="AR74" s="1"/>
      <c r="AS74" s="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</row>
    <row r="75" s="3" customFormat="true" ht="12.8" hidden="false" customHeight="false" outlineLevel="0" collapsed="false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1"/>
      <c r="AS75" s="1"/>
      <c r="AT75" s="41"/>
      <c r="AU75" s="41"/>
      <c r="AV75" s="41"/>
      <c r="AW75" s="41" t="s">
        <v>7</v>
      </c>
      <c r="AX75" s="3" t="n">
        <f aca="false">+AU78</f>
        <v>125707.448776264</v>
      </c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</row>
    <row r="76" s="3" customFormat="true" ht="12.8" hidden="false" customHeight="false" outlineLevel="0" collapsed="false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1"/>
      <c r="AS76" s="1"/>
      <c r="AT76" s="52" t="s">
        <v>181</v>
      </c>
      <c r="AU76" s="53" t="n">
        <v>-0.01</v>
      </c>
      <c r="AV76" s="41"/>
      <c r="AW76" s="41" t="s">
        <v>200</v>
      </c>
      <c r="AX76" s="3" t="n">
        <f aca="false">+Main!F5</f>
        <v>6645</v>
      </c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</row>
    <row r="77" s="3" customFormat="true" ht="12.8" hidden="false" customHeight="false" outlineLevel="0" collapsed="false">
      <c r="A77" s="17" t="s">
        <v>201</v>
      </c>
      <c r="B77" s="17"/>
      <c r="C77" s="17" t="n">
        <f aca="false">+C57/AVERAGE(B103:C103)</f>
        <v>0.045045657788173</v>
      </c>
      <c r="D77" s="17" t="n">
        <f aca="false">+D57/AVERAGE(C103:D103)</f>
        <v>0.0428110110708543</v>
      </c>
      <c r="E77" s="17" t="n">
        <f aca="false">+E57/AVERAGE(D103:E103)</f>
        <v>0.0436287463628772</v>
      </c>
      <c r="F77" s="17" t="n">
        <f aca="false">+F57/AVERAGE(E103:F103)</f>
        <v>0.0463289978646726</v>
      </c>
      <c r="G77" s="17" t="n">
        <f aca="false">+G57/AVERAGE(F103:G103)</f>
        <v>0.0475182311156089</v>
      </c>
      <c r="H77" s="17" t="n">
        <f aca="false">+H57/AVERAGE(G103:H103)</f>
        <v>0.0492899693474185</v>
      </c>
      <c r="I77" s="17" t="n">
        <f aca="false">+I57/AVERAGE(H103:I103)</f>
        <v>0.050382698761211</v>
      </c>
      <c r="J77" s="17" t="n">
        <f aca="false">+J57/AVERAGE(I103:J103)</f>
        <v>0.0211855647320642</v>
      </c>
      <c r="K77" s="17" t="n">
        <f aca="false">+K57/AVERAGE(J103:K103)</f>
        <v>0.0533387965414393</v>
      </c>
      <c r="L77" s="17" t="n">
        <f aca="false">+L57/AVERAGE(K103:L103)</f>
        <v>0.0560767904879939</v>
      </c>
      <c r="M77" s="17" t="n">
        <f aca="false">+M57/AVERAGE(L103:M103)</f>
        <v>0.0560435025942229</v>
      </c>
      <c r="N77" s="17" t="n">
        <f aca="false">+N57/AVERAGE(M103:N103)</f>
        <v>0.0601806277902971</v>
      </c>
      <c r="O77" s="17" t="n">
        <f aca="false">+O57/AVERAGE(N103:O103)</f>
        <v>0.058247564245193</v>
      </c>
      <c r="P77" s="17" t="n">
        <f aca="false">+P57/AVERAGE(O103:P103)</f>
        <v>0.0623268920605355</v>
      </c>
      <c r="Q77" s="17" t="n">
        <f aca="false">+Q57/AVERAGE(P103:Q103)</f>
        <v>0.0637248537656231</v>
      </c>
      <c r="R77" s="17" t="n">
        <f aca="false">+R57/AVERAGE(Q103:R103)</f>
        <v>0.0638171179865712</v>
      </c>
      <c r="S77" s="17" t="n">
        <f aca="false">+S57/AVERAGE(R103:S103)</f>
        <v>0.057413599449052</v>
      </c>
      <c r="T77" s="17"/>
      <c r="U77" s="17"/>
      <c r="V77" s="17"/>
      <c r="W77" s="17"/>
      <c r="X77" s="17"/>
      <c r="Y77" s="17"/>
      <c r="Z77" s="17"/>
      <c r="AA77" s="17"/>
      <c r="AB77" s="17" t="n">
        <f aca="false">+AB57/AVERAGE(AA103:AB103)</f>
        <v>0.187136584813747</v>
      </c>
      <c r="AC77" s="17" t="n">
        <f aca="false">+AC57/AVERAGE(AB103:AC103)</f>
        <v>0.174812250965216</v>
      </c>
      <c r="AD77" s="17" t="n">
        <f aca="false">+AD57/AVERAGE(AC103:AD103)</f>
        <v>0.190626845580039</v>
      </c>
      <c r="AE77" s="17" t="n">
        <f aca="false">+AE57/AVERAGE(AD103:AE103)</f>
        <v>0.185292795314898</v>
      </c>
      <c r="AF77" s="17" t="n">
        <f aca="false">+AF57/AVERAGE(AE103:AF103)</f>
        <v>0.238737576586759</v>
      </c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"/>
      <c r="AS77" s="1"/>
      <c r="AT77" s="54" t="s">
        <v>183</v>
      </c>
      <c r="AU77" s="45" t="n">
        <f aca="false">+Main!H10</f>
        <v>0.126330211995218</v>
      </c>
      <c r="AV77" s="51"/>
      <c r="AW77" s="55" t="s">
        <v>202</v>
      </c>
      <c r="AX77" s="56" t="n">
        <f aca="false">+Main!F4</f>
        <v>5626</v>
      </c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</row>
    <row r="78" s="3" customFormat="true" ht="12.8" hidden="false" customHeight="false" outlineLevel="0" collapsed="false">
      <c r="A78" s="17" t="s">
        <v>203</v>
      </c>
      <c r="B78" s="17"/>
      <c r="C78" s="17" t="n">
        <f aca="false">+C57/AVERAGE(B122:C122)</f>
        <v>0.0848703170028819</v>
      </c>
      <c r="D78" s="17" t="n">
        <f aca="false">+D57/AVERAGE(C122:D122)</f>
        <v>0.0801184850835743</v>
      </c>
      <c r="E78" s="17" t="n">
        <f aca="false">+E57/AVERAGE(D122:E122)</f>
        <v>0.0827469743878413</v>
      </c>
      <c r="F78" s="17" t="n">
        <f aca="false">+F57/AVERAGE(E122:F122)</f>
        <v>0.0887481318055654</v>
      </c>
      <c r="G78" s="17" t="n">
        <f aca="false">+G57/AVERAGE(F122:G122)</f>
        <v>0.0896535013326872</v>
      </c>
      <c r="H78" s="17" t="n">
        <f aca="false">+H57/AVERAGE(G122:H122)</f>
        <v>0.0916574116417325</v>
      </c>
      <c r="I78" s="17" t="n">
        <f aca="false">+I57/AVERAGE(H122:I122)</f>
        <v>0.0918436861336471</v>
      </c>
      <c r="J78" s="17" t="n">
        <f aca="false">+J57/AVERAGE(I122:J122)</f>
        <v>0.0387766589530302</v>
      </c>
      <c r="K78" s="17" t="n">
        <f aca="false">+K57/AVERAGE(J122:K122)</f>
        <v>0.106409605952985</v>
      </c>
      <c r="L78" s="17" t="n">
        <f aca="false">+L57/AVERAGE(K122:L122)</f>
        <v>0.117556719022688</v>
      </c>
      <c r="M78" s="17" t="n">
        <f aca="false">+M57/AVERAGE(L122:M122)</f>
        <v>0.117486910994764</v>
      </c>
      <c r="N78" s="17" t="n">
        <f aca="false">+N57/AVERAGE(M122:N122)</f>
        <v>0.133161764705882</v>
      </c>
      <c r="O78" s="17" t="n">
        <f aca="false">+O57/AVERAGE(N122:O122)</f>
        <v>0.137798965081693</v>
      </c>
      <c r="P78" s="17" t="n">
        <f aca="false">+P57/AVERAGE(O122:P122)</f>
        <v>0.152640192953743</v>
      </c>
      <c r="Q78" s="17" t="n">
        <f aca="false">+Q57/AVERAGE(P122:Q122)</f>
        <v>0.15867994699269</v>
      </c>
      <c r="R78" s="17" t="n">
        <f aca="false">+R57/AVERAGE(Q122:R122)</f>
        <v>0.163861901457321</v>
      </c>
      <c r="S78" s="17" t="n">
        <f aca="false">+S57/AVERAGE(R122:S122)</f>
        <v>0.149187399241863</v>
      </c>
      <c r="T78" s="17"/>
      <c r="U78" s="17"/>
      <c r="V78" s="17"/>
      <c r="W78" s="17"/>
      <c r="X78" s="17"/>
      <c r="Y78" s="17"/>
      <c r="Z78" s="17"/>
      <c r="AA78" s="17"/>
      <c r="AB78" s="17" t="n">
        <f aca="false">+AB57/AVERAGE(AA122:AB122)</f>
        <v>0.343616952326387</v>
      </c>
      <c r="AC78" s="17" t="n">
        <f aca="false">+AC57/AVERAGE(AB122:AC122)</f>
        <v>0.329688526549321</v>
      </c>
      <c r="AD78" s="17" t="n">
        <f aca="false">+AD57/AVERAGE(AC122:AD122)</f>
        <v>0.35510072733585</v>
      </c>
      <c r="AE78" s="17" t="n">
        <f aca="false">+AE57/AVERAGE(AD122:AE122)</f>
        <v>0.363101461312147</v>
      </c>
      <c r="AF78" s="17" t="n">
        <f aca="false">+AF57/AVERAGE(AE122:AF122)</f>
        <v>0.554215910154955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9"/>
      <c r="AS78" s="19"/>
      <c r="AT78" s="57" t="s">
        <v>7</v>
      </c>
      <c r="AU78" s="58" t="n">
        <f aca="false">+NPV(AU77,AG87:AP87,AQ87+AU79)</f>
        <v>125707.448776264</v>
      </c>
      <c r="AV78" s="51"/>
      <c r="AW78" s="41" t="s">
        <v>187</v>
      </c>
      <c r="AX78" s="3" t="n">
        <f aca="false">+AX75-AX76+AX77</f>
        <v>124688.448776264</v>
      </c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</row>
    <row r="79" s="3" customFormat="true" ht="12.8" hidden="false" customHeight="false" outlineLevel="0" collapsed="false">
      <c r="A79" s="17" t="s">
        <v>204</v>
      </c>
      <c r="B79" s="17"/>
      <c r="C79" s="17" t="n">
        <f aca="false">+C23/AVERAGE(B103:C103)</f>
        <v>0.167716685109445</v>
      </c>
      <c r="D79" s="17" t="n">
        <f aca="false">+D23/AVERAGE(C103:D103)</f>
        <v>0.167060926124205</v>
      </c>
      <c r="E79" s="17" t="n">
        <f aca="false">+E23/AVERAGE(D103:E103)</f>
        <v>0.16787421538437</v>
      </c>
      <c r="F79" s="17" t="n">
        <f aca="false">+F23/AVERAGE(E103:F103)</f>
        <v>0.17294425425826</v>
      </c>
      <c r="G79" s="17" t="n">
        <f aca="false">+G23/AVERAGE(F103:G103)</f>
        <v>0.176716448689399</v>
      </c>
      <c r="H79" s="17" t="n">
        <f aca="false">+H23/AVERAGE(G103:H103)</f>
        <v>0.17179469002771</v>
      </c>
      <c r="I79" s="17" t="n">
        <f aca="false">+I23/AVERAGE(H103:I103)</f>
        <v>0.171498222081317</v>
      </c>
      <c r="J79" s="17" t="n">
        <f aca="false">+J23/AVERAGE(I103:J103)</f>
        <v>0.17707031684122</v>
      </c>
      <c r="K79" s="17" t="n">
        <f aca="false">+K23/AVERAGE(J103:K103)</f>
        <v>0.180022676947553</v>
      </c>
      <c r="L79" s="17" t="n">
        <f aca="false">+L23/AVERAGE(K103:L103)</f>
        <v>0.18008508489256</v>
      </c>
      <c r="M79" s="17" t="n">
        <f aca="false">+M23/AVERAGE(L103:M103)</f>
        <v>0.186678476258594</v>
      </c>
      <c r="N79" s="17" t="n">
        <f aca="false">+N23/AVERAGE(M103:N103)</f>
        <v>0.18987968370721</v>
      </c>
      <c r="O79" s="17" t="n">
        <f aca="false">+O23/AVERAGE(N103:O103)</f>
        <v>0.202299198587829</v>
      </c>
      <c r="P79" s="17" t="n">
        <f aca="false">+P23/AVERAGE(O103:P103)</f>
        <v>0.210617059626686</v>
      </c>
      <c r="Q79" s="17" t="n">
        <f aca="false">+Q23/AVERAGE(P103:Q103)</f>
        <v>0.212667965638076</v>
      </c>
      <c r="R79" s="17" t="n">
        <f aca="false">+R23/AVERAGE(Q103:R103)</f>
        <v>0.216147125928048</v>
      </c>
      <c r="S79" s="17" t="n">
        <f aca="false">+S23/AVERAGE(R103:S103)</f>
        <v>0.221941122169291</v>
      </c>
      <c r="T79" s="17"/>
      <c r="U79" s="17"/>
      <c r="V79" s="17"/>
      <c r="W79" s="17"/>
      <c r="X79" s="17"/>
      <c r="Y79" s="17"/>
      <c r="Z79" s="17"/>
      <c r="AA79" s="17"/>
      <c r="AB79" s="17" t="n">
        <f aca="false">+AB23/AVERAGE(AA103:AB103)</f>
        <v>0.612710828892689</v>
      </c>
      <c r="AC79" s="17" t="n">
        <f aca="false">+AC23/AVERAGE(AB103:AC103)</f>
        <v>0.647206715997357</v>
      </c>
      <c r="AD79" s="17" t="n">
        <f aca="false">+AD23/AVERAGE(AC103:AD103)</f>
        <v>0.681686076062492</v>
      </c>
      <c r="AE79" s="17" t="n">
        <f aca="false">+AE23/AVERAGE(AD103:AE103)</f>
        <v>0.716724490454058</v>
      </c>
      <c r="AF79" s="17" t="n">
        <f aca="false">+AF23/AVERAGE(AE103:AF103)</f>
        <v>0.79593329304142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9"/>
      <c r="AS79" s="19"/>
      <c r="AT79" s="54" t="s">
        <v>205</v>
      </c>
      <c r="AU79" s="59" t="n">
        <f aca="false">+AQ87*(1+AU76)/(AU77-AU76)</f>
        <v>161022.407249858</v>
      </c>
      <c r="AV79" s="41"/>
      <c r="AW79" s="55" t="s">
        <v>178</v>
      </c>
      <c r="AX79" s="56" t="n">
        <f aca="false">+Main!F2</f>
        <v>397.5</v>
      </c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</row>
    <row r="80" s="3" customFormat="true" ht="12.8" hidden="false" customHeight="false" outlineLevel="0" collapsed="false">
      <c r="A80" s="60" t="s">
        <v>206</v>
      </c>
      <c r="B80" s="60"/>
      <c r="C80" s="60" t="n">
        <f aca="false">+AVERAGE(B115:C115)/AVERAGE(B122:C122)</f>
        <v>0.884102340814656</v>
      </c>
      <c r="D80" s="60" t="n">
        <f aca="false">+AVERAGE(C115:D115)/AVERAGE(C122:D122)</f>
        <v>0.871455521838377</v>
      </c>
      <c r="E80" s="60" t="n">
        <f aca="false">+AVERAGE(D115:E115)/AVERAGE(D122:E122)</f>
        <v>0.896628308870987</v>
      </c>
      <c r="F80" s="60" t="n">
        <f aca="false">+AVERAGE(E115:F115)/AVERAGE(E122:F122)</f>
        <v>0.933342114898262</v>
      </c>
      <c r="G80" s="60" t="n">
        <f aca="false">+AVERAGE(F115:G115)/AVERAGE(F122:G122)</f>
        <v>0.903968824810016</v>
      </c>
      <c r="H80" s="60" t="n">
        <f aca="false">+AVERAGE(G115:H115)/AVERAGE(G122:H122)</f>
        <v>0.859564949318074</v>
      </c>
      <c r="I80" s="60" t="n">
        <f aca="false">+AVERAGE(H115:I115)/AVERAGE(H122:I122)</f>
        <v>0.822931046574039</v>
      </c>
      <c r="J80" s="60" t="n">
        <f aca="false">+AVERAGE(I115:J115)/AVERAGE(I122:J122)</f>
        <v>0.830342344288713</v>
      </c>
      <c r="K80" s="60" t="n">
        <f aca="false">+AVERAGE(J115:K115)/AVERAGE(J122:K122)</f>
        <v>0.994985380902562</v>
      </c>
      <c r="L80" s="60" t="n">
        <f aca="false">+AVERAGE(K115:L115)/AVERAGE(K122:L122)</f>
        <v>1.09636236382236</v>
      </c>
      <c r="M80" s="60" t="n">
        <f aca="false">+AVERAGE(L115:M115)/AVERAGE(L122:M122)</f>
        <v>1.09636155017009</v>
      </c>
      <c r="N80" s="60" t="n">
        <f aca="false">+AVERAGE(M115:N115)/AVERAGE(M122:N122)</f>
        <v>1.21271169626724</v>
      </c>
      <c r="O80" s="60" t="n">
        <f aca="false">+AVERAGE(N115:O115)/AVERAGE(N122:O122)</f>
        <v>1.36575502476633</v>
      </c>
      <c r="P80" s="60" t="n">
        <f aca="false">+AVERAGE(O115:P115)/AVERAGE(O122:P122)</f>
        <v>1.44903809093363</v>
      </c>
      <c r="Q80" s="60" t="n">
        <f aca="false">+AVERAGE(P115:Q115)/AVERAGE(P122:Q122)</f>
        <v>1.49009574552315</v>
      </c>
      <c r="R80" s="60" t="n">
        <f aca="false">+AVERAGE(Q115:R115)/AVERAGE(Q122:R122)</f>
        <v>1.56769518897396</v>
      </c>
      <c r="S80" s="60" t="n">
        <f aca="false">+AVERAGE(R115:S115)/AVERAGE(R122:S122)</f>
        <v>1.59848040279216</v>
      </c>
      <c r="T80" s="60"/>
      <c r="U80" s="60"/>
      <c r="V80" s="60"/>
      <c r="W80" s="60"/>
      <c r="X80" s="60"/>
      <c r="Y80" s="60"/>
      <c r="Z80" s="60"/>
      <c r="AA80" s="60"/>
      <c r="AB80" s="60" t="n">
        <f aca="false">+AVERAGE(AA115:AB115)/AVERAGE(AA122:AB122)</f>
        <v>0.836186183119287</v>
      </c>
      <c r="AC80" s="60" t="n">
        <f aca="false">+AVERAGE(AB115:AC115)/AVERAGE(AB122:AC122)</f>
        <v>0.885961302264016</v>
      </c>
      <c r="AD80" s="60" t="n">
        <f aca="false">+AVERAGE(AC115:AD115)/AVERAGE(AC122:AD122)</f>
        <v>0.862808784276882</v>
      </c>
      <c r="AE80" s="60" t="n">
        <f aca="false">+AVERAGE(AD115:AE115)/AVERAGE(AD122:AE122)</f>
        <v>0.959612339828746</v>
      </c>
      <c r="AF80" s="60" t="n">
        <f aca="false">+AVERAGE(AE115:AF115)/AVERAGE(AE122:AF122)</f>
        <v>1.3214482288368</v>
      </c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16"/>
      <c r="AS80" s="16"/>
      <c r="AT80" s="61" t="s">
        <v>193</v>
      </c>
      <c r="AU80" s="62" t="n">
        <f aca="false">+AU78/Main!F6-1</f>
        <v>0.131210366350633</v>
      </c>
      <c r="AV80" s="41"/>
      <c r="AW80" s="41" t="s">
        <v>1</v>
      </c>
      <c r="AX80" s="3" t="n">
        <f aca="false">+AX78/AX79</f>
        <v>313.681632141544</v>
      </c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</row>
    <row r="81" s="3" customFormat="true" ht="12.8" hidden="false" customHeight="false" outlineLevel="0" collapsed="false">
      <c r="A81" s="17" t="s">
        <v>207</v>
      </c>
      <c r="B81" s="17"/>
      <c r="C81" s="17" t="n">
        <f aca="false">+C78-C77</f>
        <v>0.0398246592147089</v>
      </c>
      <c r="D81" s="17" t="n">
        <f aca="false">+D78-D77</f>
        <v>0.03730747401272</v>
      </c>
      <c r="E81" s="17" t="n">
        <f aca="false">+E78-E77</f>
        <v>0.0391182280249641</v>
      </c>
      <c r="F81" s="17" t="n">
        <f aca="false">+F78-F77</f>
        <v>0.0424191339408928</v>
      </c>
      <c r="G81" s="17" t="n">
        <f aca="false">+G78-G77</f>
        <v>0.0421352702170783</v>
      </c>
      <c r="H81" s="17" t="n">
        <f aca="false">+H78-H77</f>
        <v>0.042367442294314</v>
      </c>
      <c r="I81" s="17" t="n">
        <f aca="false">+I78-I77</f>
        <v>0.0414609873724361</v>
      </c>
      <c r="J81" s="17" t="n">
        <f aca="false">+J78-J77</f>
        <v>0.017591094220966</v>
      </c>
      <c r="K81" s="17" t="n">
        <f aca="false">+K78-K77</f>
        <v>0.0530708094115457</v>
      </c>
      <c r="L81" s="17" t="n">
        <f aca="false">+L78-L77</f>
        <v>0.0614799285346941</v>
      </c>
      <c r="M81" s="17" t="n">
        <f aca="false">+M78-M77</f>
        <v>0.0614434084005411</v>
      </c>
      <c r="N81" s="17" t="n">
        <f aca="false">+N78-N77</f>
        <v>0.0729811369155849</v>
      </c>
      <c r="O81" s="17" t="n">
        <f aca="false">+O78-O77</f>
        <v>0.0795514008365001</v>
      </c>
      <c r="P81" s="17" t="n">
        <f aca="false">+P78-P77</f>
        <v>0.0903133008932075</v>
      </c>
      <c r="Q81" s="17" t="n">
        <f aca="false">+Q78-Q77</f>
        <v>0.094955093227067</v>
      </c>
      <c r="R81" s="17" t="n">
        <f aca="false">+R78-R77</f>
        <v>0.10004478347075</v>
      </c>
      <c r="S81" s="17" t="n">
        <f aca="false">+S78-S77</f>
        <v>0.091773799792811</v>
      </c>
      <c r="T81" s="17"/>
      <c r="U81" s="17"/>
      <c r="V81" s="17"/>
      <c r="W81" s="17"/>
      <c r="X81" s="17"/>
      <c r="Y81" s="17"/>
      <c r="Z81" s="17"/>
      <c r="AA81" s="17"/>
      <c r="AB81" s="17" t="n">
        <f aca="false">+AB78-AB77</f>
        <v>0.156480367512639</v>
      </c>
      <c r="AC81" s="17" t="n">
        <f aca="false">+AC78-AC77</f>
        <v>0.154876275584105</v>
      </c>
      <c r="AD81" s="17" t="n">
        <f aca="false">+AD78-AD77</f>
        <v>0.164473881755812</v>
      </c>
      <c r="AE81" s="17" t="n">
        <f aca="false">+AE78-AE77</f>
        <v>0.177808665997248</v>
      </c>
      <c r="AF81" s="17" t="n">
        <f aca="false">+AF78-AF77</f>
        <v>0.315478333568196</v>
      </c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60"/>
      <c r="AS81" s="60"/>
      <c r="AT81" s="41"/>
      <c r="AU81" s="41"/>
      <c r="AV81" s="41"/>
      <c r="AW81" s="41"/>
      <c r="AX81" s="26" t="n">
        <f aca="false">+AX80/Main!F1-1</f>
        <v>0.132424664770916</v>
      </c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</row>
    <row r="82" s="3" customFormat="true" ht="12.8" hidden="false" customHeight="fals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16"/>
      <c r="AS82" s="16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3"/>
      <c r="DD82" s="63"/>
      <c r="DE82" s="63"/>
      <c r="DF82" s="63"/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</row>
    <row r="83" s="3" customFormat="true" ht="12.8" hidden="false" customHeight="false" outlineLevel="0" collapsed="false">
      <c r="A83" s="64" t="s">
        <v>208</v>
      </c>
      <c r="B83" s="64" t="n">
        <f aca="false">+B93+B94+B95-(B106+B107-B109)</f>
        <v>3608</v>
      </c>
      <c r="C83" s="64" t="n">
        <f aca="false">+C93+C94+C95-(C106+C107-C109)</f>
        <v>3061</v>
      </c>
      <c r="D83" s="64" t="n">
        <f aca="false">+D93+D94+D95-(D106+D107-D109)</f>
        <v>3174</v>
      </c>
      <c r="E83" s="64" t="n">
        <f aca="false">+E93+E94+E95-(E106+E107-E109)</f>
        <v>3091</v>
      </c>
      <c r="F83" s="64" t="n">
        <f aca="false">+F93+F94+F95-(F106+F107-F109)</f>
        <v>2601</v>
      </c>
      <c r="G83" s="64" t="n">
        <f aca="false">+G93+G94+G95-(G106+G107-G109)</f>
        <v>1686</v>
      </c>
      <c r="H83" s="64" t="n">
        <f aca="false">+H93+H94+H95-(H106+H107-H109)</f>
        <v>1781</v>
      </c>
      <c r="I83" s="64" t="n">
        <f aca="false">+I93+I94+I95-(I106+I107-I109)</f>
        <v>1687</v>
      </c>
      <c r="J83" s="64" t="n">
        <f aca="false">+J93+J94+J95-(J106+J107-J109)</f>
        <v>3382</v>
      </c>
      <c r="K83" s="64" t="n">
        <f aca="false">+K93+K94+K95-(K106+K107-K109)</f>
        <v>2421</v>
      </c>
      <c r="L83" s="64" t="n">
        <f aca="false">+L93+L94+L95-(L106+L107-L109)</f>
        <v>2856</v>
      </c>
      <c r="M83" s="64" t="n">
        <f aca="false">+M93+M94+M95-(M106+M107-M109)</f>
        <v>2421</v>
      </c>
      <c r="N83" s="64" t="n">
        <f aca="false">+N93+N94+N95-(N106+N107-N109)</f>
        <v>1820</v>
      </c>
      <c r="O83" s="64" t="n">
        <f aca="false">+O93+O94+O95-(O106+O107-O109)</f>
        <v>1431</v>
      </c>
      <c r="P83" s="64" t="n">
        <f aca="false">+P93+P94+P95-(P106+P107-P109)</f>
        <v>1804</v>
      </c>
      <c r="Q83" s="64" t="n">
        <f aca="false">+Q93+Q94+Q95-(Q106+Q107-Q109)</f>
        <v>1667</v>
      </c>
      <c r="R83" s="64" t="n">
        <f aca="false">+R93+R94+R95-(R106+R107-R109)</f>
        <v>2227</v>
      </c>
      <c r="S83" s="64" t="n">
        <f aca="false">+S93+S94+S95-(S106+S107-S109)</f>
        <v>3038</v>
      </c>
      <c r="T83" s="64"/>
      <c r="U83" s="64"/>
      <c r="V83" s="64"/>
      <c r="W83" s="64"/>
      <c r="X83" s="64"/>
      <c r="Y83" s="64"/>
      <c r="Z83" s="64"/>
      <c r="AA83" s="64" t="n">
        <f aca="false">+AA94+AA95-(AA106+AA107+AA112)</f>
        <v>-166</v>
      </c>
      <c r="AB83" s="64" t="n">
        <f aca="false">+AB94+AB95-(AB106+AB107+AB112)</f>
        <v>235</v>
      </c>
      <c r="AC83" s="64" t="n">
        <f aca="false">+AC94+AC95-(AC106+AC107+AC112)</f>
        <v>126</v>
      </c>
      <c r="AD83" s="64" t="n">
        <f aca="false">+AD94+AD95-(AD106+AD107+AD112)</f>
        <v>387</v>
      </c>
      <c r="AE83" s="64" t="n">
        <f aca="false">+AE94+AE95-(AE106+AE107+AE112)</f>
        <v>-18</v>
      </c>
      <c r="AF83" s="64" t="n">
        <f aca="false">+AF94+AF95-(AF106+AF107+AF112)</f>
        <v>-119</v>
      </c>
      <c r="AG83" s="64" t="n">
        <f aca="false">+AG94+AG95-(AG106+AG107)</f>
        <v>631.615960006512</v>
      </c>
      <c r="AH83" s="64" t="n">
        <f aca="false">+AH94+AH95-(AH106+AH107)</f>
        <v>703.054331155828</v>
      </c>
      <c r="AI83" s="64" t="n">
        <f aca="false">+AI94+AI95-(AI106+AI107)</f>
        <v>696.674321653146</v>
      </c>
      <c r="AJ83" s="64" t="n">
        <f aca="false">+AJ94+AJ95-(AJ106+AJ107)</f>
        <v>1125.87311679661</v>
      </c>
      <c r="AK83" s="64" t="n">
        <f aca="false">+AK94+AK95-(AK106+AK107)</f>
        <v>1131.87551247106</v>
      </c>
      <c r="AL83" s="64" t="n">
        <f aca="false">+AL94+AL95-(AL106+AL107)</f>
        <v>1232.92448516233</v>
      </c>
      <c r="AM83" s="64" t="n">
        <f aca="false">+AM94+AM95-(AM106+AM107)</f>
        <v>1213.89670879521</v>
      </c>
      <c r="AN83" s="64" t="n">
        <f aca="false">+AN94+AN95-(AN106+AN107)</f>
        <v>1750.90183165229</v>
      </c>
      <c r="AO83" s="64" t="n">
        <f aca="false">+AO94+AO95-(AO106+AO107)</f>
        <v>1721.94025889617</v>
      </c>
      <c r="AP83" s="64" t="n">
        <f aca="false">+AP94+AP95-(AP106+AP107)</f>
        <v>1804.88801773369</v>
      </c>
      <c r="AQ83" s="64" t="n">
        <f aca="false">+AQ94+AQ95-(AQ106+AQ107)</f>
        <v>1739.6703812567</v>
      </c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</row>
    <row r="84" s="3" customFormat="true" ht="12.8" hidden="false" customHeight="false" outlineLevel="0" collapsed="false">
      <c r="A84" s="64" t="s">
        <v>209</v>
      </c>
      <c r="B84" s="64" t="n">
        <f aca="false">+B45*(1-B68)</f>
        <v>1296.35774465327</v>
      </c>
      <c r="C84" s="64" t="n">
        <f aca="false">+C45*(1-C68)</f>
        <v>1207.21313672922</v>
      </c>
      <c r="D84" s="64" t="n">
        <f aca="false">+D45*(1-D68)</f>
        <v>1157.84615384615</v>
      </c>
      <c r="E84" s="64" t="n">
        <f aca="false">+E45*(1-E68)</f>
        <v>1166.69742913645</v>
      </c>
      <c r="F84" s="64" t="n">
        <f aca="false">+F45*(1-F68)</f>
        <v>1237.63579474343</v>
      </c>
      <c r="G84" s="64" t="n">
        <f aca="false">+G45*(1-G68)</f>
        <v>1274.59393939394</v>
      </c>
      <c r="H84" s="64" t="n">
        <f aca="false">+H45*(1-H68)</f>
        <v>1365.97303499713</v>
      </c>
      <c r="I84" s="64" t="n">
        <f aca="false">+I45*(1-I68)</f>
        <v>1429.68418141593</v>
      </c>
      <c r="J84" s="64" t="n">
        <f aca="false">+J45*(1-J68)</f>
        <v>580.929752066116</v>
      </c>
      <c r="K84" s="64" t="n">
        <f aca="false">+K45*(1-K68)</f>
        <v>1536.32383419689</v>
      </c>
      <c r="L84" s="64" t="n">
        <f aca="false">+L45*(1-L68)</f>
        <v>1642.76591576885</v>
      </c>
      <c r="M84" s="64" t="n">
        <f aca="false">+M45*(1-M68)</f>
        <v>1654.25966850829</v>
      </c>
      <c r="N84" s="64" t="n">
        <f aca="false">+N45*(1-N68)</f>
        <v>1795.23052245646</v>
      </c>
      <c r="O84" s="64" t="n">
        <f aca="false">+O45*(1-O68)</f>
        <v>1697.43883864826</v>
      </c>
      <c r="P84" s="64" t="n">
        <f aca="false">+P45*(1-P68)</f>
        <v>1760.65660722451</v>
      </c>
      <c r="Q84" s="64" t="n">
        <f aca="false">+Q45*(1-Q68)</f>
        <v>1853.5406360424</v>
      </c>
      <c r="R84" s="64" t="n">
        <f aca="false">+R45*(1-R68)</f>
        <v>1885.88026424443</v>
      </c>
      <c r="S84" s="64" t="n">
        <f aca="false">+S45*(1-S68)</f>
        <v>1712</v>
      </c>
      <c r="T84" s="64"/>
      <c r="U84" s="64"/>
      <c r="V84" s="64"/>
      <c r="W84" s="64"/>
      <c r="X84" s="64"/>
      <c r="Y84" s="64"/>
      <c r="Z84" s="64"/>
      <c r="AA84" s="64" t="n">
        <f aca="false">+AA45*(1-AA68)</f>
        <v>5336.31195563116</v>
      </c>
      <c r="AB84" s="64" t="n">
        <f aca="false">+AB45*(1-AB68)</f>
        <v>4903.10200560848</v>
      </c>
      <c r="AC84" s="64" t="n">
        <f aca="false">+AC45*(1-AC68)</f>
        <v>4826.67052567605</v>
      </c>
      <c r="AD84" s="64" t="n">
        <f aca="false">+AD45*(1-AD68)</f>
        <v>5308.58456071057</v>
      </c>
      <c r="AE84" s="64" t="n">
        <f aca="false">+AE45*(1-AE68)</f>
        <v>5407.21336333292</v>
      </c>
      <c r="AF84" s="64" t="n">
        <f aca="false">+AF45*(1-AF68)</f>
        <v>7106.57600468975</v>
      </c>
      <c r="AG84" s="64" t="n">
        <f aca="false">+AG45*(1-AG68)</f>
        <v>8174.76734662479</v>
      </c>
      <c r="AH84" s="64" t="n">
        <f aca="false">+AH45*(1-AH68)</f>
        <v>9128.3301213188</v>
      </c>
      <c r="AI84" s="64" t="n">
        <f aca="false">+AI45*(1-AI68)</f>
        <v>10686.4105670364</v>
      </c>
      <c r="AJ84" s="64" t="n">
        <f aca="false">+AJ45*(1-AJ68)</f>
        <v>12392.2692735422</v>
      </c>
      <c r="AK84" s="64" t="n">
        <f aca="false">+AK45*(1-AK68)</f>
        <v>13574.3970547885</v>
      </c>
      <c r="AL84" s="64" t="n">
        <f aca="false">+AL45*(1-AL68)</f>
        <v>14713.016609251</v>
      </c>
      <c r="AM84" s="64" t="n">
        <f aca="false">+AM45*(1-AM68)</f>
        <v>17497.4122824425</v>
      </c>
      <c r="AN84" s="64" t="n">
        <f aca="false">+AN45*(1-AN68)</f>
        <v>18552.1245981303</v>
      </c>
      <c r="AO84" s="64" t="n">
        <f aca="false">+AO45*(1-AO68)</f>
        <v>19461.7640240958</v>
      </c>
      <c r="AP84" s="64" t="n">
        <f aca="false">+AP45*(1-AP68)</f>
        <v>20197.3539958282</v>
      </c>
      <c r="AQ84" s="64" t="n">
        <f aca="false">+AQ45*(1-AQ68)</f>
        <v>20733.3689943844</v>
      </c>
      <c r="AR84" s="21"/>
      <c r="AS84" s="2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</row>
    <row r="85" s="3" customFormat="true" ht="12.8" hidden="false" customHeight="false" outlineLevel="0" collapsed="false">
      <c r="A85" s="64" t="s">
        <v>210</v>
      </c>
      <c r="B85" s="64" t="n">
        <f aca="false">+B45+B128+B131+B132</f>
        <v>1963</v>
      </c>
      <c r="C85" s="64" t="n">
        <f aca="false">+C45+C128+C131+C132</f>
        <v>1839</v>
      </c>
      <c r="D85" s="64" t="n">
        <f aca="false">+D45+D128+D131+D132</f>
        <v>1818</v>
      </c>
      <c r="E85" s="64" t="n">
        <f aca="false">+E45+E128+E131+E132</f>
        <v>1784</v>
      </c>
      <c r="F85" s="64" t="n">
        <f aca="false">+F45+F128+F131+F132</f>
        <v>1768</v>
      </c>
      <c r="G85" s="64" t="n">
        <f aca="false">+G45+G128+G131+G132</f>
        <v>1737</v>
      </c>
      <c r="H85" s="64" t="n">
        <f aca="false">+H45+H128+H131+H132</f>
        <v>1823</v>
      </c>
      <c r="I85" s="64" t="n">
        <f aca="false">+I45+I128+I131+I132</f>
        <v>1833</v>
      </c>
      <c r="J85" s="64" t="n">
        <f aca="false">+J45+J128+J131+J132</f>
        <v>1009</v>
      </c>
      <c r="K85" s="64" t="n">
        <f aca="false">+K45+K128+K131+K132</f>
        <v>2000</v>
      </c>
      <c r="L85" s="64" t="n">
        <f aca="false">+L45+L128+L131+L132</f>
        <v>2114</v>
      </c>
      <c r="M85" s="64" t="n">
        <f aca="false">+M45+M128+M131+M132</f>
        <v>2137</v>
      </c>
      <c r="N85" s="64" t="n">
        <f aca="false">+N45+N128+N131+N132</f>
        <v>2228</v>
      </c>
      <c r="O85" s="64" t="n">
        <f aca="false">+O45+O128+O131+O132</f>
        <v>2217</v>
      </c>
      <c r="P85" s="64" t="n">
        <f aca="false">+P45+P128+P131+P132</f>
        <v>2280</v>
      </c>
      <c r="Q85" s="64" t="n">
        <f aca="false">+Q45+Q128+Q131+Q132</f>
        <v>2336</v>
      </c>
      <c r="R85" s="64" t="n">
        <f aca="false">+R45+R128+R131+R132</f>
        <v>2702</v>
      </c>
      <c r="S85" s="64" t="n">
        <f aca="false">+S45+S128+S131+S132</f>
        <v>2578</v>
      </c>
      <c r="T85" s="64"/>
      <c r="U85" s="64"/>
      <c r="V85" s="64"/>
      <c r="W85" s="64"/>
      <c r="X85" s="64"/>
      <c r="Y85" s="64"/>
      <c r="Z85" s="64"/>
      <c r="AA85" s="64" t="n">
        <f aca="false">+AA45+AA128+AA131+AA132</f>
        <v>3608.47567609574</v>
      </c>
      <c r="AB85" s="64" t="n">
        <f aca="false">+AB45+AB128+AB131+AB132</f>
        <v>6848.11764961537</v>
      </c>
      <c r="AC85" s="64" t="n">
        <f aca="false">+AC45+AC128+AC131+AC132</f>
        <v>7403.42730694741</v>
      </c>
      <c r="AD85" s="64" t="n">
        <f aca="false">+AD45+AD128+AD131+AD132</f>
        <v>7160.53706696481</v>
      </c>
      <c r="AE85" s="64" t="n">
        <f aca="false">+AE45+AE128+AE131+AE132</f>
        <v>7259.62802488093</v>
      </c>
      <c r="AF85" s="64" t="n">
        <f aca="false">+AF45+AF128+AF131+AF132</f>
        <v>9060.43346823334</v>
      </c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</row>
    <row r="86" s="3" customFormat="true" ht="10.5" hidden="false" customHeight="true" outlineLevel="0" collapsed="false">
      <c r="A86" s="27" t="s">
        <v>155</v>
      </c>
      <c r="B86" s="25"/>
      <c r="C86" s="25"/>
      <c r="D86" s="25"/>
      <c r="E86" s="25"/>
      <c r="F86" s="25" t="n">
        <f aca="false">+F85/B85-1</f>
        <v>-0.0993377483443708</v>
      </c>
      <c r="G86" s="25" t="n">
        <f aca="false">+G85/C85-1</f>
        <v>-0.0554649265905384</v>
      </c>
      <c r="H86" s="25" t="n">
        <f aca="false">+H85/D85-1</f>
        <v>0.0027502750275028</v>
      </c>
      <c r="I86" s="25" t="n">
        <f aca="false">+I85/E85-1</f>
        <v>0.0274663677130045</v>
      </c>
      <c r="J86" s="25" t="n">
        <f aca="false">+J85/F85-1</f>
        <v>-0.429298642533937</v>
      </c>
      <c r="K86" s="25" t="n">
        <f aca="false">+K85/G85-1</f>
        <v>0.151410477835348</v>
      </c>
      <c r="L86" s="25" t="n">
        <f aca="false">+L85/H85-1</f>
        <v>0.159626988480527</v>
      </c>
      <c r="M86" s="25" t="n">
        <f aca="false">+M85/I85-1</f>
        <v>0.165848336061102</v>
      </c>
      <c r="N86" s="25" t="n">
        <f aca="false">+N85/J85-1</f>
        <v>1.20812685827552</v>
      </c>
      <c r="O86" s="25" t="n">
        <f aca="false">+O85/K85-1</f>
        <v>0.1085</v>
      </c>
      <c r="P86" s="25" t="n">
        <f aca="false">+P85/L85-1</f>
        <v>0.0785241248817408</v>
      </c>
      <c r="Q86" s="25" t="n">
        <f aca="false">+Q85/M85-1</f>
        <v>0.0931211979410389</v>
      </c>
      <c r="R86" s="25" t="n">
        <f aca="false">+R85/N85-1</f>
        <v>0.212746858168761</v>
      </c>
      <c r="S86" s="25" t="n">
        <f aca="false">+S85/O85-1</f>
        <v>0.162832656743347</v>
      </c>
      <c r="T86" s="25"/>
      <c r="U86" s="25"/>
      <c r="V86" s="25"/>
      <c r="W86" s="25"/>
      <c r="X86" s="25"/>
      <c r="Y86" s="25"/>
      <c r="Z86" s="25"/>
      <c r="AA86" s="25"/>
      <c r="AB86" s="25" t="n">
        <f aca="false">+AB85/AA85-1</f>
        <v>0.897786839739714</v>
      </c>
      <c r="AC86" s="25" t="n">
        <f aca="false">+AC85/AB85-1</f>
        <v>0.081089386272917</v>
      </c>
      <c r="AD86" s="25" t="n">
        <f aca="false">+AD85/AC85-1</f>
        <v>-0.0328078104791643</v>
      </c>
      <c r="AE86" s="25" t="n">
        <f aca="false">+AE85/AD85-1</f>
        <v>0.0138384812465091</v>
      </c>
      <c r="AF86" s="25" t="n">
        <f aca="false">+AF85/AE85-1</f>
        <v>0.248057536444086</v>
      </c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</row>
    <row r="87" s="3" customFormat="true" ht="12.8" hidden="false" customHeight="false" outlineLevel="0" collapsed="false">
      <c r="A87" s="64" t="s">
        <v>211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 t="n">
        <f aca="false">+AB84+AB128-AB137-(AB83-AA83)</f>
        <v>4942.10200560848</v>
      </c>
      <c r="AC87" s="64" t="n">
        <f aca="false">+AC84+AC128-AC137-(AC83-AB83)</f>
        <v>5349.67052567605</v>
      </c>
      <c r="AD87" s="64" t="n">
        <f aca="false">+AD84+AD128-AD137-(AD83-AC83)</f>
        <v>5559.58456071057</v>
      </c>
      <c r="AE87" s="64" t="n">
        <f aca="false">+AE84+AE128-AE137-(AE83-AD83)</f>
        <v>6486.21336333292</v>
      </c>
      <c r="AF87" s="64" t="n">
        <f aca="false">+AF84+AF128-AF137-(AF83-AE83)</f>
        <v>7846.57600468975</v>
      </c>
      <c r="AG87" s="64" t="n">
        <f aca="false">+AG84+AG128-AG137-(AG83-AF83)</f>
        <v>8166.21956661828</v>
      </c>
      <c r="AH87" s="64" t="n">
        <f aca="false">+AH84+AH128-AH137-(AH83-AG83)</f>
        <v>9876.87708906948</v>
      </c>
      <c r="AI87" s="64" t="n">
        <f aca="false">+AI84+AI128-AI137-(AI83-AH83)</f>
        <v>11590.6745226346</v>
      </c>
      <c r="AJ87" s="64" t="n">
        <f aca="false">+AJ84+AJ128-AJ137-(AJ83-AI83)</f>
        <v>12941.7639796428</v>
      </c>
      <c r="AK87" s="64" t="n">
        <f aca="false">+AK84+AK128-AK137-(AK83-AJ83)</f>
        <v>14625.3836404577</v>
      </c>
      <c r="AL87" s="64" t="n">
        <f aca="false">+AL84+AL128-AL137-(AL83-AK83)</f>
        <v>15742.9458465974</v>
      </c>
      <c r="AM87" s="64" t="n">
        <f aca="false">+AM84+AM128-AM137-(AM83-AL83)</f>
        <v>18715.2769614496</v>
      </c>
      <c r="AN87" s="64" t="n">
        <f aca="false">+AN84+AN128-AN137-(AN83-AM83)</f>
        <v>19273.8982230452</v>
      </c>
      <c r="AO87" s="64" t="n">
        <f aca="false">+AO84+AO128-AO137-(AO83-AN83)</f>
        <v>20799.8554945348</v>
      </c>
      <c r="AP87" s="64" t="n">
        <f aca="false">+AP84+AP128-AP137-(AP83-AO83)</f>
        <v>21462.8100316039</v>
      </c>
      <c r="AQ87" s="64" t="n">
        <f aca="false">+AQ84+AQ128-AQ137-(AQ83-AP83)</f>
        <v>22173.958501367</v>
      </c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</row>
    <row r="88" s="3" customFormat="true" ht="12.8" hidden="false" customHeight="false" outlineLevel="0" collapsed="false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</row>
    <row r="89" s="3" customFormat="true" ht="12.8" hidden="false" customHeight="false" outlineLevel="0" collapsed="false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</row>
    <row r="90" s="3" customFormat="true" ht="12.8" hidden="false" customHeight="false" outlineLevel="0" collapsed="false">
      <c r="A90" s="16" t="s">
        <v>212</v>
      </c>
      <c r="B90" s="16" t="n">
        <f aca="false">+B92+B93-B109-B110</f>
        <v>576</v>
      </c>
      <c r="C90" s="16" t="n">
        <f aca="false">+C92+C93-C109-C110</f>
        <v>1173</v>
      </c>
      <c r="D90" s="16" t="n">
        <f aca="false">+D92+D93-D109-D110</f>
        <v>1637</v>
      </c>
      <c r="E90" s="16" t="n">
        <f aca="false">+E92+E93-E109-E110</f>
        <v>1967</v>
      </c>
      <c r="F90" s="16" t="n">
        <f aca="false">+F92+F93-F109-F110</f>
        <v>1524</v>
      </c>
      <c r="G90" s="16" t="n">
        <f aca="false">+G92+G93-G109-G110</f>
        <v>2970</v>
      </c>
      <c r="H90" s="16" t="n">
        <f aca="false">+H92+H93-H109-H110</f>
        <v>3883</v>
      </c>
      <c r="I90" s="16" t="n">
        <f aca="false">+I92+I93-I109-I110</f>
        <v>4208</v>
      </c>
      <c r="J90" s="16" t="n">
        <f aca="false">+J92+J93-J109-J110</f>
        <v>3185</v>
      </c>
      <c r="K90" s="16" t="n">
        <f aca="false">+K92+K93-K109-K110</f>
        <v>2258</v>
      </c>
      <c r="L90" s="16" t="n">
        <f aca="false">+L92+L93-L109-L110</f>
        <v>1888</v>
      </c>
      <c r="M90" s="16" t="n">
        <f aca="false">+M92+M93-M109-M110</f>
        <v>2258</v>
      </c>
      <c r="N90" s="16" t="n">
        <f aca="false">+N92+N93-N109-N110</f>
        <v>1280</v>
      </c>
      <c r="O90" s="16" t="n">
        <f aca="false">+O92+O93-O109-O110</f>
        <v>-453</v>
      </c>
      <c r="P90" s="16" t="n">
        <f aca="false">+P92+P93-P109-P110</f>
        <v>-260</v>
      </c>
      <c r="Q90" s="16" t="n">
        <f aca="false">+Q92+Q93-Q109-Q110</f>
        <v>385</v>
      </c>
      <c r="R90" s="16" t="n">
        <f aca="false">+R92+R93-R109-R110</f>
        <v>662</v>
      </c>
      <c r="S90" s="16" t="n">
        <f aca="false">+S92+S93-S109-S110</f>
        <v>-1019</v>
      </c>
      <c r="T90" s="16" t="n">
        <f aca="false">+T92+T93-T109-T110</f>
        <v>0</v>
      </c>
      <c r="U90" s="16" t="n">
        <f aca="false">+U92+U93-U109-U110</f>
        <v>0</v>
      </c>
      <c r="V90" s="16"/>
      <c r="W90" s="16"/>
      <c r="X90" s="16"/>
      <c r="Y90" s="16"/>
      <c r="Z90" s="16"/>
      <c r="AA90" s="16" t="n">
        <f aca="false">+AA92+AA93-AA109-AA110</f>
        <v>1875</v>
      </c>
      <c r="AB90" s="16" t="n">
        <f aca="false">+AB92+AB93-AB109-AB110</f>
        <v>1675</v>
      </c>
      <c r="AC90" s="16" t="n">
        <f aca="false">+AC92+AC93-AC109-AC110</f>
        <v>1967</v>
      </c>
      <c r="AD90" s="16" t="n">
        <f aca="false">+AD92+AD93-AD109-AD110</f>
        <v>4208</v>
      </c>
      <c r="AE90" s="16" t="n">
        <f aca="false">+AE92+AE93-AE109-AE110</f>
        <v>2258</v>
      </c>
      <c r="AF90" s="16" t="n">
        <f aca="false">+AF92+AF93-AF109-AF110</f>
        <v>385</v>
      </c>
      <c r="AG90" s="16" t="n">
        <f aca="false">+AF90+AG57</f>
        <v>8622.47684662479</v>
      </c>
      <c r="AH90" s="16" t="n">
        <f aca="false">+AG90+AH57</f>
        <v>17973.3160974896</v>
      </c>
      <c r="AI90" s="16" t="n">
        <f aca="false">+AH90+AI57</f>
        <v>29079.4222796457</v>
      </c>
      <c r="AJ90" s="16" t="n">
        <f aca="false">+AI90+AJ57</f>
        <v>42246.7825661365</v>
      </c>
      <c r="AK90" s="16" t="n">
        <f aca="false">+AJ90+AK57</f>
        <v>57017.6261630414</v>
      </c>
      <c r="AL90" s="16" t="n">
        <f aca="false">+AK90+AL57</f>
        <v>73399.7563095097</v>
      </c>
      <c r="AM90" s="16" t="n">
        <f aca="false">+AL90+AM57</f>
        <v>93090.5102938565</v>
      </c>
      <c r="AN90" s="16" t="n">
        <f aca="false">+AM90+AN57</f>
        <v>114466.08072139</v>
      </c>
      <c r="AO90" s="16" t="n">
        <f aca="false">+AN90+AO57</f>
        <v>137435.308828571</v>
      </c>
      <c r="AP90" s="16" t="n">
        <f aca="false">+AO90+AP57</f>
        <v>161875.142206913</v>
      </c>
      <c r="AQ90" s="16" t="n">
        <f aca="false">+AP90+AQ57</f>
        <v>187633.065251919</v>
      </c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</row>
    <row r="91" s="3" customFormat="true" ht="12.8" hidden="false" customHeight="false" outlineLevel="0" collapsed="false">
      <c r="AR91" s="16"/>
      <c r="AS91" s="16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</row>
    <row r="92" s="3" customFormat="true" ht="12.8" hidden="false" customHeight="false" outlineLevel="0" collapsed="false">
      <c r="A92" s="3" t="s">
        <v>5</v>
      </c>
      <c r="B92" s="3" t="n">
        <v>2739</v>
      </c>
      <c r="C92" s="3" t="n">
        <v>3365</v>
      </c>
      <c r="D92" s="3" t="n">
        <v>3870</v>
      </c>
      <c r="E92" s="3" t="n">
        <v>4236</v>
      </c>
      <c r="F92" s="3" t="n">
        <v>4072</v>
      </c>
      <c r="G92" s="3" t="n">
        <v>5456</v>
      </c>
      <c r="H92" s="3" t="n">
        <v>6601</v>
      </c>
      <c r="I92" s="3" t="n">
        <v>7141</v>
      </c>
      <c r="J92" s="3" t="n">
        <v>6254</v>
      </c>
      <c r="K92" s="3" t="n">
        <v>7613</v>
      </c>
      <c r="L92" s="3" t="n">
        <v>7193</v>
      </c>
      <c r="M92" s="3" t="n">
        <v>7613</v>
      </c>
      <c r="N92" s="3" t="n">
        <v>6758</v>
      </c>
      <c r="O92" s="3" t="n">
        <v>4931</v>
      </c>
      <c r="P92" s="3" t="n">
        <v>4982</v>
      </c>
      <c r="Q92" s="3" t="n">
        <v>5431</v>
      </c>
      <c r="R92" s="3" t="n">
        <v>6332</v>
      </c>
      <c r="S92" s="3" t="n">
        <v>4919</v>
      </c>
      <c r="AA92" s="3" t="n">
        <v>4478</v>
      </c>
      <c r="AB92" s="3" t="n">
        <v>3844</v>
      </c>
      <c r="AC92" s="3" t="n">
        <v>4236</v>
      </c>
      <c r="AD92" s="3" t="n">
        <v>7141</v>
      </c>
      <c r="AE92" s="3" t="n">
        <v>7613</v>
      </c>
      <c r="AF92" s="3" t="n">
        <v>5431</v>
      </c>
    </row>
    <row r="93" s="3" customFormat="true" ht="12.8" hidden="false" customHeight="false" outlineLevel="0" collapsed="false">
      <c r="A93" s="3" t="s">
        <v>213</v>
      </c>
      <c r="B93" s="3" t="n">
        <v>1962</v>
      </c>
      <c r="C93" s="3" t="n">
        <v>1934</v>
      </c>
      <c r="D93" s="3" t="n">
        <v>1894</v>
      </c>
      <c r="E93" s="3" t="n">
        <v>1860</v>
      </c>
      <c r="F93" s="3" t="n">
        <v>1581</v>
      </c>
      <c r="G93" s="3" t="n">
        <v>1145</v>
      </c>
      <c r="H93" s="3" t="n">
        <v>915</v>
      </c>
      <c r="I93" s="3" t="n">
        <v>701</v>
      </c>
      <c r="J93" s="3" t="n">
        <v>566</v>
      </c>
      <c r="K93" s="3" t="n">
        <v>273</v>
      </c>
      <c r="L93" s="3" t="n">
        <v>322</v>
      </c>
      <c r="M93" s="3" t="n">
        <v>273</v>
      </c>
      <c r="N93" s="3" t="n">
        <v>677</v>
      </c>
      <c r="O93" s="3" t="n">
        <v>782</v>
      </c>
      <c r="P93" s="3" t="n">
        <v>958</v>
      </c>
      <c r="Q93" s="3" t="n">
        <v>1164</v>
      </c>
      <c r="R93" s="3" t="n">
        <v>558</v>
      </c>
      <c r="S93" s="3" t="n">
        <v>707</v>
      </c>
      <c r="AA93" s="3" t="n">
        <v>1514</v>
      </c>
      <c r="AB93" s="3" t="n">
        <v>1954</v>
      </c>
      <c r="AC93" s="3" t="n">
        <v>1860</v>
      </c>
      <c r="AD93" s="3" t="n">
        <v>701</v>
      </c>
      <c r="AE93" s="3" t="n">
        <v>273</v>
      </c>
      <c r="AF93" s="3" t="n">
        <v>1164</v>
      </c>
    </row>
    <row r="94" s="3" customFormat="true" ht="12.8" hidden="false" customHeight="false" outlineLevel="0" collapsed="false">
      <c r="A94" s="3" t="s">
        <v>214</v>
      </c>
      <c r="B94" s="3" t="n">
        <v>1685</v>
      </c>
      <c r="C94" s="3" t="n">
        <v>1588</v>
      </c>
      <c r="D94" s="3" t="n">
        <v>1723</v>
      </c>
      <c r="E94" s="3" t="n">
        <v>2065</v>
      </c>
      <c r="F94" s="3" t="n">
        <v>1801</v>
      </c>
      <c r="G94" s="3" t="n">
        <v>1685</v>
      </c>
      <c r="H94" s="3" t="n">
        <v>1851</v>
      </c>
      <c r="I94" s="3" t="n">
        <v>2224</v>
      </c>
      <c r="J94" s="3" t="n">
        <v>2057</v>
      </c>
      <c r="K94" s="3" t="n">
        <v>2072</v>
      </c>
      <c r="L94" s="3" t="n">
        <v>1802</v>
      </c>
      <c r="M94" s="3" t="n">
        <v>2072</v>
      </c>
      <c r="N94" s="3" t="n">
        <v>1973</v>
      </c>
      <c r="O94" s="3" t="n">
        <v>1735</v>
      </c>
      <c r="P94" s="3" t="n">
        <v>2093</v>
      </c>
      <c r="Q94" s="3" t="n">
        <v>2344</v>
      </c>
      <c r="R94" s="3" t="n">
        <v>2092</v>
      </c>
      <c r="S94" s="3" t="n">
        <v>1993</v>
      </c>
      <c r="AA94" s="3" t="n">
        <v>1398</v>
      </c>
      <c r="AB94" s="3" t="n">
        <v>1878</v>
      </c>
      <c r="AC94" s="3" t="n">
        <v>2065</v>
      </c>
      <c r="AD94" s="3" t="n">
        <v>2224</v>
      </c>
      <c r="AE94" s="3" t="n">
        <v>2072</v>
      </c>
      <c r="AF94" s="3" t="n">
        <v>2344</v>
      </c>
      <c r="AG94" s="3" t="n">
        <f aca="false">+(AG148/365)*AG23</f>
        <v>2389.3105890411</v>
      </c>
      <c r="AH94" s="3" t="n">
        <f aca="false">+(AH148/365)*AH23</f>
        <v>2647.70217061644</v>
      </c>
      <c r="AI94" s="3" t="n">
        <f aca="false">+(AI148/365)*AI23</f>
        <v>2811.3783048</v>
      </c>
      <c r="AJ94" s="3" t="n">
        <f aca="false">+(AJ148/365)*AJ23</f>
        <v>3064.402352232</v>
      </c>
      <c r="AK94" s="3" t="n">
        <f aca="false">+(AK148/365)*AK23</f>
        <v>3206.13096102273</v>
      </c>
      <c r="AL94" s="3" t="n">
        <f aca="false">+(AL148/365)*AL23</f>
        <v>3430.56012829432</v>
      </c>
      <c r="AM94" s="3" t="n">
        <f aca="false">+(AM148/365)*AM23</f>
        <v>3519.0907122503</v>
      </c>
      <c r="AN94" s="3" t="n">
        <f aca="false">+(AN148/365)*AN23</f>
        <v>3695.04524786282</v>
      </c>
      <c r="AO94" s="3" t="n">
        <f aca="false">+(AO148/365)*AO23</f>
        <v>3714.75215585142</v>
      </c>
      <c r="AP94" s="3" t="n">
        <f aca="false">+(AP148/365)*AP23</f>
        <v>3826.19472052696</v>
      </c>
      <c r="AQ94" s="3" t="n">
        <f aca="false">+(AQ148/365)*AQ23</f>
        <v>3768.14211097414</v>
      </c>
    </row>
    <row r="95" s="3" customFormat="true" ht="12.8" hidden="false" customHeight="false" outlineLevel="0" collapsed="false">
      <c r="A95" s="3" t="s">
        <v>215</v>
      </c>
      <c r="B95" s="3" t="n">
        <v>1090</v>
      </c>
      <c r="C95" s="3" t="n">
        <v>1021</v>
      </c>
      <c r="D95" s="3" t="n">
        <v>1002</v>
      </c>
      <c r="E95" s="3" t="n">
        <v>835</v>
      </c>
      <c r="F95" s="3" t="n">
        <v>888</v>
      </c>
      <c r="G95" s="3" t="n">
        <v>988</v>
      </c>
      <c r="H95" s="3" t="n">
        <v>1043</v>
      </c>
      <c r="I95" s="3" t="n">
        <v>1018</v>
      </c>
      <c r="J95" s="3" t="n">
        <v>1131</v>
      </c>
      <c r="K95" s="3" t="n">
        <v>1274</v>
      </c>
      <c r="L95" s="3" t="n">
        <v>1399</v>
      </c>
      <c r="M95" s="3" t="n">
        <v>1274</v>
      </c>
      <c r="N95" s="3" t="n">
        <v>1447</v>
      </c>
      <c r="O95" s="3" t="n">
        <v>1530</v>
      </c>
      <c r="P95" s="3" t="n">
        <v>1379</v>
      </c>
      <c r="Q95" s="3" t="n">
        <v>1224</v>
      </c>
      <c r="R95" s="3" t="n">
        <v>1404</v>
      </c>
      <c r="S95" s="3" t="n">
        <v>1449</v>
      </c>
      <c r="AA95" s="3" t="n">
        <v>756</v>
      </c>
      <c r="AB95" s="3" t="n">
        <v>993</v>
      </c>
      <c r="AC95" s="3" t="n">
        <v>835</v>
      </c>
      <c r="AD95" s="3" t="n">
        <v>1018</v>
      </c>
      <c r="AE95" s="3" t="n">
        <v>1274</v>
      </c>
      <c r="AF95" s="3" t="n">
        <v>1224</v>
      </c>
      <c r="AG95" s="65" t="n">
        <f aca="false">+AG23*0.05</f>
        <v>1325.12175</v>
      </c>
      <c r="AH95" s="65" t="n">
        <f aca="false">+AH23*0.05</f>
        <v>1464.25953375</v>
      </c>
      <c r="AI95" s="65" t="n">
        <f aca="false">+AI23*0.05</f>
        <v>1603.36418945625</v>
      </c>
      <c r="AJ95" s="65" t="n">
        <f aca="false">+AJ23*0.05</f>
        <v>1747.66696650732</v>
      </c>
      <c r="AK95" s="65" t="n">
        <f aca="false">+AK23*0.05</f>
        <v>1887.4803238279</v>
      </c>
      <c r="AL95" s="65" t="n">
        <f aca="false">+AL23*0.05</f>
        <v>2019.60394649585</v>
      </c>
      <c r="AM95" s="65" t="n">
        <f aca="false">+AM23*0.05</f>
        <v>2140.7801832856</v>
      </c>
      <c r="AN95" s="65" t="n">
        <f aca="false">+AN23*0.05</f>
        <v>2247.81919244988</v>
      </c>
      <c r="AO95" s="65" t="n">
        <f aca="false">+AO23*0.05</f>
        <v>2337.73196014788</v>
      </c>
      <c r="AP95" s="65" t="n">
        <f aca="false">+AP23*0.05</f>
        <v>2407.86391895231</v>
      </c>
      <c r="AQ95" s="65" t="n">
        <f aca="false">+AQ23*0.05</f>
        <v>2456.02119733136</v>
      </c>
    </row>
    <row r="96" s="3" customFormat="true" ht="12.8" hidden="false" customHeight="false" outlineLevel="0" collapsed="false">
      <c r="B96" s="25" t="n">
        <f aca="false">+B95/B$23</f>
        <v>0.255748474894416</v>
      </c>
      <c r="C96" s="25" t="n">
        <f aca="false">+C95/C$23</f>
        <v>0.232786137710898</v>
      </c>
      <c r="D96" s="25" t="n">
        <f aca="false">+D95/D$23</f>
        <v>0.226032032483645</v>
      </c>
      <c r="E96" s="25" t="n">
        <f aca="false">+E95/E$23</f>
        <v>0.184530386740331</v>
      </c>
      <c r="F96" s="25" t="n">
        <f aca="false">+F95/F$23</f>
        <v>0.190762620837809</v>
      </c>
      <c r="G96" s="25" t="n">
        <f aca="false">+G95/G$23</f>
        <v>0.20514950166113</v>
      </c>
      <c r="H96" s="25" t="n">
        <f aca="false">+H95/H$23</f>
        <v>0.213292433537832</v>
      </c>
      <c r="I96" s="25" t="n">
        <f aca="false">+I95/I$23</f>
        <v>0.201664025356577</v>
      </c>
      <c r="J96" s="25" t="n">
        <f aca="false">+J95/J$23</f>
        <v>0.218255499807024</v>
      </c>
      <c r="K96" s="25" t="n">
        <f aca="false">+K95/K$23</f>
        <v>0.239969862497646</v>
      </c>
      <c r="L96" s="25" t="n">
        <f aca="false">+L95/L$23</f>
        <v>0.258690828402367</v>
      </c>
      <c r="M96" s="25" t="n">
        <f aca="false">+M95/M$23</f>
        <v>0.227256510881199</v>
      </c>
      <c r="N96" s="25" t="n">
        <f aca="false">+N95/N$23</f>
        <v>0.253237661883094</v>
      </c>
      <c r="O96" s="25" t="n">
        <f aca="false">+O95/O$23</f>
        <v>0.260514217605994</v>
      </c>
      <c r="P96" s="25" t="n">
        <f aca="false">+P95/P$23</f>
        <v>0.230293921175685</v>
      </c>
      <c r="Q96" s="25" t="n">
        <f aca="false">+Q95/Q$23</f>
        <v>0.197610590894414</v>
      </c>
      <c r="R96" s="25" t="n">
        <f aca="false">+R95/R$23</f>
        <v>0.219443576117537</v>
      </c>
      <c r="S96" s="25" t="n">
        <f aca="false">+S95/S$23</f>
        <v>0.21894832275612</v>
      </c>
      <c r="AA96" s="25" t="n">
        <f aca="false">+AA95/AA$23</f>
        <v>0.0587503885607709</v>
      </c>
      <c r="AB96" s="25" t="n">
        <f aca="false">+AB95/AB$23</f>
        <v>0.0629078238834336</v>
      </c>
      <c r="AC96" s="25" t="n">
        <f aca="false">+AC95/AC$23</f>
        <v>0.0474270135181188</v>
      </c>
      <c r="AD96" s="25" t="n">
        <f aca="false">+AD95/AD$23</f>
        <v>0.0524498943788964</v>
      </c>
      <c r="AE96" s="25" t="n">
        <f aca="false">+AE95/AE$23</f>
        <v>0.0592420367356429</v>
      </c>
      <c r="AF96" s="25" t="n">
        <f aca="false">+AF95/AF$23</f>
        <v>0.0514956455887921</v>
      </c>
      <c r="AG96" s="25" t="n">
        <f aca="false">+AG95/AG$23</f>
        <v>0.05</v>
      </c>
      <c r="AH96" s="25" t="n">
        <f aca="false">+AH95/AH$23</f>
        <v>0.05</v>
      </c>
      <c r="AI96" s="25" t="n">
        <f aca="false">+AI95/AI$23</f>
        <v>0.05</v>
      </c>
      <c r="AJ96" s="25" t="n">
        <f aca="false">+AJ95/AJ$23</f>
        <v>0.05</v>
      </c>
      <c r="AK96" s="25" t="n">
        <f aca="false">+AK95/AK$23</f>
        <v>0.05</v>
      </c>
      <c r="AL96" s="25" t="n">
        <f aca="false">+AL95/AL$23</f>
        <v>0.05</v>
      </c>
      <c r="AM96" s="25" t="n">
        <f aca="false">+AM95/AM$23</f>
        <v>0.05</v>
      </c>
      <c r="AN96" s="25" t="n">
        <f aca="false">+AN95/AN$23</f>
        <v>0.05</v>
      </c>
      <c r="AO96" s="25" t="n">
        <f aca="false">+AO95/AO$23</f>
        <v>0.05</v>
      </c>
      <c r="AP96" s="25" t="n">
        <f aca="false">+AP95/AP$23</f>
        <v>0.05</v>
      </c>
      <c r="AQ96" s="25" t="n">
        <f aca="false">+AQ95/AQ$23</f>
        <v>0.05</v>
      </c>
    </row>
    <row r="97" s="3" customFormat="true" ht="12.8" hidden="false" customHeight="false" outlineLevel="0" collapsed="false">
      <c r="A97" s="3" t="s">
        <v>216</v>
      </c>
      <c r="B97" s="3" t="n">
        <v>1703</v>
      </c>
      <c r="C97" s="3" t="n">
        <v>1790</v>
      </c>
      <c r="D97" s="3" t="n">
        <v>1858</v>
      </c>
      <c r="E97" s="3" t="n">
        <v>1908</v>
      </c>
      <c r="F97" s="3" t="n">
        <v>1967</v>
      </c>
      <c r="G97" s="3" t="n">
        <v>2032</v>
      </c>
      <c r="H97" s="3" t="n">
        <v>2036</v>
      </c>
      <c r="I97" s="3" t="n">
        <v>2030</v>
      </c>
      <c r="J97" s="3" t="n">
        <v>1988</v>
      </c>
      <c r="K97" s="3" t="n">
        <v>1936</v>
      </c>
      <c r="L97" s="3" t="n">
        <v>1969</v>
      </c>
      <c r="M97" s="3" t="n">
        <v>1936</v>
      </c>
      <c r="N97" s="3" t="n">
        <v>1893</v>
      </c>
      <c r="O97" s="3" t="n">
        <v>1890</v>
      </c>
      <c r="P97" s="3" t="n">
        <v>1908</v>
      </c>
      <c r="Q97" s="3" t="n">
        <v>1873</v>
      </c>
      <c r="R97" s="3" t="n">
        <v>1852</v>
      </c>
      <c r="S97" s="3" t="n">
        <v>1870</v>
      </c>
      <c r="AA97" s="3" t="n">
        <v>1517</v>
      </c>
      <c r="AB97" s="3" t="n">
        <v>1673</v>
      </c>
      <c r="AC97" s="3" t="n">
        <v>1908</v>
      </c>
      <c r="AD97" s="3" t="n">
        <v>2030</v>
      </c>
      <c r="AE97" s="3" t="n">
        <v>1936</v>
      </c>
      <c r="AF97" s="3" t="n">
        <v>1873</v>
      </c>
    </row>
    <row r="98" s="3" customFormat="true" ht="12.8" hidden="false" customHeight="false" outlineLevel="0" collapsed="false">
      <c r="A98" s="3" t="s">
        <v>217</v>
      </c>
      <c r="B98" s="3" t="n">
        <v>435</v>
      </c>
      <c r="C98" s="3" t="n">
        <v>430</v>
      </c>
      <c r="D98" s="3" t="n">
        <v>414</v>
      </c>
      <c r="E98" s="3" t="n">
        <v>407</v>
      </c>
      <c r="F98" s="3" t="n">
        <v>402</v>
      </c>
      <c r="G98" s="3" t="n">
        <v>389</v>
      </c>
      <c r="H98" s="3" t="n">
        <v>373</v>
      </c>
      <c r="I98" s="3" t="n">
        <v>358</v>
      </c>
      <c r="J98" s="3" t="n">
        <v>366</v>
      </c>
      <c r="K98" s="3" t="n">
        <v>281</v>
      </c>
      <c r="L98" s="3" t="n">
        <v>368</v>
      </c>
      <c r="M98" s="3" t="n">
        <v>281</v>
      </c>
      <c r="N98" s="3" t="n">
        <v>266</v>
      </c>
      <c r="O98" s="3" t="n">
        <v>259</v>
      </c>
      <c r="P98" s="3" t="n">
        <v>307</v>
      </c>
      <c r="Q98" s="3" t="n">
        <v>312</v>
      </c>
      <c r="R98" s="3" t="n">
        <v>305</v>
      </c>
      <c r="S98" s="3" t="n">
        <v>299</v>
      </c>
      <c r="AA98" s="3" t="n">
        <v>487</v>
      </c>
      <c r="AB98" s="3" t="n">
        <v>443</v>
      </c>
      <c r="AC98" s="3" t="n">
        <v>407</v>
      </c>
      <c r="AD98" s="3" t="n">
        <v>358</v>
      </c>
      <c r="AE98" s="3" t="n">
        <v>281</v>
      </c>
      <c r="AF98" s="3" t="n">
        <v>312</v>
      </c>
    </row>
    <row r="99" s="3" customFormat="true" ht="12.8" hidden="false" customHeight="false" outlineLevel="0" collapsed="false">
      <c r="A99" s="3" t="s">
        <v>218</v>
      </c>
      <c r="B99" s="3" t="n">
        <v>12795</v>
      </c>
      <c r="C99" s="3" t="n">
        <v>12801</v>
      </c>
      <c r="D99" s="3" t="n">
        <v>12756</v>
      </c>
      <c r="E99" s="3" t="n">
        <v>12787</v>
      </c>
      <c r="F99" s="3" t="n">
        <v>12792</v>
      </c>
      <c r="G99" s="3" t="n">
        <v>12796</v>
      </c>
      <c r="H99" s="3" t="n">
        <v>12800</v>
      </c>
      <c r="I99" s="3" t="n">
        <v>12805</v>
      </c>
      <c r="J99" s="3" t="n">
        <v>12803</v>
      </c>
      <c r="K99" s="3" t="n">
        <v>12788</v>
      </c>
      <c r="L99" s="3" t="n">
        <v>12814</v>
      </c>
      <c r="M99" s="3" t="n">
        <v>12788</v>
      </c>
      <c r="N99" s="3" t="n">
        <v>12777</v>
      </c>
      <c r="O99" s="3" t="n">
        <v>12830</v>
      </c>
      <c r="P99" s="3" t="n">
        <v>12862</v>
      </c>
      <c r="Q99" s="3" t="n">
        <v>12857</v>
      </c>
      <c r="R99" s="3" t="n">
        <v>12869</v>
      </c>
      <c r="S99" s="3" t="n">
        <v>14041</v>
      </c>
      <c r="AA99" s="3" t="n">
        <v>10742</v>
      </c>
      <c r="AB99" s="3" t="n">
        <v>12668</v>
      </c>
      <c r="AC99" s="3" t="n">
        <v>12787</v>
      </c>
      <c r="AD99" s="3" t="n">
        <v>12805</v>
      </c>
      <c r="AE99" s="3" t="n">
        <v>12788</v>
      </c>
      <c r="AF99" s="3" t="n">
        <v>12857</v>
      </c>
    </row>
    <row r="100" s="3" customFormat="true" ht="12.8" hidden="false" customHeight="false" outlineLevel="0" collapsed="false">
      <c r="A100" s="3" t="s">
        <v>219</v>
      </c>
      <c r="B100" s="3" t="n">
        <v>1743</v>
      </c>
      <c r="C100" s="3" t="n">
        <v>1650</v>
      </c>
      <c r="D100" s="3" t="n">
        <v>1548</v>
      </c>
      <c r="E100" s="3" t="n">
        <v>1449</v>
      </c>
      <c r="F100" s="3" t="n">
        <v>1354</v>
      </c>
      <c r="G100" s="3" t="n">
        <v>1258</v>
      </c>
      <c r="H100" s="3" t="n">
        <v>1167</v>
      </c>
      <c r="I100" s="3" t="n">
        <v>1088</v>
      </c>
      <c r="J100" s="3" t="n">
        <v>1011</v>
      </c>
      <c r="K100" s="3" t="n">
        <v>782</v>
      </c>
      <c r="L100" s="3" t="n">
        <v>858</v>
      </c>
      <c r="M100" s="3" t="n">
        <v>782</v>
      </c>
      <c r="N100" s="3" t="n">
        <v>706</v>
      </c>
      <c r="O100" s="3" t="n">
        <v>631</v>
      </c>
      <c r="P100" s="3" t="n">
        <v>555</v>
      </c>
      <c r="Q100" s="3" t="n">
        <v>495</v>
      </c>
      <c r="R100" s="3" t="n">
        <v>454</v>
      </c>
      <c r="S100" s="3" t="n">
        <v>1012</v>
      </c>
      <c r="AA100" s="3" t="n">
        <v>1359</v>
      </c>
      <c r="AB100" s="3" t="n">
        <v>1820</v>
      </c>
      <c r="AC100" s="3" t="n">
        <v>1449</v>
      </c>
      <c r="AD100" s="3" t="n">
        <v>1088</v>
      </c>
      <c r="AE100" s="3" t="n">
        <v>782</v>
      </c>
      <c r="AF100" s="3" t="n">
        <v>495</v>
      </c>
    </row>
    <row r="101" s="3" customFormat="true" ht="12.8" hidden="false" customHeight="false" outlineLevel="0" collapsed="false">
      <c r="A101" s="3" t="s">
        <v>220</v>
      </c>
      <c r="B101" s="3" t="n">
        <v>950</v>
      </c>
      <c r="C101" s="3" t="n">
        <v>882</v>
      </c>
      <c r="D101" s="3" t="n">
        <v>799</v>
      </c>
      <c r="E101" s="3" t="n">
        <v>777</v>
      </c>
      <c r="F101" s="3" t="n">
        <v>826</v>
      </c>
      <c r="G101" s="3" t="n">
        <v>964</v>
      </c>
      <c r="H101" s="3" t="n">
        <v>1065</v>
      </c>
      <c r="I101" s="3" t="n">
        <v>1191</v>
      </c>
      <c r="J101" s="3" t="n">
        <v>1310</v>
      </c>
      <c r="K101" s="3" t="n">
        <v>1657</v>
      </c>
      <c r="L101" s="3" t="n">
        <v>1548</v>
      </c>
      <c r="M101" s="3" t="n">
        <v>1657</v>
      </c>
      <c r="N101" s="3" t="n">
        <v>1820</v>
      </c>
      <c r="O101" s="3" t="n">
        <v>1984</v>
      </c>
      <c r="P101" s="3" t="n">
        <v>2092</v>
      </c>
      <c r="Q101" s="3" t="n">
        <v>2186</v>
      </c>
      <c r="R101" s="3" t="n">
        <v>2138</v>
      </c>
      <c r="S101" s="3" t="n">
        <v>1998</v>
      </c>
      <c r="AA101" s="3" t="n">
        <v>1370</v>
      </c>
      <c r="AB101" s="3" t="n">
        <v>1085</v>
      </c>
      <c r="AC101" s="3" t="n">
        <v>777</v>
      </c>
      <c r="AD101" s="3" t="n">
        <v>1191</v>
      </c>
      <c r="AE101" s="3" t="n">
        <v>1657</v>
      </c>
      <c r="AF101" s="3" t="n">
        <v>2186</v>
      </c>
    </row>
    <row r="102" s="3" customFormat="true" ht="12.8" hidden="false" customHeight="false" outlineLevel="0" collapsed="false">
      <c r="A102" s="3" t="s">
        <v>221</v>
      </c>
      <c r="B102" s="3" t="n">
        <v>874</v>
      </c>
      <c r="C102" s="3" t="n">
        <v>865</v>
      </c>
      <c r="D102" s="3" t="n">
        <v>880</v>
      </c>
      <c r="E102" s="3" t="n">
        <v>841</v>
      </c>
      <c r="F102" s="3" t="n">
        <v>984</v>
      </c>
      <c r="G102" s="3" t="n">
        <v>1125</v>
      </c>
      <c r="H102" s="3" t="n">
        <v>1239</v>
      </c>
      <c r="I102" s="3" t="n">
        <v>1223</v>
      </c>
      <c r="J102" s="3" t="n">
        <v>1265</v>
      </c>
      <c r="K102" s="3" t="n">
        <v>1554</v>
      </c>
      <c r="L102" s="3" t="n">
        <v>1557</v>
      </c>
      <c r="M102" s="3" t="n">
        <v>1554</v>
      </c>
      <c r="N102" s="3" t="n">
        <v>1638</v>
      </c>
      <c r="O102" s="3" t="n">
        <v>1535</v>
      </c>
      <c r="P102" s="3" t="n">
        <v>1618</v>
      </c>
      <c r="Q102" s="3" t="n">
        <v>1610</v>
      </c>
      <c r="R102" s="3" t="n">
        <v>1700</v>
      </c>
      <c r="S102" s="3" t="n">
        <v>1645</v>
      </c>
      <c r="AA102" s="3" t="n">
        <v>663</v>
      </c>
      <c r="AB102" s="3" t="n">
        <v>883</v>
      </c>
      <c r="AC102" s="3" t="n">
        <v>841</v>
      </c>
      <c r="AD102" s="3" t="n">
        <v>1223</v>
      </c>
      <c r="AE102" s="3" t="n">
        <v>1554</v>
      </c>
      <c r="AF102" s="3" t="n">
        <v>1610</v>
      </c>
    </row>
    <row r="103" s="3" customFormat="true" ht="12.8" hidden="false" customHeight="false" outlineLevel="0" collapsed="false">
      <c r="A103" s="3" t="s">
        <v>222</v>
      </c>
      <c r="B103" s="3" t="n">
        <f aca="false">SUM(B92:B102)</f>
        <v>25976.2557484749</v>
      </c>
      <c r="C103" s="3" t="n">
        <f aca="false">SUM(C92:C102)</f>
        <v>26326.2327861377</v>
      </c>
      <c r="D103" s="3" t="n">
        <f aca="false">SUM(D92:D102)</f>
        <v>26744.2260320325</v>
      </c>
      <c r="E103" s="3" t="n">
        <f aca="false">SUM(E92:E102)</f>
        <v>27165.1845303867</v>
      </c>
      <c r="F103" s="3" t="n">
        <f aca="false">SUM(F92:F102)</f>
        <v>26667.1907626208</v>
      </c>
      <c r="G103" s="3" t="n">
        <f aca="false">SUM(G92:G102)</f>
        <v>27838.2051495017</v>
      </c>
      <c r="H103" s="3" t="n">
        <f aca="false">SUM(H92:H102)</f>
        <v>29090.2132924335</v>
      </c>
      <c r="I103" s="3" t="n">
        <f aca="false">SUM(I92:I102)</f>
        <v>29779.2016640254</v>
      </c>
      <c r="J103" s="3" t="n">
        <f aca="false">SUM(J92:J102)</f>
        <v>28751.2182554998</v>
      </c>
      <c r="K103" s="3" t="n">
        <f aca="false">SUM(K92:K102)</f>
        <v>30230.2399698625</v>
      </c>
      <c r="L103" s="3" t="n">
        <f aca="false">SUM(L92:L102)</f>
        <v>29830.2586908284</v>
      </c>
      <c r="M103" s="3" t="n">
        <f aca="false">SUM(M92:M102)</f>
        <v>30230.2272565109</v>
      </c>
      <c r="N103" s="3" t="n">
        <f aca="false">SUM(N92:N102)</f>
        <v>29955.2532376619</v>
      </c>
      <c r="O103" s="3" t="n">
        <f aca="false">SUM(O92:O102)</f>
        <v>28107.2605142176</v>
      </c>
      <c r="P103" s="3" t="n">
        <f aca="false">SUM(P92:P102)</f>
        <v>28754.2302939212</v>
      </c>
      <c r="Q103" s="3" t="n">
        <f aca="false">SUM(Q92:Q102)</f>
        <v>29496.1976105909</v>
      </c>
      <c r="R103" s="3" t="n">
        <f aca="false">SUM(R92:R102)</f>
        <v>29704.2194435761</v>
      </c>
      <c r="S103" s="3" t="n">
        <f aca="false">SUM(S92:S102)</f>
        <v>29933.2189483228</v>
      </c>
      <c r="T103" s="3" t="n">
        <f aca="false">SUM(T92:T102)</f>
        <v>0</v>
      </c>
      <c r="U103" s="3" t="n">
        <f aca="false">SUM(U92:U102)</f>
        <v>0</v>
      </c>
      <c r="AA103" s="3" t="n">
        <f aca="false">SUM(AA92:AA102)</f>
        <v>24284.0587503886</v>
      </c>
      <c r="AB103" s="3" t="n">
        <f aca="false">SUM(AB92:AB102)</f>
        <v>27241.0629078239</v>
      </c>
      <c r="AC103" s="3" t="n">
        <f aca="false">SUM(AC92:AC102)</f>
        <v>27165.0474270135</v>
      </c>
      <c r="AD103" s="3" t="n">
        <f aca="false">SUM(AD92:AD102)</f>
        <v>29779.0524498944</v>
      </c>
      <c r="AE103" s="3" t="n">
        <f aca="false">SUM(AE92:AE102)</f>
        <v>30230.0592420367</v>
      </c>
      <c r="AF103" s="3" t="n">
        <f aca="false">SUM(AF92:AF102)</f>
        <v>29496.0514956456</v>
      </c>
    </row>
    <row r="104" s="3" customFormat="true" ht="12.8" hidden="false" customHeight="false" outlineLevel="0" collapsed="false"/>
    <row r="105" s="3" customFormat="true" ht="12.8" hidden="false" customHeight="false" outlineLevel="0" collapsed="false"/>
    <row r="106" s="3" customFormat="true" ht="12.8" hidden="false" customHeight="false" outlineLevel="0" collapsed="false">
      <c r="A106" s="3" t="s">
        <v>223</v>
      </c>
      <c r="B106" s="3" t="n">
        <v>295</v>
      </c>
      <c r="C106" s="3" t="n">
        <v>366</v>
      </c>
      <c r="D106" s="3" t="n">
        <v>316</v>
      </c>
      <c r="E106" s="3" t="n">
        <v>379</v>
      </c>
      <c r="F106" s="3" t="n">
        <v>379</v>
      </c>
      <c r="G106" s="3" t="n">
        <v>346</v>
      </c>
      <c r="H106" s="3" t="n">
        <v>314</v>
      </c>
      <c r="I106" s="3" t="n">
        <v>314</v>
      </c>
      <c r="J106" s="3" t="n">
        <v>300</v>
      </c>
      <c r="K106" s="3" t="n">
        <v>361</v>
      </c>
      <c r="L106" s="3" t="n">
        <v>318</v>
      </c>
      <c r="M106" s="3" t="n">
        <v>361</v>
      </c>
      <c r="N106" s="3" t="n">
        <v>326</v>
      </c>
      <c r="O106" s="3" t="n">
        <v>360</v>
      </c>
      <c r="P106" s="3" t="n">
        <v>337</v>
      </c>
      <c r="Q106" s="3" t="n">
        <v>417</v>
      </c>
      <c r="R106" s="3" t="n">
        <v>419</v>
      </c>
      <c r="S106" s="3" t="n">
        <v>499</v>
      </c>
      <c r="AA106" s="3" t="n">
        <v>306</v>
      </c>
      <c r="AB106" s="3" t="n">
        <v>312</v>
      </c>
      <c r="AC106" s="3" t="n">
        <v>379</v>
      </c>
      <c r="AD106" s="3" t="n">
        <v>314</v>
      </c>
      <c r="AE106" s="3" t="n">
        <v>361</v>
      </c>
      <c r="AF106" s="3" t="n">
        <v>417</v>
      </c>
      <c r="AG106" s="3" t="n">
        <f aca="false">+(AG149/365)*AG31</f>
        <v>432.572879034588</v>
      </c>
      <c r="AH106" s="3" t="n">
        <f aca="false">+(AH149/365)*AH31</f>
        <v>480.388305710612</v>
      </c>
      <c r="AI106" s="3" t="n">
        <f aca="false">+(AI149/365)*AI31</f>
        <v>511.339793690604</v>
      </c>
      <c r="AJ106" s="3" t="n">
        <f aca="false">+(AJ149/365)*AJ31</f>
        <v>540.395662229543</v>
      </c>
      <c r="AK106" s="3" t="n">
        <f aca="false">+(AK149/365)*AK31</f>
        <v>564.271189489354</v>
      </c>
      <c r="AL106" s="3" t="n">
        <f aca="false">+(AL149/365)*AL31</f>
        <v>581.952485935309</v>
      </c>
      <c r="AM106" s="3" t="n">
        <f aca="false">+(AM149/365)*AM31</f>
        <v>592.569856826613</v>
      </c>
      <c r="AN106" s="3" t="n">
        <f aca="false">+(AN149/365)*AN31</f>
        <v>595.4519007406</v>
      </c>
      <c r="AO106" s="3" t="n">
        <f aca="false">+(AO149/365)*AO31</f>
        <v>590.172720866528</v>
      </c>
      <c r="AP106" s="3" t="n">
        <f aca="false">+(AP149/365)*AP31</f>
        <v>576.588351421881</v>
      </c>
      <c r="AQ106" s="3" t="n">
        <f aca="false">+(AQ149/365)*AQ31</f>
        <v>554.859011318629</v>
      </c>
    </row>
    <row r="107" s="3" customFormat="true" ht="12.8" hidden="false" customHeight="false" outlineLevel="0" collapsed="false">
      <c r="A107" s="3" t="s">
        <v>224</v>
      </c>
      <c r="B107" s="3" t="n">
        <v>1333</v>
      </c>
      <c r="C107" s="3" t="n">
        <v>1615</v>
      </c>
      <c r="D107" s="3" t="n">
        <v>1629</v>
      </c>
      <c r="E107" s="3" t="n">
        <v>1790</v>
      </c>
      <c r="F107" s="3" t="n">
        <v>1790</v>
      </c>
      <c r="G107" s="3" t="n">
        <v>1786</v>
      </c>
      <c r="H107" s="3" t="n">
        <v>1714</v>
      </c>
      <c r="I107" s="3" t="n">
        <v>1942</v>
      </c>
      <c r="J107" s="3" t="n">
        <v>1569</v>
      </c>
      <c r="K107" s="3" t="n">
        <v>2336</v>
      </c>
      <c r="L107" s="3" t="n">
        <v>1848</v>
      </c>
      <c r="M107" s="3" t="n">
        <v>2336</v>
      </c>
      <c r="N107" s="3" t="n">
        <v>1951</v>
      </c>
      <c r="O107" s="3" t="n">
        <v>2256</v>
      </c>
      <c r="P107" s="3" t="n">
        <v>2289</v>
      </c>
      <c r="Q107" s="3" t="n">
        <v>2648</v>
      </c>
      <c r="R107" s="3" t="n">
        <v>2257</v>
      </c>
      <c r="S107" s="3" t="n">
        <v>2455</v>
      </c>
      <c r="AA107" s="3" t="n">
        <v>1422</v>
      </c>
      <c r="AB107" s="3" t="n">
        <v>1736</v>
      </c>
      <c r="AC107" s="3" t="n">
        <v>1790</v>
      </c>
      <c r="AD107" s="3" t="n">
        <v>1942</v>
      </c>
      <c r="AE107" s="3" t="n">
        <v>2336</v>
      </c>
      <c r="AF107" s="3" t="n">
        <v>2648</v>
      </c>
      <c r="AG107" s="65" t="n">
        <f aca="false">+AG23*0.1</f>
        <v>2650.2435</v>
      </c>
      <c r="AH107" s="65" t="n">
        <f aca="false">+AH23*0.1</f>
        <v>2928.5190675</v>
      </c>
      <c r="AI107" s="65" t="n">
        <f aca="false">+AI23*0.1</f>
        <v>3206.7283789125</v>
      </c>
      <c r="AJ107" s="65" t="n">
        <f aca="false">+AJ23*0.09</f>
        <v>3145.80053971317</v>
      </c>
      <c r="AK107" s="65" t="n">
        <f aca="false">+AK23*0.09</f>
        <v>3397.46458289022</v>
      </c>
      <c r="AL107" s="65" t="n">
        <f aca="false">+AL23*0.09</f>
        <v>3635.28710369253</v>
      </c>
      <c r="AM107" s="65" t="n">
        <f aca="false">+AM23*0.09</f>
        <v>3853.40432991408</v>
      </c>
      <c r="AN107" s="65" t="n">
        <f aca="false">+AN23*0.08</f>
        <v>3596.51070791981</v>
      </c>
      <c r="AO107" s="65" t="n">
        <f aca="false">+AO23*0.08</f>
        <v>3740.3711362366</v>
      </c>
      <c r="AP107" s="65" t="n">
        <f aca="false">+AP23*0.08</f>
        <v>3852.5822703237</v>
      </c>
      <c r="AQ107" s="65" t="n">
        <f aca="false">+AQ23*0.08</f>
        <v>3929.63391573018</v>
      </c>
    </row>
    <row r="108" s="3" customFormat="true" ht="12.8" hidden="false" customHeight="false" outlineLevel="0" collapsed="false">
      <c r="B108" s="25" t="n">
        <f aca="false">+B107/B$23</f>
        <v>0.312763960581886</v>
      </c>
      <c r="C108" s="25" t="n">
        <f aca="false">+C107/C$23</f>
        <v>0.368217054263566</v>
      </c>
      <c r="D108" s="25" t="n">
        <f aca="false">+D107/D$23</f>
        <v>0.36747123843898</v>
      </c>
      <c r="E108" s="25" t="n">
        <f aca="false">+E107/E$23</f>
        <v>0.395580110497238</v>
      </c>
      <c r="F108" s="25" t="n">
        <f aca="false">+F107/F$23</f>
        <v>0.38453276047261</v>
      </c>
      <c r="G108" s="25" t="n">
        <f aca="false">+G107/G$23</f>
        <v>0.370847176079734</v>
      </c>
      <c r="H108" s="25" t="n">
        <f aca="false">+H107/H$23</f>
        <v>0.350511247443763</v>
      </c>
      <c r="I108" s="25" t="n">
        <f aca="false">+I107/I$23</f>
        <v>0.384706814580032</v>
      </c>
      <c r="J108" s="25" t="n">
        <f aca="false">+J107/J$23</f>
        <v>0.302778849864917</v>
      </c>
      <c r="K108" s="25" t="n">
        <f aca="false">+K107/K$23</f>
        <v>0.440007534375589</v>
      </c>
      <c r="L108" s="25" t="n">
        <f aca="false">+L107/L$23</f>
        <v>0.341715976331361</v>
      </c>
      <c r="M108" s="25" t="n">
        <f aca="false">+M107/M$23</f>
        <v>0.416696396717802</v>
      </c>
      <c r="N108" s="25" t="n">
        <f aca="false">+N107/N$23</f>
        <v>0.341442072103605</v>
      </c>
      <c r="O108" s="25" t="n">
        <f aca="false">+O107/O$23</f>
        <v>0.384130767920994</v>
      </c>
      <c r="P108" s="25" t="n">
        <f aca="false">+P107/P$23</f>
        <v>0.382264529058116</v>
      </c>
      <c r="Q108" s="25" t="n">
        <f aca="false">+Q107/Q$23</f>
        <v>0.427510494026477</v>
      </c>
      <c r="R108" s="25" t="n">
        <f aca="false">+R107/R$23</f>
        <v>0.352766489527978</v>
      </c>
      <c r="S108" s="25" t="n">
        <f aca="false">+S107/S$23</f>
        <v>0.370957993351466</v>
      </c>
      <c r="AA108" s="25" t="n">
        <f aca="false">+AA107/AA$23</f>
        <v>0.11050668324526</v>
      </c>
      <c r="AB108" s="25" t="n">
        <f aca="false">+AB107/AB$23</f>
        <v>0.109977827050998</v>
      </c>
      <c r="AC108" s="25" t="n">
        <f aca="false">+AC107/AC$23</f>
        <v>0.101669885266386</v>
      </c>
      <c r="AD108" s="25" t="n">
        <f aca="false">+AD107/AD$23</f>
        <v>0.100056674738523</v>
      </c>
      <c r="AE108" s="25" t="n">
        <f aca="false">+AE107/AE$23</f>
        <v>0.108625900953267</v>
      </c>
      <c r="AF108" s="25" t="n">
        <f aca="false">+AF107/AF$23</f>
        <v>0.111405612352223</v>
      </c>
      <c r="AG108" s="25" t="n">
        <f aca="false">+AG107/AG$23</f>
        <v>0.1</v>
      </c>
      <c r="AH108" s="25" t="n">
        <f aca="false">+AH107/AH$23</f>
        <v>0.1</v>
      </c>
      <c r="AI108" s="25" t="n">
        <f aca="false">+AI107/AI$23</f>
        <v>0.1</v>
      </c>
      <c r="AJ108" s="25" t="n">
        <f aca="false">+AJ107/AJ$23</f>
        <v>0.09</v>
      </c>
      <c r="AK108" s="25" t="n">
        <f aca="false">+AK107/AK$23</f>
        <v>0.09</v>
      </c>
      <c r="AL108" s="25" t="n">
        <f aca="false">+AL107/AL$23</f>
        <v>0.09</v>
      </c>
      <c r="AM108" s="25" t="n">
        <f aca="false">+AM107/AM$23</f>
        <v>0.09</v>
      </c>
      <c r="AN108" s="25" t="n">
        <f aca="false">+AN107/AN$23</f>
        <v>0.08</v>
      </c>
      <c r="AO108" s="25" t="n">
        <f aca="false">+AO107/AO$23</f>
        <v>0.08</v>
      </c>
      <c r="AP108" s="25" t="n">
        <f aca="false">+AP107/AP$23</f>
        <v>0.08</v>
      </c>
      <c r="AQ108" s="25" t="n">
        <f aca="false">+AQ107/AQ$23</f>
        <v>0.08</v>
      </c>
    </row>
    <row r="109" s="3" customFormat="true" ht="12.8" hidden="false" customHeight="false" outlineLevel="0" collapsed="false">
      <c r="A109" s="3" t="s">
        <v>6</v>
      </c>
      <c r="B109" s="3" t="n">
        <f aca="false">+499</f>
        <v>499</v>
      </c>
      <c r="C109" s="3" t="n">
        <f aca="false">+499</f>
        <v>499</v>
      </c>
      <c r="D109" s="3" t="n">
        <f aca="false">+500</f>
        <v>500</v>
      </c>
      <c r="E109" s="3" t="n">
        <f aca="false">+500</f>
        <v>500</v>
      </c>
      <c r="F109" s="3" t="n">
        <f aca="false">+500</f>
        <v>500</v>
      </c>
      <c r="G109" s="3" t="n">
        <f aca="false">+0</f>
        <v>0</v>
      </c>
      <c r="H109" s="3" t="n">
        <f aca="false">+0</f>
        <v>0</v>
      </c>
      <c r="I109" s="3" t="n">
        <f aca="false">+0</f>
        <v>0</v>
      </c>
      <c r="J109" s="3" t="n">
        <f aca="false">+1497</f>
        <v>1497</v>
      </c>
      <c r="K109" s="3" t="n">
        <f aca="false">+1499</f>
        <v>1499</v>
      </c>
      <c r="L109" s="3" t="n">
        <f aca="false">+1499</f>
        <v>1499</v>
      </c>
      <c r="M109" s="3" t="n">
        <f aca="false">+1499</f>
        <v>1499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f aca="false">+849</f>
        <v>849</v>
      </c>
      <c r="S109" s="3" t="n">
        <f aca="false">+1843</f>
        <v>1843</v>
      </c>
      <c r="AA109" s="3" t="n">
        <v>0</v>
      </c>
      <c r="AB109" s="3" t="n">
        <v>0</v>
      </c>
      <c r="AC109" s="3" t="n">
        <f aca="false">+500</f>
        <v>500</v>
      </c>
      <c r="AD109" s="3" t="n">
        <f aca="false">+0</f>
        <v>0</v>
      </c>
      <c r="AE109" s="3" t="n">
        <f aca="false">+1499</f>
        <v>1499</v>
      </c>
      <c r="AF109" s="3" t="n">
        <v>0</v>
      </c>
    </row>
    <row r="110" s="3" customFormat="true" ht="12.8" hidden="false" customHeight="false" outlineLevel="0" collapsed="false">
      <c r="A110" s="3" t="s">
        <v>225</v>
      </c>
      <c r="B110" s="3" t="n">
        <v>3626</v>
      </c>
      <c r="C110" s="3" t="n">
        <v>3627</v>
      </c>
      <c r="D110" s="3" t="n">
        <v>3627</v>
      </c>
      <c r="E110" s="3" t="n">
        <v>3629</v>
      </c>
      <c r="F110" s="3" t="n">
        <v>3629</v>
      </c>
      <c r="G110" s="3" t="n">
        <v>3631</v>
      </c>
      <c r="H110" s="3" t="n">
        <v>3633</v>
      </c>
      <c r="I110" s="3" t="n">
        <v>3634</v>
      </c>
      <c r="J110" s="3" t="n">
        <v>2138</v>
      </c>
      <c r="K110" s="3" t="n">
        <v>4129</v>
      </c>
      <c r="L110" s="3" t="n">
        <v>4128</v>
      </c>
      <c r="M110" s="3" t="n">
        <v>4129</v>
      </c>
      <c r="N110" s="3" t="n">
        <v>6155</v>
      </c>
      <c r="O110" s="3" t="n">
        <v>6166</v>
      </c>
      <c r="P110" s="3" t="n">
        <v>6200</v>
      </c>
      <c r="Q110" s="3" t="n">
        <v>6210</v>
      </c>
      <c r="R110" s="3" t="n">
        <v>5379</v>
      </c>
      <c r="S110" s="3" t="n">
        <v>4802</v>
      </c>
      <c r="AA110" s="3" t="n">
        <v>4117</v>
      </c>
      <c r="AB110" s="3" t="n">
        <v>4123</v>
      </c>
      <c r="AC110" s="3" t="n">
        <v>3629</v>
      </c>
      <c r="AD110" s="3" t="n">
        <v>3634</v>
      </c>
      <c r="AE110" s="3" t="n">
        <v>4129</v>
      </c>
      <c r="AF110" s="3" t="n">
        <v>6210</v>
      </c>
    </row>
    <row r="111" s="3" customFormat="true" ht="12.8" hidden="false" customHeight="false" outlineLevel="0" collapsed="false">
      <c r="A111" s="3" t="s">
        <v>226</v>
      </c>
      <c r="B111" s="3" t="n">
        <f aca="false">+4894+125</f>
        <v>5019</v>
      </c>
      <c r="C111" s="3" t="n">
        <f aca="false">+4753+123</f>
        <v>4876</v>
      </c>
      <c r="D111" s="3" t="n">
        <f aca="false">+4829+114</f>
        <v>4943</v>
      </c>
      <c r="E111" s="3" t="n">
        <f aca="false">+5297+117</f>
        <v>5414</v>
      </c>
      <c r="F111" s="3" t="n">
        <f aca="false">+5297+117</f>
        <v>5414</v>
      </c>
      <c r="G111" s="3" t="n">
        <f aca="false">+5265+116</f>
        <v>5381</v>
      </c>
      <c r="H111" s="3" t="n">
        <f aca="false">+5375+108</f>
        <v>5483</v>
      </c>
      <c r="I111" s="3" t="n">
        <f aca="false">+5837+113</f>
        <v>5950</v>
      </c>
      <c r="J111" s="3" t="n">
        <f aca="false">+5975+135</f>
        <v>6110</v>
      </c>
      <c r="K111" s="3" t="n">
        <f aca="false">+6131+128</f>
        <v>6259</v>
      </c>
      <c r="L111" s="3" t="n">
        <f aca="false">+5779+127</f>
        <v>5906</v>
      </c>
      <c r="M111" s="3" t="n">
        <f aca="false">+6131+128</f>
        <v>6259</v>
      </c>
      <c r="N111" s="3" t="n">
        <f aca="false">+143+6347</f>
        <v>6490</v>
      </c>
      <c r="O111" s="3" t="n">
        <f aca="false">+6220+114</f>
        <v>6334</v>
      </c>
      <c r="P111" s="3" t="n">
        <f aca="false">+6385+149</f>
        <v>6534</v>
      </c>
      <c r="Q111" s="3" t="n">
        <f aca="false">+125+6905</f>
        <v>7030</v>
      </c>
      <c r="R111" s="3" t="n">
        <f aca="false">+7275+95</f>
        <v>7370</v>
      </c>
      <c r="S111" s="3" t="n">
        <f aca="false">+7152+98</f>
        <v>7250</v>
      </c>
      <c r="AA111" s="3" t="n">
        <f aca="false">+3629+130</f>
        <v>3759</v>
      </c>
      <c r="AB111" s="3" t="n">
        <f aca="false">+4733+145</f>
        <v>4878</v>
      </c>
      <c r="AC111" s="3" t="n">
        <f aca="false">+5297+117</f>
        <v>5414</v>
      </c>
      <c r="AD111" s="3" t="n">
        <f aca="false">+5837+113</f>
        <v>5950</v>
      </c>
      <c r="AE111" s="3" t="n">
        <f aca="false">+6131+128</f>
        <v>6259</v>
      </c>
      <c r="AF111" s="3" t="n">
        <f aca="false">+125+6905</f>
        <v>7030</v>
      </c>
    </row>
    <row r="112" s="3" customFormat="true" ht="12.8" hidden="false" customHeight="false" outlineLevel="0" collapsed="false">
      <c r="A112" s="3" t="s">
        <v>227</v>
      </c>
      <c r="B112" s="3" t="n">
        <f aca="false">+83+540</f>
        <v>623</v>
      </c>
      <c r="C112" s="3" t="n">
        <f aca="false">+62+503</f>
        <v>565</v>
      </c>
      <c r="D112" s="3" t="n">
        <f aca="false">+76+510</f>
        <v>586</v>
      </c>
      <c r="E112" s="3" t="n">
        <f aca="false">+75+530</f>
        <v>605</v>
      </c>
      <c r="F112" s="3" t="n">
        <f aca="false">+75+530</f>
        <v>605</v>
      </c>
      <c r="G112" s="3" t="n">
        <f aca="false">+548+479</f>
        <v>1027</v>
      </c>
      <c r="H112" s="3" t="n">
        <f aca="false">+857+498</f>
        <v>1355</v>
      </c>
      <c r="I112" s="3" t="n">
        <f aca="false">+85+514</f>
        <v>599</v>
      </c>
      <c r="J112" s="3" t="n">
        <f aca="false">+123+668</f>
        <v>791</v>
      </c>
      <c r="K112" s="3" t="n">
        <f aca="false">+119+548</f>
        <v>667</v>
      </c>
      <c r="L112" s="3" t="n">
        <f aca="false">+130+585</f>
        <v>715</v>
      </c>
      <c r="M112" s="3" t="n">
        <f aca="false">+119+548</f>
        <v>667</v>
      </c>
      <c r="N112" s="3" t="n">
        <f aca="false">+465+567</f>
        <v>1032</v>
      </c>
      <c r="O112" s="3" t="n">
        <f aca="false">+129+477</f>
        <v>606</v>
      </c>
      <c r="P112" s="3" t="n">
        <f aca="false">+154+502</f>
        <v>656</v>
      </c>
      <c r="Q112" s="3" t="n">
        <f aca="false">+469+153</f>
        <v>622</v>
      </c>
      <c r="R112" s="3" t="n">
        <f aca="false">+506+487</f>
        <v>993</v>
      </c>
      <c r="S112" s="3" t="n">
        <f aca="false">+38+536</f>
        <v>574</v>
      </c>
      <c r="AA112" s="3" t="n">
        <f aca="false">+529+63</f>
        <v>592</v>
      </c>
      <c r="AB112" s="3" t="n">
        <f aca="false">+54+534</f>
        <v>588</v>
      </c>
      <c r="AC112" s="3" t="n">
        <f aca="false">+75+530</f>
        <v>605</v>
      </c>
      <c r="AD112" s="3" t="n">
        <f aca="false">+85+514</f>
        <v>599</v>
      </c>
      <c r="AE112" s="3" t="n">
        <f aca="false">+119+548</f>
        <v>667</v>
      </c>
      <c r="AF112" s="3" t="n">
        <f aca="false">+469+153</f>
        <v>622</v>
      </c>
    </row>
    <row r="113" s="3" customFormat="true" ht="12.8" hidden="false" customHeight="false" outlineLevel="0" collapsed="false">
      <c r="A113" s="3" t="s">
        <v>228</v>
      </c>
      <c r="B113" s="3" t="n">
        <f aca="false">+93+4</f>
        <v>97</v>
      </c>
      <c r="C113" s="3" t="n">
        <f aca="false">+90+4</f>
        <v>94</v>
      </c>
      <c r="D113" s="3" t="n">
        <f aca="false">+88+3</f>
        <v>91</v>
      </c>
      <c r="E113" s="3" t="n">
        <f aca="false">+87+417</f>
        <v>504</v>
      </c>
      <c r="F113" s="3" t="n">
        <f aca="false">+87+417</f>
        <v>504</v>
      </c>
      <c r="G113" s="3" t="n">
        <f aca="false">+408+74</f>
        <v>482</v>
      </c>
      <c r="H113" s="3" t="n">
        <f aca="false">+74+389</f>
        <v>463</v>
      </c>
      <c r="I113" s="3" t="n">
        <f aca="false">+373+73</f>
        <v>446</v>
      </c>
      <c r="J113" s="3" t="n">
        <f aca="false">+73+378</f>
        <v>451</v>
      </c>
      <c r="K113" s="3" t="n">
        <f aca="false">+75+353</f>
        <v>428</v>
      </c>
      <c r="L113" s="3" t="n">
        <f aca="false">+70+381</f>
        <v>451</v>
      </c>
      <c r="M113" s="3" t="n">
        <f aca="false">+75+353</f>
        <v>428</v>
      </c>
      <c r="N113" s="3" t="n">
        <f aca="false">+74+334</f>
        <v>408</v>
      </c>
      <c r="O113" s="3" t="n">
        <f aca="false">+74+323</f>
        <v>397</v>
      </c>
      <c r="P113" s="3" t="n">
        <f aca="false">+74+362</f>
        <v>436</v>
      </c>
      <c r="Q113" s="3" t="n">
        <f aca="false">+361+77</f>
        <v>438</v>
      </c>
      <c r="R113" s="3" t="n">
        <f aca="false">+344+84</f>
        <v>428</v>
      </c>
      <c r="S113" s="3" t="n">
        <f aca="false">+91+329</f>
        <v>420</v>
      </c>
      <c r="AA113" s="3" t="n">
        <f aca="false">+92+499</f>
        <v>591</v>
      </c>
      <c r="AB113" s="3" t="n">
        <f aca="false">+97+453</f>
        <v>550</v>
      </c>
      <c r="AC113" s="3" t="n">
        <f aca="false">+87+417</f>
        <v>504</v>
      </c>
      <c r="AD113" s="3" t="n">
        <f aca="false">+373+73</f>
        <v>446</v>
      </c>
      <c r="AE113" s="3" t="n">
        <f aca="false">+75+353</f>
        <v>428</v>
      </c>
      <c r="AF113" s="3" t="n">
        <f aca="false">+361+77</f>
        <v>438</v>
      </c>
    </row>
    <row r="114" s="3" customFormat="true" ht="12.8" hidden="false" customHeight="false" outlineLevel="0" collapsed="false">
      <c r="A114" s="3" t="s">
        <v>229</v>
      </c>
      <c r="B114" s="3" t="n">
        <f aca="false">+447+262</f>
        <v>709</v>
      </c>
      <c r="C114" s="3" t="n">
        <f aca="false">+257+442</f>
        <v>699</v>
      </c>
      <c r="D114" s="3" t="n">
        <f aca="false">+426+253</f>
        <v>679</v>
      </c>
      <c r="E114" s="3" t="n">
        <v>293</v>
      </c>
      <c r="F114" s="3" t="n">
        <v>293</v>
      </c>
      <c r="G114" s="3" t="n">
        <v>347</v>
      </c>
      <c r="H114" s="3" t="n">
        <v>352</v>
      </c>
      <c r="I114" s="3" t="n">
        <v>376</v>
      </c>
      <c r="J114" s="3" t="n">
        <v>435</v>
      </c>
      <c r="K114" s="3" t="n">
        <v>446</v>
      </c>
      <c r="L114" s="3" t="n">
        <v>420</v>
      </c>
      <c r="M114" s="3" t="n">
        <v>446</v>
      </c>
      <c r="N114" s="3" t="n">
        <v>498</v>
      </c>
      <c r="O114" s="3" t="n">
        <v>540</v>
      </c>
      <c r="P114" s="3" t="n">
        <v>532</v>
      </c>
      <c r="Q114" s="3" t="n">
        <v>508</v>
      </c>
      <c r="R114" s="3" t="n">
        <v>576</v>
      </c>
      <c r="S114" s="3" t="n">
        <v>572</v>
      </c>
      <c r="AA114" s="3" t="n">
        <f aca="false">+10+223</f>
        <v>233</v>
      </c>
      <c r="AB114" s="3" t="n">
        <f aca="false">+5+252</f>
        <v>257</v>
      </c>
      <c r="AC114" s="3" t="n">
        <v>293</v>
      </c>
      <c r="AD114" s="3" t="n">
        <v>376</v>
      </c>
      <c r="AE114" s="3" t="n">
        <v>446</v>
      </c>
      <c r="AF114" s="3" t="n">
        <v>508</v>
      </c>
    </row>
    <row r="115" s="3" customFormat="true" ht="12.8" hidden="false" customHeight="false" outlineLevel="0" collapsed="false">
      <c r="A115" s="3" t="s">
        <v>230</v>
      </c>
      <c r="B115" s="3" t="n">
        <f aca="false">SUM(B106:B114)</f>
        <v>12201.3127639606</v>
      </c>
      <c r="C115" s="3" t="n">
        <f aca="false">SUM(C106:C114)</f>
        <v>12341.3682170543</v>
      </c>
      <c r="D115" s="3" t="n">
        <f aca="false">SUM(D106:D114)</f>
        <v>12371.3674712384</v>
      </c>
      <c r="E115" s="3" t="n">
        <f aca="false">SUM(E106:E114)</f>
        <v>13114.3955801105</v>
      </c>
      <c r="F115" s="3" t="n">
        <f aca="false">SUM(F106:F114)</f>
        <v>13114.3845327605</v>
      </c>
      <c r="G115" s="3" t="n">
        <f aca="false">SUM(G106:G114)</f>
        <v>13000.3708471761</v>
      </c>
      <c r="H115" s="3" t="n">
        <f aca="false">SUM(H106:H114)</f>
        <v>13314.3505112474</v>
      </c>
      <c r="I115" s="3" t="n">
        <f aca="false">SUM(I106:I114)</f>
        <v>13261.3847068146</v>
      </c>
      <c r="J115" s="3" t="n">
        <f aca="false">SUM(J106:J114)</f>
        <v>13291.3027788499</v>
      </c>
      <c r="K115" s="3" t="n">
        <f aca="false">SUM(K106:K114)</f>
        <v>16125.4400075344</v>
      </c>
      <c r="L115" s="3" t="n">
        <f aca="false">SUM(L106:L114)</f>
        <v>15285.3417159763</v>
      </c>
      <c r="M115" s="3" t="n">
        <f aca="false">SUM(M106:M114)</f>
        <v>16125.4166963967</v>
      </c>
      <c r="N115" s="3" t="n">
        <f aca="false">SUM(N106:N114)</f>
        <v>16860.3414420721</v>
      </c>
      <c r="O115" s="3" t="n">
        <f aca="false">SUM(O106:O114)</f>
        <v>16659.3841307679</v>
      </c>
      <c r="P115" s="3" t="n">
        <f aca="false">SUM(P106:P114)</f>
        <v>16984.3822645291</v>
      </c>
      <c r="Q115" s="3" t="n">
        <f aca="false">SUM(Q106:Q114)</f>
        <v>17873.427510494</v>
      </c>
      <c r="R115" s="3" t="n">
        <f aca="false">SUM(R106:R114)</f>
        <v>18271.3527664895</v>
      </c>
      <c r="S115" s="3" t="n">
        <f aca="false">SUM(S106:S114)</f>
        <v>18415.3709579934</v>
      </c>
      <c r="T115" s="3" t="n">
        <f aca="false">SUM(T106:T114)</f>
        <v>0</v>
      </c>
      <c r="U115" s="3" t="n">
        <f aca="false">SUM(U106:U114)</f>
        <v>0</v>
      </c>
      <c r="AA115" s="3" t="n">
        <f aca="false">SUM(AA106:AA114)</f>
        <v>11020.1105066832</v>
      </c>
      <c r="AB115" s="3" t="n">
        <f aca="false">SUM(AB106:AB114)</f>
        <v>12444.1099778271</v>
      </c>
      <c r="AC115" s="3" t="n">
        <f aca="false">SUM(AC106:AC114)</f>
        <v>13114.1016698853</v>
      </c>
      <c r="AD115" s="3" t="n">
        <f aca="false">SUM(AD106:AD114)</f>
        <v>13261.1000566747</v>
      </c>
      <c r="AE115" s="3" t="n">
        <f aca="false">SUM(AE106:AE114)</f>
        <v>16125.108625901</v>
      </c>
      <c r="AF115" s="3" t="n">
        <f aca="false">SUM(AF106:AF114)</f>
        <v>17873.1114056124</v>
      </c>
    </row>
    <row r="116" s="3" customFormat="true" ht="12.8" hidden="false" customHeight="false" outlineLevel="0" collapsed="false">
      <c r="A116" s="3" t="s">
        <v>231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</row>
    <row r="117" s="3" customFormat="true" ht="12.8" hidden="false" customHeight="false" outlineLevel="0" collapsed="false">
      <c r="A117" s="3" t="s">
        <v>232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</row>
    <row r="118" s="3" customFormat="true" ht="12.8" hidden="false" customHeight="false" outlineLevel="0" collapsed="false">
      <c r="A118" s="3" t="s">
        <v>233</v>
      </c>
      <c r="B118" s="3" t="n">
        <v>8750</v>
      </c>
      <c r="C118" s="3" t="n">
        <v>9102</v>
      </c>
      <c r="D118" s="3" t="n">
        <v>9548</v>
      </c>
      <c r="E118" s="3" t="n">
        <v>9868</v>
      </c>
      <c r="F118" s="3" t="n">
        <v>9868</v>
      </c>
      <c r="G118" s="3" t="n">
        <v>10717</v>
      </c>
      <c r="H118" s="3" t="n">
        <v>11195</v>
      </c>
      <c r="I118" s="3" t="n">
        <v>11586</v>
      </c>
      <c r="J118" s="3" t="n">
        <v>12037</v>
      </c>
      <c r="K118" s="3" t="n">
        <v>13419</v>
      </c>
      <c r="L118" s="3" t="n">
        <v>13026</v>
      </c>
      <c r="M118" s="3" t="n">
        <v>13419</v>
      </c>
      <c r="N118" s="3" t="n">
        <v>13894</v>
      </c>
      <c r="O118" s="3" t="n">
        <v>14375</v>
      </c>
      <c r="P118" s="3" t="n">
        <v>14968</v>
      </c>
      <c r="Q118" s="3" t="n">
        <v>15361</v>
      </c>
      <c r="R118" s="3" t="n">
        <v>15870</v>
      </c>
      <c r="S118" s="3" t="n">
        <v>16416</v>
      </c>
      <c r="AA118" s="3" t="n">
        <v>7357</v>
      </c>
      <c r="AB118" s="3" t="n">
        <v>8428</v>
      </c>
      <c r="AC118" s="3" t="n">
        <v>9868</v>
      </c>
      <c r="AD118" s="3" t="n">
        <v>11586</v>
      </c>
      <c r="AE118" s="3" t="n">
        <v>13419</v>
      </c>
      <c r="AF118" s="3" t="n">
        <v>15361</v>
      </c>
    </row>
    <row r="119" s="3" customFormat="true" ht="12.8" hidden="false" customHeight="false" outlineLevel="0" collapsed="false">
      <c r="A119" s="3" t="s">
        <v>234</v>
      </c>
      <c r="B119" s="3" t="n">
        <v>24961</v>
      </c>
      <c r="C119" s="3" t="n">
        <v>26022</v>
      </c>
      <c r="D119" s="3" t="n">
        <v>27158</v>
      </c>
      <c r="E119" s="3" t="n">
        <v>28319</v>
      </c>
      <c r="F119" s="3" t="n">
        <v>28319</v>
      </c>
      <c r="G119" s="3" t="n">
        <v>30609</v>
      </c>
      <c r="H119" s="3" t="n">
        <v>32012</v>
      </c>
      <c r="I119" s="3" t="n">
        <v>33346</v>
      </c>
      <c r="J119" s="3" t="n">
        <v>33809</v>
      </c>
      <c r="K119" s="3" t="n">
        <v>38470</v>
      </c>
      <c r="L119" s="3" t="n">
        <v>36911</v>
      </c>
      <c r="M119" s="3" t="n">
        <v>38470</v>
      </c>
      <c r="N119" s="3" t="n">
        <v>40186</v>
      </c>
      <c r="O119" s="3" t="n">
        <v>41744</v>
      </c>
      <c r="P119" s="3" t="n">
        <v>43516</v>
      </c>
      <c r="Q119" s="3" t="n">
        <v>45354</v>
      </c>
      <c r="R119" s="3" t="n">
        <v>47170</v>
      </c>
      <c r="S119" s="3" t="n">
        <v>48767</v>
      </c>
      <c r="AA119" s="3" t="n">
        <v>19611</v>
      </c>
      <c r="AB119" s="3" t="n">
        <v>23905</v>
      </c>
      <c r="AC119" s="3" t="n">
        <v>28319</v>
      </c>
      <c r="AD119" s="3" t="n">
        <v>33346</v>
      </c>
      <c r="AE119" s="3" t="n">
        <v>38470</v>
      </c>
      <c r="AF119" s="3" t="n">
        <v>45354</v>
      </c>
    </row>
    <row r="120" s="3" customFormat="true" ht="12.8" hidden="false" customHeight="false" outlineLevel="0" collapsed="false">
      <c r="A120" s="3" t="s">
        <v>235</v>
      </c>
      <c r="B120" s="3" t="n">
        <v>-177</v>
      </c>
      <c r="C120" s="3" t="n">
        <v>-195</v>
      </c>
      <c r="D120" s="3" t="n">
        <v>-224</v>
      </c>
      <c r="E120" s="3" t="n">
        <v>-293</v>
      </c>
      <c r="F120" s="3" t="n">
        <v>-293</v>
      </c>
      <c r="G120" s="3" t="n">
        <v>-297</v>
      </c>
      <c r="H120" s="3" t="n">
        <v>-285</v>
      </c>
      <c r="I120" s="3" t="n">
        <v>-285</v>
      </c>
      <c r="J120" s="3" t="n">
        <v>-277</v>
      </c>
      <c r="K120" s="3" t="n">
        <v>-201</v>
      </c>
      <c r="L120" s="3" t="n">
        <v>-309</v>
      </c>
      <c r="M120" s="3" t="n">
        <v>-201</v>
      </c>
      <c r="N120" s="3" t="n">
        <v>-158</v>
      </c>
      <c r="O120" s="3" t="n">
        <v>-333</v>
      </c>
      <c r="P120" s="3" t="n">
        <v>-341</v>
      </c>
      <c r="Q120" s="3" t="n">
        <v>-245</v>
      </c>
      <c r="R120" s="3" t="n">
        <v>-295</v>
      </c>
      <c r="S120" s="3" t="n">
        <v>-247</v>
      </c>
      <c r="AA120" s="3" t="n">
        <v>-158</v>
      </c>
      <c r="AB120" s="3" t="n">
        <v>-137</v>
      </c>
      <c r="AC120" s="3" t="n">
        <v>-293</v>
      </c>
      <c r="AD120" s="3" t="n">
        <v>-285</v>
      </c>
      <c r="AE120" s="3" t="n">
        <v>-201</v>
      </c>
      <c r="AF120" s="3" t="n">
        <v>-245</v>
      </c>
    </row>
    <row r="121" s="3" customFormat="true" ht="12.8" hidden="false" customHeight="false" outlineLevel="0" collapsed="false">
      <c r="A121" s="3" t="s">
        <v>236</v>
      </c>
      <c r="B121" s="3" t="n">
        <v>-19759</v>
      </c>
      <c r="C121" s="3" t="n">
        <v>-20944</v>
      </c>
      <c r="D121" s="3" t="n">
        <v>-22109</v>
      </c>
      <c r="E121" s="3" t="n">
        <v>-23843</v>
      </c>
      <c r="F121" s="3" t="n">
        <v>-23843</v>
      </c>
      <c r="G121" s="3" t="n">
        <v>-26191</v>
      </c>
      <c r="H121" s="3" t="n">
        <v>-27146</v>
      </c>
      <c r="I121" s="3" t="n">
        <v>-28129</v>
      </c>
      <c r="J121" s="3" t="n">
        <v>-30109</v>
      </c>
      <c r="K121" s="3" t="n">
        <v>-37583</v>
      </c>
      <c r="L121" s="3" t="n">
        <v>-35083</v>
      </c>
      <c r="M121" s="3" t="n">
        <v>-37583</v>
      </c>
      <c r="N121" s="3" t="n">
        <v>-40827</v>
      </c>
      <c r="O121" s="3" t="n">
        <v>-44338</v>
      </c>
      <c r="P121" s="3" t="n">
        <v>-46373</v>
      </c>
      <c r="Q121" s="3" t="n">
        <v>-48847</v>
      </c>
      <c r="R121" s="3" t="n">
        <v>-51312</v>
      </c>
      <c r="S121" s="3" t="n">
        <v>-53418</v>
      </c>
      <c r="AA121" s="3" t="n">
        <v>-13546</v>
      </c>
      <c r="AB121" s="3" t="n">
        <v>-17399</v>
      </c>
      <c r="AC121" s="3" t="n">
        <v>-23843</v>
      </c>
      <c r="AD121" s="3" t="n">
        <v>-28129</v>
      </c>
      <c r="AE121" s="3" t="n">
        <v>-37583</v>
      </c>
      <c r="AF121" s="3" t="n">
        <v>-48847</v>
      </c>
    </row>
    <row r="122" s="3" customFormat="true" ht="12.8" hidden="false" customHeight="false" outlineLevel="0" collapsed="false">
      <c r="A122" s="3" t="s">
        <v>237</v>
      </c>
      <c r="B122" s="3" t="n">
        <f aca="false">SUM(B116:B121)</f>
        <v>13775</v>
      </c>
      <c r="C122" s="3" t="n">
        <f aca="false">SUM(C116:C121)</f>
        <v>13985</v>
      </c>
      <c r="D122" s="3" t="n">
        <f aca="false">SUM(D116:D121)</f>
        <v>14373</v>
      </c>
      <c r="E122" s="3" t="n">
        <f aca="false">SUM(E116:E121)</f>
        <v>14051</v>
      </c>
      <c r="F122" s="3" t="n">
        <f aca="false">SUM(F116:F121)</f>
        <v>14051</v>
      </c>
      <c r="G122" s="3" t="n">
        <f aca="false">SUM(G116:G121)</f>
        <v>14838</v>
      </c>
      <c r="H122" s="3" t="n">
        <f aca="false">SUM(H116:H121)</f>
        <v>15776</v>
      </c>
      <c r="I122" s="3" t="n">
        <f aca="false">SUM(I116:I121)</f>
        <v>16518</v>
      </c>
      <c r="J122" s="3" t="n">
        <f aca="false">SUM(J116:J121)</f>
        <v>15460</v>
      </c>
      <c r="K122" s="3" t="n">
        <f aca="false">SUM(K116:K121)</f>
        <v>14105</v>
      </c>
      <c r="L122" s="3" t="n">
        <f aca="false">SUM(L116:L121)</f>
        <v>14545</v>
      </c>
      <c r="M122" s="3" t="n">
        <f aca="false">SUM(M116:M121)</f>
        <v>14105</v>
      </c>
      <c r="N122" s="3" t="n">
        <f aca="false">SUM(N116:N121)</f>
        <v>13095</v>
      </c>
      <c r="O122" s="3" t="n">
        <f aca="false">SUM(O116:O121)</f>
        <v>11448</v>
      </c>
      <c r="P122" s="3" t="n">
        <f aca="false">SUM(P116:P121)</f>
        <v>11770</v>
      </c>
      <c r="Q122" s="3" t="n">
        <f aca="false">SUM(Q116:Q121)</f>
        <v>11623</v>
      </c>
      <c r="R122" s="3" t="n">
        <f aca="false">SUM(R116:R121)</f>
        <v>11433</v>
      </c>
      <c r="S122" s="3" t="n">
        <f aca="false">SUM(S116:S121)</f>
        <v>11518</v>
      </c>
      <c r="T122" s="3" t="n">
        <f aca="false">SUM(T116:T121)</f>
        <v>0</v>
      </c>
      <c r="U122" s="3" t="n">
        <f aca="false">SUM(U116:U121)</f>
        <v>0</v>
      </c>
      <c r="AA122" s="3" t="n">
        <f aca="false">SUM(AA116:AA121)</f>
        <v>13264</v>
      </c>
      <c r="AB122" s="3" t="n">
        <f aca="false">SUM(AB116:AB121)</f>
        <v>14797</v>
      </c>
      <c r="AC122" s="3" t="n">
        <f aca="false">SUM(AC116:AC121)</f>
        <v>14051</v>
      </c>
      <c r="AD122" s="3" t="n">
        <f aca="false">SUM(AD116:AD121)</f>
        <v>16518</v>
      </c>
      <c r="AE122" s="3" t="n">
        <f aca="false">SUM(AE116:AE121)</f>
        <v>14105</v>
      </c>
      <c r="AF122" s="3" t="n">
        <f aca="false">SUM(AF116:AF121)</f>
        <v>11623</v>
      </c>
    </row>
    <row r="123" s="3" customFormat="true" ht="12.8" hidden="false" customHeight="false" outlineLevel="0" collapsed="false">
      <c r="A123" s="3" t="s">
        <v>238</v>
      </c>
      <c r="B123" s="3" t="n">
        <f aca="false">+B122+B115</f>
        <v>25976.3127639606</v>
      </c>
      <c r="C123" s="3" t="n">
        <f aca="false">+C122+C115</f>
        <v>26326.3682170543</v>
      </c>
      <c r="D123" s="3" t="n">
        <f aca="false">+D122+D115</f>
        <v>26744.3674712384</v>
      </c>
      <c r="E123" s="3" t="n">
        <f aca="false">+E122+E115</f>
        <v>27165.3955801105</v>
      </c>
      <c r="F123" s="3" t="n">
        <f aca="false">+F122+F115</f>
        <v>27165.3845327605</v>
      </c>
      <c r="G123" s="3" t="n">
        <f aca="false">+G122+G115</f>
        <v>27838.3708471761</v>
      </c>
      <c r="H123" s="3" t="n">
        <f aca="false">+H122+H115</f>
        <v>29090.3505112474</v>
      </c>
      <c r="I123" s="3" t="n">
        <f aca="false">+I122+I115</f>
        <v>29779.3847068146</v>
      </c>
      <c r="J123" s="3" t="n">
        <f aca="false">+J122+J115</f>
        <v>28751.3027788499</v>
      </c>
      <c r="K123" s="3" t="n">
        <f aca="false">+K122+K115</f>
        <v>30230.4400075344</v>
      </c>
      <c r="L123" s="3" t="n">
        <f aca="false">+L122+L115</f>
        <v>29830.3417159763</v>
      </c>
      <c r="M123" s="3" t="n">
        <f aca="false">+M122+M115</f>
        <v>30230.4166963967</v>
      </c>
      <c r="N123" s="3" t="n">
        <f aca="false">+N122+N115</f>
        <v>29955.3414420721</v>
      </c>
      <c r="O123" s="3" t="n">
        <f aca="false">+O122+O115</f>
        <v>28107.3841307679</v>
      </c>
      <c r="P123" s="3" t="n">
        <f aca="false">+P122+P115</f>
        <v>28754.3822645291</v>
      </c>
      <c r="Q123" s="3" t="n">
        <f aca="false">+Q122+Q115</f>
        <v>29496.427510494</v>
      </c>
      <c r="R123" s="3" t="n">
        <f aca="false">+R122+R115</f>
        <v>29704.3527664895</v>
      </c>
      <c r="S123" s="3" t="n">
        <f aca="false">+S122+S115</f>
        <v>29933.3709579934</v>
      </c>
      <c r="T123" s="3" t="n">
        <f aca="false">+T122+T115</f>
        <v>0</v>
      </c>
      <c r="U123" s="3" t="n">
        <f aca="false">+U122+U115</f>
        <v>0</v>
      </c>
      <c r="AA123" s="3" t="n">
        <f aca="false">+AA122+AA115</f>
        <v>24284.1105066832</v>
      </c>
      <c r="AB123" s="3" t="n">
        <f aca="false">+AB122+AB115</f>
        <v>27241.1099778271</v>
      </c>
      <c r="AC123" s="3" t="n">
        <f aca="false">+AC122+AC115</f>
        <v>27165.1016698853</v>
      </c>
      <c r="AD123" s="3" t="n">
        <f aca="false">+AD122+AD115</f>
        <v>29779.1000566747</v>
      </c>
      <c r="AE123" s="3" t="n">
        <f aca="false">+AE122+AE115</f>
        <v>30230.108625901</v>
      </c>
      <c r="AF123" s="3" t="n">
        <f aca="false">+AF122+AF115</f>
        <v>29496.1114056124</v>
      </c>
    </row>
    <row r="124" s="3" customFormat="true" ht="12.8" hidden="false" customHeight="false" outlineLevel="0" collapsed="false"/>
    <row r="125" s="3" customFormat="true" ht="12.8" hidden="false" customHeight="false" outlineLevel="0" collapsed="false"/>
    <row r="126" s="3" customFormat="true" ht="12.8" hidden="false" customHeight="false" outlineLevel="0" collapsed="false">
      <c r="A126" s="3" t="s">
        <v>239</v>
      </c>
      <c r="B126" s="3" t="n">
        <f aca="false">B57</f>
        <v>1266</v>
      </c>
      <c r="C126" s="3" t="n">
        <f aca="false">C57</f>
        <v>1178</v>
      </c>
      <c r="D126" s="3" t="n">
        <f aca="false">D57</f>
        <v>1136</v>
      </c>
      <c r="E126" s="3" t="n">
        <f aca="false">E57</f>
        <v>1176</v>
      </c>
      <c r="F126" s="3" t="n">
        <f aca="false">F57</f>
        <v>1247</v>
      </c>
      <c r="G126" s="3" t="n">
        <f aca="false">G57</f>
        <v>1295</v>
      </c>
      <c r="H126" s="3" t="n">
        <f aca="false">H57</f>
        <v>1403</v>
      </c>
      <c r="I126" s="3" t="n">
        <f aca="false">I57</f>
        <v>1483</v>
      </c>
      <c r="J126" s="3" t="n">
        <f aca="false">J57</f>
        <v>620</v>
      </c>
      <c r="K126" s="3" t="n">
        <f aca="false">K57</f>
        <v>1573</v>
      </c>
      <c r="L126" s="3" t="n">
        <f aca="false">L57</f>
        <v>1684</v>
      </c>
      <c r="M126" s="3" t="n">
        <f aca="false">M57</f>
        <v>1683</v>
      </c>
      <c r="N126" s="3" t="n">
        <f aca="false">N57</f>
        <v>1811</v>
      </c>
      <c r="O126" s="3" t="n">
        <f aca="false">O57</f>
        <v>1691</v>
      </c>
      <c r="P126" s="3" t="n">
        <f aca="false">P57</f>
        <v>1772</v>
      </c>
      <c r="Q126" s="3" t="n">
        <f aca="false">Q57</f>
        <v>1856</v>
      </c>
      <c r="R126" s="3" t="n">
        <f aca="false">R57</f>
        <v>1889</v>
      </c>
      <c r="S126" s="3" t="n">
        <f aca="false">S57</f>
        <v>1712</v>
      </c>
      <c r="T126" s="3" t="n">
        <f aca="false">T57</f>
        <v>1919.615256</v>
      </c>
      <c r="U126" s="3" t="n">
        <f aca="false">U57</f>
        <v>1983.815028</v>
      </c>
      <c r="AA126" s="3" t="n">
        <f aca="false">AA57</f>
        <v>5259.47567609574</v>
      </c>
      <c r="AB126" s="3" t="n">
        <f aca="false">AB57</f>
        <v>4821.11764961537</v>
      </c>
      <c r="AC126" s="3" t="n">
        <f aca="false">AC57</f>
        <v>4755.42730694741</v>
      </c>
      <c r="AD126" s="3" t="n">
        <f aca="false">AD57</f>
        <v>5427.53706696481</v>
      </c>
      <c r="AE126" s="3" t="n">
        <f aca="false">AE57</f>
        <v>5559.62802488093</v>
      </c>
      <c r="AF126" s="3" t="n">
        <f aca="false">AF57</f>
        <v>7129.43346823334</v>
      </c>
      <c r="AG126" s="3" t="n">
        <f aca="false">AG57</f>
        <v>8237.47684662479</v>
      </c>
      <c r="AH126" s="3" t="n">
        <f aca="false">AH57</f>
        <v>9350.8392508648</v>
      </c>
      <c r="AI126" s="3" t="n">
        <f aca="false">AI57</f>
        <v>11106.1061821561</v>
      </c>
      <c r="AJ126" s="3" t="n">
        <f aca="false">AJ57</f>
        <v>13167.3602864909</v>
      </c>
      <c r="AK126" s="3" t="n">
        <f aca="false">AK57</f>
        <v>14770.8435969049</v>
      </c>
      <c r="AL126" s="3" t="n">
        <f aca="false">AL57</f>
        <v>16382.1301464683</v>
      </c>
      <c r="AM126" s="3" t="n">
        <f aca="false">AM57</f>
        <v>19690.7539843469</v>
      </c>
      <c r="AN126" s="3" t="n">
        <f aca="false">AN57</f>
        <v>21375.5704275338</v>
      </c>
      <c r="AO126" s="3" t="n">
        <f aca="false">AO57</f>
        <v>22969.2281071803</v>
      </c>
      <c r="AP126" s="3" t="n">
        <f aca="false">AP57</f>
        <v>24439.8333783424</v>
      </c>
      <c r="AQ126" s="3" t="n">
        <f aca="false">AQ57</f>
        <v>25757.9230450056</v>
      </c>
      <c r="AR126" s="15"/>
      <c r="AS126" s="15"/>
    </row>
    <row r="127" s="3" customFormat="true" ht="12.8" hidden="false" customHeight="false" outlineLevel="0" collapsed="false">
      <c r="A127" s="3" t="s">
        <v>240</v>
      </c>
      <c r="B127" s="3" t="n">
        <v>1266</v>
      </c>
      <c r="C127" s="3" t="n">
        <v>1178</v>
      </c>
      <c r="D127" s="3" t="n">
        <v>1136</v>
      </c>
      <c r="E127" s="3" t="n">
        <v>1176</v>
      </c>
      <c r="F127" s="3" t="n">
        <v>1247</v>
      </c>
      <c r="G127" s="3" t="n">
        <v>1295</v>
      </c>
      <c r="H127" s="3" t="n">
        <v>1403</v>
      </c>
      <c r="I127" s="3" t="n">
        <v>1483</v>
      </c>
      <c r="J127" s="3" t="n">
        <v>620</v>
      </c>
      <c r="K127" s="3" t="n">
        <v>1573</v>
      </c>
      <c r="L127" s="3" t="n">
        <v>1684</v>
      </c>
      <c r="M127" s="3" t="n">
        <v>1683</v>
      </c>
      <c r="N127" s="3" t="n">
        <v>1811</v>
      </c>
      <c r="O127" s="3" t="n">
        <v>1691</v>
      </c>
      <c r="P127" s="3" t="n">
        <v>1772</v>
      </c>
      <c r="Q127" s="3" t="n">
        <v>1856</v>
      </c>
      <c r="R127" s="3" t="n">
        <v>1889</v>
      </c>
      <c r="S127" s="3" t="n">
        <v>1712</v>
      </c>
      <c r="AA127" s="3" t="n">
        <v>5260</v>
      </c>
      <c r="AB127" s="3" t="n">
        <v>4822</v>
      </c>
      <c r="AC127" s="3" t="n">
        <f aca="false">SUM(B127:E127)</f>
        <v>4756</v>
      </c>
      <c r="AD127" s="3" t="n">
        <f aca="false">SUM(F127:I127)</f>
        <v>5428</v>
      </c>
      <c r="AE127" s="3" t="n">
        <f aca="false">SUM(J127:M127)</f>
        <v>5560</v>
      </c>
      <c r="AF127" s="3" t="n">
        <f aca="false">SUM(N127:Q127)</f>
        <v>7130</v>
      </c>
    </row>
    <row r="128" s="3" customFormat="true" ht="12.8" hidden="false" customHeight="false" outlineLevel="0" collapsed="false">
      <c r="A128" s="3" t="s">
        <v>241</v>
      </c>
      <c r="B128" s="3" t="n">
        <v>213</v>
      </c>
      <c r="C128" s="3" t="n">
        <v>212</v>
      </c>
      <c r="D128" s="3" t="n">
        <v>216</v>
      </c>
      <c r="E128" s="3" t="n">
        <v>215</v>
      </c>
      <c r="F128" s="3" t="n">
        <v>212</v>
      </c>
      <c r="G128" s="3" t="n">
        <v>220</v>
      </c>
      <c r="H128" s="3" t="n">
        <v>218</v>
      </c>
      <c r="I128" s="3" t="n">
        <v>222</v>
      </c>
      <c r="J128" s="3" t="n">
        <v>212</v>
      </c>
      <c r="K128" s="3" t="n">
        <v>214</v>
      </c>
      <c r="L128" s="3" t="n">
        <v>213</v>
      </c>
      <c r="M128" s="3" t="n">
        <v>218</v>
      </c>
      <c r="N128" s="3" t="n">
        <v>217</v>
      </c>
      <c r="O128" s="3" t="n">
        <v>209</v>
      </c>
      <c r="P128" s="3" t="n">
        <v>208</v>
      </c>
      <c r="Q128" s="3" t="n">
        <v>184</v>
      </c>
      <c r="R128" s="3" t="n">
        <v>174</v>
      </c>
      <c r="S128" s="3" t="n">
        <v>193</v>
      </c>
      <c r="AA128" s="3" t="n">
        <v>757</v>
      </c>
      <c r="AB128" s="3" t="n">
        <v>788</v>
      </c>
      <c r="AC128" s="3" t="n">
        <f aca="false">SUM(B128:E128)</f>
        <v>856</v>
      </c>
      <c r="AD128" s="3" t="n">
        <f aca="false">SUM(F128:I128)</f>
        <v>872</v>
      </c>
      <c r="AE128" s="3" t="n">
        <f aca="false">SUM(J128:M128)</f>
        <v>857</v>
      </c>
      <c r="AF128" s="3" t="n">
        <f aca="false">SUM(N128:Q128)</f>
        <v>818</v>
      </c>
      <c r="AG128" s="66" t="n">
        <f aca="false">+AG23*0.035</f>
        <v>927.585225</v>
      </c>
      <c r="AH128" s="66" t="n">
        <f aca="false">+AH23*0.035</f>
        <v>1024.981673625</v>
      </c>
      <c r="AI128" s="66" t="n">
        <f aca="false">+AI23*0.035</f>
        <v>1122.35493261938</v>
      </c>
      <c r="AJ128" s="66" t="n">
        <f aca="false">+AJ23*0.035</f>
        <v>1223.36687655512</v>
      </c>
      <c r="AK128" s="66" t="n">
        <f aca="false">+AK23*0.035</f>
        <v>1321.23622667953</v>
      </c>
      <c r="AL128" s="66" t="n">
        <f aca="false">+AL23*0.035</f>
        <v>1413.7227625471</v>
      </c>
      <c r="AM128" s="66" t="n">
        <f aca="false">+AM23*0.035</f>
        <v>1498.54612829992</v>
      </c>
      <c r="AN128" s="66" t="n">
        <f aca="false">+AN23*0.035</f>
        <v>1573.47343471492</v>
      </c>
      <c r="AO128" s="66" t="n">
        <f aca="false">+AO23*0.035</f>
        <v>1636.41237210351</v>
      </c>
      <c r="AP128" s="66" t="n">
        <f aca="false">+AP23*0.035</f>
        <v>1685.50474326662</v>
      </c>
      <c r="AQ128" s="66" t="n">
        <f aca="false">+AQ23*0.035</f>
        <v>1719.21483813195</v>
      </c>
    </row>
    <row r="129" s="3" customFormat="true" ht="10.5" hidden="false" customHeight="true" outlineLevel="0" collapsed="false">
      <c r="A129" s="25"/>
      <c r="B129" s="25"/>
      <c r="C129" s="25"/>
      <c r="D129" s="25"/>
      <c r="E129" s="25"/>
      <c r="F129" s="25" t="n">
        <f aca="false">+F128/B128-1</f>
        <v>-0.00469483568075113</v>
      </c>
      <c r="G129" s="25" t="n">
        <f aca="false">+G128/C128-1</f>
        <v>0.0377358490566038</v>
      </c>
      <c r="H129" s="25" t="n">
        <f aca="false">+H128/D128-1</f>
        <v>0.0092592592592593</v>
      </c>
      <c r="I129" s="25" t="n">
        <f aca="false">+I128/E128-1</f>
        <v>0.0325581395348837</v>
      </c>
      <c r="J129" s="25" t="n">
        <f aca="false">+J128/F128-1</f>
        <v>0</v>
      </c>
      <c r="K129" s="25" t="n">
        <f aca="false">+K128/G128-1</f>
        <v>-0.0272727272727272</v>
      </c>
      <c r="L129" s="25" t="n">
        <f aca="false">+L128/H128-1</f>
        <v>-0.0229357798165137</v>
      </c>
      <c r="M129" s="25" t="n">
        <f aca="false">+M128/I128-1</f>
        <v>-0.0180180180180181</v>
      </c>
      <c r="N129" s="25" t="n">
        <f aca="false">+N128/J128-1</f>
        <v>0.0235849056603774</v>
      </c>
      <c r="O129" s="25" t="n">
        <f aca="false">+O128/K128-1</f>
        <v>-0.0233644859813084</v>
      </c>
      <c r="P129" s="25" t="n">
        <f aca="false">+P128/L128-1</f>
        <v>-0.0234741784037559</v>
      </c>
      <c r="Q129" s="25" t="n">
        <f aca="false">+Q128/M128-1</f>
        <v>-0.155963302752294</v>
      </c>
      <c r="R129" s="25" t="n">
        <f aca="false">+R128/N128-1</f>
        <v>-0.19815668202765</v>
      </c>
      <c r="S129" s="25" t="n">
        <f aca="false">+S128/O128-1</f>
        <v>-0.0765550239234449</v>
      </c>
      <c r="T129" s="25"/>
      <c r="U129" s="25"/>
      <c r="V129" s="25"/>
      <c r="W129" s="25"/>
      <c r="X129" s="25"/>
      <c r="Y129" s="25"/>
      <c r="Z129" s="25"/>
      <c r="AA129" s="25" t="n">
        <f aca="false">+AA128/AA$23</f>
        <v>0.0588281007149518</v>
      </c>
      <c r="AB129" s="25" t="n">
        <f aca="false">+AB128/AB$23</f>
        <v>0.0499208108964207</v>
      </c>
      <c r="AC129" s="25" t="n">
        <f aca="false">+AC128/AC$23</f>
        <v>0.0486197887083949</v>
      </c>
      <c r="AD129" s="25" t="n">
        <f aca="false">+AD128/AD$23</f>
        <v>0.0449276109021588</v>
      </c>
      <c r="AE129" s="25" t="n">
        <f aca="false">+AE128/AE$23</f>
        <v>0.0398511973959544</v>
      </c>
      <c r="AF129" s="25" t="n">
        <f aca="false">+AF128/AF$23</f>
        <v>0.0344145736042745</v>
      </c>
      <c r="AG129" s="25" t="n">
        <f aca="false">+AG128/AG$23</f>
        <v>0.035</v>
      </c>
      <c r="AH129" s="25" t="n">
        <f aca="false">+AH128/AH$23</f>
        <v>0.035</v>
      </c>
      <c r="AI129" s="25" t="n">
        <f aca="false">+AI128/AI$23</f>
        <v>0.035</v>
      </c>
      <c r="AJ129" s="25" t="n">
        <f aca="false">+AJ128/AJ$23</f>
        <v>0.035</v>
      </c>
      <c r="AK129" s="25" t="n">
        <f aca="false">+AK128/AK$23</f>
        <v>0.035</v>
      </c>
      <c r="AL129" s="25" t="n">
        <f aca="false">+AL128/AL$23</f>
        <v>0.035</v>
      </c>
      <c r="AM129" s="25" t="n">
        <f aca="false">+AM128/AM$23</f>
        <v>0.035</v>
      </c>
      <c r="AN129" s="25" t="n">
        <f aca="false">+AN128/AN$23</f>
        <v>0.035</v>
      </c>
      <c r="AO129" s="25" t="n">
        <f aca="false">+AO128/AO$23</f>
        <v>0.035</v>
      </c>
      <c r="AP129" s="25" t="n">
        <f aca="false">+AP128/AP$23</f>
        <v>0.035</v>
      </c>
      <c r="AQ129" s="25" t="n">
        <f aca="false">+AQ128/AQ$23</f>
        <v>0.035</v>
      </c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</row>
    <row r="130" s="3" customFormat="true" ht="12.8" hidden="false" customHeight="false" outlineLevel="0" collapsed="false">
      <c r="A130" s="3" t="s">
        <v>242</v>
      </c>
      <c r="B130" s="3" t="n">
        <v>322</v>
      </c>
      <c r="C130" s="3" t="n">
        <v>352</v>
      </c>
      <c r="D130" s="3" t="n">
        <v>378</v>
      </c>
      <c r="E130" s="3" t="n">
        <v>388</v>
      </c>
      <c r="F130" s="3" t="n">
        <v>416</v>
      </c>
      <c r="G130" s="3" t="n">
        <v>433</v>
      </c>
      <c r="H130" s="3" t="n">
        <v>442</v>
      </c>
      <c r="I130" s="3" t="n">
        <v>427</v>
      </c>
      <c r="J130" s="3" t="n">
        <v>451</v>
      </c>
      <c r="K130" s="3" t="n">
        <v>467</v>
      </c>
      <c r="L130" s="3" t="n">
        <v>474</v>
      </c>
      <c r="M130" s="3" t="n">
        <v>441</v>
      </c>
      <c r="N130" s="3" t="n">
        <v>475</v>
      </c>
      <c r="O130" s="3" t="n">
        <v>481</v>
      </c>
      <c r="P130" s="3" t="n">
        <v>497</v>
      </c>
      <c r="Q130" s="3" t="n">
        <v>489</v>
      </c>
      <c r="R130" s="3" t="n">
        <v>509</v>
      </c>
      <c r="S130" s="3" t="n">
        <v>534</v>
      </c>
      <c r="AA130" s="3" t="n">
        <v>909</v>
      </c>
      <c r="AB130" s="3" t="n">
        <v>1069</v>
      </c>
      <c r="AC130" s="3" t="n">
        <f aca="false">SUM(B130:E130)</f>
        <v>1440</v>
      </c>
      <c r="AD130" s="3" t="n">
        <f aca="false">SUM(F130:I130)</f>
        <v>1718</v>
      </c>
      <c r="AE130" s="3" t="n">
        <f aca="false">SUM(J130:M130)</f>
        <v>1833</v>
      </c>
      <c r="AF130" s="3" t="n">
        <f aca="false">SUM(N130:Q130)</f>
        <v>1942</v>
      </c>
    </row>
    <row r="131" s="3" customFormat="true" ht="12.8" hidden="false" customHeight="false" outlineLevel="0" collapsed="false">
      <c r="A131" s="3" t="s">
        <v>243</v>
      </c>
      <c r="B131" s="3" t="n">
        <v>17</v>
      </c>
      <c r="C131" s="3" t="n">
        <v>10</v>
      </c>
      <c r="D131" s="3" t="n">
        <v>6</v>
      </c>
      <c r="E131" s="3" t="n">
        <v>-4</v>
      </c>
      <c r="F131" s="3" t="n">
        <v>3</v>
      </c>
      <c r="G131" s="3" t="n">
        <v>-5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78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70</v>
      </c>
      <c r="AA131" s="3" t="n">
        <v>-11</v>
      </c>
      <c r="AB131" s="3" t="n">
        <v>-4</v>
      </c>
      <c r="AC131" s="3" t="n">
        <f aca="false">SUM(B131:E131)</f>
        <v>29</v>
      </c>
      <c r="AD131" s="3" t="n">
        <f aca="false">SUM(F131:I131)</f>
        <v>-2</v>
      </c>
      <c r="AE131" s="3" t="n">
        <f aca="false">SUM(J131:M131)</f>
        <v>78</v>
      </c>
      <c r="AF131" s="3" t="n">
        <f aca="false">SUM(N131:Q131)</f>
        <v>0</v>
      </c>
    </row>
    <row r="132" s="3" customFormat="true" ht="12.8" hidden="false" customHeight="false" outlineLevel="0" collapsed="false">
      <c r="A132" s="3" t="s">
        <v>244</v>
      </c>
      <c r="B132" s="3" t="n">
        <v>153</v>
      </c>
      <c r="C132" s="3" t="n">
        <v>88</v>
      </c>
      <c r="D132" s="3" t="n">
        <v>112</v>
      </c>
      <c r="E132" s="3" t="n">
        <v>68</v>
      </c>
      <c r="F132" s="3" t="n">
        <v>-33</v>
      </c>
      <c r="G132" s="3" t="n">
        <v>-102</v>
      </c>
      <c r="H132" s="3" t="n">
        <f aca="false">-87-5</f>
        <v>-92</v>
      </c>
      <c r="I132" s="3" t="n">
        <f aca="false">-129-3</f>
        <v>-132</v>
      </c>
      <c r="J132" s="3" t="n">
        <v>-110</v>
      </c>
      <c r="K132" s="3" t="n">
        <v>-99</v>
      </c>
      <c r="L132" s="3" t="n">
        <v>-91</v>
      </c>
      <c r="M132" s="3" t="n">
        <v>-116</v>
      </c>
      <c r="N132" s="3" t="n">
        <v>-152</v>
      </c>
      <c r="O132" s="3" t="n">
        <v>-101</v>
      </c>
      <c r="P132" s="3" t="n">
        <v>-101</v>
      </c>
      <c r="Q132" s="3" t="n">
        <v>-109</v>
      </c>
      <c r="R132" s="3" t="n">
        <v>110</v>
      </c>
      <c r="S132" s="3" t="n">
        <v>77</v>
      </c>
      <c r="AA132" s="3" t="n">
        <v>-1374</v>
      </c>
      <c r="AB132" s="3" t="n">
        <v>263</v>
      </c>
      <c r="AC132" s="3" t="n">
        <f aca="false">SUM(B132:E132)</f>
        <v>421</v>
      </c>
      <c r="AD132" s="3" t="n">
        <f aca="false">SUM(F132:I132)</f>
        <v>-359</v>
      </c>
      <c r="AE132" s="3" t="n">
        <f aca="false">SUM(J132:M132)</f>
        <v>-416</v>
      </c>
      <c r="AF132" s="3" t="n">
        <f aca="false">SUM(N132:Q132)</f>
        <v>-463</v>
      </c>
    </row>
    <row r="133" s="3" customFormat="true" ht="12.8" hidden="false" customHeight="false" outlineLevel="0" collapsed="false">
      <c r="A133" s="3" t="s">
        <v>245</v>
      </c>
      <c r="B133" s="3" t="n">
        <v>141</v>
      </c>
      <c r="C133" s="3" t="n">
        <v>-143</v>
      </c>
      <c r="D133" s="3" t="n">
        <v>67</v>
      </c>
      <c r="E133" s="3" t="n">
        <v>471</v>
      </c>
      <c r="F133" s="3" t="n">
        <v>63</v>
      </c>
      <c r="G133" s="3" t="n">
        <v>-96</v>
      </c>
      <c r="H133" s="3" t="n">
        <v>102</v>
      </c>
      <c r="I133" s="3" t="n">
        <v>467</v>
      </c>
      <c r="J133" s="3" t="n">
        <v>160</v>
      </c>
      <c r="K133" s="3" t="n">
        <v>-424</v>
      </c>
      <c r="L133" s="3" t="n">
        <v>220</v>
      </c>
      <c r="M133" s="3" t="n">
        <v>353</v>
      </c>
      <c r="N133" s="3" t="n">
        <v>231</v>
      </c>
      <c r="O133" s="3" t="n">
        <v>-156</v>
      </c>
      <c r="P133" s="3" t="n">
        <v>200</v>
      </c>
      <c r="Q133" s="3" t="n">
        <v>496</v>
      </c>
      <c r="R133" s="3" t="n">
        <v>340</v>
      </c>
      <c r="S133" s="3" t="n">
        <v>-223</v>
      </c>
      <c r="AA133" s="3" t="n">
        <v>258</v>
      </c>
      <c r="AB133" s="3" t="n">
        <v>1053</v>
      </c>
      <c r="AC133" s="3" t="n">
        <f aca="false">SUM(B133:E133)</f>
        <v>536</v>
      </c>
      <c r="AD133" s="3" t="n">
        <f aca="false">SUM(F133:I133)</f>
        <v>536</v>
      </c>
      <c r="AE133" s="3" t="n">
        <f aca="false">SUM(J133:M133)</f>
        <v>309</v>
      </c>
      <c r="AF133" s="3" t="n">
        <f aca="false">SUM(N133:Q133)</f>
        <v>771</v>
      </c>
      <c r="AR133" s="67"/>
      <c r="AS133" s="67"/>
    </row>
    <row r="134" s="3" customFormat="true" ht="12.8" hidden="false" customHeight="false" outlineLevel="0" collapsed="false">
      <c r="A134" s="3" t="s">
        <v>246</v>
      </c>
      <c r="B134" s="3" t="n">
        <v>-343</v>
      </c>
      <c r="C134" s="3" t="n">
        <v>343</v>
      </c>
      <c r="D134" s="3" t="n">
        <v>-211</v>
      </c>
      <c r="E134" s="3" t="n">
        <v>11</v>
      </c>
      <c r="F134" s="3" t="n">
        <v>-215</v>
      </c>
      <c r="G134" s="3" t="n">
        <v>394</v>
      </c>
      <c r="H134" s="3" t="n">
        <v>-200</v>
      </c>
      <c r="I134" s="3" t="n">
        <v>-870</v>
      </c>
      <c r="J134" s="3" t="n">
        <v>-159</v>
      </c>
      <c r="K134" s="3" t="n">
        <v>209</v>
      </c>
      <c r="L134" s="3" t="n">
        <v>-479</v>
      </c>
      <c r="M134" s="3" t="n">
        <v>264</v>
      </c>
      <c r="N134" s="3" t="n">
        <v>-100</v>
      </c>
      <c r="O134" s="3" t="n">
        <v>67</v>
      </c>
      <c r="P134" s="3" t="n">
        <v>-378</v>
      </c>
      <c r="Q134" s="3" t="n">
        <v>244</v>
      </c>
      <c r="R134" s="3" t="n">
        <v>-64</v>
      </c>
      <c r="S134" s="3" t="n">
        <v>-198</v>
      </c>
      <c r="AA134" s="3" t="n">
        <v>-72</v>
      </c>
      <c r="AB134" s="3" t="n">
        <v>-761</v>
      </c>
      <c r="AC134" s="3" t="n">
        <f aca="false">SUM(B134:E134)</f>
        <v>-200</v>
      </c>
      <c r="AD134" s="3" t="n">
        <f aca="false">SUM(F134:I134)</f>
        <v>-891</v>
      </c>
      <c r="AE134" s="3" t="n">
        <f aca="false">SUM(J134:M134)</f>
        <v>-165</v>
      </c>
      <c r="AF134" s="3" t="n">
        <f aca="false">SUM(N134:Q134)</f>
        <v>-167</v>
      </c>
    </row>
    <row r="135" s="3" customFormat="true" ht="12.8" hidden="false" customHeight="false" outlineLevel="0" collapsed="false">
      <c r="A135" s="3" t="s">
        <v>247</v>
      </c>
      <c r="B135" s="3" t="n">
        <f aca="false">SUM(B127:B134)</f>
        <v>1769</v>
      </c>
      <c r="C135" s="3" t="n">
        <f aca="false">SUM(C127:C134)</f>
        <v>2040</v>
      </c>
      <c r="D135" s="3" t="n">
        <f aca="false">SUM(D127:D134)</f>
        <v>1704</v>
      </c>
      <c r="E135" s="3" t="n">
        <f aca="false">SUM(E127:E134)</f>
        <v>2325</v>
      </c>
      <c r="F135" s="3" t="n">
        <f aca="false">SUM(F127:F134)</f>
        <v>1692.99530516432</v>
      </c>
      <c r="G135" s="3" t="n">
        <f aca="false">SUM(G127:G134)</f>
        <v>2139.03773584906</v>
      </c>
      <c r="H135" s="3" t="n">
        <f aca="false">SUM(H127:H134)</f>
        <v>1873.00925925926</v>
      </c>
      <c r="I135" s="3" t="n">
        <f aca="false">SUM(I127:I134)</f>
        <v>1597.03255813953</v>
      </c>
      <c r="J135" s="3" t="n">
        <f aca="false">SUM(J127:J134)</f>
        <v>1174</v>
      </c>
      <c r="K135" s="3" t="n">
        <f aca="false">SUM(K127:K134)</f>
        <v>1939.97272727273</v>
      </c>
      <c r="L135" s="3" t="n">
        <f aca="false">SUM(L127:L134)</f>
        <v>2020.97706422018</v>
      </c>
      <c r="M135" s="3" t="n">
        <f aca="false">SUM(M127:M134)</f>
        <v>2920.98198198198</v>
      </c>
      <c r="N135" s="3" t="n">
        <f aca="false">SUM(N127:N134)</f>
        <v>2482.02358490566</v>
      </c>
      <c r="O135" s="3" t="n">
        <f aca="false">SUM(O127:O134)</f>
        <v>2190.97663551402</v>
      </c>
      <c r="P135" s="3" t="n">
        <f aca="false">SUM(P127:P134)</f>
        <v>2197.9765258216</v>
      </c>
      <c r="Q135" s="3" t="n">
        <f aca="false">SUM(Q127:Q134)</f>
        <v>3159.84403669725</v>
      </c>
      <c r="R135" s="3" t="n">
        <f aca="false">SUM(R127:R134)</f>
        <v>2957.80184331797</v>
      </c>
      <c r="S135" s="3" t="n">
        <f aca="false">SUM(S127:S134)</f>
        <v>2164.92344497608</v>
      </c>
      <c r="T135" s="3" t="n">
        <f aca="false">SUM(T127:T134)</f>
        <v>0</v>
      </c>
      <c r="U135" s="3" t="n">
        <f aca="false">SUM(U127:U134)</f>
        <v>0</v>
      </c>
      <c r="AA135" s="3" t="n">
        <f aca="false">SUM(AA127:AA134)</f>
        <v>5727.05882810072</v>
      </c>
      <c r="AB135" s="3" t="n">
        <f aca="false">SUM(AB127:AB134)</f>
        <v>7230.0499208109</v>
      </c>
      <c r="AC135" s="3" t="n">
        <f aca="false">SUM(AC127:AC134)</f>
        <v>7838.04861978871</v>
      </c>
      <c r="AD135" s="3" t="n">
        <f aca="false">SUM(AD127:AD134)</f>
        <v>7302.0449276109</v>
      </c>
      <c r="AE135" s="3" t="n">
        <f aca="false">SUM(AE127:AE134)</f>
        <v>8056.0398511974</v>
      </c>
      <c r="AF135" s="3" t="n">
        <f aca="false">SUM(AF127:AF134)</f>
        <v>10031.0344145736</v>
      </c>
    </row>
    <row r="136" s="3" customFormat="true" ht="12.8" hidden="false" customHeight="false" outlineLevel="0" collapsed="false"/>
    <row r="137" s="3" customFormat="true" ht="12.8" hidden="false" customHeight="false" outlineLevel="0" collapsed="false">
      <c r="A137" s="3" t="s">
        <v>248</v>
      </c>
      <c r="B137" s="3" t="n">
        <v>100</v>
      </c>
      <c r="C137" s="3" t="n">
        <v>126</v>
      </c>
      <c r="D137" s="3" t="n">
        <v>125</v>
      </c>
      <c r="E137" s="3" t="n">
        <v>91</v>
      </c>
      <c r="F137" s="3" t="n">
        <v>101</v>
      </c>
      <c r="G137" s="3" t="n">
        <v>121</v>
      </c>
      <c r="H137" s="3" t="n">
        <v>91</v>
      </c>
      <c r="I137" s="3" t="n">
        <v>47</v>
      </c>
      <c r="J137" s="3" t="n">
        <v>37</v>
      </c>
      <c r="K137" s="3" t="n">
        <v>41</v>
      </c>
      <c r="L137" s="3" t="n">
        <v>57</v>
      </c>
      <c r="M137" s="3" t="n">
        <v>48</v>
      </c>
      <c r="N137" s="3" t="n">
        <v>26</v>
      </c>
      <c r="O137" s="3" t="n">
        <v>47</v>
      </c>
      <c r="P137" s="3" t="n">
        <v>72</v>
      </c>
      <c r="Q137" s="3" t="n">
        <v>34</v>
      </c>
      <c r="R137" s="3" t="n">
        <v>37</v>
      </c>
      <c r="S137" s="3" t="n">
        <v>58</v>
      </c>
      <c r="AA137" s="3" t="n">
        <v>419</v>
      </c>
      <c r="AB137" s="3" t="n">
        <v>348</v>
      </c>
      <c r="AC137" s="3" t="n">
        <f aca="false">SUM(B137:E137)</f>
        <v>442</v>
      </c>
      <c r="AD137" s="3" t="n">
        <f aca="false">SUM(F137:I137)</f>
        <v>360</v>
      </c>
      <c r="AE137" s="3" t="n">
        <f aca="false">SUM(J137:M137)</f>
        <v>183</v>
      </c>
      <c r="AF137" s="3" t="n">
        <f aca="false">SUM(N137:Q137)</f>
        <v>179</v>
      </c>
      <c r="AG137" s="66" t="n">
        <f aca="false">+AG23*0.007</f>
        <v>185.517045</v>
      </c>
      <c r="AH137" s="66" t="n">
        <f aca="false">+AH23*0.007</f>
        <v>204.996334725</v>
      </c>
      <c r="AI137" s="66" t="n">
        <f aca="false">+AI23*0.007</f>
        <v>224.470986523875</v>
      </c>
      <c r="AJ137" s="66" t="n">
        <f aca="false">+AJ23*0.007</f>
        <v>244.673375311024</v>
      </c>
      <c r="AK137" s="66" t="n">
        <f aca="false">+AK23*0.007</f>
        <v>264.247245335906</v>
      </c>
      <c r="AL137" s="66" t="n">
        <f aca="false">+AL23*0.007</f>
        <v>282.744552509419</v>
      </c>
      <c r="AM137" s="66" t="n">
        <f aca="false">+AM23*0.007</f>
        <v>299.709225659984</v>
      </c>
      <c r="AN137" s="66" t="n">
        <f aca="false">+AN23*0.007</f>
        <v>314.694686942983</v>
      </c>
      <c r="AO137" s="66" t="n">
        <f aca="false">+AO23*0.007</f>
        <v>327.282474420703</v>
      </c>
      <c r="AP137" s="66" t="n">
        <f aca="false">+AP23*0.007</f>
        <v>337.100948653323</v>
      </c>
      <c r="AQ137" s="66" t="n">
        <f aca="false">+AQ23*0.007</f>
        <v>343.84296762639</v>
      </c>
    </row>
    <row r="138" s="3" customFormat="true" ht="10.5" hidden="false" customHeight="true" outlineLevel="0" collapsed="false">
      <c r="A138" s="25"/>
      <c r="B138" s="25"/>
      <c r="C138" s="25"/>
      <c r="D138" s="25"/>
      <c r="E138" s="25"/>
      <c r="F138" s="25" t="n">
        <f aca="false">+F137/B137-1</f>
        <v>0.01</v>
      </c>
      <c r="G138" s="25" t="n">
        <f aca="false">+G137/C137-1</f>
        <v>-0.0396825396825397</v>
      </c>
      <c r="H138" s="25" t="n">
        <f aca="false">+H137/D137-1</f>
        <v>-0.272</v>
      </c>
      <c r="I138" s="25" t="n">
        <f aca="false">+I137/E137-1</f>
        <v>-0.483516483516483</v>
      </c>
      <c r="J138" s="25" t="n">
        <f aca="false">+J137/F137-1</f>
        <v>-0.633663366336634</v>
      </c>
      <c r="K138" s="25" t="n">
        <f aca="false">+K137/G137-1</f>
        <v>-0.661157024793388</v>
      </c>
      <c r="L138" s="25" t="n">
        <f aca="false">+L137/H137-1</f>
        <v>-0.373626373626374</v>
      </c>
      <c r="M138" s="25" t="n">
        <f aca="false">+M137/I137-1</f>
        <v>0.0212765957446808</v>
      </c>
      <c r="N138" s="25" t="n">
        <f aca="false">+N137/J137-1</f>
        <v>-0.297297297297297</v>
      </c>
      <c r="O138" s="25" t="n">
        <f aca="false">+O137/K137-1</f>
        <v>0.146341463414634</v>
      </c>
      <c r="P138" s="25" t="n">
        <f aca="false">+P137/L137-1</f>
        <v>0.263157894736842</v>
      </c>
      <c r="Q138" s="25" t="n">
        <f aca="false">+Q137/M137-1</f>
        <v>-0.291666666666667</v>
      </c>
      <c r="R138" s="25" t="n">
        <f aca="false">+R137/N137-1</f>
        <v>0.423076923076923</v>
      </c>
      <c r="S138" s="25" t="n">
        <f aca="false">+S137/O137-1</f>
        <v>0.234042553191489</v>
      </c>
      <c r="T138" s="25"/>
      <c r="U138" s="25"/>
      <c r="V138" s="25"/>
      <c r="W138" s="25"/>
      <c r="X138" s="25"/>
      <c r="Y138" s="25"/>
      <c r="Z138" s="25"/>
      <c r="AA138" s="25" t="n">
        <f aca="false">+AA137/AA$23</f>
        <v>0.0325613926018029</v>
      </c>
      <c r="AB138" s="25" t="n">
        <f aca="false">+AB137/AB$23</f>
        <v>0.0220462464364903</v>
      </c>
      <c r="AC138" s="25" t="n">
        <f aca="false">+AC137/AC$23</f>
        <v>0.0251050778143815</v>
      </c>
      <c r="AD138" s="25" t="n">
        <f aca="false">+AD137/AD$23</f>
        <v>0.0185480962440105</v>
      </c>
      <c r="AE138" s="25" t="n">
        <f aca="false">+AE137/AE$23</f>
        <v>0.00850964891885608</v>
      </c>
      <c r="AF138" s="25" t="n">
        <f aca="false">+AF137/AF$23</f>
        <v>0.00753081745130212</v>
      </c>
      <c r="AG138" s="25" t="n">
        <f aca="false">+AG137/AG$23</f>
        <v>0.007</v>
      </c>
      <c r="AH138" s="25" t="n">
        <f aca="false">+AH137/AH$23</f>
        <v>0.007</v>
      </c>
      <c r="AI138" s="25" t="n">
        <f aca="false">+AI137/AI$23</f>
        <v>0.007</v>
      </c>
      <c r="AJ138" s="25" t="n">
        <f aca="false">+AJ137/AJ$23</f>
        <v>0.007</v>
      </c>
      <c r="AK138" s="25" t="n">
        <f aca="false">+AK137/AK$23</f>
        <v>0.007</v>
      </c>
      <c r="AL138" s="25" t="n">
        <f aca="false">+AL137/AL$23</f>
        <v>0.007</v>
      </c>
      <c r="AM138" s="25" t="n">
        <f aca="false">+AM137/AM$23</f>
        <v>0.007</v>
      </c>
      <c r="AN138" s="25" t="n">
        <f aca="false">+AN137/AN$23</f>
        <v>0.007</v>
      </c>
      <c r="AO138" s="25" t="n">
        <f aca="false">+AO137/AO$23</f>
        <v>0.007</v>
      </c>
      <c r="AP138" s="25" t="n">
        <f aca="false">+AP137/AP$23</f>
        <v>0.007</v>
      </c>
      <c r="AQ138" s="25" t="n">
        <f aca="false">+AQ137/AQ$23</f>
        <v>0.007</v>
      </c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</row>
    <row r="139" s="3" customFormat="true" ht="12.8" hidden="false" customHeight="false" outlineLevel="0" collapsed="false">
      <c r="A139" s="15" t="s">
        <v>249</v>
      </c>
      <c r="B139" s="15" t="n">
        <f aca="false">+B135-B137</f>
        <v>1669</v>
      </c>
      <c r="C139" s="15" t="n">
        <f aca="false">+C135-C137</f>
        <v>1914</v>
      </c>
      <c r="D139" s="15" t="n">
        <f aca="false">+D135-D137</f>
        <v>1579</v>
      </c>
      <c r="E139" s="15" t="n">
        <f aca="false">+E135-E137</f>
        <v>2234</v>
      </c>
      <c r="F139" s="15" t="n">
        <f aca="false">+F135-F137</f>
        <v>1591.99530516432</v>
      </c>
      <c r="G139" s="15" t="n">
        <f aca="false">+G135-G137</f>
        <v>2018.03773584906</v>
      </c>
      <c r="H139" s="15" t="n">
        <f aca="false">+H135-H137</f>
        <v>1782.00925925926</v>
      </c>
      <c r="I139" s="15" t="n">
        <f aca="false">+I135-I137</f>
        <v>1550.03255813953</v>
      </c>
      <c r="J139" s="15" t="n">
        <f aca="false">+J135-J137</f>
        <v>1137</v>
      </c>
      <c r="K139" s="15" t="n">
        <f aca="false">+K135-K137</f>
        <v>1898.97272727273</v>
      </c>
      <c r="L139" s="15" t="n">
        <f aca="false">+L135-L137</f>
        <v>1963.97706422018</v>
      </c>
      <c r="M139" s="15" t="n">
        <f aca="false">+M135-M137</f>
        <v>2872.98198198198</v>
      </c>
      <c r="N139" s="15" t="n">
        <f aca="false">+N135-N137</f>
        <v>2456.02358490566</v>
      </c>
      <c r="O139" s="15" t="n">
        <f aca="false">+O135-O137</f>
        <v>2143.97663551402</v>
      </c>
      <c r="P139" s="15" t="n">
        <f aca="false">+P135-P137</f>
        <v>2125.9765258216</v>
      </c>
      <c r="Q139" s="15" t="n">
        <f aca="false">+Q135-Q137</f>
        <v>3125.84403669725</v>
      </c>
      <c r="R139" s="15" t="n">
        <f aca="false">+R135-R137</f>
        <v>2920.80184331797</v>
      </c>
      <c r="S139" s="15" t="n">
        <f aca="false">+S135-S137</f>
        <v>2106.92344497608</v>
      </c>
      <c r="T139" s="15" t="n">
        <f aca="false">+T135-T137</f>
        <v>0</v>
      </c>
      <c r="U139" s="15" t="n">
        <f aca="false">+U135-U137</f>
        <v>0</v>
      </c>
      <c r="V139" s="15"/>
      <c r="W139" s="15"/>
      <c r="X139" s="15"/>
      <c r="Y139" s="15"/>
      <c r="Z139" s="15"/>
      <c r="AA139" s="15" t="n">
        <f aca="false">+AA135-AA137</f>
        <v>5308.05882810072</v>
      </c>
      <c r="AB139" s="15" t="n">
        <f aca="false">+AB135-AB137</f>
        <v>6882.0499208109</v>
      </c>
      <c r="AC139" s="15" t="n">
        <f aca="false">+AC135-AC137</f>
        <v>7396.04861978871</v>
      </c>
      <c r="AD139" s="15" t="n">
        <f aca="false">+AD135-AD137</f>
        <v>6942.0449276109</v>
      </c>
      <c r="AE139" s="15" t="n">
        <f aca="false">+AE135-AE137</f>
        <v>7873.0398511974</v>
      </c>
      <c r="AF139" s="15" t="n">
        <f aca="false">+AF135-AF137</f>
        <v>9852.0344145736</v>
      </c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</row>
    <row r="140" s="3" customFormat="true" ht="10.5" hidden="false" customHeight="true" outlineLevel="0" collapsed="false">
      <c r="A140" s="25"/>
      <c r="B140" s="25"/>
      <c r="C140" s="25"/>
      <c r="D140" s="25"/>
      <c r="E140" s="25"/>
      <c r="F140" s="25" t="n">
        <f aca="false">+F139/B139-1</f>
        <v>-0.0461382233886644</v>
      </c>
      <c r="G140" s="25" t="n">
        <f aca="false">+G139/C139-1</f>
        <v>0.0543561838291831</v>
      </c>
      <c r="H140" s="25" t="n">
        <f aca="false">+H139/D139-1</f>
        <v>0.128568245256022</v>
      </c>
      <c r="I140" s="25" t="n">
        <f aca="false">+I139/E139-1</f>
        <v>-0.306162686598239</v>
      </c>
      <c r="J140" s="25" t="n">
        <f aca="false">+J139/F139-1</f>
        <v>-0.285801913917929</v>
      </c>
      <c r="K140" s="25" t="n">
        <f aca="false">+K139/G139-1</f>
        <v>-0.0590003875850391</v>
      </c>
      <c r="L140" s="25" t="n">
        <f aca="false">+L139/H139-1</f>
        <v>0.102113838082168</v>
      </c>
      <c r="M140" s="25" t="n">
        <f aca="false">+M139/I139-1</f>
        <v>0.853497829381307</v>
      </c>
      <c r="N140" s="25" t="n">
        <f aca="false">+N139/J139-1</f>
        <v>1.16009110369891</v>
      </c>
      <c r="O140" s="25" t="n">
        <f aca="false">+O139/K139-1</f>
        <v>0.129019182172859</v>
      </c>
      <c r="P140" s="25" t="n">
        <f aca="false">+P139/L139-1</f>
        <v>0.0824854141897711</v>
      </c>
      <c r="Q140" s="25" t="n">
        <f aca="false">+Q139/M139-1</f>
        <v>0.0880137976155437</v>
      </c>
      <c r="R140" s="25" t="n">
        <f aca="false">+R139/N139-1</f>
        <v>0.189240144625958</v>
      </c>
      <c r="S140" s="25" t="n">
        <f aca="false">+S139/O139-1</f>
        <v>-0.0172824600437208</v>
      </c>
      <c r="T140" s="25"/>
      <c r="U140" s="25"/>
      <c r="V140" s="25"/>
      <c r="W140" s="25"/>
      <c r="X140" s="25"/>
      <c r="Y140" s="25"/>
      <c r="Z140" s="25"/>
      <c r="AA140" s="25"/>
      <c r="AB140" s="25" t="n">
        <f aca="false">+AB139/AA139-1</f>
        <v>0.296528569799852</v>
      </c>
      <c r="AC140" s="25" t="n">
        <f aca="false">+AC139/AB139-1</f>
        <v>0.0746868600042425</v>
      </c>
      <c r="AD140" s="25" t="n">
        <f aca="false">+AD139/AC139-1</f>
        <v>-0.061384627862381</v>
      </c>
      <c r="AE140" s="25" t="n">
        <f aca="false">+AE139/AD139-1</f>
        <v>0.134109607946155</v>
      </c>
      <c r="AF140" s="25" t="n">
        <f aca="false">+AF139/AE139-1</f>
        <v>0.251363463259395</v>
      </c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</row>
    <row r="141" s="3" customFormat="true" ht="12.8" hidden="false" customHeight="false" outlineLevel="0" collapsed="false">
      <c r="AR141" s="26"/>
      <c r="AS141" s="26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</row>
    <row r="142" s="3" customFormat="true" ht="12.8" hidden="false" customHeight="false" outlineLevel="0" collapsed="false">
      <c r="A142" s="3" t="s">
        <v>250</v>
      </c>
      <c r="AA142" s="3" t="n">
        <v>22516</v>
      </c>
      <c r="AB142" s="3" t="n">
        <v>25988</v>
      </c>
      <c r="AC142" s="3" t="n">
        <v>29239</v>
      </c>
      <c r="AD142" s="3" t="n">
        <v>29945</v>
      </c>
      <c r="AE142" s="3" t="n">
        <v>30709</v>
      </c>
      <c r="AF142" s="3" t="n">
        <v>31360</v>
      </c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</row>
    <row r="143" s="3" customFormat="true" ht="12.8" hidden="false" customHeight="false" outlineLevel="0" collapsed="false">
      <c r="A143" s="3" t="s">
        <v>251</v>
      </c>
      <c r="AA143" s="3" t="n">
        <f aca="false">+(AA23*1000000)/AA142</f>
        <v>571504.707763368</v>
      </c>
      <c r="AB143" s="3" t="n">
        <f aca="false">+(AB23*1000000)/AB142</f>
        <v>607395.721102047</v>
      </c>
      <c r="AC143" s="3" t="n">
        <f aca="false">+(AC23*1000000)/AC142</f>
        <v>602140.976093574</v>
      </c>
      <c r="AD143" s="3" t="n">
        <f aca="false">+(AD23*1000000)/AD142</f>
        <v>648154.950743029</v>
      </c>
      <c r="AE143" s="3" t="n">
        <f aca="false">+(AE23*1000000)/AE142</f>
        <v>700283.304568693</v>
      </c>
      <c r="AF143" s="3" t="n">
        <f aca="false">+(AF23*1000000)/AF142</f>
        <v>757940.051020408</v>
      </c>
    </row>
    <row r="144" s="3" customFormat="true" ht="12.8" hidden="false" customHeight="false" outlineLevel="0" collapsed="false"/>
    <row r="145" s="3" customFormat="true" ht="12.8" hidden="false" customHeight="false" outlineLevel="0" collapsed="false">
      <c r="A145" s="3" t="s">
        <v>252</v>
      </c>
      <c r="B145" s="3" t="n">
        <v>13830</v>
      </c>
      <c r="C145" s="3" t="n">
        <v>13820</v>
      </c>
      <c r="D145" s="3" t="n">
        <v>14110</v>
      </c>
      <c r="E145" s="3" t="n">
        <v>15190</v>
      </c>
      <c r="F145" s="3" t="n">
        <v>15210</v>
      </c>
      <c r="G145" s="3" t="n">
        <v>15220</v>
      </c>
      <c r="H145" s="3" t="n">
        <v>15720</v>
      </c>
      <c r="I145" s="3" t="n">
        <v>17220</v>
      </c>
      <c r="J145" s="3" t="n">
        <v>17580</v>
      </c>
      <c r="K145" s="3" t="n">
        <v>17860</v>
      </c>
      <c r="L145" s="3" t="n">
        <v>18140</v>
      </c>
      <c r="M145" s="3" t="n">
        <v>19960</v>
      </c>
      <c r="N145" s="3" t="n">
        <v>19690</v>
      </c>
      <c r="O145" s="3" t="n">
        <v>19690</v>
      </c>
      <c r="P145" s="3" t="n">
        <v>20440</v>
      </c>
      <c r="Q145" s="3" t="n">
        <v>22520</v>
      </c>
      <c r="R145" s="3" t="n">
        <v>22220</v>
      </c>
      <c r="S145" s="3" t="n">
        <v>22270</v>
      </c>
      <c r="AC145" s="3" t="n">
        <f aca="false">+SUM(B145:E145)</f>
        <v>56950</v>
      </c>
      <c r="AD145" s="3" t="n">
        <f aca="false">+SUM(F145:I145)</f>
        <v>63370</v>
      </c>
      <c r="AE145" s="3" t="n">
        <f aca="false">+SUM(J145:M145)</f>
        <v>73540</v>
      </c>
      <c r="AF145" s="3" t="n">
        <f aca="false">+SUM(N145:Q145)</f>
        <v>82340</v>
      </c>
    </row>
    <row r="146" s="3" customFormat="true" ht="10.5" hidden="false" customHeight="true" outlineLevel="0" collapsed="false">
      <c r="A146" s="25"/>
      <c r="B146" s="25"/>
      <c r="C146" s="25"/>
      <c r="D146" s="25"/>
      <c r="E146" s="25"/>
      <c r="F146" s="25" t="n">
        <f aca="false">+F145/B145-1</f>
        <v>0.0997830802603037</v>
      </c>
      <c r="G146" s="25" t="n">
        <f aca="false">+G145/C145-1</f>
        <v>0.101302460202605</v>
      </c>
      <c r="H146" s="25" t="n">
        <f aca="false">+H145/D145-1</f>
        <v>0.114103472714387</v>
      </c>
      <c r="I146" s="25" t="n">
        <f aca="false">+I145/E145-1</f>
        <v>0.133640552995392</v>
      </c>
      <c r="J146" s="25" t="n">
        <f aca="false">+J145/F145-1</f>
        <v>0.155818540433925</v>
      </c>
      <c r="K146" s="25" t="n">
        <f aca="false">+K145/G145-1</f>
        <v>0.173455978975033</v>
      </c>
      <c r="L146" s="25" t="n">
        <f aca="false">+L145/H145-1</f>
        <v>0.153944020356234</v>
      </c>
      <c r="M146" s="25" t="n">
        <f aca="false">+M145/I145-1</f>
        <v>0.159117305458769</v>
      </c>
      <c r="N146" s="25" t="n">
        <f aca="false">+N145/J145-1</f>
        <v>0.120022753128555</v>
      </c>
      <c r="O146" s="25" t="n">
        <f aca="false">+O145/K145-1</f>
        <v>0.102463605823068</v>
      </c>
      <c r="P146" s="25" t="n">
        <f aca="false">+P145/L145-1</f>
        <v>0.126791620727674</v>
      </c>
      <c r="Q146" s="25" t="n">
        <f aca="false">+Q145/M145-1</f>
        <v>0.128256513026052</v>
      </c>
      <c r="R146" s="25" t="n">
        <f aca="false">+R145/N145-1</f>
        <v>0.128491620111732</v>
      </c>
      <c r="S146" s="25" t="n">
        <f aca="false">+S145/O145-1</f>
        <v>0.131030980192991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 t="n">
        <f aca="false">+AD145/AC145-1</f>
        <v>0.112730465320457</v>
      </c>
      <c r="AE146" s="25" t="n">
        <f aca="false">+AE145/AD145-1</f>
        <v>0.160486034401136</v>
      </c>
      <c r="AF146" s="25" t="n">
        <f aca="false">+AF145/AE145-1</f>
        <v>0.119662768561327</v>
      </c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</row>
    <row r="147" s="3" customFormat="true" ht="12.8" hidden="false" customHeight="false" outlineLevel="0" collapsed="false"/>
    <row r="148" s="3" customFormat="true" ht="12.8" hidden="false" customHeight="false" outlineLevel="0" collapsed="false">
      <c r="A148" s="3" t="s">
        <v>253</v>
      </c>
      <c r="C148" s="3" t="n">
        <f aca="false">+AVERAGE(B94:C94)/C23*90</f>
        <v>33.5807113543092</v>
      </c>
      <c r="D148" s="3" t="n">
        <f aca="false">+AVERAGE(C94:D94)/D23*90</f>
        <v>33.6104218362283</v>
      </c>
      <c r="E148" s="3" t="n">
        <f aca="false">+AVERAGE(D94:E94)/E23*90</f>
        <v>37.6707182320442</v>
      </c>
      <c r="F148" s="3" t="n">
        <f aca="false">+AVERAGE(E94:F94)/F23*90</f>
        <v>37.3727175080559</v>
      </c>
      <c r="G148" s="3" t="n">
        <f aca="false">+AVERAGE(F94:G94)/G23*90</f>
        <v>32.5726744186047</v>
      </c>
      <c r="H148" s="3" t="n">
        <f aca="false">+AVERAGE(G94:H94)/H23*90</f>
        <v>32.5398773006135</v>
      </c>
      <c r="I148" s="3" t="n">
        <f aca="false">+AVERAGE(H94:I94)/I23*90</f>
        <v>36.3262678288431</v>
      </c>
      <c r="J148" s="3" t="n">
        <f aca="false">+AVERAGE(I94:J94)/J23*90</f>
        <v>37.175800849093</v>
      </c>
      <c r="K148" s="3" t="n">
        <f aca="false">+AVERAGE(J94:K94)/K23*90</f>
        <v>34.9981164061028</v>
      </c>
      <c r="L148" s="3" t="n">
        <f aca="false">+AVERAGE(K94:L94)/L23*90</f>
        <v>32.2355769230769</v>
      </c>
      <c r="M148" s="3" t="n">
        <f aca="false">+AVERAGE(L94:M94)/M23*90</f>
        <v>31.0970388869069</v>
      </c>
      <c r="N148" s="3" t="n">
        <f aca="false">+AVERAGE(M94:N94)/N23*90</f>
        <v>31.8559677983899</v>
      </c>
      <c r="O148" s="3" t="n">
        <f aca="false">+AVERAGE(N94:O94)/O23*90</f>
        <v>28.4113740847948</v>
      </c>
      <c r="P148" s="3" t="n">
        <f aca="false">+AVERAGE(O94:P94)/P23*90</f>
        <v>28.7675350701403</v>
      </c>
      <c r="Q148" s="3" t="n">
        <f aca="false">+AVERAGE(P94:Q94)/Q23*90</f>
        <v>32.2352276396513</v>
      </c>
      <c r="R148" s="3" t="n">
        <f aca="false">+AVERAGE(Q94:R94)/R23*90</f>
        <v>31.2003751172241</v>
      </c>
      <c r="S148" s="3" t="n">
        <f aca="false">+AVERAGE(R94:S94)/S23*90</f>
        <v>27.7765185856754</v>
      </c>
      <c r="AB148" s="3" t="n">
        <f aca="false">+AVERAGE(AA94:AB94)/AB23*365</f>
        <v>37.8758314855876</v>
      </c>
      <c r="AC148" s="3" t="n">
        <f aca="false">+AVERAGE(AB94:AC94)/AC23*365</f>
        <v>40.8722878564126</v>
      </c>
      <c r="AD148" s="3" t="n">
        <f aca="false">+AVERAGE(AC94:AD94)/AD23*365</f>
        <v>40.3288422896594</v>
      </c>
      <c r="AE148" s="3" t="n">
        <f aca="false">+AVERAGE(AD94:AE94)/AE23*365</f>
        <v>36.4575680074401</v>
      </c>
      <c r="AF148" s="3" t="n">
        <f aca="false">+AVERAGE(AE94:AF94)/AF23*365</f>
        <v>33.9063486053263</v>
      </c>
      <c r="AG148" s="66" t="n">
        <f aca="false">+AF148-1</f>
        <v>32.9063486053263</v>
      </c>
      <c r="AH148" s="66" t="n">
        <v>33</v>
      </c>
      <c r="AI148" s="66" t="n">
        <f aca="false">+AH148-1</f>
        <v>32</v>
      </c>
      <c r="AJ148" s="66" t="n">
        <v>32</v>
      </c>
      <c r="AK148" s="66" t="n">
        <f aca="false">+AJ148-1</f>
        <v>31</v>
      </c>
      <c r="AL148" s="66" t="n">
        <v>31</v>
      </c>
      <c r="AM148" s="66" t="n">
        <f aca="false">+AL148-1</f>
        <v>30</v>
      </c>
      <c r="AN148" s="66" t="n">
        <v>30</v>
      </c>
      <c r="AO148" s="66" t="n">
        <f aca="false">+AN148-1</f>
        <v>29</v>
      </c>
      <c r="AP148" s="66" t="n">
        <v>29</v>
      </c>
      <c r="AQ148" s="66" t="n">
        <f aca="false">+AP148-1</f>
        <v>28</v>
      </c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/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</row>
    <row r="149" s="3" customFormat="true" ht="12.8" hidden="false" customHeight="false" outlineLevel="0" collapsed="false">
      <c r="A149" s="3" t="s">
        <v>254</v>
      </c>
      <c r="C149" s="3" t="n">
        <f aca="false">+AVERAGE(B106:C106)/C31*90</f>
        <v>51.1962134251291</v>
      </c>
      <c r="D149" s="3" t="n">
        <f aca="false">+AVERAGE(C106:D106)/D31*90</f>
        <v>52.1052631578947</v>
      </c>
      <c r="E149" s="3" t="n">
        <f aca="false">+AVERAGE(D106:E106)/E31*90</f>
        <v>51.2704918032787</v>
      </c>
      <c r="F149" s="3" t="n">
        <f aca="false">+AVERAGE(E106:F106)/F31*90</f>
        <v>55.9180327868853</v>
      </c>
      <c r="G149" s="3" t="n">
        <f aca="false">+AVERAGE(F106:G106)/G31*90</f>
        <v>53.1351791530945</v>
      </c>
      <c r="H149" s="3" t="n">
        <f aca="false">+AVERAGE(G106:H106)/H31*90</f>
        <v>47.7491961414791</v>
      </c>
      <c r="I149" s="3" t="n">
        <f aca="false">+AVERAGE(H106:I106)/I31*90</f>
        <v>41.8047337278107</v>
      </c>
      <c r="J149" s="3" t="n">
        <f aca="false">+AVERAGE(I106:J106)/J31*90</f>
        <v>43.7183544303798</v>
      </c>
      <c r="K149" s="3" t="n">
        <f aca="false">+AVERAGE(J106:K106)/K31*90</f>
        <v>46.4765625</v>
      </c>
      <c r="L149" s="3" t="n">
        <f aca="false">+AVERAGE(K106:L106)/L31*90</f>
        <v>51.1809045226131</v>
      </c>
      <c r="M149" s="3" t="n">
        <f aca="false">+AVERAGE(L106:M106)/M31*90</f>
        <v>46.436170212766</v>
      </c>
      <c r="N149" s="3" t="n">
        <f aca="false">+AVERAGE(M106:N106)/N31*90</f>
        <v>46.6289592760181</v>
      </c>
      <c r="O149" s="3" t="n">
        <f aca="false">+AVERAGE(N106:O106)/O31*90</f>
        <v>45.4639175257732</v>
      </c>
      <c r="P149" s="3" t="n">
        <f aca="false">+AVERAGE(O106:P106)/P31*90</f>
        <v>46.125</v>
      </c>
      <c r="Q149" s="3" t="n">
        <f aca="false">+AVERAGE(P106:Q106)/Q31*90</f>
        <v>49.4606413994169</v>
      </c>
      <c r="R149" s="3" t="n">
        <f aca="false">+AVERAGE(Q106:R106)/R31*90</f>
        <v>53.8197424892704</v>
      </c>
      <c r="S149" s="3" t="n">
        <f aca="false">+AVERAGE(R106:S106)/S31*90</f>
        <v>54.9335106382979</v>
      </c>
      <c r="AB149" s="3" t="n">
        <f aca="false">+AVERAGE(AA106:AB106)/AB31*365</f>
        <v>55.3578897956233</v>
      </c>
      <c r="AC149" s="3" t="n">
        <f aca="false">+AVERAGE(AB106:AC106)/AC31*365</f>
        <v>54.0294391443974</v>
      </c>
      <c r="AD149" s="3" t="n">
        <f aca="false">+AVERAGE(AC106:AD106)/AD31*365</f>
        <v>50.1489828486597</v>
      </c>
      <c r="AE149" s="3" t="n">
        <f aca="false">+AVERAGE(AD106:AE106)/AE31*365</f>
        <v>48.7514205567758</v>
      </c>
      <c r="AF149" s="3" t="n">
        <f aca="false">+AVERAGE(AE106:AF106)/AF31*365</f>
        <v>52.4307790024701</v>
      </c>
      <c r="AG149" s="66" t="n">
        <f aca="false">+AF149+1</f>
        <v>53.4307790024701</v>
      </c>
      <c r="AH149" s="66" t="n">
        <f aca="false">+AG149+1</f>
        <v>54.4307790024701</v>
      </c>
      <c r="AI149" s="66" t="n">
        <f aca="false">+AH149+1</f>
        <v>55.4307790024701</v>
      </c>
      <c r="AJ149" s="66" t="n">
        <f aca="false">+AI149+1</f>
        <v>56.4307790024701</v>
      </c>
      <c r="AK149" s="66" t="n">
        <f aca="false">+AJ149+1</f>
        <v>57.4307790024701</v>
      </c>
      <c r="AL149" s="66" t="n">
        <f aca="false">+AK149+1</f>
        <v>58.4307790024701</v>
      </c>
      <c r="AM149" s="66" t="n">
        <f aca="false">+AL149+1</f>
        <v>59.4307790024701</v>
      </c>
      <c r="AN149" s="66" t="n">
        <f aca="false">+AM149+1</f>
        <v>60.4307790024701</v>
      </c>
      <c r="AO149" s="66" t="n">
        <f aca="false">+AN149+1</f>
        <v>61.4307790024701</v>
      </c>
      <c r="AP149" s="66" t="n">
        <f aca="false">+AO149+1</f>
        <v>62.4307790024701</v>
      </c>
      <c r="AQ149" s="66" t="n">
        <f aca="false">+AP149+1</f>
        <v>63.4307790024701</v>
      </c>
    </row>
    <row r="150" s="3" customFormat="true" ht="12.8" hidden="false" customHeight="false" outlineLevel="0" collapsed="false">
      <c r="A150" s="3" t="s">
        <v>255</v>
      </c>
      <c r="C150" s="3" t="n">
        <f aca="false">+C148-C149</f>
        <v>-17.6155020708199</v>
      </c>
      <c r="D150" s="3" t="n">
        <f aca="false">+D148-D149</f>
        <v>-18.4948413216664</v>
      </c>
      <c r="E150" s="3" t="n">
        <f aca="false">+E148-E149</f>
        <v>-13.5997735712345</v>
      </c>
      <c r="F150" s="3" t="n">
        <f aca="false">+F148-F149</f>
        <v>-18.5453152788295</v>
      </c>
      <c r="G150" s="3" t="n">
        <f aca="false">+G148-G149</f>
        <v>-20.5625047344899</v>
      </c>
      <c r="H150" s="3" t="n">
        <f aca="false">+H148-H149</f>
        <v>-15.2093188408656</v>
      </c>
      <c r="I150" s="3" t="n">
        <f aca="false">+I148-I149</f>
        <v>-5.47846589896759</v>
      </c>
      <c r="J150" s="3" t="n">
        <f aca="false">+J148-J149</f>
        <v>-6.54255358128678</v>
      </c>
      <c r="K150" s="3" t="n">
        <f aca="false">+K148-K149</f>
        <v>-11.4784460938972</v>
      </c>
      <c r="L150" s="3" t="n">
        <f aca="false">+L148-L149</f>
        <v>-18.9453275995362</v>
      </c>
      <c r="M150" s="3" t="n">
        <f aca="false">+M148-M149</f>
        <v>-15.3391313258591</v>
      </c>
      <c r="N150" s="3" t="n">
        <f aca="false">+N148-N149</f>
        <v>-14.7729914776282</v>
      </c>
      <c r="O150" s="3" t="n">
        <f aca="false">+O148-O149</f>
        <v>-17.0525434409784</v>
      </c>
      <c r="P150" s="3" t="n">
        <f aca="false">+P148-P149</f>
        <v>-17.3574649298597</v>
      </c>
      <c r="Q150" s="3" t="n">
        <f aca="false">+Q148-Q149</f>
        <v>-17.2254137597656</v>
      </c>
      <c r="R150" s="3" t="n">
        <f aca="false">+R148-R149</f>
        <v>-22.6193673720463</v>
      </c>
      <c r="S150" s="3" t="n">
        <f aca="false">+S148-S149</f>
        <v>-27.1569920526225</v>
      </c>
      <c r="AB150" s="3" t="n">
        <f aca="false">+AB148-AB149</f>
        <v>-17.4820583100357</v>
      </c>
      <c r="AC150" s="3" t="n">
        <f aca="false">+AC148-AC149</f>
        <v>-13.1571512879848</v>
      </c>
      <c r="AD150" s="3" t="n">
        <f aca="false">+AD148-AD149</f>
        <v>-9.82014055900027</v>
      </c>
      <c r="AE150" s="3" t="n">
        <f aca="false">+AE148-AE149</f>
        <v>-12.2938525493357</v>
      </c>
      <c r="AF150" s="3" t="n">
        <f aca="false">+AF148-AF149</f>
        <v>-18.5244303971438</v>
      </c>
      <c r="AG150" s="3" t="n">
        <f aca="false">+AG148-AG149</f>
        <v>-20.5244303971438</v>
      </c>
      <c r="AH150" s="3" t="n">
        <f aca="false">+AH148-AH149</f>
        <v>-21.4307790024701</v>
      </c>
      <c r="AI150" s="3" t="n">
        <f aca="false">+AI148-AI149</f>
        <v>-23.4307790024701</v>
      </c>
      <c r="AJ150" s="3" t="n">
        <f aca="false">+AJ148-AJ149</f>
        <v>-24.4307790024701</v>
      </c>
      <c r="AK150" s="3" t="n">
        <f aca="false">+AK148-AK149</f>
        <v>-26.4307790024701</v>
      </c>
      <c r="AL150" s="3" t="n">
        <f aca="false">+AL148-AL149</f>
        <v>-27.4307790024701</v>
      </c>
      <c r="AM150" s="3" t="n">
        <f aca="false">+AM148-AM149</f>
        <v>-29.4307790024701</v>
      </c>
      <c r="AN150" s="3" t="n">
        <f aca="false">+AN148-AN149</f>
        <v>-30.4307790024701</v>
      </c>
      <c r="AO150" s="3" t="n">
        <f aca="false">+AO148-AO149</f>
        <v>-32.4307790024701</v>
      </c>
      <c r="AP150" s="3" t="n">
        <f aca="false">+AP148-AP149</f>
        <v>-33.4307790024701</v>
      </c>
      <c r="AQ150" s="3" t="n">
        <f aca="false">+AQ148-AQ149</f>
        <v>-35.4307790024701</v>
      </c>
    </row>
    <row r="151" s="3" customFormat="true" ht="12.8" hidden="false" customHeight="false" outlineLevel="0" collapsed="false"/>
    <row r="152" s="3" customFormat="true" ht="10.5" hidden="false" customHeight="true" outlineLevel="0" collapsed="false">
      <c r="A152" s="32"/>
      <c r="B152" s="32"/>
      <c r="C152" s="32"/>
      <c r="D152" s="32"/>
      <c r="E152" s="32"/>
      <c r="F152" s="32"/>
      <c r="G152" s="32" t="n">
        <f aca="false">+G148/C148-1</f>
        <v>-0.0300183318056825</v>
      </c>
      <c r="H152" s="32" t="n">
        <f aca="false">+H148/D148-1</f>
        <v>-0.031851564994667</v>
      </c>
      <c r="I152" s="32" t="n">
        <f aca="false">+I148/E148-1</f>
        <v>-0.0356895346385367</v>
      </c>
      <c r="J152" s="32" t="n">
        <f aca="false">+J148/F148-1</f>
        <v>-0.00526899492712707</v>
      </c>
      <c r="K152" s="32" t="n">
        <f aca="false">+K148/G148-1</f>
        <v>0.0744624760106512</v>
      </c>
      <c r="L152" s="32" t="n">
        <f aca="false">+L148/H148-1</f>
        <v>-0.00935161416637742</v>
      </c>
      <c r="M152" s="32" t="n">
        <f aca="false">+M148/I148-1</f>
        <v>-0.143951725692673</v>
      </c>
      <c r="N152" s="32" t="n">
        <f aca="false">+N148/J148-1</f>
        <v>-0.143099353052212</v>
      </c>
      <c r="O152" s="32" t="n">
        <f aca="false">+O148/K148-1</f>
        <v>-0.188202766253999</v>
      </c>
      <c r="P152" s="32" t="n">
        <f aca="false">+P148/L148-1</f>
        <v>-0.107584296108995</v>
      </c>
      <c r="Q152" s="32" t="n">
        <f aca="false">+Q148/M148-1</f>
        <v>0.0366011939877537</v>
      </c>
      <c r="R152" s="32" t="n">
        <f aca="false">+R148/N148-1</f>
        <v>-0.0205799015529811</v>
      </c>
      <c r="S152" s="32" t="n">
        <f aca="false">+S148/O148-1</f>
        <v>-0.0223451177413895</v>
      </c>
      <c r="T152" s="32"/>
      <c r="U152" s="32"/>
      <c r="V152" s="32"/>
      <c r="W152" s="32"/>
      <c r="X152" s="32"/>
      <c r="Y152" s="32"/>
      <c r="Z152" s="32"/>
      <c r="AA152" s="32"/>
      <c r="AB152" s="32"/>
      <c r="AC152" s="32" t="n">
        <f aca="false">+AC148/AB148-1</f>
        <v>0.0791126228335133</v>
      </c>
      <c r="AD152" s="32" t="n">
        <f aca="false">+AD148/AC148-1</f>
        <v>-0.0132961866157912</v>
      </c>
      <c r="AE152" s="32" t="n">
        <f aca="false">+AE148/AD148-1</f>
        <v>-0.0959926956101073</v>
      </c>
      <c r="AF152" s="32" t="n">
        <f aca="false">+AF148/AE148-1</f>
        <v>-0.0699777725599569</v>
      </c>
      <c r="AG152" s="32" t="n">
        <f aca="false">+AG148/AF148-1</f>
        <v>-0.0294930017867778</v>
      </c>
      <c r="AH152" s="32" t="n">
        <f aca="false">+AH148/AG148-1</f>
        <v>0.00284599776769334</v>
      </c>
      <c r="AI152" s="32" t="n">
        <f aca="false">+AI148/AH148-1</f>
        <v>-0.0303030303030303</v>
      </c>
      <c r="AJ152" s="32" t="n">
        <f aca="false">+AJ148/AI148-1</f>
        <v>0</v>
      </c>
      <c r="AK152" s="32" t="n">
        <f aca="false">+AK148/AJ148-1</f>
        <v>-0.03125</v>
      </c>
      <c r="AL152" s="32" t="n">
        <f aca="false">+AL148/AK148-1</f>
        <v>0</v>
      </c>
      <c r="AM152" s="32" t="n">
        <f aca="false">+AM148/AL148-1</f>
        <v>-0.032258064516129</v>
      </c>
      <c r="AN152" s="32" t="n">
        <f aca="false">+AN148/AM148-1</f>
        <v>0</v>
      </c>
      <c r="AO152" s="32" t="n">
        <f aca="false">+AO148/AN148-1</f>
        <v>-0.0333333333333333</v>
      </c>
      <c r="AP152" s="32" t="n">
        <f aca="false">+AP148/AO148-1</f>
        <v>0</v>
      </c>
      <c r="AQ152" s="32" t="n">
        <f aca="false">+AQ148/AP148-1</f>
        <v>-0.0344827586206896</v>
      </c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</row>
    <row r="153" s="3" customFormat="true" ht="10.5" hidden="false" customHeight="true" outlineLevel="0" collapsed="false">
      <c r="A153" s="32"/>
      <c r="B153" s="32"/>
      <c r="C153" s="32"/>
      <c r="D153" s="32"/>
      <c r="E153" s="32"/>
      <c r="F153" s="32"/>
      <c r="G153" s="32" t="n">
        <f aca="false">+G149/C149-1</f>
        <v>0.0378732253470464</v>
      </c>
      <c r="H153" s="32" t="n">
        <f aca="false">+H149/D149-1</f>
        <v>-0.0836012861736327</v>
      </c>
      <c r="I153" s="32" t="n">
        <f aca="false">+I149/E149-1</f>
        <v>-0.184623898514324</v>
      </c>
      <c r="J153" s="32" t="n">
        <f aca="false">+J149/F149-1</f>
        <v>-0.218170735780368</v>
      </c>
      <c r="K153" s="32" t="n">
        <f aca="false">+K149/G149-1</f>
        <v>-0.125314655172414</v>
      </c>
      <c r="L153" s="32" t="n">
        <f aca="false">+L149/H149-1</f>
        <v>0.0718694482513584</v>
      </c>
      <c r="M153" s="32" t="n">
        <f aca="false">+M149/I149-1</f>
        <v>0.110787369562271</v>
      </c>
      <c r="N153" s="32" t="n">
        <f aca="false">+N149/J149-1</f>
        <v>0.0665762671894103</v>
      </c>
      <c r="O153" s="32" t="n">
        <f aca="false">+O149/K149-1</f>
        <v>-0.0217882932763541</v>
      </c>
      <c r="P153" s="32" t="n">
        <f aca="false">+P149/L149-1</f>
        <v>-0.0987849779086898</v>
      </c>
      <c r="Q153" s="32" t="n">
        <f aca="false">+Q149/M149-1</f>
        <v>0.0651317964593778</v>
      </c>
      <c r="R153" s="32" t="n">
        <f aca="false">+R149/N149-1</f>
        <v>0.154212818061985</v>
      </c>
      <c r="S153" s="32" t="n">
        <f aca="false">+S149/O149-1</f>
        <v>0.208288102475033</v>
      </c>
      <c r="T153" s="32"/>
      <c r="U153" s="32"/>
      <c r="V153" s="32"/>
      <c r="W153" s="32"/>
      <c r="X153" s="32"/>
      <c r="Y153" s="32"/>
      <c r="Z153" s="32"/>
      <c r="AA153" s="32"/>
      <c r="AB153" s="32"/>
      <c r="AC153" s="32" t="n">
        <f aca="false">+AC149/AB149-1</f>
        <v>-0.0239974944155282</v>
      </c>
      <c r="AD153" s="32" t="n">
        <f aca="false">+AD149/AC149-1</f>
        <v>-0.071821147085516</v>
      </c>
      <c r="AE153" s="32" t="n">
        <f aca="false">+AE149/AD149-1</f>
        <v>-0.0278682081369722</v>
      </c>
      <c r="AF153" s="32" t="n">
        <f aca="false">+AF149/AE149-1</f>
        <v>0.0754718201782312</v>
      </c>
      <c r="AG153" s="32" t="n">
        <f aca="false">+AG149/AF149-1</f>
        <v>0.0190727663983952</v>
      </c>
      <c r="AH153" s="32" t="n">
        <f aca="false">+AH149/AG149-1</f>
        <v>0.0187158042362394</v>
      </c>
      <c r="AI153" s="32" t="n">
        <f aca="false">+AI149/AH149-1</f>
        <v>0.0183719582619719</v>
      </c>
      <c r="AJ153" s="32" t="n">
        <f aca="false">+AJ149/AI149-1</f>
        <v>0.018040518607098</v>
      </c>
      <c r="AK153" s="32" t="n">
        <f aca="false">+AK149/AJ149-1</f>
        <v>0.0177208257209462</v>
      </c>
      <c r="AL153" s="32" t="n">
        <f aca="false">+AL149/AK149-1</f>
        <v>0.0174122659899318</v>
      </c>
      <c r="AM153" s="32" t="n">
        <f aca="false">+AM149/AL149-1</f>
        <v>0.0171142678066594</v>
      </c>
      <c r="AN153" s="32" t="n">
        <f aca="false">+AN149/AM149-1</f>
        <v>0.0168262980358787</v>
      </c>
      <c r="AO153" s="32" t="n">
        <f aca="false">+AO149/AN149-1</f>
        <v>0.016547858831327</v>
      </c>
      <c r="AP153" s="32" t="n">
        <f aca="false">+AP149/AO149-1</f>
        <v>0.0162784847634732</v>
      </c>
      <c r="AQ153" s="32" t="n">
        <f aca="false">+AQ149/AP149-1</f>
        <v>0.0160177402233028</v>
      </c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</row>
    <row r="154" s="3" customFormat="true" ht="12.8" hidden="false" customHeight="false" outlineLevel="0" collapsed="false"/>
    <row r="155" s="3" customFormat="true" ht="12.8" hidden="false" customHeight="false" outlineLevel="0" collapsed="false"/>
    <row r="156" s="3" customFormat="true" ht="12.8" hidden="false" customHeight="false" outlineLevel="0" collapsed="false"/>
    <row r="157" s="3" customFormat="true" ht="12.8" hidden="false" customHeight="false" outlineLevel="0" collapsed="false">
      <c r="A157" s="3" t="s">
        <v>256</v>
      </c>
      <c r="E157" s="3" t="n">
        <f aca="false">+278-D157-C157-B157</f>
        <v>278</v>
      </c>
      <c r="F157" s="3" t="n">
        <v>69</v>
      </c>
      <c r="G157" s="3" t="n">
        <f aca="false">+70-F157</f>
        <v>1</v>
      </c>
      <c r="H157" s="3" t="n">
        <f aca="false">+314-G157-F157</f>
        <v>244</v>
      </c>
      <c r="I157" s="3" t="n">
        <f aca="false">+314-H157-G157-F157</f>
        <v>0</v>
      </c>
      <c r="J157" s="3" t="n">
        <v>97</v>
      </c>
      <c r="K157" s="3" t="n">
        <f aca="false">+97-J157</f>
        <v>0</v>
      </c>
      <c r="L157" s="3" t="n">
        <f aca="false">+361-K157-J157</f>
        <v>264</v>
      </c>
      <c r="M157" s="3" t="n">
        <f aca="false">+361-L157-K157-J157</f>
        <v>0</v>
      </c>
      <c r="N157" s="3" t="n">
        <v>96</v>
      </c>
      <c r="O157" s="3" t="n">
        <f aca="false">+96-N157</f>
        <v>0</v>
      </c>
      <c r="P157" s="3" t="n">
        <f aca="false">+348-O157-N157</f>
        <v>252</v>
      </c>
      <c r="Q157" s="3" t="n">
        <f aca="false">+348-P157-O157-N157</f>
        <v>0</v>
      </c>
      <c r="R157" s="3" t="n">
        <v>84</v>
      </c>
      <c r="S157" s="3" t="n">
        <f aca="false">+84-R157</f>
        <v>0</v>
      </c>
      <c r="AA157" s="3" t="n">
        <v>270</v>
      </c>
      <c r="AB157" s="3" t="n">
        <v>291</v>
      </c>
      <c r="AC157" s="3" t="n">
        <v>278</v>
      </c>
      <c r="AD157" s="3" t="n">
        <v>314</v>
      </c>
      <c r="AE157" s="3" t="n">
        <v>361</v>
      </c>
      <c r="AF157" s="3" t="n">
        <v>348</v>
      </c>
    </row>
    <row r="158" s="3" customFormat="true" ht="10.5" hidden="false" customHeight="true" outlineLevel="0" collapsed="false">
      <c r="A158" s="32"/>
      <c r="B158" s="32"/>
      <c r="C158" s="32"/>
      <c r="D158" s="32"/>
      <c r="E158" s="32" t="n">
        <f aca="false">+E157/E$23</f>
        <v>0.0614364640883978</v>
      </c>
      <c r="F158" s="32" t="n">
        <f aca="false">+F157/F$23</f>
        <v>0.0148227712137487</v>
      </c>
      <c r="G158" s="32" t="n">
        <f aca="false">+G157/G$23</f>
        <v>0.000207641196013289</v>
      </c>
      <c r="H158" s="32" t="n">
        <f aca="false">+H157/H$23</f>
        <v>0.0498977505112474</v>
      </c>
      <c r="I158" s="32" t="n">
        <f aca="false">+I157/I$23</f>
        <v>0</v>
      </c>
      <c r="J158" s="32" t="n">
        <f aca="false">+J157/J$23</f>
        <v>0.0187186414511772</v>
      </c>
      <c r="K158" s="32" t="n">
        <f aca="false">+K157/K$23</f>
        <v>0</v>
      </c>
      <c r="L158" s="32" t="n">
        <f aca="false">+L157/L$23</f>
        <v>0.0488165680473373</v>
      </c>
      <c r="M158" s="32" t="n">
        <f aca="false">+M157/M$23</f>
        <v>0</v>
      </c>
      <c r="N158" s="32" t="n">
        <f aca="false">+N157/N$23</f>
        <v>0.0168008400420021</v>
      </c>
      <c r="O158" s="32" t="n">
        <f aca="false">+O157/O$23</f>
        <v>0</v>
      </c>
      <c r="P158" s="32" t="n">
        <f aca="false">+P157/P$23</f>
        <v>0.0420841683366734</v>
      </c>
      <c r="Q158" s="32" t="n">
        <f aca="false">+Q157/Q$23</f>
        <v>0</v>
      </c>
      <c r="R158" s="32" t="n">
        <f aca="false">+R157/R$23</f>
        <v>0.013129102844639</v>
      </c>
      <c r="S158" s="32" t="n">
        <f aca="false">+S157/S$23</f>
        <v>0</v>
      </c>
      <c r="T158" s="32"/>
      <c r="U158" s="32"/>
      <c r="V158" s="32"/>
      <c r="W158" s="32"/>
      <c r="X158" s="32"/>
      <c r="Y158" s="32"/>
      <c r="Z158" s="32"/>
      <c r="AA158" s="32" t="n">
        <f aca="false">+AA157/AA$23</f>
        <v>0.0209822816288468</v>
      </c>
      <c r="AB158" s="32" t="n">
        <f aca="false">+AB157/AB$23</f>
        <v>0.0184352233132721</v>
      </c>
      <c r="AC158" s="32" t="n">
        <f aca="false">+AC157/AC$23</f>
        <v>0.0157900715665114</v>
      </c>
      <c r="AD158" s="32" t="n">
        <f aca="false">+AD157/AD$23</f>
        <v>0.0161780617239425</v>
      </c>
      <c r="AE158" s="32" t="n">
        <f aca="false">+AE157/AE$23</f>
        <v>0.016786793768891</v>
      </c>
      <c r="AF158" s="32" t="n">
        <f aca="false">+AF157/AF$23</f>
        <v>0.0146409188438723</v>
      </c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</row>
    <row r="159" s="3" customFormat="true" ht="10.5" hidden="false" customHeight="true" outlineLevel="0" collapsed="false">
      <c r="A159" s="32" t="s">
        <v>257</v>
      </c>
      <c r="B159" s="32"/>
      <c r="C159" s="32"/>
      <c r="D159" s="32"/>
      <c r="E159" s="32"/>
      <c r="F159" s="32"/>
      <c r="G159" s="32"/>
      <c r="H159" s="32"/>
      <c r="I159" s="32" t="n">
        <f aca="false">+I157/E157-1</f>
        <v>-1</v>
      </c>
      <c r="J159" s="32" t="n">
        <f aca="false">+J157/F157-1</f>
        <v>0.405797101449275</v>
      </c>
      <c r="K159" s="32" t="n">
        <f aca="false">+K157/G157-1</f>
        <v>-1</v>
      </c>
      <c r="L159" s="32" t="n">
        <f aca="false">+L157/H157-1</f>
        <v>0.0819672131147542</v>
      </c>
      <c r="M159" s="32" t="e">
        <f aca="false">+M157/I157-1</f>
        <v>#DIV/0!</v>
      </c>
      <c r="N159" s="32" t="n">
        <f aca="false">+N157/J157-1</f>
        <v>-0.0103092783505154</v>
      </c>
      <c r="O159" s="32" t="e">
        <f aca="false">+O157/K157-1</f>
        <v>#DIV/0!</v>
      </c>
      <c r="P159" s="32" t="n">
        <f aca="false">+P157/L157-1</f>
        <v>-0.0454545454545454</v>
      </c>
      <c r="Q159" s="32" t="e">
        <f aca="false">+Q157/M157-1</f>
        <v>#DIV/0!</v>
      </c>
      <c r="R159" s="32" t="n">
        <f aca="false">+R157/N157-1</f>
        <v>-0.125</v>
      </c>
      <c r="S159" s="32" t="e">
        <f aca="false">+S157/O157-1</f>
        <v>#DIV/0!</v>
      </c>
      <c r="T159" s="32"/>
      <c r="U159" s="32"/>
      <c r="V159" s="32"/>
      <c r="W159" s="32"/>
      <c r="X159" s="69"/>
      <c r="Y159" s="69"/>
      <c r="Z159" s="32"/>
      <c r="AA159" s="32"/>
      <c r="AB159" s="32" t="n">
        <f aca="false">+AB157/AA157-1</f>
        <v>0.0777777777777777</v>
      </c>
      <c r="AC159" s="32" t="n">
        <f aca="false">+AC157/AB157-1</f>
        <v>-0.0446735395189003</v>
      </c>
      <c r="AD159" s="32" t="n">
        <f aca="false">+AD157/AC157-1</f>
        <v>0.129496402877698</v>
      </c>
      <c r="AE159" s="32" t="n">
        <f aca="false">+AE157/AD157-1</f>
        <v>0.14968152866242</v>
      </c>
      <c r="AF159" s="32" t="n">
        <f aca="false">+AF157/AE157-1</f>
        <v>-0.03601108033241</v>
      </c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</row>
    <row r="160" s="3" customFormat="true" ht="12.8" hidden="false" customHeight="false" outlineLevel="0" collapsed="false">
      <c r="A160" s="3" t="s">
        <v>258</v>
      </c>
      <c r="E160" s="3" t="n">
        <f aca="false">+6550-D160-C160-B160</f>
        <v>6550</v>
      </c>
      <c r="F160" s="3" t="n">
        <v>1400</v>
      </c>
      <c r="G160" s="3" t="n">
        <f aca="false">+2400-F160</f>
        <v>1000</v>
      </c>
      <c r="H160" s="3" t="n">
        <f aca="false">+3400-G160-F160</f>
        <v>1000</v>
      </c>
      <c r="I160" s="3" t="n">
        <f aca="false">+4400-H160-G160-F160</f>
        <v>1000</v>
      </c>
      <c r="J160" s="3" t="n">
        <v>2000</v>
      </c>
      <c r="K160" s="3" t="n">
        <f aca="false">+4500-J160</f>
        <v>2500</v>
      </c>
      <c r="L160" s="3" t="n">
        <f aca="false">+7000-K160-J160</f>
        <v>2500</v>
      </c>
      <c r="M160" s="3" t="n">
        <f aca="false">+9500-L160-K160-J160</f>
        <v>2500</v>
      </c>
      <c r="N160" s="3" t="n">
        <v>3250</v>
      </c>
      <c r="O160" s="3" t="n">
        <f aca="false">+6750-N160</f>
        <v>3500</v>
      </c>
      <c r="P160" s="3" t="n">
        <f aca="false">+8807-O160-N160</f>
        <v>2057</v>
      </c>
      <c r="Q160" s="3" t="n">
        <f aca="false">+11281-P160-O160-N160</f>
        <v>2474</v>
      </c>
      <c r="R160" s="3" t="n">
        <v>2478</v>
      </c>
      <c r="S160" s="3" t="n">
        <f aca="false">+4589-R160</f>
        <v>2111</v>
      </c>
      <c r="V160" s="1"/>
      <c r="W160" s="1"/>
      <c r="AA160" s="3" t="n">
        <v>2050</v>
      </c>
      <c r="AB160" s="3" t="n">
        <v>3950</v>
      </c>
      <c r="AC160" s="3" t="n">
        <v>6550</v>
      </c>
      <c r="AD160" s="3" t="n">
        <v>4400</v>
      </c>
      <c r="AE160" s="3" t="n">
        <v>9500</v>
      </c>
      <c r="AF160" s="3" t="n">
        <v>11281</v>
      </c>
    </row>
    <row r="161" s="3" customFormat="true" ht="10.5" hidden="false" customHeight="true" outlineLevel="0" collapsed="false">
      <c r="A161" s="32"/>
      <c r="B161" s="32"/>
      <c r="C161" s="32"/>
      <c r="D161" s="32"/>
      <c r="E161" s="32" t="n">
        <f aca="false">+E160/E$23</f>
        <v>1.4475138121547</v>
      </c>
      <c r="F161" s="32" t="n">
        <f aca="false">+F160/F$23</f>
        <v>0.300751879699248</v>
      </c>
      <c r="G161" s="32" t="n">
        <f aca="false">+G160/G$23</f>
        <v>0.207641196013289</v>
      </c>
      <c r="H161" s="32" t="n">
        <f aca="false">+H160/H$23</f>
        <v>0.204498977505112</v>
      </c>
      <c r="I161" s="32" t="n">
        <f aca="false">+I160/I$23</f>
        <v>0.198098256735341</v>
      </c>
      <c r="J161" s="32" t="n">
        <f aca="false">+J160/J$23</f>
        <v>0.385951370127364</v>
      </c>
      <c r="K161" s="32" t="n">
        <f aca="false">+K160/K$23</f>
        <v>0.470898474288943</v>
      </c>
      <c r="L161" s="32" t="n">
        <f aca="false">+L160/L$23</f>
        <v>0.462278106508876</v>
      </c>
      <c r="M161" s="32" t="n">
        <f aca="false">+M160/M$23</f>
        <v>0.445950767035319</v>
      </c>
      <c r="N161" s="32" t="n">
        <f aca="false">+N160/N$23</f>
        <v>0.568778438921946</v>
      </c>
      <c r="O161" s="32" t="n">
        <f aca="false">+O160/O$23</f>
        <v>0.595947556615018</v>
      </c>
      <c r="P161" s="32" t="n">
        <f aca="false">+P160/P$23</f>
        <v>0.343520374081496</v>
      </c>
      <c r="Q161" s="32" t="n">
        <f aca="false">+Q160/Q$23</f>
        <v>0.399418792379722</v>
      </c>
      <c r="R161" s="32" t="n">
        <f aca="false">+R160/R$23</f>
        <v>0.387308533916849</v>
      </c>
      <c r="S161" s="32" t="n">
        <f aca="false">+S160/S$23</f>
        <v>0.318978543366576</v>
      </c>
      <c r="T161" s="32"/>
      <c r="U161" s="32"/>
      <c r="V161" s="32"/>
      <c r="W161" s="32"/>
      <c r="X161" s="32"/>
      <c r="Y161" s="32"/>
      <c r="Z161" s="32"/>
      <c r="AA161" s="32" t="n">
        <f aca="false">+AA160/AA$23</f>
        <v>0.159309916070874</v>
      </c>
      <c r="AB161" s="32" t="n">
        <f aca="false">+AB160/AB$23</f>
        <v>0.250237567310738</v>
      </c>
      <c r="AC161" s="32" t="n">
        <f aca="false">+AC160/AC$23</f>
        <v>0.372032261728956</v>
      </c>
      <c r="AD161" s="32" t="n">
        <f aca="false">+AD160/AD$23</f>
        <v>0.226698954093462</v>
      </c>
      <c r="AE161" s="32" t="n">
        <f aca="false">+AE160/AE$23</f>
        <v>0.441757730760288</v>
      </c>
      <c r="AF161" s="32" t="n">
        <f aca="false">+AF160/AF$23</f>
        <v>0.474609785855526</v>
      </c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</row>
    <row r="162" s="3" customFormat="true" ht="10.5" hidden="false" customHeight="true" outlineLevel="0" collapsed="false">
      <c r="A162" s="32" t="s">
        <v>257</v>
      </c>
      <c r="B162" s="32"/>
      <c r="C162" s="32"/>
      <c r="D162" s="32"/>
      <c r="E162" s="32"/>
      <c r="F162" s="32"/>
      <c r="G162" s="32"/>
      <c r="H162" s="32"/>
      <c r="I162" s="32" t="n">
        <f aca="false">+I160/E160-1</f>
        <v>-0.847328244274809</v>
      </c>
      <c r="J162" s="32" t="n">
        <f aca="false">+J160/F160-1</f>
        <v>0.428571428571429</v>
      </c>
      <c r="K162" s="32" t="n">
        <f aca="false">+K160/G160-1</f>
        <v>1.5</v>
      </c>
      <c r="L162" s="32" t="n">
        <f aca="false">+L160/H160-1</f>
        <v>1.5</v>
      </c>
      <c r="M162" s="32" t="n">
        <f aca="false">+M160/I160-1</f>
        <v>1.5</v>
      </c>
      <c r="N162" s="32" t="n">
        <f aca="false">+N160/J160-1</f>
        <v>0.625</v>
      </c>
      <c r="O162" s="32" t="n">
        <f aca="false">+O160/K160-1</f>
        <v>0.4</v>
      </c>
      <c r="P162" s="32" t="n">
        <f aca="false">+P160/L160-1</f>
        <v>-0.1772</v>
      </c>
      <c r="Q162" s="32" t="n">
        <f aca="false">+Q160/M160-1</f>
        <v>-0.0104</v>
      </c>
      <c r="R162" s="32" t="n">
        <f aca="false">+R160/N160-1</f>
        <v>-0.237538461538462</v>
      </c>
      <c r="S162" s="32" t="n">
        <f aca="false">+S160/O160-1</f>
        <v>-0.396857142857143</v>
      </c>
      <c r="T162" s="32"/>
      <c r="U162" s="32"/>
      <c r="V162" s="32"/>
      <c r="W162" s="32"/>
      <c r="X162" s="32"/>
      <c r="Y162" s="32"/>
      <c r="Z162" s="32"/>
      <c r="AA162" s="32"/>
      <c r="AB162" s="32" t="n">
        <f aca="false">+AB160/AA160-1</f>
        <v>0.926829268292683</v>
      </c>
      <c r="AC162" s="32" t="n">
        <f aca="false">+AC160/AB160-1</f>
        <v>0.658227848101266</v>
      </c>
      <c r="AD162" s="32" t="n">
        <f aca="false">+AD160/AC160-1</f>
        <v>-0.32824427480916</v>
      </c>
      <c r="AE162" s="32" t="n">
        <f aca="false">+AE160/AD160-1</f>
        <v>1.15909090909091</v>
      </c>
      <c r="AF162" s="32" t="n">
        <f aca="false">+AF160/AE160-1</f>
        <v>0.187473684210526</v>
      </c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</row>
    <row r="163" s="3" customFormat="true" ht="12.8" hidden="false" customHeight="false" outlineLevel="0" collapsed="false">
      <c r="A163" s="3" t="s">
        <v>259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17"/>
      <c r="U163" s="17"/>
      <c r="V163" s="1"/>
      <c r="W163" s="1"/>
      <c r="X163" s="17"/>
      <c r="Y163" s="17"/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</row>
    <row r="164" s="3" customFormat="true" ht="10.5" hidden="false" customHeight="true" outlineLevel="0" collapsed="false">
      <c r="A164" s="32"/>
      <c r="B164" s="32"/>
      <c r="C164" s="32"/>
      <c r="D164" s="32"/>
      <c r="E164" s="32" t="n">
        <f aca="false">+E163/E$23</f>
        <v>0</v>
      </c>
      <c r="F164" s="32" t="n">
        <f aca="false">+F163/F$23</f>
        <v>0</v>
      </c>
      <c r="G164" s="32" t="n">
        <f aca="false">+G163/G$23</f>
        <v>0</v>
      </c>
      <c r="H164" s="32" t="n">
        <f aca="false">+H163/H$23</f>
        <v>0</v>
      </c>
      <c r="I164" s="32" t="n">
        <f aca="false">+I163/I$23</f>
        <v>0</v>
      </c>
      <c r="J164" s="32" t="n">
        <f aca="false">+J163/J$23</f>
        <v>0</v>
      </c>
      <c r="K164" s="32" t="n">
        <f aca="false">+K163/K$23</f>
        <v>0</v>
      </c>
      <c r="L164" s="32" t="n">
        <f aca="false">+L163/L$23</f>
        <v>0</v>
      </c>
      <c r="M164" s="32" t="n">
        <f aca="false">+M163/M$23</f>
        <v>0</v>
      </c>
      <c r="N164" s="32" t="n">
        <f aca="false">+N163/N$23</f>
        <v>0</v>
      </c>
      <c r="O164" s="32" t="n">
        <f aca="false">+O163/O$23</f>
        <v>0</v>
      </c>
      <c r="P164" s="32" t="n">
        <f aca="false">+P163/P$23</f>
        <v>0</v>
      </c>
      <c r="Q164" s="32" t="n">
        <f aca="false">+Q163/Q$23</f>
        <v>0</v>
      </c>
      <c r="R164" s="32" t="n">
        <f aca="false">+R163/R$23</f>
        <v>0</v>
      </c>
      <c r="S164" s="32" t="n">
        <f aca="false">+S163/S$23</f>
        <v>0</v>
      </c>
      <c r="T164" s="32"/>
      <c r="U164" s="32"/>
      <c r="V164" s="32"/>
      <c r="W164" s="32"/>
      <c r="X164" s="32"/>
      <c r="Y164" s="32"/>
      <c r="Z164" s="32"/>
      <c r="AA164" s="32" t="n">
        <f aca="false">+AA163/AA$23</f>
        <v>0</v>
      </c>
      <c r="AB164" s="32" t="n">
        <f aca="false">+AB163/AB$23</f>
        <v>0</v>
      </c>
      <c r="AC164" s="32" t="n">
        <f aca="false">+AC163/AC$23</f>
        <v>0</v>
      </c>
      <c r="AD164" s="32" t="n">
        <f aca="false">+AD163/AD$23</f>
        <v>0</v>
      </c>
      <c r="AE164" s="32" t="n">
        <f aca="false">+AE163/AE$23</f>
        <v>0</v>
      </c>
      <c r="AF164" s="32" t="n">
        <f aca="false">+AF163/AF$23</f>
        <v>0</v>
      </c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70"/>
      <c r="AS164" s="70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</row>
    <row r="165" s="3" customFormat="true" ht="10.5" hidden="false" customHeight="true" outlineLevel="0" collapsed="false">
      <c r="A165" s="32" t="s">
        <v>257</v>
      </c>
      <c r="B165" s="32"/>
      <c r="C165" s="32"/>
      <c r="D165" s="32"/>
      <c r="E165" s="32"/>
      <c r="F165" s="32"/>
      <c r="G165" s="32"/>
      <c r="H165" s="32"/>
      <c r="I165" s="32" t="e">
        <f aca="false">+I163/E163-1</f>
        <v>#DIV/0!</v>
      </c>
      <c r="J165" s="32" t="e">
        <f aca="false">+J163/F163-1</f>
        <v>#DIV/0!</v>
      </c>
      <c r="K165" s="32" t="e">
        <f aca="false">+K163/G163-1</f>
        <v>#DIV/0!</v>
      </c>
      <c r="L165" s="32" t="e">
        <f aca="false">+L163/H163-1</f>
        <v>#DIV/0!</v>
      </c>
      <c r="M165" s="32" t="e">
        <f aca="false">+M163/I163-1</f>
        <v>#DIV/0!</v>
      </c>
      <c r="N165" s="32" t="e">
        <f aca="false">+N163/J163-1</f>
        <v>#DIV/0!</v>
      </c>
      <c r="O165" s="32" t="e">
        <f aca="false">+O163/K163-1</f>
        <v>#DIV/0!</v>
      </c>
      <c r="P165" s="32" t="e">
        <f aca="false">+P163/L163-1</f>
        <v>#DIV/0!</v>
      </c>
      <c r="Q165" s="32" t="e">
        <f aca="false">+Q163/M163-1</f>
        <v>#DIV/0!</v>
      </c>
      <c r="R165" s="32" t="e">
        <f aca="false">+R163/N163-1</f>
        <v>#DIV/0!</v>
      </c>
      <c r="S165" s="32" t="e">
        <f aca="false">+S163/O163-1</f>
        <v>#DIV/0!</v>
      </c>
      <c r="T165" s="32"/>
      <c r="U165" s="32"/>
      <c r="V165" s="32"/>
      <c r="W165" s="32"/>
      <c r="X165" s="32"/>
      <c r="Y165" s="32"/>
      <c r="Z165" s="32"/>
      <c r="AA165" s="32"/>
      <c r="AB165" s="32" t="e">
        <f aca="false">+AB163/AA163-1</f>
        <v>#DIV/0!</v>
      </c>
      <c r="AC165" s="32" t="e">
        <f aca="false">+AC163/AB163-1</f>
        <v>#DIV/0!</v>
      </c>
      <c r="AD165" s="32" t="e">
        <f aca="false">+AD163/AC163-1</f>
        <v>#DIV/0!</v>
      </c>
      <c r="AE165" s="32" t="e">
        <f aca="false">+AE163/AD163-1</f>
        <v>#DIV/0!</v>
      </c>
      <c r="AF165" s="32" t="e">
        <f aca="false">+AF163/AE163-1</f>
        <v>#DIV/0!</v>
      </c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</row>
    <row r="166" s="3" customFormat="true" ht="12.8" hidden="false" customHeight="false" outlineLevel="0" collapsed="false">
      <c r="A166" s="3" t="s">
        <v>260</v>
      </c>
      <c r="B166" s="3" t="n">
        <f aca="false">+B160-B157+B163</f>
        <v>0</v>
      </c>
      <c r="C166" s="3" t="n">
        <f aca="false">+C160-C157+C163</f>
        <v>0</v>
      </c>
      <c r="D166" s="3" t="n">
        <f aca="false">+D160-D157+D163</f>
        <v>0</v>
      </c>
      <c r="E166" s="3" t="n">
        <f aca="false">+E160-E157+E163</f>
        <v>6272</v>
      </c>
      <c r="F166" s="3" t="n">
        <f aca="false">+F160-F157+F163</f>
        <v>1331</v>
      </c>
      <c r="G166" s="3" t="n">
        <f aca="false">+G160-G157+G163</f>
        <v>999</v>
      </c>
      <c r="H166" s="3" t="n">
        <f aca="false">+H160-H157+H163</f>
        <v>756</v>
      </c>
      <c r="I166" s="3" t="n">
        <f aca="false">+I160-I157+I163</f>
        <v>1000</v>
      </c>
      <c r="J166" s="3" t="n">
        <f aca="false">+J160-J157+J163</f>
        <v>1903</v>
      </c>
      <c r="K166" s="3" t="n">
        <f aca="false">+K160-K157+K163</f>
        <v>2500</v>
      </c>
      <c r="L166" s="3" t="n">
        <f aca="false">+L160-L157+L163</f>
        <v>2236</v>
      </c>
      <c r="M166" s="3" t="n">
        <f aca="false">+M160-M157+M163</f>
        <v>2500</v>
      </c>
      <c r="N166" s="3" t="n">
        <f aca="false">+N160-N157+N163</f>
        <v>3154</v>
      </c>
      <c r="O166" s="3" t="n">
        <f aca="false">+O160-O157+O163</f>
        <v>3500</v>
      </c>
      <c r="P166" s="3" t="n">
        <f aca="false">+P160-P157+P163</f>
        <v>1805</v>
      </c>
      <c r="Q166" s="3" t="n">
        <f aca="false">+Q160-Q157+Q163</f>
        <v>2474</v>
      </c>
      <c r="R166" s="3" t="n">
        <f aca="false">+R160-R157+R163</f>
        <v>2394</v>
      </c>
      <c r="S166" s="3" t="n">
        <f aca="false">+S160-S157+S163</f>
        <v>2111</v>
      </c>
      <c r="T166" s="16" t="n">
        <f aca="false">+T23*0.3</f>
        <v>1994.004</v>
      </c>
      <c r="U166" s="16" t="n">
        <f aca="false">+U23*0.3</f>
        <v>2062.602</v>
      </c>
      <c r="V166" s="1"/>
      <c r="W166" s="1"/>
      <c r="X166" s="17"/>
      <c r="Y166" s="17"/>
      <c r="AA166" s="3" t="n">
        <f aca="false">+AA160-AA157+AA163</f>
        <v>1780</v>
      </c>
      <c r="AB166" s="3" t="n">
        <f aca="false">+AB160-AB157+AB163</f>
        <v>3659</v>
      </c>
      <c r="AC166" s="3" t="n">
        <f aca="false">+AC160-AC157+AC163</f>
        <v>6272</v>
      </c>
      <c r="AD166" s="3" t="n">
        <f aca="false">+AD160-AD157+AD163</f>
        <v>4086</v>
      </c>
      <c r="AE166" s="3" t="n">
        <f aca="false">+AE160-AE157+AE163</f>
        <v>9139</v>
      </c>
      <c r="AF166" s="3" t="n">
        <f aca="false">+AF160-AF157+AF163</f>
        <v>10933</v>
      </c>
      <c r="AR166" s="26"/>
      <c r="AS166" s="26"/>
    </row>
    <row r="167" s="3" customFormat="true" ht="10.5" hidden="false" customHeight="true" outlineLevel="0" collapsed="false">
      <c r="A167" s="32"/>
      <c r="B167" s="32"/>
      <c r="C167" s="32"/>
      <c r="D167" s="32"/>
      <c r="E167" s="32" t="n">
        <f aca="false">+E166/E$23</f>
        <v>1.3860773480663</v>
      </c>
      <c r="F167" s="32" t="n">
        <f aca="false">+F166/F$23</f>
        <v>0.285929108485499</v>
      </c>
      <c r="G167" s="32" t="n">
        <f aca="false">+G166/G$23</f>
        <v>0.207433554817276</v>
      </c>
      <c r="H167" s="32" t="n">
        <f aca="false">+H166/H$23</f>
        <v>0.154601226993865</v>
      </c>
      <c r="I167" s="32" t="n">
        <f aca="false">+I166/I$23</f>
        <v>0.198098256735341</v>
      </c>
      <c r="J167" s="32" t="n">
        <f aca="false">+J166/J$23</f>
        <v>0.367232728676187</v>
      </c>
      <c r="K167" s="32" t="n">
        <f aca="false">+K166/K$23</f>
        <v>0.470898474288943</v>
      </c>
      <c r="L167" s="32" t="n">
        <f aca="false">+L166/L$23</f>
        <v>0.413461538461538</v>
      </c>
      <c r="M167" s="32" t="n">
        <f aca="false">+M166/M$23</f>
        <v>0.445950767035319</v>
      </c>
      <c r="N167" s="32" t="n">
        <f aca="false">+N166/N$23</f>
        <v>0.551977598879944</v>
      </c>
      <c r="O167" s="32" t="n">
        <f aca="false">+O166/O$23</f>
        <v>0.595947556615018</v>
      </c>
      <c r="P167" s="32" t="n">
        <f aca="false">+P166/P$23</f>
        <v>0.301436205744823</v>
      </c>
      <c r="Q167" s="32" t="n">
        <f aca="false">+Q166/Q$23</f>
        <v>0.399418792379722</v>
      </c>
      <c r="R167" s="32" t="n">
        <f aca="false">+R166/R$23</f>
        <v>0.37417943107221</v>
      </c>
      <c r="S167" s="32" t="n">
        <f aca="false">+S166/S$23</f>
        <v>0.318978543366576</v>
      </c>
      <c r="T167" s="32"/>
      <c r="U167" s="32"/>
      <c r="V167" s="32"/>
      <c r="W167" s="32"/>
      <c r="X167" s="32"/>
      <c r="Y167" s="32"/>
      <c r="Z167" s="32"/>
      <c r="AA167" s="32" t="n">
        <f aca="false">+AA166/AA$23</f>
        <v>0.138327634442027</v>
      </c>
      <c r="AB167" s="32" t="n">
        <f aca="false">+AB166/AB$23</f>
        <v>0.231802343997466</v>
      </c>
      <c r="AC167" s="32" t="n">
        <f aca="false">+AC166/AC$23</f>
        <v>0.356242190162445</v>
      </c>
      <c r="AD167" s="32" t="n">
        <f aca="false">+AD166/AD$23</f>
        <v>0.210520892369519</v>
      </c>
      <c r="AE167" s="32" t="n">
        <f aca="false">+AE166/AE$23</f>
        <v>0.424970936991397</v>
      </c>
      <c r="AF167" s="32" t="n">
        <f aca="false">+AF166/AF$23</f>
        <v>0.459968867011654</v>
      </c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</row>
    <row r="168" s="3" customFormat="true" ht="10.5" hidden="false" customHeight="true" outlineLevel="0" collapsed="false">
      <c r="A168" s="32" t="s">
        <v>257</v>
      </c>
      <c r="B168" s="32"/>
      <c r="C168" s="32"/>
      <c r="D168" s="32"/>
      <c r="E168" s="32"/>
      <c r="F168" s="32"/>
      <c r="G168" s="32"/>
      <c r="H168" s="32"/>
      <c r="I168" s="32" t="n">
        <f aca="false">+I166/E166-1</f>
        <v>-0.840561224489796</v>
      </c>
      <c r="J168" s="32" t="n">
        <f aca="false">+J166/F166-1</f>
        <v>0.429752066115702</v>
      </c>
      <c r="K168" s="32" t="n">
        <f aca="false">+K166/G166-1</f>
        <v>1.5025025025025</v>
      </c>
      <c r="L168" s="32" t="n">
        <f aca="false">+L166/H166-1</f>
        <v>1.95767195767196</v>
      </c>
      <c r="M168" s="32" t="n">
        <f aca="false">+M166/I166-1</f>
        <v>1.5</v>
      </c>
      <c r="N168" s="32" t="n">
        <f aca="false">+N166/J166-1</f>
        <v>0.657383079348397</v>
      </c>
      <c r="O168" s="32" t="n">
        <f aca="false">+O166/K166-1</f>
        <v>0.4</v>
      </c>
      <c r="P168" s="32" t="n">
        <f aca="false">+P166/L166-1</f>
        <v>-0.192754919499106</v>
      </c>
      <c r="Q168" s="32" t="n">
        <f aca="false">+Q166/M166-1</f>
        <v>-0.0104</v>
      </c>
      <c r="R168" s="32" t="n">
        <f aca="false">+R166/N166-1</f>
        <v>-0.240963855421687</v>
      </c>
      <c r="S168" s="32" t="n">
        <f aca="false">+S166/O166-1</f>
        <v>-0.396857142857143</v>
      </c>
      <c r="T168" s="32"/>
      <c r="U168" s="32"/>
      <c r="V168" s="32"/>
      <c r="W168" s="32"/>
      <c r="X168" s="32"/>
      <c r="Y168" s="32"/>
      <c r="Z168" s="32"/>
      <c r="AA168" s="32"/>
      <c r="AB168" s="32" t="n">
        <f aca="false">+AB166/AA166-1</f>
        <v>1.05561797752809</v>
      </c>
      <c r="AC168" s="32" t="n">
        <f aca="false">+AC166/AB166-1</f>
        <v>0.714129543591145</v>
      </c>
      <c r="AD168" s="32" t="n">
        <f aca="false">+AD166/AC166-1</f>
        <v>-0.348533163265306</v>
      </c>
      <c r="AE168" s="32" t="n">
        <f aca="false">+AE166/AD166-1</f>
        <v>1.23666177190406</v>
      </c>
      <c r="AF168" s="32" t="n">
        <f aca="false">+AF166/AE166-1</f>
        <v>0.196301564722617</v>
      </c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</row>
    <row r="169" s="3" customFormat="true" ht="12.8" hidden="false" customHeight="false" outlineLevel="0" collapsed="false">
      <c r="T169" s="17"/>
      <c r="U169" s="17"/>
      <c r="V169" s="1"/>
      <c r="W169" s="1"/>
      <c r="X169" s="17"/>
      <c r="Y169" s="17"/>
      <c r="AR169" s="26"/>
      <c r="AS169" s="26"/>
    </row>
    <row r="170" s="3" customFormat="true" ht="12.8" hidden="false" customHeight="false" outlineLevel="0" collapsed="false">
      <c r="T170" s="17"/>
      <c r="U170" s="17"/>
      <c r="V170" s="1"/>
      <c r="W170" s="1"/>
      <c r="X170" s="17"/>
      <c r="Y170" s="17"/>
      <c r="AR170" s="26"/>
      <c r="AS170" s="26"/>
    </row>
    <row r="171" s="3" customFormat="true" ht="12.8" hidden="false" customHeight="false" outlineLevel="0" collapsed="false">
      <c r="T171" s="17"/>
      <c r="U171" s="17"/>
      <c r="V171" s="1"/>
      <c r="W171" s="1"/>
      <c r="X171" s="17"/>
      <c r="Y171" s="17"/>
      <c r="AR171" s="26"/>
      <c r="AS171" s="26"/>
    </row>
    <row r="172" s="3" customFormat="true" ht="12.8" hidden="false" customHeight="false" outlineLevel="0" collapsed="false">
      <c r="T172" s="17"/>
      <c r="U172" s="17"/>
      <c r="V172" s="1"/>
      <c r="W172" s="1"/>
      <c r="X172" s="17"/>
      <c r="Y172" s="17"/>
      <c r="AR172" s="26"/>
      <c r="AS172" s="26"/>
    </row>
    <row r="173" s="3" customFormat="true" ht="12.8" hidden="false" customHeight="false" outlineLevel="0" collapsed="false">
      <c r="V173" s="1"/>
      <c r="W173" s="1"/>
      <c r="AR173" s="26"/>
      <c r="AS173" s="26"/>
    </row>
    <row r="174" s="3" customFormat="true" ht="12.8" hidden="false" customHeight="false" outlineLevel="0" collapsed="false">
      <c r="V174" s="1"/>
      <c r="W174" s="1"/>
      <c r="AR174" s="26"/>
      <c r="AS174" s="26"/>
    </row>
    <row r="175" s="3" customFormat="true" ht="12.8" hidden="false" customHeight="false" outlineLevel="0" collapsed="false"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</row>
    <row r="176" s="3" customFormat="true" ht="12.8" hidden="false" customHeight="false" outlineLevel="0" collapsed="false"/>
    <row r="177" s="3" customFormat="true" ht="12.8" hidden="false" customHeight="false" outlineLevel="0" collapsed="false"/>
    <row r="178" s="3" customFormat="true" ht="12.8" hidden="false" customHeight="false" outlineLevel="0" collapsed="false"/>
    <row r="179" s="3" customFormat="true" ht="12.8" hidden="false" customHeight="false" outlineLevel="0" collapsed="false"/>
    <row r="180" s="3" customFormat="true" ht="12.8" hidden="false" customHeight="false" outlineLevel="0" collapsed="false"/>
    <row r="181" s="3" customFormat="true" ht="12.8" hidden="false" customHeight="false" outlineLevel="0" collapsed="false"/>
    <row r="182" s="3" customFormat="true" ht="12.8" hidden="false" customHeight="false" outlineLevel="0" collapsed="false"/>
    <row r="183" s="3" customFormat="true" ht="12.8" hidden="false" customHeight="false" outlineLevel="0" collapsed="false"/>
    <row r="184" s="3" customFormat="true" ht="12.8" hidden="false" customHeight="false" outlineLevel="0" collapsed="false"/>
    <row r="185" s="3" customFormat="true" ht="12.8" hidden="false" customHeight="false" outlineLevel="0" collapsed="false"/>
    <row r="186" s="3" customFormat="true" ht="12.8" hidden="false" customHeight="false" outlineLevel="0" collapsed="false"/>
    <row r="187" s="3" customFormat="true" ht="12.8" hidden="false" customHeight="false" outlineLevel="0" collapsed="false"/>
    <row r="188" s="3" customFormat="true" ht="12.8" hidden="false" customHeight="false" outlineLevel="0" collapsed="false"/>
    <row r="189" s="3" customFormat="true" ht="12.8" hidden="false" customHeight="false" outlineLevel="0" collapsed="false"/>
    <row r="190" s="3" customFormat="true" ht="12.8" hidden="false" customHeight="false" outlineLevel="0" collapsed="false"/>
    <row r="191" s="3" customFormat="true" ht="12.8" hidden="false" customHeight="false" outlineLevel="0" collapsed="false"/>
    <row r="192" s="3" customFormat="true" ht="12.8" hidden="false" customHeight="false" outlineLevel="0" collapsed="false"/>
    <row r="193" s="3" customFormat="true" ht="12.8" hidden="false" customHeight="false" outlineLevel="0" collapsed="false"/>
    <row r="194" s="3" customFormat="true" ht="12.8" hidden="false" customHeight="false" outlineLevel="0" collapsed="false"/>
    <row r="195" s="3" customFormat="true" ht="12.8" hidden="false" customHeight="false" outlineLevel="0" collapsed="false"/>
    <row r="196" s="3" customFormat="true" ht="12.8" hidden="false" customHeight="false" outlineLevel="0" collapsed="false"/>
    <row r="197" s="3" customFormat="true" ht="12.8" hidden="false" customHeight="false" outlineLevel="0" collapsed="false"/>
    <row r="198" s="3" customFormat="true" ht="12.8" hidden="false" customHeight="false" outlineLevel="0" collapsed="false"/>
    <row r="199" s="3" customFormat="true" ht="12.8" hidden="false" customHeight="false" outlineLevel="0" collapsed="false"/>
    <row r="200" s="3" customFormat="true" ht="12.8" hidden="false" customHeight="false" outlineLevel="0" collapsed="false"/>
    <row r="201" s="3" customFormat="true" ht="12.8" hidden="false" customHeight="false" outlineLevel="0" collapsed="false"/>
    <row r="202" s="3" customFormat="true" ht="12.8" hidden="false" customHeight="false" outlineLevel="0" collapsed="false"/>
    <row r="203" s="3" customFormat="true" ht="12.8" hidden="false" customHeight="false" outlineLevel="0" collapsed="false"/>
    <row r="204" s="3" customFormat="true" ht="12.8" hidden="false" customHeight="false" outlineLevel="0" collapsed="false"/>
    <row r="205" s="3" customFormat="true" ht="12.8" hidden="false" customHeight="false" outlineLevel="0" collapsed="false"/>
    <row r="206" s="3" customFormat="true" ht="12.8" hidden="false" customHeight="false" outlineLevel="0" collapsed="false"/>
    <row r="207" s="3" customFormat="true" ht="12.8" hidden="false" customHeight="false" outlineLevel="0" collapsed="false"/>
    <row r="208" s="3" customFormat="true" ht="12.8" hidden="false" customHeight="false" outlineLevel="0" collapsed="false"/>
    <row r="209" s="3" customFormat="true" ht="12.8" hidden="false" customHeight="false" outlineLevel="0" collapsed="false"/>
    <row r="210" s="3" customFormat="true" ht="12.8" hidden="false" customHeight="false" outlineLevel="0" collapsed="false"/>
    <row r="211" s="3" customFormat="true" ht="12.8" hidden="false" customHeight="false" outlineLevel="0" collapsed="false"/>
    <row r="212" s="3" customFormat="true" ht="12.8" hidden="false" customHeight="false" outlineLevel="0" collapsed="false"/>
    <row r="213" s="3" customFormat="true" ht="12.8" hidden="false" customHeight="false" outlineLevel="0" collapsed="false"/>
    <row r="214" s="3" customFormat="true" ht="12.8" hidden="false" customHeight="false" outlineLevel="0" collapsed="false"/>
    <row r="215" s="3" customFormat="true" ht="12.8" hidden="false" customHeight="false" outlineLevel="0" collapsed="false"/>
    <row r="216" s="3" customFormat="true" ht="12.8" hidden="false" customHeight="false" outlineLevel="0" collapsed="false"/>
    <row r="217" s="3" customFormat="true" ht="12.8" hidden="false" customHeight="false" outlineLevel="0" collapsed="false"/>
    <row r="218" s="3" customFormat="true" ht="12.8" hidden="false" customHeight="false" outlineLevel="0" collapsed="false"/>
    <row r="219" s="3" customFormat="true" ht="12.8" hidden="false" customHeight="false" outlineLevel="0" collapsed="false"/>
    <row r="220" s="3" customFormat="true" ht="12.8" hidden="false" customHeight="false" outlineLevel="0" collapsed="false"/>
    <row r="221" s="3" customFormat="true" ht="12.8" hidden="false" customHeight="false" outlineLevel="0" collapsed="false"/>
    <row r="222" s="3" customFormat="true" ht="12.8" hidden="false" customHeight="false" outlineLevel="0" collapsed="false"/>
    <row r="223" s="3" customFormat="true" ht="12.8" hidden="false" customHeight="false" outlineLevel="0" collapsed="false"/>
    <row r="224" s="3" customFormat="true" ht="12.8" hidden="false" customHeight="false" outlineLevel="0" collapsed="false"/>
    <row r="225" s="3" customFormat="true" ht="12.8" hidden="false" customHeight="false" outlineLevel="0" collapsed="false"/>
    <row r="226" s="3" customFormat="true" ht="12.8" hidden="false" customHeight="false" outlineLevel="0" collapsed="false"/>
    <row r="227" s="3" customFormat="true" ht="12.8" hidden="false" customHeight="false" outlineLevel="0" collapsed="false"/>
    <row r="228" s="3" customFormat="true" ht="12.8" hidden="false" customHeight="false" outlineLevel="0" collapsed="false"/>
    <row r="229" s="3" customFormat="true" ht="12.8" hidden="false" customHeight="false" outlineLevel="0" collapsed="false"/>
    <row r="230" s="3" customFormat="true" ht="12.8" hidden="false" customHeight="false" outlineLevel="0" collapsed="false"/>
    <row r="231" s="3" customFormat="true" ht="12.8" hidden="false" customHeight="false" outlineLevel="0" collapsed="false"/>
    <row r="232" s="3" customFormat="true" ht="12.8" hidden="false" customHeight="false" outlineLevel="0" collapsed="false"/>
    <row r="233" s="3" customFormat="true" ht="12.8" hidden="false" customHeight="false" outlineLevel="0" collapsed="false"/>
    <row r="234" s="3" customFormat="true" ht="12.8" hidden="false" customHeight="false" outlineLevel="0" collapsed="false"/>
    <row r="235" s="3" customFormat="true" ht="12.8" hidden="false" customHeight="false" outlineLevel="0" collapsed="false"/>
    <row r="236" s="3" customFormat="true" ht="12.8" hidden="false" customHeight="false" outlineLevel="0" collapsed="false"/>
    <row r="237" s="3" customFormat="true" ht="12.8" hidden="false" customHeight="false" outlineLevel="0" collapsed="false"/>
    <row r="238" s="3" customFormat="true" ht="12.8" hidden="false" customHeight="false" outlineLevel="0" collapsed="false"/>
    <row r="239" s="3" customFormat="true" ht="12.8" hidden="false" customHeight="false" outlineLevel="0" collapsed="false"/>
    <row r="240" s="3" customFormat="true" ht="12.8" hidden="false" customHeight="false" outlineLevel="0" collapsed="false"/>
    <row r="241" s="3" customFormat="true" ht="12.8" hidden="false" customHeight="false" outlineLevel="0" collapsed="false"/>
    <row r="242" s="3" customFormat="true" ht="12.8" hidden="false" customHeight="false" outlineLevel="0" collapsed="false"/>
    <row r="243" s="3" customFormat="true" ht="12.8" hidden="false" customHeight="false" outlineLevel="0" collapsed="false"/>
    <row r="244" s="3" customFormat="true" ht="12.8" hidden="false" customHeight="false" outlineLevel="0" collapsed="false"/>
    <row r="245" s="3" customFormat="true" ht="12.8" hidden="false" customHeight="false" outlineLevel="0" collapsed="false"/>
    <row r="246" s="3" customFormat="true" ht="12.8" hidden="false" customHeight="false" outlineLevel="0" collapsed="false"/>
    <row r="247" s="3" customFormat="true" ht="12.8" hidden="false" customHeight="false" outlineLevel="0" collapsed="false"/>
    <row r="248" s="3" customFormat="true" ht="12.8" hidden="false" customHeight="false" outlineLevel="0" collapsed="false"/>
    <row r="249" s="3" customFormat="true" ht="12.8" hidden="false" customHeight="false" outlineLevel="0" collapsed="false"/>
    <row r="250" s="3" customFormat="true" ht="12.8" hidden="false" customHeight="false" outlineLevel="0" collapsed="false"/>
    <row r="251" s="3" customFormat="true" ht="12.8" hidden="false" customHeight="false" outlineLevel="0" collapsed="false"/>
    <row r="252" s="3" customFormat="true" ht="12.8" hidden="false" customHeight="false" outlineLevel="0" collapsed="false"/>
    <row r="253" s="3" customFormat="true" ht="12.8" hidden="false" customHeight="false" outlineLevel="0" collapsed="false"/>
    <row r="254" s="3" customFormat="true" ht="12.8" hidden="false" customHeight="false" outlineLevel="0" collapsed="false"/>
    <row r="255" s="3" customFormat="true" ht="12.8" hidden="false" customHeight="false" outlineLevel="0" collapsed="false"/>
    <row r="256" s="3" customFormat="true" ht="12.8" hidden="false" customHeight="false" outlineLevel="0" collapsed="false"/>
    <row r="257" s="3" customFormat="true" ht="12.8" hidden="false" customHeight="false" outlineLevel="0" collapsed="false"/>
    <row r="258" s="3" customFormat="true" ht="12.8" hidden="false" customHeight="false" outlineLevel="0" collapsed="false"/>
    <row r="259" s="3" customFormat="true" ht="12.8" hidden="false" customHeight="false" outlineLevel="0" collapsed="false"/>
    <row r="260" s="3" customFormat="true" ht="12.8" hidden="false" customHeight="false" outlineLevel="0" collapsed="false"/>
    <row r="261" s="3" customFormat="true" ht="12.8" hidden="false" customHeight="false" outlineLevel="0" collapsed="false"/>
    <row r="262" s="3" customFormat="true" ht="12.8" hidden="false" customHeight="false" outlineLevel="0" collapsed="false"/>
    <row r="263" s="3" customFormat="true" ht="12.8" hidden="false" customHeight="false" outlineLevel="0" collapsed="false"/>
    <row r="264" s="3" customFormat="true" ht="12.8" hidden="false" customHeight="false" outlineLevel="0" collapsed="false"/>
    <row r="265" s="3" customFormat="true" ht="12.8" hidden="false" customHeight="false" outlineLevel="0" collapsed="false"/>
    <row r="266" s="3" customFormat="true" ht="12.8" hidden="false" customHeight="false" outlineLevel="0" collapsed="false"/>
    <row r="267" s="3" customFormat="true" ht="12.8" hidden="false" customHeight="false" outlineLevel="0" collapsed="false"/>
    <row r="268" s="3" customFormat="true" ht="12.8" hidden="false" customHeight="false" outlineLevel="0" collapsed="false"/>
    <row r="269" s="3" customFormat="true" ht="12.8" hidden="false" customHeight="false" outlineLevel="0" collapsed="false"/>
    <row r="270" s="3" customFormat="true" ht="12.8" hidden="false" customHeight="false" outlineLevel="0" collapsed="false"/>
    <row r="271" s="3" customFormat="true" ht="12.8" hidden="false" customHeight="false" outlineLevel="0" collapsed="false"/>
    <row r="272" s="3" customFormat="true" ht="12.8" hidden="false" customHeight="false" outlineLevel="0" collapsed="false"/>
    <row r="273" s="3" customFormat="true" ht="12.8" hidden="false" customHeight="false" outlineLevel="0" collapsed="false"/>
    <row r="274" s="3" customFormat="true" ht="12.8" hidden="false" customHeight="false" outlineLevel="0" collapsed="false"/>
    <row r="275" s="3" customFormat="true" ht="12.8" hidden="false" customHeight="false" outlineLevel="0" collapsed="false"/>
    <row r="276" s="3" customFormat="true" ht="12.8" hidden="false" customHeight="false" outlineLevel="0" collapsed="false"/>
    <row r="277" s="3" customFormat="true" ht="12.8" hidden="false" customHeight="false" outlineLevel="0" collapsed="false"/>
    <row r="278" s="3" customFormat="true" ht="12.8" hidden="false" customHeight="false" outlineLevel="0" collapsed="false"/>
    <row r="279" s="3" customFormat="true" ht="12.8" hidden="false" customHeight="false" outlineLevel="0" collapsed="false"/>
    <row r="280" s="3" customFormat="true" ht="12.8" hidden="false" customHeight="false" outlineLevel="0" collapsed="false"/>
    <row r="281" s="3" customFormat="true" ht="12.8" hidden="false" customHeight="false" outlineLevel="0" collapsed="false"/>
    <row r="282" s="3" customFormat="true" ht="12.8" hidden="false" customHeight="false" outlineLevel="0" collapsed="false"/>
    <row r="283" s="3" customFormat="true" ht="12.8" hidden="false" customHeight="false" outlineLevel="0" collapsed="false"/>
    <row r="284" s="3" customFormat="true" ht="12.8" hidden="false" customHeight="false" outlineLevel="0" collapsed="false"/>
    <row r="285" s="3" customFormat="true" ht="12.8" hidden="false" customHeight="false" outlineLevel="0" collapsed="false"/>
    <row r="286" s="3" customFormat="true" ht="12.8" hidden="false" customHeight="false" outlineLevel="0" collapsed="false"/>
    <row r="287" s="3" customFormat="true" ht="12.8" hidden="false" customHeight="false" outlineLevel="0" collapsed="false"/>
    <row r="288" s="3" customFormat="true" ht="12.8" hidden="false" customHeight="false" outlineLevel="0" collapsed="false"/>
    <row r="289" s="3" customFormat="true" ht="12.8" hidden="false" customHeight="false" outlineLevel="0" collapsed="false"/>
    <row r="290" s="3" customFormat="true" ht="12.8" hidden="false" customHeight="false" outlineLevel="0" collapsed="false"/>
    <row r="291" s="3" customFormat="true" ht="12.8" hidden="false" customHeight="false" outlineLevel="0" collapsed="false"/>
    <row r="292" s="3" customFormat="true" ht="12.8" hidden="false" customHeight="false" outlineLevel="0" collapsed="false"/>
    <row r="293" s="3" customFormat="true" ht="12.8" hidden="false" customHeight="false" outlineLevel="0" collapsed="false"/>
    <row r="294" s="3" customFormat="true" ht="12.8" hidden="false" customHeight="false" outlineLevel="0" collapsed="false"/>
    <row r="295" s="3" customFormat="true" ht="12.8" hidden="false" customHeight="false" outlineLevel="0" collapsed="false"/>
    <row r="296" s="3" customFormat="true" ht="12.8" hidden="false" customHeight="false" outlineLevel="0" collapsed="false"/>
    <row r="297" s="3" customFormat="true" ht="12.8" hidden="false" customHeight="false" outlineLevel="0" collapsed="false"/>
    <row r="298" s="3" customFormat="true" ht="12.8" hidden="false" customHeight="false" outlineLevel="0" collapsed="false"/>
    <row r="299" s="3" customFormat="true" ht="12.8" hidden="false" customHeight="false" outlineLevel="0" collapsed="false"/>
    <row r="300" s="3" customFormat="true" ht="12.8" hidden="false" customHeight="false" outlineLevel="0" collapsed="false"/>
    <row r="301" s="3" customFormat="true" ht="12.8" hidden="false" customHeight="false" outlineLevel="0" collapsed="false"/>
    <row r="302" s="3" customFormat="true" ht="12.8" hidden="false" customHeight="false" outlineLevel="0" collapsed="false"/>
    <row r="303" s="3" customFormat="true" ht="12.8" hidden="false" customHeight="false" outlineLevel="0" collapsed="false"/>
    <row r="304" s="3" customFormat="true" ht="12.8" hidden="false" customHeight="false" outlineLevel="0" collapsed="false"/>
    <row r="305" s="3" customFormat="true" ht="12.8" hidden="false" customHeight="false" outlineLevel="0" collapsed="false"/>
    <row r="306" s="3" customFormat="true" ht="12.8" hidden="false" customHeight="false" outlineLevel="0" collapsed="false"/>
    <row r="307" s="3" customFormat="true" ht="12.8" hidden="false" customHeight="false" outlineLevel="0" collapsed="false"/>
    <row r="308" s="3" customFormat="true" ht="12.8" hidden="false" customHeight="false" outlineLevel="0" collapsed="false"/>
    <row r="309" s="3" customFormat="true" ht="12.8" hidden="false" customHeight="false" outlineLevel="0" collapsed="false"/>
    <row r="310" s="3" customFormat="true" ht="12.8" hidden="false" customHeight="false" outlineLevel="0" collapsed="false"/>
    <row r="311" s="3" customFormat="true" ht="12.8" hidden="false" customHeight="false" outlineLevel="0" collapsed="false"/>
    <row r="312" s="3" customFormat="true" ht="12.8" hidden="false" customHeight="false" outlineLevel="0" collapsed="false"/>
    <row r="313" s="3" customFormat="true" ht="12.8" hidden="false" customHeight="false" outlineLevel="0" collapsed="false"/>
    <row r="314" s="3" customFormat="true" ht="12.8" hidden="false" customHeight="false" outlineLevel="0" collapsed="false"/>
    <row r="315" s="3" customFormat="true" ht="12.8" hidden="false" customHeight="false" outlineLevel="0" collapsed="false"/>
    <row r="316" s="3" customFormat="true" ht="12.8" hidden="false" customHeight="false" outlineLevel="0" collapsed="false"/>
    <row r="317" s="3" customFormat="true" ht="12.8" hidden="false" customHeight="false" outlineLevel="0" collapsed="false"/>
    <row r="318" s="3" customFormat="true" ht="12.8" hidden="false" customHeight="false" outlineLevel="0" collapsed="false"/>
    <row r="319" s="3" customFormat="true" ht="12.8" hidden="false" customHeight="false" outlineLevel="0" collapsed="false"/>
    <row r="320" s="3" customFormat="true" ht="12.8" hidden="false" customHeight="false" outlineLevel="0" collapsed="false"/>
    <row r="321" s="3" customFormat="true" ht="12.8" hidden="false" customHeight="false" outlineLevel="0" collapsed="false"/>
    <row r="322" s="3" customFormat="true" ht="12.8" hidden="false" customHeight="false" outlineLevel="0" collapsed="false"/>
    <row r="323" s="3" customFormat="true" ht="12.8" hidden="false" customHeight="false" outlineLevel="0" collapsed="false"/>
    <row r="324" s="3" customFormat="true" ht="12.8" hidden="false" customHeight="false" outlineLevel="0" collapsed="false"/>
    <row r="325" s="3" customFormat="true" ht="12.8" hidden="false" customHeight="false" outlineLevel="0" collapsed="false"/>
    <row r="326" s="3" customFormat="true" ht="12.8" hidden="false" customHeight="false" outlineLevel="0" collapsed="false"/>
    <row r="327" s="3" customFormat="true" ht="12.8" hidden="false" customHeight="false" outlineLevel="0" collapsed="false"/>
    <row r="328" s="3" customFormat="true" ht="12.8" hidden="false" customHeight="false" outlineLevel="0" collapsed="false"/>
    <row r="329" s="3" customFormat="true" ht="12.8" hidden="false" customHeight="false" outlineLevel="0" collapsed="false"/>
    <row r="330" s="3" customFormat="true" ht="12.8" hidden="false" customHeight="false" outlineLevel="0" collapsed="false"/>
    <row r="331" s="3" customFormat="true" ht="12.8" hidden="false" customHeight="false" outlineLevel="0" collapsed="false"/>
    <row r="332" s="3" customFormat="true" ht="12.8" hidden="false" customHeight="false" outlineLevel="0" collapsed="false"/>
    <row r="333" s="3" customFormat="true" ht="12.8" hidden="false" customHeight="false" outlineLevel="0" collapsed="false"/>
    <row r="334" s="3" customFormat="true" ht="12.8" hidden="false" customHeight="false" outlineLevel="0" collapsed="false"/>
    <row r="335" s="3" customFormat="true" ht="12.8" hidden="false" customHeight="false" outlineLevel="0" collapsed="false"/>
    <row r="336" s="3" customFormat="true" ht="12.8" hidden="false" customHeight="false" outlineLevel="0" collapsed="false"/>
    <row r="337" s="3" customFormat="true" ht="12.8" hidden="false" customHeight="false" outlineLevel="0" collapsed="false"/>
    <row r="338" s="3" customFormat="true" ht="12.8" hidden="false" customHeight="false" outlineLevel="0" collapsed="false"/>
    <row r="339" s="3" customFormat="true" ht="12.8" hidden="false" customHeight="false" outlineLevel="0" collapsed="false"/>
    <row r="340" s="3" customFormat="true" ht="12.8" hidden="false" customHeight="false" outlineLevel="0" collapsed="false"/>
    <row r="341" s="3" customFormat="true" ht="12.8" hidden="false" customHeight="false" outlineLevel="0" collapsed="false"/>
    <row r="342" s="3" customFormat="true" ht="12.8" hidden="false" customHeight="false" outlineLevel="0" collapsed="false"/>
    <row r="343" s="3" customFormat="true" ht="12.8" hidden="false" customHeight="false" outlineLevel="0" collapsed="false"/>
    <row r="344" s="3" customFormat="true" ht="12.8" hidden="false" customHeight="false" outlineLevel="0" collapsed="false"/>
    <row r="345" s="3" customFormat="true" ht="12.8" hidden="false" customHeight="false" outlineLevel="0" collapsed="false"/>
    <row r="346" s="3" customFormat="true" ht="12.8" hidden="false" customHeight="false" outlineLevel="0" collapsed="false"/>
    <row r="347" s="3" customFormat="true" ht="12.8" hidden="false" customHeight="false" outlineLevel="0" collapsed="false"/>
    <row r="348" s="3" customFormat="true" ht="12.8" hidden="false" customHeight="false" outlineLevel="0" collapsed="false"/>
    <row r="349" s="3" customFormat="true" ht="12.8" hidden="false" customHeight="false" outlineLevel="0" collapsed="false"/>
    <row r="350" s="3" customFormat="true" ht="12.8" hidden="false" customHeight="false" outlineLevel="0" collapsed="false"/>
    <row r="351" s="3" customFormat="true" ht="12.8" hidden="false" customHeight="false" outlineLevel="0" collapsed="false"/>
    <row r="352" s="3" customFormat="true" ht="12.8" hidden="false" customHeight="false" outlineLevel="0" collapsed="false"/>
    <row r="353" s="3" customFormat="true" ht="12.8" hidden="false" customHeight="false" outlineLevel="0" collapsed="false"/>
    <row r="354" s="3" customFormat="true" ht="12.8" hidden="false" customHeight="false" outlineLevel="0" collapsed="false"/>
    <row r="355" s="3" customFormat="true" ht="12.8" hidden="false" customHeight="false" outlineLevel="0" collapsed="false"/>
    <row r="356" s="3" customFormat="true" ht="12.8" hidden="false" customHeight="false" outlineLevel="0" collapsed="false"/>
    <row r="357" s="3" customFormat="true" ht="12.8" hidden="false" customHeight="false" outlineLevel="0" collapsed="false"/>
    <row r="358" s="3" customFormat="true" ht="12.8" hidden="false" customHeight="false" outlineLevel="0" collapsed="false"/>
    <row r="359" s="3" customFormat="true" ht="12.8" hidden="false" customHeight="false" outlineLevel="0" collapsed="false"/>
    <row r="360" s="3" customFormat="true" ht="12.8" hidden="false" customHeight="false" outlineLevel="0" collapsed="false"/>
    <row r="361" s="3" customFormat="true" ht="12.8" hidden="false" customHeight="false" outlineLevel="0" collapsed="false"/>
    <row r="362" s="3" customFormat="true" ht="12.8" hidden="false" customHeight="false" outlineLevel="0" collapsed="false"/>
    <row r="363" s="3" customFormat="true" ht="12.8" hidden="false" customHeight="false" outlineLevel="0" collapsed="false"/>
    <row r="364" s="3" customFormat="true" ht="12.8" hidden="false" customHeight="false" outlineLevel="0" collapsed="false"/>
    <row r="365" s="3" customFormat="true" ht="12.8" hidden="false" customHeight="false" outlineLevel="0" collapsed="false"/>
    <row r="366" s="3" customFormat="true" ht="12.8" hidden="false" customHeight="false" outlineLevel="0" collapsed="false"/>
    <row r="367" s="3" customFormat="true" ht="12.8" hidden="false" customHeight="false" outlineLevel="0" collapsed="false"/>
    <row r="368" s="3" customFormat="true" ht="12.8" hidden="false" customHeight="false" outlineLevel="0" collapsed="false"/>
    <row r="369" s="3" customFormat="true" ht="12.8" hidden="false" customHeight="false" outlineLevel="0" collapsed="false"/>
    <row r="370" s="3" customFormat="true" ht="12.8" hidden="false" customHeight="false" outlineLevel="0" collapsed="false"/>
    <row r="371" s="3" customFormat="true" ht="12.8" hidden="false" customHeight="false" outlineLevel="0" collapsed="false"/>
    <row r="372" s="3" customFormat="true" ht="12.8" hidden="false" customHeight="false" outlineLevel="0" collapsed="false"/>
    <row r="373" s="3" customFormat="true" ht="12.8" hidden="false" customHeight="false" outlineLevel="0" collapsed="false"/>
    <row r="374" s="3" customFormat="true" ht="12.8" hidden="false" customHeight="false" outlineLevel="0" collapsed="false"/>
    <row r="375" s="3" customFormat="true" ht="12.8" hidden="false" customHeight="false" outlineLevel="0" collapsed="false"/>
    <row r="376" s="3" customFormat="true" ht="12.8" hidden="false" customHeight="false" outlineLevel="0" collapsed="false"/>
    <row r="377" s="3" customFormat="true" ht="12.8" hidden="false" customHeight="false" outlineLevel="0" collapsed="false"/>
    <row r="378" s="3" customFormat="true" ht="12.8" hidden="false" customHeight="false" outlineLevel="0" collapsed="false"/>
    <row r="379" s="3" customFormat="true" ht="12.8" hidden="false" customHeight="false" outlineLevel="0" collapsed="false"/>
    <row r="380" s="3" customFormat="true" ht="12.8" hidden="false" customHeight="false" outlineLevel="0" collapsed="false"/>
    <row r="381" s="3" customFormat="true" ht="12.8" hidden="false" customHeight="false" outlineLevel="0" collapsed="false"/>
    <row r="382" s="3" customFormat="true" ht="12.8" hidden="false" customHeight="false" outlineLevel="0" collapsed="false"/>
    <row r="383" s="3" customFormat="true" ht="12.8" hidden="false" customHeight="false" outlineLevel="0" collapsed="false"/>
    <row r="384" s="3" customFormat="true" ht="12.8" hidden="false" customHeight="false" outlineLevel="0" collapsed="false"/>
    <row r="385" s="3" customFormat="true" ht="12.8" hidden="false" customHeight="false" outlineLevel="0" collapsed="false"/>
    <row r="386" s="3" customFormat="true" ht="12.8" hidden="false" customHeight="false" outlineLevel="0" collapsed="false"/>
    <row r="387" s="3" customFormat="true" ht="12.8" hidden="false" customHeight="false" outlineLevel="0" collapsed="false"/>
    <row r="388" s="3" customFormat="true" ht="12.8" hidden="false" customHeight="false" outlineLevel="0" collapsed="false"/>
    <row r="389" s="3" customFormat="true" ht="12.8" hidden="false" customHeight="false" outlineLevel="0" collapsed="false"/>
    <row r="390" s="3" customFormat="true" ht="12.8" hidden="false" customHeight="false" outlineLevel="0" collapsed="false"/>
    <row r="391" s="3" customFormat="true" ht="12.8" hidden="false" customHeight="false" outlineLevel="0" collapsed="false"/>
    <row r="392" s="3" customFormat="true" ht="12.8" hidden="false" customHeight="false" outlineLevel="0" collapsed="false"/>
    <row r="393" s="3" customFormat="true" ht="12.8" hidden="false" customHeight="false" outlineLevel="0" collapsed="false"/>
    <row r="394" s="3" customFormat="true" ht="12.8" hidden="false" customHeight="false" outlineLevel="0" collapsed="false"/>
    <row r="395" s="3" customFormat="true" ht="12.8" hidden="false" customHeight="false" outlineLevel="0" collapsed="false"/>
    <row r="396" s="3" customFormat="true" ht="12.8" hidden="false" customHeight="false" outlineLevel="0" collapsed="false"/>
    <row r="397" s="3" customFormat="true" ht="12.8" hidden="false" customHeight="false" outlineLevel="0" collapsed="false"/>
    <row r="398" s="3" customFormat="true" ht="12.8" hidden="false" customHeight="false" outlineLevel="0" collapsed="false"/>
    <row r="399" s="3" customFormat="true" ht="12.8" hidden="false" customHeight="false" outlineLevel="0" collapsed="false"/>
    <row r="400" s="3" customFormat="true" ht="12.8" hidden="false" customHeight="false" outlineLevel="0" collapsed="false"/>
    <row r="401" s="3" customFormat="true" ht="12.8" hidden="false" customHeight="false" outlineLevel="0" collapsed="false"/>
    <row r="402" s="3" customFormat="true" ht="12.8" hidden="false" customHeight="false" outlineLevel="0" collapsed="false"/>
    <row r="403" s="3" customFormat="true" ht="12.8" hidden="false" customHeight="false" outlineLevel="0" collapsed="false"/>
    <row r="404" s="3" customFormat="true" ht="12.8" hidden="false" customHeight="false" outlineLevel="0" collapsed="false"/>
    <row r="405" s="3" customFormat="true" ht="12.8" hidden="false" customHeight="false" outlineLevel="0" collapsed="false"/>
    <row r="406" s="3" customFormat="true" ht="12.8" hidden="false" customHeight="false" outlineLevel="0" collapsed="false"/>
    <row r="407" s="3" customFormat="true" ht="12.8" hidden="false" customHeight="false" outlineLevel="0" collapsed="false"/>
    <row r="408" s="3" customFormat="true" ht="12.8" hidden="false" customHeight="false" outlineLevel="0" collapsed="false"/>
    <row r="409" s="3" customFormat="true" ht="12.8" hidden="false" customHeight="false" outlineLevel="0" collapsed="false"/>
    <row r="410" s="3" customFormat="true" ht="12.8" hidden="false" customHeight="false" outlineLevel="0" collapsed="false"/>
    <row r="411" s="3" customFormat="true" ht="12.8" hidden="false" customHeight="false" outlineLevel="0" collapsed="false"/>
    <row r="412" s="3" customFormat="true" ht="12.8" hidden="false" customHeight="false" outlineLevel="0" collapsed="false"/>
    <row r="413" s="3" customFormat="true" ht="12.8" hidden="false" customHeight="false" outlineLevel="0" collapsed="false"/>
    <row r="414" s="3" customFormat="true" ht="12.8" hidden="false" customHeight="false" outlineLevel="0" collapsed="false"/>
    <row r="415" s="3" customFormat="true" ht="12.8" hidden="false" customHeight="false" outlineLevel="0" collapsed="false"/>
    <row r="416" s="3" customFormat="true" ht="12.8" hidden="false" customHeight="false" outlineLevel="0" collapsed="false"/>
    <row r="417" s="3" customFormat="true" ht="12.8" hidden="false" customHeight="false" outlineLevel="0" collapsed="false"/>
    <row r="418" s="3" customFormat="true" ht="12.8" hidden="false" customHeight="false" outlineLevel="0" collapsed="false"/>
    <row r="419" s="3" customFormat="true" ht="12.8" hidden="false" customHeight="false" outlineLevel="0" collapsed="false"/>
    <row r="420" s="3" customFormat="true" ht="12.8" hidden="false" customHeight="false" outlineLevel="0" collapsed="false"/>
    <row r="421" s="3" customFormat="true" ht="12.8" hidden="false" customHeight="false" outlineLevel="0" collapsed="false"/>
    <row r="422" s="3" customFormat="true" ht="12.8" hidden="false" customHeight="false" outlineLevel="0" collapsed="false"/>
    <row r="423" s="3" customFormat="true" ht="12.8" hidden="false" customHeight="false" outlineLevel="0" collapsed="false"/>
    <row r="424" s="3" customFormat="true" ht="12.8" hidden="false" customHeight="false" outlineLevel="0" collapsed="false"/>
    <row r="425" s="3" customFormat="true" ht="12.8" hidden="false" customHeight="false" outlineLevel="0" collapsed="false"/>
    <row r="426" s="3" customFormat="true" ht="12.8" hidden="false" customHeight="false" outlineLevel="0" collapsed="false"/>
    <row r="427" s="3" customFormat="true" ht="12.8" hidden="false" customHeight="false" outlineLevel="0" collapsed="false"/>
    <row r="428" s="3" customFormat="true" ht="12.8" hidden="false" customHeight="false" outlineLevel="0" collapsed="false"/>
    <row r="429" s="3" customFormat="true" ht="12.8" hidden="false" customHeight="false" outlineLevel="0" collapsed="false"/>
    <row r="430" s="3" customFormat="true" ht="12.8" hidden="false" customHeight="false" outlineLevel="0" collapsed="false"/>
    <row r="431" s="3" customFormat="true" ht="12.8" hidden="false" customHeight="false" outlineLevel="0" collapsed="false"/>
    <row r="432" s="3" customFormat="true" ht="12.8" hidden="false" customHeight="false" outlineLevel="0" collapsed="false"/>
    <row r="433" s="3" customFormat="true" ht="12.8" hidden="false" customHeight="false" outlineLevel="0" collapsed="false"/>
    <row r="434" s="3" customFormat="true" ht="12.8" hidden="false" customHeight="false" outlineLevel="0" collapsed="false"/>
    <row r="435" s="3" customFormat="true" ht="12.8" hidden="false" customHeight="false" outlineLevel="0" collapsed="false"/>
    <row r="436" s="3" customFormat="true" ht="12.8" hidden="false" customHeight="false" outlineLevel="0" collapsed="false"/>
    <row r="437" s="3" customFormat="true" ht="12.8" hidden="false" customHeight="false" outlineLevel="0" collapsed="false"/>
    <row r="438" s="3" customFormat="true" ht="12.8" hidden="false" customHeight="false" outlineLevel="0" collapsed="false"/>
    <row r="439" s="3" customFormat="true" ht="12.8" hidden="false" customHeight="false" outlineLevel="0" collapsed="false"/>
    <row r="440" s="3" customFormat="true" ht="12.8" hidden="false" customHeight="false" outlineLevel="0" collapsed="false"/>
    <row r="441" s="3" customFormat="true" ht="12.8" hidden="false" customHeight="false" outlineLevel="0" collapsed="false"/>
    <row r="442" s="3" customFormat="true" ht="12.8" hidden="false" customHeight="false" outlineLevel="0" collapsed="false"/>
    <row r="443" s="3" customFormat="true" ht="12.8" hidden="false" customHeight="false" outlineLevel="0" collapsed="false"/>
    <row r="444" s="3" customFormat="true" ht="12.8" hidden="false" customHeight="false" outlineLevel="0" collapsed="false"/>
    <row r="445" s="3" customFormat="true" ht="12.8" hidden="false" customHeight="false" outlineLevel="0" collapsed="false"/>
    <row r="446" s="3" customFormat="true" ht="12.8" hidden="false" customHeight="false" outlineLevel="0" collapsed="false"/>
    <row r="447" s="3" customFormat="true" ht="12.8" hidden="false" customHeight="false" outlineLevel="0" collapsed="false"/>
    <row r="448" s="3" customFormat="true" ht="12.8" hidden="false" customHeight="false" outlineLevel="0" collapsed="false"/>
    <row r="449" s="3" customFormat="true" ht="12.8" hidden="false" customHeight="false" outlineLevel="0" collapsed="false"/>
    <row r="450" s="3" customFormat="true" ht="12.8" hidden="false" customHeight="false" outlineLevel="0" collapsed="false"/>
    <row r="451" s="3" customFormat="true" ht="12.8" hidden="false" customHeight="false" outlineLevel="0" collapsed="false"/>
    <row r="452" s="3" customFormat="true" ht="12.8" hidden="false" customHeight="false" outlineLevel="0" collapsed="false"/>
    <row r="453" s="3" customFormat="true" ht="12.8" hidden="false" customHeight="false" outlineLevel="0" collapsed="false"/>
    <row r="454" s="3" customFormat="true" ht="12.8" hidden="false" customHeight="false" outlineLevel="0" collapsed="false"/>
    <row r="455" s="3" customFormat="true" ht="12.8" hidden="false" customHeight="false" outlineLevel="0" collapsed="false"/>
    <row r="456" s="3" customFormat="true" ht="12.8" hidden="false" customHeight="false" outlineLevel="0" collapsed="false"/>
    <row r="457" s="3" customFormat="true" ht="12.8" hidden="false" customHeight="false" outlineLevel="0" collapsed="false"/>
    <row r="458" s="3" customFormat="true" ht="12.8" hidden="false" customHeight="false" outlineLevel="0" collapsed="false"/>
    <row r="459" s="3" customFormat="true" ht="12.8" hidden="false" customHeight="false" outlineLevel="0" collapsed="false"/>
    <row r="460" s="3" customFormat="true" ht="12.8" hidden="false" customHeight="false" outlineLevel="0" collapsed="false"/>
    <row r="461" s="3" customFormat="true" ht="12.8" hidden="false" customHeight="false" outlineLevel="0" collapsed="false"/>
    <row r="462" s="3" customFormat="true" ht="12.8" hidden="false" customHeight="false" outlineLevel="0" collapsed="false"/>
    <row r="463" s="3" customFormat="true" ht="12.8" hidden="false" customHeight="false" outlineLevel="0" collapsed="false"/>
    <row r="464" s="3" customFormat="true" ht="12.8" hidden="false" customHeight="false" outlineLevel="0" collapsed="false"/>
    <row r="465" s="3" customFormat="true" ht="12.8" hidden="false" customHeight="false" outlineLevel="0" collapsed="false"/>
    <row r="466" s="3" customFormat="true" ht="12.8" hidden="false" customHeight="false" outlineLevel="0" collapsed="false"/>
    <row r="467" s="3" customFormat="true" ht="12.8" hidden="false" customHeight="false" outlineLevel="0" collapsed="false"/>
    <row r="468" s="3" customFormat="true" ht="12.8" hidden="false" customHeight="false" outlineLevel="0" collapsed="false"/>
    <row r="469" s="3" customFormat="true" ht="12.8" hidden="false" customHeight="false" outlineLevel="0" collapsed="false"/>
    <row r="470" s="3" customFormat="true" ht="12.8" hidden="false" customHeight="false" outlineLevel="0" collapsed="false"/>
    <row r="471" s="3" customFormat="true" ht="12.8" hidden="false" customHeight="false" outlineLevel="0" collapsed="false"/>
    <row r="472" s="3" customFormat="true" ht="12.8" hidden="false" customHeight="false" outlineLevel="0" collapsed="false"/>
    <row r="473" s="3" customFormat="true" ht="12.8" hidden="false" customHeight="false" outlineLevel="0" collapsed="false"/>
    <row r="474" s="3" customFormat="true" ht="12.8" hidden="false" customHeight="false" outlineLevel="0" collapsed="false"/>
    <row r="475" s="3" customFormat="true" ht="12.8" hidden="false" customHeight="false" outlineLevel="0" collapsed="false"/>
    <row r="476" s="3" customFormat="true" ht="12.8" hidden="false" customHeight="false" outlineLevel="0" collapsed="false"/>
    <row r="477" s="3" customFormat="true" ht="12.8" hidden="false" customHeight="false" outlineLevel="0" collapsed="false"/>
    <row r="478" s="3" customFormat="true" ht="12.8" hidden="false" customHeight="false" outlineLevel="0" collapsed="false"/>
    <row r="479" s="3" customFormat="true" ht="12.8" hidden="false" customHeight="false" outlineLevel="0" collapsed="false"/>
    <row r="480" s="3" customFormat="true" ht="12.8" hidden="false" customHeight="false" outlineLevel="0" collapsed="false"/>
    <row r="481" s="3" customFormat="true" ht="12.8" hidden="false" customHeight="false" outlineLevel="0" collapsed="false"/>
    <row r="482" s="3" customFormat="true" ht="12.8" hidden="false" customHeight="false" outlineLevel="0" collapsed="false"/>
    <row r="483" s="3" customFormat="true" ht="12.8" hidden="false" customHeight="false" outlineLevel="0" collapsed="false"/>
    <row r="484" s="3" customFormat="true" ht="12.8" hidden="false" customHeight="false" outlineLevel="0" collapsed="false"/>
    <row r="485" s="3" customFormat="true" ht="12.8" hidden="false" customHeight="false" outlineLevel="0" collapsed="false"/>
    <row r="486" s="3" customFormat="true" ht="12.8" hidden="false" customHeight="false" outlineLevel="0" collapsed="false"/>
    <row r="487" s="3" customFormat="true" ht="12.8" hidden="false" customHeight="false" outlineLevel="0" collapsed="false"/>
    <row r="488" s="3" customFormat="true" ht="12.8" hidden="false" customHeight="false" outlineLevel="0" collapsed="false"/>
    <row r="489" s="3" customFormat="true" ht="12.8" hidden="false" customHeight="false" outlineLevel="0" collapsed="false"/>
    <row r="490" s="3" customFormat="true" ht="12.8" hidden="false" customHeight="false" outlineLevel="0" collapsed="false"/>
    <row r="491" s="3" customFormat="true" ht="12.8" hidden="false" customHeight="false" outlineLevel="0" collapsed="false"/>
    <row r="492" s="3" customFormat="true" ht="12.8" hidden="false" customHeight="false" outlineLevel="0" collapsed="false"/>
    <row r="493" s="3" customFormat="true" ht="12.8" hidden="false" customHeight="false" outlineLevel="0" collapsed="false"/>
    <row r="494" s="3" customFormat="true" ht="12.8" hidden="false" customHeight="false" outlineLevel="0" collapsed="false"/>
    <row r="495" s="3" customFormat="true" ht="12.8" hidden="false" customHeight="false" outlineLevel="0" collapsed="false"/>
    <row r="496" s="3" customFormat="true" ht="12.8" hidden="false" customHeight="false" outlineLevel="0" collapsed="false"/>
    <row r="497" s="3" customFormat="true" ht="12.8" hidden="false" customHeight="false" outlineLevel="0" collapsed="false"/>
    <row r="498" s="3" customFormat="true" ht="12.8" hidden="false" customHeight="false" outlineLevel="0" collapsed="false"/>
    <row r="499" s="3" customFormat="true" ht="12.8" hidden="false" customHeight="false" outlineLevel="0" collapsed="false"/>
    <row r="500" s="3" customFormat="true" ht="12.8" hidden="false" customHeight="false" outlineLevel="0" collapsed="false"/>
    <row r="501" s="3" customFormat="true" ht="12.8" hidden="false" customHeight="false" outlineLevel="0" collapsed="false"/>
    <row r="502" s="3" customFormat="true" ht="12.8" hidden="false" customHeight="false" outlineLevel="0" collapsed="false"/>
    <row r="503" s="3" customFormat="true" ht="12.8" hidden="false" customHeight="false" outlineLevel="0" collapsed="false"/>
    <row r="504" s="3" customFormat="true" ht="12.8" hidden="false" customHeight="false" outlineLevel="0" collapsed="false"/>
    <row r="505" s="3" customFormat="true" ht="12.8" hidden="false" customHeight="false" outlineLevel="0" collapsed="false"/>
    <row r="506" s="3" customFormat="true" ht="12.8" hidden="false" customHeight="false" outlineLevel="0" collapsed="false"/>
    <row r="507" s="3" customFormat="true" ht="12.8" hidden="false" customHeight="false" outlineLevel="0" collapsed="false"/>
    <row r="508" s="3" customFormat="true" ht="12.8" hidden="false" customHeight="false" outlineLevel="0" collapsed="false"/>
    <row r="509" s="3" customFormat="true" ht="12.8" hidden="false" customHeight="false" outlineLevel="0" collapsed="false"/>
    <row r="510" s="3" customFormat="true" ht="12.8" hidden="false" customHeight="false" outlineLevel="0" collapsed="false"/>
    <row r="511" s="3" customFormat="true" ht="12.8" hidden="false" customHeight="false" outlineLevel="0" collapsed="false"/>
    <row r="512" s="3" customFormat="true" ht="12.8" hidden="false" customHeight="false" outlineLevel="0" collapsed="false"/>
    <row r="513" s="3" customFormat="true" ht="12.8" hidden="false" customHeight="false" outlineLevel="0" collapsed="false"/>
    <row r="514" s="3" customFormat="true" ht="12.8" hidden="false" customHeight="false" outlineLevel="0" collapsed="false"/>
    <row r="515" s="3" customFormat="true" ht="12.8" hidden="false" customHeight="false" outlineLevel="0" collapsed="false"/>
    <row r="516" s="3" customFormat="true" ht="12.8" hidden="false" customHeight="false" outlineLevel="0" collapsed="false"/>
    <row r="517" s="3" customFormat="true" ht="12.8" hidden="false" customHeight="false" outlineLevel="0" collapsed="false"/>
    <row r="518" s="3" customFormat="true" ht="12.8" hidden="false" customHeight="false" outlineLevel="0" collapsed="false"/>
    <row r="519" s="3" customFormat="true" ht="12.8" hidden="false" customHeight="false" outlineLevel="0" collapsed="false"/>
    <row r="520" s="3" customFormat="true" ht="12.8" hidden="false" customHeight="false" outlineLevel="0" collapsed="false"/>
    <row r="521" s="3" customFormat="true" ht="12.8" hidden="false" customHeight="false" outlineLevel="0" collapsed="false"/>
    <row r="522" s="3" customFormat="true" ht="12.8" hidden="false" customHeight="false" outlineLevel="0" collapsed="false"/>
    <row r="523" s="3" customFormat="true" ht="12.8" hidden="false" customHeight="false" outlineLevel="0" collapsed="false"/>
    <row r="524" s="3" customFormat="true" ht="12.8" hidden="false" customHeight="false" outlineLevel="0" collapsed="false"/>
    <row r="525" s="3" customFormat="true" ht="12.8" hidden="false" customHeight="false" outlineLevel="0" collapsed="false"/>
    <row r="526" s="3" customFormat="true" ht="12.8" hidden="false" customHeight="false" outlineLevel="0" collapsed="false"/>
    <row r="527" s="3" customFormat="true" ht="12.8" hidden="false" customHeight="false" outlineLevel="0" collapsed="false"/>
    <row r="528" s="3" customFormat="true" ht="12.8" hidden="false" customHeight="false" outlineLevel="0" collapsed="false"/>
    <row r="529" s="3" customFormat="true" ht="12.8" hidden="false" customHeight="false" outlineLevel="0" collapsed="false"/>
    <row r="530" s="3" customFormat="true" ht="12.8" hidden="false" customHeight="false" outlineLevel="0" collapsed="false"/>
    <row r="531" s="3" customFormat="true" ht="12.8" hidden="false" customHeight="false" outlineLevel="0" collapsed="false"/>
    <row r="532" s="3" customFormat="true" ht="12.8" hidden="false" customHeight="false" outlineLevel="0" collapsed="false"/>
    <row r="533" s="3" customFormat="true" ht="12.8" hidden="false" customHeight="false" outlineLevel="0" collapsed="false"/>
    <row r="534" s="3" customFormat="true" ht="12.8" hidden="false" customHeight="false" outlineLevel="0" collapsed="false"/>
    <row r="535" s="3" customFormat="true" ht="12.8" hidden="false" customHeight="false" outlineLevel="0" collapsed="false"/>
    <row r="536" s="3" customFormat="true" ht="12.8" hidden="false" customHeight="false" outlineLevel="0" collapsed="false"/>
    <row r="537" s="3" customFormat="true" ht="12.8" hidden="false" customHeight="false" outlineLevel="0" collapsed="false"/>
    <row r="538" s="3" customFormat="true" ht="12.8" hidden="false" customHeight="false" outlineLevel="0" collapsed="false"/>
    <row r="539" s="3" customFormat="true" ht="12.8" hidden="false" customHeight="false" outlineLevel="0" collapsed="false"/>
    <row r="540" s="3" customFormat="true" ht="12.8" hidden="false" customHeight="false" outlineLevel="0" collapsed="false"/>
    <row r="541" s="3" customFormat="true" ht="12.8" hidden="false" customHeight="false" outlineLevel="0" collapsed="false"/>
    <row r="542" s="3" customFormat="true" ht="12.8" hidden="false" customHeight="false" outlineLevel="0" collapsed="false"/>
    <row r="543" s="3" customFormat="true" ht="12.8" hidden="false" customHeight="false" outlineLevel="0" collapsed="false"/>
    <row r="544" s="3" customFormat="true" ht="12.8" hidden="false" customHeight="false" outlineLevel="0" collapsed="false"/>
    <row r="545" s="3" customFormat="true" ht="12.8" hidden="false" customHeight="false" outlineLevel="0" collapsed="false"/>
    <row r="546" s="3" customFormat="true" ht="12.8" hidden="false" customHeight="false" outlineLevel="0" collapsed="false"/>
    <row r="547" s="3" customFormat="true" ht="12.8" hidden="false" customHeight="false" outlineLevel="0" collapsed="false"/>
    <row r="548" s="3" customFormat="true" ht="12.8" hidden="false" customHeight="false" outlineLevel="0" collapsed="false"/>
    <row r="549" s="3" customFormat="true" ht="12.8" hidden="false" customHeight="false" outlineLevel="0" collapsed="false"/>
    <row r="550" s="3" customFormat="true" ht="12.8" hidden="false" customHeight="false" outlineLevel="0" collapsed="false"/>
    <row r="551" s="3" customFormat="true" ht="12.8" hidden="false" customHeight="false" outlineLevel="0" collapsed="false"/>
    <row r="552" s="3" customFormat="true" ht="12.8" hidden="false" customHeight="false" outlineLevel="0" collapsed="false"/>
    <row r="553" s="3" customFormat="true" ht="12.8" hidden="false" customHeight="false" outlineLevel="0" collapsed="false"/>
    <row r="554" s="3" customFormat="true" ht="12.8" hidden="false" customHeight="false" outlineLevel="0" collapsed="false"/>
    <row r="555" s="3" customFormat="true" ht="12.8" hidden="false" customHeight="false" outlineLevel="0" collapsed="false"/>
    <row r="556" s="3" customFormat="true" ht="12.8" hidden="false" customHeight="false" outlineLevel="0" collapsed="false"/>
    <row r="557" s="3" customFormat="true" ht="12.8" hidden="false" customHeight="false" outlineLevel="0" collapsed="false"/>
    <row r="558" s="3" customFormat="true" ht="12.8" hidden="false" customHeight="false" outlineLevel="0" collapsed="false"/>
    <row r="559" s="3" customFormat="true" ht="12.8" hidden="false" customHeight="false" outlineLevel="0" collapsed="false"/>
    <row r="560" s="3" customFormat="true" ht="12.8" hidden="false" customHeight="false" outlineLevel="0" collapsed="false"/>
    <row r="561" s="3" customFormat="true" ht="12.8" hidden="false" customHeight="false" outlineLevel="0" collapsed="false"/>
    <row r="562" s="3" customFormat="true" ht="12.8" hidden="false" customHeight="false" outlineLevel="0" collapsed="false"/>
    <row r="563" s="3" customFormat="true" ht="12.8" hidden="false" customHeight="false" outlineLevel="0" collapsed="false"/>
    <row r="564" s="3" customFormat="true" ht="12.8" hidden="false" customHeight="false" outlineLevel="0" collapsed="false"/>
    <row r="565" s="3" customFormat="true" ht="12.8" hidden="false" customHeight="false" outlineLevel="0" collapsed="false"/>
    <row r="566" s="3" customFormat="true" ht="12.8" hidden="false" customHeight="false" outlineLevel="0" collapsed="false"/>
    <row r="567" s="3" customFormat="true" ht="12.8" hidden="false" customHeight="false" outlineLevel="0" collapsed="false"/>
    <row r="568" s="3" customFormat="true" ht="12.8" hidden="false" customHeight="false" outlineLevel="0" collapsed="false"/>
    <row r="569" s="3" customFormat="true" ht="12.8" hidden="false" customHeight="false" outlineLevel="0" collapsed="false"/>
    <row r="570" s="3" customFormat="true" ht="12.8" hidden="false" customHeight="false" outlineLevel="0" collapsed="false"/>
    <row r="571" s="3" customFormat="true" ht="12.8" hidden="false" customHeight="false" outlineLevel="0" collapsed="false"/>
    <row r="572" s="3" customFormat="true" ht="12.8" hidden="false" customHeight="false" outlineLevel="0" collapsed="false"/>
    <row r="573" s="3" customFormat="true" ht="12.8" hidden="false" customHeight="false" outlineLevel="0" collapsed="false"/>
    <row r="574" s="3" customFormat="true" ht="12.8" hidden="false" customHeight="false" outlineLevel="0" collapsed="false"/>
    <row r="575" s="3" customFormat="true" ht="12.8" hidden="false" customHeight="false" outlineLevel="0" collapsed="false"/>
    <row r="576" s="3" customFormat="true" ht="12.8" hidden="false" customHeight="false" outlineLevel="0" collapsed="false"/>
    <row r="577" s="3" customFormat="true" ht="12.8" hidden="false" customHeight="false" outlineLevel="0" collapsed="false"/>
    <row r="578" s="3" customFormat="true" ht="12.8" hidden="false" customHeight="false" outlineLevel="0" collapsed="false"/>
    <row r="579" s="3" customFormat="true" ht="12.8" hidden="false" customHeight="false" outlineLevel="0" collapsed="false"/>
    <row r="580" s="3" customFormat="true" ht="12.8" hidden="false" customHeight="false" outlineLevel="0" collapsed="false"/>
    <row r="581" s="3" customFormat="true" ht="12.8" hidden="false" customHeight="false" outlineLevel="0" collapsed="false"/>
    <row r="582" s="3" customFormat="true" ht="12.8" hidden="false" customHeight="false" outlineLevel="0" collapsed="false"/>
    <row r="583" s="3" customFormat="true" ht="12.8" hidden="false" customHeight="false" outlineLevel="0" collapsed="false"/>
    <row r="584" s="3" customFormat="true" ht="12.8" hidden="false" customHeight="false" outlineLevel="0" collapsed="false"/>
    <row r="585" s="3" customFormat="true" ht="12.8" hidden="false" customHeight="false" outlineLevel="0" collapsed="false"/>
    <row r="586" s="3" customFormat="true" ht="12.8" hidden="false" customHeight="false" outlineLevel="0" collapsed="false"/>
    <row r="587" s="3" customFormat="true" ht="12.8" hidden="false" customHeight="false" outlineLevel="0" collapsed="false"/>
    <row r="588" s="3" customFormat="true" ht="12.8" hidden="false" customHeight="false" outlineLevel="0" collapsed="false"/>
    <row r="589" s="3" customFormat="true" ht="12.8" hidden="false" customHeight="false" outlineLevel="0" collapsed="false"/>
    <row r="590" s="3" customFormat="true" ht="12.8" hidden="false" customHeight="false" outlineLevel="0" collapsed="false"/>
    <row r="591" s="3" customFormat="true" ht="12.8" hidden="false" customHeight="false" outlineLevel="0" collapsed="false"/>
    <row r="592" s="3" customFormat="true" ht="12.8" hidden="false" customHeight="false" outlineLevel="0" collapsed="false"/>
    <row r="593" s="3" customFormat="true" ht="12.8" hidden="false" customHeight="false" outlineLevel="0" collapsed="false"/>
    <row r="594" s="3" customFormat="true" ht="12.8" hidden="false" customHeight="false" outlineLevel="0" collapsed="false"/>
    <row r="595" s="3" customFormat="true" ht="12.8" hidden="false" customHeight="false" outlineLevel="0" collapsed="false"/>
    <row r="596" s="3" customFormat="true" ht="12.8" hidden="false" customHeight="false" outlineLevel="0" collapsed="false"/>
    <row r="597" s="3" customFormat="true" ht="12.8" hidden="false" customHeight="false" outlineLevel="0" collapsed="false"/>
    <row r="598" s="3" customFormat="true" ht="12.8" hidden="false" customHeight="false" outlineLevel="0" collapsed="false"/>
    <row r="599" s="3" customFormat="true" ht="12.8" hidden="false" customHeight="false" outlineLevel="0" collapsed="false"/>
    <row r="600" s="3" customFormat="true" ht="12.8" hidden="false" customHeight="false" outlineLevel="0" collapsed="false"/>
    <row r="601" s="3" customFormat="true" ht="12.8" hidden="false" customHeight="false" outlineLevel="0" collapsed="false"/>
    <row r="602" s="3" customFormat="true" ht="12.8" hidden="false" customHeight="false" outlineLevel="0" collapsed="false"/>
    <row r="603" s="3" customFormat="true" ht="12.8" hidden="false" customHeight="false" outlineLevel="0" collapsed="false"/>
    <row r="604" s="3" customFormat="true" ht="12.8" hidden="false" customHeight="false" outlineLevel="0" collapsed="false"/>
    <row r="605" s="3" customFormat="true" ht="12.8" hidden="false" customHeight="false" outlineLevel="0" collapsed="false"/>
    <row r="606" s="3" customFormat="true" ht="12.8" hidden="false" customHeight="false" outlineLevel="0" collapsed="false"/>
    <row r="607" s="3" customFormat="true" ht="12.8" hidden="false" customHeight="false" outlineLevel="0" collapsed="false"/>
    <row r="608" s="3" customFormat="true" ht="12.8" hidden="false" customHeight="false" outlineLevel="0" collapsed="false"/>
    <row r="609" s="3" customFormat="true" ht="12.8" hidden="false" customHeight="false" outlineLevel="0" collapsed="false"/>
    <row r="610" s="3" customFormat="true" ht="12.8" hidden="false" customHeight="false" outlineLevel="0" collapsed="false"/>
    <row r="611" s="3" customFormat="true" ht="12.8" hidden="false" customHeight="false" outlineLevel="0" collapsed="false"/>
    <row r="612" s="3" customFormat="true" ht="12.8" hidden="false" customHeight="false" outlineLevel="0" collapsed="false"/>
    <row r="613" s="3" customFormat="true" ht="12.8" hidden="false" customHeight="false" outlineLevel="0" collapsed="false"/>
    <row r="614" s="3" customFormat="true" ht="12.8" hidden="false" customHeight="false" outlineLevel="0" collapsed="false"/>
    <row r="615" s="3" customFormat="true" ht="12.8" hidden="false" customHeight="false" outlineLevel="0" collapsed="false"/>
    <row r="616" s="3" customFormat="true" ht="12.8" hidden="false" customHeight="false" outlineLevel="0" collapsed="false"/>
    <row r="617" s="3" customFormat="true" ht="12.8" hidden="false" customHeight="false" outlineLevel="0" collapsed="false"/>
    <row r="618" s="3" customFormat="true" ht="12.8" hidden="false" customHeight="false" outlineLevel="0" collapsed="false"/>
    <row r="619" s="3" customFormat="true" ht="12.8" hidden="false" customHeight="false" outlineLevel="0" collapsed="false"/>
    <row r="620" s="3" customFormat="true" ht="12.8" hidden="false" customHeight="false" outlineLevel="0" collapsed="false"/>
    <row r="621" s="3" customFormat="true" ht="12.8" hidden="false" customHeight="false" outlineLevel="0" collapsed="false"/>
    <row r="622" s="3" customFormat="true" ht="12.8" hidden="false" customHeight="false" outlineLevel="0" collapsed="false"/>
    <row r="623" s="3" customFormat="true" ht="12.8" hidden="false" customHeight="false" outlineLevel="0" collapsed="false"/>
    <row r="624" s="3" customFormat="true" ht="12.8" hidden="false" customHeight="false" outlineLevel="0" collapsed="false"/>
    <row r="625" s="3" customFormat="true" ht="12.8" hidden="false" customHeight="false" outlineLevel="0" collapsed="false"/>
    <row r="626" s="3" customFormat="true" ht="12.8" hidden="false" customHeight="false" outlineLevel="0" collapsed="false"/>
    <row r="627" s="3" customFormat="true" ht="12.8" hidden="false" customHeight="false" outlineLevel="0" collapsed="false"/>
    <row r="628" s="3" customFormat="true" ht="12.8" hidden="false" customHeight="false" outlineLevel="0" collapsed="false"/>
    <row r="629" s="3" customFormat="true" ht="12.8" hidden="false" customHeight="false" outlineLevel="0" collapsed="false"/>
    <row r="630" s="3" customFormat="true" ht="12.8" hidden="false" customHeight="false" outlineLevel="0" collapsed="false"/>
    <row r="631" s="3" customFormat="true" ht="12.8" hidden="false" customHeight="false" outlineLevel="0" collapsed="false"/>
    <row r="632" s="3" customFormat="true" ht="12.8" hidden="false" customHeight="false" outlineLevel="0" collapsed="false"/>
    <row r="633" s="3" customFormat="true" ht="12.8" hidden="false" customHeight="false" outlineLevel="0" collapsed="false"/>
    <row r="634" s="3" customFormat="true" ht="12.8" hidden="false" customHeight="false" outlineLevel="0" collapsed="false"/>
    <row r="635" s="3" customFormat="true" ht="12.8" hidden="false" customHeight="false" outlineLevel="0" collapsed="false"/>
    <row r="636" s="3" customFormat="true" ht="12.8" hidden="false" customHeight="false" outlineLevel="0" collapsed="false"/>
    <row r="637" s="3" customFormat="true" ht="12.8" hidden="false" customHeight="false" outlineLevel="0" collapsed="false"/>
    <row r="638" s="3" customFormat="true" ht="12.8" hidden="false" customHeight="false" outlineLevel="0" collapsed="false"/>
    <row r="639" s="3" customFormat="true" ht="12.8" hidden="false" customHeight="false" outlineLevel="0" collapsed="false"/>
    <row r="640" s="3" customFormat="true" ht="12.8" hidden="false" customHeight="false" outlineLevel="0" collapsed="false"/>
    <row r="641" s="3" customFormat="true" ht="12.8" hidden="false" customHeight="false" outlineLevel="0" collapsed="false"/>
    <row r="642" s="3" customFormat="true" ht="12.8" hidden="false" customHeight="false" outlineLevel="0" collapsed="false"/>
    <row r="643" s="3" customFormat="true" ht="12.8" hidden="false" customHeight="false" outlineLevel="0" collapsed="false"/>
    <row r="644" s="3" customFormat="true" ht="12.8" hidden="false" customHeight="false" outlineLevel="0" collapsed="false"/>
    <row r="645" s="3" customFormat="true" ht="12.8" hidden="false" customHeight="false" outlineLevel="0" collapsed="false"/>
    <row r="646" s="3" customFormat="true" ht="12.8" hidden="false" customHeight="false" outlineLevel="0" collapsed="false"/>
    <row r="647" s="3" customFormat="true" ht="12.8" hidden="false" customHeight="false" outlineLevel="0" collapsed="false"/>
    <row r="648" s="3" customFormat="true" ht="12.8" hidden="false" customHeight="false" outlineLevel="0" collapsed="false"/>
    <row r="649" s="3" customFormat="true" ht="12.8" hidden="false" customHeight="false" outlineLevel="0" collapsed="false"/>
    <row r="650" s="3" customFormat="true" ht="12.8" hidden="false" customHeight="false" outlineLevel="0" collapsed="false"/>
    <row r="651" s="3" customFormat="true" ht="12.8" hidden="false" customHeight="false" outlineLevel="0" collapsed="false"/>
    <row r="652" s="3" customFormat="true" ht="12.8" hidden="false" customHeight="false" outlineLevel="0" collapsed="false"/>
    <row r="653" s="3" customFormat="true" ht="12.8" hidden="false" customHeight="false" outlineLevel="0" collapsed="false"/>
    <row r="654" s="3" customFormat="true" ht="12.8" hidden="false" customHeight="false" outlineLevel="0" collapsed="false"/>
    <row r="655" s="3" customFormat="true" ht="12.8" hidden="false" customHeight="false" outlineLevel="0" collapsed="false"/>
    <row r="656" s="3" customFormat="true" ht="12.8" hidden="false" customHeight="false" outlineLevel="0" collapsed="false"/>
    <row r="657" s="3" customFormat="true" ht="12.8" hidden="false" customHeight="false" outlineLevel="0" collapsed="false"/>
    <row r="658" s="3" customFormat="true" ht="12.8" hidden="false" customHeight="false" outlineLevel="0" collapsed="false"/>
    <row r="659" s="3" customFormat="true" ht="12.8" hidden="false" customHeight="false" outlineLevel="0" collapsed="false"/>
    <row r="660" s="3" customFormat="true" ht="12.8" hidden="false" customHeight="false" outlineLevel="0" collapsed="false"/>
    <row r="661" s="3" customFormat="true" ht="12.8" hidden="false" customHeight="false" outlineLevel="0" collapsed="false"/>
    <row r="662" s="3" customFormat="true" ht="12.8" hidden="false" customHeight="false" outlineLevel="0" collapsed="false"/>
    <row r="663" s="3" customFormat="true" ht="12.8" hidden="false" customHeight="false" outlineLevel="0" collapsed="false"/>
    <row r="664" s="3" customFormat="true" ht="12.8" hidden="false" customHeight="false" outlineLevel="0" collapsed="false"/>
    <row r="665" s="3" customFormat="true" ht="12.8" hidden="false" customHeight="false" outlineLevel="0" collapsed="false"/>
    <row r="666" s="3" customFormat="true" ht="12.8" hidden="false" customHeight="false" outlineLevel="0" collapsed="false"/>
    <row r="667" s="3" customFormat="true" ht="12.8" hidden="false" customHeight="false" outlineLevel="0" collapsed="false"/>
    <row r="668" s="3" customFormat="true" ht="12.8" hidden="false" customHeight="false" outlineLevel="0" collapsed="false"/>
    <row r="669" s="3" customFormat="true" ht="12.8" hidden="false" customHeight="false" outlineLevel="0" collapsed="false"/>
    <row r="670" s="3" customFormat="true" ht="12.8" hidden="false" customHeight="false" outlineLevel="0" collapsed="false"/>
    <row r="671" s="3" customFormat="true" ht="12.8" hidden="false" customHeight="false" outlineLevel="0" collapsed="false"/>
    <row r="672" s="3" customFormat="true" ht="12.8" hidden="false" customHeight="false" outlineLevel="0" collapsed="false"/>
    <row r="673" s="3" customFormat="true" ht="12.8" hidden="false" customHeight="false" outlineLevel="0" collapsed="false"/>
    <row r="674" s="3" customFormat="true" ht="12.8" hidden="false" customHeight="false" outlineLevel="0" collapsed="false"/>
    <row r="675" s="3" customFormat="true" ht="12.8" hidden="false" customHeight="false" outlineLevel="0" collapsed="false"/>
    <row r="676" s="3" customFormat="true" ht="12.8" hidden="false" customHeight="false" outlineLevel="0" collapsed="false"/>
    <row r="677" s="3" customFormat="true" ht="12.8" hidden="false" customHeight="false" outlineLevel="0" collapsed="false"/>
    <row r="678" s="3" customFormat="true" ht="12.8" hidden="false" customHeight="false" outlineLevel="0" collapsed="false"/>
    <row r="679" s="3" customFormat="true" ht="12.8" hidden="false" customHeight="false" outlineLevel="0" collapsed="false"/>
    <row r="680" s="3" customFormat="true" ht="12.8" hidden="false" customHeight="false" outlineLevel="0" collapsed="false"/>
    <row r="681" s="3" customFormat="true" ht="12.8" hidden="false" customHeight="false" outlineLevel="0" collapsed="false"/>
    <row r="682" s="3" customFormat="true" ht="12.8" hidden="false" customHeight="false" outlineLevel="0" collapsed="false"/>
    <row r="683" s="3" customFormat="true" ht="12.8" hidden="false" customHeight="false" outlineLevel="0" collapsed="false"/>
    <row r="684" s="3" customFormat="true" ht="12.8" hidden="false" customHeight="false" outlineLevel="0" collapsed="false"/>
    <row r="685" s="3" customFormat="true" ht="12.8" hidden="false" customHeight="false" outlineLevel="0" collapsed="false"/>
    <row r="686" s="3" customFormat="true" ht="12.8" hidden="false" customHeight="false" outlineLevel="0" collapsed="false"/>
    <row r="687" s="3" customFormat="true" ht="12.8" hidden="false" customHeight="false" outlineLevel="0" collapsed="false"/>
    <row r="688" s="3" customFormat="true" ht="12.8" hidden="false" customHeight="false" outlineLevel="0" collapsed="false"/>
    <row r="689" s="3" customFormat="true" ht="12.8" hidden="false" customHeight="false" outlineLevel="0" collapsed="false"/>
    <row r="690" s="3" customFormat="true" ht="12.8" hidden="false" customHeight="false" outlineLevel="0" collapsed="false"/>
    <row r="691" s="3" customFormat="true" ht="12.8" hidden="false" customHeight="false" outlineLevel="0" collapsed="false"/>
    <row r="692" s="3" customFormat="true" ht="12.8" hidden="false" customHeight="false" outlineLevel="0" collapsed="false"/>
    <row r="693" s="3" customFormat="true" ht="12.8" hidden="false" customHeight="false" outlineLevel="0" collapsed="false"/>
    <row r="694" s="3" customFormat="true" ht="12.8" hidden="false" customHeight="false" outlineLevel="0" collapsed="false"/>
    <row r="695" s="3" customFormat="true" ht="12.8" hidden="false" customHeight="false" outlineLevel="0" collapsed="false"/>
    <row r="696" s="3" customFormat="true" ht="12.8" hidden="false" customHeight="false" outlineLevel="0" collapsed="false"/>
    <row r="697" s="3" customFormat="true" ht="12.8" hidden="false" customHeight="false" outlineLevel="0" collapsed="false"/>
    <row r="698" s="3" customFormat="true" ht="12.8" hidden="false" customHeight="false" outlineLevel="0" collapsed="false"/>
    <row r="699" s="3" customFormat="true" ht="12.8" hidden="false" customHeight="false" outlineLevel="0" collapsed="false"/>
    <row r="700" s="3" customFormat="true" ht="12.8" hidden="false" customHeight="false" outlineLevel="0" collapsed="false"/>
    <row r="701" s="3" customFormat="true" ht="12.8" hidden="false" customHeight="false" outlineLevel="0" collapsed="false"/>
    <row r="702" s="3" customFormat="true" ht="12.8" hidden="false" customHeight="false" outlineLevel="0" collapsed="false"/>
    <row r="703" s="3" customFormat="true" ht="12.8" hidden="false" customHeight="false" outlineLevel="0" collapsed="false"/>
    <row r="704" s="3" customFormat="true" ht="12.8" hidden="false" customHeight="false" outlineLevel="0" collapsed="false"/>
    <row r="705" s="3" customFormat="true" ht="12.8" hidden="false" customHeight="false" outlineLevel="0" collapsed="false"/>
    <row r="706" s="3" customFormat="true" ht="12.8" hidden="false" customHeight="false" outlineLevel="0" collapsed="false"/>
    <row r="707" s="3" customFormat="true" ht="12.8" hidden="false" customHeight="false" outlineLevel="0" collapsed="false"/>
    <row r="708" s="3" customFormat="true" ht="12.8" hidden="false" customHeight="false" outlineLevel="0" collapsed="false"/>
    <row r="709" s="3" customFormat="true" ht="12.8" hidden="false" customHeight="false" outlineLevel="0" collapsed="false"/>
    <row r="710" s="3" customFormat="true" ht="12.8" hidden="false" customHeight="false" outlineLevel="0" collapsed="false"/>
    <row r="711" s="3" customFormat="true" ht="12.8" hidden="false" customHeight="false" outlineLevel="0" collapsed="false"/>
    <row r="712" s="3" customFormat="true" ht="12.8" hidden="false" customHeight="false" outlineLevel="0" collapsed="false"/>
    <row r="713" s="3" customFormat="true" ht="12.8" hidden="false" customHeight="false" outlineLevel="0" collapsed="false"/>
    <row r="714" s="3" customFormat="true" ht="12.8" hidden="false" customHeight="false" outlineLevel="0" collapsed="false"/>
    <row r="715" s="3" customFormat="true" ht="12.8" hidden="false" customHeight="false" outlineLevel="0" collapsed="false"/>
    <row r="716" s="3" customFormat="true" ht="12.8" hidden="false" customHeight="false" outlineLevel="0" collapsed="false"/>
    <row r="717" s="3" customFormat="true" ht="12.8" hidden="false" customHeight="false" outlineLevel="0" collapsed="false"/>
    <row r="718" s="3" customFormat="true" ht="12.8" hidden="false" customHeight="false" outlineLevel="0" collapsed="false"/>
    <row r="719" s="3" customFormat="true" ht="12.8" hidden="false" customHeight="false" outlineLevel="0" collapsed="false"/>
    <row r="720" s="3" customFormat="true" ht="12.8" hidden="false" customHeight="false" outlineLevel="0" collapsed="false"/>
    <row r="721" s="3" customFormat="true" ht="12.8" hidden="false" customHeight="false" outlineLevel="0" collapsed="false"/>
    <row r="722" s="3" customFormat="true" ht="12.8" hidden="false" customHeight="false" outlineLevel="0" collapsed="false"/>
    <row r="723" s="3" customFormat="true" ht="12.8" hidden="false" customHeight="false" outlineLevel="0" collapsed="false"/>
    <row r="724" s="3" customFormat="true" ht="12.8" hidden="false" customHeight="false" outlineLevel="0" collapsed="false"/>
    <row r="725" s="3" customFormat="true" ht="12.8" hidden="false" customHeight="false" outlineLevel="0" collapsed="false"/>
    <row r="726" s="3" customFormat="true" ht="12.8" hidden="false" customHeight="false" outlineLevel="0" collapsed="false"/>
    <row r="727" s="3" customFormat="true" ht="12.8" hidden="false" customHeight="false" outlineLevel="0" collapsed="false"/>
    <row r="728" s="3" customFormat="true" ht="12.8" hidden="false" customHeight="false" outlineLevel="0" collapsed="false"/>
    <row r="729" s="3" customFormat="true" ht="12.8" hidden="false" customHeight="false" outlineLevel="0" collapsed="false"/>
    <row r="730" s="3" customFormat="true" ht="12.8" hidden="false" customHeight="false" outlineLevel="0" collapsed="false"/>
    <row r="731" s="3" customFormat="true" ht="12.8" hidden="false" customHeight="false" outlineLevel="0" collapsed="false"/>
    <row r="732" s="3" customFormat="true" ht="12.8" hidden="false" customHeight="false" outlineLevel="0" collapsed="false"/>
    <row r="733" s="3" customFormat="true" ht="12.8" hidden="false" customHeight="false" outlineLevel="0" collapsed="false"/>
    <row r="734" s="3" customFormat="true" ht="12.8" hidden="false" customHeight="false" outlineLevel="0" collapsed="false"/>
    <row r="735" s="3" customFormat="true" ht="12.8" hidden="false" customHeight="false" outlineLevel="0" collapsed="false"/>
    <row r="736" s="3" customFormat="true" ht="12.8" hidden="false" customHeight="false" outlineLevel="0" collapsed="false"/>
    <row r="737" s="3" customFormat="true" ht="12.8" hidden="false" customHeight="false" outlineLevel="0" collapsed="false"/>
    <row r="738" s="3" customFormat="true" ht="12.8" hidden="false" customHeight="false" outlineLevel="0" collapsed="false"/>
    <row r="739" s="3" customFormat="true" ht="12.8" hidden="false" customHeight="false" outlineLevel="0" collapsed="false"/>
    <row r="740" s="3" customFormat="true" ht="12.8" hidden="false" customHeight="false" outlineLevel="0" collapsed="false"/>
    <row r="741" s="3" customFormat="true" ht="12.8" hidden="false" customHeight="false" outlineLevel="0" collapsed="false"/>
    <row r="742" s="3" customFormat="true" ht="12.8" hidden="false" customHeight="false" outlineLevel="0" collapsed="false"/>
    <row r="743" s="3" customFormat="true" ht="12.8" hidden="false" customHeight="false" outlineLevel="0" collapsed="false"/>
    <row r="744" s="3" customFormat="true" ht="12.8" hidden="false" customHeight="false" outlineLevel="0" collapsed="false"/>
    <row r="745" s="3" customFormat="true" ht="12.8" hidden="false" customHeight="false" outlineLevel="0" collapsed="false"/>
    <row r="746" s="3" customFormat="true" ht="12.8" hidden="false" customHeight="false" outlineLevel="0" collapsed="false"/>
    <row r="747" s="3" customFormat="true" ht="12.8" hidden="false" customHeight="false" outlineLevel="0" collapsed="false"/>
    <row r="748" s="3" customFormat="true" ht="12.8" hidden="false" customHeight="false" outlineLevel="0" collapsed="false"/>
    <row r="749" s="3" customFormat="true" ht="12.8" hidden="false" customHeight="false" outlineLevel="0" collapsed="false"/>
    <row r="750" s="3" customFormat="true" ht="12.8" hidden="false" customHeight="false" outlineLevel="0" collapsed="false"/>
    <row r="751" s="3" customFormat="true" ht="12.8" hidden="false" customHeight="false" outlineLevel="0" collapsed="false"/>
    <row r="752" s="3" customFormat="true" ht="12.8" hidden="false" customHeight="false" outlineLevel="0" collapsed="false"/>
    <row r="753" s="3" customFormat="true" ht="12.8" hidden="false" customHeight="false" outlineLevel="0" collapsed="false"/>
    <row r="754" s="3" customFormat="true" ht="12.8" hidden="false" customHeight="false" outlineLevel="0" collapsed="false"/>
    <row r="755" s="3" customFormat="true" ht="12.8" hidden="false" customHeight="false" outlineLevel="0" collapsed="false"/>
    <row r="756" s="3" customFormat="true" ht="12.8" hidden="false" customHeight="false" outlineLevel="0" collapsed="false"/>
    <row r="757" s="3" customFormat="true" ht="12.8" hidden="false" customHeight="false" outlineLevel="0" collapsed="false"/>
    <row r="758" s="3" customFormat="true" ht="12.8" hidden="false" customHeight="false" outlineLevel="0" collapsed="false"/>
    <row r="759" s="3" customFormat="true" ht="12.8" hidden="false" customHeight="false" outlineLevel="0" collapsed="false"/>
    <row r="760" s="3" customFormat="true" ht="12.8" hidden="false" customHeight="false" outlineLevel="0" collapsed="false"/>
    <row r="761" s="3" customFormat="true" ht="12.8" hidden="false" customHeight="false" outlineLevel="0" collapsed="false"/>
    <row r="762" s="3" customFormat="true" ht="12.8" hidden="false" customHeight="false" outlineLevel="0" collapsed="false"/>
    <row r="763" s="3" customFormat="true" ht="12.8" hidden="false" customHeight="false" outlineLevel="0" collapsed="false"/>
    <row r="764" s="3" customFormat="true" ht="12.8" hidden="false" customHeight="false" outlineLevel="0" collapsed="false"/>
    <row r="765" s="3" customFormat="true" ht="12.8" hidden="false" customHeight="false" outlineLevel="0" collapsed="false"/>
    <row r="766" s="3" customFormat="true" ht="12.8" hidden="false" customHeight="false" outlineLevel="0" collapsed="false"/>
    <row r="767" s="3" customFormat="true" ht="12.8" hidden="false" customHeight="false" outlineLevel="0" collapsed="false"/>
    <row r="768" s="3" customFormat="true" ht="12.8" hidden="false" customHeight="false" outlineLevel="0" collapsed="false"/>
    <row r="769" s="3" customFormat="true" ht="12.8" hidden="false" customHeight="false" outlineLevel="0" collapsed="false"/>
    <row r="770" s="3" customFormat="true" ht="12.8" hidden="false" customHeight="false" outlineLevel="0" collapsed="false"/>
    <row r="771" s="3" customFormat="true" ht="12.8" hidden="false" customHeight="false" outlineLevel="0" collapsed="false"/>
    <row r="772" s="3" customFormat="true" ht="12.8" hidden="false" customHeight="false" outlineLevel="0" collapsed="false"/>
    <row r="773" s="3" customFormat="true" ht="12.8" hidden="false" customHeight="false" outlineLevel="0" collapsed="false"/>
    <row r="774" s="3" customFormat="true" ht="12.8" hidden="false" customHeight="false" outlineLevel="0" collapsed="false"/>
    <row r="775" s="3" customFormat="true" ht="12.8" hidden="false" customHeight="false" outlineLevel="0" collapsed="false"/>
    <row r="776" s="3" customFormat="true" ht="12.8" hidden="false" customHeight="false" outlineLevel="0" collapsed="false"/>
    <row r="777" s="3" customFormat="true" ht="12.8" hidden="false" customHeight="false" outlineLevel="0" collapsed="false"/>
    <row r="778" s="3" customFormat="true" ht="12.8" hidden="false" customHeight="false" outlineLevel="0" collapsed="false"/>
    <row r="779" s="3" customFormat="true" ht="12.8" hidden="false" customHeight="false" outlineLevel="0" collapsed="false"/>
    <row r="780" s="3" customFormat="true" ht="12.8" hidden="false" customHeight="false" outlineLevel="0" collapsed="false"/>
    <row r="781" s="3" customFormat="true" ht="12.8" hidden="false" customHeight="false" outlineLevel="0" collapsed="false"/>
    <row r="782" s="3" customFormat="true" ht="12.8" hidden="false" customHeight="false" outlineLevel="0" collapsed="false"/>
    <row r="783" s="3" customFormat="true" ht="12.8" hidden="false" customHeight="false" outlineLevel="0" collapsed="false"/>
    <row r="784" s="3" customFormat="true" ht="12.8" hidden="false" customHeight="false" outlineLevel="0" collapsed="false"/>
    <row r="785" s="3" customFormat="true" ht="12.8" hidden="false" customHeight="false" outlineLevel="0" collapsed="false"/>
    <row r="786" s="3" customFormat="true" ht="12.8" hidden="false" customHeight="false" outlineLevel="0" collapsed="false"/>
    <row r="787" s="3" customFormat="true" ht="12.8" hidden="false" customHeight="false" outlineLevel="0" collapsed="false"/>
    <row r="788" s="3" customFormat="true" ht="12.8" hidden="false" customHeight="false" outlineLevel="0" collapsed="false"/>
    <row r="789" s="3" customFormat="true" ht="12.8" hidden="false" customHeight="false" outlineLevel="0" collapsed="false"/>
    <row r="790" s="3" customFormat="true" ht="12.8" hidden="false" customHeight="false" outlineLevel="0" collapsed="false"/>
    <row r="791" s="3" customFormat="true" ht="12.8" hidden="false" customHeight="false" outlineLevel="0" collapsed="false"/>
    <row r="792" s="3" customFormat="true" ht="12.8" hidden="false" customHeight="false" outlineLevel="0" collapsed="false"/>
    <row r="793" s="3" customFormat="true" ht="12.8" hidden="false" customHeight="false" outlineLevel="0" collapsed="false"/>
    <row r="794" s="3" customFormat="true" ht="12.8" hidden="false" customHeight="false" outlineLevel="0" collapsed="false"/>
    <row r="795" s="3" customFormat="true" ht="12.8" hidden="false" customHeight="false" outlineLevel="0" collapsed="false"/>
    <row r="796" s="3" customFormat="true" ht="12.8" hidden="false" customHeight="false" outlineLevel="0" collapsed="false"/>
    <row r="797" s="3" customFormat="true" ht="12.8" hidden="false" customHeight="false" outlineLevel="0" collapsed="false"/>
    <row r="798" s="3" customFormat="true" ht="12.8" hidden="false" customHeight="false" outlineLevel="0" collapsed="false"/>
    <row r="799" s="3" customFormat="true" ht="12.8" hidden="false" customHeight="false" outlineLevel="0" collapsed="false"/>
    <row r="800" s="3" customFormat="true" ht="12.8" hidden="false" customHeight="false" outlineLevel="0" collapsed="false"/>
    <row r="801" s="3" customFormat="true" ht="12.8" hidden="false" customHeight="false" outlineLevel="0" collapsed="false"/>
    <row r="802" s="3" customFormat="true" ht="12.8" hidden="false" customHeight="false" outlineLevel="0" collapsed="false"/>
    <row r="803" s="3" customFormat="true" ht="12.8" hidden="false" customHeight="false" outlineLevel="0" collapsed="false"/>
    <row r="804" s="3" customFormat="true" ht="12.8" hidden="false" customHeight="false" outlineLevel="0" collapsed="false"/>
    <row r="805" s="3" customFormat="true" ht="12.8" hidden="false" customHeight="false" outlineLevel="0" collapsed="false"/>
    <row r="806" s="3" customFormat="true" ht="12.8" hidden="false" customHeight="false" outlineLevel="0" collapsed="false"/>
    <row r="807" s="3" customFormat="true" ht="12.8" hidden="false" customHeight="false" outlineLevel="0" collapsed="false"/>
    <row r="808" s="3" customFormat="true" ht="12.8" hidden="false" customHeight="false" outlineLevel="0" collapsed="false"/>
    <row r="809" s="3" customFormat="true" ht="12.8" hidden="false" customHeight="false" outlineLevel="0" collapsed="false"/>
    <row r="810" s="3" customFormat="true" ht="12.8" hidden="false" customHeight="false" outlineLevel="0" collapsed="false"/>
    <row r="811" s="3" customFormat="true" ht="12.8" hidden="false" customHeight="false" outlineLevel="0" collapsed="false"/>
    <row r="812" s="3" customFormat="true" ht="12.8" hidden="false" customHeight="false" outlineLevel="0" collapsed="false"/>
    <row r="813" s="3" customFormat="true" ht="12.8" hidden="false" customHeight="false" outlineLevel="0" collapsed="false"/>
    <row r="814" s="3" customFormat="true" ht="12.8" hidden="false" customHeight="false" outlineLevel="0" collapsed="false"/>
    <row r="815" s="3" customFormat="true" ht="12.8" hidden="false" customHeight="false" outlineLevel="0" collapsed="false"/>
    <row r="816" s="3" customFormat="true" ht="12.8" hidden="false" customHeight="false" outlineLevel="0" collapsed="false"/>
    <row r="817" s="3" customFormat="true" ht="12.8" hidden="false" customHeight="false" outlineLevel="0" collapsed="false"/>
    <row r="818" s="3" customFormat="true" ht="12.8" hidden="false" customHeight="false" outlineLevel="0" collapsed="false"/>
    <row r="819" s="3" customFormat="true" ht="12.8" hidden="false" customHeight="false" outlineLevel="0" collapsed="false"/>
    <row r="820" s="3" customFormat="true" ht="12.8" hidden="false" customHeight="false" outlineLevel="0" collapsed="false"/>
    <row r="821" s="3" customFormat="true" ht="12.8" hidden="false" customHeight="false" outlineLevel="0" collapsed="false"/>
    <row r="822" s="3" customFormat="true" ht="12.8" hidden="false" customHeight="false" outlineLevel="0" collapsed="false"/>
    <row r="823" s="3" customFormat="true" ht="12.8" hidden="false" customHeight="false" outlineLevel="0" collapsed="false"/>
    <row r="824" s="3" customFormat="true" ht="12.8" hidden="false" customHeight="false" outlineLevel="0" collapsed="false"/>
    <row r="825" s="3" customFormat="true" ht="12.8" hidden="false" customHeight="false" outlineLevel="0" collapsed="false"/>
    <row r="826" s="3" customFormat="true" ht="12.8" hidden="false" customHeight="false" outlineLevel="0" collapsed="false"/>
    <row r="827" s="3" customFormat="true" ht="12.8" hidden="false" customHeight="false" outlineLevel="0" collapsed="false"/>
    <row r="828" s="3" customFormat="true" ht="12.8" hidden="false" customHeight="false" outlineLevel="0" collapsed="false"/>
    <row r="829" s="3" customFormat="true" ht="12.8" hidden="false" customHeight="false" outlineLevel="0" collapsed="false"/>
    <row r="830" s="3" customFormat="true" ht="12.8" hidden="false" customHeight="false" outlineLevel="0" collapsed="false"/>
    <row r="831" s="3" customFormat="true" ht="12.8" hidden="false" customHeight="false" outlineLevel="0" collapsed="false"/>
    <row r="832" s="3" customFormat="true" ht="12.8" hidden="false" customHeight="false" outlineLevel="0" collapsed="false"/>
    <row r="833" s="3" customFormat="true" ht="12.8" hidden="false" customHeight="false" outlineLevel="0" collapsed="false"/>
    <row r="834" s="3" customFormat="true" ht="12.8" hidden="false" customHeight="false" outlineLevel="0" collapsed="false"/>
    <row r="835" s="3" customFormat="true" ht="12.8" hidden="false" customHeight="false" outlineLevel="0" collapsed="false"/>
    <row r="836" s="3" customFormat="true" ht="12.8" hidden="false" customHeight="false" outlineLevel="0" collapsed="false"/>
    <row r="837" s="3" customFormat="true" ht="12.8" hidden="false" customHeight="false" outlineLevel="0" collapsed="false"/>
    <row r="838" s="3" customFormat="true" ht="12.8" hidden="false" customHeight="false" outlineLevel="0" collapsed="false"/>
    <row r="839" s="3" customFormat="true" ht="12.8" hidden="false" customHeight="false" outlineLevel="0" collapsed="false"/>
    <row r="840" s="3" customFormat="true" ht="12.8" hidden="false" customHeight="false" outlineLevel="0" collapsed="false"/>
    <row r="841" s="3" customFormat="true" ht="12.8" hidden="false" customHeight="false" outlineLevel="0" collapsed="false"/>
    <row r="842" s="3" customFormat="true" ht="12.8" hidden="false" customHeight="false" outlineLevel="0" collapsed="false"/>
    <row r="843" s="3" customFormat="true" ht="12.8" hidden="false" customHeight="false" outlineLevel="0" collapsed="false"/>
    <row r="844" s="3" customFormat="true" ht="12.8" hidden="false" customHeight="false" outlineLevel="0" collapsed="false"/>
    <row r="845" s="3" customFormat="true" ht="12.8" hidden="false" customHeight="false" outlineLevel="0" collapsed="false"/>
    <row r="846" s="3" customFormat="true" ht="12.8" hidden="false" customHeight="false" outlineLevel="0" collapsed="false"/>
    <row r="847" s="3" customFormat="true" ht="12.8" hidden="false" customHeight="false" outlineLevel="0" collapsed="false"/>
    <row r="848" s="3" customFormat="true" ht="12.8" hidden="false" customHeight="false" outlineLevel="0" collapsed="false"/>
    <row r="849" s="3" customFormat="true" ht="12.8" hidden="false" customHeight="false" outlineLevel="0" collapsed="false"/>
    <row r="850" s="3" customFormat="true" ht="12.8" hidden="false" customHeight="false" outlineLevel="0" collapsed="false"/>
    <row r="851" s="3" customFormat="true" ht="12.8" hidden="false" customHeight="false" outlineLevel="0" collapsed="false"/>
    <row r="852" s="3" customFormat="true" ht="12.8" hidden="false" customHeight="false" outlineLevel="0" collapsed="false"/>
    <row r="853" s="3" customFormat="true" ht="12.8" hidden="false" customHeight="false" outlineLevel="0" collapsed="false"/>
    <row r="854" s="3" customFormat="true" ht="12.8" hidden="false" customHeight="false" outlineLevel="0" collapsed="false"/>
    <row r="855" s="3" customFormat="true" ht="12.8" hidden="false" customHeight="false" outlineLevel="0" collapsed="false"/>
    <row r="856" s="3" customFormat="true" ht="12.8" hidden="false" customHeight="false" outlineLevel="0" collapsed="false"/>
    <row r="857" s="3" customFormat="true" ht="12.8" hidden="false" customHeight="false" outlineLevel="0" collapsed="false"/>
    <row r="858" s="3" customFormat="true" ht="12.8" hidden="false" customHeight="false" outlineLevel="0" collapsed="false"/>
    <row r="859" s="3" customFormat="true" ht="12.8" hidden="false" customHeight="false" outlineLevel="0" collapsed="false"/>
    <row r="860" s="3" customFormat="true" ht="12.8" hidden="false" customHeight="false" outlineLevel="0" collapsed="false"/>
    <row r="861" s="3" customFormat="true" ht="12.8" hidden="false" customHeight="false" outlineLevel="0" collapsed="false"/>
    <row r="862" s="3" customFormat="true" ht="12.8" hidden="false" customHeight="false" outlineLevel="0" collapsed="false"/>
    <row r="863" s="3" customFormat="true" ht="12.8" hidden="false" customHeight="false" outlineLevel="0" collapsed="false"/>
    <row r="864" s="3" customFormat="true" ht="12.8" hidden="false" customHeight="false" outlineLevel="0" collapsed="false"/>
    <row r="865" s="3" customFormat="true" ht="12.8" hidden="false" customHeight="false" outlineLevel="0" collapsed="false"/>
    <row r="866" s="3" customFormat="true" ht="12.8" hidden="false" customHeight="false" outlineLevel="0" collapsed="false"/>
    <row r="867" s="3" customFormat="true" ht="12.8" hidden="false" customHeight="false" outlineLevel="0" collapsed="false"/>
    <row r="868" s="3" customFormat="true" ht="12.8" hidden="false" customHeight="false" outlineLevel="0" collapsed="false"/>
    <row r="869" s="3" customFormat="true" ht="12.8" hidden="false" customHeight="false" outlineLevel="0" collapsed="false"/>
    <row r="870" s="3" customFormat="true" ht="12.8" hidden="false" customHeight="false" outlineLevel="0" collapsed="false"/>
    <row r="871" s="3" customFormat="true" ht="12.8" hidden="false" customHeight="false" outlineLevel="0" collapsed="false"/>
    <row r="872" s="3" customFormat="true" ht="12.8" hidden="false" customHeight="false" outlineLevel="0" collapsed="false"/>
    <row r="873" s="3" customFormat="true" ht="12.8" hidden="false" customHeight="false" outlineLevel="0" collapsed="false"/>
    <row r="874" s="3" customFormat="true" ht="12.8" hidden="false" customHeight="false" outlineLevel="0" collapsed="false"/>
    <row r="875" s="3" customFormat="true" ht="12.8" hidden="false" customHeight="false" outlineLevel="0" collapsed="false"/>
    <row r="876" s="3" customFormat="true" ht="12.8" hidden="false" customHeight="false" outlineLevel="0" collapsed="false"/>
    <row r="877" s="3" customFormat="true" ht="12.8" hidden="false" customHeight="false" outlineLevel="0" collapsed="false"/>
    <row r="878" s="3" customFormat="true" ht="12.8" hidden="false" customHeight="false" outlineLevel="0" collapsed="false"/>
    <row r="879" s="3" customFormat="true" ht="12.8" hidden="false" customHeight="false" outlineLevel="0" collapsed="false"/>
    <row r="880" s="3" customFormat="true" ht="12.8" hidden="false" customHeight="false" outlineLevel="0" collapsed="false"/>
    <row r="881" s="3" customFormat="true" ht="12.8" hidden="false" customHeight="false" outlineLevel="0" collapsed="false"/>
    <row r="882" s="3" customFormat="true" ht="12.8" hidden="false" customHeight="false" outlineLevel="0" collapsed="false"/>
    <row r="883" s="3" customFormat="true" ht="12.8" hidden="false" customHeight="false" outlineLevel="0" collapsed="false"/>
    <row r="884" s="3" customFormat="true" ht="12.8" hidden="false" customHeight="false" outlineLevel="0" collapsed="false"/>
    <row r="885" s="3" customFormat="true" ht="12.8" hidden="false" customHeight="false" outlineLevel="0" collapsed="false"/>
    <row r="886" s="3" customFormat="true" ht="12.8" hidden="false" customHeight="false" outlineLevel="0" collapsed="false"/>
    <row r="887" s="3" customFormat="true" ht="12.8" hidden="false" customHeight="false" outlineLevel="0" collapsed="false"/>
    <row r="888" s="3" customFormat="true" ht="12.8" hidden="false" customHeight="false" outlineLevel="0" collapsed="false"/>
    <row r="889" s="3" customFormat="true" ht="12.8" hidden="false" customHeight="false" outlineLevel="0" collapsed="false"/>
    <row r="890" s="3" customFormat="true" ht="12.8" hidden="false" customHeight="false" outlineLevel="0" collapsed="false"/>
    <row r="891" s="3" customFormat="true" ht="12.8" hidden="false" customHeight="false" outlineLevel="0" collapsed="false"/>
    <row r="892" s="3" customFormat="true" ht="12.8" hidden="false" customHeight="false" outlineLevel="0" collapsed="false"/>
    <row r="893" s="3" customFormat="true" ht="12.8" hidden="false" customHeight="false" outlineLevel="0" collapsed="false"/>
    <row r="894" s="3" customFormat="true" ht="12.8" hidden="false" customHeight="false" outlineLevel="0" collapsed="false"/>
    <row r="895" s="3" customFormat="true" ht="12.8" hidden="false" customHeight="false" outlineLevel="0" collapsed="false"/>
    <row r="896" s="3" customFormat="true" ht="12.8" hidden="false" customHeight="false" outlineLevel="0" collapsed="false"/>
    <row r="897" s="3" customFormat="true" ht="12.8" hidden="false" customHeight="false" outlineLevel="0" collapsed="false"/>
    <row r="898" s="3" customFormat="true" ht="12.8" hidden="false" customHeight="false" outlineLevel="0" collapsed="false"/>
    <row r="899" s="3" customFormat="true" ht="12.8" hidden="false" customHeight="false" outlineLevel="0" collapsed="false"/>
    <row r="900" s="3" customFormat="true" ht="12.8" hidden="false" customHeight="false" outlineLevel="0" collapsed="false"/>
    <row r="901" s="3" customFormat="true" ht="12.8" hidden="false" customHeight="false" outlineLevel="0" collapsed="false"/>
    <row r="902" s="3" customFormat="true" ht="12.8" hidden="false" customHeight="false" outlineLevel="0" collapsed="false"/>
    <row r="903" s="3" customFormat="true" ht="12.8" hidden="false" customHeight="false" outlineLevel="0" collapsed="false"/>
    <row r="904" s="3" customFormat="true" ht="12.8" hidden="false" customHeight="false" outlineLevel="0" collapsed="false"/>
    <row r="905" s="3" customFormat="true" ht="12.8" hidden="false" customHeight="false" outlineLevel="0" collapsed="false"/>
    <row r="906" s="3" customFormat="true" ht="12.8" hidden="false" customHeight="false" outlineLevel="0" collapsed="false"/>
    <row r="907" s="3" customFormat="true" ht="12.8" hidden="false" customHeight="false" outlineLevel="0" collapsed="false"/>
    <row r="908" s="3" customFormat="true" ht="12.8" hidden="false" customHeight="false" outlineLevel="0" collapsed="false"/>
    <row r="909" s="3" customFormat="true" ht="12.8" hidden="false" customHeight="false" outlineLevel="0" collapsed="false"/>
    <row r="910" s="3" customFormat="true" ht="12.8" hidden="false" customHeight="false" outlineLevel="0" collapsed="false"/>
    <row r="911" s="3" customFormat="true" ht="12.8" hidden="false" customHeight="false" outlineLevel="0" collapsed="false"/>
    <row r="912" s="3" customFormat="true" ht="12.8" hidden="false" customHeight="false" outlineLevel="0" collapsed="false"/>
    <row r="913" s="3" customFormat="true" ht="12.8" hidden="false" customHeight="false" outlineLevel="0" collapsed="false"/>
    <row r="914" s="3" customFormat="true" ht="12.8" hidden="false" customHeight="false" outlineLevel="0" collapsed="false"/>
    <row r="915" s="3" customFormat="true" ht="12.8" hidden="false" customHeight="false" outlineLevel="0" collapsed="false"/>
    <row r="916" s="3" customFormat="true" ht="12.8" hidden="false" customHeight="false" outlineLevel="0" collapsed="false"/>
    <row r="917" s="3" customFormat="true" ht="12.8" hidden="false" customHeight="false" outlineLevel="0" collapsed="false"/>
    <row r="918" s="3" customFormat="true" ht="12.8" hidden="false" customHeight="false" outlineLevel="0" collapsed="false"/>
    <row r="919" s="3" customFormat="true" ht="12.8" hidden="false" customHeight="false" outlineLevel="0" collapsed="false"/>
    <row r="920" s="3" customFormat="true" ht="12.8" hidden="false" customHeight="false" outlineLevel="0" collapsed="false"/>
    <row r="921" s="3" customFormat="true" ht="12.8" hidden="false" customHeight="false" outlineLevel="0" collapsed="false"/>
    <row r="922" s="3" customFormat="true" ht="12.8" hidden="false" customHeight="false" outlineLevel="0" collapsed="false"/>
    <row r="923" s="3" customFormat="true" ht="12.8" hidden="false" customHeight="false" outlineLevel="0" collapsed="false"/>
    <row r="924" s="3" customFormat="true" ht="12.8" hidden="false" customHeight="false" outlineLevel="0" collapsed="false"/>
    <row r="925" s="3" customFormat="true" ht="12.8" hidden="false" customHeight="false" outlineLevel="0" collapsed="false"/>
    <row r="926" s="3" customFormat="true" ht="12.8" hidden="false" customHeight="false" outlineLevel="0" collapsed="false"/>
    <row r="927" s="3" customFormat="true" ht="12.8" hidden="false" customHeight="false" outlineLevel="0" collapsed="false"/>
    <row r="928" s="3" customFormat="true" ht="12.8" hidden="false" customHeight="false" outlineLevel="0" collapsed="false"/>
    <row r="929" s="3" customFormat="true" ht="12.8" hidden="false" customHeight="false" outlineLevel="0" collapsed="false"/>
    <row r="930" s="3" customFormat="true" ht="12.8" hidden="false" customHeight="false" outlineLevel="0" collapsed="false"/>
    <row r="931" s="3" customFormat="true" ht="12.8" hidden="false" customHeight="false" outlineLevel="0" collapsed="false"/>
    <row r="932" s="3" customFormat="true" ht="12.8" hidden="false" customHeight="false" outlineLevel="0" collapsed="false"/>
    <row r="933" s="3" customFormat="true" ht="12.8" hidden="false" customHeight="false" outlineLevel="0" collapsed="false"/>
    <row r="934" s="3" customFormat="true" ht="12.8" hidden="false" customHeight="false" outlineLevel="0" collapsed="false"/>
    <row r="935" s="3" customFormat="true" ht="12.8" hidden="false" customHeight="false" outlineLevel="0" collapsed="false"/>
    <row r="936" s="3" customFormat="true" ht="12.8" hidden="false" customHeight="false" outlineLevel="0" collapsed="false"/>
    <row r="937" s="3" customFormat="true" ht="12.8" hidden="false" customHeight="false" outlineLevel="0" collapsed="false"/>
    <row r="938" s="3" customFormat="true" ht="12.8" hidden="false" customHeight="false" outlineLevel="0" collapsed="false"/>
    <row r="939" s="3" customFormat="true" ht="12.8" hidden="false" customHeight="false" outlineLevel="0" collapsed="false"/>
    <row r="940" s="3" customFormat="true" ht="12.8" hidden="false" customHeight="false" outlineLevel="0" collapsed="false"/>
    <row r="941" s="3" customFormat="true" ht="12.8" hidden="false" customHeight="false" outlineLevel="0" collapsed="false"/>
    <row r="942" s="3" customFormat="true" ht="12.8" hidden="false" customHeight="false" outlineLevel="0" collapsed="false"/>
    <row r="943" s="3" customFormat="true" ht="12.8" hidden="false" customHeight="false" outlineLevel="0" collapsed="false"/>
    <row r="944" s="3" customFormat="true" ht="12.8" hidden="false" customHeight="false" outlineLevel="0" collapsed="false"/>
    <row r="945" s="3" customFormat="true" ht="12.8" hidden="false" customHeight="false" outlineLevel="0" collapsed="false"/>
    <row r="946" s="3" customFormat="true" ht="12.8" hidden="false" customHeight="false" outlineLevel="0" collapsed="false"/>
    <row r="947" s="3" customFormat="true" ht="12.8" hidden="false" customHeight="false" outlineLevel="0" collapsed="false"/>
    <row r="948" s="3" customFormat="true" ht="12.8" hidden="false" customHeight="false" outlineLevel="0" collapsed="false"/>
    <row r="949" s="3" customFormat="true" ht="12.8" hidden="false" customHeight="false" outlineLevel="0" collapsed="false"/>
    <row r="950" s="3" customFormat="true" ht="12.8" hidden="false" customHeight="false" outlineLevel="0" collapsed="false"/>
    <row r="951" s="3" customFormat="true" ht="12.8" hidden="false" customHeight="false" outlineLevel="0" collapsed="false"/>
    <row r="952" s="3" customFormat="true" ht="12.8" hidden="false" customHeight="false" outlineLevel="0" collapsed="false"/>
    <row r="953" s="3" customFormat="true" ht="12.8" hidden="false" customHeight="false" outlineLevel="0" collapsed="false"/>
    <row r="954" s="3" customFormat="true" ht="12.8" hidden="false" customHeight="false" outlineLevel="0" collapsed="false"/>
    <row r="955" s="3" customFormat="true" ht="12.8" hidden="false" customHeight="false" outlineLevel="0" collapsed="false"/>
    <row r="956" s="3" customFormat="true" ht="12.8" hidden="false" customHeight="false" outlineLevel="0" collapsed="false"/>
    <row r="957" s="3" customFormat="true" ht="12.8" hidden="false" customHeight="false" outlineLevel="0" collapsed="false"/>
    <row r="958" s="3" customFormat="true" ht="12.8" hidden="false" customHeight="false" outlineLevel="0" collapsed="false"/>
    <row r="959" s="3" customFormat="true" ht="12.8" hidden="false" customHeight="false" outlineLevel="0" collapsed="false"/>
    <row r="960" s="3" customFormat="true" ht="12.8" hidden="false" customHeight="false" outlineLevel="0" collapsed="false"/>
    <row r="961" s="3" customFormat="true" ht="12.8" hidden="false" customHeight="false" outlineLevel="0" collapsed="false"/>
    <row r="962" s="3" customFormat="true" ht="12.8" hidden="false" customHeight="false" outlineLevel="0" collapsed="false"/>
    <row r="963" s="3" customFormat="true" ht="12.8" hidden="false" customHeight="false" outlineLevel="0" collapsed="false"/>
    <row r="964" s="3" customFormat="true" ht="12.8" hidden="false" customHeight="false" outlineLevel="0" collapsed="false"/>
    <row r="965" s="3" customFormat="true" ht="12.8" hidden="false" customHeight="false" outlineLevel="0" collapsed="false"/>
    <row r="966" s="3" customFormat="true" ht="12.8" hidden="false" customHeight="false" outlineLevel="0" collapsed="false"/>
    <row r="967" s="3" customFormat="true" ht="12.8" hidden="false" customHeight="false" outlineLevel="0" collapsed="false"/>
    <row r="968" s="3" customFormat="true" ht="12.8" hidden="false" customHeight="false" outlineLevel="0" collapsed="false"/>
    <row r="969" s="3" customFormat="true" ht="12.8" hidden="false" customHeight="false" outlineLevel="0" collapsed="false"/>
    <row r="970" s="3" customFormat="true" ht="12.8" hidden="false" customHeight="false" outlineLevel="0" collapsed="false"/>
    <row r="971" s="3" customFormat="true" ht="12.8" hidden="false" customHeight="false" outlineLevel="0" collapsed="false"/>
    <row r="972" s="3" customFormat="true" ht="12.8" hidden="false" customHeight="false" outlineLevel="0" collapsed="false"/>
    <row r="973" s="3" customFormat="true" ht="12.8" hidden="false" customHeight="false" outlineLevel="0" collapsed="false"/>
    <row r="974" s="3" customFormat="true" ht="12.8" hidden="false" customHeight="false" outlineLevel="0" collapsed="false"/>
    <row r="975" s="3" customFormat="true" ht="12.8" hidden="false" customHeight="false" outlineLevel="0" collapsed="false"/>
    <row r="976" s="3" customFormat="true" ht="12.8" hidden="false" customHeight="false" outlineLevel="0" collapsed="false"/>
    <row r="977" s="3" customFormat="true" ht="12.8" hidden="false" customHeight="false" outlineLevel="0" collapsed="false"/>
    <row r="978" s="3" customFormat="true" ht="12.8" hidden="false" customHeight="false" outlineLevel="0" collapsed="false"/>
    <row r="979" s="3" customFormat="true" ht="12.8" hidden="false" customHeight="false" outlineLevel="0" collapsed="false"/>
    <row r="980" s="3" customFormat="true" ht="12.8" hidden="false" customHeight="false" outlineLevel="0" collapsed="false"/>
    <row r="981" s="3" customFormat="true" ht="12.8" hidden="false" customHeight="false" outlineLevel="0" collapsed="false"/>
    <row r="982" s="3" customFormat="true" ht="12.8" hidden="false" customHeight="false" outlineLevel="0" collapsed="false"/>
    <row r="983" s="3" customFormat="true" ht="12.8" hidden="false" customHeight="false" outlineLevel="0" collapsed="false"/>
    <row r="984" s="3" customFormat="true" ht="12.8" hidden="false" customHeight="false" outlineLevel="0" collapsed="false"/>
    <row r="985" s="3" customFormat="true" ht="12.8" hidden="false" customHeight="false" outlineLevel="0" collapsed="false"/>
    <row r="986" s="3" customFormat="true" ht="12.8" hidden="false" customHeight="false" outlineLevel="0" collapsed="false"/>
    <row r="987" s="3" customFormat="true" ht="12.8" hidden="false" customHeight="false" outlineLevel="0" collapsed="false"/>
    <row r="988" s="3" customFormat="true" ht="12.8" hidden="false" customHeight="false" outlineLevel="0" collapsed="false"/>
    <row r="989" s="3" customFormat="true" ht="12.8" hidden="false" customHeight="false" outlineLevel="0" collapsed="false"/>
    <row r="990" s="3" customFormat="true" ht="12.8" hidden="false" customHeight="false" outlineLevel="0" collapsed="false"/>
    <row r="991" s="3" customFormat="true" ht="12.8" hidden="false" customHeight="false" outlineLevel="0" collapsed="false"/>
    <row r="992" s="3" customFormat="true" ht="12.8" hidden="false" customHeight="false" outlineLevel="0" collapsed="false"/>
    <row r="993" s="3" customFormat="true" ht="12.8" hidden="false" customHeight="false" outlineLevel="0" collapsed="false"/>
    <row r="994" s="3" customFormat="true" ht="12.8" hidden="false" customHeight="false" outlineLevel="0" collapsed="false"/>
    <row r="995" s="3" customFormat="true" ht="12.8" hidden="false" customHeight="false" outlineLevel="0" collapsed="false"/>
    <row r="996" s="3" customFormat="true" ht="12.8" hidden="false" customHeight="false" outlineLevel="0" collapsed="false"/>
    <row r="997" s="3" customFormat="true" ht="12.8" hidden="false" customHeight="false" outlineLevel="0" collapsed="false"/>
    <row r="998" s="3" customFormat="true" ht="12.8" hidden="false" customHeight="false" outlineLevel="0" collapsed="false"/>
    <row r="999" s="3" customFormat="true" ht="12.8" hidden="false" customHeight="false" outlineLevel="0" collapsed="false"/>
    <row r="1000" s="3" customFormat="true" ht="12.8" hidden="false" customHeight="false" outlineLevel="0" collapsed="false"/>
    <row r="1001" s="3" customFormat="true" ht="12.8" hidden="false" customHeight="false" outlineLevel="0" collapsed="false"/>
    <row r="1002" s="3" customFormat="true" ht="12.8" hidden="false" customHeight="false" outlineLevel="0" collapsed="false"/>
    <row r="1003" s="3" customFormat="true" ht="12.8" hidden="false" customHeight="false" outlineLevel="0" collapsed="false"/>
    <row r="1004" s="3" customFormat="true" ht="12.8" hidden="false" customHeight="false" outlineLevel="0" collapsed="false"/>
    <row r="1005" s="3" customFormat="true" ht="12.8" hidden="false" customHeight="false" outlineLevel="0" collapsed="false"/>
    <row r="1006" s="3" customFormat="true" ht="12.8" hidden="false" customHeight="false" outlineLevel="0" collapsed="false"/>
    <row r="1007" s="3" customFormat="true" ht="12.8" hidden="false" customHeight="false" outlineLevel="0" collapsed="false"/>
    <row r="1008" s="3" customFormat="true" ht="12.8" hidden="false" customHeight="false" outlineLevel="0" collapsed="false"/>
    <row r="1009" s="3" customFormat="true" ht="12.8" hidden="false" customHeight="false" outlineLevel="0" collapsed="false"/>
    <row r="1010" s="3" customFormat="true" ht="12.8" hidden="false" customHeight="false" outlineLevel="0" collapsed="false"/>
    <row r="1011" s="3" customFormat="true" ht="12.8" hidden="false" customHeight="false" outlineLevel="0" collapsed="false"/>
    <row r="1012" s="3" customFormat="true" ht="12.8" hidden="false" customHeight="false" outlineLevel="0" collapsed="false"/>
    <row r="1013" s="3" customFormat="true" ht="12.8" hidden="false" customHeight="false" outlineLevel="0" collapsed="false"/>
    <row r="1014" s="3" customFormat="true" ht="12.8" hidden="false" customHeight="false" outlineLevel="0" collapsed="false"/>
    <row r="1015" s="3" customFormat="true" ht="12.8" hidden="false" customHeight="false" outlineLevel="0" collapsed="false"/>
    <row r="1016" s="3" customFormat="true" ht="12.8" hidden="false" customHeight="false" outlineLevel="0" collapsed="false"/>
    <row r="1017" s="3" customFormat="true" ht="12.8" hidden="false" customHeight="false" outlineLevel="0" collapsed="false"/>
    <row r="1018" s="3" customFormat="true" ht="12.8" hidden="false" customHeight="false" outlineLevel="0" collapsed="false"/>
    <row r="1019" s="3" customFormat="true" ht="12.8" hidden="false" customHeight="false" outlineLevel="0" collapsed="false"/>
    <row r="1020" s="3" customFormat="true" ht="12.8" hidden="false" customHeight="false" outlineLevel="0" collapsed="false"/>
    <row r="1021" s="3" customFormat="true" ht="12.8" hidden="false" customHeight="false" outlineLevel="0" collapsed="false"/>
    <row r="1022" s="3" customFormat="true" ht="12.8" hidden="false" customHeight="false" outlineLevel="0" collapsed="false"/>
    <row r="1023" s="3" customFormat="true" ht="12.8" hidden="false" customHeight="false" outlineLevel="0" collapsed="false"/>
    <row r="1024" s="3" customFormat="true" ht="12.8" hidden="false" customHeight="false" outlineLevel="0" collapsed="false"/>
    <row r="1025" s="3" customFormat="true" ht="12.8" hidden="false" customHeight="false" outlineLevel="0" collapsed="false"/>
    <row r="1026" s="3" customFormat="true" ht="12.8" hidden="false" customHeight="false" outlineLevel="0" collapsed="false"/>
    <row r="1027" s="3" customFormat="true" ht="12.8" hidden="false" customHeight="false" outlineLevel="0" collapsed="false"/>
    <row r="1028" s="3" customFormat="true" ht="12.8" hidden="false" customHeight="false" outlineLevel="0" collapsed="false"/>
    <row r="1029" s="3" customFormat="true" ht="12.8" hidden="false" customHeight="false" outlineLevel="0" collapsed="false"/>
    <row r="1030" s="3" customFormat="true" ht="12.8" hidden="false" customHeight="false" outlineLevel="0" collapsed="false"/>
    <row r="1031" s="3" customFormat="true" ht="12.8" hidden="false" customHeight="false" outlineLevel="0" collapsed="false"/>
    <row r="1032" s="3" customFormat="true" ht="12.8" hidden="false" customHeight="false" outlineLevel="0" collapsed="false"/>
    <row r="1033" s="3" customFormat="true" ht="12.8" hidden="false" customHeight="false" outlineLevel="0" collapsed="false"/>
    <row r="1034" s="3" customFormat="true" ht="12.8" hidden="false" customHeight="false" outlineLevel="0" collapsed="false"/>
    <row r="1035" s="3" customFormat="true" ht="12.8" hidden="false" customHeight="false" outlineLevel="0" collapsed="false"/>
    <row r="1036" s="3" customFormat="true" ht="12.8" hidden="false" customHeight="false" outlineLevel="0" collapsed="false"/>
    <row r="1037" s="3" customFormat="true" ht="12.8" hidden="false" customHeight="false" outlineLevel="0" collapsed="false"/>
    <row r="1038" s="3" customFormat="true" ht="12.8" hidden="false" customHeight="false" outlineLevel="0" collapsed="false"/>
    <row r="1039" s="3" customFormat="true" ht="12.8" hidden="false" customHeight="false" outlineLevel="0" collapsed="false"/>
    <row r="1040" s="3" customFormat="true" ht="12.8" hidden="false" customHeight="false" outlineLevel="0" collapsed="false"/>
    <row r="1041" s="3" customFormat="true" ht="12.8" hidden="false" customHeight="false" outlineLevel="0" collapsed="false"/>
    <row r="1042" s="3" customFormat="true" ht="12.8" hidden="false" customHeight="false" outlineLevel="0" collapsed="false"/>
    <row r="1043" s="3" customFormat="true" ht="12.8" hidden="false" customHeight="false" outlineLevel="0" collapsed="false"/>
    <row r="1044" s="3" customFormat="true" ht="12.8" hidden="false" customHeight="false" outlineLevel="0" collapsed="false"/>
    <row r="1045" s="3" customFormat="true" ht="12.8" hidden="false" customHeight="false" outlineLevel="0" collapsed="false"/>
    <row r="1046" s="3" customFormat="true" ht="12.8" hidden="false" customHeight="false" outlineLevel="0" collapsed="false"/>
    <row r="1047" s="3" customFormat="true" ht="12.8" hidden="false" customHeight="false" outlineLevel="0" collapsed="false"/>
    <row r="1048" s="3" customFormat="true" ht="12.8" hidden="false" customHeight="false" outlineLevel="0" collapsed="false"/>
    <row r="1049" s="3" customFormat="true" ht="12.8" hidden="false" customHeight="false" outlineLevel="0" collapsed="false"/>
    <row r="1050" s="3" customFormat="true" ht="12.8" hidden="false" customHeight="false" outlineLevel="0" collapsed="false"/>
    <row r="1051" s="3" customFormat="true" ht="12.8" hidden="false" customHeight="false" outlineLevel="0" collapsed="false"/>
    <row r="1052" s="3" customFormat="true" ht="12.8" hidden="false" customHeight="false" outlineLevel="0" collapsed="false"/>
    <row r="1053" s="3" customFormat="true" ht="12.8" hidden="false" customHeight="false" outlineLevel="0" collapsed="false"/>
    <row r="1054" s="3" customFormat="true" ht="12.8" hidden="false" customHeight="false" outlineLevel="0" collapsed="false"/>
    <row r="1055" s="3" customFormat="true" ht="12.8" hidden="false" customHeight="false" outlineLevel="0" collapsed="false"/>
    <row r="1056" s="3" customFormat="true" ht="12.8" hidden="false" customHeight="false" outlineLevel="0" collapsed="false"/>
    <row r="1057" s="3" customFormat="true" ht="12.8" hidden="false" customHeight="false" outlineLevel="0" collapsed="false"/>
    <row r="1058" s="3" customFormat="true" ht="12.8" hidden="false" customHeight="false" outlineLevel="0" collapsed="false"/>
    <row r="1059" s="3" customFormat="true" ht="12.8" hidden="false" customHeight="false" outlineLevel="0" collapsed="false"/>
    <row r="1060" s="3" customFormat="true" ht="12.8" hidden="false" customHeight="false" outlineLevel="0" collapsed="false"/>
    <row r="1061" s="3" customFormat="true" ht="12.8" hidden="false" customHeight="false" outlineLevel="0" collapsed="false"/>
    <row r="1062" s="3" customFormat="true" ht="12.8" hidden="false" customHeight="false" outlineLevel="0" collapsed="false"/>
    <row r="1063" s="3" customFormat="true" ht="12.8" hidden="false" customHeight="false" outlineLevel="0" collapsed="false"/>
    <row r="1064" s="3" customFormat="true" ht="12.8" hidden="false" customHeight="false" outlineLevel="0" collapsed="false"/>
    <row r="1065" s="3" customFormat="true" ht="12.8" hidden="false" customHeight="false" outlineLevel="0" collapsed="false"/>
    <row r="1066" s="3" customFormat="true" ht="12.8" hidden="false" customHeight="false" outlineLevel="0" collapsed="false"/>
    <row r="1067" s="3" customFormat="true" ht="12.8" hidden="false" customHeight="false" outlineLevel="0" collapsed="false"/>
    <row r="1068" s="3" customFormat="true" ht="12.8" hidden="false" customHeight="false" outlineLevel="0" collapsed="false"/>
    <row r="1069" s="3" customFormat="true" ht="12.8" hidden="false" customHeight="false" outlineLevel="0" collapsed="false"/>
    <row r="1070" s="3" customFormat="true" ht="12.8" hidden="false" customHeight="false" outlineLevel="0" collapsed="false"/>
    <row r="1071" s="3" customFormat="true" ht="12.8" hidden="false" customHeight="false" outlineLevel="0" collapsed="false"/>
    <row r="1072" s="3" customFormat="true" ht="12.8" hidden="false" customHeight="false" outlineLevel="0" collapsed="false"/>
    <row r="1073" s="3" customFormat="true" ht="12.8" hidden="false" customHeight="false" outlineLevel="0" collapsed="false"/>
    <row r="1074" s="3" customFormat="true" ht="12.8" hidden="false" customHeight="false" outlineLevel="0" collapsed="false"/>
    <row r="1075" s="3" customFormat="true" ht="12.8" hidden="false" customHeight="false" outlineLevel="0" collapsed="false"/>
    <row r="1076" s="3" customFormat="true" ht="12.8" hidden="false" customHeight="false" outlineLevel="0" collapsed="false"/>
    <row r="1077" s="3" customFormat="true" ht="12.8" hidden="false" customHeight="false" outlineLevel="0" collapsed="false"/>
    <row r="1078" s="3" customFormat="true" ht="12.8" hidden="false" customHeight="false" outlineLevel="0" collapsed="false"/>
    <row r="1079" s="3" customFormat="true" ht="12.8" hidden="false" customHeight="false" outlineLevel="0" collapsed="false"/>
    <row r="1080" s="3" customFormat="true" ht="12.8" hidden="false" customHeight="false" outlineLevel="0" collapsed="false"/>
    <row r="1081" s="3" customFormat="true" ht="12.8" hidden="false" customHeight="false" outlineLevel="0" collapsed="false"/>
    <row r="1082" s="3" customFormat="true" ht="12.8" hidden="false" customHeight="false" outlineLevel="0" collapsed="false"/>
    <row r="1083" s="3" customFormat="true" ht="12.8" hidden="false" customHeight="false" outlineLevel="0" collapsed="false"/>
    <row r="1084" s="3" customFormat="true" ht="12.8" hidden="false" customHeight="false" outlineLevel="0" collapsed="false"/>
    <row r="1085" s="3" customFormat="true" ht="12.8" hidden="false" customHeight="false" outlineLevel="0" collapsed="false"/>
    <row r="1086" s="3" customFormat="true" ht="12.8" hidden="false" customHeight="false" outlineLevel="0" collapsed="false"/>
    <row r="1087" s="3" customFormat="true" ht="12.8" hidden="false" customHeight="false" outlineLevel="0" collapsed="false"/>
    <row r="1088" s="3" customFormat="true" ht="12.8" hidden="false" customHeight="false" outlineLevel="0" collapsed="false"/>
    <row r="1089" s="3" customFormat="true" ht="12.8" hidden="false" customHeight="false" outlineLevel="0" collapsed="false"/>
    <row r="1090" s="3" customFormat="true" ht="12.8" hidden="false" customHeight="false" outlineLevel="0" collapsed="false"/>
    <row r="1091" s="3" customFormat="true" ht="12.8" hidden="false" customHeight="false" outlineLevel="0" collapsed="false"/>
    <row r="1092" s="3" customFormat="true" ht="12.8" hidden="false" customHeight="false" outlineLevel="0" collapsed="false"/>
    <row r="1093" s="3" customFormat="true" ht="12.8" hidden="false" customHeight="false" outlineLevel="0" collapsed="false"/>
    <row r="1094" s="3" customFormat="true" ht="12.8" hidden="false" customHeight="false" outlineLevel="0" collapsed="false"/>
    <row r="1095" s="3" customFormat="true" ht="12.8" hidden="false" customHeight="false" outlineLevel="0" collapsed="false"/>
    <row r="1096" s="3" customFormat="true" ht="12.8" hidden="false" customHeight="false" outlineLevel="0" collapsed="false"/>
    <row r="1097" s="3" customFormat="true" ht="12.8" hidden="false" customHeight="false" outlineLevel="0" collapsed="false"/>
    <row r="1098" s="3" customFormat="true" ht="12.8" hidden="false" customHeight="false" outlineLevel="0" collapsed="false"/>
    <row r="1099" s="3" customFormat="true" ht="12.8" hidden="false" customHeight="false" outlineLevel="0" collapsed="false"/>
    <row r="1100" s="3" customFormat="true" ht="12.8" hidden="false" customHeight="false" outlineLevel="0" collapsed="false"/>
    <row r="1101" s="3" customFormat="true" ht="12.8" hidden="false" customHeight="false" outlineLevel="0" collapsed="false"/>
    <row r="1102" s="3" customFormat="true" ht="12.8" hidden="false" customHeight="false" outlineLevel="0" collapsed="false"/>
    <row r="1103" s="3" customFormat="true" ht="12.8" hidden="false" customHeight="false" outlineLevel="0" collapsed="false"/>
    <row r="1104" s="3" customFormat="true" ht="12.8" hidden="false" customHeight="false" outlineLevel="0" collapsed="false"/>
    <row r="1105" s="3" customFormat="true" ht="12.8" hidden="false" customHeight="false" outlineLevel="0" collapsed="false"/>
    <row r="1106" s="3" customFormat="true" ht="12.8" hidden="false" customHeight="false" outlineLevel="0" collapsed="false"/>
    <row r="1107" s="3" customFormat="true" ht="12.8" hidden="false" customHeight="false" outlineLevel="0" collapsed="false"/>
    <row r="1108" s="3" customFormat="true" ht="12.8" hidden="false" customHeight="false" outlineLevel="0" collapsed="false"/>
    <row r="1109" s="3" customFormat="true" ht="12.8" hidden="false" customHeight="false" outlineLevel="0" collapsed="false"/>
    <row r="1110" s="3" customFormat="true" ht="12.8" hidden="false" customHeight="false" outlineLevel="0" collapsed="false"/>
    <row r="1111" s="3" customFormat="true" ht="12.8" hidden="false" customHeight="false" outlineLevel="0" collapsed="false"/>
    <row r="1112" s="3" customFormat="true" ht="12.8" hidden="false" customHeight="false" outlineLevel="0" collapsed="false"/>
    <row r="1113" s="3" customFormat="true" ht="12.8" hidden="false" customHeight="false" outlineLevel="0" collapsed="false"/>
    <row r="1114" s="3" customFormat="true" ht="12.8" hidden="false" customHeight="false" outlineLevel="0" collapsed="false"/>
    <row r="1115" s="3" customFormat="true" ht="12.8" hidden="false" customHeight="false" outlineLevel="0" collapsed="false"/>
    <row r="1116" s="3" customFormat="true" ht="12.8" hidden="false" customHeight="false" outlineLevel="0" collapsed="false"/>
    <row r="1117" s="3" customFormat="true" ht="12.8" hidden="false" customHeight="false" outlineLevel="0" collapsed="false"/>
    <row r="1118" s="3" customFormat="true" ht="12.8" hidden="false" customHeight="false" outlineLevel="0" collapsed="false"/>
    <row r="1119" s="3" customFormat="true" ht="12.8" hidden="false" customHeight="false" outlineLevel="0" collapsed="false"/>
    <row r="1120" s="3" customFormat="true" ht="12.8" hidden="false" customHeight="false" outlineLevel="0" collapsed="false"/>
    <row r="1121" s="3" customFormat="true" ht="12.8" hidden="false" customHeight="false" outlineLevel="0" collapsed="false"/>
    <row r="1122" s="3" customFormat="true" ht="12.8" hidden="false" customHeight="false" outlineLevel="0" collapsed="false"/>
    <row r="1123" s="3" customFormat="true" ht="12.8" hidden="false" customHeight="false" outlineLevel="0" collapsed="false"/>
    <row r="1124" s="3" customFormat="true" ht="12.8" hidden="false" customHeight="false" outlineLevel="0" collapsed="false"/>
    <row r="1125" s="3" customFormat="true" ht="12.8" hidden="false" customHeight="false" outlineLevel="0" collapsed="false"/>
    <row r="1126" s="3" customFormat="true" ht="12.8" hidden="false" customHeight="false" outlineLevel="0" collapsed="false"/>
    <row r="1127" s="3" customFormat="true" ht="12.8" hidden="false" customHeight="false" outlineLevel="0" collapsed="false"/>
    <row r="1128" s="3" customFormat="true" ht="12.8" hidden="false" customHeight="false" outlineLevel="0" collapsed="false"/>
    <row r="1129" s="3" customFormat="true" ht="12.8" hidden="false" customHeight="false" outlineLevel="0" collapsed="false"/>
    <row r="1130" s="3" customFormat="true" ht="12.8" hidden="false" customHeight="false" outlineLevel="0" collapsed="false"/>
    <row r="1131" s="3" customFormat="true" ht="12.8" hidden="false" customHeight="false" outlineLevel="0" collapsed="false"/>
    <row r="1132" s="3" customFormat="true" ht="12.8" hidden="false" customHeight="false" outlineLevel="0" collapsed="false"/>
    <row r="1133" s="3" customFormat="true" ht="12.8" hidden="false" customHeight="false" outlineLevel="0" collapsed="false"/>
    <row r="1134" s="3" customFormat="true" ht="12.8" hidden="false" customHeight="false" outlineLevel="0" collapsed="false"/>
    <row r="1135" s="3" customFormat="true" ht="12.8" hidden="false" customHeight="false" outlineLevel="0" collapsed="false"/>
    <row r="1136" s="3" customFormat="true" ht="12.8" hidden="false" customHeight="false" outlineLevel="0" collapsed="false"/>
    <row r="1137" s="3" customFormat="true" ht="12.8" hidden="false" customHeight="false" outlineLevel="0" collapsed="false"/>
    <row r="1138" s="3" customFormat="true" ht="12.8" hidden="false" customHeight="false" outlineLevel="0" collapsed="false"/>
    <row r="1139" s="3" customFormat="true" ht="12.8" hidden="false" customHeight="false" outlineLevel="0" collapsed="false"/>
    <row r="1140" s="3" customFormat="true" ht="12.8" hidden="false" customHeight="false" outlineLevel="0" collapsed="false"/>
    <row r="1141" s="3" customFormat="true" ht="12.8" hidden="false" customHeight="false" outlineLevel="0" collapsed="false"/>
    <row r="1142" s="3" customFormat="true" ht="12.8" hidden="false" customHeight="false" outlineLevel="0" collapsed="false"/>
    <row r="1143" s="3" customFormat="true" ht="12.8" hidden="false" customHeight="false" outlineLevel="0" collapsed="false"/>
    <row r="1144" s="3" customFormat="true" ht="12.8" hidden="false" customHeight="false" outlineLevel="0" collapsed="false"/>
    <row r="1145" s="3" customFormat="true" ht="12.8" hidden="false" customHeight="false" outlineLevel="0" collapsed="false"/>
    <row r="1146" s="3" customFormat="true" ht="12.8" hidden="false" customHeight="false" outlineLevel="0" collapsed="false"/>
    <row r="1147" s="3" customFormat="true" ht="12.8" hidden="false" customHeight="false" outlineLevel="0" collapsed="false"/>
    <row r="1148" s="3" customFormat="true" ht="12.8" hidden="false" customHeight="false" outlineLevel="0" collapsed="false"/>
    <row r="1149" s="3" customFormat="true" ht="12.8" hidden="false" customHeight="false" outlineLevel="0" collapsed="false"/>
    <row r="1150" s="3" customFormat="true" ht="12.8" hidden="false" customHeight="false" outlineLevel="0" collapsed="false"/>
    <row r="1151" s="3" customFormat="true" ht="12.8" hidden="false" customHeight="false" outlineLevel="0" collapsed="false"/>
    <row r="1152" s="3" customFormat="true" ht="12.8" hidden="false" customHeight="false" outlineLevel="0" collapsed="false"/>
    <row r="1153" s="3" customFormat="true" ht="12.8" hidden="false" customHeight="false" outlineLevel="0" collapsed="false"/>
    <row r="1154" s="3" customFormat="true" ht="12.8" hidden="false" customHeight="false" outlineLevel="0" collapsed="false"/>
    <row r="1155" s="3" customFormat="true" ht="12.8" hidden="false" customHeight="false" outlineLevel="0" collapsed="false"/>
    <row r="1156" s="3" customFormat="true" ht="12.8" hidden="false" customHeight="false" outlineLevel="0" collapsed="false"/>
    <row r="1157" s="3" customFormat="true" ht="12.8" hidden="false" customHeight="false" outlineLevel="0" collapsed="false"/>
    <row r="1158" s="3" customFormat="true" ht="12.8" hidden="false" customHeight="false" outlineLevel="0" collapsed="false"/>
    <row r="1159" s="3" customFormat="true" ht="12.8" hidden="false" customHeight="false" outlineLevel="0" collapsed="false"/>
    <row r="1160" s="3" customFormat="true" ht="12.8" hidden="false" customHeight="false" outlineLevel="0" collapsed="false"/>
    <row r="1161" s="3" customFormat="true" ht="12.8" hidden="false" customHeight="false" outlineLevel="0" collapsed="false"/>
    <row r="1162" s="3" customFormat="true" ht="12.8" hidden="false" customHeight="false" outlineLevel="0" collapsed="false"/>
    <row r="1163" s="3" customFormat="true" ht="12.8" hidden="false" customHeight="false" outlineLevel="0" collapsed="false"/>
    <row r="1164" s="3" customFormat="true" ht="12.8" hidden="false" customHeight="false" outlineLevel="0" collapsed="false"/>
    <row r="1165" s="3" customFormat="true" ht="12.8" hidden="false" customHeight="false" outlineLevel="0" collapsed="false"/>
    <row r="1166" s="3" customFormat="true" ht="12.8" hidden="false" customHeight="false" outlineLevel="0" collapsed="false"/>
    <row r="1167" s="3" customFormat="true" ht="12.8" hidden="false" customHeight="false" outlineLevel="0" collapsed="false"/>
    <row r="1168" s="3" customFormat="true" ht="12.8" hidden="false" customHeight="false" outlineLevel="0" collapsed="false"/>
  </sheetData>
  <mergeCells count="1">
    <mergeCell ref="AW63:AX63"/>
  </mergeCells>
  <hyperlinks>
    <hyperlink ref="A1" r:id="rId2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2" activeCellId="0" sqref="C1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3.88"/>
    <col collapsed="false" customWidth="true" hidden="false" outlineLevel="0" max="3" min="3" style="1" width="18.31"/>
    <col collapsed="false" customWidth="true" hidden="false" outlineLevel="0" max="4" min="4" style="1" width="17.03"/>
    <col collapsed="false" customWidth="true" hidden="false" outlineLevel="0" max="5" min="5" style="1" width="14.67"/>
    <col collapsed="false" customWidth="true" hidden="false" outlineLevel="0" max="6" min="6" style="1" width="10.38"/>
    <col collapsed="false" customWidth="false" hidden="false" outlineLevel="0" max="16384" min="7" style="1" width="11.53"/>
  </cols>
  <sheetData>
    <row r="1" customFormat="false" ht="13.1" hidden="false" customHeight="false" outlineLevel="0" collapsed="false">
      <c r="A1" s="71" t="s">
        <v>99</v>
      </c>
    </row>
    <row r="3" customFormat="false" ht="12.8" hidden="false" customHeight="false" outlineLevel="0" collapsed="false">
      <c r="B3" s="1" t="s">
        <v>261</v>
      </c>
      <c r="C3" s="1" t="s">
        <v>262</v>
      </c>
      <c r="D3" s="1" t="s">
        <v>263</v>
      </c>
    </row>
    <row r="4" customFormat="false" ht="12.8" hidden="false" customHeight="false" outlineLevel="0" collapsed="false">
      <c r="B4" s="1" t="s">
        <v>264</v>
      </c>
      <c r="C4" s="1" t="n">
        <v>2.15</v>
      </c>
      <c r="D4" s="72" t="s">
        <v>265</v>
      </c>
    </row>
    <row r="5" customFormat="false" ht="12.8" hidden="false" customHeight="false" outlineLevel="0" collapsed="false">
      <c r="B5" s="1" t="s">
        <v>266</v>
      </c>
      <c r="C5" s="1" t="n">
        <v>4.85</v>
      </c>
      <c r="D5" s="72" t="s">
        <v>267</v>
      </c>
    </row>
    <row r="6" customFormat="false" ht="12.8" hidden="false" customHeight="false" outlineLevel="0" collapsed="false">
      <c r="B6" s="1" t="s">
        <v>268</v>
      </c>
      <c r="C6" s="1" t="n">
        <v>4.75</v>
      </c>
      <c r="D6" s="72" t="s">
        <v>269</v>
      </c>
    </row>
    <row r="7" customFormat="false" ht="12.8" hidden="false" customHeight="false" outlineLevel="0" collapsed="false">
      <c r="B7" s="1" t="s">
        <v>270</v>
      </c>
      <c r="C7" s="1" t="n">
        <v>4.8</v>
      </c>
      <c r="D7" s="72" t="s">
        <v>271</v>
      </c>
    </row>
    <row r="8" customFormat="false" ht="12.8" hidden="false" customHeight="false" outlineLevel="0" collapsed="false">
      <c r="B8" s="1" t="s">
        <v>272</v>
      </c>
      <c r="C8" s="1" t="n">
        <v>4.95</v>
      </c>
      <c r="D8" s="72" t="s">
        <v>273</v>
      </c>
    </row>
    <row r="9" customFormat="false" ht="12.8" hidden="false" customHeight="false" outlineLevel="0" collapsed="false">
      <c r="B9" s="1" t="s">
        <v>274</v>
      </c>
      <c r="C9" s="1" t="n">
        <v>2.3</v>
      </c>
      <c r="D9" s="72" t="s">
        <v>275</v>
      </c>
    </row>
    <row r="10" customFormat="false" ht="12.8" hidden="false" customHeight="false" outlineLevel="0" collapsed="false">
      <c r="B10" s="1" t="s">
        <v>276</v>
      </c>
      <c r="C10" s="1" t="n">
        <v>4.95</v>
      </c>
      <c r="D10" s="72" t="s">
        <v>277</v>
      </c>
    </row>
    <row r="11" customFormat="false" ht="12.8" hidden="false" customHeight="false" outlineLevel="0" collapsed="false">
      <c r="B11" s="1" t="s">
        <v>278</v>
      </c>
      <c r="C11" s="1" t="n">
        <v>5.3</v>
      </c>
      <c r="D11" s="72" t="s">
        <v>279</v>
      </c>
    </row>
    <row r="12" customFormat="false" ht="12.8" hidden="false" customHeight="false" outlineLevel="0" collapsed="false">
      <c r="C12" s="73" t="n">
        <f aca="false">+AVERAGE(C4:C11)</f>
        <v>4.25625</v>
      </c>
      <c r="F12" s="63"/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3.1" hidden="false" customHeight="false" outlineLevel="0" collapsed="false">
      <c r="A1" s="71" t="s">
        <v>99</v>
      </c>
      <c r="E1" s="1" t="s">
        <v>280</v>
      </c>
      <c r="F1" s="1" t="s">
        <v>281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3856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2026-03-07T17:27:02Z</dcterms:created>
  <dc:creator/>
  <dc:description/>
  <dc:language>en-US</dc:language>
  <cp:lastModifiedBy/>
  <dcterms:modified xsi:type="dcterms:W3CDTF">2026-08-27T13:24:00Z</dcterms:modified>
  <cp:revision>213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