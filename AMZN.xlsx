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in" sheetId="1" state="visible" r:id="rId3"/>
    <sheet name="Model" sheetId="2" state="visible" r:id="rId4"/>
    <sheet name="Bond" sheetId="3" state="visible" r:id="rId5"/>
    <sheet name="Board" sheetId="4" state="visible" r:id="rId6"/>
  </sheets>
  <externalReferences>
    <externalReference r:id="rId7"/>
  </externalReferenc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66" authorId="0">
      <text>
        <r>
          <rPr>
            <sz val="10"/>
            <rFont val="Arial"/>
            <family val="2"/>
          </rPr>
          <t xml:space="preserve">Technological Advisory (like IBM)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61</xdr:row>
                <xdr:rowOff>8</xdr:rowOff>
              </xdr:from>
              <xdr:to>
                <xdr:col>4</xdr:col>
                <xdr:colOff>30</xdr:colOff>
                <xdr:row>65</xdr:row>
                <xdr:rowOff>7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79" authorId="0">
      <text>
        <r>
          <rPr>
            <sz val="10"/>
            <rFont val="Arial"/>
            <family val="2"/>
          </rPr>
          <t xml:space="preserve">FIFO:
- more appropriate for the “selling conruming goods” business (since they become obsolete)
- LIFO is not allowed under the IFRS rules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74</xdr:row>
                <xdr:rowOff>8</xdr:rowOff>
              </xdr:from>
              <xdr:to>
                <xdr:col>2</xdr:col>
                <xdr:colOff>30</xdr:colOff>
                <xdr:row>85</xdr:row>
                <xdr:rowOff>7</xdr:rowOff>
              </xdr:to>
            </anchor>
          </commentPr>
        </mc:Choice>
        <mc:Fallback/>
      </mc:AlternateContent>
    </comment>
    <comment ref="R33" authorId="0">
      <text>
        <r>
          <rPr>
            <sz val="10"/>
            <rFont val="Arial"/>
            <family val="2"/>
          </rPr>
          <t xml:space="preserve">Guidance 16.5 – 21.5 $B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3</xdr:colOff>
                <xdr:row>28</xdr:row>
                <xdr:rowOff>1</xdr:rowOff>
              </xdr:from>
              <xdr:to>
                <xdr:col>19</xdr:col>
                <xdr:colOff>5</xdr:colOff>
                <xdr:row>32</xdr:row>
                <xdr:rowOff>1</xdr:rowOff>
              </xdr:to>
            </anchor>
          </commentPr>
        </mc:Choice>
        <mc:Fallback/>
      </mc:AlternateContent>
    </comment>
    <comment ref="S2" authorId="0">
      <text>
        <r>
          <rPr>
            <sz val="10"/>
            <rFont val="Arial"/>
            <family val="2"/>
          </rPr>
          <t xml:space="preserve">Guidance: 194 – 199 B$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3</xdr:colOff>
                <xdr:row>0</xdr:row>
                <xdr:rowOff>0</xdr:rowOff>
              </xdr:from>
              <xdr:to>
                <xdr:col>20</xdr:col>
                <xdr:colOff>5</xdr:colOff>
                <xdr:row>4</xdr:row>
                <xdr:rowOff>1</xdr:rowOff>
              </xdr:to>
            </anchor>
          </commentPr>
        </mc:Choice>
        <mc:Fallback/>
      </mc:AlternateContent>
    </comment>
    <comment ref="T2" authorId="0">
      <text>
        <r>
          <rPr>
            <sz val="10"/>
            <rFont val="Arial"/>
            <family val="2"/>
          </rPr>
          <t xml:space="preserve">Guidance: 197 – 202B
EBIT 22-26B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15</xdr:colOff>
                <xdr:row>0</xdr:row>
                <xdr:rowOff>0</xdr:rowOff>
              </xdr:from>
              <xdr:to>
                <xdr:col>21</xdr:col>
                <xdr:colOff>30</xdr:colOff>
                <xdr:row>4</xdr:row>
                <xdr:rowOff>2</xdr:rowOff>
              </xdr:to>
            </anchor>
          </commentPr>
        </mc:Choice>
        <mc:Fallback/>
      </mc:AlternateContent>
    </comment>
    <comment ref="AK123" authorId="0">
      <text>
        <r>
          <rPr>
            <sz val="10"/>
            <rFont val="Arial"/>
            <family val="2"/>
          </rPr>
          <t xml:space="preserve">128.3 B$ to expalnd AWS and projected to increase in 2026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37</xdr:col>
                <xdr:colOff>3</xdr:colOff>
                <xdr:row>118</xdr:row>
                <xdr:rowOff>1</xdr:rowOff>
              </xdr:from>
              <xdr:to>
                <xdr:col>38</xdr:col>
                <xdr:colOff>5</xdr:colOff>
                <xdr:row>122</xdr:row>
                <xdr:rowOff>10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<sst xmlns="http://schemas.openxmlformats.org/spreadsheetml/2006/main" count="838" uniqueCount="381">
  <si>
    <t xml:space="preserve">Amazon.com</t>
  </si>
  <si>
    <t xml:space="preserve">Price</t>
  </si>
  <si>
    <t xml:space="preserve">-&gt;</t>
  </si>
  <si>
    <t xml:space="preserve">Q126 began testing robotaxis in Miami and Austin, expanded service in SF and Las Vegas.</t>
  </si>
  <si>
    <t xml:space="preserve">Share</t>
  </si>
  <si>
    <t xml:space="preserve">Q226</t>
  </si>
  <si>
    <t xml:space="preserve">Driven 2 million miles and carried 350,000+ rides</t>
  </si>
  <si>
    <t xml:space="preserve">MC</t>
  </si>
  <si>
    <t xml:space="preserve">Cash</t>
  </si>
  <si>
    <t xml:space="preserve">Debt</t>
  </si>
  <si>
    <t xml:space="preserve">EV</t>
  </si>
  <si>
    <t xml:space="preserve">CAPM</t>
  </si>
  <si>
    <t xml:space="preserve">WACC</t>
  </si>
  <si>
    <t xml:space="preserve">Cost of Debt</t>
  </si>
  <si>
    <t xml:space="preserve">BETA</t>
  </si>
  <si>
    <t xml:space="preserve">FPE</t>
  </si>
  <si>
    <t xml:space="preserve">P/FCF</t>
  </si>
  <si>
    <t xml:space="preserve">P/E</t>
  </si>
  <si>
    <t xml:space="preserve">EV/EBITDA</t>
  </si>
  <si>
    <t xml:space="preserve">NTM</t>
  </si>
  <si>
    <t xml:space="preserve">EV/FCF</t>
  </si>
  <si>
    <t xml:space="preserve">Inc Margin</t>
  </si>
  <si>
    <t xml:space="preserve">Cr. Spread</t>
  </si>
  <si>
    <t xml:space="preserve">Rating</t>
  </si>
  <si>
    <t xml:space="preserve">AA</t>
  </si>
  <si>
    <t xml:space="preserve">Aa2</t>
  </si>
  <si>
    <t xml:space="preserve">S&amp;P</t>
  </si>
  <si>
    <t xml:space="preserve">Moody’s</t>
  </si>
  <si>
    <t xml:space="preserve">Manufacture products</t>
  </si>
  <si>
    <t xml:space="preserve">Kindle</t>
  </si>
  <si>
    <t xml:space="preserve">Fire Tablet</t>
  </si>
  <si>
    <t xml:space="preserve">Fire TV</t>
  </si>
  <si>
    <t xml:space="preserve">Echo</t>
  </si>
  <si>
    <t xml:space="preserve">Ring</t>
  </si>
  <si>
    <t xml:space="preserve">Blink</t>
  </si>
  <si>
    <t xml:space="preserve">Eero</t>
  </si>
  <si>
    <t xml:space="preserve">Amazon Leo (Satellite)</t>
  </si>
  <si>
    <t xml:space="preserve">AMZN to acquire GSAT to aff direct to devide (D2D) services.</t>
  </si>
  <si>
    <t xml:space="preserve">Partnership with AAPL to use satellites to iPhone and Apple Watches SOS call</t>
  </si>
  <si>
    <t xml:space="preserve">Services</t>
  </si>
  <si>
    <t xml:space="preserve">AWS (Amazon Web Service)</t>
  </si>
  <si>
    <r>
      <rPr>
        <b val="true"/>
        <sz val="10"/>
        <rFont val="Arial"/>
        <family val="2"/>
        <charset val="1"/>
      </rPr>
      <t xml:space="preserve">Lambda</t>
    </r>
    <r>
      <rPr>
        <sz val="10"/>
        <rFont val="Arial"/>
        <family val="2"/>
        <charset val="1"/>
      </rPr>
      <t xml:space="preserve"> (data centers)</t>
    </r>
  </si>
  <si>
    <r>
      <rPr>
        <b val="true"/>
        <i val="true"/>
        <sz val="10"/>
        <rFont val="Arial"/>
        <family val="2"/>
        <charset val="1"/>
      </rPr>
      <t xml:space="preserve">Annapurna Labs</t>
    </r>
    <r>
      <rPr>
        <sz val="10"/>
        <rFont val="Arial"/>
        <family val="2"/>
        <charset val="1"/>
      </rPr>
      <t xml:space="preserve"> (acquired in 2015), it is AWS’ in house silicon-design organization</t>
    </r>
  </si>
  <si>
    <r>
      <rPr>
        <sz val="10"/>
        <rFont val="Arial"/>
        <family val="2"/>
        <charset val="1"/>
      </rPr>
      <t xml:space="preserve">responsible for the design of Trainium, Inferentia, </t>
    </r>
    <r>
      <rPr>
        <b val="true"/>
        <i val="true"/>
        <sz val="10"/>
        <rFont val="Arial"/>
        <family val="2"/>
        <charset val="1"/>
      </rPr>
      <t xml:space="preserve">Nitro</t>
    </r>
    <r>
      <rPr>
        <sz val="10"/>
        <rFont val="Arial"/>
        <family val="2"/>
        <charset val="1"/>
      </rPr>
      <t xml:space="preserve"> (EC2 virtualisation/security infrastructure), </t>
    </r>
    <r>
      <rPr>
        <b val="true"/>
        <i val="true"/>
        <sz val="10"/>
        <rFont val="Arial"/>
        <family val="2"/>
        <charset val="1"/>
      </rPr>
      <t xml:space="preserve">Graviton</t>
    </r>
    <r>
      <rPr>
        <sz val="10"/>
        <rFont val="Arial"/>
        <family val="2"/>
        <charset val="1"/>
      </rPr>
      <t xml:space="preserve"> (general CPU)</t>
    </r>
  </si>
  <si>
    <t xml:space="preserve">This allows AWS to vertically integrate Chip Design / Networking Design / Build Data Centers / Offer EC2 / Offer SageMaker/Bedrock / Sell AI compute</t>
  </si>
  <si>
    <r>
      <rPr>
        <i val="true"/>
        <sz val="10"/>
        <rFont val="Arial"/>
        <family val="2"/>
        <charset val="1"/>
      </rPr>
      <t xml:space="preserve">Annapurna</t>
    </r>
    <r>
      <rPr>
        <sz val="10"/>
        <rFont val="Arial"/>
        <family val="2"/>
        <charset val="1"/>
      </rPr>
      <t xml:space="preserve"> projects the AI accelletarors together with </t>
    </r>
    <r>
      <rPr>
        <i val="true"/>
        <sz val="10"/>
        <rFont val="Arial"/>
        <family val="2"/>
        <charset val="1"/>
      </rPr>
      <t xml:space="preserve">Marvell</t>
    </r>
  </si>
  <si>
    <r>
      <rPr>
        <i val="true"/>
        <sz val="10"/>
        <rFont val="Arial"/>
        <family val="2"/>
        <charset val="1"/>
      </rPr>
      <t xml:space="preserve">TSMC</t>
    </r>
    <r>
      <rPr>
        <sz val="10"/>
        <rFont val="Arial"/>
        <family val="2"/>
        <charset val="1"/>
      </rPr>
      <t xml:space="preserve"> is later in charge of materially manifactures the chips</t>
    </r>
  </si>
  <si>
    <r>
      <rPr>
        <i val="true"/>
        <sz val="10"/>
        <rFont val="Arial"/>
        <family val="2"/>
        <charset val="1"/>
      </rPr>
      <t xml:space="preserve">Marvell</t>
    </r>
    <r>
      <rPr>
        <sz val="10"/>
        <rFont val="Arial"/>
        <family val="2"/>
        <charset val="1"/>
      </rPr>
      <t xml:space="preserve"> is in charge of the packaging, silicon engineering, connectivity, interfaces, …</t>
    </r>
  </si>
  <si>
    <r>
      <rPr>
        <b val="true"/>
        <i val="true"/>
        <sz val="10"/>
        <rFont val="Arial"/>
        <family val="2"/>
        <charset val="1"/>
      </rPr>
      <t xml:space="preserve">EC2</t>
    </r>
    <r>
      <rPr>
        <sz val="10"/>
        <rFont val="Arial"/>
        <family val="2"/>
        <charset val="1"/>
      </rPr>
      <t xml:space="preserve"> (Elastic Compute Cloud – Virtual servers)</t>
    </r>
  </si>
  <si>
    <t xml:space="preserve">This service allows firms to rent compute, choosing RAM, CPU, storage, …</t>
  </si>
  <si>
    <r>
      <rPr>
        <b val="true"/>
        <i val="true"/>
        <sz val="10"/>
        <rFont val="Arial"/>
        <family val="2"/>
        <charset val="1"/>
      </rPr>
      <t xml:space="preserve">EBS</t>
    </r>
    <r>
      <rPr>
        <sz val="10"/>
        <rFont val="Arial"/>
        <family val="2"/>
        <charset val="1"/>
      </rPr>
      <t xml:space="preserve">, is the persistent memory that survives the virtual machine.</t>
    </r>
  </si>
  <si>
    <r>
      <rPr>
        <b val="true"/>
        <i val="true"/>
        <sz val="10"/>
        <rFont val="Arial"/>
        <family val="2"/>
        <charset val="1"/>
      </rPr>
      <t xml:space="preserve">S3</t>
    </r>
    <r>
      <rPr>
        <sz val="10"/>
        <rFont val="Arial"/>
        <family val="2"/>
        <charset val="1"/>
      </rPr>
      <t xml:space="preserve"> (Simple Storage Service – Storage)</t>
    </r>
  </si>
  <si>
    <t xml:space="preserve">Storage that is lent to companies (like google drive but for software to upload files at enormous dimension)</t>
  </si>
  <si>
    <t xml:space="preserve">RDS/Aurora (Relational Database Service - databases)</t>
  </si>
  <si>
    <r>
      <rPr>
        <b val="true"/>
        <i val="true"/>
        <sz val="10"/>
        <rFont val="Arial"/>
        <family val="2"/>
        <charset val="1"/>
      </rPr>
      <t xml:space="preserve">RDS</t>
    </r>
    <r>
      <rPr>
        <sz val="10"/>
        <rFont val="Arial"/>
        <family val="2"/>
        <charset val="1"/>
      </rPr>
      <t xml:space="preserve">, stores tables that have all one element (column) in common → the elements are related by one element</t>
    </r>
  </si>
  <si>
    <r>
      <rPr>
        <b val="true"/>
        <i val="true"/>
        <sz val="10"/>
        <rFont val="Arial"/>
        <family val="2"/>
        <charset val="1"/>
      </rPr>
      <t xml:space="preserve">Amazon Aurora</t>
    </r>
    <r>
      <rPr>
        <sz val="10"/>
        <rFont val="Arial"/>
        <family val="2"/>
        <charset val="1"/>
      </rPr>
      <t xml:space="preserve">, this is Amazon’s own database engine (compatible with MySQL and PostgreSQL). </t>
    </r>
  </si>
  <si>
    <r>
      <rPr>
        <b val="true"/>
        <sz val="10"/>
        <rFont val="Arial"/>
        <family val="2"/>
        <charset val="1"/>
      </rPr>
      <t xml:space="preserve">Bedrock</t>
    </r>
    <r>
      <rPr>
        <sz val="10"/>
        <rFont val="Arial"/>
        <family val="2"/>
        <charset val="1"/>
      </rPr>
      <t xml:space="preserve"> (GenAI)</t>
    </r>
  </si>
  <si>
    <t xml:space="preserve">Software used by customers to use LLMs, add RAG (own data), fine tune, customise models, create agents, …</t>
  </si>
  <si>
    <t xml:space="preserve">-&gt; </t>
  </si>
  <si>
    <r>
      <rPr>
        <b val="true"/>
        <i val="true"/>
        <sz val="10"/>
        <rFont val="Arial"/>
        <family val="2"/>
        <charset val="1"/>
      </rPr>
      <t xml:space="preserve">Trainium</t>
    </r>
    <r>
      <rPr>
        <sz val="10"/>
        <rFont val="Arial"/>
        <family val="2"/>
        <charset val="1"/>
      </rPr>
      <t xml:space="preserve"> (training accelerator), use the </t>
    </r>
    <r>
      <rPr>
        <i val="true"/>
        <sz val="10"/>
        <rFont val="Arial"/>
        <family val="2"/>
        <charset val="1"/>
      </rPr>
      <t xml:space="preserve">Neutron ecosystem</t>
    </r>
    <r>
      <rPr>
        <sz val="10"/>
        <rFont val="Arial"/>
        <family val="2"/>
        <charset val="1"/>
      </rPr>
      <t xml:space="preserve"> for ML applications</t>
    </r>
  </si>
  <si>
    <r>
      <rPr>
        <b val="true"/>
        <i val="true"/>
        <sz val="10"/>
        <rFont val="Arial"/>
        <family val="2"/>
        <charset val="1"/>
      </rPr>
      <t xml:space="preserve">Inferentia</t>
    </r>
    <r>
      <rPr>
        <sz val="10"/>
        <rFont val="Arial"/>
        <family val="2"/>
        <charset val="1"/>
      </rPr>
      <t xml:space="preserve"> (Inference accellerator), now Inf2 (second generation) with throughtput 4x inf1, </t>
    </r>
  </si>
  <si>
    <r>
      <rPr>
        <b val="true"/>
        <i val="true"/>
        <sz val="10"/>
        <rFont val="Arial"/>
        <family val="2"/>
        <charset val="1"/>
      </rPr>
      <t xml:space="preserve">Project Rainier</t>
    </r>
    <r>
      <rPr>
        <sz val="10"/>
        <rFont val="Arial"/>
        <family val="2"/>
        <charset val="1"/>
      </rPr>
      <t xml:space="preserve">, AI computing cluster (EC2 ultra cluster) with circa 500,000 Trn2 to expand Anthropic’s training workspace</t>
    </r>
  </si>
  <si>
    <r>
      <rPr>
        <b val="true"/>
        <i val="true"/>
        <sz val="10"/>
        <rFont val="Arial"/>
        <family val="2"/>
        <charset val="1"/>
      </rPr>
      <t xml:space="preserve">Amazon Nova</t>
    </r>
    <r>
      <rPr>
        <sz val="10"/>
        <rFont val="Arial"/>
        <family val="2"/>
        <charset val="1"/>
      </rPr>
      <t xml:space="preserve">, Amazon own AI model</t>
    </r>
  </si>
  <si>
    <t xml:space="preserve">Amazon Nova forge, platform where amazon allows clients to access Nova’s training checkpoints to develop their own LLMs</t>
  </si>
  <si>
    <r>
      <rPr>
        <b val="true"/>
        <i val="true"/>
        <sz val="10"/>
        <rFont val="Arial"/>
        <family val="2"/>
        <charset val="1"/>
      </rPr>
      <t xml:space="preserve">Amazon Bio Discovery</t>
    </r>
    <r>
      <rPr>
        <i val="true"/>
        <sz val="10"/>
        <rFont val="Arial"/>
        <family val="2"/>
        <charset val="1"/>
      </rPr>
      <t xml:space="preserve"> (AI), </t>
    </r>
    <r>
      <rPr>
        <sz val="10"/>
        <rFont val="Arial"/>
        <family val="2"/>
        <charset val="1"/>
      </rPr>
      <t xml:space="preserve">Platform to design and test antibodies</t>
    </r>
  </si>
  <si>
    <t xml:space="preserve">Give the system a target → the model proposes an antibody → the model ranks the candidates →</t>
  </si>
  <si>
    <t xml:space="preserve">→ the labs manufactures and test them → the experiments are run on Bio Discovery → the model uses the results to loop the research</t>
  </si>
  <si>
    <r>
      <rPr>
        <b val="true"/>
        <i val="true"/>
        <sz val="10"/>
        <rFont val="Arial"/>
        <family val="2"/>
        <charset val="1"/>
      </rPr>
      <t xml:space="preserve">DynamoDB</t>
    </r>
    <r>
      <rPr>
        <sz val="10"/>
        <rFont val="Arial"/>
        <family val="2"/>
        <charset val="1"/>
      </rPr>
      <t xml:space="preserve"> (database)</t>
    </r>
  </si>
  <si>
    <r>
      <rPr>
        <b val="true"/>
        <i val="true"/>
        <sz val="10"/>
        <rFont val="Arial"/>
        <family val="2"/>
        <charset val="1"/>
      </rPr>
      <t xml:space="preserve">SageMaker</t>
    </r>
    <r>
      <rPr>
        <sz val="10"/>
        <rFont val="Arial"/>
        <family val="2"/>
        <charset val="1"/>
      </rPr>
      <t xml:space="preserve"> (building, training and deploying LLMs)</t>
    </r>
  </si>
  <si>
    <r>
      <rPr>
        <b val="true"/>
        <i val="true"/>
        <sz val="10"/>
        <rFont val="Arial"/>
        <family val="2"/>
        <charset val="1"/>
      </rPr>
      <t xml:space="preserve">Amazon Transform</t>
    </r>
    <r>
      <rPr>
        <sz val="10"/>
        <rFont val="Arial"/>
        <family val="2"/>
        <charset val="1"/>
      </rPr>
      <t xml:space="preserve">, AWS’ migration and modernisation service. It modernises the IT of firms and automates certain tasks</t>
    </r>
  </si>
  <si>
    <t xml:space="preserve">Ofc leads everything to AWS’ services</t>
  </si>
  <si>
    <t xml:space="preserve">Develope and produce Media content (Amazon Prime)</t>
  </si>
  <si>
    <t xml:space="preserve">Twitch</t>
  </si>
  <si>
    <t xml:space="preserve">Advertisement</t>
  </si>
  <si>
    <t xml:space="preserve">Sellers parnetship (they earn a per-unit fee)</t>
  </si>
  <si>
    <t xml:space="preserve">COGS</t>
  </si>
  <si>
    <t xml:space="preserve">purchase of consumer products,shipping costs,digital media</t>
  </si>
  <si>
    <t xml:space="preserve">Technology Infrastructure</t>
  </si>
  <si>
    <t xml:space="preserve">AWS costs / R&amp;D</t>
  </si>
  <si>
    <t xml:space="preserve">Fulfillment</t>
  </si>
  <si>
    <t xml:space="preserve">Cost of operating the delivery that processes the order (payment costs, packing costs, storing,…)</t>
  </si>
  <si>
    <t xml:space="preserve">Seasonality on Q4 due to holidays (Christmas)</t>
  </si>
  <si>
    <t xml:space="preserve">Revenues</t>
  </si>
  <si>
    <t xml:space="preserve">Retail Sales</t>
  </si>
  <si>
    <t xml:space="preserve">sales to direct consumers</t>
  </si>
  <si>
    <t xml:space="preserve">Third Party services</t>
  </si>
  <si>
    <t xml:space="preserve">People using amazon parcel and amazon’s warehouses</t>
  </si>
  <si>
    <t xml:space="preserve">Subscriptions</t>
  </si>
  <si>
    <t xml:space="preserve">AWS </t>
  </si>
  <si>
    <t xml:space="preserve">Lease storage, computing, databases</t>
  </si>
  <si>
    <t xml:space="preserve">Other</t>
  </si>
  <si>
    <t xml:space="preserve">healthcare services, credit card agreements, …</t>
  </si>
  <si>
    <t xml:space="preserve">Main</t>
  </si>
  <si>
    <t xml:space="preserve">03/22</t>
  </si>
  <si>
    <t xml:space="preserve">06/22</t>
  </si>
  <si>
    <t xml:space="preserve">09/22</t>
  </si>
  <si>
    <t xml:space="preserve">12/22</t>
  </si>
  <si>
    <t xml:space="preserve">03/23</t>
  </si>
  <si>
    <t xml:space="preserve">06/23</t>
  </si>
  <si>
    <t xml:space="preserve">09/23</t>
  </si>
  <si>
    <t xml:space="preserve">12/23</t>
  </si>
  <si>
    <t xml:space="preserve">03/24</t>
  </si>
  <si>
    <t xml:space="preserve">06/24</t>
  </si>
  <si>
    <t xml:space="preserve">09/24</t>
  </si>
  <si>
    <t xml:space="preserve">12/24</t>
  </si>
  <si>
    <t xml:space="preserve">03/25</t>
  </si>
  <si>
    <t xml:space="preserve">06/25</t>
  </si>
  <si>
    <t xml:space="preserve">09/25</t>
  </si>
  <si>
    <t xml:space="preserve">12/25</t>
  </si>
  <si>
    <t xml:space="preserve">03/26</t>
  </si>
  <si>
    <t xml:space="preserve">06/26</t>
  </si>
  <si>
    <t xml:space="preserve">09/26</t>
  </si>
  <si>
    <t xml:space="preserve">12/26</t>
  </si>
  <si>
    <t xml:space="preserve">12/19</t>
  </si>
  <si>
    <t xml:space="preserve">12/20</t>
  </si>
  <si>
    <t xml:space="preserve">12/21</t>
  </si>
  <si>
    <t xml:space="preserve">12/27</t>
  </si>
  <si>
    <t xml:space="preserve">12/28</t>
  </si>
  <si>
    <t xml:space="preserve">12/29</t>
  </si>
  <si>
    <t xml:space="preserve">12/30</t>
  </si>
  <si>
    <t xml:space="preserve">in Millions</t>
  </si>
  <si>
    <t xml:space="preserve">Q122</t>
  </si>
  <si>
    <t xml:space="preserve">Q222</t>
  </si>
  <si>
    <t xml:space="preserve">Q322</t>
  </si>
  <si>
    <t xml:space="preserve">Q422</t>
  </si>
  <si>
    <t xml:space="preserve">Q123</t>
  </si>
  <si>
    <t xml:space="preserve">Q223</t>
  </si>
  <si>
    <t xml:space="preserve">Q323</t>
  </si>
  <si>
    <t xml:space="preserve">Q423</t>
  </si>
  <si>
    <t xml:space="preserve">Q124</t>
  </si>
  <si>
    <t xml:space="preserve">Q224</t>
  </si>
  <si>
    <t xml:space="preserve">Q324</t>
  </si>
  <si>
    <t xml:space="preserve">Q424</t>
  </si>
  <si>
    <t xml:space="preserve">Q125</t>
  </si>
  <si>
    <t xml:space="preserve">Q225</t>
  </si>
  <si>
    <t xml:space="preserve">Q325</t>
  </si>
  <si>
    <t xml:space="preserve">Q425</t>
  </si>
  <si>
    <t xml:space="preserve">Q126</t>
  </si>
  <si>
    <t xml:space="preserve">Q326</t>
  </si>
  <si>
    <t xml:space="preserve">Q426</t>
  </si>
  <si>
    <t xml:space="preserve">Microsoft Azure</t>
  </si>
  <si>
    <t xml:space="preserve">Google Cloud</t>
  </si>
  <si>
    <t xml:space="preserve">AWS</t>
  </si>
  <si>
    <t xml:space="preserve">Y/Y</t>
  </si>
  <si>
    <t xml:space="preserve">Product Sales</t>
  </si>
  <si>
    <t xml:space="preserve">Service Sales</t>
  </si>
  <si>
    <t xml:space="preserve">Revenue</t>
  </si>
  <si>
    <t xml:space="preserve">Gross Margin</t>
  </si>
  <si>
    <t xml:space="preserve">R&amp;D</t>
  </si>
  <si>
    <t xml:space="preserve">S&amp;M</t>
  </si>
  <si>
    <t xml:space="preserve">G&amp;A</t>
  </si>
  <si>
    <t xml:space="preserve">Other expense</t>
  </si>
  <si>
    <t xml:space="preserve">Op Ex.</t>
  </si>
  <si>
    <t xml:space="preserve">EBIT</t>
  </si>
  <si>
    <t xml:space="preserve">Interest Income</t>
  </si>
  <si>
    <t xml:space="preserve">Interest Expense</t>
  </si>
  <si>
    <t xml:space="preserve">Other Income</t>
  </si>
  <si>
    <t xml:space="preserve">EBT</t>
  </si>
  <si>
    <t xml:space="preserve">Taxes</t>
  </si>
  <si>
    <t xml:space="preserve">Equity-method investment</t>
  </si>
  <si>
    <t xml:space="preserve">Net Income</t>
  </si>
  <si>
    <t xml:space="preserve">EPS</t>
  </si>
  <si>
    <t xml:space="preserve">Shares</t>
  </si>
  <si>
    <t xml:space="preserve">Gordon Growth Model</t>
  </si>
  <si>
    <t xml:space="preserve">Terminal</t>
  </si>
  <si>
    <t xml:space="preserve">Payout rate</t>
  </si>
  <si>
    <t xml:space="preserve">Op Margin</t>
  </si>
  <si>
    <t xml:space="preserve">Discount</t>
  </si>
  <si>
    <t xml:space="preserve">Sustainable growth</t>
  </si>
  <si>
    <t xml:space="preserve">NI Margin</t>
  </si>
  <si>
    <t xml:space="preserve">ROIC</t>
  </si>
  <si>
    <t xml:space="preserve">Equity Value</t>
  </si>
  <si>
    <t xml:space="preserve">Tax Rate</t>
  </si>
  <si>
    <t xml:space="preserve">NPV</t>
  </si>
  <si>
    <t xml:space="preserve">Just. P/E</t>
  </si>
  <si>
    <t xml:space="preserve">ROA</t>
  </si>
  <si>
    <t xml:space="preserve">Diff</t>
  </si>
  <si>
    <t xml:space="preserve">Dividend Yield</t>
  </si>
  <si>
    <t xml:space="preserve">ROE</t>
  </si>
  <si>
    <t xml:space="preserve">Debt-to-EBITDA</t>
  </si>
  <si>
    <t xml:space="preserve">A. Turnover</t>
  </si>
  <si>
    <t xml:space="preserve">Financial Leverage</t>
  </si>
  <si>
    <t xml:space="preserve">Financial Leverage %</t>
  </si>
  <si>
    <t xml:space="preserve">NWC</t>
  </si>
  <si>
    <t xml:space="preserve">Debt (-)</t>
  </si>
  <si>
    <t xml:space="preserve">NOPAT</t>
  </si>
  <si>
    <t xml:space="preserve">Cash (+)</t>
  </si>
  <si>
    <t xml:space="preserve">UFCF</t>
  </si>
  <si>
    <t xml:space="preserve">TV</t>
  </si>
  <si>
    <t xml:space="preserve">Intventory to Sales</t>
  </si>
  <si>
    <t xml:space="preserve">EBITDA</t>
  </si>
  <si>
    <t xml:space="preserve">Net Cash</t>
  </si>
  <si>
    <t xml:space="preserve">Mrk. Securities</t>
  </si>
  <si>
    <t xml:space="preserve">Inventories</t>
  </si>
  <si>
    <t xml:space="preserve">A/R</t>
  </si>
  <si>
    <t xml:space="preserve">A/R + V/R</t>
  </si>
  <si>
    <t xml:space="preserve">Other </t>
  </si>
  <si>
    <t xml:space="preserve">PP&amp;E</t>
  </si>
  <si>
    <t xml:space="preserve">Op Lease</t>
  </si>
  <si>
    <t xml:space="preserve">Good will</t>
  </si>
  <si>
    <t xml:space="preserve">Other Assets</t>
  </si>
  <si>
    <t xml:space="preserve">A</t>
  </si>
  <si>
    <t xml:space="preserve">A/P</t>
  </si>
  <si>
    <t xml:space="preserve">Accr. Expense</t>
  </si>
  <si>
    <t xml:space="preserve">Unr. Revenue</t>
  </si>
  <si>
    <t xml:space="preserve">Lease Liab</t>
  </si>
  <si>
    <t xml:space="preserve">Other Liab</t>
  </si>
  <si>
    <t xml:space="preserve">L</t>
  </si>
  <si>
    <t xml:space="preserve">Preferred Stock</t>
  </si>
  <si>
    <t xml:space="preserve">Stock</t>
  </si>
  <si>
    <t xml:space="preserve">Treasury Stock</t>
  </si>
  <si>
    <t xml:space="preserve">APIC</t>
  </si>
  <si>
    <t xml:space="preserve">Acc. Income</t>
  </si>
  <si>
    <t xml:space="preserve">Retained Earn.</t>
  </si>
  <si>
    <t xml:space="preserve">SE</t>
  </si>
  <si>
    <t xml:space="preserve">L+SE</t>
  </si>
  <si>
    <t xml:space="preserve">Model NI</t>
  </si>
  <si>
    <t xml:space="preserve">D&amp;A</t>
  </si>
  <si>
    <t xml:space="preserve">SBC</t>
  </si>
  <si>
    <t xml:space="preserve">Non-op Expe</t>
  </si>
  <si>
    <t xml:space="preserve">D/T</t>
  </si>
  <si>
    <t xml:space="preserve">CFFO</t>
  </si>
  <si>
    <t xml:space="preserve">Cap Ex.</t>
  </si>
  <si>
    <t xml:space="preserve">FCF</t>
  </si>
  <si>
    <t xml:space="preserve">DSO</t>
  </si>
  <si>
    <t xml:space="preserve">DIO</t>
  </si>
  <si>
    <t xml:space="preserve">DPO</t>
  </si>
  <si>
    <t xml:space="preserve">CCC</t>
  </si>
  <si>
    <t xml:space="preserve">Accruals</t>
  </si>
  <si>
    <t xml:space="preserve">Accrual Ratio</t>
  </si>
  <si>
    <t xml:space="preserve">Employees</t>
  </si>
  <si>
    <t xml:space="preserve">Revenue / Employees</t>
  </si>
  <si>
    <t xml:space="preserve">Share Issuance</t>
  </si>
  <si>
    <t xml:space="preserve">Share Repurchase</t>
  </si>
  <si>
    <t xml:space="preserve">Dividends</t>
  </si>
  <si>
    <t xml:space="preserve">isin</t>
  </si>
  <si>
    <t xml:space="preserve">bondType</t>
  </si>
  <si>
    <t xml:space="preserve">immediateIssuer</t>
  </si>
  <si>
    <t xml:space="preserve">coupon</t>
  </si>
  <si>
    <t xml:space="preserve">couponType</t>
  </si>
  <si>
    <t xml:space="preserve">maturityDate</t>
  </si>
  <si>
    <t xml:space="preserve">callable</t>
  </si>
  <si>
    <t xml:space="preserve">currency</t>
  </si>
  <si>
    <t xml:space="preserve">seniorityLevel</t>
  </si>
  <si>
    <t xml:space="preserve">liquidityScore</t>
  </si>
  <si>
    <t xml:space="preserve">US023135BX34</t>
  </si>
  <si>
    <t xml:space="preserve">—</t>
  </si>
  <si>
    <t xml:space="preserve">Amazon.com, Inc.</t>
  </si>
  <si>
    <t xml:space="preserve">Fixed Listing</t>
  </si>
  <si>
    <t xml:space="preserve">12/05/2026</t>
  </si>
  <si>
    <t xml:space="preserve">Y</t>
  </si>
  <si>
    <t xml:space="preserve">USD</t>
  </si>
  <si>
    <t xml:space="preserve">Senior</t>
  </si>
  <si>
    <t xml:space="preserve">Axio is a firm that Amazon acquired in 2024</t>
  </si>
  <si>
    <t xml:space="preserve">INE491W08251</t>
  </si>
  <si>
    <t xml:space="preserve">Axio</t>
  </si>
  <si>
    <t xml:space="preserve">12/06/2026</t>
  </si>
  <si>
    <t xml:space="preserve">N</t>
  </si>
  <si>
    <t xml:space="preserve">INR</t>
  </si>
  <si>
    <t xml:space="preserve">INE1FMW07013</t>
  </si>
  <si>
    <t xml:space="preserve">Axio Digital Private Limited</t>
  </si>
  <si>
    <t xml:space="preserve">24/07/2026</t>
  </si>
  <si>
    <t xml:space="preserve">INE491W08426</t>
  </si>
  <si>
    <t xml:space="preserve">31/08/2026</t>
  </si>
  <si>
    <t xml:space="preserve">INE1FMW07070</t>
  </si>
  <si>
    <t xml:space="preserve">07/09/2026</t>
  </si>
  <si>
    <t xml:space="preserve">INE491W07535</t>
  </si>
  <si>
    <t xml:space="preserve">28/09/2026</t>
  </si>
  <si>
    <t xml:space="preserve">INE1FMW07088</t>
  </si>
  <si>
    <t xml:space="preserve">09/11/2026</t>
  </si>
  <si>
    <t xml:space="preserve">INE1FMW07104</t>
  </si>
  <si>
    <t xml:space="preserve">13/12/2026</t>
  </si>
  <si>
    <t xml:space="preserve">US023135CF19</t>
  </si>
  <si>
    <t xml:space="preserve">13/04/2027</t>
  </si>
  <si>
    <t xml:space="preserve">US023135BR65</t>
  </si>
  <si>
    <t xml:space="preserve">03/06/2027</t>
  </si>
  <si>
    <t xml:space="preserve">US023135BC96</t>
  </si>
  <si>
    <t xml:space="preserve">22/08/2027</t>
  </si>
  <si>
    <t xml:space="preserve">US023135CP90</t>
  </si>
  <si>
    <t xml:space="preserve">01/12/2027</t>
  </si>
  <si>
    <t xml:space="preserve">INE491W08277</t>
  </si>
  <si>
    <t xml:space="preserve">04/01/2028</t>
  </si>
  <si>
    <t xml:space="preserve">INE491W08400</t>
  </si>
  <si>
    <t xml:space="preserve">15/01/2028</t>
  </si>
  <si>
    <t xml:space="preserve">US023135CZ72</t>
  </si>
  <si>
    <t xml:space="preserve">Floating Rate</t>
  </si>
  <si>
    <t xml:space="preserve">13/03/2028</t>
  </si>
  <si>
    <t xml:space="preserve">US023135DB95</t>
  </si>
  <si>
    <t xml:space="preserve">XS3305167390</t>
  </si>
  <si>
    <t xml:space="preserve">16/03/2028</t>
  </si>
  <si>
    <t xml:space="preserve">EUR</t>
  </si>
  <si>
    <t xml:space="preserve">XS3317524950</t>
  </si>
  <si>
    <t xml:space="preserve">US023135BY17</t>
  </si>
  <si>
    <t xml:space="preserve">12/05/2028</t>
  </si>
  <si>
    <t xml:space="preserve">US023135CS30</t>
  </si>
  <si>
    <t xml:space="preserve">20/11/2028</t>
  </si>
  <si>
    <t xml:space="preserve">US023135DA13</t>
  </si>
  <si>
    <t xml:space="preserve">13/03/2029</t>
  </si>
  <si>
    <t xml:space="preserve">US023135DC78</t>
  </si>
  <si>
    <t xml:space="preserve">US023135CG91</t>
  </si>
  <si>
    <t xml:space="preserve">13/04/2029</t>
  </si>
  <si>
    <t xml:space="preserve">US023135CQ73</t>
  </si>
  <si>
    <t xml:space="preserve">01/12/2029</t>
  </si>
  <si>
    <t xml:space="preserve">XS3305168794</t>
  </si>
  <si>
    <t xml:space="preserve">16/03/2030</t>
  </si>
  <si>
    <t xml:space="preserve">US023135BS49</t>
  </si>
  <si>
    <t xml:space="preserve">03/06/2030</t>
  </si>
  <si>
    <t xml:space="preserve">US023135CT13</t>
  </si>
  <si>
    <t xml:space="preserve">20/11/2030</t>
  </si>
  <si>
    <t xml:space="preserve">US023135DD51</t>
  </si>
  <si>
    <t xml:space="preserve">13/03/2031</t>
  </si>
  <si>
    <t xml:space="preserve">INE491W08210</t>
  </si>
  <si>
    <t xml:space="preserve">Tier 2</t>
  </si>
  <si>
    <t xml:space="preserve">06/05/2031</t>
  </si>
  <si>
    <t xml:space="preserve">Subordinate</t>
  </si>
  <si>
    <t xml:space="preserve">US023135BZ81</t>
  </si>
  <si>
    <t xml:space="preserve">12/05/2031</t>
  </si>
  <si>
    <t xml:space="preserve">XS3305169172</t>
  </si>
  <si>
    <t xml:space="preserve">16/03/2032</t>
  </si>
  <si>
    <t xml:space="preserve">US023135CH74</t>
  </si>
  <si>
    <t xml:space="preserve">13/04/2032</t>
  </si>
  <si>
    <t xml:space="preserve">US023135CR56</t>
  </si>
  <si>
    <t xml:space="preserve">01/12/2032</t>
  </si>
  <si>
    <t xml:space="preserve">US023135DE35</t>
  </si>
  <si>
    <t xml:space="preserve">13/03/2033</t>
  </si>
  <si>
    <t xml:space="preserve">US023135CU85</t>
  </si>
  <si>
    <t xml:space="preserve">20/03/2033</t>
  </si>
  <si>
    <t xml:space="preserve">US96808BAB36</t>
  </si>
  <si>
    <t xml:space="preserve">Wild Oats Markets, Inc.</t>
  </si>
  <si>
    <t xml:space="preserve">Step-Up/Down</t>
  </si>
  <si>
    <t xml:space="preserve">15/05/2034</t>
  </si>
  <si>
    <t xml:space="preserve">US023135AP19</t>
  </si>
  <si>
    <t xml:space="preserve">05/12/2034</t>
  </si>
  <si>
    <t xml:space="preserve">XS3305169503</t>
  </si>
  <si>
    <t xml:space="preserve">16/03/2035</t>
  </si>
  <si>
    <t xml:space="preserve">US023135CV68</t>
  </si>
  <si>
    <t xml:space="preserve">20/11/2035</t>
  </si>
  <si>
    <t xml:space="preserve">US023135DF00</t>
  </si>
  <si>
    <t xml:space="preserve">13/03/2036</t>
  </si>
  <si>
    <t xml:space="preserve">US023135BF28</t>
  </si>
  <si>
    <t xml:space="preserve">22/08/2037</t>
  </si>
  <si>
    <t xml:space="preserve">XS3305169768</t>
  </si>
  <si>
    <t xml:space="preserve">16/03/2039</t>
  </si>
  <si>
    <t xml:space="preserve">US023135CA22</t>
  </si>
  <si>
    <t xml:space="preserve">12/05/2041</t>
  </si>
  <si>
    <t xml:space="preserve">US023135AQ91</t>
  </si>
  <si>
    <t xml:space="preserve">05/12/2044</t>
  </si>
  <si>
    <t xml:space="preserve">XS3305169925</t>
  </si>
  <si>
    <t xml:space="preserve">16/03/2045</t>
  </si>
  <si>
    <t xml:space="preserve">US023135DG82</t>
  </si>
  <si>
    <t xml:space="preserve">13/03/2046</t>
  </si>
  <si>
    <t xml:space="preserve">US023135BJ40</t>
  </si>
  <si>
    <t xml:space="preserve">22/08/2047</t>
  </si>
  <si>
    <t xml:space="preserve">US023135BT22</t>
  </si>
  <si>
    <t xml:space="preserve">03/06/2050</t>
  </si>
  <si>
    <t xml:space="preserve">US023135CB05</t>
  </si>
  <si>
    <t xml:space="preserve">12/05/2051</t>
  </si>
  <si>
    <t xml:space="preserve">US023135CJ31</t>
  </si>
  <si>
    <t xml:space="preserve">13/04/2052</t>
  </si>
  <si>
    <t xml:space="preserve">US023135CW42</t>
  </si>
  <si>
    <t xml:space="preserve">20/11/2055</t>
  </si>
  <si>
    <t xml:space="preserve">US023135DH65</t>
  </si>
  <si>
    <t xml:space="preserve">13/03/2056</t>
  </si>
  <si>
    <t xml:space="preserve">US023135BM78</t>
  </si>
  <si>
    <t xml:space="preserve">22/08/2057</t>
  </si>
  <si>
    <t xml:space="preserve">US023135BU94</t>
  </si>
  <si>
    <t xml:space="preserve">03/06/2060</t>
  </si>
  <si>
    <t xml:space="preserve">US023135CC87</t>
  </si>
  <si>
    <t xml:space="preserve">12/05/2061</t>
  </si>
  <si>
    <t xml:space="preserve">US023135CK04</t>
  </si>
  <si>
    <t xml:space="preserve">13/04/2062</t>
  </si>
  <si>
    <t xml:space="preserve">XS3305170188</t>
  </si>
  <si>
    <t xml:space="preserve">16/03/2064</t>
  </si>
  <si>
    <t xml:space="preserve">US023135CY08</t>
  </si>
  <si>
    <t xml:space="preserve">20/11/2065</t>
  </si>
  <si>
    <t xml:space="preserve">US023135DJ22</t>
  </si>
  <si>
    <t xml:space="preserve">13/03/2066</t>
  </si>
  <si>
    <t xml:space="preserve">US023135DK94</t>
  </si>
  <si>
    <t xml:space="preserve">13/03/2076</t>
  </si>
  <si>
    <t xml:space="preserve">auditor</t>
  </si>
  <si>
    <t xml:space="preserve">E&amp;Y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</si>
</sst>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#,##0;\(#,##0\);\-"/>
    <numFmt numFmtId="167" formatCode="0.00%"/>
    <numFmt numFmtId="168" formatCode="#,##0.00"/>
    <numFmt numFmtId="169" formatCode="#,##0\x"/>
    <numFmt numFmtId="170" formatCode="#,##0.00&quot;bp&quot;"/>
    <numFmt numFmtId="171" formatCode="0.00%;\(0.00%\);\-"/>
    <numFmt numFmtId="172" formatCode="#,##0.00;\(#,##0.00\);\-"/>
    <numFmt numFmtId="173" formatCode="0.00%;\(0.00%\)"/>
    <numFmt numFmtId="174" formatCode="0%"/>
    <numFmt numFmtId="175" formatCode="#,##0.00;[RED]\-#,##0.00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0"/>
      <name val="Arial"/>
      <family val="2"/>
      <charset val="1"/>
    </font>
    <font>
      <b val="true"/>
      <i val="true"/>
      <sz val="13"/>
      <name val="Arial"/>
      <family val="2"/>
      <charset val="1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sz val="10"/>
      <name val="Arial"/>
      <family val="2"/>
    </font>
    <font>
      <sz val="10"/>
      <color rgb="FF0000FF"/>
      <name val="Arial"/>
      <family val="2"/>
      <charset val="1"/>
    </font>
    <font>
      <i val="true"/>
      <sz val="8"/>
      <color rgb="FF808080"/>
      <name val="Arial"/>
      <family val="2"/>
      <charset val="1"/>
    </font>
    <font>
      <b val="true"/>
      <i val="true"/>
      <sz val="8"/>
      <color rgb="FF808080"/>
      <name val="Arial"/>
      <family val="2"/>
      <charset val="1"/>
    </font>
    <font>
      <i val="true"/>
      <sz val="8"/>
      <name val="Arial"/>
      <family val="2"/>
      <charset val="1"/>
    </font>
    <font>
      <i val="true"/>
      <sz val="8"/>
      <color rgb="FF666666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b val="true"/>
      <sz val="11"/>
      <color rgb="FF4B4B4B"/>
      <name val="Arial"/>
      <family val="2"/>
      <charset val="1"/>
    </font>
    <font>
      <sz val="11"/>
      <color rgb="FF4B4B4B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EEEEEE"/>
        <bgColor rgb="FFF5F5F5"/>
      </patternFill>
    </fill>
    <fill>
      <patternFill patternType="solid">
        <fgColor rgb="FFCCCCCC"/>
        <bgColor rgb="FFDDDDDD"/>
      </patternFill>
    </fill>
    <fill>
      <patternFill patternType="solid">
        <fgColor rgb="FFDDDDDD"/>
        <bgColor rgb="FFE1E1E1"/>
      </patternFill>
    </fill>
    <fill>
      <patternFill patternType="solid">
        <fgColor rgb="FFE1E1E1"/>
        <bgColor rgb="FFDDDDDD"/>
      </patternFill>
    </fill>
    <fill>
      <patternFill patternType="solid">
        <fgColor rgb="FFF5F5F5"/>
        <bgColor rgb="FFEEEEEE"/>
      </patternFill>
    </fill>
    <fill>
      <patternFill patternType="solid">
        <fgColor rgb="FFFFFFFF"/>
        <bgColor rgb="FFF5F5F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6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6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5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5" fontId="16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16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5" fontId="16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1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EEEEE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E1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B4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externalLink" Target="externalLinks/externalLink1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59760</xdr:colOff>
      <xdr:row>1</xdr:row>
      <xdr:rowOff>30960</xdr:rowOff>
    </xdr:from>
    <xdr:to>
      <xdr:col>19</xdr:col>
      <xdr:colOff>62640</xdr:colOff>
      <xdr:row>136</xdr:row>
      <xdr:rowOff>68400</xdr:rowOff>
    </xdr:to>
    <xdr:sp>
      <xdr:nvSpPr>
        <xdr:cNvPr id="1" name="Vertical line 1"/>
        <xdr:cNvSpPr/>
      </xdr:nvSpPr>
      <xdr:spPr>
        <a:xfrm>
          <a:off x="16101720" y="193680"/>
          <a:ext cx="2880" cy="2119428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37</xdr:col>
      <xdr:colOff>102600</xdr:colOff>
      <xdr:row>1</xdr:row>
      <xdr:rowOff>360</xdr:rowOff>
    </xdr:from>
    <xdr:to>
      <xdr:col>37</xdr:col>
      <xdr:colOff>103320</xdr:colOff>
      <xdr:row>135</xdr:row>
      <xdr:rowOff>129960</xdr:rowOff>
    </xdr:to>
    <xdr:sp>
      <xdr:nvSpPr>
        <xdr:cNvPr id="2" name="Vertical line 2"/>
        <xdr:cNvSpPr/>
      </xdr:nvSpPr>
      <xdr:spPr>
        <a:xfrm>
          <a:off x="30774960" y="163080"/>
          <a:ext cx="720" cy="2112372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Bond%20Analysi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Zero-rate curve US"/>
      <sheetName val="Credit Spread US"/>
      <sheetName val="Zero-rate curve ECB"/>
      <sheetName val="Zero-rate curve Bo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AMZN.ods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AMZN.ods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AMZN.od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9"/>
  <sheetViews>
    <sheetView showFormulas="false" showGridLines="true" showRowColHeaders="true" showZeros="true" rightToLeft="false" tabSelected="false" showOutlineSymbols="true" defaultGridColor="true" view="normal" topLeftCell="A43" colorId="64" zoomScale="75" zoomScaleNormal="75" zoomScalePageLayoutView="100" workbookViewId="0">
      <selection pane="topLeft" activeCell="E42" activeCellId="0" sqref="E4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0.39"/>
    <col collapsed="false" customWidth="true" hidden="false" outlineLevel="0" max="2" min="2" style="1" width="17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2" t="s">
        <v>0</v>
      </c>
      <c r="D1" s="1" t="s">
        <v>1</v>
      </c>
      <c r="E1" s="3" t="n">
        <v>259</v>
      </c>
      <c r="F1" s="4"/>
      <c r="J1" s="4" t="s">
        <v>2</v>
      </c>
      <c r="K1" s="1" t="s">
        <v>3</v>
      </c>
    </row>
    <row r="2" customFormat="false" ht="12.8" hidden="false" customHeight="false" outlineLevel="0" collapsed="false">
      <c r="D2" s="1" t="s">
        <v>4</v>
      </c>
      <c r="E2" s="3" t="n">
        <v>10786.313572</v>
      </c>
      <c r="F2" s="4" t="s">
        <v>5</v>
      </c>
      <c r="K2" s="1" t="s">
        <v>6</v>
      </c>
    </row>
    <row r="3" customFormat="false" ht="12.8" hidden="false" customHeight="false" outlineLevel="0" collapsed="false">
      <c r="D3" s="1" t="s">
        <v>7</v>
      </c>
      <c r="E3" s="3" t="n">
        <f aca="false">+E2*E1</f>
        <v>2793655.215148</v>
      </c>
      <c r="F3" s="4"/>
    </row>
    <row r="4" customFormat="false" ht="12.8" hidden="false" customHeight="false" outlineLevel="0" collapsed="false">
      <c r="D4" s="1" t="s">
        <v>8</v>
      </c>
      <c r="E4" s="3" t="n">
        <v>122988</v>
      </c>
      <c r="F4" s="4" t="s">
        <v>5</v>
      </c>
    </row>
    <row r="5" customFormat="false" ht="12.8" hidden="false" customHeight="false" outlineLevel="0" collapsed="false">
      <c r="D5" s="1" t="s">
        <v>9</v>
      </c>
      <c r="E5" s="5" t="n">
        <v>128894</v>
      </c>
      <c r="F5" s="4" t="s">
        <v>5</v>
      </c>
    </row>
    <row r="6" customFormat="false" ht="12.8" hidden="false" customHeight="false" outlineLevel="0" collapsed="false">
      <c r="D6" s="1" t="s">
        <v>10</v>
      </c>
      <c r="E6" s="6" t="n">
        <f aca="false">+E3-E4+E5</f>
        <v>2799561.215148</v>
      </c>
    </row>
    <row r="8" customFormat="false" ht="16.15" hidden="false" customHeight="false" outlineLevel="0" collapsed="false">
      <c r="A8" s="7" t="s">
        <v>11</v>
      </c>
      <c r="B8" s="8" t="n">
        <f aca="false">+0.05+B10*(0.1-0.05)</f>
        <v>0.123</v>
      </c>
      <c r="C8" s="7"/>
      <c r="D8" s="7" t="s">
        <v>12</v>
      </c>
      <c r="E8" s="8" t="n">
        <f aca="false">+(E3/(E3+E5))*B8+(E5/(E5+E3))*B9*(1-0.2)</f>
        <v>0.119616319823727</v>
      </c>
    </row>
    <row r="9" customFormat="false" ht="16.15" hidden="false" customHeight="false" outlineLevel="0" collapsed="false">
      <c r="A9" s="7" t="s">
        <v>13</v>
      </c>
      <c r="B9" s="8" t="n">
        <f aca="false">+0.05+(B19/100)</f>
        <v>0.0578478260869565</v>
      </c>
      <c r="C9" s="7"/>
      <c r="D9" s="7"/>
      <c r="E9" s="7"/>
    </row>
    <row r="10" customFormat="false" ht="16.15" hidden="false" customHeight="false" outlineLevel="0" collapsed="false">
      <c r="A10" s="7" t="s">
        <v>14</v>
      </c>
      <c r="B10" s="9" t="n">
        <v>1.46</v>
      </c>
      <c r="C10" s="7"/>
      <c r="D10" s="7" t="s">
        <v>15</v>
      </c>
      <c r="E10" s="10" t="n">
        <f aca="false">+E1/SUM(Model!Q49:T49)</f>
        <v>20.6845226806381</v>
      </c>
    </row>
    <row r="11" customFormat="false" ht="16.15" hidden="false" customHeight="false" outlineLevel="0" collapsed="false">
      <c r="A11" s="7" t="s">
        <v>16</v>
      </c>
      <c r="B11" s="9" t="n">
        <f aca="false">+E3/SUM(Model!P125:S125)</f>
        <v>-239.580506566612</v>
      </c>
      <c r="C11" s="7"/>
      <c r="D11" s="7"/>
      <c r="E11" s="7"/>
    </row>
    <row r="12" customFormat="false" ht="16.15" hidden="false" customHeight="false" outlineLevel="0" collapsed="false">
      <c r="A12" s="7" t="s">
        <v>17</v>
      </c>
      <c r="B12" s="10" t="n">
        <f aca="false">+E1/SUM(Model!P49:S49)</f>
        <v>20.8322674798329</v>
      </c>
      <c r="C12" s="7"/>
      <c r="D12" s="7"/>
      <c r="E12" s="7"/>
    </row>
    <row r="13" customFormat="false" ht="16.15" hidden="false" customHeight="false" outlineLevel="0" collapsed="false">
      <c r="A13" s="7" t="s">
        <v>18</v>
      </c>
      <c r="B13" s="10" t="n">
        <f aca="false">+E6/SUM(Model!P74:S74)</f>
        <v>16.5740812680449</v>
      </c>
      <c r="C13" s="7"/>
      <c r="D13" s="7" t="s">
        <v>19</v>
      </c>
      <c r="E13" s="10" t="n">
        <f aca="false">+E6/Model!AL74</f>
        <v>13.2916998460822</v>
      </c>
    </row>
    <row r="14" customFormat="false" ht="16.15" hidden="false" customHeight="false" outlineLevel="0" collapsed="false">
      <c r="A14" s="7" t="s">
        <v>20</v>
      </c>
      <c r="B14" s="9" t="n">
        <f aca="false">+E6/SUM(Model!P125:S125)</f>
        <v>-240.086998013413</v>
      </c>
      <c r="C14" s="7"/>
      <c r="D14" s="7"/>
      <c r="E14" s="7"/>
    </row>
    <row r="15" customFormat="false" ht="16.15" hidden="false" customHeight="false" outlineLevel="0" collapsed="false">
      <c r="A15" s="7" t="s">
        <v>21</v>
      </c>
      <c r="B15" s="8" t="n">
        <f aca="false">+((Model!S33+Model!R33+Model!Q33+Model!P33)-(Model!O33+Model!N33+Model!M33+Model!L33))/((Model!S15+Model!R15+Model!Q15+Model!P15)-(Model!O15+Model!N15+Model!M15+Model!L15))</f>
        <v>0.165862062437288</v>
      </c>
      <c r="C15" s="7"/>
      <c r="D15" s="7"/>
      <c r="E15" s="7"/>
    </row>
    <row r="16" customFormat="false" ht="16.15" hidden="false" customHeight="false" outlineLevel="0" collapsed="false">
      <c r="A16" s="7"/>
      <c r="B16" s="8"/>
      <c r="C16" s="7"/>
      <c r="D16" s="7"/>
      <c r="E16" s="7"/>
    </row>
    <row r="17" customFormat="false" ht="16.15" hidden="false" customHeight="false" outlineLevel="0" collapsed="false">
      <c r="A17" s="7"/>
      <c r="B17" s="8"/>
      <c r="C17" s="7"/>
      <c r="D17" s="7"/>
      <c r="E17" s="7"/>
    </row>
    <row r="18" customFormat="false" ht="16.15" hidden="false" customHeight="false" outlineLevel="0" collapsed="false">
      <c r="A18" s="7"/>
      <c r="B18" s="8"/>
      <c r="C18" s="7"/>
      <c r="D18" s="7"/>
      <c r="E18" s="7"/>
    </row>
    <row r="19" customFormat="false" ht="16.15" hidden="false" customHeight="false" outlineLevel="0" collapsed="false">
      <c r="A19" s="7" t="s">
        <v>22</v>
      </c>
      <c r="B19" s="11" t="n">
        <f aca="false">+'[1]Credit Spread US'!J6</f>
        <v>0.784782608695652</v>
      </c>
      <c r="C19" s="7"/>
      <c r="D19" s="7"/>
      <c r="E19" s="7"/>
    </row>
    <row r="20" customFormat="false" ht="16.15" hidden="false" customHeight="false" outlineLevel="0" collapsed="false">
      <c r="A20" s="7" t="s">
        <v>23</v>
      </c>
      <c r="B20" s="12" t="s">
        <v>24</v>
      </c>
      <c r="C20" s="13" t="s">
        <v>25</v>
      </c>
      <c r="D20" s="7"/>
      <c r="E20" s="7"/>
    </row>
    <row r="21" customFormat="false" ht="16.15" hidden="false" customHeight="false" outlineLevel="0" collapsed="false">
      <c r="A21" s="7"/>
      <c r="B21" s="12" t="s">
        <v>26</v>
      </c>
      <c r="C21" s="13" t="s">
        <v>27</v>
      </c>
      <c r="D21" s="7"/>
      <c r="E21" s="7"/>
    </row>
    <row r="22" customFormat="false" ht="12.8" hidden="false" customHeight="false" outlineLevel="0" collapsed="false">
      <c r="B22" s="14"/>
    </row>
    <row r="25" customFormat="false" ht="13.1" hidden="false" customHeight="false" outlineLevel="0" collapsed="false">
      <c r="A25" s="15" t="s">
        <v>28</v>
      </c>
    </row>
    <row r="26" customFormat="false" ht="12.8" hidden="false" customHeight="false" outlineLevel="0" collapsed="false">
      <c r="B26" s="1" t="s">
        <v>29</v>
      </c>
    </row>
    <row r="27" customFormat="false" ht="12.8" hidden="false" customHeight="false" outlineLevel="0" collapsed="false">
      <c r="B27" s="1" t="s">
        <v>30</v>
      </c>
    </row>
    <row r="28" customFormat="false" ht="12.8" hidden="false" customHeight="false" outlineLevel="0" collapsed="false">
      <c r="B28" s="1" t="s">
        <v>31</v>
      </c>
    </row>
    <row r="29" customFormat="false" ht="12.8" hidden="false" customHeight="false" outlineLevel="0" collapsed="false">
      <c r="B29" s="1" t="s">
        <v>32</v>
      </c>
    </row>
    <row r="30" customFormat="false" ht="12.8" hidden="false" customHeight="false" outlineLevel="0" collapsed="false">
      <c r="B30" s="1" t="s">
        <v>33</v>
      </c>
    </row>
    <row r="31" customFormat="false" ht="12.8" hidden="false" customHeight="false" outlineLevel="0" collapsed="false">
      <c r="B31" s="1" t="s">
        <v>34</v>
      </c>
    </row>
    <row r="32" customFormat="false" ht="12.8" hidden="false" customHeight="false" outlineLevel="0" collapsed="false">
      <c r="B32" s="1" t="s">
        <v>35</v>
      </c>
    </row>
    <row r="33" customFormat="false" ht="12.8" hidden="false" customHeight="false" outlineLevel="0" collapsed="false">
      <c r="B33" s="1" t="s">
        <v>36</v>
      </c>
    </row>
    <row r="34" customFormat="false" ht="12.8" hidden="false" customHeight="false" outlineLevel="0" collapsed="false">
      <c r="B34" s="4" t="s">
        <v>2</v>
      </c>
      <c r="C34" s="1" t="s">
        <v>37</v>
      </c>
    </row>
    <row r="35" customFormat="false" ht="12.8" hidden="false" customHeight="false" outlineLevel="0" collapsed="false">
      <c r="B35" s="4" t="s">
        <v>2</v>
      </c>
      <c r="C35" s="1" t="s">
        <v>38</v>
      </c>
    </row>
    <row r="36" customFormat="false" ht="12.8" hidden="false" customHeight="false" outlineLevel="0" collapsed="false">
      <c r="B36" s="4"/>
    </row>
    <row r="37" customFormat="false" ht="12.8" hidden="false" customHeight="false" outlineLevel="0" collapsed="false">
      <c r="A37" s="1" t="s">
        <v>39</v>
      </c>
    </row>
    <row r="38" customFormat="false" ht="12.8" hidden="false" customHeight="false" outlineLevel="0" collapsed="false">
      <c r="B38" s="1" t="s">
        <v>40</v>
      </c>
    </row>
    <row r="39" customFormat="false" ht="12.8" hidden="false" customHeight="false" outlineLevel="0" collapsed="false">
      <c r="B39" s="4" t="s">
        <v>2</v>
      </c>
      <c r="C39" s="16" t="s">
        <v>41</v>
      </c>
    </row>
    <row r="40" customFormat="false" ht="12.8" hidden="false" customHeight="false" outlineLevel="0" collapsed="false">
      <c r="B40" s="4" t="s">
        <v>2</v>
      </c>
      <c r="C40" s="2" t="s">
        <v>42</v>
      </c>
    </row>
    <row r="41" customFormat="false" ht="12.8" hidden="false" customHeight="false" outlineLevel="0" collapsed="false">
      <c r="B41" s="4"/>
      <c r="C41" s="1" t="s">
        <v>43</v>
      </c>
    </row>
    <row r="42" customFormat="false" ht="12.8" hidden="false" customHeight="false" outlineLevel="0" collapsed="false">
      <c r="B42" s="4"/>
      <c r="C42" s="1" t="s">
        <v>44</v>
      </c>
    </row>
    <row r="43" customFormat="false" ht="12.8" hidden="false" customHeight="false" outlineLevel="0" collapsed="false">
      <c r="B43" s="4"/>
      <c r="C43" s="4" t="s">
        <v>2</v>
      </c>
      <c r="D43" s="17" t="s">
        <v>45</v>
      </c>
    </row>
    <row r="44" customFormat="false" ht="12.8" hidden="false" customHeight="false" outlineLevel="0" collapsed="false">
      <c r="B44" s="4"/>
      <c r="C44" s="4" t="s">
        <v>2</v>
      </c>
      <c r="D44" s="17" t="s">
        <v>46</v>
      </c>
    </row>
    <row r="45" customFormat="false" ht="12.8" hidden="false" customHeight="false" outlineLevel="0" collapsed="false">
      <c r="B45" s="4"/>
      <c r="C45" s="4" t="s">
        <v>2</v>
      </c>
      <c r="D45" s="17" t="s">
        <v>47</v>
      </c>
    </row>
    <row r="46" customFormat="false" ht="12.8" hidden="false" customHeight="false" outlineLevel="0" collapsed="false">
      <c r="B46" s="4" t="s">
        <v>2</v>
      </c>
      <c r="C46" s="2" t="s">
        <v>48</v>
      </c>
    </row>
    <row r="47" customFormat="false" ht="12.8" hidden="false" customHeight="false" outlineLevel="0" collapsed="false">
      <c r="B47" s="4"/>
      <c r="C47" s="1" t="s">
        <v>49</v>
      </c>
    </row>
    <row r="48" customFormat="false" ht="12.8" hidden="false" customHeight="false" outlineLevel="0" collapsed="false">
      <c r="B48" s="4"/>
      <c r="C48" s="2" t="s">
        <v>50</v>
      </c>
    </row>
    <row r="49" customFormat="false" ht="12.8" hidden="false" customHeight="false" outlineLevel="0" collapsed="false">
      <c r="B49" s="4" t="s">
        <v>2</v>
      </c>
      <c r="C49" s="2" t="s">
        <v>51</v>
      </c>
    </row>
    <row r="50" customFormat="false" ht="12.8" hidden="false" customHeight="false" outlineLevel="0" collapsed="false">
      <c r="B50" s="4"/>
      <c r="C50" s="1" t="s">
        <v>52</v>
      </c>
    </row>
    <row r="51" customFormat="false" ht="12.8" hidden="false" customHeight="false" outlineLevel="0" collapsed="false">
      <c r="B51" s="4" t="s">
        <v>2</v>
      </c>
      <c r="C51" s="1" t="s">
        <v>53</v>
      </c>
    </row>
    <row r="52" customFormat="false" ht="12.8" hidden="false" customHeight="false" outlineLevel="0" collapsed="false">
      <c r="B52" s="4"/>
      <c r="C52" s="2" t="s">
        <v>54</v>
      </c>
    </row>
    <row r="53" customFormat="false" ht="12.8" hidden="false" customHeight="false" outlineLevel="0" collapsed="false">
      <c r="B53" s="4"/>
      <c r="C53" s="2" t="s">
        <v>55</v>
      </c>
    </row>
    <row r="54" customFormat="false" ht="12.8" hidden="false" customHeight="false" outlineLevel="0" collapsed="false">
      <c r="B54" s="4" t="s">
        <v>2</v>
      </c>
      <c r="C54" s="16" t="s">
        <v>56</v>
      </c>
      <c r="E54" s="18"/>
    </row>
    <row r="55" customFormat="false" ht="12.8" hidden="false" customHeight="false" outlineLevel="0" collapsed="false">
      <c r="B55" s="4"/>
      <c r="C55" s="1" t="s">
        <v>57</v>
      </c>
    </row>
    <row r="56" customFormat="false" ht="12.8" hidden="false" customHeight="false" outlineLevel="0" collapsed="false">
      <c r="B56" s="4"/>
      <c r="C56" s="18" t="s">
        <v>58</v>
      </c>
      <c r="D56" s="2" t="s">
        <v>59</v>
      </c>
    </row>
    <row r="57" customFormat="false" ht="12.8" hidden="false" customHeight="false" outlineLevel="0" collapsed="false">
      <c r="B57" s="4"/>
      <c r="C57" s="18" t="s">
        <v>58</v>
      </c>
      <c r="D57" s="2" t="s">
        <v>60</v>
      </c>
    </row>
    <row r="58" customFormat="false" ht="12.8" hidden="false" customHeight="false" outlineLevel="0" collapsed="false">
      <c r="B58" s="4"/>
      <c r="C58" s="18"/>
      <c r="D58" s="18" t="s">
        <v>58</v>
      </c>
      <c r="E58" s="2" t="s">
        <v>61</v>
      </c>
    </row>
    <row r="59" customFormat="false" ht="12.8" hidden="false" customHeight="false" outlineLevel="0" collapsed="false">
      <c r="B59" s="4"/>
      <c r="C59" s="18" t="s">
        <v>58</v>
      </c>
      <c r="D59" s="2" t="s">
        <v>62</v>
      </c>
    </row>
    <row r="60" customFormat="false" ht="12.8" hidden="false" customHeight="false" outlineLevel="0" collapsed="false">
      <c r="B60" s="4"/>
      <c r="C60" s="18"/>
      <c r="D60" s="18" t="s">
        <v>58</v>
      </c>
      <c r="E60" s="1" t="s">
        <v>63</v>
      </c>
    </row>
    <row r="61" customFormat="false" ht="12.8" hidden="false" customHeight="false" outlineLevel="0" collapsed="false">
      <c r="B61" s="4"/>
      <c r="C61" s="18" t="s">
        <v>58</v>
      </c>
      <c r="D61" s="2" t="s">
        <v>64</v>
      </c>
    </row>
    <row r="62" customFormat="false" ht="12.8" hidden="false" customHeight="false" outlineLevel="0" collapsed="false">
      <c r="B62" s="4"/>
      <c r="D62" s="1" t="s">
        <v>65</v>
      </c>
    </row>
    <row r="63" customFormat="false" ht="12.8" hidden="false" customHeight="false" outlineLevel="0" collapsed="false">
      <c r="B63" s="4"/>
      <c r="D63" s="1" t="s">
        <v>66</v>
      </c>
    </row>
    <row r="64" customFormat="false" ht="12.8" hidden="false" customHeight="false" outlineLevel="0" collapsed="false">
      <c r="B64" s="4" t="s">
        <v>2</v>
      </c>
      <c r="C64" s="2" t="s">
        <v>67</v>
      </c>
    </row>
    <row r="65" customFormat="false" ht="12.8" hidden="false" customHeight="false" outlineLevel="0" collapsed="false">
      <c r="B65" s="4" t="s">
        <v>2</v>
      </c>
      <c r="C65" s="2" t="s">
        <v>68</v>
      </c>
    </row>
    <row r="66" customFormat="false" ht="12.8" hidden="false" customHeight="false" outlineLevel="0" collapsed="false">
      <c r="B66" s="4" t="s">
        <v>2</v>
      </c>
      <c r="C66" s="2" t="s">
        <v>69</v>
      </c>
    </row>
    <row r="67" customFormat="false" ht="12.8" hidden="false" customHeight="false" outlineLevel="0" collapsed="false">
      <c r="B67" s="4"/>
      <c r="C67" s="1" t="s">
        <v>70</v>
      </c>
    </row>
    <row r="68" customFormat="false" ht="12.8" hidden="false" customHeight="false" outlineLevel="0" collapsed="false">
      <c r="B68" s="4"/>
    </row>
    <row r="69" customFormat="false" ht="12.8" hidden="false" customHeight="false" outlineLevel="0" collapsed="false">
      <c r="B69" s="1" t="s">
        <v>71</v>
      </c>
    </row>
    <row r="70" customFormat="false" ht="12.8" hidden="false" customHeight="false" outlineLevel="0" collapsed="false">
      <c r="B70" s="1" t="s">
        <v>72</v>
      </c>
    </row>
    <row r="71" customFormat="false" ht="12.8" hidden="false" customHeight="false" outlineLevel="0" collapsed="false">
      <c r="B71" s="1" t="s">
        <v>73</v>
      </c>
    </row>
    <row r="72" customFormat="false" ht="12.8" hidden="false" customHeight="false" outlineLevel="0" collapsed="false">
      <c r="B72" s="1" t="s">
        <v>74</v>
      </c>
    </row>
    <row r="75" customFormat="false" ht="12.8" hidden="false" customHeight="false" outlineLevel="0" collapsed="false">
      <c r="A75" s="1" t="s">
        <v>75</v>
      </c>
      <c r="B75" s="1" t="s">
        <v>76</v>
      </c>
    </row>
    <row r="76" customFormat="false" ht="24.25" hidden="false" customHeight="false" outlineLevel="0" collapsed="false">
      <c r="A76" s="15" t="s">
        <v>77</v>
      </c>
      <c r="B76" s="1" t="s">
        <v>78</v>
      </c>
    </row>
    <row r="77" customFormat="false" ht="12.8" hidden="false" customHeight="false" outlineLevel="0" collapsed="false">
      <c r="A77" s="1" t="s">
        <v>79</v>
      </c>
      <c r="B77" s="1" t="s">
        <v>80</v>
      </c>
    </row>
    <row r="81" customFormat="false" ht="12.8" hidden="false" customHeight="false" outlineLevel="0" collapsed="false">
      <c r="A81" s="1" t="s">
        <v>81</v>
      </c>
    </row>
    <row r="84" customFormat="false" ht="12.8" hidden="false" customHeight="false" outlineLevel="0" collapsed="false">
      <c r="A84" s="1" t="s">
        <v>82</v>
      </c>
    </row>
    <row r="85" customFormat="false" ht="12.8" hidden="false" customHeight="false" outlineLevel="0" collapsed="false">
      <c r="B85" s="1" t="s">
        <v>83</v>
      </c>
      <c r="C85" s="1" t="s">
        <v>84</v>
      </c>
    </row>
    <row r="86" customFormat="false" ht="12.8" hidden="false" customHeight="false" outlineLevel="0" collapsed="false">
      <c r="B86" s="1" t="s">
        <v>85</v>
      </c>
      <c r="C86" s="1" t="s">
        <v>86</v>
      </c>
    </row>
    <row r="87" customFormat="false" ht="12.8" hidden="false" customHeight="false" outlineLevel="0" collapsed="false">
      <c r="B87" s="1" t="s">
        <v>87</v>
      </c>
    </row>
    <row r="88" customFormat="false" ht="12.8" hidden="false" customHeight="false" outlineLevel="0" collapsed="false">
      <c r="B88" s="1" t="s">
        <v>88</v>
      </c>
      <c r="C88" s="1" t="s">
        <v>89</v>
      </c>
    </row>
    <row r="89" customFormat="false" ht="12.8" hidden="false" customHeight="false" outlineLevel="0" collapsed="false">
      <c r="B89" s="1" t="s">
        <v>90</v>
      </c>
      <c r="C89" s="1" t="s">
        <v>91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T143"/>
  <sheetViews>
    <sheetView showFormulas="false" showGridLines="fals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1" ySplit="2" topLeftCell="AH49" activePane="bottomRight" state="frozen"/>
      <selection pane="topLeft" activeCell="A1" activeCellId="0" sqref="A1"/>
      <selection pane="topRight" activeCell="AH1" activeCellId="0" sqref="AH1"/>
      <selection pane="bottomLeft" activeCell="A49" activeCellId="0" sqref="A49"/>
      <selection pane="bottomRight" activeCell="AP111" activeCellId="0" sqref="AP1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0.03"/>
    <col collapsed="false" customWidth="false" hidden="false" outlineLevel="0" max="44" min="2" style="5" width="11.53"/>
    <col collapsed="false" customWidth="true" hidden="false" outlineLevel="0" max="45" min="45" style="5" width="13.52"/>
    <col collapsed="false" customWidth="false" hidden="false" outlineLevel="0" max="46" min="46" style="5" width="11.53"/>
    <col collapsed="false" customWidth="true" hidden="false" outlineLevel="0" max="47" min="47" style="5" width="16.37"/>
    <col collapsed="false" customWidth="true" hidden="false" outlineLevel="0" max="48" min="48" style="5" width="13.62"/>
    <col collapsed="false" customWidth="false" hidden="false" outlineLevel="0" max="119" min="49" style="5" width="11.53"/>
    <col collapsed="false" customWidth="false" hidden="false" outlineLevel="0" max="16384" min="125" style="5" width="11.53"/>
  </cols>
  <sheetData>
    <row r="1" s="4" customFormat="true" ht="12.8" hidden="false" customHeight="false" outlineLevel="0" collapsed="false">
      <c r="A1" s="19" t="s">
        <v>92</v>
      </c>
      <c r="B1" s="4" t="s">
        <v>93</v>
      </c>
      <c r="C1" s="4" t="s">
        <v>94</v>
      </c>
      <c r="D1" s="4" t="s">
        <v>95</v>
      </c>
      <c r="E1" s="4" t="s">
        <v>96</v>
      </c>
      <c r="F1" s="4" t="s">
        <v>97</v>
      </c>
      <c r="G1" s="4" t="s">
        <v>98</v>
      </c>
      <c r="H1" s="4" t="s">
        <v>99</v>
      </c>
      <c r="I1" s="4" t="s">
        <v>100</v>
      </c>
      <c r="J1" s="4" t="s">
        <v>101</v>
      </c>
      <c r="K1" s="4" t="s">
        <v>102</v>
      </c>
      <c r="L1" s="4" t="s">
        <v>103</v>
      </c>
      <c r="M1" s="4" t="s">
        <v>104</v>
      </c>
      <c r="N1" s="4" t="s">
        <v>105</v>
      </c>
      <c r="O1" s="4" t="s">
        <v>106</v>
      </c>
      <c r="P1" s="4" t="s">
        <v>107</v>
      </c>
      <c r="Q1" s="4" t="s">
        <v>108</v>
      </c>
      <c r="R1" s="4" t="s">
        <v>109</v>
      </c>
      <c r="S1" s="4" t="s">
        <v>110</v>
      </c>
      <c r="T1" s="4" t="s">
        <v>111</v>
      </c>
      <c r="U1" s="4" t="s">
        <v>112</v>
      </c>
      <c r="AE1" s="4" t="s">
        <v>113</v>
      </c>
      <c r="AF1" s="4" t="s">
        <v>114</v>
      </c>
      <c r="AG1" s="4" t="s">
        <v>115</v>
      </c>
      <c r="AH1" s="4" t="s">
        <v>96</v>
      </c>
      <c r="AI1" s="4" t="s">
        <v>100</v>
      </c>
      <c r="AJ1" s="4" t="s">
        <v>104</v>
      </c>
      <c r="AK1" s="4" t="s">
        <v>108</v>
      </c>
      <c r="AL1" s="4" t="s">
        <v>112</v>
      </c>
      <c r="AM1" s="4" t="s">
        <v>116</v>
      </c>
      <c r="AN1" s="4" t="s">
        <v>117</v>
      </c>
      <c r="AO1" s="4" t="s">
        <v>118</v>
      </c>
      <c r="AP1" s="4" t="s">
        <v>119</v>
      </c>
      <c r="DP1" s="20"/>
      <c r="DQ1" s="20"/>
      <c r="DR1" s="20"/>
      <c r="DS1" s="20"/>
      <c r="DT1" s="20"/>
    </row>
    <row r="2" s="1" customFormat="true" ht="12.8" hidden="false" customHeight="false" outlineLevel="0" collapsed="false">
      <c r="A2" s="21" t="s">
        <v>120</v>
      </c>
      <c r="B2" s="4" t="s">
        <v>121</v>
      </c>
      <c r="C2" s="4" t="s">
        <v>122</v>
      </c>
      <c r="D2" s="4" t="s">
        <v>123</v>
      </c>
      <c r="E2" s="4" t="s">
        <v>124</v>
      </c>
      <c r="F2" s="4" t="s">
        <v>125</v>
      </c>
      <c r="G2" s="4" t="s">
        <v>126</v>
      </c>
      <c r="H2" s="4" t="s">
        <v>127</v>
      </c>
      <c r="I2" s="4" t="s">
        <v>128</v>
      </c>
      <c r="J2" s="4" t="s">
        <v>129</v>
      </c>
      <c r="K2" s="4" t="s">
        <v>130</v>
      </c>
      <c r="L2" s="4" t="s">
        <v>131</v>
      </c>
      <c r="M2" s="4" t="s">
        <v>132</v>
      </c>
      <c r="N2" s="4" t="s">
        <v>133</v>
      </c>
      <c r="O2" s="4" t="s">
        <v>134</v>
      </c>
      <c r="P2" s="4" t="s">
        <v>135</v>
      </c>
      <c r="Q2" s="4" t="s">
        <v>136</v>
      </c>
      <c r="R2" s="4" t="s">
        <v>137</v>
      </c>
      <c r="S2" s="4" t="s">
        <v>5</v>
      </c>
      <c r="T2" s="4" t="s">
        <v>138</v>
      </c>
      <c r="U2" s="4" t="s">
        <v>139</v>
      </c>
      <c r="V2" s="4"/>
      <c r="W2" s="4"/>
      <c r="X2" s="4"/>
      <c r="Y2" s="4"/>
      <c r="Z2" s="4"/>
      <c r="AA2" s="4" t="n">
        <f aca="false">+AB2-1</f>
        <v>2015</v>
      </c>
      <c r="AB2" s="4" t="n">
        <f aca="false">+AC2-1</f>
        <v>2016</v>
      </c>
      <c r="AC2" s="4" t="n">
        <f aca="false">+AD2-1</f>
        <v>2017</v>
      </c>
      <c r="AD2" s="4" t="n">
        <f aca="false">+AE2-1</f>
        <v>2018</v>
      </c>
      <c r="AE2" s="4" t="n">
        <v>2019</v>
      </c>
      <c r="AF2" s="4" t="n">
        <v>2020</v>
      </c>
      <c r="AG2" s="4" t="n">
        <f aca="false">AF2+1</f>
        <v>2021</v>
      </c>
      <c r="AH2" s="4" t="n">
        <f aca="false">AG2+1</f>
        <v>2022</v>
      </c>
      <c r="AI2" s="4" t="n">
        <f aca="false">AH2+1</f>
        <v>2023</v>
      </c>
      <c r="AJ2" s="4" t="n">
        <f aca="false">AI2+1</f>
        <v>2024</v>
      </c>
      <c r="AK2" s="4" t="n">
        <f aca="false">AJ2+1</f>
        <v>2025</v>
      </c>
      <c r="AL2" s="4" t="n">
        <f aca="false">AK2+1</f>
        <v>2026</v>
      </c>
      <c r="AM2" s="4" t="n">
        <f aca="false">AL2+1</f>
        <v>2027</v>
      </c>
      <c r="AN2" s="4" t="n">
        <f aca="false">AM2+1</f>
        <v>2028</v>
      </c>
      <c r="AO2" s="4" t="n">
        <f aca="false">AN2+1</f>
        <v>2029</v>
      </c>
      <c r="AP2" s="4" t="n">
        <f aca="false">AO2+1</f>
        <v>2030</v>
      </c>
      <c r="DP2" s="20"/>
      <c r="DQ2" s="20"/>
      <c r="DR2" s="20"/>
      <c r="DS2" s="20"/>
      <c r="DT2" s="20"/>
    </row>
    <row r="3" s="1" customFormat="true" ht="12.8" hidden="false" customHeight="false" outlineLevel="0" collapsed="false">
      <c r="A3" s="1" t="s">
        <v>140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DP3" s="20"/>
      <c r="DQ3" s="20"/>
      <c r="DR3" s="20"/>
      <c r="DS3" s="20"/>
      <c r="DT3" s="20"/>
    </row>
    <row r="4" s="22" customFormat="true" ht="10.5" hidden="false" customHeight="true" outlineLevel="0" collapsed="false"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DP4" s="20"/>
      <c r="DQ4" s="20"/>
      <c r="DR4" s="20"/>
      <c r="DS4" s="20"/>
      <c r="DT4" s="20"/>
    </row>
    <row r="5" s="1" customFormat="true" ht="12.8" hidden="false" customHeight="false" outlineLevel="0" collapsed="false">
      <c r="A5" s="5" t="s">
        <v>141</v>
      </c>
      <c r="B5" s="5" t="n">
        <v>5821</v>
      </c>
      <c r="C5" s="5" t="n">
        <v>6276</v>
      </c>
      <c r="D5" s="5" t="n">
        <v>6868</v>
      </c>
      <c r="E5" s="5" t="n">
        <v>7315</v>
      </c>
      <c r="F5" s="5" t="n">
        <v>7454</v>
      </c>
      <c r="G5" s="5" t="n">
        <v>8031</v>
      </c>
      <c r="H5" s="5" t="n">
        <v>8411</v>
      </c>
      <c r="I5" s="5" t="n">
        <v>9192</v>
      </c>
      <c r="J5" s="5" t="n">
        <v>9574</v>
      </c>
      <c r="K5" s="5" t="n">
        <v>10347</v>
      </c>
      <c r="L5" s="5" t="n">
        <v>11353</v>
      </c>
      <c r="M5" s="5" t="n">
        <v>11955</v>
      </c>
      <c r="N5" s="5" t="n">
        <v>12260</v>
      </c>
      <c r="O5" s="5" t="n">
        <v>13624</v>
      </c>
      <c r="P5" s="5" t="n">
        <v>15157</v>
      </c>
      <c r="Q5" s="5" t="n">
        <v>17664</v>
      </c>
      <c r="R5" s="5" t="n">
        <v>20028</v>
      </c>
      <c r="S5" s="5" t="n">
        <f aca="false">+O5*1.35</f>
        <v>18392.4</v>
      </c>
      <c r="T5" s="5" t="n">
        <f aca="false">+P5*1.35</f>
        <v>20461.95</v>
      </c>
      <c r="U5" s="5" t="n">
        <f aca="false">+Q5*1.35</f>
        <v>23846.4</v>
      </c>
      <c r="V5" s="5"/>
      <c r="W5" s="5"/>
      <c r="X5" s="5"/>
      <c r="Y5" s="5"/>
      <c r="Z5" s="5"/>
      <c r="AA5" s="5"/>
      <c r="AB5" s="5"/>
      <c r="AC5" s="5"/>
      <c r="AD5" s="5"/>
      <c r="AE5" s="5"/>
      <c r="AF5" s="5" t="n">
        <v>13059</v>
      </c>
      <c r="AG5" s="5" t="n">
        <v>19206</v>
      </c>
      <c r="AH5" s="5" t="n">
        <f aca="false">+SUM(B5:E5)</f>
        <v>26280</v>
      </c>
      <c r="AI5" s="5" t="n">
        <f aca="false">+SUM(F5:I5)</f>
        <v>33088</v>
      </c>
      <c r="AJ5" s="5" t="n">
        <f aca="false">+SUM(J5:M5)</f>
        <v>43229</v>
      </c>
      <c r="AK5" s="5" t="n">
        <f aca="false">+SUM(N5:Q5)</f>
        <v>58705</v>
      </c>
      <c r="AL5" s="5"/>
      <c r="AM5" s="5"/>
      <c r="AN5" s="5"/>
      <c r="AO5" s="5"/>
      <c r="AP5" s="5"/>
      <c r="AQ5" s="5"/>
      <c r="AR5" s="5"/>
      <c r="AS5" s="5"/>
      <c r="AT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20"/>
      <c r="DQ5" s="20"/>
      <c r="DR5" s="20"/>
      <c r="DS5" s="20"/>
      <c r="DT5" s="20"/>
    </row>
    <row r="6" s="22" customFormat="true" ht="10.5" hidden="false" customHeight="true" outlineLevel="0" collapsed="false">
      <c r="B6" s="23"/>
      <c r="C6" s="23"/>
      <c r="D6" s="23"/>
      <c r="E6" s="23"/>
      <c r="F6" s="23" t="n">
        <f aca="false">+F5/B5-1</f>
        <v>0.28053599037966</v>
      </c>
      <c r="G6" s="23" t="n">
        <f aca="false">+G5/C5-1</f>
        <v>0.279636711281071</v>
      </c>
      <c r="H6" s="23" t="n">
        <f aca="false">+H5/D5-1</f>
        <v>0.22466511357018</v>
      </c>
      <c r="I6" s="23" t="n">
        <f aca="false">+I5/E5-1</f>
        <v>0.256596035543404</v>
      </c>
      <c r="J6" s="23" t="n">
        <f aca="false">+J5/F5-1</f>
        <v>0.2844110544674</v>
      </c>
      <c r="K6" s="23" t="n">
        <f aca="false">+K5/G5-1</f>
        <v>0.288382517743743</v>
      </c>
      <c r="L6" s="23" t="n">
        <f aca="false">+L5/H5-1</f>
        <v>0.34978004993461</v>
      </c>
      <c r="M6" s="23" t="n">
        <f aca="false">+M5/I5-1</f>
        <v>0.300587467362924</v>
      </c>
      <c r="N6" s="23" t="n">
        <f aca="false">+N5/J5-1</f>
        <v>0.280551493628577</v>
      </c>
      <c r="O6" s="23" t="n">
        <f aca="false">+O5/K5-1</f>
        <v>0.316710157533585</v>
      </c>
      <c r="P6" s="23" t="n">
        <f aca="false">+P5/L5-1</f>
        <v>0.335065621421651</v>
      </c>
      <c r="Q6" s="23" t="n">
        <f aca="false">+Q5/M5-1</f>
        <v>0.477540777917189</v>
      </c>
      <c r="R6" s="23" t="n">
        <f aca="false">+R5/N5-1</f>
        <v>0.633605220228385</v>
      </c>
      <c r="S6" s="23" t="n">
        <f aca="false">+S5/O5-1</f>
        <v>0.35</v>
      </c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 t="n">
        <f aca="false">+AG5/AF5-1</f>
        <v>0.470709855272226</v>
      </c>
      <c r="AH6" s="23" t="n">
        <f aca="false">+AH5/AG5-1</f>
        <v>0.368322399250234</v>
      </c>
      <c r="AI6" s="23" t="n">
        <f aca="false">+AI5/AH5-1</f>
        <v>0.259056316590563</v>
      </c>
      <c r="AJ6" s="23" t="n">
        <f aca="false">+AJ5/AI5-1</f>
        <v>0.306485735009671</v>
      </c>
      <c r="AK6" s="23" t="n">
        <f aca="false">+AK5/AJ5-1</f>
        <v>0.358000416387148</v>
      </c>
      <c r="AL6" s="23"/>
      <c r="AM6" s="23"/>
      <c r="AN6" s="23"/>
      <c r="AO6" s="23"/>
      <c r="AP6" s="23"/>
      <c r="DP6" s="20"/>
      <c r="DQ6" s="20"/>
      <c r="DR6" s="20"/>
      <c r="DS6" s="20"/>
      <c r="DT6" s="20"/>
    </row>
    <row r="7" customFormat="false" ht="12.8" hidden="false" customHeight="false" outlineLevel="0" collapsed="false">
      <c r="A7" s="5" t="s">
        <v>142</v>
      </c>
      <c r="B7" s="24" t="n">
        <v>18441</v>
      </c>
      <c r="C7" s="24" t="n">
        <v>19739</v>
      </c>
      <c r="D7" s="24" t="n">
        <v>20538</v>
      </c>
      <c r="E7" s="24" t="n">
        <v>21378</v>
      </c>
      <c r="F7" s="24" t="n">
        <v>21354</v>
      </c>
      <c r="G7" s="24" t="n">
        <v>22140</v>
      </c>
      <c r="H7" s="24" t="n">
        <v>23059</v>
      </c>
      <c r="I7" s="24" t="n">
        <v>24204</v>
      </c>
      <c r="J7" s="24" t="n">
        <v>25037</v>
      </c>
      <c r="K7" s="24" t="n">
        <v>26281</v>
      </c>
      <c r="L7" s="24" t="n">
        <v>27452</v>
      </c>
      <c r="M7" s="24" t="n">
        <v>28786</v>
      </c>
      <c r="N7" s="24" t="n">
        <v>29267</v>
      </c>
      <c r="O7" s="24" t="n">
        <v>30873</v>
      </c>
      <c r="P7" s="24" t="n">
        <v>33006</v>
      </c>
      <c r="Q7" s="24" t="n">
        <v>35579</v>
      </c>
      <c r="R7" s="24" t="n">
        <v>37587</v>
      </c>
      <c r="S7" s="24" t="n">
        <v>42232</v>
      </c>
      <c r="T7" s="24"/>
      <c r="U7" s="24"/>
      <c r="V7" s="24"/>
      <c r="W7" s="24"/>
      <c r="X7" s="24"/>
      <c r="Y7" s="24"/>
      <c r="Z7" s="24"/>
      <c r="AA7" s="24" t="n">
        <v>7880</v>
      </c>
      <c r="AB7" s="24" t="n">
        <v>12219</v>
      </c>
      <c r="AC7" s="24" t="n">
        <v>17459</v>
      </c>
      <c r="AD7" s="24" t="n">
        <v>25655</v>
      </c>
      <c r="AE7" s="24" t="n">
        <v>35026</v>
      </c>
      <c r="AF7" s="24" t="n">
        <v>45370</v>
      </c>
      <c r="AG7" s="24" t="n">
        <v>62202</v>
      </c>
      <c r="AH7" s="24" t="n">
        <v>80096</v>
      </c>
      <c r="AI7" s="24" t="n">
        <v>90757</v>
      </c>
      <c r="AJ7" s="24" t="n">
        <v>107556</v>
      </c>
      <c r="AK7" s="24" t="n">
        <v>128725</v>
      </c>
      <c r="AL7" s="24"/>
      <c r="AM7" s="24"/>
      <c r="AN7" s="24"/>
      <c r="AO7" s="24"/>
      <c r="AP7" s="24"/>
    </row>
    <row r="8" s="25" customFormat="true" ht="12.8" hidden="false" customHeight="false" outlineLevel="0" collapsed="false">
      <c r="B8" s="26" t="n">
        <f aca="false">+B7/B15</f>
        <v>0.158367970870118</v>
      </c>
      <c r="C8" s="26" t="n">
        <f aca="false">+C7/C15</f>
        <v>0.162817361466255</v>
      </c>
      <c r="D8" s="26" t="n">
        <f aca="false">+D7/D15</f>
        <v>0.161588028418344</v>
      </c>
      <c r="E8" s="26" t="n">
        <f aca="false">+E7/E15</f>
        <v>0.143280341009624</v>
      </c>
      <c r="F8" s="26" t="n">
        <f aca="false">+F7/F15</f>
        <v>0.16766909028094</v>
      </c>
      <c r="G8" s="26" t="n">
        <f aca="false">+G7/G15</f>
        <v>0.16475298214804</v>
      </c>
      <c r="H8" s="26" t="n">
        <f aca="false">+H7/H15</f>
        <v>0.161158208871774</v>
      </c>
      <c r="I8" s="26" t="n">
        <f aca="false">+I7/I15</f>
        <v>0.142409140920564</v>
      </c>
      <c r="J8" s="26" t="n">
        <f aca="false">+J7/J15</f>
        <v>0.174701527425984</v>
      </c>
      <c r="K8" s="26" t="n">
        <f aca="false">+K7/K15</f>
        <v>0.177601924623421</v>
      </c>
      <c r="L8" s="26" t="n">
        <f aca="false">+L7/L15</f>
        <v>0.17278775404873</v>
      </c>
      <c r="M8" s="26" t="n">
        <f aca="false">+M7/M15</f>
        <v>0.153286614978274</v>
      </c>
      <c r="N8" s="26" t="n">
        <f aca="false">+N7/N15</f>
        <v>0.188010304046458</v>
      </c>
      <c r="O8" s="26" t="n">
        <f aca="false">+O7/O15</f>
        <v>0.184094405552707</v>
      </c>
      <c r="P8" s="26" t="n">
        <f aca="false">+P7/P15</f>
        <v>0.183194667229102</v>
      </c>
      <c r="Q8" s="26" t="n">
        <f aca="false">+Q7/Q15</f>
        <v>0.1667353996982</v>
      </c>
      <c r="R8" s="26" t="n">
        <f aca="false">+R7/R15</f>
        <v>0.20706923242195</v>
      </c>
      <c r="S8" s="26" t="n">
        <f aca="false">+S7/S15</f>
        <v>0.210522117982513</v>
      </c>
      <c r="T8" s="26"/>
      <c r="U8" s="26"/>
      <c r="V8" s="26"/>
      <c r="W8" s="26"/>
      <c r="X8" s="26"/>
      <c r="Y8" s="26"/>
      <c r="Z8" s="26"/>
      <c r="AA8" s="26" t="n">
        <f aca="false">+AA7/AA15</f>
        <v>0.0736407304263312</v>
      </c>
      <c r="AB8" s="26" t="n">
        <f aca="false">+AB7/AB15</f>
        <v>0.0898541772375301</v>
      </c>
      <c r="AC8" s="26" t="n">
        <f aca="false">+AC7/AC15</f>
        <v>0.0981581640111095</v>
      </c>
      <c r="AD8" s="26" t="n">
        <f aca="false">+AD7/AD15</f>
        <v>0.110160721723411</v>
      </c>
      <c r="AE8" s="26" t="n">
        <f aca="false">+AE7/AE15</f>
        <v>0.124860082275187</v>
      </c>
      <c r="AF8" s="26" t="n">
        <f aca="false">+AF7/AF15</f>
        <v>0.117519375025902</v>
      </c>
      <c r="AG8" s="26" t="n">
        <f aca="false">+AG7/AG15</f>
        <v>0.132394821868708</v>
      </c>
      <c r="AH8" s="26" t="n">
        <f aca="false">+AH7/AH15</f>
        <v>0.155833947815395</v>
      </c>
      <c r="AI8" s="26" t="n">
        <f aca="false">+AI7/AI15</f>
        <v>0.157897300729838</v>
      </c>
      <c r="AJ8" s="26" t="n">
        <f aca="false">+AJ7/AJ15</f>
        <v>0.168593906504963</v>
      </c>
      <c r="AK8" s="26" t="n">
        <f aca="false">+AK7/AK15</f>
        <v>0.179551807444025</v>
      </c>
      <c r="AL8" s="26"/>
      <c r="AM8" s="26"/>
      <c r="AN8" s="26"/>
      <c r="AO8" s="26"/>
      <c r="AP8" s="26"/>
      <c r="DP8" s="20"/>
      <c r="DQ8" s="20"/>
      <c r="DR8" s="20"/>
      <c r="DS8" s="20"/>
      <c r="DT8" s="20"/>
    </row>
    <row r="9" s="22" customFormat="true" ht="10.5" hidden="false" customHeight="true" outlineLevel="0" collapsed="false">
      <c r="A9" s="22" t="s">
        <v>143</v>
      </c>
      <c r="B9" s="23"/>
      <c r="C9" s="23"/>
      <c r="D9" s="23"/>
      <c r="E9" s="23"/>
      <c r="F9" s="23" t="n">
        <f aca="false">+F7/B7-1</f>
        <v>0.157963234097934</v>
      </c>
      <c r="G9" s="23" t="n">
        <f aca="false">+G7/C7-1</f>
        <v>0.121637367647804</v>
      </c>
      <c r="H9" s="23" t="n">
        <f aca="false">+H7/D7-1</f>
        <v>0.122748076735807</v>
      </c>
      <c r="I9" s="23" t="n">
        <f aca="false">+I7/E7-1</f>
        <v>0.132191973056413</v>
      </c>
      <c r="J9" s="23" t="n">
        <f aca="false">+J7/F7-1</f>
        <v>0.172473541256907</v>
      </c>
      <c r="K9" s="23" t="n">
        <f aca="false">+K7/G7-1</f>
        <v>0.187037037037037</v>
      </c>
      <c r="L9" s="23" t="n">
        <f aca="false">+L7/H7-1</f>
        <v>0.19051129710742</v>
      </c>
      <c r="M9" s="23" t="n">
        <f aca="false">+M7/I7-1</f>
        <v>0.189307552470666</v>
      </c>
      <c r="N9" s="23" t="n">
        <f aca="false">+N7/J7-1</f>
        <v>0.168949954067979</v>
      </c>
      <c r="O9" s="23" t="n">
        <f aca="false">+O7/K7-1</f>
        <v>0.174726989079563</v>
      </c>
      <c r="P9" s="23" t="n">
        <f aca="false">+P7/L7-1</f>
        <v>0.202316771091359</v>
      </c>
      <c r="Q9" s="23" t="n">
        <f aca="false">+Q7/M7-1</f>
        <v>0.235982769401793</v>
      </c>
      <c r="R9" s="23" t="n">
        <f aca="false">+R7/N7-1</f>
        <v>0.28427922233232</v>
      </c>
      <c r="S9" s="23" t="n">
        <f aca="false">+S7/O7-1</f>
        <v>0.367926667314482</v>
      </c>
      <c r="T9" s="23"/>
      <c r="U9" s="23"/>
      <c r="V9" s="23"/>
      <c r="W9" s="23"/>
      <c r="X9" s="23"/>
      <c r="Y9" s="23"/>
      <c r="Z9" s="23"/>
      <c r="AA9" s="23"/>
      <c r="AB9" s="23" t="n">
        <f aca="false">+AB7/AA7-1</f>
        <v>0.550634517766498</v>
      </c>
      <c r="AC9" s="23" t="n">
        <f aca="false">+AC7/AB7-1</f>
        <v>0.428840330632621</v>
      </c>
      <c r="AD9" s="23" t="n">
        <f aca="false">+AD7/AC7-1</f>
        <v>0.469442694312389</v>
      </c>
      <c r="AE9" s="23" t="n">
        <f aca="false">+AE7/AD7-1</f>
        <v>0.3652699278893</v>
      </c>
      <c r="AF9" s="23" t="n">
        <f aca="false">+AF7/AE7-1</f>
        <v>0.29532347399075</v>
      </c>
      <c r="AG9" s="23" t="n">
        <f aca="false">+AG7/AF7-1</f>
        <v>0.370994048931012</v>
      </c>
      <c r="AH9" s="23" t="n">
        <f aca="false">+AH7/AG7-1</f>
        <v>0.287675637439311</v>
      </c>
      <c r="AI9" s="23" t="n">
        <f aca="false">+AI7/AH7-1</f>
        <v>0.133102776667998</v>
      </c>
      <c r="AJ9" s="23" t="n">
        <f aca="false">+AJ7/AI7-1</f>
        <v>0.185098670075035</v>
      </c>
      <c r="AK9" s="23" t="n">
        <f aca="false">+AK7/AJ7-1</f>
        <v>0.196818401576853</v>
      </c>
      <c r="AL9" s="23"/>
      <c r="AM9" s="23"/>
      <c r="AN9" s="23"/>
      <c r="AO9" s="23"/>
      <c r="AP9" s="23"/>
      <c r="DP9" s="20"/>
      <c r="DQ9" s="20"/>
      <c r="DR9" s="20"/>
      <c r="DS9" s="20"/>
      <c r="DT9" s="20"/>
    </row>
    <row r="10" customFormat="false" ht="12.8" hidden="false" customHeight="false" outlineLevel="0" collapsed="false">
      <c r="A10" s="5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</row>
    <row r="11" customFormat="false" ht="12.8" hidden="false" customHeight="false" outlineLevel="0" collapsed="false">
      <c r="A11" s="1" t="s">
        <v>144</v>
      </c>
      <c r="B11" s="5" t="n">
        <v>56455</v>
      </c>
      <c r="C11" s="5" t="n">
        <v>56575</v>
      </c>
      <c r="D11" s="5" t="n">
        <v>59340</v>
      </c>
      <c r="E11" s="5" t="n">
        <v>70531</v>
      </c>
      <c r="F11" s="5" t="n">
        <v>56981</v>
      </c>
      <c r="G11" s="5" t="n">
        <v>59032</v>
      </c>
      <c r="H11" s="5" t="n">
        <v>63171</v>
      </c>
      <c r="I11" s="5" t="n">
        <v>76703</v>
      </c>
      <c r="J11" s="5" t="n">
        <v>60915</v>
      </c>
      <c r="K11" s="5" t="n">
        <v>61569</v>
      </c>
      <c r="L11" s="5" t="n">
        <v>67601</v>
      </c>
      <c r="M11" s="5" t="n">
        <v>82226</v>
      </c>
      <c r="N11" s="5" t="n">
        <v>63970</v>
      </c>
      <c r="O11" s="5" t="n">
        <v>68246</v>
      </c>
      <c r="P11" s="5" t="n">
        <v>74058</v>
      </c>
      <c r="Q11" s="5" t="n">
        <v>89992</v>
      </c>
      <c r="R11" s="5" t="n">
        <v>71304</v>
      </c>
      <c r="S11" s="5" t="n">
        <v>77602</v>
      </c>
      <c r="AA11" s="5" t="n">
        <v>79268</v>
      </c>
      <c r="AB11" s="5" t="n">
        <v>94665</v>
      </c>
      <c r="AC11" s="5" t="n">
        <v>118573</v>
      </c>
      <c r="AD11" s="5" t="n">
        <v>141915</v>
      </c>
      <c r="AE11" s="5" t="n">
        <v>160408</v>
      </c>
      <c r="AF11" s="5" t="n">
        <v>215915</v>
      </c>
      <c r="AG11" s="5" t="n">
        <v>241787</v>
      </c>
      <c r="AH11" s="5" t="n">
        <v>242901</v>
      </c>
      <c r="AI11" s="5" t="n">
        <v>255887</v>
      </c>
      <c r="AJ11" s="5" t="n">
        <v>272311</v>
      </c>
      <c r="AK11" s="5" t="n">
        <v>296266</v>
      </c>
    </row>
    <row r="12" s="22" customFormat="true" ht="10.5" hidden="false" customHeight="true" outlineLevel="0" collapsed="false">
      <c r="F12" s="23" t="n">
        <f aca="false">+F11/B11-1</f>
        <v>0.00931715525639887</v>
      </c>
      <c r="G12" s="23" t="n">
        <f aca="false">+G11/C11-1</f>
        <v>0.0434290764471941</v>
      </c>
      <c r="H12" s="23" t="n">
        <f aca="false">+H11/D11-1</f>
        <v>0.0645601617795752</v>
      </c>
      <c r="I12" s="23" t="n">
        <f aca="false">+I11/E11-1</f>
        <v>0.0875076207625016</v>
      </c>
      <c r="J12" s="23" t="n">
        <f aca="false">+J11/F11-1</f>
        <v>0.0690405573787754</v>
      </c>
      <c r="K12" s="23" t="n">
        <f aca="false">+K11/G11-1</f>
        <v>0.0429766906084836</v>
      </c>
      <c r="L12" s="23" t="n">
        <f aca="false">+L11/H11-1</f>
        <v>0.0701271152902439</v>
      </c>
      <c r="M12" s="23" t="n">
        <f aca="false">+M11/I11-1</f>
        <v>0.0720050063230904</v>
      </c>
      <c r="N12" s="23" t="n">
        <f aca="false">+N11/J11-1</f>
        <v>0.0501518509398342</v>
      </c>
      <c r="O12" s="23" t="n">
        <f aca="false">+O11/K11-1</f>
        <v>0.108447432961393</v>
      </c>
      <c r="P12" s="23" t="n">
        <f aca="false">+P11/L11-1</f>
        <v>0.0955163385157025</v>
      </c>
      <c r="Q12" s="23" t="n">
        <f aca="false">+Q11/M11-1</f>
        <v>0.0944470118940481</v>
      </c>
      <c r="R12" s="23" t="n">
        <f aca="false">+R11/N11-1</f>
        <v>0.114647491011412</v>
      </c>
      <c r="S12" s="23" t="n">
        <f aca="false">+S11/O11-1</f>
        <v>0.137092283796852</v>
      </c>
      <c r="AF12" s="22" t="n">
        <f aca="false">+AF11/AE11-1</f>
        <v>0.346036357288913</v>
      </c>
      <c r="AG12" s="22" t="n">
        <f aca="false">+AG11/AF11-1</f>
        <v>0.119824931107149</v>
      </c>
      <c r="AH12" s="22" t="n">
        <f aca="false">+AH11/AG11-1</f>
        <v>0.00460736102437265</v>
      </c>
      <c r="AI12" s="22" t="n">
        <f aca="false">+AI11/AH11-1</f>
        <v>0.0534621100777684</v>
      </c>
      <c r="AJ12" s="22" t="n">
        <f aca="false">+AJ11/AI11-1</f>
        <v>0.064184581475417</v>
      </c>
      <c r="AK12" s="22" t="n">
        <f aca="false">+AK11/AJ11-1</f>
        <v>0.0879692704297659</v>
      </c>
      <c r="DP12" s="20"/>
      <c r="DQ12" s="20"/>
      <c r="DR12" s="20"/>
      <c r="DS12" s="20"/>
      <c r="DT12" s="20"/>
    </row>
    <row r="13" customFormat="false" ht="12.8" hidden="false" customHeight="false" outlineLevel="0" collapsed="false">
      <c r="A13" s="1" t="s">
        <v>145</v>
      </c>
      <c r="B13" s="5" t="n">
        <v>59989</v>
      </c>
      <c r="C13" s="5" t="n">
        <v>64659</v>
      </c>
      <c r="D13" s="5" t="n">
        <v>67761</v>
      </c>
      <c r="E13" s="5" t="n">
        <v>78673</v>
      </c>
      <c r="F13" s="5" t="n">
        <v>70377</v>
      </c>
      <c r="G13" s="5" t="n">
        <v>75351</v>
      </c>
      <c r="H13" s="5" t="n">
        <v>79912</v>
      </c>
      <c r="I13" s="5" t="n">
        <v>93258</v>
      </c>
      <c r="J13" s="5" t="n">
        <v>82398</v>
      </c>
      <c r="K13" s="5" t="n">
        <v>86408</v>
      </c>
      <c r="L13" s="5" t="n">
        <v>91276</v>
      </c>
      <c r="M13" s="5" t="n">
        <v>105566</v>
      </c>
      <c r="N13" s="5" t="n">
        <v>91697</v>
      </c>
      <c r="O13" s="5" t="n">
        <v>99456</v>
      </c>
      <c r="P13" s="5" t="n">
        <v>106111</v>
      </c>
      <c r="Q13" s="5" t="n">
        <v>123394</v>
      </c>
      <c r="R13" s="5" t="n">
        <v>110215</v>
      </c>
      <c r="S13" s="5" t="n">
        <v>123004</v>
      </c>
      <c r="AA13" s="5" t="n">
        <v>27738</v>
      </c>
      <c r="AB13" s="5" t="n">
        <v>41322</v>
      </c>
      <c r="AC13" s="5" t="n">
        <v>59293</v>
      </c>
      <c r="AD13" s="5" t="n">
        <v>90972</v>
      </c>
      <c r="AE13" s="5" t="n">
        <v>120114</v>
      </c>
      <c r="AF13" s="5" t="n">
        <v>170149</v>
      </c>
      <c r="AG13" s="5" t="n">
        <v>228035</v>
      </c>
      <c r="AH13" s="5" t="n">
        <v>271082</v>
      </c>
      <c r="AI13" s="5" t="n">
        <v>318898</v>
      </c>
      <c r="AJ13" s="5" t="n">
        <v>365648</v>
      </c>
      <c r="AK13" s="5" t="n">
        <v>420658</v>
      </c>
    </row>
    <row r="14" s="22" customFormat="true" ht="10.5" hidden="false" customHeight="true" outlineLevel="0" collapsed="false">
      <c r="F14" s="23" t="n">
        <f aca="false">+F13/B13-1</f>
        <v>0.173165080264715</v>
      </c>
      <c r="G14" s="23" t="n">
        <f aca="false">+G13/C13-1</f>
        <v>0.165359810699207</v>
      </c>
      <c r="H14" s="23" t="n">
        <f aca="false">+H13/D13-1</f>
        <v>0.179321438585617</v>
      </c>
      <c r="I14" s="23" t="n">
        <f aca="false">+I13/E13-1</f>
        <v>0.185387617098624</v>
      </c>
      <c r="J14" s="23" t="n">
        <f aca="false">+J13/F13-1</f>
        <v>0.170808644869773</v>
      </c>
      <c r="K14" s="23" t="n">
        <f aca="false">+K13/G13-1</f>
        <v>0.146739923823174</v>
      </c>
      <c r="L14" s="23" t="n">
        <f aca="false">+L13/H13-1</f>
        <v>0.142206427069777</v>
      </c>
      <c r="M14" s="23" t="n">
        <f aca="false">+M13/I13-1</f>
        <v>0.131977953634005</v>
      </c>
      <c r="N14" s="23" t="n">
        <f aca="false">+N13/J13-1</f>
        <v>0.112854680938858</v>
      </c>
      <c r="O14" s="23" t="n">
        <f aca="false">+O13/K13-1</f>
        <v>0.15100453661698</v>
      </c>
      <c r="P14" s="23" t="n">
        <f aca="false">+P13/L13-1</f>
        <v>0.162529032823524</v>
      </c>
      <c r="Q14" s="23" t="n">
        <f aca="false">+Q13/M13-1</f>
        <v>0.168880131860637</v>
      </c>
      <c r="R14" s="23" t="n">
        <f aca="false">+R13/N13-1</f>
        <v>0.201947719118401</v>
      </c>
      <c r="S14" s="23" t="n">
        <f aca="false">+S13/O13-1</f>
        <v>0.236768018018018</v>
      </c>
      <c r="AF14" s="22" t="n">
        <f aca="false">+AF13/AE13-1</f>
        <v>0.416562598864412</v>
      </c>
      <c r="AG14" s="22" t="n">
        <f aca="false">+AG13/AF13-1</f>
        <v>0.340207700309729</v>
      </c>
      <c r="AH14" s="22" t="n">
        <f aca="false">+AH13/AG13-1</f>
        <v>0.188773653167277</v>
      </c>
      <c r="AI14" s="22" t="n">
        <f aca="false">+AI13/AH13-1</f>
        <v>0.176389431979991</v>
      </c>
      <c r="AJ14" s="22" t="n">
        <f aca="false">+AJ13/AI13-1</f>
        <v>0.146598598925048</v>
      </c>
      <c r="AK14" s="22" t="n">
        <f aca="false">+AK13/AJ13-1</f>
        <v>0.150445236949197</v>
      </c>
      <c r="DP14" s="20"/>
      <c r="DQ14" s="20"/>
      <c r="DR14" s="20"/>
      <c r="DS14" s="20"/>
      <c r="DT14" s="20"/>
    </row>
    <row r="15" s="27" customFormat="true" ht="12.8" hidden="false" customHeight="false" outlineLevel="0" collapsed="false">
      <c r="A15" s="16" t="s">
        <v>146</v>
      </c>
      <c r="B15" s="27" t="n">
        <f aca="false">+B13+B11</f>
        <v>116444</v>
      </c>
      <c r="C15" s="27" t="n">
        <f aca="false">+C13+C11</f>
        <v>121234</v>
      </c>
      <c r="D15" s="27" t="n">
        <f aca="false">+D13+D11</f>
        <v>127101</v>
      </c>
      <c r="E15" s="27" t="n">
        <f aca="false">+E13+E11</f>
        <v>149204</v>
      </c>
      <c r="F15" s="27" t="n">
        <f aca="false">+F13+F11</f>
        <v>127358</v>
      </c>
      <c r="G15" s="27" t="n">
        <f aca="false">+G13+G11</f>
        <v>134383</v>
      </c>
      <c r="H15" s="27" t="n">
        <f aca="false">+H13+H11</f>
        <v>143083</v>
      </c>
      <c r="I15" s="27" t="n">
        <f aca="false">+I13+I11</f>
        <v>169961</v>
      </c>
      <c r="J15" s="27" t="n">
        <f aca="false">+J13+J11</f>
        <v>143313</v>
      </c>
      <c r="K15" s="27" t="n">
        <f aca="false">+K13+K11</f>
        <v>147977</v>
      </c>
      <c r="L15" s="27" t="n">
        <f aca="false">+L13+L11</f>
        <v>158877</v>
      </c>
      <c r="M15" s="27" t="n">
        <f aca="false">+M13+M11</f>
        <v>187792</v>
      </c>
      <c r="N15" s="27" t="n">
        <f aca="false">+N13+N11</f>
        <v>155667</v>
      </c>
      <c r="O15" s="27" t="n">
        <f aca="false">+O13+O11</f>
        <v>167702</v>
      </c>
      <c r="P15" s="27" t="n">
        <f aca="false">+P13+P11</f>
        <v>180169</v>
      </c>
      <c r="Q15" s="27" t="n">
        <f aca="false">+Q13+Q11</f>
        <v>213386</v>
      </c>
      <c r="R15" s="27" t="n">
        <f aca="false">+R13+R11</f>
        <v>181519</v>
      </c>
      <c r="S15" s="27" t="n">
        <f aca="false">+S13+S11</f>
        <v>200606</v>
      </c>
      <c r="T15" s="27" t="n">
        <f aca="false">+P15*1.12</f>
        <v>201789.28</v>
      </c>
      <c r="U15" s="27" t="n">
        <f aca="false">+Q15*1.165</f>
        <v>248594.69</v>
      </c>
      <c r="AA15" s="27" t="n">
        <f aca="false">+AA13+AA11</f>
        <v>107006</v>
      </c>
      <c r="AB15" s="27" t="n">
        <f aca="false">+AB13+AB11</f>
        <v>135987</v>
      </c>
      <c r="AC15" s="27" t="n">
        <f aca="false">+AC13+AC11</f>
        <v>177866</v>
      </c>
      <c r="AD15" s="27" t="n">
        <f aca="false">+AD13+AD11</f>
        <v>232887</v>
      </c>
      <c r="AE15" s="27" t="n">
        <f aca="false">+AE13+AE11</f>
        <v>280522</v>
      </c>
      <c r="AF15" s="27" t="n">
        <f aca="false">+AF13+AF11</f>
        <v>386064</v>
      </c>
      <c r="AG15" s="27" t="n">
        <f aca="false">+AG13+AG11</f>
        <v>469822</v>
      </c>
      <c r="AH15" s="27" t="n">
        <f aca="false">+AH13+AH11</f>
        <v>513983</v>
      </c>
      <c r="AI15" s="27" t="n">
        <f aca="false">+AI13+AI11</f>
        <v>574785</v>
      </c>
      <c r="AJ15" s="27" t="n">
        <f aca="false">+AJ13+AJ11</f>
        <v>637959</v>
      </c>
      <c r="AK15" s="27" t="n">
        <f aca="false">+AK13+AK11</f>
        <v>716924</v>
      </c>
      <c r="AL15" s="27" t="n">
        <f aca="false">+SUM(R15:U15)</f>
        <v>832508.97</v>
      </c>
      <c r="AM15" s="27" t="n">
        <f aca="false">+AL15*1.15</f>
        <v>957385.3155</v>
      </c>
      <c r="AN15" s="27" t="n">
        <f aca="false">+AM15*1.14</f>
        <v>1091419.25967</v>
      </c>
      <c r="AO15" s="27" t="n">
        <f aca="false">+AN15*1.13</f>
        <v>1233303.7634271</v>
      </c>
      <c r="AP15" s="27" t="n">
        <f aca="false">+AO15*1.12</f>
        <v>1381300.21503835</v>
      </c>
      <c r="DP15" s="20"/>
      <c r="DQ15" s="20"/>
      <c r="DR15" s="20"/>
      <c r="DS15" s="20"/>
      <c r="DT15" s="20"/>
    </row>
    <row r="16" s="28" customFormat="true" ht="10.5" hidden="false" customHeight="true" outlineLevel="0" collapsed="false">
      <c r="F16" s="23" t="n">
        <f aca="false">+F15/B15-1</f>
        <v>0.0937274569750266</v>
      </c>
      <c r="G16" s="23" t="n">
        <f aca="false">+G15/C15-1</f>
        <v>0.108459673029018</v>
      </c>
      <c r="H16" s="23" t="n">
        <f aca="false">+H15/D15-1</f>
        <v>0.125742519728405</v>
      </c>
      <c r="I16" s="23" t="n">
        <f aca="false">+I15/E15-1</f>
        <v>0.1391182542023</v>
      </c>
      <c r="J16" s="23" t="n">
        <f aca="false">+J15/F15-1</f>
        <v>0.125276778843889</v>
      </c>
      <c r="K16" s="23" t="n">
        <f aca="false">+K15/G15-1</f>
        <v>0.101158628695594</v>
      </c>
      <c r="L16" s="23" t="n">
        <f aca="false">+L15/H15-1</f>
        <v>0.110383483712251</v>
      </c>
      <c r="M16" s="23" t="n">
        <f aca="false">+M15/I15-1</f>
        <v>0.104912303410782</v>
      </c>
      <c r="N16" s="23" t="n">
        <f aca="false">+N15/J15-1</f>
        <v>0.0862029264616608</v>
      </c>
      <c r="O16" s="23" t="n">
        <f aca="false">+O15/K15-1</f>
        <v>0.133297742216696</v>
      </c>
      <c r="P16" s="23" t="n">
        <f aca="false">+P15/L15-1</f>
        <v>0.134015622147951</v>
      </c>
      <c r="Q16" s="23" t="n">
        <f aca="false">+Q15/M15-1</f>
        <v>0.136289085797052</v>
      </c>
      <c r="R16" s="23" t="n">
        <f aca="false">+R15/N15-1</f>
        <v>0.166072449523663</v>
      </c>
      <c r="S16" s="23" t="n">
        <f aca="false">+S15/O15-1</f>
        <v>0.196205173462451</v>
      </c>
      <c r="T16" s="23" t="n">
        <f aca="false">+T15/P15-1</f>
        <v>0.12</v>
      </c>
      <c r="U16" s="23" t="n">
        <f aca="false">+U15/Q15-1</f>
        <v>0.165</v>
      </c>
      <c r="AF16" s="22" t="n">
        <f aca="false">+AF15/AE15-1</f>
        <v>0.376234306043733</v>
      </c>
      <c r="AG16" s="22" t="n">
        <f aca="false">+AG15/AF15-1</f>
        <v>0.216953665713457</v>
      </c>
      <c r="AH16" s="22" t="n">
        <f aca="false">+AH15/AG15-1</f>
        <v>0.0939951726398509</v>
      </c>
      <c r="AI16" s="22" t="n">
        <f aca="false">+AI15/AH15-1</f>
        <v>0.118295741298837</v>
      </c>
      <c r="AJ16" s="22" t="n">
        <f aca="false">+AJ15/AI15-1</f>
        <v>0.109908922466661</v>
      </c>
      <c r="AK16" s="22" t="n">
        <f aca="false">+AK15/AJ15-1</f>
        <v>0.123777546832947</v>
      </c>
      <c r="AL16" s="22" t="n">
        <f aca="false">+AL15/AK15-1</f>
        <v>0.161223463017</v>
      </c>
      <c r="AM16" s="22" t="n">
        <f aca="false">+AM15/AL15-1</f>
        <v>0.15</v>
      </c>
      <c r="AN16" s="22" t="n">
        <f aca="false">+AN15/AM15-1</f>
        <v>0.14</v>
      </c>
      <c r="AO16" s="22" t="n">
        <f aca="false">+AO15/AN15-1</f>
        <v>0.13</v>
      </c>
      <c r="AP16" s="22" t="n">
        <f aca="false">+AP15/AO15-1</f>
        <v>0.12</v>
      </c>
      <c r="DP16" s="20"/>
      <c r="DQ16" s="20"/>
      <c r="DR16" s="20"/>
      <c r="DS16" s="20"/>
      <c r="DT16" s="20"/>
    </row>
    <row r="17" customFormat="false" ht="12.8" hidden="false" customHeight="false" outlineLevel="0" collapsed="false">
      <c r="A17" s="1" t="s">
        <v>75</v>
      </c>
      <c r="B17" s="5" t="n">
        <v>66499</v>
      </c>
      <c r="C17" s="5" t="n">
        <v>66424</v>
      </c>
      <c r="D17" s="5" t="n">
        <v>70268</v>
      </c>
      <c r="E17" s="5" t="n">
        <v>85640</v>
      </c>
      <c r="F17" s="5" t="n">
        <v>67791</v>
      </c>
      <c r="G17" s="5" t="n">
        <v>69373</v>
      </c>
      <c r="H17" s="5" t="n">
        <v>75022</v>
      </c>
      <c r="I17" s="5" t="n">
        <v>92553</v>
      </c>
      <c r="J17" s="5" t="n">
        <v>72633</v>
      </c>
      <c r="K17" s="5" t="n">
        <v>73785</v>
      </c>
      <c r="L17" s="5" t="n">
        <v>80977</v>
      </c>
      <c r="M17" s="5" t="n">
        <v>98893</v>
      </c>
      <c r="N17" s="5" t="n">
        <v>76976</v>
      </c>
      <c r="O17" s="5" t="n">
        <v>80809</v>
      </c>
      <c r="P17" s="5" t="n">
        <v>88670</v>
      </c>
      <c r="Q17" s="5" t="n">
        <v>109959</v>
      </c>
      <c r="R17" s="5" t="n">
        <v>87463</v>
      </c>
      <c r="S17" s="5" t="n">
        <v>95778</v>
      </c>
      <c r="T17" s="5" t="n">
        <f aca="false">+T15-T19</f>
        <v>98876.7472</v>
      </c>
      <c r="U17" s="5" t="n">
        <f aca="false">+U15-U19</f>
        <v>121811.3981</v>
      </c>
      <c r="AA17" s="5" t="n">
        <v>71651</v>
      </c>
      <c r="AB17" s="5" t="n">
        <v>88265</v>
      </c>
      <c r="AC17" s="5" t="n">
        <v>111934</v>
      </c>
      <c r="AD17" s="5" t="n">
        <v>139156</v>
      </c>
      <c r="AE17" s="5" t="n">
        <v>165536</v>
      </c>
      <c r="AF17" s="5" t="n">
        <v>233307</v>
      </c>
      <c r="AG17" s="5" t="n">
        <v>272344</v>
      </c>
      <c r="AH17" s="5" t="n">
        <v>288831</v>
      </c>
      <c r="AI17" s="5" t="n">
        <v>304739</v>
      </c>
      <c r="AJ17" s="5" t="n">
        <v>326288</v>
      </c>
      <c r="AK17" s="5" t="n">
        <v>356414</v>
      </c>
      <c r="AL17" s="5" t="n">
        <f aca="false">+AL15-AL19</f>
        <v>407929.3953</v>
      </c>
      <c r="AM17" s="5" t="n">
        <f aca="false">+AM15-AM19</f>
        <v>459544.95144</v>
      </c>
      <c r="AN17" s="5" t="n">
        <f aca="false">+AN15-AN19</f>
        <v>512967.0520449</v>
      </c>
      <c r="AO17" s="5" t="n">
        <f aca="false">+AO15-AO19</f>
        <v>567319.731176466</v>
      </c>
      <c r="AP17" s="5" t="n">
        <f aca="false">+AP15-AP19</f>
        <v>635398.098917642</v>
      </c>
    </row>
    <row r="18" s="22" customFormat="true" ht="10.5" hidden="false" customHeight="true" outlineLevel="0" collapsed="false">
      <c r="B18" s="22" t="n">
        <f aca="false">+B17/B$15</f>
        <v>0.571081378173199</v>
      </c>
      <c r="C18" s="22" t="n">
        <f aca="false">+C17/C$15</f>
        <v>0.54789910421169</v>
      </c>
      <c r="D18" s="22" t="n">
        <f aca="false">+D17/D$15</f>
        <v>0.552851669145011</v>
      </c>
      <c r="E18" s="22" t="n">
        <f aca="false">+E17/E$15</f>
        <v>0.573979249886062</v>
      </c>
      <c r="F18" s="22" t="n">
        <f aca="false">+F17/F$15</f>
        <v>0.532286939179321</v>
      </c>
      <c r="G18" s="22" t="n">
        <f aca="false">+G17/G$15</f>
        <v>0.516233452147965</v>
      </c>
      <c r="H18" s="22" t="n">
        <f aca="false">+H17/H$15</f>
        <v>0.524325042108427</v>
      </c>
      <c r="I18" s="22" t="n">
        <f aca="false">+I17/I$15</f>
        <v>0.54455433893658</v>
      </c>
      <c r="J18" s="22" t="n">
        <f aca="false">+J17/J$15</f>
        <v>0.506813757300454</v>
      </c>
      <c r="K18" s="22" t="n">
        <f aca="false">+K17/K$15</f>
        <v>0.498624786284355</v>
      </c>
      <c r="L18" s="22" t="n">
        <f aca="false">+L17/L$15</f>
        <v>0.50968359170931</v>
      </c>
      <c r="M18" s="22" t="n">
        <f aca="false">+M17/M$15</f>
        <v>0.526609227230127</v>
      </c>
      <c r="N18" s="22" t="n">
        <f aca="false">+N17/N$15</f>
        <v>0.494491446485125</v>
      </c>
      <c r="O18" s="22" t="n">
        <f aca="false">+O17/O$15</f>
        <v>0.481860681446852</v>
      </c>
      <c r="P18" s="22" t="n">
        <f aca="false">+P17/P$15</f>
        <v>0.492149037847798</v>
      </c>
      <c r="Q18" s="22" t="n">
        <f aca="false">+Q17/Q$15</f>
        <v>0.515305596430881</v>
      </c>
      <c r="R18" s="22" t="n">
        <f aca="false">+R17/R$15</f>
        <v>0.481839366677868</v>
      </c>
      <c r="S18" s="22" t="n">
        <f aca="false">+S17/S$15</f>
        <v>0.477443346659621</v>
      </c>
      <c r="T18" s="22" t="n">
        <f aca="false">+T17/T$15</f>
        <v>0.49</v>
      </c>
      <c r="U18" s="22" t="n">
        <f aca="false">+U17/U$15</f>
        <v>0.49</v>
      </c>
      <c r="AE18" s="22" t="n">
        <f aca="false">+AE17/AE$15</f>
        <v>0.590099885213994</v>
      </c>
      <c r="AF18" s="22" t="n">
        <f aca="false">+AF17/AF$15</f>
        <v>0.604322081312943</v>
      </c>
      <c r="AG18" s="22" t="n">
        <f aca="false">+AG17/AG$15</f>
        <v>0.579674855583604</v>
      </c>
      <c r="AH18" s="22" t="n">
        <f aca="false">+AH17/AH$15</f>
        <v>0.561946601346737</v>
      </c>
      <c r="AI18" s="22" t="n">
        <f aca="false">+AI17/AI$15</f>
        <v>0.530179110449994</v>
      </c>
      <c r="AJ18" s="22" t="n">
        <f aca="false">+AJ17/AJ$15</f>
        <v>0.511456065358432</v>
      </c>
      <c r="AK18" s="22" t="n">
        <f aca="false">+AK17/AK$15</f>
        <v>0.497143351317573</v>
      </c>
      <c r="AL18" s="22" t="n">
        <f aca="false">+AL17/AL$15</f>
        <v>0.49</v>
      </c>
      <c r="AM18" s="22" t="n">
        <f aca="false">+AM17/AM$15</f>
        <v>0.48</v>
      </c>
      <c r="AN18" s="22" t="n">
        <f aca="false">+AN17/AN$15</f>
        <v>0.47</v>
      </c>
      <c r="AO18" s="22" t="n">
        <f aca="false">+AO17/AO$15</f>
        <v>0.46</v>
      </c>
      <c r="AP18" s="22" t="n">
        <f aca="false">+AP17/AP$15</f>
        <v>0.46</v>
      </c>
      <c r="DP18" s="20"/>
      <c r="DQ18" s="20"/>
      <c r="DR18" s="20"/>
      <c r="DS18" s="20"/>
      <c r="DT18" s="20"/>
    </row>
    <row r="19" customFormat="false" ht="12.8" hidden="false" customHeight="false" outlineLevel="0" collapsed="false">
      <c r="A19" s="1" t="s">
        <v>147</v>
      </c>
      <c r="B19" s="5" t="n">
        <f aca="false">+B15-B17</f>
        <v>49945</v>
      </c>
      <c r="C19" s="5" t="n">
        <f aca="false">+C15-C17</f>
        <v>54810</v>
      </c>
      <c r="D19" s="5" t="n">
        <f aca="false">+D15-D17</f>
        <v>56833</v>
      </c>
      <c r="E19" s="5" t="n">
        <f aca="false">+E15-E17</f>
        <v>63564</v>
      </c>
      <c r="F19" s="5" t="n">
        <f aca="false">+F15-F17</f>
        <v>59567</v>
      </c>
      <c r="G19" s="5" t="n">
        <f aca="false">+G15-G17</f>
        <v>65010</v>
      </c>
      <c r="H19" s="5" t="n">
        <f aca="false">+H15-H17</f>
        <v>68061</v>
      </c>
      <c r="I19" s="5" t="n">
        <f aca="false">+I15-I17</f>
        <v>77408</v>
      </c>
      <c r="J19" s="5" t="n">
        <f aca="false">+J15-J17</f>
        <v>70680</v>
      </c>
      <c r="K19" s="5" t="n">
        <f aca="false">+K15-K17</f>
        <v>74192</v>
      </c>
      <c r="L19" s="5" t="n">
        <f aca="false">+L15-L17</f>
        <v>77900</v>
      </c>
      <c r="M19" s="5" t="n">
        <f aca="false">+M15-M17</f>
        <v>88899</v>
      </c>
      <c r="N19" s="5" t="n">
        <f aca="false">+N15-N17</f>
        <v>78691</v>
      </c>
      <c r="O19" s="5" t="n">
        <f aca="false">+O15-O17</f>
        <v>86893</v>
      </c>
      <c r="P19" s="5" t="n">
        <f aca="false">+P15-P17</f>
        <v>91499</v>
      </c>
      <c r="Q19" s="5" t="n">
        <f aca="false">+Q15-Q17</f>
        <v>103427</v>
      </c>
      <c r="R19" s="5" t="n">
        <f aca="false">+R15-R17</f>
        <v>94056</v>
      </c>
      <c r="S19" s="5" t="n">
        <f aca="false">+S15-S17</f>
        <v>104828</v>
      </c>
      <c r="T19" s="5" t="n">
        <f aca="false">+T15*0.51</f>
        <v>102912.5328</v>
      </c>
      <c r="U19" s="5" t="n">
        <f aca="false">+U15*0.51</f>
        <v>126783.2919</v>
      </c>
      <c r="AA19" s="5" t="n">
        <f aca="false">+AA15-AA17</f>
        <v>35355</v>
      </c>
      <c r="AB19" s="5" t="n">
        <f aca="false">+AB15-AB17</f>
        <v>47722</v>
      </c>
      <c r="AC19" s="5" t="n">
        <f aca="false">+AC15-AC17</f>
        <v>65932</v>
      </c>
      <c r="AD19" s="5" t="n">
        <f aca="false">+AD15-AD17</f>
        <v>93731</v>
      </c>
      <c r="AE19" s="5" t="n">
        <f aca="false">+AE15-AE17</f>
        <v>114986</v>
      </c>
      <c r="AF19" s="5" t="n">
        <f aca="false">+AF15-AF17</f>
        <v>152757</v>
      </c>
      <c r="AG19" s="5" t="n">
        <f aca="false">+AG15-AG17</f>
        <v>197478</v>
      </c>
      <c r="AH19" s="5" t="n">
        <f aca="false">+AH15-AH17</f>
        <v>225152</v>
      </c>
      <c r="AI19" s="5" t="n">
        <f aca="false">+AI15-AI17</f>
        <v>270046</v>
      </c>
      <c r="AJ19" s="5" t="n">
        <f aca="false">+AJ15-AJ17</f>
        <v>311671</v>
      </c>
      <c r="AK19" s="5" t="n">
        <f aca="false">+AK15-AK17</f>
        <v>360510</v>
      </c>
      <c r="AL19" s="5" t="n">
        <f aca="false">+AL15*0.51</f>
        <v>424579.5747</v>
      </c>
      <c r="AM19" s="5" t="n">
        <f aca="false">+AM15*0.52</f>
        <v>497840.36406</v>
      </c>
      <c r="AN19" s="5" t="n">
        <f aca="false">+AN15*0.53</f>
        <v>578452.2076251</v>
      </c>
      <c r="AO19" s="5" t="n">
        <f aca="false">+AO15*0.54</f>
        <v>665984.032250634</v>
      </c>
      <c r="AP19" s="5" t="n">
        <f aca="false">+AP15*0.54</f>
        <v>745902.11612071</v>
      </c>
    </row>
    <row r="20" s="22" customFormat="true" ht="10.5" hidden="false" customHeight="true" outlineLevel="0" collapsed="false">
      <c r="B20" s="22" t="n">
        <f aca="false">+B19/B$15</f>
        <v>0.428918621826801</v>
      </c>
      <c r="C20" s="22" t="n">
        <f aca="false">+C19/C$15</f>
        <v>0.45210089578831</v>
      </c>
      <c r="D20" s="22" t="n">
        <f aca="false">+D19/D$15</f>
        <v>0.447148330854989</v>
      </c>
      <c r="E20" s="22" t="n">
        <f aca="false">+E19/E$15</f>
        <v>0.426020750113938</v>
      </c>
      <c r="F20" s="22" t="n">
        <f aca="false">+F19/F$15</f>
        <v>0.467713060820679</v>
      </c>
      <c r="G20" s="22" t="n">
        <f aca="false">+G19/G$15</f>
        <v>0.483766547852035</v>
      </c>
      <c r="H20" s="22" t="n">
        <f aca="false">+H19/H$15</f>
        <v>0.475674957891573</v>
      </c>
      <c r="I20" s="22" t="n">
        <f aca="false">+I19/I$15</f>
        <v>0.45544566106342</v>
      </c>
      <c r="J20" s="22" t="n">
        <f aca="false">+J19/J$15</f>
        <v>0.493186242699546</v>
      </c>
      <c r="K20" s="22" t="n">
        <f aca="false">+K19/K$15</f>
        <v>0.501375213715645</v>
      </c>
      <c r="L20" s="22" t="n">
        <f aca="false">+L19/L$15</f>
        <v>0.49031640829069</v>
      </c>
      <c r="M20" s="22" t="n">
        <f aca="false">+M19/M$15</f>
        <v>0.473390772769873</v>
      </c>
      <c r="N20" s="22" t="n">
        <f aca="false">+N19/N$15</f>
        <v>0.505508553514875</v>
      </c>
      <c r="O20" s="22" t="n">
        <f aca="false">+O19/O$15</f>
        <v>0.518139318553148</v>
      </c>
      <c r="P20" s="22" t="n">
        <f aca="false">+P19/P$15</f>
        <v>0.507850962152202</v>
      </c>
      <c r="Q20" s="22" t="n">
        <f aca="false">+Q19/Q$15</f>
        <v>0.484694403569119</v>
      </c>
      <c r="R20" s="22" t="n">
        <f aca="false">+R19/R$15</f>
        <v>0.518160633322132</v>
      </c>
      <c r="S20" s="22" t="n">
        <f aca="false">+S19/S$15</f>
        <v>0.522556653340379</v>
      </c>
      <c r="T20" s="22" t="n">
        <f aca="false">+T19/T$15</f>
        <v>0.51</v>
      </c>
      <c r="U20" s="22" t="n">
        <f aca="false">+U19/U$15</f>
        <v>0.51</v>
      </c>
      <c r="AE20" s="22" t="n">
        <f aca="false">+AE19/AE$15</f>
        <v>0.409900114786006</v>
      </c>
      <c r="AF20" s="22" t="n">
        <f aca="false">+AF19/AF$15</f>
        <v>0.395677918687057</v>
      </c>
      <c r="AG20" s="22" t="n">
        <f aca="false">+AG19/AG$15</f>
        <v>0.420325144416396</v>
      </c>
      <c r="AH20" s="22" t="n">
        <f aca="false">+AH19/AH$15</f>
        <v>0.438053398653263</v>
      </c>
      <c r="AI20" s="22" t="n">
        <f aca="false">+AI19/AI$15</f>
        <v>0.469820889550006</v>
      </c>
      <c r="AJ20" s="22" t="n">
        <f aca="false">+AJ19/AJ$15</f>
        <v>0.488543934641568</v>
      </c>
      <c r="AK20" s="22" t="n">
        <f aca="false">+AK19/AK$15</f>
        <v>0.502856648682427</v>
      </c>
      <c r="AL20" s="22" t="n">
        <f aca="false">+AL19/AL$15</f>
        <v>0.51</v>
      </c>
      <c r="AM20" s="22" t="n">
        <f aca="false">+AM19/AM$15</f>
        <v>0.52</v>
      </c>
      <c r="AN20" s="22" t="n">
        <f aca="false">+AN19/AN$15</f>
        <v>0.53</v>
      </c>
      <c r="AO20" s="22" t="n">
        <f aca="false">+AO19/AO$15</f>
        <v>0.54</v>
      </c>
      <c r="AP20" s="22" t="n">
        <f aca="false">+AP19/AP$15</f>
        <v>0.54</v>
      </c>
      <c r="DP20" s="20"/>
      <c r="DQ20" s="20"/>
      <c r="DR20" s="20"/>
      <c r="DS20" s="20"/>
      <c r="DT20" s="20"/>
    </row>
    <row r="21" customFormat="false" ht="12.8" hidden="false" customHeight="false" outlineLevel="0" collapsed="false">
      <c r="A21" s="1" t="s">
        <v>79</v>
      </c>
      <c r="B21" s="5" t="n">
        <v>20271</v>
      </c>
      <c r="C21" s="5" t="n">
        <v>20342</v>
      </c>
      <c r="D21" s="5" t="n">
        <v>20583</v>
      </c>
      <c r="E21" s="5" t="n">
        <v>23103</v>
      </c>
      <c r="F21" s="5" t="n">
        <v>20905</v>
      </c>
      <c r="G21" s="5" t="n">
        <v>21305</v>
      </c>
      <c r="H21" s="5" t="n">
        <v>22314</v>
      </c>
      <c r="I21" s="5" t="n">
        <v>26095</v>
      </c>
      <c r="J21" s="5" t="n">
        <v>22317</v>
      </c>
      <c r="K21" s="5" t="n">
        <v>23566</v>
      </c>
      <c r="L21" s="5" t="n">
        <v>24660</v>
      </c>
      <c r="M21" s="5" t="n">
        <v>27962</v>
      </c>
      <c r="N21" s="5" t="n">
        <v>24593</v>
      </c>
      <c r="O21" s="5" t="n">
        <v>25976</v>
      </c>
      <c r="P21" s="5" t="n">
        <v>27679</v>
      </c>
      <c r="Q21" s="5" t="n">
        <v>30826</v>
      </c>
      <c r="R21" s="5" t="n">
        <v>27289</v>
      </c>
      <c r="S21" s="5" t="n">
        <v>29633</v>
      </c>
      <c r="T21" s="5" t="n">
        <f aca="false">+P21*1.1</f>
        <v>30446.9</v>
      </c>
      <c r="U21" s="5" t="n">
        <f aca="false">+Q21*1.1</f>
        <v>33908.6</v>
      </c>
      <c r="AA21" s="5" t="n">
        <v>13410</v>
      </c>
      <c r="AB21" s="5" t="n">
        <v>17619</v>
      </c>
      <c r="AC21" s="5" t="n">
        <v>25249</v>
      </c>
      <c r="AD21" s="5" t="n">
        <v>34027</v>
      </c>
      <c r="AE21" s="5" t="n">
        <v>40232</v>
      </c>
      <c r="AF21" s="5" t="n">
        <v>58517</v>
      </c>
      <c r="AG21" s="5" t="n">
        <v>75111</v>
      </c>
      <c r="AH21" s="5" t="n">
        <v>84299</v>
      </c>
      <c r="AI21" s="5" t="n">
        <v>90619</v>
      </c>
      <c r="AJ21" s="5" t="n">
        <v>98505</v>
      </c>
      <c r="AK21" s="5" t="n">
        <v>109074</v>
      </c>
      <c r="AL21" s="5" t="n">
        <f aca="false">+AL15*0.14</f>
        <v>116551.2558</v>
      </c>
      <c r="AM21" s="5" t="n">
        <f aca="false">+AM15*0.14</f>
        <v>134033.94417</v>
      </c>
      <c r="AN21" s="5" t="n">
        <f aca="false">+AN15*0.13</f>
        <v>141884.5037571</v>
      </c>
      <c r="AO21" s="5" t="n">
        <f aca="false">+AO15*0.13</f>
        <v>160329.489245523</v>
      </c>
      <c r="AP21" s="5" t="n">
        <f aca="false">+AP15*0.13</f>
        <v>179569.027954986</v>
      </c>
    </row>
    <row r="22" s="22" customFormat="true" ht="10.5" hidden="false" customHeight="true" outlineLevel="0" collapsed="false">
      <c r="B22" s="22" t="n">
        <f aca="false">+B21/B$15</f>
        <v>0.174083679708701</v>
      </c>
      <c r="C22" s="22" t="n">
        <f aca="false">+C21/C$15</f>
        <v>0.16779121368593</v>
      </c>
      <c r="D22" s="22" t="n">
        <f aca="false">+D21/D$15</f>
        <v>0.161942077560365</v>
      </c>
      <c r="E22" s="22" t="n">
        <f aca="false">+E21/E$15</f>
        <v>0.154841693252192</v>
      </c>
      <c r="F22" s="22" t="n">
        <f aca="false">+F21/F$15</f>
        <v>0.164143595219774</v>
      </c>
      <c r="G22" s="22" t="n">
        <f aca="false">+G21/G$15</f>
        <v>0.158539398584642</v>
      </c>
      <c r="H22" s="22" t="n">
        <f aca="false">+H21/H$15</f>
        <v>0.155951440772139</v>
      </c>
      <c r="I22" s="22" t="n">
        <f aca="false">+I21/I$15</f>
        <v>0.153535222786404</v>
      </c>
      <c r="J22" s="22" t="n">
        <f aca="false">+J21/J$15</f>
        <v>0.155722090808231</v>
      </c>
      <c r="K22" s="22" t="n">
        <f aca="false">+K21/K$15</f>
        <v>0.15925447873656</v>
      </c>
      <c r="L22" s="22" t="n">
        <f aca="false">+L21/L$15</f>
        <v>0.155214411148247</v>
      </c>
      <c r="M22" s="22" t="n">
        <f aca="false">+M21/M$15</f>
        <v>0.14889878163074</v>
      </c>
      <c r="N22" s="22" t="n">
        <f aca="false">+N21/N$15</f>
        <v>0.157984672409695</v>
      </c>
      <c r="O22" s="22" t="n">
        <f aca="false">+O21/O$15</f>
        <v>0.154893799716163</v>
      </c>
      <c r="P22" s="22" t="n">
        <f aca="false">+P21/P$15</f>
        <v>0.153627982616321</v>
      </c>
      <c r="Q22" s="22" t="n">
        <f aca="false">+Q21/Q$15</f>
        <v>0.1444612111385</v>
      </c>
      <c r="R22" s="22" t="n">
        <f aca="false">+R21/R$15</f>
        <v>0.150336879334946</v>
      </c>
      <c r="S22" s="22" t="n">
        <f aca="false">+S21/S$15</f>
        <v>0.147717416228827</v>
      </c>
      <c r="T22" s="22" t="n">
        <f aca="false">+T21/T$15</f>
        <v>0.150884625783887</v>
      </c>
      <c r="U22" s="22" t="n">
        <f aca="false">+U21/U$15</f>
        <v>0.136401143564249</v>
      </c>
      <c r="AE22" s="22" t="n">
        <f aca="false">+AE21/AE$15</f>
        <v>0.143418341520451</v>
      </c>
      <c r="AF22" s="22" t="n">
        <f aca="false">+AF21/AF$15</f>
        <v>0.151573314269137</v>
      </c>
      <c r="AG22" s="22" t="n">
        <f aca="false">+AG21/AG$15</f>
        <v>0.159871185257395</v>
      </c>
      <c r="AH22" s="22" t="n">
        <f aca="false">+AH21/AH$15</f>
        <v>0.164011261072837</v>
      </c>
      <c r="AI22" s="22" t="n">
        <f aca="false">+AI21/AI$15</f>
        <v>0.157657210957141</v>
      </c>
      <c r="AJ22" s="22" t="n">
        <f aca="false">+AJ21/AJ$15</f>
        <v>0.154406474397258</v>
      </c>
      <c r="AK22" s="22" t="n">
        <f aca="false">+AK21/AK$15</f>
        <v>0.152141649603026</v>
      </c>
      <c r="AL22" s="22" t="n">
        <f aca="false">+AL21/AL$15</f>
        <v>0.14</v>
      </c>
      <c r="AM22" s="22" t="n">
        <f aca="false">+AM21/AM$15</f>
        <v>0.14</v>
      </c>
      <c r="AN22" s="22" t="n">
        <f aca="false">+AN21/AN$15</f>
        <v>0.13</v>
      </c>
      <c r="AO22" s="22" t="n">
        <f aca="false">+AO21/AO$15</f>
        <v>0.13</v>
      </c>
      <c r="AP22" s="22" t="n">
        <f aca="false">+AP21/AP$15</f>
        <v>0.13</v>
      </c>
      <c r="DP22" s="20"/>
      <c r="DQ22" s="20"/>
      <c r="DR22" s="20"/>
      <c r="DS22" s="20"/>
      <c r="DT22" s="20"/>
    </row>
    <row r="23" customFormat="false" ht="12.8" hidden="false" customHeight="false" outlineLevel="0" collapsed="false">
      <c r="A23" s="1" t="s">
        <v>148</v>
      </c>
      <c r="B23" s="5" t="n">
        <v>14842</v>
      </c>
      <c r="C23" s="5" t="n">
        <v>18072</v>
      </c>
      <c r="D23" s="5" t="n">
        <v>19485</v>
      </c>
      <c r="E23" s="5" t="n">
        <v>20814</v>
      </c>
      <c r="F23" s="5" t="n">
        <v>20450</v>
      </c>
      <c r="G23" s="5" t="n">
        <v>21931</v>
      </c>
      <c r="H23" s="5" t="n">
        <v>21203</v>
      </c>
      <c r="I23" s="5" t="n">
        <v>22038</v>
      </c>
      <c r="J23" s="5" t="n">
        <v>20424</v>
      </c>
      <c r="K23" s="5" t="n">
        <v>22304</v>
      </c>
      <c r="L23" s="5" t="n">
        <v>22245</v>
      </c>
      <c r="M23" s="5" t="n">
        <v>23571</v>
      </c>
      <c r="N23" s="5" t="n">
        <v>22994</v>
      </c>
      <c r="O23" s="5" t="n">
        <v>27166</v>
      </c>
      <c r="P23" s="5" t="n">
        <v>28962</v>
      </c>
      <c r="Q23" s="5" t="n">
        <v>29399</v>
      </c>
      <c r="R23" s="5" t="n">
        <v>29567</v>
      </c>
      <c r="S23" s="5" t="n">
        <v>33158</v>
      </c>
      <c r="T23" s="5" t="n">
        <f aca="false">+T15*0.165</f>
        <v>33295.2312</v>
      </c>
      <c r="U23" s="5" t="n">
        <f aca="false">+U15*0.165</f>
        <v>41018.12385</v>
      </c>
      <c r="AA23" s="5" t="n">
        <v>5254</v>
      </c>
      <c r="AB23" s="5" t="n">
        <v>7233</v>
      </c>
      <c r="AC23" s="5" t="n">
        <v>10069</v>
      </c>
      <c r="AD23" s="5" t="n">
        <v>13814</v>
      </c>
      <c r="AE23" s="5" t="n">
        <v>35931</v>
      </c>
      <c r="AF23" s="5" t="n">
        <v>42740</v>
      </c>
      <c r="AG23" s="5" t="n">
        <v>56052</v>
      </c>
      <c r="AH23" s="5" t="n">
        <v>73213</v>
      </c>
      <c r="AI23" s="5" t="n">
        <v>85622</v>
      </c>
      <c r="AJ23" s="5" t="n">
        <v>88544</v>
      </c>
      <c r="AK23" s="5" t="n">
        <v>108521</v>
      </c>
      <c r="AL23" s="5" t="n">
        <f aca="false">+AL15*0.14</f>
        <v>116551.2558</v>
      </c>
      <c r="AM23" s="5" t="n">
        <f aca="false">+AM15*0.14</f>
        <v>134033.94417</v>
      </c>
      <c r="AN23" s="5" t="n">
        <f aca="false">+AN15*0.14</f>
        <v>152798.6963538</v>
      </c>
      <c r="AO23" s="5" t="n">
        <f aca="false">+AO15*0.13</f>
        <v>160329.489245523</v>
      </c>
      <c r="AP23" s="5" t="n">
        <f aca="false">+AP15*0.13</f>
        <v>179569.027954986</v>
      </c>
    </row>
    <row r="24" s="22" customFormat="true" ht="10.5" hidden="false" customHeight="true" outlineLevel="0" collapsed="false">
      <c r="B24" s="22" t="n">
        <f aca="false">+B23/B$15</f>
        <v>0.127460410154237</v>
      </c>
      <c r="C24" s="22" t="n">
        <f aca="false">+C23/C$15</f>
        <v>0.149067093389643</v>
      </c>
      <c r="D24" s="22" t="n">
        <f aca="false">+D23/D$15</f>
        <v>0.153303278495055</v>
      </c>
      <c r="E24" s="22" t="n">
        <f aca="false">+E23/E$15</f>
        <v>0.139500281493794</v>
      </c>
      <c r="F24" s="22" t="n">
        <f aca="false">+F23/F$15</f>
        <v>0.160570988866031</v>
      </c>
      <c r="G24" s="22" t="n">
        <f aca="false">+G23/G$15</f>
        <v>0.16319772590283</v>
      </c>
      <c r="H24" s="22" t="n">
        <f aca="false">+H23/H$15</f>
        <v>0.148186716800738</v>
      </c>
      <c r="I24" s="22" t="n">
        <f aca="false">+I23/I$15</f>
        <v>0.129665040803478</v>
      </c>
      <c r="J24" s="22" t="n">
        <f aca="false">+J23/J$15</f>
        <v>0.142513240250361</v>
      </c>
      <c r="K24" s="22" t="n">
        <f aca="false">+K23/K$15</f>
        <v>0.150726126357474</v>
      </c>
      <c r="L24" s="22" t="n">
        <f aca="false">+L23/L$15</f>
        <v>0.14001397307351</v>
      </c>
      <c r="M24" s="22" t="n">
        <f aca="false">+M23/M$15</f>
        <v>0.12551652892562</v>
      </c>
      <c r="N24" s="22" t="n">
        <f aca="false">+N23/N$15</f>
        <v>0.147712745797118</v>
      </c>
      <c r="O24" s="22" t="n">
        <f aca="false">+O23/O$15</f>
        <v>0.161989719860228</v>
      </c>
      <c r="P24" s="22" t="n">
        <f aca="false">+P23/P$15</f>
        <v>0.160749074480072</v>
      </c>
      <c r="Q24" s="22" t="n">
        <f aca="false">+Q23/Q$15</f>
        <v>0.137773799593225</v>
      </c>
      <c r="R24" s="22" t="n">
        <f aca="false">+R23/R$15</f>
        <v>0.162886529784761</v>
      </c>
      <c r="S24" s="22" t="n">
        <f aca="false">+S23/S$15</f>
        <v>0.165289173803376</v>
      </c>
      <c r="T24" s="22" t="n">
        <f aca="false">+T23/T$15</f>
        <v>0.165</v>
      </c>
      <c r="U24" s="22" t="n">
        <f aca="false">+U23/U$15</f>
        <v>0.165</v>
      </c>
      <c r="AE24" s="22" t="n">
        <f aca="false">+AE23/AE$15</f>
        <v>0.128086210707182</v>
      </c>
      <c r="AF24" s="22" t="n">
        <f aca="false">+AF23/AF$15</f>
        <v>0.110707033030793</v>
      </c>
      <c r="AG24" s="22" t="n">
        <f aca="false">+AG23/AG$15</f>
        <v>0.119304757972168</v>
      </c>
      <c r="AH24" s="22" t="n">
        <f aca="false">+AH23/AH$15</f>
        <v>0.142442454322419</v>
      </c>
      <c r="AI24" s="22" t="n">
        <f aca="false">+AI23/AI$15</f>
        <v>0.148963525492141</v>
      </c>
      <c r="AJ24" s="22" t="n">
        <f aca="false">+AJ23/AJ$15</f>
        <v>0.138792618334407</v>
      </c>
      <c r="AK24" s="22" t="n">
        <f aca="false">+AK23/AK$15</f>
        <v>0.151370298664852</v>
      </c>
      <c r="AL24" s="22" t="n">
        <f aca="false">+AL23/AL$15</f>
        <v>0.14</v>
      </c>
      <c r="AM24" s="22" t="n">
        <f aca="false">+AM23/AM$15</f>
        <v>0.14</v>
      </c>
      <c r="AN24" s="22" t="n">
        <f aca="false">+AN23/AN$15</f>
        <v>0.14</v>
      </c>
      <c r="AO24" s="22" t="n">
        <f aca="false">+AO23/AO$15</f>
        <v>0.13</v>
      </c>
      <c r="AP24" s="22" t="n">
        <f aca="false">+AP23/AP$15</f>
        <v>0.13</v>
      </c>
      <c r="DP24" s="20"/>
      <c r="DQ24" s="20"/>
      <c r="DR24" s="20"/>
      <c r="DS24" s="20"/>
      <c r="DT24" s="20"/>
    </row>
    <row r="25" customFormat="false" ht="12.8" hidden="false" customHeight="false" outlineLevel="0" collapsed="false">
      <c r="A25" s="1" t="s">
        <v>149</v>
      </c>
      <c r="B25" s="5" t="n">
        <v>8320</v>
      </c>
      <c r="C25" s="5" t="n">
        <v>10086</v>
      </c>
      <c r="D25" s="5" t="n">
        <v>11014</v>
      </c>
      <c r="E25" s="5" t="n">
        <v>12818</v>
      </c>
      <c r="F25" s="5" t="n">
        <v>10172</v>
      </c>
      <c r="G25" s="5" t="n">
        <v>10745</v>
      </c>
      <c r="H25" s="5" t="n">
        <v>10551</v>
      </c>
      <c r="I25" s="5" t="n">
        <v>12902</v>
      </c>
      <c r="J25" s="5" t="n">
        <v>9662</v>
      </c>
      <c r="K25" s="5" t="n">
        <v>10512</v>
      </c>
      <c r="L25" s="5" t="n">
        <v>10609</v>
      </c>
      <c r="M25" s="5" t="n">
        <v>13124</v>
      </c>
      <c r="N25" s="5" t="n">
        <v>9763</v>
      </c>
      <c r="O25" s="5" t="n">
        <v>11416</v>
      </c>
      <c r="P25" s="5" t="n">
        <v>11686</v>
      </c>
      <c r="Q25" s="5" t="n">
        <v>14264</v>
      </c>
      <c r="R25" s="5" t="n">
        <v>10314</v>
      </c>
      <c r="S25" s="5" t="n">
        <v>11698</v>
      </c>
      <c r="T25" s="5" t="n">
        <f aca="false">+T15*0.058</f>
        <v>11703.77824</v>
      </c>
      <c r="U25" s="5" t="n">
        <f aca="false">+U15*0.058</f>
        <v>14418.49202</v>
      </c>
      <c r="AA25" s="5" t="n">
        <v>12540</v>
      </c>
      <c r="AB25" s="5" t="n">
        <v>16085</v>
      </c>
      <c r="AC25" s="5" t="n">
        <v>22620</v>
      </c>
      <c r="AD25" s="5" t="n">
        <v>28837</v>
      </c>
      <c r="AE25" s="5" t="n">
        <v>18878</v>
      </c>
      <c r="AF25" s="5" t="n">
        <v>22008</v>
      </c>
      <c r="AG25" s="5" t="n">
        <v>32551</v>
      </c>
      <c r="AH25" s="5" t="n">
        <v>42238</v>
      </c>
      <c r="AI25" s="5" t="n">
        <v>44370</v>
      </c>
      <c r="AJ25" s="5" t="n">
        <v>43907</v>
      </c>
      <c r="AK25" s="5" t="n">
        <v>47129</v>
      </c>
      <c r="AL25" s="5" t="n">
        <f aca="false">+AL15*0.05</f>
        <v>41625.4485</v>
      </c>
      <c r="AM25" s="5" t="n">
        <f aca="false">+AM15*0.05</f>
        <v>47869.265775</v>
      </c>
      <c r="AN25" s="5" t="n">
        <f aca="false">+AN15*0.05</f>
        <v>54570.9629835</v>
      </c>
      <c r="AO25" s="5" t="n">
        <f aca="false">+AO15*0.05</f>
        <v>61665.188171355</v>
      </c>
      <c r="AP25" s="5" t="n">
        <f aca="false">+AP15*0.04</f>
        <v>55252.0086015341</v>
      </c>
    </row>
    <row r="26" s="22" customFormat="true" ht="10.5" hidden="false" customHeight="true" outlineLevel="0" collapsed="false">
      <c r="B26" s="22" t="n">
        <f aca="false">+B25/B$15</f>
        <v>0.0714506543918107</v>
      </c>
      <c r="C26" s="22" t="n">
        <f aca="false">+C25/C$15</f>
        <v>0.0831944833957471</v>
      </c>
      <c r="D26" s="22" t="n">
        <f aca="false">+D25/D$15</f>
        <v>0.0866554944492962</v>
      </c>
      <c r="E26" s="22" t="n">
        <f aca="false">+E25/E$15</f>
        <v>0.0859092249537546</v>
      </c>
      <c r="F26" s="22" t="n">
        <f aca="false">+F25/F$15</f>
        <v>0.0798693446819203</v>
      </c>
      <c r="G26" s="22" t="n">
        <f aca="false">+G25/G$15</f>
        <v>0.0799580304056317</v>
      </c>
      <c r="H26" s="22" t="n">
        <f aca="false">+H25/H$15</f>
        <v>0.073740416401669</v>
      </c>
      <c r="I26" s="22" t="n">
        <f aca="false">+I25/I$15</f>
        <v>0.0759115326457246</v>
      </c>
      <c r="J26" s="22" t="n">
        <f aca="false">+J25/J$15</f>
        <v>0.0674188663973261</v>
      </c>
      <c r="K26" s="22" t="n">
        <f aca="false">+K25/K$15</f>
        <v>0.0710380667265859</v>
      </c>
      <c r="L26" s="22" t="n">
        <f aca="false">+L25/L$15</f>
        <v>0.0667749265154805</v>
      </c>
      <c r="M26" s="22" t="n">
        <f aca="false">+M25/M$15</f>
        <v>0.0698858311323166</v>
      </c>
      <c r="N26" s="22" t="n">
        <f aca="false">+N25/N$15</f>
        <v>0.0627172104556521</v>
      </c>
      <c r="O26" s="22" t="n">
        <f aca="false">+O25/O$15</f>
        <v>0.0680731297181906</v>
      </c>
      <c r="P26" s="22" t="n">
        <f aca="false">+P25/P$15</f>
        <v>0.0648613246451942</v>
      </c>
      <c r="Q26" s="22" t="n">
        <f aca="false">+Q25/Q$15</f>
        <v>0.0668459973943933</v>
      </c>
      <c r="R26" s="22" t="n">
        <f aca="false">+R25/R$15</f>
        <v>0.0568204981296724</v>
      </c>
      <c r="S26" s="22" t="n">
        <f aca="false">+S25/S$15</f>
        <v>0.0583133106686739</v>
      </c>
      <c r="T26" s="22" t="n">
        <f aca="false">+T25/T$15</f>
        <v>0.058</v>
      </c>
      <c r="U26" s="22" t="n">
        <f aca="false">+U25/U$15</f>
        <v>0.058</v>
      </c>
      <c r="AE26" s="22" t="n">
        <f aca="false">+AE25/AE$15</f>
        <v>0.0672959696565688</v>
      </c>
      <c r="AF26" s="22" t="n">
        <f aca="false">+AF25/AF$15</f>
        <v>0.057006092254134</v>
      </c>
      <c r="AG26" s="22" t="n">
        <f aca="false">+AG25/AG$15</f>
        <v>0.0692836861619933</v>
      </c>
      <c r="AH26" s="22" t="n">
        <f aca="false">+AH25/AH$15</f>
        <v>0.0821778152195695</v>
      </c>
      <c r="AI26" s="22" t="n">
        <f aca="false">+AI25/AI$15</f>
        <v>0.0771940812651687</v>
      </c>
      <c r="AJ26" s="22" t="n">
        <f aca="false">+AJ25/AJ$15</f>
        <v>0.068824172086294</v>
      </c>
      <c r="AK26" s="22" t="n">
        <f aca="false">+AK25/AK$15</f>
        <v>0.0657377908955482</v>
      </c>
      <c r="AL26" s="22" t="n">
        <f aca="false">+AL25/AL$15</f>
        <v>0.05</v>
      </c>
      <c r="AM26" s="22" t="n">
        <f aca="false">+AM25/AM$15</f>
        <v>0.05</v>
      </c>
      <c r="AN26" s="22" t="n">
        <f aca="false">+AN25/AN$15</f>
        <v>0.05</v>
      </c>
      <c r="AO26" s="22" t="n">
        <f aca="false">+AO25/AO$15</f>
        <v>0.05</v>
      </c>
      <c r="AP26" s="22" t="n">
        <f aca="false">+AP25/AP$15</f>
        <v>0.04</v>
      </c>
      <c r="DP26" s="20"/>
      <c r="DQ26" s="20"/>
      <c r="DR26" s="20"/>
      <c r="DS26" s="20"/>
      <c r="DT26" s="20"/>
    </row>
    <row r="27" customFormat="false" ht="12.8" hidden="false" customHeight="false" outlineLevel="0" collapsed="false">
      <c r="A27" s="1" t="s">
        <v>150</v>
      </c>
      <c r="B27" s="5" t="n">
        <v>2594</v>
      </c>
      <c r="C27" s="5" t="n">
        <v>2903</v>
      </c>
      <c r="D27" s="5" t="n">
        <v>3061</v>
      </c>
      <c r="E27" s="5" t="n">
        <v>3333</v>
      </c>
      <c r="F27" s="5" t="n">
        <v>3043</v>
      </c>
      <c r="G27" s="5" t="n">
        <v>3202</v>
      </c>
      <c r="H27" s="5" t="n">
        <v>2561</v>
      </c>
      <c r="I27" s="5" t="n">
        <v>3010</v>
      </c>
      <c r="J27" s="5" t="n">
        <v>2742</v>
      </c>
      <c r="K27" s="5" t="n">
        <v>3041</v>
      </c>
      <c r="L27" s="5" t="n">
        <v>2713</v>
      </c>
      <c r="M27" s="5" t="n">
        <v>2863</v>
      </c>
      <c r="N27" s="5" t="n">
        <v>2628</v>
      </c>
      <c r="O27" s="5" t="n">
        <v>2965</v>
      </c>
      <c r="P27" s="5" t="n">
        <v>2875</v>
      </c>
      <c r="Q27" s="5" t="n">
        <v>2704</v>
      </c>
      <c r="R27" s="5" t="n">
        <v>2587</v>
      </c>
      <c r="S27" s="5" t="n">
        <v>2788</v>
      </c>
      <c r="T27" s="5" t="n">
        <f aca="false">+P27*1</f>
        <v>2875</v>
      </c>
      <c r="U27" s="5" t="n">
        <f aca="false">+Q27*1</f>
        <v>2704</v>
      </c>
      <c r="AA27" s="5" t="n">
        <v>1747</v>
      </c>
      <c r="AB27" s="5" t="n">
        <v>2432</v>
      </c>
      <c r="AC27" s="5" t="n">
        <v>3674</v>
      </c>
      <c r="AD27" s="5" t="n">
        <v>4336</v>
      </c>
      <c r="AE27" s="5" t="n">
        <v>5203</v>
      </c>
      <c r="AF27" s="5" t="n">
        <v>6668</v>
      </c>
      <c r="AG27" s="5" t="n">
        <v>8823</v>
      </c>
      <c r="AH27" s="5" t="n">
        <v>11891</v>
      </c>
      <c r="AI27" s="5" t="n">
        <v>11816</v>
      </c>
      <c r="AJ27" s="5" t="n">
        <v>11359</v>
      </c>
      <c r="AK27" s="5" t="n">
        <v>11172</v>
      </c>
      <c r="AL27" s="5" t="n">
        <f aca="false">+AL15*0.015</f>
        <v>12487.63455</v>
      </c>
      <c r="AM27" s="5" t="n">
        <f aca="false">+AM15*0.015</f>
        <v>14360.7797325</v>
      </c>
      <c r="AN27" s="5" t="n">
        <f aca="false">+AN15*0.01</f>
        <v>10914.1925967</v>
      </c>
      <c r="AO27" s="5" t="n">
        <f aca="false">+AO15*0.01</f>
        <v>12333.037634271</v>
      </c>
      <c r="AP27" s="5" t="n">
        <f aca="false">+AP15*0.01</f>
        <v>13813.0021503835</v>
      </c>
    </row>
    <row r="28" s="22" customFormat="true" ht="10.5" hidden="false" customHeight="true" outlineLevel="0" collapsed="false">
      <c r="B28" s="22" t="n">
        <f aca="false">+B27/B$15</f>
        <v>0.022276802583216</v>
      </c>
      <c r="C28" s="22" t="n">
        <f aca="false">+C27/C$15</f>
        <v>0.023945427850273</v>
      </c>
      <c r="D28" s="22" t="n">
        <f aca="false">+D27/D$15</f>
        <v>0.0240832094161336</v>
      </c>
      <c r="E28" s="22" t="n">
        <f aca="false">+E27/E$15</f>
        <v>0.0223385432025951</v>
      </c>
      <c r="F28" s="22" t="n">
        <f aca="false">+F27/F$15</f>
        <v>0.0238932772185493</v>
      </c>
      <c r="G28" s="22" t="n">
        <f aca="false">+G27/G$15</f>
        <v>0.0238274186467038</v>
      </c>
      <c r="H28" s="22" t="n">
        <f aca="false">+H27/H$15</f>
        <v>0.0178987021518979</v>
      </c>
      <c r="I28" s="22" t="n">
        <f aca="false">+I27/I$15</f>
        <v>0.0177099452227276</v>
      </c>
      <c r="J28" s="22" t="n">
        <f aca="false">+J27/J$15</f>
        <v>0.0191329467668669</v>
      </c>
      <c r="K28" s="22" t="n">
        <f aca="false">+K27/K$15</f>
        <v>0.0205504909546754</v>
      </c>
      <c r="L28" s="22" t="n">
        <f aca="false">+L27/L$15</f>
        <v>0.0170761028972098</v>
      </c>
      <c r="M28" s="22" t="n">
        <f aca="false">+M27/M$15</f>
        <v>0.0152455908664906</v>
      </c>
      <c r="N28" s="22" t="n">
        <f aca="false">+N27/N$15</f>
        <v>0.0168821908304265</v>
      </c>
      <c r="O28" s="22" t="n">
        <f aca="false">+O27/O$15</f>
        <v>0.0176801707791201</v>
      </c>
      <c r="P28" s="22" t="n">
        <f aca="false">+P27/P$15</f>
        <v>0.0159572401467511</v>
      </c>
      <c r="Q28" s="22" t="n">
        <f aca="false">+Q27/Q$15</f>
        <v>0.0126718716316909</v>
      </c>
      <c r="R28" s="22" t="n">
        <f aca="false">+R27/R$15</f>
        <v>0.0142519515863353</v>
      </c>
      <c r="S28" s="22" t="n">
        <f aca="false">+S27/S$15</f>
        <v>0.0138978893951327</v>
      </c>
      <c r="T28" s="22" t="n">
        <f aca="false">+T27/T$15</f>
        <v>0.0142475358453135</v>
      </c>
      <c r="U28" s="22" t="n">
        <f aca="false">+U27/U$15</f>
        <v>0.0108771430314944</v>
      </c>
      <c r="AE28" s="22" t="n">
        <f aca="false">+AE27/AE$15</f>
        <v>0.0185475648968708</v>
      </c>
      <c r="AF28" s="22" t="n">
        <f aca="false">+AF27/AF$15</f>
        <v>0.0172717476895023</v>
      </c>
      <c r="AG28" s="22" t="n">
        <f aca="false">+AG27/AG$15</f>
        <v>0.0187794526437672</v>
      </c>
      <c r="AH28" s="22" t="n">
        <f aca="false">+AH27/AH$15</f>
        <v>0.0231350064107179</v>
      </c>
      <c r="AI28" s="22" t="n">
        <f aca="false">+AI27/AI$15</f>
        <v>0.0205572518419931</v>
      </c>
      <c r="AJ28" s="22" t="n">
        <f aca="false">+AJ27/AJ$15</f>
        <v>0.0178052194576767</v>
      </c>
      <c r="AK28" s="22" t="n">
        <f aca="false">+AK27/AK$15</f>
        <v>0.0155832417383154</v>
      </c>
      <c r="AL28" s="22" t="n">
        <f aca="false">+AL27/AL$15</f>
        <v>0.015</v>
      </c>
      <c r="AM28" s="22" t="n">
        <f aca="false">+AM27/AM$15</f>
        <v>0.015</v>
      </c>
      <c r="AN28" s="22" t="n">
        <f aca="false">+AN27/AN$15</f>
        <v>0.01</v>
      </c>
      <c r="AO28" s="22" t="n">
        <f aca="false">+AO27/AO$15</f>
        <v>0.01</v>
      </c>
      <c r="AP28" s="22" t="n">
        <f aca="false">+AP27/AP$15</f>
        <v>0.01</v>
      </c>
      <c r="DP28" s="20"/>
      <c r="DQ28" s="20"/>
      <c r="DR28" s="20"/>
      <c r="DS28" s="20"/>
      <c r="DT28" s="20"/>
    </row>
    <row r="29" customFormat="false" ht="12.8" hidden="false" customHeight="false" outlineLevel="0" collapsed="false">
      <c r="A29" s="1" t="s">
        <v>151</v>
      </c>
      <c r="B29" s="5" t="n">
        <v>249</v>
      </c>
      <c r="C29" s="5" t="n">
        <v>90</v>
      </c>
      <c r="D29" s="5" t="n">
        <v>165</v>
      </c>
      <c r="E29" s="5" t="n">
        <v>759</v>
      </c>
      <c r="F29" s="5" t="n">
        <v>223</v>
      </c>
      <c r="G29" s="5" t="n">
        <v>146</v>
      </c>
      <c r="H29" s="5" t="n">
        <v>244</v>
      </c>
      <c r="I29" s="5" t="n">
        <v>154</v>
      </c>
      <c r="J29" s="5" t="n">
        <v>228</v>
      </c>
      <c r="K29" s="5" t="n">
        <v>97</v>
      </c>
      <c r="L29" s="5" t="n">
        <v>262</v>
      </c>
      <c r="M29" s="5" t="n">
        <v>176</v>
      </c>
      <c r="N29" s="5" t="n">
        <v>308</v>
      </c>
      <c r="O29" s="5" t="n">
        <v>199</v>
      </c>
      <c r="P29" s="5" t="n">
        <v>2875</v>
      </c>
      <c r="Q29" s="5" t="n">
        <v>1257</v>
      </c>
      <c r="R29" s="5" t="n">
        <v>447</v>
      </c>
      <c r="S29" s="5" t="n">
        <v>90</v>
      </c>
      <c r="T29" s="5" t="n">
        <v>100</v>
      </c>
      <c r="U29" s="5" t="n">
        <v>100</v>
      </c>
      <c r="AA29" s="5" t="n">
        <v>171</v>
      </c>
      <c r="AB29" s="5" t="n">
        <v>167</v>
      </c>
      <c r="AC29" s="5" t="n">
        <v>214</v>
      </c>
      <c r="AD29" s="5" t="n">
        <v>296</v>
      </c>
      <c r="AE29" s="5" t="n">
        <v>201</v>
      </c>
      <c r="AF29" s="5" t="n">
        <v>-75</v>
      </c>
      <c r="AG29" s="5" t="n">
        <v>62</v>
      </c>
      <c r="AH29" s="5" t="n">
        <v>1263</v>
      </c>
      <c r="AI29" s="5" t="n">
        <v>767</v>
      </c>
      <c r="AJ29" s="5" t="n">
        <v>763</v>
      </c>
      <c r="AK29" s="5" t="n">
        <v>4639</v>
      </c>
      <c r="AL29" s="5" t="n">
        <f aca="false">+AL15*0.006</f>
        <v>4995.05382</v>
      </c>
      <c r="AM29" s="5" t="n">
        <f aca="false">+AM15*0.006</f>
        <v>5744.311893</v>
      </c>
      <c r="AN29" s="5" t="n">
        <f aca="false">+AN15*0.006</f>
        <v>6548.51555802</v>
      </c>
      <c r="AO29" s="5" t="n">
        <f aca="false">+AO15*0.006</f>
        <v>7399.8225805626</v>
      </c>
      <c r="AP29" s="5" t="n">
        <f aca="false">+AP15*0.006</f>
        <v>8287.80129023011</v>
      </c>
    </row>
    <row r="30" s="22" customFormat="true" ht="10.5" hidden="false" customHeight="true" outlineLevel="0" collapsed="false">
      <c r="B30" s="22" t="n">
        <f aca="false">+B29/B$15</f>
        <v>0.00213836694033183</v>
      </c>
      <c r="C30" s="22" t="n">
        <f aca="false">+C29/C$15</f>
        <v>0.00074236600293647</v>
      </c>
      <c r="D30" s="22" t="n">
        <f aca="false">+D29/D$15</f>
        <v>0.00129818018741001</v>
      </c>
      <c r="E30" s="22" t="n">
        <f aca="false">+E29/E$15</f>
        <v>0.00508699498672958</v>
      </c>
      <c r="F30" s="22" t="n">
        <f aca="false">+F29/F$15</f>
        <v>0.00175096970743887</v>
      </c>
      <c r="G30" s="22" t="n">
        <f aca="false">+G29/G$15</f>
        <v>0.00108644694641435</v>
      </c>
      <c r="H30" s="22" t="n">
        <f aca="false">+H29/H$15</f>
        <v>0.00170530391451116</v>
      </c>
      <c r="I30" s="22" t="n">
        <f aca="false">+I29/I$15</f>
        <v>0.000906090220697689</v>
      </c>
      <c r="J30" s="22" t="n">
        <f aca="false">+J29/J$15</f>
        <v>0.00159092336354692</v>
      </c>
      <c r="K30" s="22" t="n">
        <f aca="false">+K29/K$15</f>
        <v>0.000655507274779189</v>
      </c>
      <c r="L30" s="22" t="n">
        <f aca="false">+L29/L$15</f>
        <v>0.00164907444123441</v>
      </c>
      <c r="M30" s="22" t="n">
        <f aca="false">+M29/M$15</f>
        <v>0.000937207122774133</v>
      </c>
      <c r="N30" s="22" t="n">
        <f aca="false">+N29/N$15</f>
        <v>0.0019785824869754</v>
      </c>
      <c r="O30" s="22" t="n">
        <f aca="false">+O29/O$15</f>
        <v>0.00118662866274702</v>
      </c>
      <c r="P30" s="22" t="n">
        <f aca="false">+P29/P$15</f>
        <v>0.0159572401467511</v>
      </c>
      <c r="Q30" s="22" t="n">
        <f aca="false">+Q29/Q$15</f>
        <v>0.00589073322523502</v>
      </c>
      <c r="R30" s="22" t="n">
        <f aca="false">+R29/R$15</f>
        <v>0.00246255212952914</v>
      </c>
      <c r="S30" s="22" t="n">
        <f aca="false">+S29/S$15</f>
        <v>0.000448640618924658</v>
      </c>
      <c r="T30" s="22" t="n">
        <f aca="false">+T29/T$15</f>
        <v>0.000495566464184817</v>
      </c>
      <c r="U30" s="22" t="n">
        <f aca="false">+U29/U$15</f>
        <v>0.000402261206786034</v>
      </c>
      <c r="AE30" s="22" t="n">
        <f aca="false">+AE29/AE$15</f>
        <v>0.00071652134235461</v>
      </c>
      <c r="AF30" s="22" t="n">
        <f aca="false">+AF29/AF$15</f>
        <v>-0.000194268307845331</v>
      </c>
      <c r="AG30" s="22" t="n">
        <f aca="false">+AG29/AG$15</f>
        <v>0.000131964871802512</v>
      </c>
      <c r="AH30" s="22" t="n">
        <f aca="false">+AH29/AH$15</f>
        <v>0.00245727971547697</v>
      </c>
      <c r="AI30" s="22" t="n">
        <f aca="false">+AI29/AI$15</f>
        <v>0.00133441199752951</v>
      </c>
      <c r="AJ30" s="22" t="n">
        <f aca="false">+AJ29/AJ$15</f>
        <v>0.00119600162392881</v>
      </c>
      <c r="AK30" s="22" t="n">
        <f aca="false">+AK29/AK$15</f>
        <v>0.00647069982313328</v>
      </c>
      <c r="AL30" s="22" t="n">
        <f aca="false">+AL29/AL$15</f>
        <v>0.006</v>
      </c>
      <c r="AM30" s="22" t="n">
        <f aca="false">+AM29/AM$15</f>
        <v>0.006</v>
      </c>
      <c r="AN30" s="22" t="n">
        <f aca="false">+AN29/AN$15</f>
        <v>0.006</v>
      </c>
      <c r="AO30" s="22" t="n">
        <f aca="false">+AO29/AO$15</f>
        <v>0.006</v>
      </c>
      <c r="AP30" s="22" t="n">
        <f aca="false">+AP29/AP$15</f>
        <v>0.006</v>
      </c>
      <c r="DP30" s="20"/>
      <c r="DQ30" s="20"/>
      <c r="DR30" s="20"/>
      <c r="DS30" s="20"/>
      <c r="DT30" s="20"/>
    </row>
    <row r="31" customFormat="false" ht="12.8" hidden="false" customHeight="false" outlineLevel="0" collapsed="false">
      <c r="A31" s="1" t="s">
        <v>152</v>
      </c>
      <c r="B31" s="5" t="n">
        <f aca="false">+B21+B23+B25+B27+B29</f>
        <v>46276</v>
      </c>
      <c r="C31" s="5" t="n">
        <f aca="false">+C21+C23+C25+C27+C29</f>
        <v>51493</v>
      </c>
      <c r="D31" s="5" t="n">
        <f aca="false">+D21+D23+D25+D27+D29</f>
        <v>54308</v>
      </c>
      <c r="E31" s="5" t="n">
        <f aca="false">+E21+E23+E25+E27+E29</f>
        <v>60827</v>
      </c>
      <c r="F31" s="5" t="n">
        <f aca="false">+F21+F23+F25+F27+F29</f>
        <v>54793</v>
      </c>
      <c r="G31" s="5" t="n">
        <f aca="false">+G21+G23+G25+G27+G29</f>
        <v>57329</v>
      </c>
      <c r="H31" s="5" t="n">
        <f aca="false">+H21+H23+H25+H27+H29</f>
        <v>56873</v>
      </c>
      <c r="I31" s="5" t="n">
        <f aca="false">+I21+I23+I25+I27+I29</f>
        <v>64199</v>
      </c>
      <c r="J31" s="5" t="n">
        <f aca="false">+J21+J23+J25+J27+J29</f>
        <v>55373</v>
      </c>
      <c r="K31" s="5" t="n">
        <f aca="false">+K21+K23+K25+K27+K29</f>
        <v>59520</v>
      </c>
      <c r="L31" s="5" t="n">
        <f aca="false">+L21+L23+L25+L27+L29</f>
        <v>60489</v>
      </c>
      <c r="M31" s="5" t="n">
        <f aca="false">+M21+M23+M25+M27+M29</f>
        <v>67696</v>
      </c>
      <c r="N31" s="5" t="n">
        <f aca="false">+N21+N23+N25+N27+N29</f>
        <v>60286</v>
      </c>
      <c r="O31" s="5" t="n">
        <f aca="false">+O21+O23+O25+O27+O29</f>
        <v>67722</v>
      </c>
      <c r="P31" s="5" t="n">
        <f aca="false">+P21+P23+P25+P27+P29</f>
        <v>74077</v>
      </c>
      <c r="Q31" s="5" t="n">
        <f aca="false">+Q21+Q23+Q25+Q27+Q29</f>
        <v>78450</v>
      </c>
      <c r="R31" s="5" t="n">
        <f aca="false">+R21+R23+R25+R27+R29</f>
        <v>70204</v>
      </c>
      <c r="S31" s="5" t="n">
        <f aca="false">+S21+S23+S25+S27+S29</f>
        <v>77367</v>
      </c>
      <c r="T31" s="5" t="n">
        <f aca="false">+T21+T23+T25+T27+T29</f>
        <v>78420.90944</v>
      </c>
      <c r="U31" s="5" t="n">
        <f aca="false">+U21+U23+U25+U27+U29</f>
        <v>92149.21587</v>
      </c>
      <c r="AA31" s="5" t="n">
        <f aca="false">+AA21+AA23+AA25+AA27+AA29</f>
        <v>33122</v>
      </c>
      <c r="AB31" s="5" t="n">
        <f aca="false">+AB21+AB23+AB25+AB27+AB29</f>
        <v>43536</v>
      </c>
      <c r="AC31" s="5" t="n">
        <f aca="false">+AC21+AC23+AC25+AC27+AC29</f>
        <v>61826</v>
      </c>
      <c r="AD31" s="5" t="n">
        <f aca="false">+AD21+AD23+AD25+AD27+AD29</f>
        <v>81310</v>
      </c>
      <c r="AE31" s="5" t="n">
        <f aca="false">+AE21+AE23+AE25+AE27+AE29</f>
        <v>100445</v>
      </c>
      <c r="AF31" s="5" t="n">
        <f aca="false">+AF21+AF23+AF25+AF27+AF29</f>
        <v>129858</v>
      </c>
      <c r="AG31" s="5" t="n">
        <f aca="false">+AG21+AG23+AG25+AG27+AG29</f>
        <v>172599</v>
      </c>
      <c r="AH31" s="5" t="n">
        <f aca="false">+AH21+AH23+AH25+AH27+AH29</f>
        <v>212904</v>
      </c>
      <c r="AI31" s="5" t="n">
        <f aca="false">+AI21+AI23+AI25+AI27+AI29</f>
        <v>233194</v>
      </c>
      <c r="AJ31" s="5" t="n">
        <f aca="false">+AJ21+AJ23+AJ25+AJ27+AJ29</f>
        <v>243078</v>
      </c>
      <c r="AK31" s="5" t="n">
        <f aca="false">+AK21+AK23+AK25+AK27+AK29</f>
        <v>280535</v>
      </c>
      <c r="AL31" s="5" t="n">
        <f aca="false">+AL21+AL23+AL25+AL27+AL29</f>
        <v>292210.64847</v>
      </c>
      <c r="AM31" s="5" t="n">
        <f aca="false">+AM21+AM23+AM25+AM27+AM29</f>
        <v>336042.2457405</v>
      </c>
      <c r="AN31" s="5" t="n">
        <f aca="false">+AN21+AN23+AN25+AN27+AN29</f>
        <v>366716.87124912</v>
      </c>
      <c r="AO31" s="5" t="n">
        <f aca="false">+AO21+AO23+AO25+AO27+AO29</f>
        <v>402057.026877235</v>
      </c>
      <c r="AP31" s="5" t="n">
        <f aca="false">+AP21+AP23+AP25+AP27+AP29</f>
        <v>436490.867952119</v>
      </c>
    </row>
    <row r="32" s="22" customFormat="true" ht="10.5" hidden="false" customHeight="true" outlineLevel="0" collapsed="false">
      <c r="B32" s="22" t="n">
        <f aca="false">+B31/B$15</f>
        <v>0.397409913778297</v>
      </c>
      <c r="C32" s="22" t="n">
        <f aca="false">+C31/C$15</f>
        <v>0.424740584324529</v>
      </c>
      <c r="D32" s="22" t="n">
        <f aca="false">+D31/D$15</f>
        <v>0.42728224010826</v>
      </c>
      <c r="E32" s="22" t="n">
        <f aca="false">+E31/E$15</f>
        <v>0.407676737889065</v>
      </c>
      <c r="F32" s="22" t="n">
        <f aca="false">+F31/F$15</f>
        <v>0.430228175693714</v>
      </c>
      <c r="G32" s="22" t="n">
        <f aca="false">+G31/G$15</f>
        <v>0.426609020486222</v>
      </c>
      <c r="H32" s="22" t="n">
        <f aca="false">+H31/H$15</f>
        <v>0.397482580040955</v>
      </c>
      <c r="I32" s="22" t="n">
        <f aca="false">+I31/I$15</f>
        <v>0.377727831679032</v>
      </c>
      <c r="J32" s="22" t="n">
        <f aca="false">+J31/J$15</f>
        <v>0.386378067586332</v>
      </c>
      <c r="K32" s="22" t="n">
        <f aca="false">+K31/K$15</f>
        <v>0.402224670050075</v>
      </c>
      <c r="L32" s="22" t="n">
        <f aca="false">+L31/L$15</f>
        <v>0.380728488075681</v>
      </c>
      <c r="M32" s="22" t="n">
        <f aca="false">+M31/M$15</f>
        <v>0.360483939677942</v>
      </c>
      <c r="N32" s="22" t="n">
        <f aca="false">+N31/N$15</f>
        <v>0.387275401979867</v>
      </c>
      <c r="O32" s="22" t="n">
        <f aca="false">+O31/O$15</f>
        <v>0.403823448736449</v>
      </c>
      <c r="P32" s="22" t="n">
        <f aca="false">+P31/P$15</f>
        <v>0.411152862035089</v>
      </c>
      <c r="Q32" s="22" t="n">
        <f aca="false">+Q31/Q$15</f>
        <v>0.367643612983045</v>
      </c>
      <c r="R32" s="22" t="n">
        <f aca="false">+R31/R$15</f>
        <v>0.386758410965243</v>
      </c>
      <c r="S32" s="22" t="n">
        <f aca="false">+S31/S$15</f>
        <v>0.385666430714934</v>
      </c>
      <c r="T32" s="22" t="n">
        <f aca="false">+T31/T$15</f>
        <v>0.388627728093385</v>
      </c>
      <c r="U32" s="22" t="n">
        <f aca="false">+U31/U$15</f>
        <v>0.37068054780253</v>
      </c>
      <c r="AE32" s="22" t="n">
        <f aca="false">+AE31/AE$15</f>
        <v>0.358064608123427</v>
      </c>
      <c r="AF32" s="22" t="n">
        <f aca="false">+AF31/AF$15</f>
        <v>0.336363918935721</v>
      </c>
      <c r="AG32" s="22" t="n">
        <f aca="false">+AG31/AG$15</f>
        <v>0.367371046907127</v>
      </c>
      <c r="AH32" s="22" t="n">
        <f aca="false">+AH31/AH$15</f>
        <v>0.414223816741021</v>
      </c>
      <c r="AI32" s="22" t="n">
        <f aca="false">+AI31/AI$15</f>
        <v>0.405706481553972</v>
      </c>
      <c r="AJ32" s="22" t="n">
        <f aca="false">+AJ31/AJ$15</f>
        <v>0.381024485899564</v>
      </c>
      <c r="AK32" s="22" t="n">
        <f aca="false">+AK31/AK$15</f>
        <v>0.391303680724875</v>
      </c>
      <c r="AL32" s="22" t="n">
        <f aca="false">+AL31/AL$15</f>
        <v>0.351</v>
      </c>
      <c r="AM32" s="22" t="n">
        <f aca="false">+AM31/AM$15</f>
        <v>0.351</v>
      </c>
      <c r="AN32" s="22" t="n">
        <f aca="false">+AN31/AN$15</f>
        <v>0.336</v>
      </c>
      <c r="AO32" s="22" t="n">
        <f aca="false">+AO31/AO$15</f>
        <v>0.326</v>
      </c>
      <c r="AP32" s="22" t="n">
        <f aca="false">+AP31/AP$15</f>
        <v>0.316</v>
      </c>
      <c r="DP32" s="20"/>
      <c r="DQ32" s="20"/>
      <c r="DR32" s="20"/>
      <c r="DS32" s="20"/>
      <c r="DT32" s="20"/>
    </row>
    <row r="33" customFormat="false" ht="12.8" hidden="false" customHeight="false" outlineLevel="0" collapsed="false">
      <c r="A33" s="1" t="s">
        <v>153</v>
      </c>
      <c r="B33" s="5" t="n">
        <f aca="false">+B19-B31</f>
        <v>3669</v>
      </c>
      <c r="C33" s="5" t="n">
        <f aca="false">+C19-C31</f>
        <v>3317</v>
      </c>
      <c r="D33" s="5" t="n">
        <f aca="false">+D19-D31</f>
        <v>2525</v>
      </c>
      <c r="E33" s="5" t="n">
        <f aca="false">+E19-E31</f>
        <v>2737</v>
      </c>
      <c r="F33" s="5" t="n">
        <f aca="false">+F19-F31</f>
        <v>4774</v>
      </c>
      <c r="G33" s="5" t="n">
        <f aca="false">+G19-G31</f>
        <v>7681</v>
      </c>
      <c r="H33" s="5" t="n">
        <f aca="false">+H19-H31</f>
        <v>11188</v>
      </c>
      <c r="I33" s="5" t="n">
        <f aca="false">+I19-I31</f>
        <v>13209</v>
      </c>
      <c r="J33" s="5" t="n">
        <f aca="false">+J19-J31</f>
        <v>15307</v>
      </c>
      <c r="K33" s="5" t="n">
        <f aca="false">+K19-K31</f>
        <v>14672</v>
      </c>
      <c r="L33" s="5" t="n">
        <f aca="false">+L19-L31</f>
        <v>17411</v>
      </c>
      <c r="M33" s="5" t="n">
        <f aca="false">+M19-M31</f>
        <v>21203</v>
      </c>
      <c r="N33" s="5" t="n">
        <f aca="false">+N19-N31</f>
        <v>18405</v>
      </c>
      <c r="O33" s="5" t="n">
        <f aca="false">+O19-O31</f>
        <v>19171</v>
      </c>
      <c r="P33" s="5" t="n">
        <f aca="false">+P19-P31</f>
        <v>17422</v>
      </c>
      <c r="Q33" s="5" t="n">
        <f aca="false">+Q19-Q31</f>
        <v>24977</v>
      </c>
      <c r="R33" s="5" t="n">
        <f aca="false">+R19-R31</f>
        <v>23852</v>
      </c>
      <c r="S33" s="5" t="n">
        <f aca="false">+S19-S31</f>
        <v>27461</v>
      </c>
      <c r="T33" s="5" t="n">
        <f aca="false">+T19-T31</f>
        <v>24491.62336</v>
      </c>
      <c r="U33" s="5" t="n">
        <f aca="false">+U19-U31</f>
        <v>34634.07603</v>
      </c>
      <c r="AA33" s="5" t="n">
        <f aca="false">+AA19-AA31</f>
        <v>2233</v>
      </c>
      <c r="AB33" s="5" t="n">
        <f aca="false">+AB19-AB31</f>
        <v>4186</v>
      </c>
      <c r="AC33" s="5" t="n">
        <f aca="false">+AC19-AC31</f>
        <v>4106</v>
      </c>
      <c r="AD33" s="5" t="n">
        <f aca="false">+AD19-AD31</f>
        <v>12421</v>
      </c>
      <c r="AE33" s="5" t="n">
        <f aca="false">+AE19-AE31</f>
        <v>14541</v>
      </c>
      <c r="AF33" s="5" t="n">
        <f aca="false">+AF19-AF31</f>
        <v>22899</v>
      </c>
      <c r="AG33" s="5" t="n">
        <f aca="false">+AG19-AG31</f>
        <v>24879</v>
      </c>
      <c r="AH33" s="5" t="n">
        <f aca="false">+AH19-AH31</f>
        <v>12248</v>
      </c>
      <c r="AI33" s="5" t="n">
        <f aca="false">+AI19-AI31</f>
        <v>36852</v>
      </c>
      <c r="AJ33" s="5" t="n">
        <f aca="false">+AJ19-AJ31</f>
        <v>68593</v>
      </c>
      <c r="AK33" s="5" t="n">
        <f aca="false">+AK19-AK31</f>
        <v>79975</v>
      </c>
      <c r="AL33" s="5" t="n">
        <f aca="false">+AL19-AL31</f>
        <v>132368.92623</v>
      </c>
      <c r="AM33" s="5" t="n">
        <f aca="false">+AM19-AM31</f>
        <v>161798.1183195</v>
      </c>
      <c r="AN33" s="5" t="n">
        <f aca="false">+AN19-AN31</f>
        <v>211735.33637598</v>
      </c>
      <c r="AO33" s="5" t="n">
        <f aca="false">+AO19-AO31</f>
        <v>263927.005373399</v>
      </c>
      <c r="AP33" s="5" t="n">
        <f aca="false">+AP19-AP31</f>
        <v>309411.248168591</v>
      </c>
    </row>
    <row r="34" s="22" customFormat="true" ht="10.5" hidden="false" customHeight="true" outlineLevel="0" collapsed="false">
      <c r="B34" s="22" t="n">
        <f aca="false">+B33/B$15</f>
        <v>0.031508708048504</v>
      </c>
      <c r="C34" s="22" t="n">
        <f aca="false">+C33/C$15</f>
        <v>0.0273603114637808</v>
      </c>
      <c r="D34" s="22" t="n">
        <f aca="false">+D33/D$15</f>
        <v>0.019866090746729</v>
      </c>
      <c r="E34" s="22" t="n">
        <f aca="false">+E33/E$15</f>
        <v>0.0183440122248733</v>
      </c>
      <c r="F34" s="22" t="n">
        <f aca="false">+F33/F$15</f>
        <v>0.0374848851269649</v>
      </c>
      <c r="G34" s="22" t="n">
        <f aca="false">+G33/G$15</f>
        <v>0.0571575273658126</v>
      </c>
      <c r="H34" s="22" t="n">
        <f aca="false">+H33/H$15</f>
        <v>0.0781923778506182</v>
      </c>
      <c r="I34" s="22" t="n">
        <f aca="false">+I33/I$15</f>
        <v>0.0777178293843882</v>
      </c>
      <c r="J34" s="22" t="n">
        <f aca="false">+J33/J$15</f>
        <v>0.106808175113214</v>
      </c>
      <c r="K34" s="22" t="n">
        <f aca="false">+K33/K$15</f>
        <v>0.0991505436655697</v>
      </c>
      <c r="L34" s="22" t="n">
        <f aca="false">+L33/L$15</f>
        <v>0.109587920215009</v>
      </c>
      <c r="M34" s="22" t="n">
        <f aca="false">+M33/M$15</f>
        <v>0.112906833091932</v>
      </c>
      <c r="N34" s="22" t="n">
        <f aca="false">+N33/N$15</f>
        <v>0.118233151535007</v>
      </c>
      <c r="O34" s="22" t="n">
        <f aca="false">+O33/O$15</f>
        <v>0.114315869816699</v>
      </c>
      <c r="P34" s="22" t="n">
        <f aca="false">+P33/P$15</f>
        <v>0.0966981001171123</v>
      </c>
      <c r="Q34" s="22" t="n">
        <f aca="false">+Q33/Q$15</f>
        <v>0.117050790586074</v>
      </c>
      <c r="R34" s="22" t="n">
        <f aca="false">+R33/R$15</f>
        <v>0.131402222356888</v>
      </c>
      <c r="S34" s="22" t="n">
        <f aca="false">+S33/S$15</f>
        <v>0.136890222625445</v>
      </c>
      <c r="T34" s="22" t="n">
        <f aca="false">+T33/T$15</f>
        <v>0.121372271906615</v>
      </c>
      <c r="U34" s="22" t="n">
        <f aca="false">+U33/U$15</f>
        <v>0.13931945219747</v>
      </c>
      <c r="AE34" s="22" t="n">
        <f aca="false">+AE33/AE$15</f>
        <v>0.0518355066625791</v>
      </c>
      <c r="AF34" s="22" t="n">
        <f aca="false">+AF33/AF$15</f>
        <v>0.0593139997513366</v>
      </c>
      <c r="AG34" s="22" t="n">
        <f aca="false">+AG33/AG$15</f>
        <v>0.0529540975092695</v>
      </c>
      <c r="AH34" s="22" t="n">
        <f aca="false">+AH33/AH$15</f>
        <v>0.0238295819122422</v>
      </c>
      <c r="AI34" s="22" t="n">
        <f aca="false">+AI33/AI$15</f>
        <v>0.0641144079960333</v>
      </c>
      <c r="AJ34" s="22" t="n">
        <f aca="false">+AJ33/AJ$15</f>
        <v>0.107519448742004</v>
      </c>
      <c r="AK34" s="22" t="n">
        <f aca="false">+AK33/AK$15</f>
        <v>0.111552967957552</v>
      </c>
      <c r="AL34" s="22" t="n">
        <f aca="false">+AL33/AL$15</f>
        <v>0.159</v>
      </c>
      <c r="AM34" s="22" t="n">
        <f aca="false">+AM33/AM$15</f>
        <v>0.169</v>
      </c>
      <c r="AN34" s="22" t="n">
        <f aca="false">+AN33/AN$15</f>
        <v>0.194</v>
      </c>
      <c r="AO34" s="22" t="n">
        <f aca="false">+AO33/AO$15</f>
        <v>0.214</v>
      </c>
      <c r="AP34" s="22" t="n">
        <f aca="false">+AP33/AP$15</f>
        <v>0.224</v>
      </c>
      <c r="DP34" s="20"/>
      <c r="DQ34" s="20"/>
      <c r="DR34" s="20"/>
      <c r="DS34" s="20"/>
      <c r="DT34" s="20"/>
    </row>
    <row r="35" customFormat="false" ht="12.8" hidden="false" customHeight="false" outlineLevel="0" collapsed="false">
      <c r="A35" s="1" t="s">
        <v>154</v>
      </c>
      <c r="B35" s="5" t="n">
        <v>108</v>
      </c>
      <c r="C35" s="5" t="n">
        <v>159</v>
      </c>
      <c r="D35" s="5" t="n">
        <v>277</v>
      </c>
      <c r="E35" s="5" t="n">
        <v>445</v>
      </c>
      <c r="F35" s="5" t="n">
        <v>611</v>
      </c>
      <c r="G35" s="5" t="n">
        <v>661</v>
      </c>
      <c r="H35" s="5" t="n">
        <v>776</v>
      </c>
      <c r="I35" s="5" t="n">
        <v>901</v>
      </c>
      <c r="J35" s="5" t="n">
        <v>993</v>
      </c>
      <c r="K35" s="5" t="n">
        <v>1180</v>
      </c>
      <c r="L35" s="5" t="n">
        <v>1256</v>
      </c>
      <c r="M35" s="5" t="n">
        <v>1248</v>
      </c>
      <c r="N35" s="5" t="n">
        <v>1066</v>
      </c>
      <c r="O35" s="5" t="n">
        <v>1085</v>
      </c>
      <c r="P35" s="5" t="n">
        <v>1100</v>
      </c>
      <c r="Q35" s="5" t="n">
        <v>1130</v>
      </c>
      <c r="R35" s="5" t="n">
        <v>1135</v>
      </c>
      <c r="S35" s="5" t="n">
        <v>1295</v>
      </c>
      <c r="T35" s="5" t="n">
        <f aca="false">+$AK$77*(0.05/4)</f>
        <v>1085.125</v>
      </c>
      <c r="U35" s="5" t="n">
        <f aca="false">+$AK$77*(0.05/4)</f>
        <v>1085.125</v>
      </c>
      <c r="AA35" s="5" t="n">
        <v>50</v>
      </c>
      <c r="AB35" s="5" t="n">
        <v>100</v>
      </c>
      <c r="AC35" s="5" t="n">
        <v>202</v>
      </c>
      <c r="AD35" s="5" t="n">
        <v>440</v>
      </c>
      <c r="AE35" s="5" t="n">
        <v>832</v>
      </c>
      <c r="AF35" s="5" t="n">
        <v>555</v>
      </c>
      <c r="AG35" s="5" t="n">
        <v>448</v>
      </c>
      <c r="AH35" s="5" t="n">
        <v>989</v>
      </c>
      <c r="AI35" s="5" t="n">
        <v>2949</v>
      </c>
      <c r="AJ35" s="5" t="n">
        <v>4677</v>
      </c>
      <c r="AK35" s="5" t="n">
        <v>4381</v>
      </c>
      <c r="AL35" s="5" t="n">
        <f aca="false">+$AK$77*0.05</f>
        <v>4340.5</v>
      </c>
      <c r="AM35" s="5" t="n">
        <f aca="false">+$AK$77*0.05</f>
        <v>4340.5</v>
      </c>
      <c r="AN35" s="5" t="n">
        <f aca="false">+$AK$77*0.05</f>
        <v>4340.5</v>
      </c>
      <c r="AO35" s="5" t="n">
        <f aca="false">+$AK$77*0.05</f>
        <v>4340.5</v>
      </c>
      <c r="AP35" s="5" t="n">
        <f aca="false">+$AK$77*0.05</f>
        <v>4340.5</v>
      </c>
    </row>
    <row r="36" customFormat="false" ht="10.5" hidden="false" customHeight="true" outlineLevel="0" collapsed="false">
      <c r="A36" s="22"/>
      <c r="B36" s="22" t="n">
        <f aca="false">+B35/B$15</f>
        <v>0.000927484456047542</v>
      </c>
      <c r="C36" s="22" t="n">
        <f aca="false">+C35/C$15</f>
        <v>0.00131151327185443</v>
      </c>
      <c r="D36" s="22" t="n">
        <f aca="false">+D35/D$15</f>
        <v>0.00217936916310651</v>
      </c>
      <c r="E36" s="22" t="n">
        <f aca="false">+E35/E$15</f>
        <v>0.00298249376692314</v>
      </c>
      <c r="F36" s="22" t="n">
        <f aca="false">+F35/F$15</f>
        <v>0.00479749996074059</v>
      </c>
      <c r="G36" s="22" t="n">
        <f aca="false">+G35/G$15</f>
        <v>0.00491877692862937</v>
      </c>
      <c r="H36" s="22" t="n">
        <f aca="false">+H35/H$15</f>
        <v>0.00542342556418303</v>
      </c>
      <c r="I36" s="22" t="n">
        <f aca="false">+I35/I$15</f>
        <v>0.00530121616135466</v>
      </c>
      <c r="J36" s="22" t="n">
        <f aca="false">+J35/J$15</f>
        <v>0.00692888991228988</v>
      </c>
      <c r="K36" s="22" t="n">
        <f aca="false">+K35/K$15</f>
        <v>0.00797421220865405</v>
      </c>
      <c r="L36" s="22" t="n">
        <f aca="false">+L35/L$15</f>
        <v>0.0079054866343146</v>
      </c>
      <c r="M36" s="22" t="n">
        <f aca="false">+M35/M$15</f>
        <v>0.00664565050694385</v>
      </c>
      <c r="N36" s="22" t="n">
        <f aca="false">+N35/N$15</f>
        <v>0.00684795107505123</v>
      </c>
      <c r="O36" s="22" t="n">
        <f aca="false">+O35/O$15</f>
        <v>0.00646980954311815</v>
      </c>
      <c r="P36" s="22" t="n">
        <f aca="false">+P35/P$15</f>
        <v>0.00610537883875695</v>
      </c>
      <c r="Q36" s="22" t="n">
        <f aca="false">+Q35/Q$15</f>
        <v>0.00529556765673474</v>
      </c>
      <c r="R36" s="22" t="n">
        <f aca="false">+R35/R$15</f>
        <v>0.00625278896424066</v>
      </c>
      <c r="S36" s="22" t="n">
        <f aca="false">+S35/S$15</f>
        <v>0.00645544001674925</v>
      </c>
      <c r="T36" s="22" t="n">
        <f aca="false">+T35/T$15</f>
        <v>0.00537751559448549</v>
      </c>
      <c r="U36" s="22" t="n">
        <f aca="false">+U35/U$15</f>
        <v>0.00436503692013695</v>
      </c>
      <c r="V36" s="22"/>
      <c r="W36" s="22"/>
      <c r="X36" s="22"/>
      <c r="Y36" s="22"/>
      <c r="Z36" s="22"/>
      <c r="AA36" s="22"/>
      <c r="AB36" s="22"/>
      <c r="AC36" s="22"/>
      <c r="AD36" s="22"/>
      <c r="AE36" s="22" t="n">
        <f aca="false">+AE35/AE$15</f>
        <v>0.0029658992877564</v>
      </c>
      <c r="AF36" s="22" t="n">
        <f aca="false">+AF35/AF$15</f>
        <v>0.00143758547805545</v>
      </c>
      <c r="AG36" s="22" t="n">
        <f aca="false">+AG35/AG$15</f>
        <v>0.000953552622056864</v>
      </c>
      <c r="AH36" s="22" t="n">
        <f aca="false">+AH35/AH$15</f>
        <v>0.00192418815408292</v>
      </c>
      <c r="AI36" s="22" t="n">
        <f aca="false">+AI35/AI$15</f>
        <v>0.00513061405569039</v>
      </c>
      <c r="AJ36" s="22" t="n">
        <f aca="false">+AJ35/AJ$15</f>
        <v>0.00733119212990177</v>
      </c>
      <c r="AK36" s="22" t="n">
        <f aca="false">+AK35/AK$15</f>
        <v>0.00611082904185102</v>
      </c>
      <c r="AL36" s="22" t="n">
        <f aca="false">+AL35/AL$15</f>
        <v>0.00521375763674955</v>
      </c>
      <c r="AM36" s="22" t="n">
        <f aca="false">+AM35/AM$15</f>
        <v>0.00453370229282569</v>
      </c>
      <c r="AN36" s="22" t="n">
        <f aca="false">+AN35/AN$15</f>
        <v>0.00397693183581201</v>
      </c>
      <c r="AO36" s="22" t="n">
        <f aca="false">+AO35/AO$15</f>
        <v>0.00351940870425842</v>
      </c>
      <c r="AP36" s="22" t="n">
        <f aca="false">+AP35/AP$15</f>
        <v>0.00314232920023073</v>
      </c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</row>
    <row r="37" s="22" customFormat="true" ht="12.8" hidden="false" customHeight="false" outlineLevel="0" collapsed="false">
      <c r="A37" s="1" t="s">
        <v>155</v>
      </c>
      <c r="B37" s="5" t="n">
        <v>-472</v>
      </c>
      <c r="C37" s="5" t="n">
        <v>-584</v>
      </c>
      <c r="D37" s="5" t="n">
        <v>-617</v>
      </c>
      <c r="E37" s="5" t="n">
        <v>-694</v>
      </c>
      <c r="F37" s="5" t="n">
        <v>-823</v>
      </c>
      <c r="G37" s="5" t="n">
        <v>-840</v>
      </c>
      <c r="H37" s="5" t="n">
        <v>-806</v>
      </c>
      <c r="I37" s="5" t="n">
        <v>-713</v>
      </c>
      <c r="J37" s="5" t="n">
        <v>-644</v>
      </c>
      <c r="K37" s="5" t="n">
        <v>-589</v>
      </c>
      <c r="L37" s="5" t="n">
        <v>-603</v>
      </c>
      <c r="M37" s="5" t="n">
        <v>-570</v>
      </c>
      <c r="N37" s="5" t="n">
        <v>-541</v>
      </c>
      <c r="O37" s="5" t="n">
        <v>-516</v>
      </c>
      <c r="P37" s="5" t="n">
        <v>-538</v>
      </c>
      <c r="Q37" s="5" t="n">
        <v>-679</v>
      </c>
      <c r="R37" s="5" t="n">
        <v>-800</v>
      </c>
      <c r="S37" s="5" t="n">
        <v>-1314</v>
      </c>
      <c r="T37" s="5" t="n">
        <f aca="false">-($AK$95*(0.05/4))</f>
        <v>-820.6</v>
      </c>
      <c r="U37" s="5" t="n">
        <f aca="false">-($AK$95*(0.05/4))</f>
        <v>-820.6</v>
      </c>
      <c r="V37" s="5"/>
      <c r="W37" s="5"/>
      <c r="X37" s="5"/>
      <c r="Y37" s="5"/>
      <c r="Z37" s="5"/>
      <c r="AA37" s="5" t="n">
        <v>-459</v>
      </c>
      <c r="AB37" s="5" t="n">
        <v>-484</v>
      </c>
      <c r="AC37" s="5" t="n">
        <v>-848</v>
      </c>
      <c r="AD37" s="5" t="n">
        <v>-1417</v>
      </c>
      <c r="AE37" s="5" t="n">
        <v>-1600</v>
      </c>
      <c r="AF37" s="5" t="n">
        <v>-1647</v>
      </c>
      <c r="AG37" s="5" t="n">
        <v>-1809</v>
      </c>
      <c r="AH37" s="5" t="n">
        <v>-2367</v>
      </c>
      <c r="AI37" s="5" t="n">
        <v>-3182</v>
      </c>
      <c r="AJ37" s="5" t="n">
        <v>-2406</v>
      </c>
      <c r="AK37" s="5" t="n">
        <v>-2274</v>
      </c>
      <c r="AL37" s="5" t="n">
        <f aca="false">-($AK$95*0.05)</f>
        <v>-3282.4</v>
      </c>
      <c r="AM37" s="5" t="n">
        <f aca="false">-($AK$95*0.05)</f>
        <v>-3282.4</v>
      </c>
      <c r="AN37" s="5" t="n">
        <f aca="false">-($AK$95*0.05)</f>
        <v>-3282.4</v>
      </c>
      <c r="AO37" s="5" t="n">
        <f aca="false">-($AK$95*0.05)</f>
        <v>-3282.4</v>
      </c>
      <c r="AP37" s="5" t="n">
        <f aca="false">-($AK$95*0.05)</f>
        <v>-3282.4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20"/>
      <c r="DQ37" s="20"/>
      <c r="DR37" s="20"/>
      <c r="DS37" s="20"/>
      <c r="DT37" s="20"/>
    </row>
    <row r="38" customFormat="false" ht="10.5" hidden="false" customHeight="true" outlineLevel="0" collapsed="false">
      <c r="A38" s="22"/>
      <c r="B38" s="22" t="n">
        <f aca="false">+B37/B$15</f>
        <v>-0.00405345058568926</v>
      </c>
      <c r="C38" s="22" t="n">
        <f aca="false">+C37/C$15</f>
        <v>-0.00481713050794332</v>
      </c>
      <c r="D38" s="22" t="n">
        <f aca="false">+D37/D$15</f>
        <v>-0.00485440712504229</v>
      </c>
      <c r="E38" s="22" t="n">
        <f aca="false">+E37/E$15</f>
        <v>-0.00465134982976328</v>
      </c>
      <c r="F38" s="22" t="n">
        <f aca="false">+F37/F$15</f>
        <v>-0.00646209896512194</v>
      </c>
      <c r="G38" s="22" t="n">
        <f aca="false">+G37/G$15</f>
        <v>-0.00625079065060313</v>
      </c>
      <c r="H38" s="22" t="n">
        <f aca="false">+H37/H$15</f>
        <v>-0.00563309407826227</v>
      </c>
      <c r="I38" s="22" t="n">
        <f aca="false">+I37/I$15</f>
        <v>-0.00419508004777567</v>
      </c>
      <c r="J38" s="22" t="n">
        <f aca="false">+J37/J$15</f>
        <v>-0.00449366072861499</v>
      </c>
      <c r="K38" s="22" t="n">
        <f aca="false">+K37/K$15</f>
        <v>-0.00398034829737054</v>
      </c>
      <c r="L38" s="22" t="n">
        <f aca="false">+L37/L$15</f>
        <v>-0.0037953888857418</v>
      </c>
      <c r="M38" s="22" t="n">
        <f aca="false">+M37/M$15</f>
        <v>-0.00303527306807532</v>
      </c>
      <c r="N38" s="22" t="n">
        <f aca="false">+N37/N$15</f>
        <v>-0.00347536729043407</v>
      </c>
      <c r="O38" s="22" t="n">
        <f aca="false">+O37/O$15</f>
        <v>-0.00307688638179628</v>
      </c>
      <c r="P38" s="22" t="n">
        <f aca="false">+P37/P$15</f>
        <v>-0.00298608528659203</v>
      </c>
      <c r="Q38" s="22" t="n">
        <f aca="false">+Q37/Q$15</f>
        <v>-0.0031820269370999</v>
      </c>
      <c r="R38" s="22" t="n">
        <f aca="false">+R37/R$15</f>
        <v>-0.00440725213338549</v>
      </c>
      <c r="S38" s="22" t="n">
        <f aca="false">+S37/S$15</f>
        <v>-0.00655015303630001</v>
      </c>
      <c r="T38" s="22" t="n">
        <f aca="false">+T37/T$15</f>
        <v>-0.00406661840510061</v>
      </c>
      <c r="U38" s="22" t="n">
        <f aca="false">+U37/U$15</f>
        <v>-0.00330095546288619</v>
      </c>
      <c r="V38" s="22"/>
      <c r="W38" s="22"/>
      <c r="X38" s="22"/>
      <c r="Y38" s="22"/>
      <c r="Z38" s="22"/>
      <c r="AA38" s="22"/>
      <c r="AB38" s="22"/>
      <c r="AC38" s="22"/>
      <c r="AD38" s="22"/>
      <c r="AE38" s="22" t="n">
        <f aca="false">+AE37/AE$15</f>
        <v>-0.00570365247645461</v>
      </c>
      <c r="AF38" s="22" t="n">
        <f aca="false">+AF37/AF$15</f>
        <v>-0.00426613204028348</v>
      </c>
      <c r="AG38" s="22" t="n">
        <f aca="false">+AG37/AG$15</f>
        <v>-0.00385039440468944</v>
      </c>
      <c r="AH38" s="22" t="n">
        <f aca="false">+AH37/AH$15</f>
        <v>-0.00460521067817418</v>
      </c>
      <c r="AI38" s="22" t="n">
        <f aca="false">+AI37/AI$15</f>
        <v>-0.00553598301973782</v>
      </c>
      <c r="AJ38" s="22" t="n">
        <f aca="false">+AJ37/AJ$15</f>
        <v>-0.00377140223744786</v>
      </c>
      <c r="AK38" s="22" t="n">
        <f aca="false">+AK37/AK$15</f>
        <v>-0.00317188432804593</v>
      </c>
      <c r="AL38" s="22" t="n">
        <f aca="false">+AL37/AL$15</f>
        <v>-0.00394278034025267</v>
      </c>
      <c r="AM38" s="22" t="n">
        <f aca="false">+AM37/AM$15</f>
        <v>-0.00342850464369797</v>
      </c>
      <c r="AN38" s="22" t="n">
        <f aca="false">+AN37/AN$15</f>
        <v>-0.00300746021377015</v>
      </c>
      <c r="AO38" s="22" t="n">
        <f aca="false">+AO37/AO$15</f>
        <v>-0.0026614692157258</v>
      </c>
      <c r="AP38" s="22" t="n">
        <f aca="false">+AP37/AP$15</f>
        <v>-0.00237631179975518</v>
      </c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</row>
    <row r="39" s="22" customFormat="true" ht="12.8" hidden="false" customHeight="false" outlineLevel="0" collapsed="false">
      <c r="A39" s="1" t="s">
        <v>156</v>
      </c>
      <c r="B39" s="5" t="n">
        <v>-8570</v>
      </c>
      <c r="C39" s="5" t="n">
        <v>-5545</v>
      </c>
      <c r="D39" s="5" t="n">
        <v>759</v>
      </c>
      <c r="E39" s="5" t="n">
        <v>-3450</v>
      </c>
      <c r="F39" s="5" t="n">
        <v>-443</v>
      </c>
      <c r="G39" s="5" t="n">
        <v>61</v>
      </c>
      <c r="H39" s="5" t="n">
        <v>1031</v>
      </c>
      <c r="I39" s="5" t="n">
        <v>289</v>
      </c>
      <c r="J39" s="5" t="n">
        <v>-2673</v>
      </c>
      <c r="K39" s="5" t="n">
        <v>-18</v>
      </c>
      <c r="L39" s="5" t="n">
        <v>-27</v>
      </c>
      <c r="M39" s="5" t="n">
        <v>468</v>
      </c>
      <c r="N39" s="5" t="n">
        <v>2749</v>
      </c>
      <c r="O39" s="5" t="n">
        <v>1117</v>
      </c>
      <c r="P39" s="5" t="n">
        <v>10186</v>
      </c>
      <c r="Q39" s="5" t="n">
        <v>1177</v>
      </c>
      <c r="R39" s="5" t="n">
        <v>15647</v>
      </c>
      <c r="S39" s="5" t="n">
        <v>53415</v>
      </c>
      <c r="T39" s="29" t="n">
        <v>7000</v>
      </c>
      <c r="U39" s="29" t="n">
        <v>7000</v>
      </c>
      <c r="V39" s="5"/>
      <c r="W39" s="5"/>
      <c r="X39" s="5"/>
      <c r="Y39" s="5"/>
      <c r="Z39" s="5"/>
      <c r="AA39" s="5" t="n">
        <v>-256</v>
      </c>
      <c r="AB39" s="5" t="n">
        <v>90</v>
      </c>
      <c r="AC39" s="5" t="n">
        <v>346</v>
      </c>
      <c r="AD39" s="5" t="n">
        <v>-183</v>
      </c>
      <c r="AE39" s="5" t="n">
        <v>203</v>
      </c>
      <c r="AF39" s="5" t="n">
        <v>2371</v>
      </c>
      <c r="AG39" s="5" t="n">
        <v>14633</v>
      </c>
      <c r="AH39" s="5" t="n">
        <v>-16806</v>
      </c>
      <c r="AI39" s="5" t="n">
        <v>938</v>
      </c>
      <c r="AJ39" s="5" t="n">
        <v>-2250</v>
      </c>
      <c r="AK39" s="5" t="n">
        <v>15229</v>
      </c>
      <c r="AL39" s="5" t="n">
        <f aca="false">+SUM(R39:U39)</f>
        <v>83062</v>
      </c>
      <c r="AM39" s="5" t="n">
        <f aca="false">+AL75*$AS$56</f>
        <v>6772.273213782</v>
      </c>
      <c r="AN39" s="5" t="n">
        <f aca="false">+AM75*$AS$56</f>
        <v>10726.5799156608</v>
      </c>
      <c r="AO39" s="5" t="n">
        <f aca="false">+AN75*$AS$56</f>
        <v>15941.9482968852</v>
      </c>
      <c r="AP39" s="5" t="n">
        <f aca="false">+AO75*$AS$56</f>
        <v>22500.6413527698</v>
      </c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20"/>
      <c r="DQ39" s="20"/>
      <c r="DR39" s="20"/>
      <c r="DS39" s="20"/>
      <c r="DT39" s="20"/>
    </row>
    <row r="40" customFormat="false" ht="10.5" hidden="false" customHeight="true" outlineLevel="0" collapsed="false">
      <c r="A40" s="22"/>
      <c r="B40" s="22" t="n">
        <f aca="false">+B39/B$15</f>
        <v>-0.07359760915118</v>
      </c>
      <c r="C40" s="22" t="n">
        <f aca="false">+C39/C$15</f>
        <v>-0.0457379942920303</v>
      </c>
      <c r="D40" s="22" t="n">
        <f aca="false">+D39/D$15</f>
        <v>0.00597162886208606</v>
      </c>
      <c r="E40" s="22" t="n">
        <f aca="false">+E39/E$15</f>
        <v>-0.0231227044851344</v>
      </c>
      <c r="F40" s="22" t="n">
        <f aca="false">+F39/F$15</f>
        <v>-0.00347838376858933</v>
      </c>
      <c r="G40" s="22" t="n">
        <f aca="false">+G39/G$15</f>
        <v>0.000453926463912846</v>
      </c>
      <c r="H40" s="22" t="n">
        <f aca="false">+H39/H$15</f>
        <v>0.00720560793385657</v>
      </c>
      <c r="I40" s="22" t="n">
        <f aca="false">+I39/I$15</f>
        <v>0.00170039008949112</v>
      </c>
      <c r="J40" s="22" t="n">
        <f aca="false">+J39/J$15</f>
        <v>-0.0186514831173725</v>
      </c>
      <c r="K40" s="22" t="n">
        <f aca="false">+K39/K$15</f>
        <v>-0.000121640525216757</v>
      </c>
      <c r="L40" s="22" t="n">
        <f aca="false">+L39/L$15</f>
        <v>-0.000169942785928737</v>
      </c>
      <c r="M40" s="22" t="n">
        <f aca="false">+M39/M$15</f>
        <v>0.00249211894010395</v>
      </c>
      <c r="N40" s="22" t="n">
        <f aca="false">+N39/N$15</f>
        <v>0.0176594910931668</v>
      </c>
      <c r="O40" s="22" t="n">
        <f aca="false">+O39/O$15</f>
        <v>0.00666062420245435</v>
      </c>
      <c r="P40" s="22" t="n">
        <f aca="false">+P39/P$15</f>
        <v>0.0565358080468893</v>
      </c>
      <c r="Q40" s="22" t="n">
        <f aca="false">+Q39/Q$15</f>
        <v>0.00551582578051044</v>
      </c>
      <c r="R40" s="22" t="n">
        <f aca="false">+R39/R$15</f>
        <v>0.0862003426638534</v>
      </c>
      <c r="S40" s="22" t="n">
        <f aca="false">+S39/S$15</f>
        <v>0.266268207331785</v>
      </c>
      <c r="T40" s="22" t="n">
        <f aca="false">+T39/T$15</f>
        <v>0.0346896524929372</v>
      </c>
      <c r="U40" s="22" t="n">
        <f aca="false">+U39/U$15</f>
        <v>0.0281582844750224</v>
      </c>
      <c r="V40" s="22"/>
      <c r="W40" s="22"/>
      <c r="X40" s="22"/>
      <c r="Y40" s="22"/>
      <c r="Z40" s="22"/>
      <c r="AA40" s="22"/>
      <c r="AB40" s="22"/>
      <c r="AC40" s="22"/>
      <c r="AD40" s="22"/>
      <c r="AE40" s="22" t="n">
        <f aca="false">+AE39/AE$15</f>
        <v>0.000723650907950179</v>
      </c>
      <c r="AF40" s="22" t="n">
        <f aca="false">+AF39/AF$15</f>
        <v>0.00614146877201708</v>
      </c>
      <c r="AG40" s="22" t="n">
        <f aca="false">+AG39/AG$15</f>
        <v>0.0311458382110672</v>
      </c>
      <c r="AH40" s="22" t="n">
        <f aca="false">+AH39/AH$15</f>
        <v>-0.0326975794919287</v>
      </c>
      <c r="AI40" s="22" t="n">
        <f aca="false">+AI39/AI$15</f>
        <v>0.00163191454195917</v>
      </c>
      <c r="AJ40" s="22" t="n">
        <f aca="false">+AJ39/AJ$15</f>
        <v>-0.00352687241656596</v>
      </c>
      <c r="AK40" s="22" t="n">
        <f aca="false">+AK39/AK$15</f>
        <v>0.0212421400315794</v>
      </c>
      <c r="AL40" s="22" t="n">
        <f aca="false">+AL39/AL$15</f>
        <v>0.0997730991415023</v>
      </c>
      <c r="AM40" s="22" t="n">
        <f aca="false">+AM39/AM$15</f>
        <v>0.00707371745120735</v>
      </c>
      <c r="AN40" s="22" t="n">
        <f aca="false">+AN39/AN$15</f>
        <v>0.0098281020979088</v>
      </c>
      <c r="AO40" s="22" t="n">
        <f aca="false">+AO39/AO$15</f>
        <v>0.0129262139382319</v>
      </c>
      <c r="AP40" s="22" t="n">
        <f aca="false">+AP39/AP$15</f>
        <v>0.0162894648880838</v>
      </c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</row>
    <row r="41" s="22" customFormat="true" ht="12.8" hidden="false" customHeight="false" outlineLevel="0" collapsed="false">
      <c r="A41" s="1" t="s">
        <v>157</v>
      </c>
      <c r="B41" s="5" t="n">
        <f aca="false">+B39+B37+B35+B33</f>
        <v>-5265</v>
      </c>
      <c r="C41" s="5" t="n">
        <f aca="false">+C39+C37+C35+C33</f>
        <v>-2653</v>
      </c>
      <c r="D41" s="5" t="n">
        <f aca="false">+D39+D37+D35+D33</f>
        <v>2944</v>
      </c>
      <c r="E41" s="5" t="n">
        <f aca="false">+E39+E37+E35+E33</f>
        <v>-962</v>
      </c>
      <c r="F41" s="5" t="n">
        <f aca="false">+F39+F37+F35+F33</f>
        <v>4119</v>
      </c>
      <c r="G41" s="5" t="n">
        <f aca="false">+G39+G37+G35+G33</f>
        <v>7563</v>
      </c>
      <c r="H41" s="5" t="n">
        <f aca="false">+H39+H37+H35+H33</f>
        <v>12189</v>
      </c>
      <c r="I41" s="5" t="n">
        <f aca="false">+I39+I37+I35+I33</f>
        <v>13686</v>
      </c>
      <c r="J41" s="5" t="n">
        <f aca="false">+J39+J37+J35+J33</f>
        <v>12983</v>
      </c>
      <c r="K41" s="5" t="n">
        <f aca="false">+K39+K37+K35+K33</f>
        <v>15245</v>
      </c>
      <c r="L41" s="5" t="n">
        <f aca="false">+L39+L37+L35+L33</f>
        <v>18037</v>
      </c>
      <c r="M41" s="5" t="n">
        <f aca="false">+M39+M37+M35+M33</f>
        <v>22349</v>
      </c>
      <c r="N41" s="5" t="n">
        <f aca="false">+N39+N37+N35+N33</f>
        <v>21679</v>
      </c>
      <c r="O41" s="5" t="n">
        <f aca="false">+O39+O37+O35+O33</f>
        <v>20857</v>
      </c>
      <c r="P41" s="5" t="n">
        <f aca="false">+P39+P37+P35+P33</f>
        <v>28170</v>
      </c>
      <c r="Q41" s="5" t="n">
        <f aca="false">+Q39+Q37+Q35+Q33</f>
        <v>26605</v>
      </c>
      <c r="R41" s="5" t="n">
        <f aca="false">+R39+R37+R35+R33</f>
        <v>39834</v>
      </c>
      <c r="S41" s="5" t="n">
        <f aca="false">+S39+S37+S35+S33</f>
        <v>80857</v>
      </c>
      <c r="T41" s="5" t="n">
        <f aca="false">+T39+T37+T35+T33</f>
        <v>31756.14836</v>
      </c>
      <c r="U41" s="5" t="n">
        <f aca="false">+U39+U37+U35+U33</f>
        <v>41898.60103</v>
      </c>
      <c r="V41" s="5"/>
      <c r="W41" s="5"/>
      <c r="X41" s="5"/>
      <c r="Y41" s="5"/>
      <c r="Z41" s="5"/>
      <c r="AA41" s="5" t="n">
        <f aca="false">+AA39+AA37+AA35+AA33</f>
        <v>1568</v>
      </c>
      <c r="AB41" s="5" t="n">
        <f aca="false">+AB39+AB37+AB35+AB33</f>
        <v>3892</v>
      </c>
      <c r="AC41" s="5" t="n">
        <f aca="false">+AC39+AC37+AC35+AC33</f>
        <v>3806</v>
      </c>
      <c r="AD41" s="5" t="n">
        <f aca="false">+AD39+AD37+AD35+AD33</f>
        <v>11261</v>
      </c>
      <c r="AE41" s="5" t="n">
        <f aca="false">+AE39+AE37+AE35+AE33</f>
        <v>13976</v>
      </c>
      <c r="AF41" s="5" t="n">
        <f aca="false">+AF39+AF37+AF35+AF33</f>
        <v>24178</v>
      </c>
      <c r="AG41" s="5" t="n">
        <f aca="false">+AG39+AG37+AG35+AG33</f>
        <v>38151</v>
      </c>
      <c r="AH41" s="5" t="n">
        <f aca="false">+AH39+AH37+AH35+AH33</f>
        <v>-5936</v>
      </c>
      <c r="AI41" s="5" t="n">
        <f aca="false">+AI39+AI37+AI35+AI33</f>
        <v>37557</v>
      </c>
      <c r="AJ41" s="5" t="n">
        <f aca="false">+AJ39+AJ37+AJ35+AJ33</f>
        <v>68614</v>
      </c>
      <c r="AK41" s="5" t="n">
        <f aca="false">+AK39+AK37+AK35+AK33</f>
        <v>97311</v>
      </c>
      <c r="AL41" s="5" t="n">
        <f aca="false">+AL39+AL37+AL35+AL33</f>
        <v>216489.02623</v>
      </c>
      <c r="AM41" s="5" t="n">
        <f aca="false">+AM39+AM37+AM35+AM33</f>
        <v>169628.491533282</v>
      </c>
      <c r="AN41" s="5" t="n">
        <f aca="false">+AN39+AN37+AN35+AN33</f>
        <v>223520.016291641</v>
      </c>
      <c r="AO41" s="5" t="n">
        <f aca="false">+AO39+AO37+AO35+AO33</f>
        <v>280927.053670284</v>
      </c>
      <c r="AP41" s="5" t="n">
        <f aca="false">+AP39+AP37+AP35+AP33</f>
        <v>332969.989521361</v>
      </c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20"/>
      <c r="DQ41" s="20"/>
      <c r="DR41" s="20"/>
      <c r="DS41" s="20"/>
      <c r="DT41" s="20"/>
    </row>
    <row r="42" customFormat="false" ht="10.5" hidden="false" customHeight="true" outlineLevel="0" collapsed="false">
      <c r="A42" s="22"/>
      <c r="B42" s="22" t="n">
        <f aca="false">+B41/B$15</f>
        <v>-0.0452148672323177</v>
      </c>
      <c r="C42" s="22" t="n">
        <f aca="false">+C41/C$15</f>
        <v>-0.0218833000643384</v>
      </c>
      <c r="D42" s="22" t="n">
        <f aca="false">+D41/D$15</f>
        <v>0.0231626816468793</v>
      </c>
      <c r="E42" s="22" t="n">
        <f aca="false">+E41/E$15</f>
        <v>-0.00644754832310126</v>
      </c>
      <c r="F42" s="22" t="n">
        <f aca="false">+F41/F$15</f>
        <v>0.0323419023539943</v>
      </c>
      <c r="G42" s="22" t="n">
        <f aca="false">+G41/G$15</f>
        <v>0.0562794401077517</v>
      </c>
      <c r="H42" s="22" t="n">
        <f aca="false">+H41/H$15</f>
        <v>0.0851883172703955</v>
      </c>
      <c r="I42" s="22" t="n">
        <f aca="false">+I41/I$15</f>
        <v>0.0805243555874583</v>
      </c>
      <c r="J42" s="22" t="n">
        <f aca="false">+J41/J$15</f>
        <v>0.0905919211795162</v>
      </c>
      <c r="K42" s="22" t="n">
        <f aca="false">+K41/K$15</f>
        <v>0.103022767051636</v>
      </c>
      <c r="L42" s="22" t="n">
        <f aca="false">+L41/L$15</f>
        <v>0.113528075177653</v>
      </c>
      <c r="M42" s="22" t="n">
        <f aca="false">+M41/M$15</f>
        <v>0.119009329470904</v>
      </c>
      <c r="N42" s="22" t="n">
        <f aca="false">+N41/N$15</f>
        <v>0.139265226412791</v>
      </c>
      <c r="O42" s="22" t="n">
        <f aca="false">+O41/O$15</f>
        <v>0.124369417180475</v>
      </c>
      <c r="P42" s="22" t="n">
        <f aca="false">+P41/P$15</f>
        <v>0.156353201716166</v>
      </c>
      <c r="Q42" s="22" t="n">
        <f aca="false">+Q41/Q$15</f>
        <v>0.124680157086219</v>
      </c>
      <c r="R42" s="22" t="n">
        <f aca="false">+R41/R$15</f>
        <v>0.219448101851597</v>
      </c>
      <c r="S42" s="22" t="n">
        <f aca="false">+S41/S$15</f>
        <v>0.403063716937679</v>
      </c>
      <c r="T42" s="22" t="n">
        <f aca="false">+T41/T$15</f>
        <v>0.157372821588937</v>
      </c>
      <c r="U42" s="22" t="n">
        <f aca="false">+U41/U$15</f>
        <v>0.168541818129744</v>
      </c>
      <c r="V42" s="22"/>
      <c r="W42" s="22"/>
      <c r="X42" s="22"/>
      <c r="Y42" s="22"/>
      <c r="Z42" s="22"/>
      <c r="AA42" s="22"/>
      <c r="AB42" s="22"/>
      <c r="AC42" s="22"/>
      <c r="AD42" s="22"/>
      <c r="AE42" s="22" t="n">
        <f aca="false">+AE41/AE$15</f>
        <v>0.049821404381831</v>
      </c>
      <c r="AF42" s="22" t="n">
        <f aca="false">+AF41/AF$15</f>
        <v>0.0626269219611256</v>
      </c>
      <c r="AG42" s="22" t="n">
        <f aca="false">+AG41/AG$15</f>
        <v>0.0812030939377041</v>
      </c>
      <c r="AH42" s="22" t="n">
        <f aca="false">+AH41/AH$15</f>
        <v>-0.0115490201037778</v>
      </c>
      <c r="AI42" s="22" t="n">
        <f aca="false">+AI41/AI$15</f>
        <v>0.065340953573945</v>
      </c>
      <c r="AJ42" s="22" t="n">
        <f aca="false">+AJ41/AJ$15</f>
        <v>0.107552366217892</v>
      </c>
      <c r="AK42" s="22" t="n">
        <f aca="false">+AK41/AK$15</f>
        <v>0.135734052702936</v>
      </c>
      <c r="AL42" s="22" t="n">
        <f aca="false">+AL41/AL$15</f>
        <v>0.260044076437999</v>
      </c>
      <c r="AM42" s="22" t="n">
        <f aca="false">+AM41/AM$15</f>
        <v>0.177178915100335</v>
      </c>
      <c r="AN42" s="22" t="n">
        <f aca="false">+AN41/AN$15</f>
        <v>0.204797573719951</v>
      </c>
      <c r="AO42" s="22" t="n">
        <f aca="false">+AO41/AO$15</f>
        <v>0.227784153426764</v>
      </c>
      <c r="AP42" s="22" t="n">
        <f aca="false">+AP41/AP$15</f>
        <v>0.241055482288559</v>
      </c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</row>
    <row r="43" s="22" customFormat="true" ht="12.8" hidden="false" customHeight="false" outlineLevel="0" collapsed="false">
      <c r="A43" s="1" t="s">
        <v>158</v>
      </c>
      <c r="B43" s="5" t="n">
        <v>-1422</v>
      </c>
      <c r="C43" s="5" t="n">
        <v>-637</v>
      </c>
      <c r="D43" s="5" t="n">
        <v>69</v>
      </c>
      <c r="E43" s="5" t="n">
        <v>-1227</v>
      </c>
      <c r="F43" s="5" t="n">
        <v>948</v>
      </c>
      <c r="G43" s="5" t="n">
        <v>804</v>
      </c>
      <c r="H43" s="5" t="n">
        <v>2306</v>
      </c>
      <c r="I43" s="5" t="n">
        <v>3062</v>
      </c>
      <c r="J43" s="5" t="n">
        <v>2467</v>
      </c>
      <c r="K43" s="5" t="n">
        <v>1767</v>
      </c>
      <c r="L43" s="5" t="n">
        <v>2706</v>
      </c>
      <c r="M43" s="5" t="n">
        <v>2325</v>
      </c>
      <c r="N43" s="5" t="n">
        <v>4553</v>
      </c>
      <c r="O43" s="5" t="n">
        <v>2678</v>
      </c>
      <c r="P43" s="5" t="n">
        <v>6910</v>
      </c>
      <c r="Q43" s="5" t="n">
        <v>4946</v>
      </c>
      <c r="R43" s="5" t="n">
        <v>9560</v>
      </c>
      <c r="S43" s="5" t="n">
        <v>18199</v>
      </c>
      <c r="T43" s="5" t="n">
        <f aca="false">+T41*0.3</f>
        <v>9526.844508</v>
      </c>
      <c r="U43" s="5" t="n">
        <f aca="false">+U41*0.3</f>
        <v>12569.580309</v>
      </c>
      <c r="V43" s="5"/>
      <c r="W43" s="5"/>
      <c r="X43" s="5"/>
      <c r="Y43" s="5"/>
      <c r="Z43" s="5"/>
      <c r="AA43" s="5" t="n">
        <v>950</v>
      </c>
      <c r="AB43" s="5" t="n">
        <v>1425</v>
      </c>
      <c r="AC43" s="5" t="n">
        <v>769</v>
      </c>
      <c r="AD43" s="5" t="n">
        <v>1197</v>
      </c>
      <c r="AE43" s="5" t="n">
        <v>2374</v>
      </c>
      <c r="AF43" s="5" t="n">
        <v>2863</v>
      </c>
      <c r="AG43" s="5" t="n">
        <v>4791</v>
      </c>
      <c r="AH43" s="5" t="n">
        <v>-3217</v>
      </c>
      <c r="AI43" s="5" t="n">
        <v>7120</v>
      </c>
      <c r="AJ43" s="5" t="n">
        <v>9265</v>
      </c>
      <c r="AK43" s="5" t="n">
        <v>19087</v>
      </c>
      <c r="AL43" s="5" t="n">
        <f aca="false">+AL41*0.22</f>
        <v>47627.5857706</v>
      </c>
      <c r="AM43" s="5" t="n">
        <f aca="false">+AM41*0.22</f>
        <v>37318.2681373221</v>
      </c>
      <c r="AN43" s="5" t="n">
        <f aca="false">+AN41*0.22</f>
        <v>49174.403584161</v>
      </c>
      <c r="AO43" s="5" t="n">
        <f aca="false">+AO41*0.22</f>
        <v>61803.9518074626</v>
      </c>
      <c r="AP43" s="5" t="n">
        <f aca="false">+AP41*0.22</f>
        <v>73253.3976946993</v>
      </c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20"/>
      <c r="DQ43" s="20"/>
      <c r="DR43" s="20"/>
      <c r="DS43" s="20"/>
      <c r="DT43" s="20"/>
    </row>
    <row r="44" s="27" customFormat="true" ht="10.5" hidden="false" customHeight="true" outlineLevel="0" collapsed="false">
      <c r="A44" s="22"/>
      <c r="B44" s="22" t="n">
        <f aca="false">+B43/B$15</f>
        <v>-0.0122118786712926</v>
      </c>
      <c r="C44" s="22" t="n">
        <f aca="false">+C43/C$15</f>
        <v>-0.00525430159856146</v>
      </c>
      <c r="D44" s="22" t="n">
        <f aca="false">+D43/D$15</f>
        <v>0.000542875351098733</v>
      </c>
      <c r="E44" s="22" t="n">
        <f aca="false">+E43/E$15</f>
        <v>-0.00822364011688695</v>
      </c>
      <c r="F44" s="22" t="n">
        <f aca="false">+F43/F$15</f>
        <v>0.00744358422713925</v>
      </c>
      <c r="G44" s="22" t="n">
        <f aca="false">+G43/G$15</f>
        <v>0.00598289962272014</v>
      </c>
      <c r="H44" s="22" t="n">
        <f aca="false">+H43/H$15</f>
        <v>0.0161165197822243</v>
      </c>
      <c r="I44" s="22" t="n">
        <f aca="false">+I43/I$15</f>
        <v>0.0180158977647813</v>
      </c>
      <c r="J44" s="22" t="n">
        <f aca="false">+J43/J$15</f>
        <v>0.0172140699029397</v>
      </c>
      <c r="K44" s="22" t="n">
        <f aca="false">+K43/K$15</f>
        <v>0.0119410448921116</v>
      </c>
      <c r="L44" s="22" t="n">
        <f aca="false">+L43/L$15</f>
        <v>0.0170320436564135</v>
      </c>
      <c r="M44" s="22" t="n">
        <f aca="false">+M43/M$15</f>
        <v>0.0123807190934651</v>
      </c>
      <c r="N44" s="22" t="n">
        <f aca="false">+N43/N$15</f>
        <v>0.0292483313740228</v>
      </c>
      <c r="O44" s="22" t="n">
        <f aca="false">+O43/O$15</f>
        <v>0.0159688018031985</v>
      </c>
      <c r="P44" s="22" t="n">
        <f aca="false">+P43/P$15</f>
        <v>0.0383528797961914</v>
      </c>
      <c r="Q44" s="22" t="n">
        <f aca="false">+Q43/Q$15</f>
        <v>0.0231786527700974</v>
      </c>
      <c r="R44" s="22" t="n">
        <f aca="false">+R43/R$15</f>
        <v>0.0526666629939566</v>
      </c>
      <c r="S44" s="22" t="n">
        <f aca="false">+S43/S$15</f>
        <v>0.0907201180423317</v>
      </c>
      <c r="T44" s="22" t="n">
        <f aca="false">+T43/T$15</f>
        <v>0.047211846476681</v>
      </c>
      <c r="U44" s="22" t="n">
        <f aca="false">+U43/U$15</f>
        <v>0.0505625454389231</v>
      </c>
      <c r="V44" s="22"/>
      <c r="W44" s="22"/>
      <c r="X44" s="22"/>
      <c r="Y44" s="22"/>
      <c r="Z44" s="22"/>
      <c r="AA44" s="22"/>
      <c r="AB44" s="22"/>
      <c r="AC44" s="22"/>
      <c r="AD44" s="22"/>
      <c r="AE44" s="22" t="n">
        <f aca="false">+AE43/AE$15</f>
        <v>0.00846279436193953</v>
      </c>
      <c r="AF44" s="22" t="n">
        <f aca="false">+AF43/AF$15</f>
        <v>0.00741586887148245</v>
      </c>
      <c r="AG44" s="22" t="n">
        <f aca="false">+AG43/AG$15</f>
        <v>0.0101974790452554</v>
      </c>
      <c r="AH44" s="22" t="n">
        <f aca="false">+AH43/AH$15</f>
        <v>-0.00625896187227982</v>
      </c>
      <c r="AI44" s="22" t="n">
        <f aca="false">+AI43/AI$15</f>
        <v>0.0123872404464278</v>
      </c>
      <c r="AJ44" s="22" t="n">
        <f aca="false">+AJ43/AJ$15</f>
        <v>0.0145228768619927</v>
      </c>
      <c r="AK44" s="22" t="n">
        <f aca="false">+AK43/AK$15</f>
        <v>0.0266234635749396</v>
      </c>
      <c r="AL44" s="22" t="n">
        <f aca="false">+AL43/AL$15</f>
        <v>0.0572096968163598</v>
      </c>
      <c r="AM44" s="22" t="n">
        <f aca="false">+AM43/AM$15</f>
        <v>0.0389793613220737</v>
      </c>
      <c r="AN44" s="22" t="n">
        <f aca="false">+AN43/AN$15</f>
        <v>0.0450554662183892</v>
      </c>
      <c r="AO44" s="22" t="n">
        <f aca="false">+AO43/AO$15</f>
        <v>0.0501125137538882</v>
      </c>
      <c r="AP44" s="22" t="n">
        <f aca="false">+AP43/AP$15</f>
        <v>0.0530322061034831</v>
      </c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0"/>
      <c r="DQ44" s="20"/>
      <c r="DR44" s="20"/>
      <c r="DS44" s="20"/>
      <c r="DT44" s="20"/>
    </row>
    <row r="45" s="28" customFormat="true" ht="12.8" hidden="false" customHeight="false" outlineLevel="0" collapsed="false">
      <c r="A45" s="1" t="s">
        <v>159</v>
      </c>
      <c r="B45" s="5" t="n">
        <v>-1</v>
      </c>
      <c r="C45" s="5" t="n">
        <v>-12</v>
      </c>
      <c r="D45" s="5" t="n">
        <v>-3</v>
      </c>
      <c r="E45" s="5" t="n">
        <v>13</v>
      </c>
      <c r="F45" s="5" t="n">
        <v>1</v>
      </c>
      <c r="G45" s="5" t="n">
        <v>-9</v>
      </c>
      <c r="H45" s="5" t="n">
        <v>-4</v>
      </c>
      <c r="I45" s="5" t="n">
        <v>0</v>
      </c>
      <c r="J45" s="5" t="n">
        <v>-85</v>
      </c>
      <c r="K45" s="5" t="n">
        <v>7</v>
      </c>
      <c r="L45" s="5" t="n">
        <v>-3</v>
      </c>
      <c r="M45" s="5" t="n">
        <v>-20</v>
      </c>
      <c r="N45" s="5" t="n">
        <v>1</v>
      </c>
      <c r="O45" s="5" t="n">
        <v>-15</v>
      </c>
      <c r="P45" s="5" t="n">
        <v>-73</v>
      </c>
      <c r="Q45" s="5" t="n">
        <v>-467</v>
      </c>
      <c r="R45" s="5" t="n">
        <v>-19</v>
      </c>
      <c r="S45" s="5" t="n">
        <v>-11</v>
      </c>
      <c r="T45" s="5" t="n">
        <v>-20</v>
      </c>
      <c r="U45" s="5" t="n">
        <v>-20</v>
      </c>
      <c r="V45" s="5"/>
      <c r="W45" s="5"/>
      <c r="X45" s="5"/>
      <c r="Y45" s="5"/>
      <c r="Z45" s="5"/>
      <c r="AA45" s="5" t="n">
        <v>-22</v>
      </c>
      <c r="AB45" s="5" t="n">
        <v>-96</v>
      </c>
      <c r="AC45" s="5" t="n">
        <v>-4</v>
      </c>
      <c r="AD45" s="5" t="n">
        <v>9</v>
      </c>
      <c r="AE45" s="5" t="n">
        <v>-14</v>
      </c>
      <c r="AF45" s="5" t="n">
        <v>16</v>
      </c>
      <c r="AG45" s="5" t="n">
        <v>4</v>
      </c>
      <c r="AH45" s="5" t="n">
        <v>-3</v>
      </c>
      <c r="AI45" s="5" t="n">
        <v>-12</v>
      </c>
      <c r="AJ45" s="5" t="n">
        <v>-101</v>
      </c>
      <c r="AK45" s="5" t="n">
        <v>-554</v>
      </c>
      <c r="AL45" s="5" t="n">
        <v>-500</v>
      </c>
      <c r="AM45" s="5" t="n">
        <v>-500</v>
      </c>
      <c r="AN45" s="5" t="n">
        <v>-500</v>
      </c>
      <c r="AO45" s="5" t="n">
        <v>-500</v>
      </c>
      <c r="AP45" s="5" t="n">
        <v>-500</v>
      </c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20"/>
      <c r="DQ45" s="20"/>
      <c r="DR45" s="20"/>
      <c r="DS45" s="20"/>
      <c r="DT45" s="20"/>
    </row>
    <row r="46" s="30" customFormat="true" ht="10.5" hidden="false" customHeight="true" outlineLevel="0" collapsed="false">
      <c r="A46" s="22"/>
      <c r="B46" s="22" t="n">
        <f aca="false">+B45/B$15</f>
        <v>-8.58781903747724E-006</v>
      </c>
      <c r="C46" s="22" t="n">
        <f aca="false">+C45/C$15</f>
        <v>-9.89821337248627E-005</v>
      </c>
      <c r="D46" s="22" t="n">
        <f aca="false">+D45/D$15</f>
        <v>-2.36032761347275E-005</v>
      </c>
      <c r="E46" s="22" t="n">
        <f aca="false">+E45/E$15</f>
        <v>8.71290313932602E-005</v>
      </c>
      <c r="F46" s="22" t="n">
        <f aca="false">+F45/F$15</f>
        <v>7.85188209613844E-006</v>
      </c>
      <c r="G46" s="22" t="n">
        <f aca="false">+G45/G$15</f>
        <v>-6.69727569707478E-005</v>
      </c>
      <c r="H46" s="22" t="n">
        <f aca="false">+H45/H$15</f>
        <v>-2.79558018772321E-005</v>
      </c>
      <c r="I46" s="22" t="n">
        <f aca="false">+I45/I$15</f>
        <v>0</v>
      </c>
      <c r="J46" s="22" t="n">
        <f aca="false">+J45/J$15</f>
        <v>-0.000593107394304774</v>
      </c>
      <c r="K46" s="22" t="n">
        <f aca="false">+K45/K$15</f>
        <v>4.73046486954054E-005</v>
      </c>
      <c r="L46" s="22" t="n">
        <f aca="false">+L45/L$15</f>
        <v>-1.88825317698597E-005</v>
      </c>
      <c r="M46" s="22" t="n">
        <f aca="false">+M45/M$15</f>
        <v>-0.000106500809406151</v>
      </c>
      <c r="N46" s="22" t="n">
        <f aca="false">+N45/N$15</f>
        <v>6.4239691135565E-006</v>
      </c>
      <c r="O46" s="22" t="n">
        <f aca="false">+O45/O$15</f>
        <v>-8.94443715638454E-005</v>
      </c>
      <c r="P46" s="22" t="n">
        <f aca="false">+P45/P$15</f>
        <v>-0.000405175141117506</v>
      </c>
      <c r="Q46" s="22" t="n">
        <f aca="false">+Q45/Q$15</f>
        <v>-0.00218852220857976</v>
      </c>
      <c r="R46" s="22" t="n">
        <f aca="false">+R45/R$15</f>
        <v>-0.000104672238167905</v>
      </c>
      <c r="S46" s="22" t="n">
        <f aca="false">+S45/S$15</f>
        <v>-5.48338534241249E-005</v>
      </c>
      <c r="T46" s="22" t="n">
        <f aca="false">+T45/T$15</f>
        <v>-9.91132928369634E-005</v>
      </c>
      <c r="U46" s="22" t="n">
        <f aca="false">+U45/U$15</f>
        <v>-8.04522413572068E-005</v>
      </c>
      <c r="V46" s="22"/>
      <c r="W46" s="22"/>
      <c r="X46" s="22"/>
      <c r="Y46" s="22"/>
      <c r="Z46" s="22"/>
      <c r="AA46" s="22"/>
      <c r="AB46" s="22"/>
      <c r="AC46" s="22"/>
      <c r="AD46" s="22"/>
      <c r="AE46" s="22" t="n">
        <f aca="false">+AE45/AE$15</f>
        <v>-4.99069591689778E-005</v>
      </c>
      <c r="AF46" s="22" t="n">
        <f aca="false">+AF45/AF$15</f>
        <v>4.14439056736707E-005</v>
      </c>
      <c r="AG46" s="22" t="n">
        <f aca="false">+AG45/AG$15</f>
        <v>8.51386269693629E-006</v>
      </c>
      <c r="AH46" s="22" t="n">
        <f aca="false">+AH45/AH$15</f>
        <v>-5.83676892037285E-006</v>
      </c>
      <c r="AI46" s="22" t="n">
        <f aca="false">+AI45/AI$15</f>
        <v>-2.08773715389233E-005</v>
      </c>
      <c r="AJ46" s="22" t="n">
        <f aca="false">+AJ45/AJ$15</f>
        <v>-0.000158317384032516</v>
      </c>
      <c r="AK46" s="22" t="n">
        <f aca="false">+AK45/AK$15</f>
        <v>-0.000772745786164224</v>
      </c>
      <c r="AL46" s="22" t="n">
        <f aca="false">+AL45/AL$15</f>
        <v>-0.000600594129334126</v>
      </c>
      <c r="AM46" s="22" t="n">
        <f aca="false">+AM45/AM$15</f>
        <v>-0.00052225576463837</v>
      </c>
      <c r="AN46" s="22" t="n">
        <f aca="false">+AN45/AN$15</f>
        <v>-0.000458119091788044</v>
      </c>
      <c r="AO46" s="22" t="n">
        <f aca="false">+AO45/AO$15</f>
        <v>-0.000405415125476145</v>
      </c>
      <c r="AP46" s="22" t="n">
        <f aca="false">+AP45/AP$15</f>
        <v>-0.000361977790603701</v>
      </c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0"/>
      <c r="DQ46" s="20"/>
      <c r="DR46" s="20"/>
      <c r="DS46" s="20"/>
      <c r="DT46" s="20"/>
    </row>
    <row r="47" s="28" customFormat="true" ht="12.8" hidden="false" customHeight="false" outlineLevel="0" collapsed="false">
      <c r="A47" s="16" t="s">
        <v>160</v>
      </c>
      <c r="B47" s="27" t="n">
        <f aca="false">+B41-B43+B45</f>
        <v>-3844</v>
      </c>
      <c r="C47" s="27" t="n">
        <f aca="false">+C41-C43+C45</f>
        <v>-2028</v>
      </c>
      <c r="D47" s="27" t="n">
        <f aca="false">+D41-D43+D45</f>
        <v>2872</v>
      </c>
      <c r="E47" s="27" t="n">
        <f aca="false">+E41-E43+E45</f>
        <v>278</v>
      </c>
      <c r="F47" s="27" t="n">
        <f aca="false">+F41-F43+F45</f>
        <v>3172</v>
      </c>
      <c r="G47" s="27" t="n">
        <f aca="false">+G41-G43+G45</f>
        <v>6750</v>
      </c>
      <c r="H47" s="27" t="n">
        <f aca="false">+H41-H43+H45</f>
        <v>9879</v>
      </c>
      <c r="I47" s="27" t="n">
        <f aca="false">+I41-I43+I45</f>
        <v>10624</v>
      </c>
      <c r="J47" s="27" t="n">
        <f aca="false">+J41-J43+J45</f>
        <v>10431</v>
      </c>
      <c r="K47" s="27" t="n">
        <f aca="false">+K41-K43+K45</f>
        <v>13485</v>
      </c>
      <c r="L47" s="27" t="n">
        <f aca="false">+L41-L43+L45</f>
        <v>15328</v>
      </c>
      <c r="M47" s="27" t="n">
        <f aca="false">+M41-M43+M45</f>
        <v>20004</v>
      </c>
      <c r="N47" s="27" t="n">
        <f aca="false">+N41-N43+N45</f>
        <v>17127</v>
      </c>
      <c r="O47" s="27" t="n">
        <f aca="false">+O41-O43+O45</f>
        <v>18164</v>
      </c>
      <c r="P47" s="27" t="n">
        <f aca="false">+P41-P43+P45</f>
        <v>21187</v>
      </c>
      <c r="Q47" s="27" t="n">
        <f aca="false">+Q41-Q43+Q45</f>
        <v>21192</v>
      </c>
      <c r="R47" s="27" t="n">
        <f aca="false">+R41-R43+R45</f>
        <v>30255</v>
      </c>
      <c r="S47" s="27" t="n">
        <f aca="false">+S41-S43+S45</f>
        <v>62647</v>
      </c>
      <c r="T47" s="27" t="n">
        <f aca="false">+T41-T43+T45</f>
        <v>22209.303852</v>
      </c>
      <c r="U47" s="27" t="n">
        <f aca="false">+U41-U43+U45</f>
        <v>29309.020721</v>
      </c>
      <c r="V47" s="27"/>
      <c r="W47" s="27"/>
      <c r="X47" s="27"/>
      <c r="Y47" s="27"/>
      <c r="Z47" s="27"/>
      <c r="AA47" s="27" t="n">
        <f aca="false">+AA41-AA43+AA45</f>
        <v>596</v>
      </c>
      <c r="AB47" s="27" t="n">
        <f aca="false">+AB41-AB43+AB45</f>
        <v>2371</v>
      </c>
      <c r="AC47" s="27" t="n">
        <f aca="false">+AC41-AC43+AC45</f>
        <v>3033</v>
      </c>
      <c r="AD47" s="27" t="n">
        <f aca="false">+AD41-AD43+AD45</f>
        <v>10073</v>
      </c>
      <c r="AE47" s="27" t="n">
        <f aca="false">+AE41-AE43+AE45</f>
        <v>11588</v>
      </c>
      <c r="AF47" s="27" t="n">
        <f aca="false">+AF41-AF43+AF45</f>
        <v>21331</v>
      </c>
      <c r="AG47" s="27" t="n">
        <f aca="false">+AG41-AG43+AG45</f>
        <v>33364</v>
      </c>
      <c r="AH47" s="27" t="n">
        <f aca="false">+AH41-AH43+AH45</f>
        <v>-2722</v>
      </c>
      <c r="AI47" s="27" t="n">
        <f aca="false">+AI41-AI43+AI45</f>
        <v>30425</v>
      </c>
      <c r="AJ47" s="27" t="n">
        <f aca="false">+AJ41-AJ43+AJ45</f>
        <v>59248</v>
      </c>
      <c r="AK47" s="27" t="n">
        <f aca="false">+AK41-AK43+AK45</f>
        <v>77670</v>
      </c>
      <c r="AL47" s="27" t="n">
        <f aca="false">+AL41-AL43+AL45</f>
        <v>168361.4404594</v>
      </c>
      <c r="AM47" s="27" t="n">
        <f aca="false">+AM41-AM43+AM45</f>
        <v>131810.22339596</v>
      </c>
      <c r="AN47" s="27" t="n">
        <f aca="false">+AN41-AN43+AN45</f>
        <v>173845.61270748</v>
      </c>
      <c r="AO47" s="27" t="n">
        <f aca="false">+AO41-AO43+AO45</f>
        <v>218623.101862822</v>
      </c>
      <c r="AP47" s="27" t="n">
        <f aca="false">+AP41-AP43+AP45</f>
        <v>259216.591826661</v>
      </c>
      <c r="AQ47" s="27" t="n">
        <f aca="false">+AP47*(1+$AS$54)</f>
        <v>264400.923663194</v>
      </c>
      <c r="AR47" s="27" t="n">
        <f aca="false">+AQ47*(1+$AS$54)</f>
        <v>269688.942136458</v>
      </c>
      <c r="AS47" s="27" t="n">
        <f aca="false">+AR47*(1+$AS$54)</f>
        <v>275082.720979188</v>
      </c>
      <c r="AT47" s="27" t="n">
        <f aca="false">+AS47*(1+$AS$54)</f>
        <v>280584.375398771</v>
      </c>
      <c r="AU47" s="27" t="n">
        <f aca="false">+AT47*(1+$AS$54)</f>
        <v>286196.062906747</v>
      </c>
      <c r="AV47" s="27" t="n">
        <f aca="false">+AU47*(1+$AS$54)</f>
        <v>291919.984164882</v>
      </c>
      <c r="AW47" s="27" t="n">
        <f aca="false">+AV47*(1+$AS$54)</f>
        <v>297758.383848179</v>
      </c>
      <c r="AX47" s="27" t="n">
        <f aca="false">+AW47*(1+$AS$54)</f>
        <v>303713.551525143</v>
      </c>
      <c r="AY47" s="27" t="n">
        <f aca="false">+AX47*(1+$AS$54)</f>
        <v>309787.822555646</v>
      </c>
      <c r="AZ47" s="27" t="n">
        <f aca="false">+AY47*(1+$AS$54)</f>
        <v>315983.579006759</v>
      </c>
      <c r="BA47" s="27" t="n">
        <f aca="false">+AZ47*(1+$AS$54)</f>
        <v>322303.250586894</v>
      </c>
      <c r="BB47" s="27" t="n">
        <f aca="false">+BA47*(1+$AS$54)</f>
        <v>328749.315598632</v>
      </c>
      <c r="BC47" s="27" t="n">
        <f aca="false">+BB47*(1+$AS$54)</f>
        <v>335324.301910604</v>
      </c>
      <c r="BD47" s="27" t="n">
        <f aca="false">+BC47*(1+$AS$54)</f>
        <v>342030.787948816</v>
      </c>
      <c r="BE47" s="27" t="n">
        <f aca="false">+BD47*(1+$AS$54)</f>
        <v>348871.403707793</v>
      </c>
      <c r="BF47" s="27" t="n">
        <f aca="false">+BE47*(1+$AS$54)</f>
        <v>355848.831781949</v>
      </c>
      <c r="BG47" s="27" t="n">
        <f aca="false">+BF47*(1+$AS$54)</f>
        <v>362965.808417588</v>
      </c>
      <c r="BH47" s="27" t="n">
        <f aca="false">+BG47*(1+$AS$54)</f>
        <v>370225.124585939</v>
      </c>
      <c r="BI47" s="27" t="n">
        <f aca="false">+BH47*(1+$AS$54)</f>
        <v>377629.627077658</v>
      </c>
      <c r="BJ47" s="27" t="n">
        <f aca="false">+BI47*(1+$AS$54)</f>
        <v>385182.219619211</v>
      </c>
      <c r="BK47" s="27" t="n">
        <f aca="false">+BJ47*(1+$AS$54)</f>
        <v>392885.864011596</v>
      </c>
      <c r="BL47" s="27" t="n">
        <f aca="false">+BK47*(1+$AS$54)</f>
        <v>400743.581291828</v>
      </c>
      <c r="BM47" s="27" t="n">
        <f aca="false">+BL47*(1+$AS$54)</f>
        <v>408758.452917664</v>
      </c>
      <c r="BN47" s="27" t="n">
        <f aca="false">+BM47*(1+$AS$54)</f>
        <v>416933.621976017</v>
      </c>
      <c r="BO47" s="27" t="n">
        <f aca="false">+BN47*(1+$AS$54)</f>
        <v>425272.294415538</v>
      </c>
      <c r="BP47" s="27" t="n">
        <f aca="false">+BO47*(1+$AS$54)</f>
        <v>433777.740303848</v>
      </c>
      <c r="BQ47" s="27" t="n">
        <f aca="false">+BP47*(1+$AS$54)</f>
        <v>442453.295109925</v>
      </c>
      <c r="BR47" s="27" t="n">
        <f aca="false">+BQ47*(1+$AS$54)</f>
        <v>451302.361012124</v>
      </c>
      <c r="BS47" s="27" t="n">
        <f aca="false">+BR47*(1+$AS$54)</f>
        <v>460328.408232366</v>
      </c>
      <c r="BT47" s="27" t="n">
        <f aca="false">+BS47*(1+$AS$54)</f>
        <v>469534.976397014</v>
      </c>
      <c r="BU47" s="27" t="n">
        <f aca="false">+BT47*(1+$AS$54)</f>
        <v>478925.675924954</v>
      </c>
      <c r="BV47" s="27" t="n">
        <f aca="false">+BU47*(1+$AS$54)</f>
        <v>488504.189443453</v>
      </c>
      <c r="BW47" s="27" t="n">
        <f aca="false">+BV47*(1+$AS$54)</f>
        <v>498274.273232322</v>
      </c>
      <c r="BX47" s="27" t="n">
        <f aca="false">+BW47*(1+$AS$54)</f>
        <v>508239.758696969</v>
      </c>
      <c r="BY47" s="27" t="n">
        <f aca="false">+BX47*(1+$AS$54)</f>
        <v>518404.553870908</v>
      </c>
      <c r="BZ47" s="27" t="n">
        <f aca="false">+BY47*(1+$AS$54)</f>
        <v>528772.644948326</v>
      </c>
      <c r="CA47" s="27" t="n">
        <f aca="false">+BZ47*(1+$AS$54)</f>
        <v>539348.097847293</v>
      </c>
      <c r="CB47" s="27" t="n">
        <f aca="false">+CA47*(1+$AS$54)</f>
        <v>550135.059804239</v>
      </c>
      <c r="CC47" s="27" t="n">
        <f aca="false">+CB47*(1+$AS$54)</f>
        <v>561137.761000323</v>
      </c>
      <c r="CD47" s="27" t="n">
        <f aca="false">+CC47*(1+$AS$54)</f>
        <v>572360.51622033</v>
      </c>
      <c r="CE47" s="27" t="n">
        <f aca="false">+CD47*(1+$AS$54)</f>
        <v>583807.726544736</v>
      </c>
      <c r="CF47" s="27" t="n">
        <f aca="false">+CE47*(1+$AS$54)</f>
        <v>595483.881075631</v>
      </c>
      <c r="CG47" s="27" t="n">
        <f aca="false">+CF47*(1+$AS$54)</f>
        <v>607393.558697144</v>
      </c>
      <c r="CH47" s="27" t="n">
        <f aca="false">+CG47*(1+$AS$54)</f>
        <v>619541.429871087</v>
      </c>
      <c r="CI47" s="27" t="n">
        <f aca="false">+CH47*(1+$AS$54)</f>
        <v>631932.258468509</v>
      </c>
      <c r="CJ47" s="27" t="n">
        <f aca="false">+CI47*(1+$AS$54)</f>
        <v>644570.903637879</v>
      </c>
      <c r="CK47" s="27" t="n">
        <f aca="false">+CJ47*(1+$AS$54)</f>
        <v>657462.321710636</v>
      </c>
      <c r="CL47" s="27" t="n">
        <f aca="false">+CK47*(1+$AS$54)</f>
        <v>670611.568144849</v>
      </c>
      <c r="CM47" s="27" t="n">
        <f aca="false">+CL47*(1+$AS$54)</f>
        <v>684023.799507746</v>
      </c>
      <c r="CN47" s="27" t="n">
        <f aca="false">+CM47*(1+$AS$54)</f>
        <v>697704.275497901</v>
      </c>
      <c r="CO47" s="27" t="n">
        <f aca="false">+CN47*(1+$AS$54)</f>
        <v>711658.361007859</v>
      </c>
      <c r="CP47" s="27" t="n">
        <f aca="false">+CO47*(1+$AS$54)</f>
        <v>725891.528228016</v>
      </c>
      <c r="CQ47" s="27" t="n">
        <f aca="false">+CP47*(1+$AS$54)</f>
        <v>740409.358792577</v>
      </c>
      <c r="CR47" s="27" t="n">
        <f aca="false">+CQ47*(1+$AS$54)</f>
        <v>755217.545968428</v>
      </c>
      <c r="CS47" s="27" t="n">
        <f aca="false">+CR47*(1+$AS$54)</f>
        <v>770321.896887797</v>
      </c>
      <c r="CT47" s="27" t="n">
        <f aca="false">+CS47*(1+$AS$54)</f>
        <v>785728.334825553</v>
      </c>
      <c r="CU47" s="27" t="n">
        <f aca="false">+CT47*(1+$AS$54)</f>
        <v>801442.901522064</v>
      </c>
      <c r="CV47" s="27" t="n">
        <f aca="false">+CU47*(1+$AS$54)</f>
        <v>817471.759552505</v>
      </c>
      <c r="CW47" s="27" t="n">
        <f aca="false">+CV47*(1+$AS$54)</f>
        <v>833821.194743555</v>
      </c>
      <c r="CX47" s="27" t="n">
        <f aca="false">+CW47*(1+$AS$54)</f>
        <v>850497.618638426</v>
      </c>
      <c r="CY47" s="27" t="n">
        <f aca="false">+CX47*(1+$AS$54)</f>
        <v>867507.571011195</v>
      </c>
      <c r="CZ47" s="27" t="n">
        <f aca="false">+CY47*(1+$AS$54)</f>
        <v>884857.722431419</v>
      </c>
      <c r="DA47" s="27" t="n">
        <f aca="false">+CZ47*(1+$AS$54)</f>
        <v>902554.876880047</v>
      </c>
      <c r="DB47" s="27" t="n">
        <f aca="false">+DA47*(1+$AS$54)</f>
        <v>920605.974417648</v>
      </c>
      <c r="DC47" s="27" t="n">
        <f aca="false">+DB47*(1+$AS$54)</f>
        <v>939018.093906001</v>
      </c>
      <c r="DD47" s="27" t="n">
        <f aca="false">+DC47*(1+$AS$54)</f>
        <v>957798.455784121</v>
      </c>
      <c r="DE47" s="27" t="n">
        <f aca="false">+DD47*(1+$AS$54)</f>
        <v>976954.424899804</v>
      </c>
      <c r="DF47" s="27" t="n">
        <f aca="false">+DE47*(1+$AS$54)</f>
        <v>996493.5133978</v>
      </c>
      <c r="DG47" s="27" t="n">
        <f aca="false">+DF47*(1+$AS$54)</f>
        <v>1016423.38366576</v>
      </c>
      <c r="DH47" s="27" t="n">
        <f aca="false">+DG47*(1+$AS$54)</f>
        <v>1036751.85133907</v>
      </c>
      <c r="DI47" s="27" t="n">
        <f aca="false">+DH47*(1+$AS$54)</f>
        <v>1057486.88836585</v>
      </c>
      <c r="DJ47" s="27" t="n">
        <f aca="false">+DI47*(1+$AS$54)</f>
        <v>1078636.62613317</v>
      </c>
      <c r="DK47" s="27" t="n">
        <f aca="false">+DJ47*(1+$AS$54)</f>
        <v>1100209.35865583</v>
      </c>
      <c r="DL47" s="27" t="n">
        <f aca="false">+DK47*(1+$AS$54)</f>
        <v>1122213.54582895</v>
      </c>
      <c r="DM47" s="27"/>
      <c r="DN47" s="27"/>
      <c r="DO47" s="27"/>
      <c r="DP47" s="20"/>
      <c r="DQ47" s="20"/>
      <c r="DR47" s="20"/>
      <c r="DS47" s="20"/>
      <c r="DT47" s="20"/>
    </row>
    <row r="48" customFormat="false" ht="10.5" hidden="false" customHeight="true" outlineLevel="0" collapsed="false">
      <c r="A48" s="28"/>
      <c r="B48" s="22" t="n">
        <f aca="false">+B47/B$15</f>
        <v>-0.0330115763800625</v>
      </c>
      <c r="C48" s="22" t="n">
        <f aca="false">+C47/C$15</f>
        <v>-0.0167279805995018</v>
      </c>
      <c r="D48" s="22" t="n">
        <f aca="false">+D47/D$15</f>
        <v>0.0225962030196458</v>
      </c>
      <c r="E48" s="22" t="n">
        <f aca="false">+E47/E$15</f>
        <v>0.00186322082517895</v>
      </c>
      <c r="F48" s="22" t="n">
        <f aca="false">+F47/F$15</f>
        <v>0.0249061700089511</v>
      </c>
      <c r="G48" s="22" t="n">
        <f aca="false">+G47/G$15</f>
        <v>0.0502295677280608</v>
      </c>
      <c r="H48" s="22" t="n">
        <f aca="false">+H47/H$15</f>
        <v>0.069043841686294</v>
      </c>
      <c r="I48" s="22" t="n">
        <f aca="false">+I47/I$15</f>
        <v>0.062508457822677</v>
      </c>
      <c r="J48" s="22" t="n">
        <f aca="false">+J47/J$15</f>
        <v>0.0727847438822717</v>
      </c>
      <c r="K48" s="22" t="n">
        <f aca="false">+K47/K$15</f>
        <v>0.0911290268082202</v>
      </c>
      <c r="L48" s="22" t="n">
        <f aca="false">+L47/L$15</f>
        <v>0.0964771489894698</v>
      </c>
      <c r="M48" s="22" t="n">
        <f aca="false">+M47/M$15</f>
        <v>0.106522109568033</v>
      </c>
      <c r="N48" s="22" t="n">
        <f aca="false">+N47/N$15</f>
        <v>0.110023319007882</v>
      </c>
      <c r="O48" s="22" t="n">
        <f aca="false">+O47/O$15</f>
        <v>0.108311171005713</v>
      </c>
      <c r="P48" s="22" t="n">
        <f aca="false">+P47/P$15</f>
        <v>0.117595146778858</v>
      </c>
      <c r="Q48" s="22" t="n">
        <f aca="false">+Q47/Q$15</f>
        <v>0.0993129821075422</v>
      </c>
      <c r="R48" s="22" t="n">
        <f aca="false">+R47/R$15</f>
        <v>0.166676766619472</v>
      </c>
      <c r="S48" s="22" t="n">
        <f aca="false">+S47/S$15</f>
        <v>0.312288765041923</v>
      </c>
      <c r="T48" s="22" t="n">
        <f aca="false">+T47/T$15</f>
        <v>0.110061861819419</v>
      </c>
      <c r="U48" s="22" t="n">
        <f aca="false">+U47/U$15</f>
        <v>0.117898820449463</v>
      </c>
      <c r="V48" s="28"/>
      <c r="W48" s="28"/>
      <c r="X48" s="28"/>
      <c r="Y48" s="28"/>
      <c r="Z48" s="28"/>
      <c r="AA48" s="28"/>
      <c r="AB48" s="28"/>
      <c r="AC48" s="28"/>
      <c r="AD48" s="28"/>
      <c r="AE48" s="22" t="n">
        <f aca="false">+AE47/AE$15</f>
        <v>0.0413087030607225</v>
      </c>
      <c r="AF48" s="22" t="n">
        <f aca="false">+AF47/AF$15</f>
        <v>0.0552524969953168</v>
      </c>
      <c r="AG48" s="22" t="n">
        <f aca="false">+AG47/AG$15</f>
        <v>0.0710141287551456</v>
      </c>
      <c r="AH48" s="22" t="n">
        <f aca="false">+AH47/AH$15</f>
        <v>-0.0052958950004183</v>
      </c>
      <c r="AI48" s="22" t="n">
        <f aca="false">+AI47/AI$15</f>
        <v>0.0529328357559783</v>
      </c>
      <c r="AJ48" s="22" t="n">
        <f aca="false">+AJ47/AJ$15</f>
        <v>0.0928711719718665</v>
      </c>
      <c r="AK48" s="22" t="n">
        <f aca="false">+AK47/AK$15</f>
        <v>0.108337843341833</v>
      </c>
      <c r="AL48" s="22" t="n">
        <f aca="false">+AL47/AL$15</f>
        <v>0.202233785492305</v>
      </c>
      <c r="AM48" s="22" t="n">
        <f aca="false">+AM47/AM$15</f>
        <v>0.137677298013623</v>
      </c>
      <c r="AN48" s="22" t="n">
        <f aca="false">+AN47/AN$15</f>
        <v>0.159283988409773</v>
      </c>
      <c r="AO48" s="22" t="n">
        <f aca="false">+AO47/AO$15</f>
        <v>0.1772662245474</v>
      </c>
      <c r="AP48" s="22" t="n">
        <f aca="false">+AP47/AP$15</f>
        <v>0.187661298394473</v>
      </c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</row>
    <row r="49" s="22" customFormat="true" ht="12.8" hidden="false" customHeight="false" outlineLevel="0" collapsed="false">
      <c r="A49" s="30" t="s">
        <v>161</v>
      </c>
      <c r="B49" s="30" t="n">
        <f aca="false">+B47/B51</f>
        <v>-7.55206286836935</v>
      </c>
      <c r="C49" s="30" t="n">
        <f aca="false">+C47/C51</f>
        <v>-0.199312039312039</v>
      </c>
      <c r="D49" s="30" t="n">
        <f aca="false">+D47/D51</f>
        <v>0.277998257671087</v>
      </c>
      <c r="E49" s="30" t="n">
        <f aca="false">+E47/E51</f>
        <v>0.0269693441986806</v>
      </c>
      <c r="F49" s="30" t="n">
        <f aca="false">+F47/F51</f>
        <v>0.306562288586064</v>
      </c>
      <c r="G49" s="30" t="n">
        <f aca="false">+G47/G51</f>
        <v>0.645994832041344</v>
      </c>
      <c r="H49" s="30" t="n">
        <f aca="false">+H47/H51</f>
        <v>0.957081960860298</v>
      </c>
      <c r="I49" s="30" t="n">
        <f aca="false">+I47/I51</f>
        <v>1.00131950989632</v>
      </c>
      <c r="J49" s="30" t="n">
        <f aca="false">+J47/J51</f>
        <v>0.977600749765698</v>
      </c>
      <c r="K49" s="30" t="n">
        <f aca="false">+K47/K51</f>
        <v>1.2593388121031</v>
      </c>
      <c r="L49" s="30" t="n">
        <f aca="false">+L47/L51</f>
        <v>1.42785281788542</v>
      </c>
      <c r="M49" s="30" t="n">
        <f aca="false">+M47/M51</f>
        <v>1.85720917277876</v>
      </c>
      <c r="N49" s="30" t="n">
        <f aca="false">+N47/N51</f>
        <v>1.58686185490596</v>
      </c>
      <c r="O49" s="30" t="n">
        <f aca="false">+O47/O51</f>
        <v>1.68091800851379</v>
      </c>
      <c r="P49" s="30" t="n">
        <f aca="false">+P47/P51</f>
        <v>1.95361917934532</v>
      </c>
      <c r="Q49" s="30" t="n">
        <f aca="false">+Q47/Q51</f>
        <v>1.95084230875449</v>
      </c>
      <c r="R49" s="30" t="n">
        <f aca="false">+R47/R51</f>
        <v>2.78232481147692</v>
      </c>
      <c r="S49" s="30" t="n">
        <f aca="false">+S47/S51</f>
        <v>5.74584976611942</v>
      </c>
      <c r="T49" s="30" t="n">
        <f aca="false">+T47/T51</f>
        <v>2.04242264594445</v>
      </c>
      <c r="U49" s="30" t="n">
        <f aca="false">+U47/U51</f>
        <v>2.69533021160566</v>
      </c>
      <c r="V49" s="30"/>
      <c r="W49" s="30"/>
      <c r="X49" s="30"/>
      <c r="Y49" s="30"/>
      <c r="Z49" s="30"/>
      <c r="AA49" s="30" t="n">
        <f aca="false">+AA47/AA51</f>
        <v>1.24947589098533</v>
      </c>
      <c r="AB49" s="30" t="n">
        <f aca="false">+AB47/AB51</f>
        <v>4.89876033057851</v>
      </c>
      <c r="AC49" s="30" t="n">
        <f aca="false">+AC47/AC51</f>
        <v>6.15212981744422</v>
      </c>
      <c r="AD49" s="30" t="n">
        <f aca="false">+AD47/AD51</f>
        <v>20.146</v>
      </c>
      <c r="AE49" s="30" t="n">
        <f aca="false">+AE47/AE51</f>
        <v>22.9920634920635</v>
      </c>
      <c r="AF49" s="30" t="n">
        <f aca="false">+AF47/AF51</f>
        <v>41.8254901960784</v>
      </c>
      <c r="AG49" s="30" t="n">
        <f aca="false">+AG47/AG51</f>
        <v>3.24048174048174</v>
      </c>
      <c r="AH49" s="30" t="n">
        <f aca="false">+AH47/AH51</f>
        <v>-0.267150848954755</v>
      </c>
      <c r="AI49" s="30" t="n">
        <f aca="false">+AI47/AI51</f>
        <v>2.89982844071674</v>
      </c>
      <c r="AJ49" s="30" t="n">
        <f aca="false">+AJ47/AJ51</f>
        <v>5.52635015390355</v>
      </c>
      <c r="AK49" s="30" t="n">
        <f aca="false">+AK47/AK51</f>
        <v>7.1737323358271</v>
      </c>
      <c r="AL49" s="30" t="n">
        <f aca="false">+AL47/AL51</f>
        <v>15.7072190883995</v>
      </c>
      <c r="AM49" s="30" t="n">
        <f aca="false">+AM47/AM51</f>
        <v>12.4214006504408</v>
      </c>
      <c r="AN49" s="30" t="n">
        <f aca="false">+AN47/AN51</f>
        <v>16.5481715488413</v>
      </c>
      <c r="AO49" s="30" t="n">
        <f aca="false">+AO47/AO51</f>
        <v>21.0206981862234</v>
      </c>
      <c r="AP49" s="30" t="n">
        <f aca="false">+AP47/AP51</f>
        <v>25.1755337267475</v>
      </c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20"/>
      <c r="DQ49" s="20"/>
      <c r="DR49" s="20"/>
      <c r="DS49" s="20"/>
      <c r="DT49" s="20"/>
    </row>
    <row r="50" customFormat="false" ht="10.5" hidden="false" customHeight="true" outlineLevel="0" collapsed="false">
      <c r="A50" s="28"/>
      <c r="B50" s="28"/>
      <c r="C50" s="28"/>
      <c r="D50" s="28"/>
      <c r="E50" s="28"/>
      <c r="F50" s="22" t="n">
        <f aca="false">+F49/B49-1</f>
        <v>-1.04059318545533</v>
      </c>
      <c r="G50" s="22" t="n">
        <f aca="false">+G49/C49-1</f>
        <v>-4.24112298620349</v>
      </c>
      <c r="H50" s="22" t="n">
        <f aca="false">+H49/D49-1</f>
        <v>2.44276244347066</v>
      </c>
      <c r="I50" s="22" t="n">
        <f aca="false">+I49/E49-1</f>
        <v>36.128062978458</v>
      </c>
      <c r="J50" s="22" t="n">
        <f aca="false">+J49/F49-1</f>
        <v>2.18891392113042</v>
      </c>
      <c r="K50" s="22" t="n">
        <f aca="false">+K49/G49-1</f>
        <v>0.949456481135599</v>
      </c>
      <c r="L50" s="22" t="n">
        <f aca="false">+L49/H49-1</f>
        <v>0.49188144409488</v>
      </c>
      <c r="M50" s="22" t="n">
        <f aca="false">+M49/I49-1</f>
        <v>0.854761796233304</v>
      </c>
      <c r="N50" s="22" t="n">
        <f aca="false">+N49/J49-1</f>
        <v>0.623220783419286</v>
      </c>
      <c r="O50" s="22" t="n">
        <f aca="false">+O49/K49-1</f>
        <v>0.334762331120923</v>
      </c>
      <c r="P50" s="22" t="n">
        <f aca="false">+P49/L49-1</f>
        <v>0.368221678645095</v>
      </c>
      <c r="Q50" s="22" t="n">
        <f aca="false">+Q49/M49-1</f>
        <v>0.0504160421712951</v>
      </c>
      <c r="R50" s="22" t="n">
        <f aca="false">+R49/N49-1</f>
        <v>0.753350364352798</v>
      </c>
      <c r="S50" s="22" t="n">
        <f aca="false">+S49/O49-1</f>
        <v>2.41828080668831</v>
      </c>
      <c r="T50" s="22" t="n">
        <f aca="false">+T49/P49-1</f>
        <v>0.0454558736615667</v>
      </c>
      <c r="U50" s="22" t="n">
        <f aca="false">+U49/Q49-1</f>
        <v>0.381623824493786</v>
      </c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2" t="n">
        <f aca="false">+AF49/AE49-1</f>
        <v>0.81912729192471</v>
      </c>
      <c r="AG50" s="22" t="n">
        <f aca="false">+AG49/AF49-1</f>
        <v>-0.922523759427796</v>
      </c>
      <c r="AH50" s="22" t="n">
        <f aca="false">+AH49/AG49-1</f>
        <v>-1.08244170785392</v>
      </c>
      <c r="AI50" s="22" t="n">
        <f aca="false">+AI49/AH49-1</f>
        <v>-11.8546480464595</v>
      </c>
      <c r="AJ50" s="22" t="n">
        <f aca="false">+AJ49/AI49-1</f>
        <v>0.905750725217948</v>
      </c>
      <c r="AK50" s="22" t="n">
        <f aca="false">+AK49/AJ49-1</f>
        <v>0.298095874500444</v>
      </c>
      <c r="AL50" s="22" t="n">
        <f aca="false">+AL49/AK49-1</f>
        <v>1.18954629934468</v>
      </c>
      <c r="AM50" s="22" t="n">
        <f aca="false">+AM49/AL49-1</f>
        <v>-0.209191609250897</v>
      </c>
      <c r="AN50" s="22" t="n">
        <f aca="false">+AN49/AM49-1</f>
        <v>0.332230721360241</v>
      </c>
      <c r="AO50" s="22" t="n">
        <f aca="false">+AO49/AN49-1</f>
        <v>0.270273161248153</v>
      </c>
      <c r="AP50" s="22" t="n">
        <f aca="false">+AP49/AO49-1</f>
        <v>0.197654497663032</v>
      </c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</row>
    <row r="51" s="31" customFormat="true" ht="12.8" hidden="false" customHeight="false" outlineLevel="0" collapsed="false">
      <c r="A51" s="1" t="s">
        <v>162</v>
      </c>
      <c r="B51" s="5" t="n">
        <v>509</v>
      </c>
      <c r="C51" s="5" t="n">
        <v>10175</v>
      </c>
      <c r="D51" s="5" t="n">
        <v>10331</v>
      </c>
      <c r="E51" s="5" t="n">
        <v>10308</v>
      </c>
      <c r="F51" s="5" t="n">
        <v>10347</v>
      </c>
      <c r="G51" s="5" t="n">
        <v>10449</v>
      </c>
      <c r="H51" s="5" t="n">
        <v>10322</v>
      </c>
      <c r="I51" s="5" t="n">
        <v>10610</v>
      </c>
      <c r="J51" s="5" t="n">
        <v>10670</v>
      </c>
      <c r="K51" s="5" t="n">
        <v>10708</v>
      </c>
      <c r="L51" s="5" t="n">
        <v>10735</v>
      </c>
      <c r="M51" s="5" t="n">
        <v>10771</v>
      </c>
      <c r="N51" s="5" t="n">
        <v>10793</v>
      </c>
      <c r="O51" s="5" t="n">
        <v>10806</v>
      </c>
      <c r="P51" s="5" t="n">
        <v>10845</v>
      </c>
      <c r="Q51" s="5" t="n">
        <v>10863</v>
      </c>
      <c r="R51" s="5" t="n">
        <v>10874</v>
      </c>
      <c r="S51" s="5" t="n">
        <v>10903</v>
      </c>
      <c r="T51" s="5" t="n">
        <v>10874</v>
      </c>
      <c r="U51" s="5" t="n">
        <v>10874</v>
      </c>
      <c r="V51" s="5"/>
      <c r="W51" s="5"/>
      <c r="X51" s="5"/>
      <c r="Y51" s="5"/>
      <c r="Z51" s="5"/>
      <c r="AA51" s="5" t="n">
        <v>477</v>
      </c>
      <c r="AB51" s="5" t="n">
        <v>484</v>
      </c>
      <c r="AC51" s="5" t="n">
        <v>493</v>
      </c>
      <c r="AD51" s="5" t="n">
        <v>500</v>
      </c>
      <c r="AE51" s="5" t="n">
        <v>504</v>
      </c>
      <c r="AF51" s="5" t="n">
        <v>510</v>
      </c>
      <c r="AG51" s="5" t="n">
        <v>10296</v>
      </c>
      <c r="AH51" s="5" t="n">
        <v>10189</v>
      </c>
      <c r="AI51" s="5" t="n">
        <v>10492</v>
      </c>
      <c r="AJ51" s="5" t="n">
        <v>10721</v>
      </c>
      <c r="AK51" s="5" t="n">
        <v>10827</v>
      </c>
      <c r="AL51" s="5" t="n">
        <f aca="false">+AK51*0.99</f>
        <v>10718.73</v>
      </c>
      <c r="AM51" s="5" t="n">
        <f aca="false">+AL51*0.99</f>
        <v>10611.5427</v>
      </c>
      <c r="AN51" s="5" t="n">
        <f aca="false">+AM51*0.99</f>
        <v>10505.427273</v>
      </c>
      <c r="AO51" s="5" t="n">
        <f aca="false">+AN51*0.99</f>
        <v>10400.37300027</v>
      </c>
      <c r="AP51" s="5" t="n">
        <f aca="false">+AO51*0.99</f>
        <v>10296.3692702673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20"/>
      <c r="DQ51" s="20"/>
      <c r="DR51" s="20"/>
      <c r="DS51" s="20"/>
      <c r="DT51" s="20"/>
    </row>
    <row r="52" s="31" customFormat="true" ht="10.5" hidden="false" customHeight="true" outlineLevel="0" collapsed="false">
      <c r="A52" s="22"/>
      <c r="B52" s="22"/>
      <c r="C52" s="22" t="n">
        <f aca="false">+C51/B51-1</f>
        <v>18.9901768172888</v>
      </c>
      <c r="D52" s="22" t="n">
        <f aca="false">+D51/C51-1</f>
        <v>0.0153316953316953</v>
      </c>
      <c r="E52" s="22" t="n">
        <f aca="false">+E51/D51-1</f>
        <v>-0.00222630916658595</v>
      </c>
      <c r="F52" s="22" t="n">
        <f aca="false">+F51/E51-1</f>
        <v>0.00378346915017458</v>
      </c>
      <c r="G52" s="22" t="n">
        <f aca="false">+G51/F51-1</f>
        <v>0.00985792983473477</v>
      </c>
      <c r="H52" s="22" t="n">
        <f aca="false">+H51/G51-1</f>
        <v>-0.0121542731361853</v>
      </c>
      <c r="I52" s="22" t="n">
        <f aca="false">+I51/H51-1</f>
        <v>0.0279015694632823</v>
      </c>
      <c r="J52" s="22" t="n">
        <f aca="false">+J51/I51-1</f>
        <v>0.00565504241281811</v>
      </c>
      <c r="K52" s="22" t="n">
        <f aca="false">+K51/J51-1</f>
        <v>0.00356138706654163</v>
      </c>
      <c r="L52" s="22" t="n">
        <f aca="false">+L51/K51-1</f>
        <v>0.00252147926783719</v>
      </c>
      <c r="M52" s="22" t="n">
        <f aca="false">+M51/L51-1</f>
        <v>0.00335351653469962</v>
      </c>
      <c r="N52" s="22" t="n">
        <f aca="false">+N51/M51-1</f>
        <v>0.00204252158573959</v>
      </c>
      <c r="O52" s="22" t="n">
        <f aca="false">+O51/N51-1</f>
        <v>0.00120448438802923</v>
      </c>
      <c r="P52" s="22" t="n">
        <f aca="false">+P51/O51-1</f>
        <v>0.00360910605219322</v>
      </c>
      <c r="Q52" s="22" t="n">
        <f aca="false">+Q51/P51-1</f>
        <v>0.00165975103734439</v>
      </c>
      <c r="R52" s="22" t="n">
        <f aca="false">+R51/Q51-1</f>
        <v>0.00101261161741695</v>
      </c>
      <c r="S52" s="22" t="n">
        <f aca="false">+S51/R51-1</f>
        <v>0.00266691189994472</v>
      </c>
      <c r="T52" s="22" t="n">
        <f aca="false">+T51/S51-1</f>
        <v>-0.00265981839860585</v>
      </c>
      <c r="U52" s="22" t="n">
        <f aca="false">+U51/T51-1</f>
        <v>0</v>
      </c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 t="n">
        <f aca="false">+AF51/AE51-1</f>
        <v>0.0119047619047619</v>
      </c>
      <c r="AG52" s="22" t="n">
        <f aca="false">+AG51/AF51-1</f>
        <v>19.1882352941176</v>
      </c>
      <c r="AH52" s="22" t="n">
        <f aca="false">+AH51/AG51-1</f>
        <v>-0.0103923853923854</v>
      </c>
      <c r="AI52" s="22" t="n">
        <f aca="false">+AI51/AH51-1</f>
        <v>0.0297379526940818</v>
      </c>
      <c r="AJ52" s="22" t="n">
        <f aca="false">+AJ51/AI51-1</f>
        <v>0.0218261532596264</v>
      </c>
      <c r="AK52" s="22" t="n">
        <f aca="false">+AK51/AJ51-1</f>
        <v>0.00988713739389979</v>
      </c>
      <c r="AL52" s="22" t="n">
        <f aca="false">+AL51/AK51-1</f>
        <v>-0.01</v>
      </c>
      <c r="AM52" s="22" t="n">
        <f aca="false">+AM51/AL51-1</f>
        <v>-0.01</v>
      </c>
      <c r="AN52" s="22" t="n">
        <f aca="false">+AN51/AM51-1</f>
        <v>-0.01</v>
      </c>
      <c r="AO52" s="22" t="n">
        <f aca="false">+AO51/AN51-1</f>
        <v>-0.01</v>
      </c>
      <c r="AP52" s="22" t="n">
        <f aca="false">+AP51/AO51-1</f>
        <v>-0.01</v>
      </c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0"/>
      <c r="DQ52" s="20"/>
      <c r="DR52" s="20"/>
      <c r="DS52" s="20"/>
      <c r="DT52" s="20"/>
    </row>
    <row r="53" s="31" customFormat="true" ht="12.8" hidden="false" customHeight="false" outlineLevel="0" collapsed="false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32" t="s">
        <v>163</v>
      </c>
      <c r="AV53" s="32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20"/>
      <c r="DQ53" s="20"/>
      <c r="DR53" s="20"/>
      <c r="DS53" s="20"/>
      <c r="DT53" s="20"/>
    </row>
    <row r="54" s="31" customFormat="true" ht="12.8" hidden="false" customHeight="false" outlineLevel="0" collapsed="false">
      <c r="A54" s="31" t="s">
        <v>147</v>
      </c>
      <c r="B54" s="31" t="n">
        <f aca="false">+B19/B15</f>
        <v>0.428918621826801</v>
      </c>
      <c r="C54" s="31" t="n">
        <f aca="false">+C19/C15</f>
        <v>0.45210089578831</v>
      </c>
      <c r="D54" s="31" t="n">
        <f aca="false">+D19/D15</f>
        <v>0.447148330854989</v>
      </c>
      <c r="E54" s="31" t="n">
        <f aca="false">+E19/E15</f>
        <v>0.426020750113938</v>
      </c>
      <c r="F54" s="31" t="n">
        <f aca="false">+F19/F15</f>
        <v>0.467713060820679</v>
      </c>
      <c r="G54" s="31" t="n">
        <f aca="false">+G19/G15</f>
        <v>0.483766547852035</v>
      </c>
      <c r="H54" s="31" t="n">
        <f aca="false">+H19/H15</f>
        <v>0.475674957891573</v>
      </c>
      <c r="I54" s="31" t="n">
        <f aca="false">+I19/I15</f>
        <v>0.45544566106342</v>
      </c>
      <c r="J54" s="31" t="n">
        <f aca="false">+J19/J15</f>
        <v>0.493186242699546</v>
      </c>
      <c r="K54" s="31" t="n">
        <f aca="false">+K19/K15</f>
        <v>0.501375213715645</v>
      </c>
      <c r="L54" s="31" t="n">
        <f aca="false">+L19/L15</f>
        <v>0.49031640829069</v>
      </c>
      <c r="M54" s="31" t="n">
        <f aca="false">+M19/M15</f>
        <v>0.473390772769873</v>
      </c>
      <c r="N54" s="31" t="n">
        <f aca="false">+N19/N15</f>
        <v>0.505508553514875</v>
      </c>
      <c r="O54" s="31" t="n">
        <f aca="false">+O19/O15</f>
        <v>0.518139318553148</v>
      </c>
      <c r="P54" s="31" t="n">
        <f aca="false">+P19/P15</f>
        <v>0.507850962152202</v>
      </c>
      <c r="Q54" s="31" t="n">
        <f aca="false">+Q19/Q15</f>
        <v>0.484694403569119</v>
      </c>
      <c r="R54" s="31" t="n">
        <f aca="false">+R19/R15</f>
        <v>0.518160633322132</v>
      </c>
      <c r="S54" s="31" t="n">
        <f aca="false">+S19/S15</f>
        <v>0.522556653340379</v>
      </c>
      <c r="T54" s="31" t="n">
        <f aca="false">+T19/T15</f>
        <v>0.51</v>
      </c>
      <c r="U54" s="31" t="n">
        <f aca="false">+U19/U15</f>
        <v>0.51</v>
      </c>
      <c r="AA54" s="31" t="n">
        <f aca="false">+AA19/AA15</f>
        <v>0.33040203353083</v>
      </c>
      <c r="AB54" s="31" t="n">
        <f aca="false">+AB19/AB15</f>
        <v>0.350930603660644</v>
      </c>
      <c r="AC54" s="31" t="n">
        <f aca="false">+AC19/AC15</f>
        <v>0.370683548289162</v>
      </c>
      <c r="AD54" s="31" t="n">
        <f aca="false">+AD19/AD15</f>
        <v>0.402474161288522</v>
      </c>
      <c r="AE54" s="31" t="n">
        <f aca="false">+AE19/AE15</f>
        <v>0.409900114786006</v>
      </c>
      <c r="AF54" s="31" t="n">
        <f aca="false">+AF19/AF15</f>
        <v>0.395677918687057</v>
      </c>
      <c r="AG54" s="31" t="n">
        <f aca="false">+AG19/AG15</f>
        <v>0.420325144416396</v>
      </c>
      <c r="AH54" s="31" t="n">
        <f aca="false">+AH19/AH15</f>
        <v>0.438053398653263</v>
      </c>
      <c r="AI54" s="31" t="n">
        <f aca="false">+AI19/AI15</f>
        <v>0.469820889550006</v>
      </c>
      <c r="AJ54" s="31" t="n">
        <f aca="false">+AJ19/AJ15</f>
        <v>0.488543934641568</v>
      </c>
      <c r="AK54" s="31" t="n">
        <f aca="false">+AK19/AK15</f>
        <v>0.502856648682427</v>
      </c>
      <c r="AL54" s="31" t="n">
        <f aca="false">+AL19/AL15</f>
        <v>0.51</v>
      </c>
      <c r="AM54" s="31" t="n">
        <f aca="false">+AM19/AM15</f>
        <v>0.52</v>
      </c>
      <c r="AN54" s="31" t="n">
        <f aca="false">+AN19/AN15</f>
        <v>0.53</v>
      </c>
      <c r="AO54" s="31" t="n">
        <f aca="false">+AO19/AO15</f>
        <v>0.54</v>
      </c>
      <c r="AP54" s="31" t="n">
        <f aca="false">+AP19/AP15</f>
        <v>0.54</v>
      </c>
      <c r="AQ54" s="33"/>
      <c r="AR54" s="34" t="s">
        <v>164</v>
      </c>
      <c r="AS54" s="35" t="n">
        <v>0.02</v>
      </c>
      <c r="AT54" s="33"/>
      <c r="AU54" s="36" t="s">
        <v>165</v>
      </c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20"/>
      <c r="DQ54" s="20"/>
      <c r="DR54" s="20"/>
      <c r="DS54" s="20"/>
      <c r="DT54" s="20"/>
    </row>
    <row r="55" s="25" customFormat="true" ht="12.8" hidden="false" customHeight="false" outlineLevel="0" collapsed="false">
      <c r="A55" s="31" t="s">
        <v>166</v>
      </c>
      <c r="B55" s="31" t="n">
        <f aca="false">+B33/B15</f>
        <v>0.031508708048504</v>
      </c>
      <c r="C55" s="31" t="n">
        <f aca="false">+C33/C15</f>
        <v>0.0273603114637808</v>
      </c>
      <c r="D55" s="31" t="n">
        <f aca="false">+D33/D15</f>
        <v>0.019866090746729</v>
      </c>
      <c r="E55" s="31" t="n">
        <f aca="false">+E33/E15</f>
        <v>0.0183440122248733</v>
      </c>
      <c r="F55" s="31" t="n">
        <f aca="false">+F33/F15</f>
        <v>0.0374848851269649</v>
      </c>
      <c r="G55" s="31" t="n">
        <f aca="false">+G33/G15</f>
        <v>0.0571575273658126</v>
      </c>
      <c r="H55" s="31" t="n">
        <f aca="false">+H33/H15</f>
        <v>0.0781923778506182</v>
      </c>
      <c r="I55" s="31" t="n">
        <f aca="false">+I33/I15</f>
        <v>0.0777178293843882</v>
      </c>
      <c r="J55" s="31" t="n">
        <f aca="false">+J33/J15</f>
        <v>0.106808175113214</v>
      </c>
      <c r="K55" s="31" t="n">
        <f aca="false">+K33/K15</f>
        <v>0.0991505436655697</v>
      </c>
      <c r="L55" s="31" t="n">
        <f aca="false">+L33/L15</f>
        <v>0.109587920215009</v>
      </c>
      <c r="M55" s="31" t="n">
        <f aca="false">+M33/M15</f>
        <v>0.112906833091932</v>
      </c>
      <c r="N55" s="31" t="n">
        <f aca="false">+N33/N15</f>
        <v>0.118233151535007</v>
      </c>
      <c r="O55" s="31" t="n">
        <f aca="false">+O33/O15</f>
        <v>0.114315869816699</v>
      </c>
      <c r="P55" s="31" t="n">
        <f aca="false">+P33/P15</f>
        <v>0.0966981001171123</v>
      </c>
      <c r="Q55" s="31" t="n">
        <f aca="false">+Q33/Q15</f>
        <v>0.117050790586074</v>
      </c>
      <c r="R55" s="31" t="n">
        <f aca="false">+R33/R15</f>
        <v>0.131402222356888</v>
      </c>
      <c r="S55" s="31" t="n">
        <f aca="false">+S33/S15</f>
        <v>0.136890222625445</v>
      </c>
      <c r="T55" s="31" t="n">
        <f aca="false">+T33/T15</f>
        <v>0.121372271906615</v>
      </c>
      <c r="U55" s="31" t="n">
        <f aca="false">+U33/U15</f>
        <v>0.13931945219747</v>
      </c>
      <c r="V55" s="31"/>
      <c r="W55" s="31"/>
      <c r="X55" s="31"/>
      <c r="Y55" s="31"/>
      <c r="Z55" s="31"/>
      <c r="AA55" s="31" t="n">
        <f aca="false">+AA33/AA15</f>
        <v>0.0208679887109134</v>
      </c>
      <c r="AB55" s="31" t="n">
        <f aca="false">+AB33/AB15</f>
        <v>0.0307823541956216</v>
      </c>
      <c r="AC55" s="31" t="n">
        <f aca="false">+AC33/AC15</f>
        <v>0.0230847941708927</v>
      </c>
      <c r="AD55" s="31" t="n">
        <f aca="false">+AD33/AD15</f>
        <v>0.0533348791473977</v>
      </c>
      <c r="AE55" s="31" t="n">
        <f aca="false">+AE33/AE15</f>
        <v>0.0518355066625791</v>
      </c>
      <c r="AF55" s="31" t="n">
        <f aca="false">+AF33/AF15</f>
        <v>0.0593139997513366</v>
      </c>
      <c r="AG55" s="31" t="n">
        <f aca="false">+AG33/AG15</f>
        <v>0.0529540975092695</v>
      </c>
      <c r="AH55" s="31" t="n">
        <f aca="false">+AH33/AH15</f>
        <v>0.0238295819122422</v>
      </c>
      <c r="AI55" s="31" t="n">
        <f aca="false">+AI33/AI15</f>
        <v>0.0641144079960333</v>
      </c>
      <c r="AJ55" s="31" t="n">
        <f aca="false">+AJ33/AJ15</f>
        <v>0.107519448742004</v>
      </c>
      <c r="AK55" s="31" t="n">
        <f aca="false">+AK33/AK15</f>
        <v>0.111552967957552</v>
      </c>
      <c r="AL55" s="31" t="n">
        <f aca="false">+AL33/AL15</f>
        <v>0.159</v>
      </c>
      <c r="AM55" s="31" t="n">
        <f aca="false">+AM33/AM15</f>
        <v>0.169</v>
      </c>
      <c r="AN55" s="31" t="n">
        <f aca="false">+AN33/AN15</f>
        <v>0.194</v>
      </c>
      <c r="AO55" s="31" t="n">
        <f aca="false">+AO33/AO15</f>
        <v>0.214</v>
      </c>
      <c r="AP55" s="31" t="n">
        <f aca="false">+AP33/AP15</f>
        <v>0.224</v>
      </c>
      <c r="AQ55" s="31"/>
      <c r="AR55" s="37" t="s">
        <v>167</v>
      </c>
      <c r="AS55" s="38" t="n">
        <f aca="false">+Main!$E$8</f>
        <v>0.119616319823727</v>
      </c>
      <c r="AT55" s="31"/>
      <c r="AU55" s="36" t="s">
        <v>168</v>
      </c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  <c r="DB55" s="31"/>
      <c r="DC55" s="31"/>
      <c r="DD55" s="31"/>
      <c r="DE55" s="31"/>
      <c r="DF55" s="31"/>
      <c r="DG55" s="31"/>
      <c r="DH55" s="31"/>
      <c r="DI55" s="31"/>
      <c r="DJ55" s="31"/>
      <c r="DK55" s="31"/>
      <c r="DL55" s="31"/>
      <c r="DM55" s="31"/>
      <c r="DN55" s="31"/>
      <c r="DO55" s="31"/>
      <c r="DP55" s="20"/>
      <c r="DQ55" s="20"/>
      <c r="DR55" s="20"/>
      <c r="DS55" s="20"/>
      <c r="DT55" s="20"/>
    </row>
    <row r="56" s="25" customFormat="true" ht="12.8" hidden="false" customHeight="false" outlineLevel="0" collapsed="false">
      <c r="A56" s="31" t="s">
        <v>169</v>
      </c>
      <c r="B56" s="31" t="n">
        <f aca="false">+B47/B15</f>
        <v>-0.0330115763800625</v>
      </c>
      <c r="C56" s="31" t="n">
        <f aca="false">+C47/C15</f>
        <v>-0.0167279805995018</v>
      </c>
      <c r="D56" s="31" t="n">
        <f aca="false">+D47/D15</f>
        <v>0.0225962030196458</v>
      </c>
      <c r="E56" s="31" t="n">
        <f aca="false">+E47/E15</f>
        <v>0.00186322082517895</v>
      </c>
      <c r="F56" s="31" t="n">
        <f aca="false">+F47/F15</f>
        <v>0.0249061700089511</v>
      </c>
      <c r="G56" s="31" t="n">
        <f aca="false">+G47/G15</f>
        <v>0.0502295677280608</v>
      </c>
      <c r="H56" s="31" t="n">
        <f aca="false">+H47/H15</f>
        <v>0.069043841686294</v>
      </c>
      <c r="I56" s="31" t="n">
        <f aca="false">+I47/I15</f>
        <v>0.062508457822677</v>
      </c>
      <c r="J56" s="31" t="n">
        <f aca="false">+J47/J15</f>
        <v>0.0727847438822717</v>
      </c>
      <c r="K56" s="31" t="n">
        <f aca="false">+K47/K15</f>
        <v>0.0911290268082202</v>
      </c>
      <c r="L56" s="31" t="n">
        <f aca="false">+L47/L15</f>
        <v>0.0964771489894698</v>
      </c>
      <c r="M56" s="31" t="n">
        <f aca="false">+M47/M15</f>
        <v>0.106522109568033</v>
      </c>
      <c r="N56" s="31" t="n">
        <f aca="false">+N47/N15</f>
        <v>0.110023319007882</v>
      </c>
      <c r="O56" s="31" t="n">
        <f aca="false">+O47/O15</f>
        <v>0.108311171005713</v>
      </c>
      <c r="P56" s="31" t="n">
        <f aca="false">+P47/P15</f>
        <v>0.117595146778858</v>
      </c>
      <c r="Q56" s="31" t="n">
        <f aca="false">+Q47/Q15</f>
        <v>0.0993129821075422</v>
      </c>
      <c r="R56" s="31" t="n">
        <f aca="false">+R47/R15</f>
        <v>0.166676766619472</v>
      </c>
      <c r="S56" s="31" t="n">
        <f aca="false">+S47/S15</f>
        <v>0.312288765041923</v>
      </c>
      <c r="T56" s="31" t="n">
        <f aca="false">+T47/T15</f>
        <v>0.110061861819419</v>
      </c>
      <c r="U56" s="31" t="n">
        <f aca="false">+U47/U15</f>
        <v>0.117898820449463</v>
      </c>
      <c r="V56" s="31"/>
      <c r="W56" s="31"/>
      <c r="X56" s="31"/>
      <c r="Y56" s="31"/>
      <c r="Z56" s="31"/>
      <c r="AA56" s="31" t="n">
        <f aca="false">+AA47/AA15</f>
        <v>0.0055697811337682</v>
      </c>
      <c r="AB56" s="31" t="n">
        <f aca="false">+AB47/AB15</f>
        <v>0.0174354901571474</v>
      </c>
      <c r="AC56" s="31" t="n">
        <f aca="false">+AC47/AC15</f>
        <v>0.0170521628641787</v>
      </c>
      <c r="AD56" s="31" t="n">
        <f aca="false">+AD47/AD15</f>
        <v>0.0432527363055903</v>
      </c>
      <c r="AE56" s="31" t="n">
        <f aca="false">+AE47/AE15</f>
        <v>0.0413087030607225</v>
      </c>
      <c r="AF56" s="31" t="n">
        <f aca="false">+AF47/AF15</f>
        <v>0.0552524969953168</v>
      </c>
      <c r="AG56" s="31" t="n">
        <f aca="false">+AG47/AG15</f>
        <v>0.0710141287551456</v>
      </c>
      <c r="AH56" s="31" t="n">
        <f aca="false">+AH47/AH15</f>
        <v>-0.0052958950004183</v>
      </c>
      <c r="AI56" s="31" t="n">
        <f aca="false">+AI47/AI15</f>
        <v>0.0529328357559783</v>
      </c>
      <c r="AJ56" s="31" t="n">
        <f aca="false">+AJ47/AJ15</f>
        <v>0.0928711719718665</v>
      </c>
      <c r="AK56" s="31" t="n">
        <f aca="false">+AK47/AK15</f>
        <v>0.108337843341833</v>
      </c>
      <c r="AL56" s="31" t="n">
        <f aca="false">+AL47/AL15</f>
        <v>0.202233785492305</v>
      </c>
      <c r="AM56" s="31" t="n">
        <f aca="false">+AM47/AM15</f>
        <v>0.137677298013623</v>
      </c>
      <c r="AN56" s="31" t="n">
        <f aca="false">+AN47/AN15</f>
        <v>0.159283988409773</v>
      </c>
      <c r="AO56" s="31" t="n">
        <f aca="false">+AO47/AO15</f>
        <v>0.1772662245474</v>
      </c>
      <c r="AP56" s="31" t="n">
        <f aca="false">+AP47/AP15</f>
        <v>0.187661298394473</v>
      </c>
      <c r="AQ56" s="31"/>
      <c r="AR56" s="39" t="s">
        <v>170</v>
      </c>
      <c r="AS56" s="40" t="n">
        <v>0.03</v>
      </c>
      <c r="AT56" s="31"/>
      <c r="AU56" s="36" t="s">
        <v>171</v>
      </c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DP56" s="20"/>
      <c r="DQ56" s="20"/>
      <c r="DR56" s="20"/>
      <c r="DS56" s="20"/>
      <c r="DT56" s="20"/>
    </row>
    <row r="57" s="25" customFormat="true" ht="12.8" hidden="false" customHeight="false" outlineLevel="0" collapsed="false">
      <c r="A57" s="31" t="s">
        <v>172</v>
      </c>
      <c r="B57" s="31" t="n">
        <f aca="false">+B43/B41</f>
        <v>0.27008547008547</v>
      </c>
      <c r="C57" s="31" t="n">
        <f aca="false">+C43/C41</f>
        <v>0.240105540897098</v>
      </c>
      <c r="D57" s="31" t="n">
        <f aca="false">+D43/D41</f>
        <v>0.0234375</v>
      </c>
      <c r="E57" s="31" t="n">
        <f aca="false">+E43/E41</f>
        <v>1.27546777546778</v>
      </c>
      <c r="F57" s="31" t="n">
        <f aca="false">+F43/F41</f>
        <v>0.230152949745084</v>
      </c>
      <c r="G57" s="31" t="n">
        <f aca="false">+G43/G41</f>
        <v>0.106307021023403</v>
      </c>
      <c r="H57" s="31" t="n">
        <f aca="false">+H43/H41</f>
        <v>0.189186971859874</v>
      </c>
      <c r="I57" s="31" t="n">
        <f aca="false">+I43/I41</f>
        <v>0.223732281163233</v>
      </c>
      <c r="J57" s="31" t="n">
        <f aca="false">+J43/J41</f>
        <v>0.190017715474082</v>
      </c>
      <c r="K57" s="31" t="n">
        <f aca="false">+K43/K41</f>
        <v>0.115906854706461</v>
      </c>
      <c r="L57" s="31" t="n">
        <f aca="false">+L43/L41</f>
        <v>0.150024948716527</v>
      </c>
      <c r="M57" s="31" t="n">
        <f aca="false">+M43/M41</f>
        <v>0.104031500290841</v>
      </c>
      <c r="N57" s="31" t="n">
        <f aca="false">+N43/N41</f>
        <v>0.210018912311453</v>
      </c>
      <c r="O57" s="31" t="n">
        <f aca="false">+O43/O41</f>
        <v>0.128398139713286</v>
      </c>
      <c r="P57" s="31" t="n">
        <f aca="false">+P43/P41</f>
        <v>0.245296414625488</v>
      </c>
      <c r="Q57" s="31" t="n">
        <f aca="false">+Q43/Q41</f>
        <v>0.185904905093028</v>
      </c>
      <c r="R57" s="31" t="n">
        <f aca="false">+R43/R41</f>
        <v>0.239995983330823</v>
      </c>
      <c r="S57" s="31" t="n">
        <f aca="false">+S43/S41</f>
        <v>0.225076369392879</v>
      </c>
      <c r="T57" s="31" t="n">
        <f aca="false">+T43/T41</f>
        <v>0.3</v>
      </c>
      <c r="U57" s="31" t="n">
        <f aca="false">+U43/U41</f>
        <v>0.3</v>
      </c>
      <c r="V57" s="31"/>
      <c r="W57" s="31"/>
      <c r="X57" s="31"/>
      <c r="Y57" s="31"/>
      <c r="Z57" s="31"/>
      <c r="AA57" s="31" t="n">
        <f aca="false">+AA43/AA41</f>
        <v>0.605867346938776</v>
      </c>
      <c r="AB57" s="31" t="n">
        <f aca="false">+AB43/AB41</f>
        <v>0.366135662898253</v>
      </c>
      <c r="AC57" s="31" t="n">
        <f aca="false">+AC43/AC41</f>
        <v>0.202049395691014</v>
      </c>
      <c r="AD57" s="31" t="n">
        <f aca="false">+AD43/AD41</f>
        <v>0.106296066068733</v>
      </c>
      <c r="AE57" s="31" t="n">
        <f aca="false">+AE43/AE41</f>
        <v>0.169862621637092</v>
      </c>
      <c r="AF57" s="31" t="n">
        <f aca="false">+AF43/AF41</f>
        <v>0.118413433700058</v>
      </c>
      <c r="AG57" s="31" t="n">
        <f aca="false">+AG43/AG41</f>
        <v>0.125579932373988</v>
      </c>
      <c r="AH57" s="31" t="n">
        <f aca="false">+AH43/AH41</f>
        <v>0.5419474393531</v>
      </c>
      <c r="AI57" s="31" t="n">
        <f aca="false">+AI43/AI41</f>
        <v>0.189578507335517</v>
      </c>
      <c r="AJ57" s="31" t="n">
        <f aca="false">+AJ43/AJ41</f>
        <v>0.135030751741627</v>
      </c>
      <c r="AK57" s="31" t="n">
        <f aca="false">+AK43/AK41</f>
        <v>0.196144320785934</v>
      </c>
      <c r="AL57" s="31" t="n">
        <f aca="false">+AL43/AL41</f>
        <v>0.22</v>
      </c>
      <c r="AM57" s="31" t="n">
        <f aca="false">+AM43/AM41</f>
        <v>0.22</v>
      </c>
      <c r="AN57" s="31" t="n">
        <f aca="false">+AN43/AN41</f>
        <v>0.22</v>
      </c>
      <c r="AO57" s="31" t="n">
        <f aca="false">+AO43/AO41</f>
        <v>0.22</v>
      </c>
      <c r="AP57" s="31" t="n">
        <f aca="false">+AP43/AP41</f>
        <v>0.22</v>
      </c>
      <c r="AQ57" s="31"/>
      <c r="AR57" s="37" t="s">
        <v>173</v>
      </c>
      <c r="AS57" s="41" t="n">
        <f aca="false">+NPV(AS55,AL47:DL47)+Main!E4-Main!E5</f>
        <v>2167069.31837749</v>
      </c>
      <c r="AT57" s="31"/>
      <c r="AU57" s="36" t="s">
        <v>174</v>
      </c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20"/>
      <c r="DQ57" s="20"/>
      <c r="DR57" s="20"/>
      <c r="DS57" s="20"/>
      <c r="DT57" s="20"/>
    </row>
    <row r="58" s="44" customFormat="true" ht="12.8" hidden="false" customHeight="false" outlineLevel="0" collapsed="false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31"/>
      <c r="AR58" s="42" t="s">
        <v>4</v>
      </c>
      <c r="AS58" s="43" t="n">
        <f aca="false">+AS57/Main!E2</f>
        <v>200.909171044586</v>
      </c>
      <c r="AT58" s="31"/>
      <c r="AU58" s="36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/>
      <c r="DA58" s="31"/>
      <c r="DB58" s="31"/>
      <c r="DC58" s="31"/>
      <c r="DD58" s="31"/>
      <c r="DE58" s="31"/>
      <c r="DF58" s="31"/>
      <c r="DG58" s="31"/>
      <c r="DH58" s="31"/>
      <c r="DI58" s="31"/>
      <c r="DJ58" s="31"/>
      <c r="DK58" s="31"/>
      <c r="DL58" s="31"/>
      <c r="DM58" s="31"/>
      <c r="DN58" s="31"/>
      <c r="DO58" s="31"/>
      <c r="DP58" s="20"/>
      <c r="DQ58" s="20"/>
      <c r="DR58" s="20"/>
      <c r="DS58" s="20"/>
      <c r="DT58" s="20"/>
    </row>
    <row r="59" s="25" customFormat="true" ht="12.8" hidden="false" customHeight="false" outlineLevel="0" collapsed="false">
      <c r="A59" s="25" t="s">
        <v>175</v>
      </c>
      <c r="C59" s="25" t="n">
        <f aca="false">+C47/AVERAGE(B87:C87)</f>
        <v>-0.00488383433976123</v>
      </c>
      <c r="D59" s="25" t="n">
        <f aca="false">+D47/AVERAGE(C87:D87)</f>
        <v>0.00677680548656968</v>
      </c>
      <c r="E59" s="25" t="n">
        <f aca="false">+E47/AVERAGE(D87:E87)</f>
        <v>0.000624337483605527</v>
      </c>
      <c r="F59" s="25" t="n">
        <f aca="false">+F47/AVERAGE(E87:F87)</f>
        <v>0.00684319019516684</v>
      </c>
      <c r="G59" s="25" t="n">
        <f aca="false">+G47/AVERAGE(F87:G87)</f>
        <v>0.0143314383987006</v>
      </c>
      <c r="H59" s="25" t="n">
        <f aca="false">+H47/AVERAGE(G87:H87)</f>
        <v>0.0204854378998227</v>
      </c>
      <c r="I59" s="25" t="n">
        <f aca="false">+I47/AVERAGE(H87:I87)</f>
        <v>0.0209394158289291</v>
      </c>
      <c r="J59" s="25" t="n">
        <f aca="false">+J47/AVERAGE(I87:J87)</f>
        <v>0.0197030098515049</v>
      </c>
      <c r="K59" s="25" t="n">
        <f aca="false">+K47/AVERAGE(J87:K87)</f>
        <v>0.0248391259059097</v>
      </c>
      <c r="L59" s="25" t="n">
        <f aca="false">+L47/AVERAGE(K87:L87)</f>
        <v>0.0269043498407996</v>
      </c>
      <c r="M59" s="25" t="n">
        <f aca="false">+M47/AVERAGE(L87:M87)</f>
        <v>0.0330775844963291</v>
      </c>
      <c r="N59" s="25" t="n">
        <f aca="false">+N47/AVERAGE(M87:N87)</f>
        <v>0.0270110002759926</v>
      </c>
      <c r="O59" s="25" t="n">
        <f aca="false">+O47/AVERAGE(N87:O87)</f>
        <v>0.0274085463843323</v>
      </c>
      <c r="P59" s="25" t="n">
        <f aca="false">+P47/AVERAGE(O87:P87)</f>
        <v>0.0300505428373062</v>
      </c>
      <c r="Q59" s="25" t="n">
        <f aca="false">+Q47/AVERAGE(P87:Q87)</f>
        <v>0.0274159213383503</v>
      </c>
      <c r="R59" s="25" t="n">
        <f aca="false">+R47/AVERAGE(Q87:R87)</f>
        <v>0.0348826752262099</v>
      </c>
      <c r="S59" s="25" t="n">
        <f aca="false">+S47/AVERAGE(R87:S87)</f>
        <v>0.0622634880453845</v>
      </c>
      <c r="AB59" s="25" t="n">
        <f aca="false">+AB47/AVERAGE(AA87:AB87)</f>
        <v>0.0320083159521833</v>
      </c>
      <c r="AC59" s="25" t="n">
        <f aca="false">+AC47/AVERAGE(AB87:AC87)</f>
        <v>0.0282517977569954</v>
      </c>
      <c r="AD59" s="25" t="n">
        <f aca="false">+AD47/AVERAGE(AC87:AD87)</f>
        <v>0.0685336000381007</v>
      </c>
      <c r="AE59" s="25" t="n">
        <f aca="false">+AE47/AVERAGE(AD87:AE87)</f>
        <v>0.0597479736836678</v>
      </c>
      <c r="AF59" s="25" t="n">
        <f aca="false">+AF47/AVERAGE(AE87:AF87)</f>
        <v>0.0780721868520596</v>
      </c>
      <c r="AG59" s="25" t="n">
        <f aca="false">+AG47/AVERAGE(AF87:AG87)</f>
        <v>0.0899609568800017</v>
      </c>
      <c r="AH59" s="25" t="n">
        <f aca="false">+AH47/AVERAGE(AG87:AH87)</f>
        <v>-0.00616378178129218</v>
      </c>
      <c r="AI59" s="25" t="n">
        <f aca="false">+AI47/AVERAGE(AH87:AI87)</f>
        <v>0.0614318207745558</v>
      </c>
      <c r="AJ59" s="25" t="n">
        <f aca="false">+AJ47/AVERAGE(AI87:AJ87)</f>
        <v>0.102794366158085</v>
      </c>
      <c r="AK59" s="25" t="n">
        <f aca="false">+AK47/AVERAGE(AJ87:AK87)</f>
        <v>0.107655502392345</v>
      </c>
      <c r="AQ59" s="5"/>
      <c r="AR59" s="45" t="s">
        <v>176</v>
      </c>
      <c r="AS59" s="46" t="n">
        <f aca="false">+AS58/Main!E1-1</f>
        <v>-0.224288914885769</v>
      </c>
      <c r="AT59" s="5"/>
      <c r="AU59" s="47" t="s">
        <v>177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20"/>
      <c r="DQ59" s="20"/>
      <c r="DR59" s="20"/>
      <c r="DS59" s="20"/>
      <c r="DT59" s="20"/>
    </row>
    <row r="60" customFormat="false" ht="12.8" hidden="false" customHeight="false" outlineLevel="0" collapsed="false">
      <c r="A60" s="25" t="s">
        <v>178</v>
      </c>
      <c r="B60" s="25"/>
      <c r="C60" s="25" t="n">
        <f aca="false">+C47/AVERAGE(B104:C104)</f>
        <v>-0.015282419565717</v>
      </c>
      <c r="D60" s="25" t="n">
        <f aca="false">+D47/AVERAGE(C104:D104)</f>
        <v>0.0213618157543391</v>
      </c>
      <c r="E60" s="25" t="n">
        <f aca="false">+E47/AVERAGE(D104:E104)</f>
        <v>0.00196097794957888</v>
      </c>
      <c r="F60" s="25" t="n">
        <f aca="false">+F47/AVERAGE(E104:F104)</f>
        <v>0.021106634416723</v>
      </c>
      <c r="G60" s="25" t="n">
        <f aca="false">+G47/AVERAGE(F104:G104)</f>
        <v>0.0417791092074967</v>
      </c>
      <c r="H60" s="25" t="n">
        <f aca="false">+H47/AVERAGE(G104:H104)</f>
        <v>0.0562042902778924</v>
      </c>
      <c r="I60" s="25" t="n">
        <f aca="false">+I47/AVERAGE(H104:I104)</f>
        <v>0.0552165732877353</v>
      </c>
      <c r="J60" s="25" t="n">
        <f aca="false">+J47/AVERAGE(I104:J104)</f>
        <v>0.0498451746086358</v>
      </c>
      <c r="K60" s="25" t="n">
        <f aca="false">+K47/AVERAGE(J104:K104)</f>
        <v>0.059522233109987</v>
      </c>
      <c r="L60" s="25" t="n">
        <f aca="false">+L47/AVERAGE(K104:L104)</f>
        <v>0.061856585377665</v>
      </c>
      <c r="M60" s="25" t="n">
        <f aca="false">+M47/AVERAGE(L104:M104)</f>
        <v>0.0733928797459647</v>
      </c>
      <c r="N60" s="25" t="n">
        <f aca="false">+N47/AVERAGE(M104:N104)</f>
        <v>0.0578774223308107</v>
      </c>
      <c r="O60" s="25" t="n">
        <f aca="false">+O47/AVERAGE(N104:O104)</f>
        <v>0.0567942692943865</v>
      </c>
      <c r="P60" s="25" t="n">
        <f aca="false">+P47/AVERAGE(O104:P104)</f>
        <v>0.0602411693957686</v>
      </c>
      <c r="Q60" s="25" t="n">
        <f aca="false">+Q47/AVERAGE(P104:Q104)</f>
        <v>0.0542900181376618</v>
      </c>
      <c r="R60" s="25" t="n">
        <f aca="false">+R47/AVERAGE(Q104:R104)</f>
        <v>0.0709396128157903</v>
      </c>
      <c r="S60" s="25" t="n">
        <f aca="false">+S47/AVERAGE(R104:S104)</f>
        <v>0.126109423532562</v>
      </c>
      <c r="T60" s="25"/>
      <c r="U60" s="25"/>
      <c r="V60" s="25"/>
      <c r="W60" s="25"/>
      <c r="X60" s="25"/>
      <c r="Y60" s="25"/>
      <c r="Z60" s="25"/>
      <c r="AA60" s="25"/>
      <c r="AB60" s="25" t="n">
        <f aca="false">+AB47/AVERAGE(AA104:AB104)</f>
        <v>0.145152897242034</v>
      </c>
      <c r="AC60" s="25" t="n">
        <f aca="false">+AC47/AVERAGE(AB104:AC104)</f>
        <v>0.129080308124441</v>
      </c>
      <c r="AD60" s="25" t="n">
        <f aca="false">+AD47/AVERAGE(AC104:AD104)</f>
        <v>0.282719133290297</v>
      </c>
      <c r="AE60" s="25" t="n">
        <f aca="false">+AE47/AVERAGE(AD104:AE104)</f>
        <v>0.219450993760002</v>
      </c>
      <c r="AF60" s="25" t="n">
        <f aca="false">+AF47/AVERAGE(AE104:AF104)</f>
        <v>0.274417228425874</v>
      </c>
      <c r="AG60" s="25" t="n">
        <f aca="false">+AG47/AVERAGE(AF104:AG104)</f>
        <v>0.288056499272606</v>
      </c>
      <c r="AH60" s="25" t="n">
        <f aca="false">+AH47/AVERAGE(AG104:AH104)</f>
        <v>-0.0191495947771274</v>
      </c>
      <c r="AI60" s="25" t="n">
        <f aca="false">+AI47/AVERAGE(AH104:AI104)</f>
        <v>0.174897533326818</v>
      </c>
      <c r="AJ60" s="25" t="n">
        <f aca="false">+AJ47/AVERAGE(AI104:AJ104)</f>
        <v>0.242896821736412</v>
      </c>
      <c r="AK60" s="25" t="n">
        <f aca="false">+AK47/AVERAGE(AJ104:AK104)</f>
        <v>0.222858249585745</v>
      </c>
      <c r="AL60" s="25"/>
      <c r="AM60" s="25"/>
      <c r="AN60" s="25"/>
      <c r="AO60" s="25"/>
      <c r="AP60" s="25"/>
      <c r="AQ60" s="31"/>
      <c r="AR60" s="31"/>
      <c r="AS60" s="31"/>
      <c r="AT60" s="31"/>
      <c r="AU60" s="31" t="s">
        <v>179</v>
      </c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</row>
    <row r="61" customFormat="false" ht="12.8" hidden="false" customHeight="false" outlineLevel="0" collapsed="false">
      <c r="A61" s="25" t="s">
        <v>180</v>
      </c>
      <c r="B61" s="25"/>
      <c r="C61" s="25" t="n">
        <f aca="false">+C15/AVERAGE(B87:C87)</f>
        <v>0.2919560021433</v>
      </c>
      <c r="D61" s="25" t="n">
        <f aca="false">+D15/AVERAGE(C87:D87)</f>
        <v>0.299909036959782</v>
      </c>
      <c r="E61" s="25" t="n">
        <f aca="false">+E15/AVERAGE(D87:E87)</f>
        <v>0.335085071596687</v>
      </c>
      <c r="F61" s="25" t="n">
        <f aca="false">+F15/AVERAGE(E87:F87)</f>
        <v>0.274758832558656</v>
      </c>
      <c r="G61" s="25" t="n">
        <f aca="false">+G15/AVERAGE(F87:G87)</f>
        <v>0.285318768345568</v>
      </c>
      <c r="H61" s="25" t="n">
        <f aca="false">+H15/AVERAGE(G87:H87)</f>
        <v>0.296701883897189</v>
      </c>
      <c r="I61" s="25" t="n">
        <f aca="false">+I15/AVERAGE(H87:I87)</f>
        <v>0.334985321319711</v>
      </c>
      <c r="J61" s="25" t="n">
        <f aca="false">+J15/AVERAGE(I87:J87)</f>
        <v>0.270702468684568</v>
      </c>
      <c r="K61" s="25" t="n">
        <f aca="false">+K15/AVERAGE(J87:K87)</f>
        <v>0.272570955445221</v>
      </c>
      <c r="L61" s="25" t="n">
        <f aca="false">+L15/AVERAGE(K87:L87)</f>
        <v>0.278867588051716</v>
      </c>
      <c r="M61" s="25" t="n">
        <f aca="false">+M15/AVERAGE(L87:M87)</f>
        <v>0.310523182750182</v>
      </c>
      <c r="N61" s="25" t="n">
        <f aca="false">+N15/AVERAGE(M87:N87)</f>
        <v>0.245502503647045</v>
      </c>
      <c r="O61" s="25" t="n">
        <f aca="false">+O15/AVERAGE(N87:O87)</f>
        <v>0.253053735176464</v>
      </c>
      <c r="P61" s="25" t="n">
        <f aca="false">+P15/AVERAGE(O87:P87)</f>
        <v>0.255542372797217</v>
      </c>
      <c r="Q61" s="25" t="n">
        <f aca="false">+Q15/AVERAGE(P87:Q87)</f>
        <v>0.276055765888317</v>
      </c>
      <c r="R61" s="25" t="n">
        <f aca="false">+R15/AVERAGE(Q87:R87)</f>
        <v>0.209283368844369</v>
      </c>
      <c r="S61" s="25" t="n">
        <f aca="false">+S15/AVERAGE(R87:S87)</f>
        <v>0.199377931630124</v>
      </c>
      <c r="T61" s="25"/>
      <c r="U61" s="25"/>
      <c r="V61" s="25"/>
      <c r="W61" s="25"/>
      <c r="X61" s="25"/>
      <c r="Y61" s="25"/>
      <c r="Z61" s="25"/>
      <c r="AA61" s="25"/>
      <c r="AB61" s="25" t="n">
        <f aca="false">+AB15/AVERAGE(AA87:AB87)</f>
        <v>1.83581394406982</v>
      </c>
      <c r="AC61" s="25" t="n">
        <f aca="false">+AC15/AVERAGE(AB87:AC87)</f>
        <v>1.65678676552778</v>
      </c>
      <c r="AD61" s="25" t="n">
        <f aca="false">+AD15/AVERAGE(AC87:AD87)</f>
        <v>1.58449166207417</v>
      </c>
      <c r="AE61" s="25" t="n">
        <f aca="false">+AE15/AVERAGE(AD87:AE87)</f>
        <v>1.44637737950378</v>
      </c>
      <c r="AF61" s="25" t="n">
        <f aca="false">+AF15/AVERAGE(AE87:AF87)</f>
        <v>1.41300739509885</v>
      </c>
      <c r="AG61" s="25" t="n">
        <f aca="false">+AG15/AVERAGE(AF87:AG87)</f>
        <v>1.26680364114843</v>
      </c>
      <c r="AH61" s="25" t="n">
        <f aca="false">+AH15/AVERAGE(AG87:AH87)</f>
        <v>1.16387915183464</v>
      </c>
      <c r="AI61" s="25" t="n">
        <f aca="false">+AI15/AVERAGE(AH87:AI87)</f>
        <v>1.16056167966814</v>
      </c>
      <c r="AJ61" s="25" t="n">
        <f aca="false">+AJ15/AVERAGE(AI87:AJ87)</f>
        <v>1.10684902511217</v>
      </c>
      <c r="AK61" s="25" t="n">
        <f aca="false">+AK15/AVERAGE(AJ87:AK87)</f>
        <v>0.993701730360875</v>
      </c>
      <c r="AL61" s="25"/>
      <c r="AM61" s="25"/>
      <c r="AN61" s="25"/>
      <c r="AO61" s="25"/>
      <c r="AP61" s="25"/>
      <c r="AQ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</row>
    <row r="62" customFormat="false" ht="12.8" hidden="false" customHeight="false" outlineLevel="0" collapsed="false">
      <c r="A62" s="44" t="s">
        <v>181</v>
      </c>
      <c r="B62" s="44"/>
      <c r="C62" s="44" t="n">
        <f aca="false">+AVERAGE(B87:C87)/AVERAGE(B104:C104)</f>
        <v>3.12918467387332</v>
      </c>
      <c r="D62" s="44" t="n">
        <f aca="false">+AVERAGE(C87:D87)/AVERAGE(C104:D104)</f>
        <v>3.15219549929153</v>
      </c>
      <c r="E62" s="44" t="n">
        <f aca="false">+AVERAGE(D87:E87)/AVERAGE(D104:E104)</f>
        <v>3.14089414951399</v>
      </c>
      <c r="F62" s="44" t="n">
        <f aca="false">+AVERAGE(E87:F87)/AVERAGE(E104:F104)</f>
        <v>3.08432672697451</v>
      </c>
      <c r="G62" s="44" t="n">
        <f aca="false">+AVERAGE(F87:G87)/AVERAGE(F104:G104)</f>
        <v>2.91520697680176</v>
      </c>
      <c r="H62" s="44" t="n">
        <f aca="false">+AVERAGE(G87:H87)/AVERAGE(G104:H104)</f>
        <v>2.74362161808505</v>
      </c>
      <c r="I62" s="44" t="n">
        <f aca="false">+AVERAGE(H87:I87)/AVERAGE(H104:I104)</f>
        <v>2.63696818186543</v>
      </c>
      <c r="J62" s="44" t="n">
        <f aca="false">+AVERAGE(I87:J87)/AVERAGE(I104:J104)</f>
        <v>2.52982539136418</v>
      </c>
      <c r="K62" s="44" t="n">
        <f aca="false">+AVERAGE(J87:K87)/AVERAGE(J104:K104)</f>
        <v>2.39630948912842</v>
      </c>
      <c r="L62" s="44" t="n">
        <f aca="false">+AVERAGE(K87:L87)/AVERAGE(K104:L104)</f>
        <v>2.29912953643881</v>
      </c>
      <c r="M62" s="44" t="n">
        <f aca="false">+AVERAGE(L87:M87)/AVERAGE(L104:M104)</f>
        <v>2.21881013573133</v>
      </c>
      <c r="N62" s="44" t="n">
        <f aca="false">+AVERAGE(M87:N87)/AVERAGE(M104:N104)</f>
        <v>2.14273524636006</v>
      </c>
      <c r="O62" s="44" t="n">
        <f aca="false">+AVERAGE(N87:O87)/AVERAGE(N104:O104)</f>
        <v>2.07213722676122</v>
      </c>
      <c r="P62" s="44" t="n">
        <f aca="false">+AVERAGE(O87:P87)/AVERAGE(O104:P104)</f>
        <v>2.00466160368265</v>
      </c>
      <c r="Q62" s="44" t="n">
        <f aca="false">+AVERAGE(P87:Q87)/AVERAGE(P104:Q104)</f>
        <v>1.98023686556611</v>
      </c>
      <c r="R62" s="44" t="n">
        <f aca="false">+AVERAGE(Q87:R87)/AVERAGE(Q104:R104)</f>
        <v>2.03366319686651</v>
      </c>
      <c r="S62" s="44" t="n">
        <f aca="false">+AVERAGE(R87:S87)/AVERAGE(R104:S104)</f>
        <v>2.02541533555973</v>
      </c>
      <c r="T62" s="44"/>
      <c r="U62" s="44"/>
      <c r="V62" s="44"/>
      <c r="W62" s="44"/>
      <c r="X62" s="44"/>
      <c r="Y62" s="44"/>
      <c r="Z62" s="44"/>
      <c r="AA62" s="44"/>
      <c r="AB62" s="44" t="n">
        <f aca="false">+AVERAGE(AA87:AB87)/AVERAGE(AA104:AB104)</f>
        <v>4.53484955156264</v>
      </c>
      <c r="AC62" s="44" t="n">
        <f aca="false">+AVERAGE(AB87:AC87)/AVERAGE(AB104:AC104)</f>
        <v>4.56892369238626</v>
      </c>
      <c r="AD62" s="44" t="n">
        <f aca="false">+AVERAGE(AC87:AD87)/AVERAGE(AC104:AD104)</f>
        <v>4.1252631283505</v>
      </c>
      <c r="AE62" s="44" t="n">
        <f aca="false">+AVERAGE(AD87:AE87)/AVERAGE(AD104:AE104)</f>
        <v>3.67294454071149</v>
      </c>
      <c r="AF62" s="44" t="n">
        <f aca="false">+AVERAGE(AE87:AF87)/AVERAGE(AE104:AF104)</f>
        <v>3.514916636649</v>
      </c>
      <c r="AG62" s="44" t="n">
        <f aca="false">+AVERAGE(AF87:AG87)/AVERAGE(AF104:AG104)</f>
        <v>3.20201684445001</v>
      </c>
      <c r="AH62" s="44" t="n">
        <f aca="false">+AVERAGE(AG87:AH87)/AVERAGE(AG104:AH104)</f>
        <v>3.10679311121117</v>
      </c>
      <c r="AI62" s="44" t="n">
        <f aca="false">+AVERAGE(AH87:AI87)/AVERAGE(AH104:AI104)</f>
        <v>2.84701855034807</v>
      </c>
      <c r="AJ62" s="44" t="n">
        <f aca="false">+AVERAGE(AI87:AJ87)/AVERAGE(AI104:AJ104)</f>
        <v>2.36293904826328</v>
      </c>
      <c r="AK62" s="44" t="n">
        <f aca="false">+AVERAGE(AJ87:AK87)/AVERAGE(AJ104:AK104)</f>
        <v>2.07010551837426</v>
      </c>
      <c r="AL62" s="44"/>
      <c r="AM62" s="44"/>
      <c r="AN62" s="44"/>
      <c r="AO62" s="44"/>
      <c r="AP62" s="44"/>
      <c r="AR62" s="25"/>
      <c r="AS62" s="25"/>
    </row>
    <row r="63" customFormat="false" ht="12.8" hidden="false" customHeight="false" outlineLevel="0" collapsed="false">
      <c r="A63" s="25" t="s">
        <v>182</v>
      </c>
      <c r="B63" s="25"/>
      <c r="C63" s="25" t="n">
        <f aca="false">+C60-C59</f>
        <v>-0.0103985852259558</v>
      </c>
      <c r="D63" s="25" t="n">
        <f aca="false">+D60-D59</f>
        <v>0.0145850102677694</v>
      </c>
      <c r="E63" s="25" t="n">
        <f aca="false">+E60-E59</f>
        <v>0.00133664046597335</v>
      </c>
      <c r="F63" s="25" t="n">
        <f aca="false">+F60-F59</f>
        <v>0.0142634442215562</v>
      </c>
      <c r="G63" s="25" t="n">
        <f aca="false">+G60-G59</f>
        <v>0.0274476708087961</v>
      </c>
      <c r="H63" s="25" t="n">
        <f aca="false">+H60-H59</f>
        <v>0.0357188523780697</v>
      </c>
      <c r="I63" s="25" t="n">
        <f aca="false">+I60-I59</f>
        <v>0.0342771574588062</v>
      </c>
      <c r="J63" s="25" t="n">
        <f aca="false">+J60-J59</f>
        <v>0.0301421647571309</v>
      </c>
      <c r="K63" s="25" t="n">
        <f aca="false">+K60-K59</f>
        <v>0.0346831072040773</v>
      </c>
      <c r="L63" s="25" t="n">
        <f aca="false">+L60-L59</f>
        <v>0.0349522355368655</v>
      </c>
      <c r="M63" s="25" t="n">
        <f aca="false">+M60-M59</f>
        <v>0.0403152952496356</v>
      </c>
      <c r="N63" s="25" t="n">
        <f aca="false">+N60-N59</f>
        <v>0.0308664220548181</v>
      </c>
      <c r="O63" s="25" t="n">
        <f aca="false">+O60-O59</f>
        <v>0.0293857229100542</v>
      </c>
      <c r="P63" s="25" t="n">
        <f aca="false">+P60-P59</f>
        <v>0.0301906265584624</v>
      </c>
      <c r="Q63" s="25" t="n">
        <f aca="false">+Q60-Q59</f>
        <v>0.0268740967993115</v>
      </c>
      <c r="R63" s="25" t="n">
        <f aca="false">+R60-R59</f>
        <v>0.0360569375895804</v>
      </c>
      <c r="S63" s="25" t="n">
        <f aca="false">+S60-S59</f>
        <v>0.0638459354871775</v>
      </c>
      <c r="T63" s="25"/>
      <c r="U63" s="25"/>
      <c r="V63" s="25"/>
      <c r="W63" s="25"/>
      <c r="X63" s="25"/>
      <c r="Y63" s="25"/>
      <c r="Z63" s="25"/>
      <c r="AA63" s="25"/>
      <c r="AB63" s="25" t="n">
        <f aca="false">+AB60-AB59</f>
        <v>0.11314458128985</v>
      </c>
      <c r="AC63" s="25" t="n">
        <f aca="false">+AC60-AC59</f>
        <v>0.100828510367446</v>
      </c>
      <c r="AD63" s="25" t="n">
        <f aca="false">+AD60-AD59</f>
        <v>0.214185533252197</v>
      </c>
      <c r="AE63" s="25" t="n">
        <f aca="false">+AE60-AE59</f>
        <v>0.159703020076334</v>
      </c>
      <c r="AF63" s="25" t="n">
        <f aca="false">+AF60-AF59</f>
        <v>0.196345041573814</v>
      </c>
      <c r="AG63" s="25" t="n">
        <f aca="false">+AG60-AG59</f>
        <v>0.198095542392604</v>
      </c>
      <c r="AH63" s="25" t="n">
        <f aca="false">+AH60-AH59</f>
        <v>-0.0129858129958352</v>
      </c>
      <c r="AI63" s="25" t="n">
        <f aca="false">+AI60-AI59</f>
        <v>0.113465712552262</v>
      </c>
      <c r="AJ63" s="25" t="n">
        <f aca="false">+AJ60-AJ59</f>
        <v>0.140102455578327</v>
      </c>
      <c r="AK63" s="25" t="n">
        <f aca="false">+AK60-AK59</f>
        <v>0.1152027471934</v>
      </c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</row>
    <row r="64" customFormat="false" ht="12.8" hidden="false" customHeight="false" outlineLevel="0" collapsed="false">
      <c r="AQ64" s="25"/>
      <c r="AT64" s="25"/>
      <c r="AU64" s="25" t="s">
        <v>10</v>
      </c>
      <c r="AV64" s="5" t="n">
        <f aca="false">+AS67</f>
        <v>2286954.76682972</v>
      </c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</row>
    <row r="65" customFormat="false" ht="12.8" hidden="false" customHeight="false" outlineLevel="0" collapsed="false">
      <c r="A65" s="1" t="s">
        <v>183</v>
      </c>
      <c r="B65" s="5" t="n">
        <f aca="false">+SUM(B79,B80)-SUM(B89,B90,B92)</f>
        <v>-72017</v>
      </c>
      <c r="C65" s="5" t="n">
        <f aca="false">+SUM(C79,C80)-SUM(C89,C90,C92)</f>
        <v>-67334</v>
      </c>
      <c r="D65" s="5" t="n">
        <f aca="false">+SUM(D79,D80)-SUM(D89,D90,D92)</f>
        <v>-68055</v>
      </c>
      <c r="E65" s="5" t="n">
        <f aca="false">+SUM(E79,E80)-SUM(E89,E90,E92)</f>
        <v>-78628</v>
      </c>
      <c r="F65" s="5" t="n">
        <f aca="false">+SUM(F79,F80)-SUM(F89,F90,F92)</f>
        <v>-75754</v>
      </c>
      <c r="G65" s="5" t="n">
        <f aca="false">+SUM(G79,G80)-SUM(G89,G90,G92)</f>
        <v>-71726</v>
      </c>
      <c r="H65" s="5" t="n">
        <f aca="false">+SUM(H79,H80)-SUM(H89,H90,H92)</f>
        <v>-66388</v>
      </c>
      <c r="I65" s="5" t="n">
        <f aca="false">+SUM(I79,I80)-SUM(I89,I90,I92)</f>
        <v>-79346</v>
      </c>
      <c r="J65" s="5" t="n">
        <f aca="false">+SUM(J79,J80)-SUM(J89,J90,J92)</f>
        <v>-74050</v>
      </c>
      <c r="K65" s="5" t="n">
        <f aca="false">+SUM(K79,K80)-SUM(K89,K90,K92)</f>
        <v>-73957</v>
      </c>
      <c r="L65" s="5" t="n">
        <f aca="false">+SUM(L79,L80)-SUM(L89,L90,L92)</f>
        <v>-73736</v>
      </c>
      <c r="M65" s="5" t="n">
        <f aca="false">+SUM(M79,M80)-SUM(M89,M90,M92)</f>
        <v>-89766</v>
      </c>
      <c r="N65" s="5" t="n">
        <f aca="false">+SUM(N79,N80)-SUM(N89,N90,N92)</f>
        <v>-86091</v>
      </c>
      <c r="O65" s="5" t="n">
        <f aca="false">+SUM(O79,O80)-SUM(O89,O90,O92)</f>
        <v>-88681</v>
      </c>
      <c r="P65" s="5" t="n">
        <f aca="false">+SUM(P79,P80)-SUM(P89,P90,P92)</f>
        <v>-92527</v>
      </c>
      <c r="Q65" s="5" t="n">
        <f aca="false">+SUM(Q79,Q80)-SUM(Q89,Q90,Q92)</f>
        <v>-111951</v>
      </c>
      <c r="R65" s="5" t="n">
        <f aca="false">+SUM(R79,R80)-SUM(R89,R90,R92)</f>
        <v>-104690</v>
      </c>
      <c r="S65" s="5" t="n">
        <f aca="false">+SUM(S79,S80)-SUM(S89,S90,S92)</f>
        <v>-114998</v>
      </c>
      <c r="AA65" s="5" t="n">
        <f aca="false">+SUM(AA79,AA80)-SUM(AA89,AA90,AA92)</f>
        <v>-17990</v>
      </c>
      <c r="AB65" s="5" t="n">
        <f aca="false">+SUM(AB79,AB80)-SUM(AB89,AB90,AB92)</f>
        <v>-24016</v>
      </c>
      <c r="AC65" s="5" t="n">
        <f aca="false">+SUM(AC79,AC80)-SUM(AC89,AC90,AC92)</f>
        <v>-28672</v>
      </c>
      <c r="AD65" s="5" t="n">
        <f aca="false">+SUM(AD79,AD80)-SUM(AD89,AD90,AD92)</f>
        <v>-34540</v>
      </c>
      <c r="AE65" s="5" t="n">
        <f aca="false">+SUM(AE79,AE80)-SUM(AE89,AE90,AE92)</f>
        <v>-46499</v>
      </c>
      <c r="AF65" s="5" t="n">
        <f aca="false">+SUM(AF79,AF80)-SUM(AF89,AF90,AF92)</f>
        <v>-78048</v>
      </c>
      <c r="AG65" s="5" t="n">
        <f aca="false">+SUM(AG79,AG80)-SUM(AG89,AG90,AG92)</f>
        <v>-76735</v>
      </c>
      <c r="AH65" s="5" t="n">
        <f aca="false">+SUM(AH79,AH80)-SUM(AH89,AH90,AH92)</f>
        <v>-78628</v>
      </c>
      <c r="AI65" s="5" t="n">
        <f aca="false">+SUM(AI79,AI80)-SUM(AI89,AI90,AI92)</f>
        <v>-79346</v>
      </c>
      <c r="AJ65" s="5" t="n">
        <f aca="false">+SUM(AJ79,AJ80)-SUM(AJ89,AJ90,AJ92)</f>
        <v>-89766</v>
      </c>
      <c r="AK65" s="5" t="n">
        <f aca="false">+SUM(AK79,AK80)-SUM(AK89,AK90,AK92)</f>
        <v>-111951</v>
      </c>
      <c r="AL65" s="5" t="n">
        <f aca="false">+SUM(AL79,AL80)-SUM(AL89,AL90,AL92)</f>
        <v>-130559.977221463</v>
      </c>
      <c r="AM65" s="5" t="n">
        <f aca="false">+SUM(AM79,AM80)-SUM(AM89,AM90,AM92)</f>
        <v>-147518.436084304</v>
      </c>
      <c r="AN65" s="5" t="n">
        <f aca="false">+SUM(AN79,AN80)-SUM(AN89,AN90,AN92)</f>
        <v>-165148.002237348</v>
      </c>
      <c r="AO65" s="5" t="n">
        <f aca="false">+SUM(AO79,AO80)-SUM(AO89,AO90,AO92)</f>
        <v>-183167.446548404</v>
      </c>
      <c r="AP65" s="5" t="n">
        <f aca="false">+SUM(AP79,AP80)-SUM(AP89,AP90,AP92)</f>
        <v>-205866.573122863</v>
      </c>
      <c r="AQ65" s="25"/>
      <c r="AR65" s="48" t="s">
        <v>164</v>
      </c>
      <c r="AS65" s="49" t="n">
        <v>0.02</v>
      </c>
      <c r="AT65" s="25"/>
      <c r="AU65" s="25" t="s">
        <v>184</v>
      </c>
      <c r="AV65" s="5" t="n">
        <f aca="false">+Main!E5</f>
        <v>128894</v>
      </c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</row>
    <row r="66" customFormat="false" ht="12.8" hidden="false" customHeight="false" outlineLevel="0" collapsed="false">
      <c r="A66" s="1" t="s">
        <v>185</v>
      </c>
      <c r="B66" s="5" t="n">
        <f aca="false">+B33*(1-B57)</f>
        <v>2678.05641025641</v>
      </c>
      <c r="C66" s="5" t="n">
        <f aca="false">+C33*(1-C57)</f>
        <v>2520.56992084433</v>
      </c>
      <c r="D66" s="5" t="n">
        <f aca="false">+D33*(1-D57)</f>
        <v>2465.8203125</v>
      </c>
      <c r="E66" s="5" t="n">
        <f aca="false">+E33*(1-E57)</f>
        <v>-753.955301455301</v>
      </c>
      <c r="F66" s="5" t="n">
        <f aca="false">+F33*(1-F57)</f>
        <v>3675.24981791697</v>
      </c>
      <c r="G66" s="5" t="n">
        <f aca="false">+G33*(1-G57)</f>
        <v>6864.45577151924</v>
      </c>
      <c r="H66" s="5" t="n">
        <f aca="false">+H33*(1-H57)</f>
        <v>9071.37615883173</v>
      </c>
      <c r="I66" s="5" t="n">
        <f aca="false">+I33*(1-I57)</f>
        <v>10253.7202981149</v>
      </c>
      <c r="J66" s="5" t="n">
        <f aca="false">+J33*(1-J57)</f>
        <v>12398.3988292382</v>
      </c>
      <c r="K66" s="5" t="n">
        <f aca="false">+K33*(1-K57)</f>
        <v>12971.4146277468</v>
      </c>
      <c r="L66" s="5" t="n">
        <f aca="false">+L33*(1-L57)</f>
        <v>14798.9156178965</v>
      </c>
      <c r="M66" s="5" t="n">
        <f aca="false">+M33*(1-M57)</f>
        <v>18997.2200993333</v>
      </c>
      <c r="N66" s="5" t="n">
        <f aca="false">+N33*(1-N57)</f>
        <v>14539.6019189077</v>
      </c>
      <c r="O66" s="5" t="n">
        <f aca="false">+O33*(1-O57)</f>
        <v>16709.4792635566</v>
      </c>
      <c r="P66" s="5" t="n">
        <f aca="false">+P33*(1-P57)</f>
        <v>13148.4458643947</v>
      </c>
      <c r="Q66" s="5" t="n">
        <f aca="false">+Q33*(1-Q57)</f>
        <v>20333.6531854915</v>
      </c>
      <c r="R66" s="5" t="n">
        <f aca="false">+R33*(1-R57)</f>
        <v>18127.6158055932</v>
      </c>
      <c r="S66" s="5" t="n">
        <f aca="false">+S33*(1-S57)</f>
        <v>21280.1778201022</v>
      </c>
      <c r="AA66" s="5" t="n">
        <f aca="false">+AA33*(1-AA57)</f>
        <v>880.098214285714</v>
      </c>
      <c r="AB66" s="5" t="n">
        <f aca="false">+AB33*(1-AB57)</f>
        <v>2653.35611510791</v>
      </c>
      <c r="AC66" s="5" t="n">
        <f aca="false">+AC33*(1-AC57)</f>
        <v>3276.3851812927</v>
      </c>
      <c r="AD66" s="5" t="n">
        <f aca="false">+AD33*(1-AD57)</f>
        <v>11100.6965633603</v>
      </c>
      <c r="AE66" s="5" t="n">
        <f aca="false">+AE33*(1-AE57)</f>
        <v>12071.027618775</v>
      </c>
      <c r="AF66" s="5" t="n">
        <f aca="false">+AF33*(1-AF57)</f>
        <v>20187.4507817024</v>
      </c>
      <c r="AG66" s="5" t="n">
        <f aca="false">+AG33*(1-AG57)</f>
        <v>21754.6968624676</v>
      </c>
      <c r="AH66" s="5" t="n">
        <f aca="false">+AH33*(1-AH57)</f>
        <v>5610.22776280323</v>
      </c>
      <c r="AI66" s="5" t="n">
        <f aca="false">+AI33*(1-AI57)</f>
        <v>29865.6528476715</v>
      </c>
      <c r="AJ66" s="5" t="n">
        <f aca="false">+AJ33*(1-AJ57)</f>
        <v>59330.8356457866</v>
      </c>
      <c r="AK66" s="5" t="n">
        <f aca="false">+AK33*(1-AK57)</f>
        <v>64288.357945145</v>
      </c>
      <c r="AL66" s="5" t="n">
        <f aca="false">+AL33*(1-AL57)</f>
        <v>103247.7624594</v>
      </c>
      <c r="AM66" s="5" t="n">
        <f aca="false">+AM33*(1-AM57)</f>
        <v>126202.53228921</v>
      </c>
      <c r="AN66" s="5" t="n">
        <f aca="false">+AN33*(1-AN57)</f>
        <v>165153.562373264</v>
      </c>
      <c r="AO66" s="5" t="n">
        <f aca="false">+AO33*(1-AO57)</f>
        <v>205863.064191251</v>
      </c>
      <c r="AP66" s="5" t="n">
        <f aca="false">+AP33*(1-AP57)</f>
        <v>241340.773571501</v>
      </c>
      <c r="AQ66" s="44"/>
      <c r="AR66" s="39" t="s">
        <v>167</v>
      </c>
      <c r="AS66" s="40" t="n">
        <f aca="false">+Main!$E$8</f>
        <v>0.119616319823727</v>
      </c>
      <c r="AT66" s="25"/>
      <c r="AU66" s="50" t="s">
        <v>186</v>
      </c>
      <c r="AV66" s="51" t="n">
        <f aca="false">+Main!E4</f>
        <v>122988</v>
      </c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  <c r="CI66" s="44"/>
      <c r="CJ66" s="44"/>
      <c r="CK66" s="44"/>
      <c r="CL66" s="44"/>
      <c r="CM66" s="44"/>
      <c r="CN66" s="44"/>
      <c r="CO66" s="44"/>
      <c r="CP66" s="44"/>
      <c r="CQ66" s="44"/>
      <c r="CR66" s="44"/>
      <c r="CS66" s="44"/>
      <c r="CT66" s="44"/>
      <c r="CU66" s="44"/>
      <c r="CV66" s="44"/>
      <c r="CW66" s="44"/>
      <c r="CX66" s="44"/>
      <c r="CY66" s="44"/>
      <c r="CZ66" s="44"/>
      <c r="DA66" s="44"/>
      <c r="DB66" s="44"/>
      <c r="DC66" s="44"/>
      <c r="DD66" s="44"/>
      <c r="DE66" s="44"/>
      <c r="DF66" s="44"/>
      <c r="DG66" s="44"/>
      <c r="DH66" s="44"/>
      <c r="DI66" s="44"/>
      <c r="DJ66" s="44"/>
      <c r="DK66" s="44"/>
      <c r="DL66" s="44"/>
      <c r="DM66" s="44"/>
      <c r="DN66" s="44"/>
      <c r="DO66" s="44"/>
    </row>
    <row r="67" customFormat="false" ht="12.8" hidden="false" customHeight="false" outlineLevel="0" collapsed="false">
      <c r="A67" s="1" t="s">
        <v>187</v>
      </c>
      <c r="AB67" s="5" t="n">
        <f aca="false">+AB66+AB110-AB123-(AB65-AA65)</f>
        <v>10058.3561151079</v>
      </c>
      <c r="AC67" s="5" t="n">
        <f aca="false">+AC66+AC110-AC123-(AC65-AB65)</f>
        <v>17513.3851812927</v>
      </c>
      <c r="AD67" s="5" t="n">
        <f aca="false">+AD66+AD110-AD123-(AD65-AC65)</f>
        <v>30205.6965633603</v>
      </c>
      <c r="AE67" s="5" t="n">
        <f aca="false">+AE66+AE110-AE123-(AE65-AD65)</f>
        <v>28958.027618775</v>
      </c>
      <c r="AF67" s="5" t="n">
        <f aca="false">+AF66+AF110-AF123-(AF65-AE65)</f>
        <v>36847.4507817024</v>
      </c>
      <c r="AG67" s="5" t="n">
        <f aca="false">+AG66+AG110-AG123-(AG65-AF65)</f>
        <v>-6178.30313753244</v>
      </c>
      <c r="AH67" s="5" t="n">
        <f aca="false">+AH66+AH110-AH123-(AH65-AG65)</f>
        <v>-14220.7722371968</v>
      </c>
      <c r="AI67" s="5" t="n">
        <f aca="false">+AI66+AI110-AI123-(AI65-AH65)</f>
        <v>26517.6528476715</v>
      </c>
      <c r="AJ67" s="5" t="n">
        <f aca="false">+AJ66+AJ110-AJ123-(AJ65-AI65)</f>
        <v>39546.8356457866</v>
      </c>
      <c r="AK67" s="5" t="n">
        <f aca="false">+AK66+AK110-AK123-(AK65-AJ65)</f>
        <v>20410.357945145</v>
      </c>
      <c r="AL67" s="5" t="n">
        <f aca="false">+AL66+AL110-AL123-(AL65-AK65)</f>
        <v>50260.9682608634</v>
      </c>
      <c r="AM67" s="5" t="n">
        <f aca="false">+AM66+AM110-AM123-(AM65-AL65)</f>
        <v>95291.7253770502</v>
      </c>
      <c r="AN67" s="5" t="n">
        <f aca="false">+AN66+AN110-AN123-(AN65-AM65)</f>
        <v>150040.550736209</v>
      </c>
      <c r="AO67" s="5" t="n">
        <f aca="false">+AO66+AO110-AO123-(AO65-AN65)</f>
        <v>223882.508502307</v>
      </c>
      <c r="AP67" s="5" t="n">
        <f aca="false">+AP66+AP110-AP123-(AP65-AO65)</f>
        <v>305478.90659711</v>
      </c>
      <c r="AQ67" s="25"/>
      <c r="AR67" s="37" t="s">
        <v>10</v>
      </c>
      <c r="AS67" s="52" t="n">
        <f aca="false">+NPV(AS66,AL67:AP67,AP67+AS68)</f>
        <v>2286954.76682972</v>
      </c>
      <c r="AT67" s="25"/>
      <c r="AU67" s="25" t="s">
        <v>171</v>
      </c>
      <c r="AV67" s="5" t="n">
        <f aca="false">+AV64-AV65+AV66</f>
        <v>2281048.76682972</v>
      </c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</row>
    <row r="68" customFormat="false" ht="12.8" hidden="false" customHeight="false" outlineLevel="0" collapsed="false">
      <c r="AQ68" s="25"/>
      <c r="AR68" s="42" t="s">
        <v>188</v>
      </c>
      <c r="AS68" s="53" t="n">
        <f aca="false">+AP67*(1+AS65)/(AS66-AS65)</f>
        <v>3127885.92552318</v>
      </c>
      <c r="AT68" s="25"/>
      <c r="AU68" s="50" t="s">
        <v>4</v>
      </c>
      <c r="AV68" s="51" t="n">
        <f aca="false">+Main!E2</f>
        <v>10786.313572</v>
      </c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</row>
    <row r="69" customFormat="false" ht="12.8" hidden="false" customHeight="false" outlineLevel="0" collapsed="false">
      <c r="AQ69" s="25"/>
      <c r="AR69" s="45" t="s">
        <v>176</v>
      </c>
      <c r="AS69" s="46" t="n">
        <f aca="false">+AS67/Main!E6-1</f>
        <v>-0.183102425317455</v>
      </c>
      <c r="AT69" s="25"/>
      <c r="AU69" s="25" t="s">
        <v>1</v>
      </c>
      <c r="AV69" s="5" t="n">
        <f aca="false">+AV67/AV68</f>
        <v>211.476214890605</v>
      </c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</row>
    <row r="70" customFormat="false" ht="12.8" hidden="false" customHeight="false" outlineLevel="0" collapsed="false">
      <c r="AQ70" s="25"/>
      <c r="AT70" s="25"/>
      <c r="AV70" s="14" t="n">
        <f aca="false">+AV69/Main!E1-1</f>
        <v>-0.183489517796893</v>
      </c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</row>
    <row r="71" customFormat="false" ht="12.8" hidden="false" customHeight="false" outlineLevel="0" collapsed="false">
      <c r="AQ71" s="25"/>
      <c r="AR71" s="20"/>
      <c r="AS71" s="20"/>
      <c r="AT71" s="25"/>
      <c r="AU71" s="20"/>
      <c r="AV71" s="20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</row>
    <row r="72" s="44" customFormat="true" ht="12.8" hidden="false" customHeight="false" outlineLevel="0" collapsed="false">
      <c r="A72" s="44" t="s">
        <v>189</v>
      </c>
      <c r="AA72" s="44" t="n">
        <f aca="false">+AA79/AA15</f>
        <v>0.0957236042838719</v>
      </c>
      <c r="AB72" s="44" t="n">
        <f aca="false">+AB79/AB15</f>
        <v>0.0842801150109937</v>
      </c>
      <c r="AC72" s="44" t="n">
        <f aca="false">+AC79/AC15</f>
        <v>0.0902196035217523</v>
      </c>
      <c r="AD72" s="44" t="n">
        <f aca="false">+AD79/AD15</f>
        <v>0.0737439187245316</v>
      </c>
      <c r="AE72" s="44" t="n">
        <f aca="false">+AE79/AE15</f>
        <v>0.0730673530061813</v>
      </c>
      <c r="AF72" s="44" t="n">
        <f aca="false">+AF79/AF15</f>
        <v>0.0616348584690621</v>
      </c>
      <c r="AG72" s="44" t="n">
        <f aca="false">+AG79/AG15</f>
        <v>0.0694731196070001</v>
      </c>
      <c r="AH72" s="44" t="n">
        <f aca="false">+AH79/AH15</f>
        <v>0.066938011568476</v>
      </c>
      <c r="AI72" s="44" t="n">
        <f aca="false">+AI79/AI15</f>
        <v>0.0579660220778204</v>
      </c>
      <c r="AJ72" s="44" t="n">
        <f aca="false">+AJ79/AJ15</f>
        <v>0.0536304057157278</v>
      </c>
      <c r="AK72" s="44" t="n">
        <f aca="false">+AK79/AK15</f>
        <v>0.0534575491962886</v>
      </c>
      <c r="AR72" s="54"/>
      <c r="AS72" s="54"/>
      <c r="AU72" s="54"/>
      <c r="AV72" s="54"/>
      <c r="DP72" s="54"/>
      <c r="DQ72" s="54"/>
      <c r="DR72" s="54"/>
      <c r="DS72" s="54"/>
      <c r="DT72" s="54"/>
    </row>
    <row r="73" customFormat="false" ht="12.8" hidden="false" customHeight="false" outlineLevel="0" collapsed="false">
      <c r="AQ73" s="25"/>
      <c r="AR73" s="20"/>
      <c r="AS73" s="20"/>
      <c r="AT73" s="25"/>
      <c r="AU73" s="20"/>
      <c r="AV73" s="20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</row>
    <row r="74" customFormat="false" ht="12.8" hidden="false" customHeight="false" outlineLevel="0" collapsed="false">
      <c r="A74" s="1" t="s">
        <v>190</v>
      </c>
      <c r="B74" s="5" t="n">
        <f aca="false">+B33+B110</f>
        <v>12647</v>
      </c>
      <c r="C74" s="5" t="n">
        <f aca="false">+C33+C110</f>
        <v>12911</v>
      </c>
      <c r="D74" s="5" t="n">
        <f aca="false">+D33+D110</f>
        <v>12729</v>
      </c>
      <c r="E74" s="5" t="n">
        <f aca="false">+E33+E110</f>
        <v>15422</v>
      </c>
      <c r="F74" s="5" t="n">
        <f aca="false">+F33+F110</f>
        <v>15897</v>
      </c>
      <c r="G74" s="5" t="n">
        <f aca="false">+G33+G110</f>
        <v>19270</v>
      </c>
      <c r="H74" s="5" t="n">
        <f aca="false">+H33+H110</f>
        <v>23309</v>
      </c>
      <c r="I74" s="5" t="n">
        <f aca="false">+I33+I110</f>
        <v>27029</v>
      </c>
      <c r="J74" s="5" t="n">
        <f aca="false">+J33+J110</f>
        <v>26991</v>
      </c>
      <c r="K74" s="5" t="n">
        <f aca="false">+K33+K110</f>
        <v>26710</v>
      </c>
      <c r="L74" s="5" t="n">
        <f aca="false">+L33+L110</f>
        <v>30853</v>
      </c>
      <c r="M74" s="5" t="n">
        <f aca="false">+M33+M110</f>
        <v>36834</v>
      </c>
      <c r="N74" s="5" t="n">
        <f aca="false">+N33+N110</f>
        <v>32667</v>
      </c>
      <c r="O74" s="5" t="n">
        <f aca="false">+O33+O110</f>
        <v>34398</v>
      </c>
      <c r="P74" s="5" t="n">
        <f aca="false">+P33+P110</f>
        <v>34218</v>
      </c>
      <c r="Q74" s="5" t="n">
        <f aca="false">+Q33+Q110</f>
        <v>44448</v>
      </c>
      <c r="R74" s="5" t="n">
        <f aca="false">+R33+R110</f>
        <v>42797</v>
      </c>
      <c r="S74" s="5" t="n">
        <f aca="false">+S33+S110</f>
        <v>47449</v>
      </c>
      <c r="AA74" s="5" t="n">
        <f aca="false">+AA33+AA110</f>
        <v>8514</v>
      </c>
      <c r="AB74" s="5" t="n">
        <f aca="false">+AB33+AB110</f>
        <v>12302</v>
      </c>
      <c r="AC74" s="5" t="n">
        <f aca="false">+AC33+AC110</f>
        <v>15584</v>
      </c>
      <c r="AD74" s="5" t="n">
        <f aca="false">+AD33+AD110</f>
        <v>27762</v>
      </c>
      <c r="AE74" s="5" t="n">
        <f aca="false">+AE33+AE110</f>
        <v>36330</v>
      </c>
      <c r="AF74" s="5" t="n">
        <f aca="false">+AF33+AF110</f>
        <v>48150</v>
      </c>
      <c r="AG74" s="5" t="n">
        <f aca="false">+AG33+AG110</f>
        <v>59312</v>
      </c>
      <c r="AH74" s="5" t="n">
        <f aca="false">+AH33+AH110</f>
        <v>54169</v>
      </c>
      <c r="AI74" s="5" t="n">
        <f aca="false">+AI33+AI110</f>
        <v>85515</v>
      </c>
      <c r="AJ74" s="5" t="n">
        <f aca="false">+AJ33+AJ110</f>
        <v>121388</v>
      </c>
      <c r="AK74" s="5" t="n">
        <f aca="false">+AK33+AK110</f>
        <v>145731</v>
      </c>
      <c r="AL74" s="5" t="n">
        <f aca="false">+AL33+AL110</f>
        <v>210624.76941</v>
      </c>
      <c r="AM74" s="5" t="n">
        <f aca="false">+AM33+AM110</f>
        <v>257536.6498695</v>
      </c>
      <c r="AN74" s="5" t="n">
        <f aca="false">+AN33+AN110</f>
        <v>320877.26234298</v>
      </c>
      <c r="AO74" s="5" t="n">
        <f aca="false">+AO33+AO110</f>
        <v>387257.381716109</v>
      </c>
      <c r="AP74" s="5" t="n">
        <f aca="false">+AP33+AP110</f>
        <v>488980.276123576</v>
      </c>
      <c r="AQ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</row>
    <row r="75" customFormat="false" ht="12.8" hidden="false" customHeight="false" outlineLevel="0" collapsed="false">
      <c r="A75" s="1" t="s">
        <v>191</v>
      </c>
      <c r="B75" s="5" t="n">
        <f aca="false">+B77+B78-B95</f>
        <v>18829</v>
      </c>
      <c r="C75" s="5" t="n">
        <f aca="false">+C77+C78-C95</f>
        <v>2657</v>
      </c>
      <c r="D75" s="5" t="n">
        <f aca="false">+D77+D78-D95</f>
        <v>-257</v>
      </c>
      <c r="E75" s="5" t="n">
        <f aca="false">+E77+E78-E95</f>
        <v>2876</v>
      </c>
      <c r="F75" s="5" t="n">
        <f aca="false">+F77+F78-F95</f>
        <v>-2679</v>
      </c>
      <c r="G75" s="5" t="n">
        <f aca="false">+G77+G78-G95</f>
        <v>878</v>
      </c>
      <c r="H75" s="5" t="n">
        <f aca="false">+H77+H78-H95</f>
        <v>3071</v>
      </c>
      <c r="I75" s="5" t="n">
        <f aca="false">+I77+I78-I95</f>
        <v>28466</v>
      </c>
      <c r="J75" s="5" t="n">
        <f aca="false">+J77+J78-J95</f>
        <v>27440</v>
      </c>
      <c r="K75" s="5" t="n">
        <f aca="false">+K77+K78-K95</f>
        <v>34203</v>
      </c>
      <c r="L75" s="5" t="n">
        <f aca="false">+L77+L78-L95</f>
        <v>33161</v>
      </c>
      <c r="M75" s="5" t="n">
        <f aca="false">+M77+M78-M95</f>
        <v>48579</v>
      </c>
      <c r="N75" s="5" t="n">
        <f aca="false">+N77+N78-N95</f>
        <v>41191</v>
      </c>
      <c r="O75" s="5" t="n">
        <f aca="false">+O77+O78-O95</f>
        <v>42462</v>
      </c>
      <c r="P75" s="5" t="n">
        <f aca="false">+P77+P78-P95</f>
        <v>43455</v>
      </c>
      <c r="Q75" s="5" t="n">
        <f aca="false">+Q77+Q78-Q95</f>
        <v>57381</v>
      </c>
      <c r="R75" s="5" t="n">
        <f aca="false">+R77+R78-R95</f>
        <v>24015</v>
      </c>
      <c r="S75" s="5" t="n">
        <f aca="false">+S77+S78-S95</f>
        <v>-5906</v>
      </c>
      <c r="AA75" s="5" t="n">
        <f aca="false">+AA77+AA78-AA95</f>
        <v>11581</v>
      </c>
      <c r="AB75" s="5" t="n">
        <f aca="false">+AB77+AB78-AB95</f>
        <v>18287</v>
      </c>
      <c r="AC75" s="5" t="n">
        <f aca="false">+AC77+AC78-AC95</f>
        <v>6243</v>
      </c>
      <c r="AD75" s="5" t="n">
        <f aca="false">+AD77+AD78-AD95</f>
        <v>17755</v>
      </c>
      <c r="AE75" s="5" t="n">
        <f aca="false">+AE77+AE78-AE95</f>
        <v>31607</v>
      </c>
      <c r="AF75" s="5" t="n">
        <f aca="false">+AF77+AF78-AF95</f>
        <v>52580</v>
      </c>
      <c r="AG75" s="5" t="n">
        <f aca="false">+AG77+AG78-AG95</f>
        <v>47305</v>
      </c>
      <c r="AH75" s="5" t="n">
        <f aca="false">+AH77+AH78-AH95</f>
        <v>2876</v>
      </c>
      <c r="AI75" s="5" t="n">
        <f aca="false">+AI77+AI78-AI95</f>
        <v>28466</v>
      </c>
      <c r="AJ75" s="5" t="n">
        <f aca="false">+AJ77+AJ78-AJ95</f>
        <v>48579</v>
      </c>
      <c r="AK75" s="5" t="n">
        <f aca="false">+AK77+AK78-AK95</f>
        <v>57381</v>
      </c>
      <c r="AL75" s="5" t="n">
        <f aca="false">+AK75+AL47</f>
        <v>225742.4404594</v>
      </c>
      <c r="AM75" s="5" t="n">
        <f aca="false">+AL75+AM47</f>
        <v>357552.66385536</v>
      </c>
      <c r="AN75" s="5" t="n">
        <f aca="false">+AM75+AN47</f>
        <v>531398.27656284</v>
      </c>
      <c r="AO75" s="5" t="n">
        <f aca="false">+AN75+AO47</f>
        <v>750021.378425662</v>
      </c>
      <c r="AP75" s="5" t="n">
        <f aca="false">+AO75+AP47</f>
        <v>1009237.97025232</v>
      </c>
      <c r="AQ75" s="25"/>
      <c r="AT75" s="20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</row>
    <row r="76" s="22" customFormat="true" ht="12.8" hidden="false" customHeight="false" outlineLevel="0" collapsed="false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25"/>
      <c r="AR76" s="5"/>
      <c r="AS76" s="5"/>
      <c r="AT76" s="20"/>
      <c r="AU76" s="5"/>
      <c r="AV76" s="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0"/>
      <c r="DQ76" s="20"/>
      <c r="DR76" s="20"/>
      <c r="DS76" s="20"/>
      <c r="DT76" s="20"/>
    </row>
    <row r="77" s="56" customFormat="true" ht="12.8" hidden="false" customHeight="false" outlineLevel="0" collapsed="false">
      <c r="A77" s="1" t="s">
        <v>8</v>
      </c>
      <c r="B77" s="5" t="n">
        <v>36393</v>
      </c>
      <c r="C77" s="5" t="n">
        <v>37478</v>
      </c>
      <c r="D77" s="5" t="n">
        <v>34947</v>
      </c>
      <c r="E77" s="5" t="n">
        <v>53888</v>
      </c>
      <c r="F77" s="5" t="n">
        <v>49343</v>
      </c>
      <c r="G77" s="5" t="n">
        <v>49529</v>
      </c>
      <c r="H77" s="5" t="n">
        <v>49605</v>
      </c>
      <c r="I77" s="5" t="n">
        <v>73387</v>
      </c>
      <c r="J77" s="5" t="n">
        <v>72852</v>
      </c>
      <c r="K77" s="5" t="n">
        <v>71178</v>
      </c>
      <c r="L77" s="5" t="n">
        <v>75091</v>
      </c>
      <c r="M77" s="5" t="n">
        <v>78779</v>
      </c>
      <c r="N77" s="5" t="n">
        <v>66207</v>
      </c>
      <c r="O77" s="5" t="n">
        <v>57741</v>
      </c>
      <c r="P77" s="5" t="n">
        <v>66922</v>
      </c>
      <c r="Q77" s="5" t="n">
        <v>86810</v>
      </c>
      <c r="R77" s="5" t="n">
        <v>101816</v>
      </c>
      <c r="S77" s="5" t="n">
        <v>78213</v>
      </c>
      <c r="T77" s="5"/>
      <c r="U77" s="5"/>
      <c r="V77" s="5"/>
      <c r="W77" s="5"/>
      <c r="X77" s="5"/>
      <c r="Y77" s="5"/>
      <c r="Z77" s="5"/>
      <c r="AA77" s="5" t="n">
        <v>15890</v>
      </c>
      <c r="AB77" s="5" t="n">
        <v>19334</v>
      </c>
      <c r="AC77" s="5" t="n">
        <v>20522</v>
      </c>
      <c r="AD77" s="5" t="n">
        <v>31750</v>
      </c>
      <c r="AE77" s="5" t="n">
        <v>36092</v>
      </c>
      <c r="AF77" s="5" t="n">
        <v>42122</v>
      </c>
      <c r="AG77" s="5" t="n">
        <v>36220</v>
      </c>
      <c r="AH77" s="5" t="n">
        <v>53888</v>
      </c>
      <c r="AI77" s="5" t="n">
        <v>73387</v>
      </c>
      <c r="AJ77" s="5" t="n">
        <v>78779</v>
      </c>
      <c r="AK77" s="5" t="n">
        <v>86810</v>
      </c>
      <c r="AL77" s="5"/>
      <c r="AM77" s="5"/>
      <c r="AN77" s="5"/>
      <c r="AO77" s="5"/>
      <c r="AP77" s="5"/>
      <c r="AQ77" s="5"/>
      <c r="AR77" s="55"/>
      <c r="AS77" s="55"/>
      <c r="AT77" s="20"/>
      <c r="AU77" s="55"/>
      <c r="AV77" s="5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20"/>
      <c r="DQ77" s="20"/>
      <c r="DR77" s="20"/>
      <c r="DS77" s="20"/>
      <c r="DT77" s="20"/>
    </row>
    <row r="78" s="22" customFormat="true" ht="12.8" hidden="false" customHeight="false" outlineLevel="0" collapsed="false">
      <c r="A78" s="1" t="s">
        <v>192</v>
      </c>
      <c r="B78" s="5" t="n">
        <v>29992</v>
      </c>
      <c r="C78" s="5" t="n">
        <v>23232</v>
      </c>
      <c r="D78" s="5" t="n">
        <v>23715</v>
      </c>
      <c r="E78" s="5" t="n">
        <v>16138</v>
      </c>
      <c r="F78" s="5" t="n">
        <v>15062</v>
      </c>
      <c r="G78" s="5" t="n">
        <v>14441</v>
      </c>
      <c r="H78" s="5" t="n">
        <v>14564</v>
      </c>
      <c r="I78" s="5" t="n">
        <v>13393</v>
      </c>
      <c r="J78" s="5" t="n">
        <v>12222</v>
      </c>
      <c r="K78" s="5" t="n">
        <v>17914</v>
      </c>
      <c r="L78" s="5" t="n">
        <v>12960</v>
      </c>
      <c r="M78" s="5" t="n">
        <v>22423</v>
      </c>
      <c r="N78" s="5" t="n">
        <v>28358</v>
      </c>
      <c r="O78" s="5" t="n">
        <v>35439</v>
      </c>
      <c r="P78" s="5" t="n">
        <v>27275</v>
      </c>
      <c r="Q78" s="5" t="n">
        <v>36219</v>
      </c>
      <c r="R78" s="5" t="n">
        <v>41273</v>
      </c>
      <c r="S78" s="5" t="n">
        <v>44775</v>
      </c>
      <c r="T78" s="5"/>
      <c r="U78" s="5"/>
      <c r="V78" s="5"/>
      <c r="W78" s="5"/>
      <c r="X78" s="5"/>
      <c r="Y78" s="5"/>
      <c r="Z78" s="5"/>
      <c r="AA78" s="5" t="n">
        <v>3918</v>
      </c>
      <c r="AB78" s="5" t="n">
        <v>6647</v>
      </c>
      <c r="AC78" s="5" t="n">
        <v>10464</v>
      </c>
      <c r="AD78" s="5" t="n">
        <v>9500</v>
      </c>
      <c r="AE78" s="5" t="n">
        <v>18929</v>
      </c>
      <c r="AF78" s="5" t="n">
        <v>42274</v>
      </c>
      <c r="AG78" s="5" t="n">
        <v>59829</v>
      </c>
      <c r="AH78" s="5" t="n">
        <v>16138</v>
      </c>
      <c r="AI78" s="5" t="n">
        <v>13393</v>
      </c>
      <c r="AJ78" s="5" t="n">
        <v>22423</v>
      </c>
      <c r="AK78" s="5" t="n">
        <v>36219</v>
      </c>
      <c r="AL78" s="5"/>
      <c r="AM78" s="5"/>
      <c r="AN78" s="5"/>
      <c r="AO78" s="5"/>
      <c r="AP78" s="5"/>
      <c r="AQ78" s="5"/>
      <c r="AR78" s="55"/>
      <c r="AS78" s="55"/>
      <c r="AT78" s="5"/>
      <c r="AU78" s="55"/>
      <c r="AV78" s="5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20"/>
      <c r="DQ78" s="20"/>
      <c r="DR78" s="20"/>
      <c r="DS78" s="20"/>
      <c r="DT78" s="20"/>
    </row>
    <row r="79" s="56" customFormat="true" ht="12.8" hidden="false" customHeight="false" outlineLevel="0" collapsed="false">
      <c r="A79" s="1" t="s">
        <v>193</v>
      </c>
      <c r="B79" s="5" t="n">
        <v>34987</v>
      </c>
      <c r="C79" s="5" t="n">
        <v>38153</v>
      </c>
      <c r="D79" s="5" t="n">
        <v>36154</v>
      </c>
      <c r="E79" s="5" t="n">
        <v>34405</v>
      </c>
      <c r="F79" s="5" t="n">
        <v>34170</v>
      </c>
      <c r="G79" s="5" t="n">
        <v>36587</v>
      </c>
      <c r="H79" s="5" t="n">
        <v>35406</v>
      </c>
      <c r="I79" s="5" t="n">
        <v>33318</v>
      </c>
      <c r="J79" s="5" t="n">
        <v>31147</v>
      </c>
      <c r="K79" s="5" t="n">
        <v>34109</v>
      </c>
      <c r="L79" s="5" t="n">
        <v>36103</v>
      </c>
      <c r="M79" s="5" t="n">
        <v>34214</v>
      </c>
      <c r="N79" s="5" t="n">
        <v>35864</v>
      </c>
      <c r="O79" s="5" t="n">
        <v>40825</v>
      </c>
      <c r="P79" s="5" t="n">
        <v>41494</v>
      </c>
      <c r="Q79" s="5" t="n">
        <v>38325</v>
      </c>
      <c r="R79" s="5" t="n">
        <v>36534</v>
      </c>
      <c r="S79" s="5" t="n">
        <v>38184</v>
      </c>
      <c r="T79" s="5"/>
      <c r="U79" s="5"/>
      <c r="V79" s="5"/>
      <c r="W79" s="5"/>
      <c r="X79" s="5"/>
      <c r="Y79" s="5"/>
      <c r="Z79" s="5"/>
      <c r="AA79" s="5" t="n">
        <v>10243</v>
      </c>
      <c r="AB79" s="5" t="n">
        <v>11461</v>
      </c>
      <c r="AC79" s="5" t="n">
        <v>16047</v>
      </c>
      <c r="AD79" s="5" t="n">
        <v>17174</v>
      </c>
      <c r="AE79" s="5" t="n">
        <v>20497</v>
      </c>
      <c r="AF79" s="5" t="n">
        <v>23795</v>
      </c>
      <c r="AG79" s="5" t="n">
        <v>32640</v>
      </c>
      <c r="AH79" s="5" t="n">
        <v>34405</v>
      </c>
      <c r="AI79" s="5" t="n">
        <v>33318</v>
      </c>
      <c r="AJ79" s="5" t="n">
        <v>34214</v>
      </c>
      <c r="AK79" s="5" t="n">
        <v>38325</v>
      </c>
      <c r="AL79" s="5" t="n">
        <f aca="false">+(AL130/365)*AL17</f>
        <v>42070.6312889666</v>
      </c>
      <c r="AM79" s="5" t="n">
        <f aca="false">+(AM130/365)*AM17</f>
        <v>48023.3676555985</v>
      </c>
      <c r="AN79" s="5" t="n">
        <f aca="false">+(AN130/365)*AN17</f>
        <v>54308.7787374042</v>
      </c>
      <c r="AO79" s="5" t="n">
        <f aca="false">+(AO130/365)*AO17</f>
        <v>60840.3485883879</v>
      </c>
      <c r="AP79" s="5" t="n">
        <f aca="false">+(AP130/365)*AP17</f>
        <v>67270.7820643128</v>
      </c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20"/>
      <c r="DQ79" s="20"/>
      <c r="DR79" s="20"/>
      <c r="DS79" s="20"/>
      <c r="DT79" s="20"/>
    </row>
    <row r="80" customFormat="false" ht="12.8" hidden="false" customHeight="false" outlineLevel="0" collapsed="false">
      <c r="A80" s="1" t="s">
        <v>194</v>
      </c>
      <c r="B80" s="5" t="n">
        <v>32504</v>
      </c>
      <c r="C80" s="5" t="n">
        <v>34804</v>
      </c>
      <c r="D80" s="5" t="n">
        <v>36154</v>
      </c>
      <c r="E80" s="5" t="n">
        <v>42360</v>
      </c>
      <c r="F80" s="5" t="n">
        <v>37646</v>
      </c>
      <c r="G80" s="5" t="n">
        <v>39925</v>
      </c>
      <c r="H80" s="5" t="n">
        <v>43420</v>
      </c>
      <c r="I80" s="5" t="n">
        <v>52253</v>
      </c>
      <c r="J80" s="5" t="n">
        <v>47768</v>
      </c>
      <c r="K80" s="5" t="n">
        <v>50106</v>
      </c>
      <c r="L80" s="5" t="n">
        <v>51638</v>
      </c>
      <c r="M80" s="5" t="n">
        <v>55451</v>
      </c>
      <c r="N80" s="5" t="n">
        <v>54216</v>
      </c>
      <c r="O80" s="5" t="n">
        <v>57415</v>
      </c>
      <c r="P80" s="5" t="n">
        <v>61175</v>
      </c>
      <c r="Q80" s="5" t="n">
        <v>67729</v>
      </c>
      <c r="R80" s="5" t="n">
        <v>75532</v>
      </c>
      <c r="S80" s="5" t="n">
        <v>88092</v>
      </c>
      <c r="AA80" s="5" t="n">
        <v>5654</v>
      </c>
      <c r="AB80" s="5" t="n">
        <v>8339</v>
      </c>
      <c r="AC80" s="5" t="n">
        <v>13164</v>
      </c>
      <c r="AD80" s="5" t="n">
        <v>16677</v>
      </c>
      <c r="AE80" s="5" t="n">
        <v>20816</v>
      </c>
      <c r="AF80" s="5" t="n">
        <v>24542</v>
      </c>
      <c r="AG80" s="5" t="n">
        <v>32891</v>
      </c>
      <c r="AH80" s="5" t="n">
        <v>42360</v>
      </c>
      <c r="AI80" s="5" t="n">
        <v>52253</v>
      </c>
      <c r="AJ80" s="5" t="n">
        <v>55451</v>
      </c>
      <c r="AK80" s="5" t="n">
        <v>67729</v>
      </c>
      <c r="AL80" s="5" t="n">
        <f aca="false">+(AL129/365)*AL15</f>
        <v>60478.9422067441</v>
      </c>
      <c r="AM80" s="5" t="n">
        <f aca="false">+(AM129/365)*AM15</f>
        <v>70862.2702713173</v>
      </c>
      <c r="AN80" s="5" t="n">
        <f aca="false">+(AN129/365)*AN15</f>
        <v>82278.082985562</v>
      </c>
      <c r="AO80" s="5" t="n">
        <f aca="false">+(AO129/365)*AO15</f>
        <v>94663.6909838592</v>
      </c>
      <c r="AP80" s="5" t="n">
        <f aca="false">+(AP129/365)*AP15</f>
        <v>107915.525977317</v>
      </c>
    </row>
    <row r="81" customFormat="false" ht="12.8" hidden="false" customHeight="false" outlineLevel="0" collapsed="false">
      <c r="A81" s="57" t="s">
        <v>195</v>
      </c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 t="n">
        <f aca="false">+20200+5300</f>
        <v>25500</v>
      </c>
      <c r="AH81" s="55" t="n">
        <f aca="false">+26600+6900</f>
        <v>33500</v>
      </c>
      <c r="AI81" s="55" t="n">
        <f aca="false">+34100+8500</f>
        <v>42600</v>
      </c>
      <c r="AJ81" s="55" t="n">
        <f aca="false">+34300+11600</f>
        <v>45900</v>
      </c>
      <c r="AK81" s="55" t="n">
        <f aca="false">+40400+15900</f>
        <v>56300</v>
      </c>
      <c r="AL81" s="55"/>
      <c r="AM81" s="55"/>
      <c r="AN81" s="55"/>
      <c r="AO81" s="55"/>
      <c r="AP81" s="55"/>
      <c r="AQ81" s="55"/>
      <c r="AT81" s="55"/>
      <c r="AW81" s="55"/>
      <c r="AX81" s="55"/>
      <c r="AY81" s="55"/>
      <c r="AZ81" s="55"/>
      <c r="BA81" s="55"/>
      <c r="BB81" s="55"/>
      <c r="BC81" s="55"/>
      <c r="BD81" s="55"/>
      <c r="BE81" s="55"/>
      <c r="BF81" s="55"/>
      <c r="BG81" s="55"/>
      <c r="BH81" s="55"/>
      <c r="BI81" s="55"/>
      <c r="BJ81" s="55"/>
      <c r="BK81" s="55"/>
      <c r="BL81" s="55"/>
      <c r="BM81" s="55"/>
      <c r="BN81" s="55"/>
      <c r="BO81" s="55"/>
      <c r="BP81" s="55"/>
      <c r="BQ81" s="55"/>
      <c r="BR81" s="55"/>
      <c r="BS81" s="55"/>
      <c r="BT81" s="55"/>
      <c r="BU81" s="55"/>
      <c r="BV81" s="55"/>
      <c r="BW81" s="55"/>
      <c r="BX81" s="55"/>
      <c r="BY81" s="55"/>
      <c r="BZ81" s="55"/>
      <c r="CA81" s="55"/>
      <c r="CB81" s="55"/>
      <c r="CC81" s="55"/>
      <c r="CD81" s="55"/>
      <c r="CE81" s="55"/>
      <c r="CF81" s="55"/>
      <c r="CG81" s="55"/>
      <c r="CH81" s="55"/>
      <c r="CI81" s="55"/>
      <c r="CJ81" s="55"/>
      <c r="CK81" s="55"/>
      <c r="CL81" s="55"/>
      <c r="CM81" s="55"/>
      <c r="CN81" s="55"/>
      <c r="CO81" s="55"/>
      <c r="CP81" s="55"/>
      <c r="CQ81" s="55"/>
      <c r="CR81" s="55"/>
      <c r="CS81" s="55"/>
      <c r="CT81" s="55"/>
      <c r="CU81" s="55"/>
      <c r="CV81" s="55"/>
      <c r="CW81" s="55"/>
      <c r="CX81" s="55"/>
      <c r="CY81" s="55"/>
      <c r="CZ81" s="55"/>
      <c r="DA81" s="55"/>
      <c r="DB81" s="55"/>
      <c r="DC81" s="55"/>
      <c r="DD81" s="55"/>
      <c r="DE81" s="55"/>
      <c r="DF81" s="55"/>
      <c r="DG81" s="55"/>
      <c r="DH81" s="55"/>
      <c r="DI81" s="55"/>
      <c r="DJ81" s="55"/>
      <c r="DK81" s="55"/>
      <c r="DL81" s="55"/>
      <c r="DM81" s="55"/>
      <c r="DN81" s="55"/>
      <c r="DO81" s="55"/>
      <c r="DP81" s="57"/>
      <c r="DQ81" s="57"/>
      <c r="DR81" s="57"/>
      <c r="DS81" s="57"/>
      <c r="DT81" s="57"/>
    </row>
    <row r="82" customFormat="false" ht="12.8" hidden="false" customHeight="false" outlineLevel="0" collapsed="false">
      <c r="A82" s="57" t="s">
        <v>196</v>
      </c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 t="n">
        <f aca="false">+1000</f>
        <v>1000</v>
      </c>
      <c r="AH82" s="55" t="n">
        <f aca="false">+1300+3100+4500</f>
        <v>8900</v>
      </c>
      <c r="AI82" s="55" t="n">
        <f aca="false">+1000+3300+5400</f>
        <v>9700</v>
      </c>
      <c r="AJ82" s="55" t="n">
        <f aca="false">+3400+6300</f>
        <v>9700</v>
      </c>
      <c r="AK82" s="55" t="n">
        <f aca="false">+4500+6900</f>
        <v>11400</v>
      </c>
      <c r="AL82" s="55"/>
      <c r="AM82" s="55"/>
      <c r="AN82" s="55"/>
      <c r="AO82" s="55"/>
      <c r="AP82" s="55"/>
      <c r="AQ82" s="55"/>
      <c r="AT82" s="55"/>
      <c r="AW82" s="55"/>
      <c r="AX82" s="55"/>
      <c r="AY82" s="55"/>
      <c r="AZ82" s="55"/>
      <c r="BA82" s="55"/>
      <c r="BB82" s="55"/>
      <c r="BC82" s="55"/>
      <c r="BD82" s="55"/>
      <c r="BE82" s="55"/>
      <c r="BF82" s="55"/>
      <c r="BG82" s="55"/>
      <c r="BH82" s="55"/>
      <c r="BI82" s="55"/>
      <c r="BJ82" s="55"/>
      <c r="BK82" s="55"/>
      <c r="BL82" s="55"/>
      <c r="BM82" s="55"/>
      <c r="BN82" s="55"/>
      <c r="BO82" s="55"/>
      <c r="BP82" s="55"/>
      <c r="BQ82" s="55"/>
      <c r="BR82" s="55"/>
      <c r="BS82" s="55"/>
      <c r="BT82" s="55"/>
      <c r="BU82" s="55"/>
      <c r="BV82" s="55"/>
      <c r="BW82" s="55"/>
      <c r="BX82" s="55"/>
      <c r="BY82" s="55"/>
      <c r="BZ82" s="55"/>
      <c r="CA82" s="55"/>
      <c r="CB82" s="55"/>
      <c r="CC82" s="55"/>
      <c r="CD82" s="55"/>
      <c r="CE82" s="55"/>
      <c r="CF82" s="55"/>
      <c r="CG82" s="55"/>
      <c r="CH82" s="55"/>
      <c r="CI82" s="55"/>
      <c r="CJ82" s="55"/>
      <c r="CK82" s="55"/>
      <c r="CL82" s="55"/>
      <c r="CM82" s="55"/>
      <c r="CN82" s="55"/>
      <c r="CO82" s="55"/>
      <c r="CP82" s="55"/>
      <c r="CQ82" s="55"/>
      <c r="CR82" s="55"/>
      <c r="CS82" s="55"/>
      <c r="CT82" s="55"/>
      <c r="CU82" s="55"/>
      <c r="CV82" s="55"/>
      <c r="CW82" s="55"/>
      <c r="CX82" s="55"/>
      <c r="CY82" s="55"/>
      <c r="CZ82" s="55"/>
      <c r="DA82" s="55"/>
      <c r="DB82" s="55"/>
      <c r="DC82" s="55"/>
      <c r="DD82" s="55"/>
      <c r="DE82" s="55"/>
      <c r="DF82" s="55"/>
      <c r="DG82" s="55"/>
      <c r="DH82" s="55"/>
      <c r="DI82" s="55"/>
      <c r="DJ82" s="55"/>
      <c r="DK82" s="55"/>
      <c r="DL82" s="55"/>
      <c r="DM82" s="55"/>
      <c r="DN82" s="55"/>
      <c r="DO82" s="55"/>
      <c r="DP82" s="57"/>
      <c r="DQ82" s="57"/>
      <c r="DR82" s="57"/>
      <c r="DS82" s="57"/>
      <c r="DT82" s="57"/>
    </row>
    <row r="83" customFormat="false" ht="12.8" hidden="false" customHeight="false" outlineLevel="0" collapsed="false">
      <c r="A83" s="1" t="s">
        <v>197</v>
      </c>
      <c r="B83" s="5" t="n">
        <v>168468</v>
      </c>
      <c r="C83" s="5" t="n">
        <v>173706</v>
      </c>
      <c r="D83" s="5" t="n">
        <v>177195</v>
      </c>
      <c r="E83" s="5" t="n">
        <v>186715</v>
      </c>
      <c r="F83" s="5" t="n">
        <v>190754</v>
      </c>
      <c r="G83" s="5" t="n">
        <v>193784</v>
      </c>
      <c r="H83" s="5" t="n">
        <v>196468</v>
      </c>
      <c r="I83" s="5" t="n">
        <v>204177</v>
      </c>
      <c r="J83" s="5" t="n">
        <v>209950</v>
      </c>
      <c r="K83" s="5" t="n">
        <v>220717</v>
      </c>
      <c r="L83" s="5" t="n">
        <v>237917</v>
      </c>
      <c r="M83" s="5" t="n">
        <v>252665</v>
      </c>
      <c r="N83" s="5" t="n">
        <v>272781</v>
      </c>
      <c r="O83" s="5" t="n">
        <v>297616</v>
      </c>
      <c r="P83" s="5" t="n">
        <v>324435</v>
      </c>
      <c r="Q83" s="5" t="n">
        <v>357025</v>
      </c>
      <c r="R83" s="5" t="n">
        <v>397458</v>
      </c>
      <c r="S83" s="5" t="n">
        <v>446046</v>
      </c>
      <c r="AA83" s="5" t="n">
        <v>21838</v>
      </c>
      <c r="AB83" s="5" t="n">
        <v>29114</v>
      </c>
      <c r="AC83" s="5" t="n">
        <v>48866</v>
      </c>
      <c r="AD83" s="5" t="n">
        <v>61797</v>
      </c>
      <c r="AE83" s="5" t="n">
        <v>72705</v>
      </c>
      <c r="AF83" s="5" t="n">
        <v>113114</v>
      </c>
      <c r="AG83" s="5" t="n">
        <v>160281</v>
      </c>
      <c r="AH83" s="5" t="n">
        <v>186715</v>
      </c>
      <c r="AI83" s="5" t="n">
        <v>204177</v>
      </c>
      <c r="AJ83" s="5" t="n">
        <v>252665</v>
      </c>
      <c r="AK83" s="5" t="n">
        <v>357025</v>
      </c>
    </row>
    <row r="84" customFormat="false" ht="12.8" hidden="false" customHeight="false" outlineLevel="0" collapsed="false">
      <c r="A84" s="1" t="s">
        <v>198</v>
      </c>
      <c r="B84" s="5" t="n">
        <v>56161</v>
      </c>
      <c r="C84" s="5" t="n">
        <v>58430</v>
      </c>
      <c r="D84" s="5" t="n">
        <v>62033</v>
      </c>
      <c r="E84" s="5" t="n">
        <v>66123</v>
      </c>
      <c r="F84" s="5" t="n">
        <v>68262</v>
      </c>
      <c r="G84" s="5" t="n">
        <v>70332</v>
      </c>
      <c r="H84" s="5" t="n">
        <v>70758</v>
      </c>
      <c r="I84" s="5" t="n">
        <v>72513</v>
      </c>
      <c r="J84" s="5" t="n">
        <v>73313</v>
      </c>
      <c r="K84" s="5" t="n">
        <v>74575</v>
      </c>
      <c r="L84" s="5" t="n">
        <v>76527</v>
      </c>
      <c r="M84" s="5" t="n">
        <v>76141</v>
      </c>
      <c r="N84" s="5" t="n">
        <v>78495</v>
      </c>
      <c r="O84" s="5" t="n">
        <v>82125</v>
      </c>
      <c r="P84" s="5" t="n">
        <v>83456</v>
      </c>
      <c r="Q84" s="5" t="n">
        <v>86054</v>
      </c>
      <c r="R84" s="5" t="n">
        <v>88741</v>
      </c>
      <c r="S84" s="5" t="n">
        <v>92743</v>
      </c>
      <c r="AC84" s="5" t="n">
        <v>0</v>
      </c>
      <c r="AD84" s="5" t="n">
        <v>0</v>
      </c>
      <c r="AE84" s="5" t="n">
        <v>25141</v>
      </c>
      <c r="AF84" s="5" t="n">
        <v>37553</v>
      </c>
      <c r="AG84" s="5" t="n">
        <v>56082</v>
      </c>
      <c r="AH84" s="5" t="n">
        <v>66123</v>
      </c>
      <c r="AI84" s="5" t="n">
        <v>72513</v>
      </c>
      <c r="AJ84" s="5" t="n">
        <v>76141</v>
      </c>
      <c r="AK84" s="5" t="n">
        <v>86054</v>
      </c>
    </row>
    <row r="85" customFormat="false" ht="12.8" hidden="false" customHeight="false" outlineLevel="0" collapsed="false">
      <c r="A85" s="1" t="s">
        <v>199</v>
      </c>
      <c r="B85" s="5" t="n">
        <v>20229</v>
      </c>
      <c r="C85" s="5" t="n">
        <v>20195</v>
      </c>
      <c r="D85" s="5" t="n">
        <v>20168</v>
      </c>
      <c r="E85" s="5" t="n">
        <v>20288</v>
      </c>
      <c r="F85" s="5" t="n">
        <v>22749</v>
      </c>
      <c r="G85" s="5" t="n">
        <v>22785</v>
      </c>
      <c r="H85" s="5" t="n">
        <v>22749</v>
      </c>
      <c r="I85" s="5" t="n">
        <v>22789</v>
      </c>
      <c r="J85" s="5" t="n">
        <v>22770</v>
      </c>
      <c r="K85" s="5" t="n">
        <v>22879</v>
      </c>
      <c r="L85" s="5" t="n">
        <v>23081</v>
      </c>
      <c r="M85" s="5" t="n">
        <v>23074</v>
      </c>
      <c r="N85" s="5" t="n">
        <v>23089</v>
      </c>
      <c r="O85" s="5" t="n">
        <v>23155</v>
      </c>
      <c r="P85" s="5" t="n">
        <v>23260</v>
      </c>
      <c r="Q85" s="5" t="n">
        <v>23273</v>
      </c>
      <c r="R85" s="5" t="n">
        <v>23449</v>
      </c>
      <c r="S85" s="5" t="n">
        <v>23504</v>
      </c>
      <c r="AA85" s="5" t="n">
        <v>3759</v>
      </c>
      <c r="AB85" s="5" t="n">
        <v>3784</v>
      </c>
      <c r="AC85" s="5" t="n">
        <v>13350</v>
      </c>
      <c r="AD85" s="5" t="n">
        <v>14548</v>
      </c>
      <c r="AE85" s="5" t="n">
        <v>14754</v>
      </c>
      <c r="AF85" s="5" t="n">
        <v>15017</v>
      </c>
      <c r="AG85" s="5" t="n">
        <v>15371</v>
      </c>
      <c r="AH85" s="5" t="n">
        <v>20288</v>
      </c>
      <c r="AI85" s="5" t="n">
        <v>22789</v>
      </c>
      <c r="AJ85" s="5" t="n">
        <v>23074</v>
      </c>
      <c r="AK85" s="5" t="n">
        <v>23273</v>
      </c>
    </row>
    <row r="86" customFormat="false" ht="12.8" hidden="false" customHeight="false" outlineLevel="0" collapsed="false">
      <c r="A86" s="1" t="s">
        <v>200</v>
      </c>
      <c r="B86" s="5" t="n">
        <v>32033</v>
      </c>
      <c r="C86" s="5" t="n">
        <v>33730</v>
      </c>
      <c r="D86" s="5" t="n">
        <v>37503</v>
      </c>
      <c r="E86" s="5" t="n">
        <v>42758</v>
      </c>
      <c r="F86" s="5" t="n">
        <v>46392</v>
      </c>
      <c r="G86" s="5" t="n">
        <v>50224</v>
      </c>
      <c r="H86" s="5" t="n">
        <v>53913</v>
      </c>
      <c r="I86" s="5" t="n">
        <v>56024</v>
      </c>
      <c r="J86" s="5" t="n">
        <v>60947</v>
      </c>
      <c r="K86" s="5" t="n">
        <v>63340</v>
      </c>
      <c r="L86" s="5" t="n">
        <v>71309</v>
      </c>
      <c r="M86" s="5" t="n">
        <v>82147</v>
      </c>
      <c r="N86" s="5" t="n">
        <v>84246</v>
      </c>
      <c r="O86" s="5" t="n">
        <v>87854</v>
      </c>
      <c r="P86" s="5" t="n">
        <v>99904</v>
      </c>
      <c r="Q86" s="5" t="n">
        <v>122607</v>
      </c>
      <c r="R86" s="5" t="n">
        <v>151827</v>
      </c>
      <c r="S86" s="5" t="n">
        <v>284132</v>
      </c>
      <c r="AA86" s="5" t="n">
        <v>3445</v>
      </c>
      <c r="AB86" s="5" t="n">
        <v>4723</v>
      </c>
      <c r="AC86" s="5" t="n">
        <v>8897</v>
      </c>
      <c r="AD86" s="5" t="n">
        <v>11202</v>
      </c>
      <c r="AE86" s="5" t="n">
        <v>16314</v>
      </c>
      <c r="AF86" s="5" t="n">
        <v>22778</v>
      </c>
      <c r="AG86" s="5" t="n">
        <v>27235</v>
      </c>
      <c r="AH86" s="5" t="n">
        <v>42758</v>
      </c>
      <c r="AI86" s="5" t="n">
        <v>56024</v>
      </c>
      <c r="AJ86" s="5" t="n">
        <v>82147</v>
      </c>
      <c r="AK86" s="5" t="n">
        <v>122607</v>
      </c>
    </row>
    <row r="87" customFormat="false" ht="12.8" hidden="false" customHeight="false" outlineLevel="0" collapsed="false">
      <c r="A87" s="1" t="s">
        <v>201</v>
      </c>
      <c r="B87" s="5" t="n">
        <f aca="false">+SUM(B77:B86)</f>
        <v>410767</v>
      </c>
      <c r="C87" s="5" t="n">
        <f aca="false">+SUM(C77:C86)</f>
        <v>419728</v>
      </c>
      <c r="D87" s="5" t="n">
        <f aca="false">+SUM(D77:D86)</f>
        <v>427869</v>
      </c>
      <c r="E87" s="5" t="n">
        <f aca="false">+SUM(E77:E86)</f>
        <v>462675</v>
      </c>
      <c r="F87" s="5" t="n">
        <f aca="false">+SUM(F77:F86)</f>
        <v>464378</v>
      </c>
      <c r="G87" s="5" t="n">
        <f aca="false">+SUM(G77:G86)</f>
        <v>477607</v>
      </c>
      <c r="H87" s="5" t="n">
        <f aca="false">+SUM(H77:H86)</f>
        <v>486883</v>
      </c>
      <c r="I87" s="5" t="n">
        <f aca="false">+SUM(I77:I86)</f>
        <v>527854</v>
      </c>
      <c r="J87" s="5" t="n">
        <f aca="false">+SUM(J77:J86)</f>
        <v>530969</v>
      </c>
      <c r="K87" s="5" t="n">
        <f aca="false">+SUM(K77:K86)</f>
        <v>554818</v>
      </c>
      <c r="L87" s="5" t="n">
        <f aca="false">+SUM(L77:L86)</f>
        <v>584626</v>
      </c>
      <c r="M87" s="5" t="n">
        <f aca="false">+SUM(M77:M86)</f>
        <v>624894</v>
      </c>
      <c r="N87" s="5" t="n">
        <f aca="false">+SUM(N77:N86)</f>
        <v>643256</v>
      </c>
      <c r="O87" s="5" t="n">
        <f aca="false">+SUM(O77:O86)</f>
        <v>682170</v>
      </c>
      <c r="P87" s="5" t="n">
        <f aca="false">+SUM(P77:P86)</f>
        <v>727921</v>
      </c>
      <c r="Q87" s="5" t="n">
        <f aca="false">+SUM(Q77:Q86)</f>
        <v>818042</v>
      </c>
      <c r="R87" s="5" t="n">
        <f aca="false">+SUM(R77:R86)</f>
        <v>916630</v>
      </c>
      <c r="S87" s="5" t="n">
        <f aca="false">+SUM(S77:S86)</f>
        <v>1095689</v>
      </c>
      <c r="T87" s="5" t="n">
        <f aca="false">+SUM(T77:T86)</f>
        <v>0</v>
      </c>
      <c r="U87" s="5" t="n">
        <f aca="false">+SUM(U77:U86)</f>
        <v>0</v>
      </c>
      <c r="AA87" s="5" t="n">
        <f aca="false">+SUM(AA77:AA86)-AA81-AA82</f>
        <v>64747</v>
      </c>
      <c r="AB87" s="5" t="n">
        <f aca="false">+SUM(AB77:AB86)-AB81-AB82</f>
        <v>83402</v>
      </c>
      <c r="AC87" s="5" t="n">
        <f aca="false">+SUM(AC77:AC86)-AC81-AC82</f>
        <v>131310</v>
      </c>
      <c r="AD87" s="5" t="n">
        <f aca="false">+SUM(AD77:AD86)-AD81-AD82</f>
        <v>162648</v>
      </c>
      <c r="AE87" s="5" t="n">
        <f aca="false">+SUM(AE77:AE86)-AE81-AE82</f>
        <v>225248</v>
      </c>
      <c r="AF87" s="5" t="n">
        <f aca="false">+SUM(AF77:AF86)-AF81-AF82</f>
        <v>321195</v>
      </c>
      <c r="AG87" s="5" t="n">
        <f aca="false">+SUM(AG77:AG86)-AG81-AG82</f>
        <v>420549</v>
      </c>
      <c r="AH87" s="5" t="n">
        <f aca="false">+SUM(AH77:AH86)-AH81-AH82</f>
        <v>462675</v>
      </c>
      <c r="AI87" s="5" t="n">
        <f aca="false">+SUM(AI77:AI86)-AI81-AI82</f>
        <v>527854</v>
      </c>
      <c r="AJ87" s="5" t="n">
        <f aca="false">+SUM(AJ77:AJ86)-AJ81-AJ82</f>
        <v>624894</v>
      </c>
      <c r="AK87" s="5" t="n">
        <f aca="false">+SUM(AK77:AK86)-AK81-AK82</f>
        <v>818042</v>
      </c>
      <c r="AR87" s="56"/>
      <c r="AS87" s="56"/>
      <c r="AU87" s="56"/>
      <c r="AV87" s="56"/>
    </row>
    <row r="89" customFormat="false" ht="12.8" hidden="false" customHeight="false" outlineLevel="0" collapsed="false">
      <c r="A89" s="1" t="s">
        <v>202</v>
      </c>
      <c r="B89" s="5" t="n">
        <v>68547</v>
      </c>
      <c r="C89" s="5" t="n">
        <v>71219</v>
      </c>
      <c r="D89" s="5" t="n">
        <v>67760</v>
      </c>
      <c r="E89" s="5" t="n">
        <v>79600</v>
      </c>
      <c r="F89" s="5" t="n">
        <v>66907</v>
      </c>
      <c r="G89" s="5" t="n">
        <v>69481</v>
      </c>
      <c r="H89" s="5" t="n">
        <v>72004</v>
      </c>
      <c r="I89" s="5" t="n">
        <v>84981</v>
      </c>
      <c r="J89" s="5" t="n">
        <v>73068</v>
      </c>
      <c r="K89" s="5" t="n">
        <v>81817</v>
      </c>
      <c r="L89" s="5" t="n">
        <v>84570</v>
      </c>
      <c r="M89" s="5" t="n">
        <v>94363</v>
      </c>
      <c r="N89" s="5" t="n">
        <v>89241</v>
      </c>
      <c r="O89" s="5" t="n">
        <v>98285</v>
      </c>
      <c r="P89" s="5" t="n">
        <v>106032</v>
      </c>
      <c r="Q89" s="5" t="n">
        <v>121909</v>
      </c>
      <c r="R89" s="5" t="n">
        <v>124749</v>
      </c>
      <c r="S89" s="5" t="n">
        <v>147440</v>
      </c>
      <c r="AA89" s="5" t="n">
        <v>20397</v>
      </c>
      <c r="AB89" s="5" t="n">
        <v>25309</v>
      </c>
      <c r="AC89" s="5" t="n">
        <v>34616</v>
      </c>
      <c r="AD89" s="5" t="n">
        <v>38192</v>
      </c>
      <c r="AE89" s="5" t="n">
        <v>47183</v>
      </c>
      <c r="AF89" s="5" t="n">
        <v>72539</v>
      </c>
      <c r="AG89" s="5" t="n">
        <v>78664</v>
      </c>
      <c r="AH89" s="5" t="n">
        <v>79600</v>
      </c>
      <c r="AI89" s="5" t="n">
        <v>84981</v>
      </c>
      <c r="AJ89" s="5" t="n">
        <v>94363</v>
      </c>
      <c r="AK89" s="5" t="n">
        <v>121909</v>
      </c>
      <c r="AL89" s="5" t="n">
        <f aca="false">+(AL131/365)*AL17</f>
        <v>124883.384617174</v>
      </c>
      <c r="AM89" s="5" t="n">
        <f aca="false">+(AM131/365)*AM17</f>
        <v>141943.982996219</v>
      </c>
      <c r="AN89" s="5" t="n">
        <f aca="false">+(AN131/365)*AN17</f>
        <v>159850.360203215</v>
      </c>
      <c r="AO89" s="5" t="n">
        <f aca="false">+(AO131/365)*AO17</f>
        <v>178341.996875128</v>
      </c>
      <c r="AP89" s="5" t="n">
        <f aca="false">+(AP131/365)*AP17</f>
        <v>201483.853209507</v>
      </c>
      <c r="AR89" s="56"/>
      <c r="AS89" s="56"/>
      <c r="AU89" s="56"/>
      <c r="AV89" s="56"/>
    </row>
    <row r="90" customFormat="false" ht="12.8" hidden="false" customHeight="false" outlineLevel="0" collapsed="false">
      <c r="A90" s="1" t="s">
        <v>203</v>
      </c>
      <c r="B90" s="5" t="n">
        <v>58141</v>
      </c>
      <c r="C90" s="5" t="n">
        <v>56254</v>
      </c>
      <c r="D90" s="5" t="n">
        <v>59974</v>
      </c>
      <c r="E90" s="5" t="n">
        <v>62566</v>
      </c>
      <c r="F90" s="5" t="n">
        <v>66382</v>
      </c>
      <c r="G90" s="5" t="n">
        <v>64235</v>
      </c>
      <c r="H90" s="5" t="n">
        <v>58812</v>
      </c>
      <c r="I90" s="5" t="n">
        <v>64709</v>
      </c>
      <c r="J90" s="5" t="n">
        <v>63970</v>
      </c>
      <c r="K90" s="5" t="n">
        <v>60351</v>
      </c>
      <c r="L90" s="5" t="n">
        <v>60602</v>
      </c>
      <c r="M90" s="5" t="n">
        <v>66965</v>
      </c>
      <c r="N90" s="5" t="n">
        <v>66331</v>
      </c>
      <c r="O90" s="5" t="n">
        <v>66974</v>
      </c>
      <c r="P90" s="5" t="n">
        <v>68051</v>
      </c>
      <c r="Q90" s="5" t="n">
        <v>75520</v>
      </c>
      <c r="R90" s="5" t="n">
        <v>71120</v>
      </c>
      <c r="S90" s="5" t="n">
        <v>73406</v>
      </c>
      <c r="AA90" s="5" t="n">
        <v>10372</v>
      </c>
      <c r="AB90" s="5" t="n">
        <v>13739</v>
      </c>
      <c r="AC90" s="5" t="n">
        <v>18170</v>
      </c>
      <c r="AD90" s="5" t="n">
        <v>23663</v>
      </c>
      <c r="AE90" s="5" t="n">
        <v>32439</v>
      </c>
      <c r="AF90" s="5" t="n">
        <v>44138</v>
      </c>
      <c r="AG90" s="5" t="n">
        <v>51775</v>
      </c>
      <c r="AH90" s="5" t="n">
        <v>62566</v>
      </c>
      <c r="AI90" s="5" t="n">
        <v>64709</v>
      </c>
      <c r="AJ90" s="5" t="n">
        <v>66965</v>
      </c>
      <c r="AK90" s="5" t="n">
        <v>75520</v>
      </c>
      <c r="AL90" s="5" t="n">
        <f aca="false">+AL15*0.1</f>
        <v>83250.897</v>
      </c>
      <c r="AM90" s="5" t="n">
        <f aca="false">+AM15*0.1</f>
        <v>95738.53155</v>
      </c>
      <c r="AN90" s="5" t="n">
        <f aca="false">+AN15*0.1</f>
        <v>109141.925967</v>
      </c>
      <c r="AO90" s="5" t="n">
        <f aca="false">+AO15*0.1</f>
        <v>123330.37634271</v>
      </c>
      <c r="AP90" s="5" t="n">
        <f aca="false">+AP15*0.1</f>
        <v>138130.021503835</v>
      </c>
      <c r="AU90" s="22"/>
      <c r="AV90" s="22"/>
    </row>
    <row r="91" customFormat="false" ht="10.5" hidden="false" customHeight="true" outlineLevel="0" collapsed="false">
      <c r="A91" s="56"/>
      <c r="B91" s="22" t="n">
        <f aca="false">+B90/B$15</f>
        <v>0.499304386657964</v>
      </c>
      <c r="C91" s="22" t="n">
        <f aca="false">+C90/C$15</f>
        <v>0.464011745879869</v>
      </c>
      <c r="D91" s="22" t="n">
        <f aca="false">+D90/D$15</f>
        <v>0.471860960968049</v>
      </c>
      <c r="E91" s="22" t="n">
        <f aca="false">+E90/E$15</f>
        <v>0.419331921396209</v>
      </c>
      <c r="F91" s="22" t="n">
        <f aca="false">+F90/F$15</f>
        <v>0.521223637305862</v>
      </c>
      <c r="G91" s="22" t="n">
        <f aca="false">+G90/G$15</f>
        <v>0.477999449335109</v>
      </c>
      <c r="H91" s="22" t="n">
        <f aca="false">+H90/H$15</f>
        <v>0.411034155000944</v>
      </c>
      <c r="I91" s="22" t="n">
        <f aca="false">+I90/I$15</f>
        <v>0.380728520072252</v>
      </c>
      <c r="J91" s="22" t="n">
        <f aca="false">+J90/J$15</f>
        <v>0.446365647219722</v>
      </c>
      <c r="K91" s="22" t="n">
        <f aca="false">+K90/K$15</f>
        <v>0.407840407630916</v>
      </c>
      <c r="L91" s="22" t="n">
        <f aca="false">+L90/L$15</f>
        <v>0.381439730105679</v>
      </c>
      <c r="M91" s="22" t="n">
        <f aca="false">+M90/M$15</f>
        <v>0.356591335094147</v>
      </c>
      <c r="N91" s="22" t="n">
        <f aca="false">+N90/N$15</f>
        <v>0.426108295271316</v>
      </c>
      <c r="O91" s="22" t="n">
        <f aca="false">+O90/O$15</f>
        <v>0.399363156074465</v>
      </c>
      <c r="P91" s="22" t="n">
        <f aca="false">+P90/P$15</f>
        <v>0.377706486687499</v>
      </c>
      <c r="Q91" s="22" t="n">
        <f aca="false">+Q90/Q$15</f>
        <v>0.353912627820007</v>
      </c>
      <c r="R91" s="22" t="n">
        <f aca="false">+R90/R$15</f>
        <v>0.39180471465797</v>
      </c>
      <c r="S91" s="22" t="n">
        <f aca="false">+S90/S$15</f>
        <v>0.365921258586483</v>
      </c>
      <c r="T91" s="22" t="n">
        <f aca="false">+T90/T$15</f>
        <v>0</v>
      </c>
      <c r="U91" s="22" t="n">
        <f aca="false">+U90/U$15</f>
        <v>0</v>
      </c>
      <c r="V91" s="56"/>
      <c r="W91" s="56"/>
      <c r="X91" s="56"/>
      <c r="Y91" s="56"/>
      <c r="Z91" s="56"/>
      <c r="AA91" s="22" t="n">
        <f aca="false">+AA90/AA$15</f>
        <v>0.0969291441601406</v>
      </c>
      <c r="AB91" s="22" t="n">
        <f aca="false">+AB90/AB$15</f>
        <v>0.101031716266996</v>
      </c>
      <c r="AC91" s="22" t="n">
        <f aca="false">+AC90/AC$15</f>
        <v>0.10215555530568</v>
      </c>
      <c r="AD91" s="22" t="n">
        <f aca="false">+AD90/AD$15</f>
        <v>0.101607217234109</v>
      </c>
      <c r="AE91" s="22" t="n">
        <f aca="false">+AE90/AE$15</f>
        <v>0.115637989177319</v>
      </c>
      <c r="AF91" s="22" t="n">
        <f aca="false">+AF90/AF$15</f>
        <v>0.11432819428903</v>
      </c>
      <c r="AG91" s="22" t="n">
        <f aca="false">+AG90/AG$15</f>
        <v>0.110201310283469</v>
      </c>
      <c r="AH91" s="22" t="n">
        <f aca="false">+AH90/AH$15</f>
        <v>0.121727761424016</v>
      </c>
      <c r="AI91" s="22" t="n">
        <f aca="false">+AI90/AI$15</f>
        <v>0.112579486242682</v>
      </c>
      <c r="AJ91" s="22" t="n">
        <f aca="false">+AJ90/AJ$15</f>
        <v>0.104967560611262</v>
      </c>
      <c r="AK91" s="22" t="n">
        <f aca="false">+AK90/AK$15</f>
        <v>0.10533892016448</v>
      </c>
      <c r="AL91" s="22" t="n">
        <f aca="false">+AL90/AL$15</f>
        <v>0.1</v>
      </c>
      <c r="AM91" s="22" t="n">
        <f aca="false">+AM90/AM$15</f>
        <v>0.1</v>
      </c>
      <c r="AN91" s="22" t="n">
        <f aca="false">+AN90/AN$15</f>
        <v>0.1</v>
      </c>
      <c r="AO91" s="22" t="n">
        <f aca="false">+AO90/AO$15</f>
        <v>0.1</v>
      </c>
      <c r="AP91" s="22" t="n">
        <f aca="false">+AP90/AP$15</f>
        <v>0.1</v>
      </c>
      <c r="AQ91" s="56"/>
      <c r="AR91" s="22"/>
      <c r="AS91" s="22"/>
      <c r="AT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6"/>
      <c r="BM91" s="56"/>
      <c r="BN91" s="56"/>
      <c r="BO91" s="56"/>
      <c r="BP91" s="56"/>
      <c r="BQ91" s="56"/>
      <c r="BR91" s="56"/>
      <c r="BS91" s="56"/>
      <c r="BT91" s="56"/>
      <c r="BU91" s="56"/>
      <c r="BV91" s="56"/>
      <c r="BW91" s="56"/>
      <c r="BX91" s="56"/>
      <c r="BY91" s="56"/>
      <c r="BZ91" s="56"/>
      <c r="CA91" s="56"/>
      <c r="CB91" s="56"/>
      <c r="CC91" s="56"/>
      <c r="CD91" s="56"/>
      <c r="CE91" s="56"/>
      <c r="CF91" s="56"/>
      <c r="CG91" s="56"/>
      <c r="CH91" s="56"/>
      <c r="CI91" s="56"/>
      <c r="CJ91" s="56"/>
      <c r="CK91" s="56"/>
      <c r="CL91" s="56"/>
      <c r="CM91" s="56"/>
      <c r="CN91" s="56"/>
      <c r="CO91" s="56"/>
      <c r="CP91" s="56"/>
      <c r="CQ91" s="56"/>
      <c r="CR91" s="56"/>
      <c r="CS91" s="56"/>
      <c r="CT91" s="56"/>
      <c r="CU91" s="56"/>
      <c r="CV91" s="56"/>
      <c r="CW91" s="56"/>
      <c r="CX91" s="56"/>
      <c r="CY91" s="56"/>
      <c r="CZ91" s="56"/>
      <c r="DA91" s="56"/>
      <c r="DB91" s="56"/>
      <c r="DC91" s="56"/>
      <c r="DD91" s="56"/>
      <c r="DE91" s="56"/>
      <c r="DF91" s="56"/>
      <c r="DG91" s="56"/>
      <c r="DH91" s="56"/>
      <c r="DI91" s="56"/>
      <c r="DJ91" s="56"/>
      <c r="DK91" s="56"/>
      <c r="DL91" s="56"/>
      <c r="DM91" s="56"/>
      <c r="DN91" s="56"/>
      <c r="DO91" s="56"/>
    </row>
    <row r="92" customFormat="false" ht="12.8" hidden="false" customHeight="false" outlineLevel="0" collapsed="false">
      <c r="A92" s="1" t="s">
        <v>204</v>
      </c>
      <c r="B92" s="5" t="n">
        <v>12820</v>
      </c>
      <c r="C92" s="5" t="n">
        <v>12818</v>
      </c>
      <c r="D92" s="5" t="n">
        <v>12629</v>
      </c>
      <c r="E92" s="5" t="n">
        <v>13227</v>
      </c>
      <c r="F92" s="5" t="n">
        <v>14281</v>
      </c>
      <c r="G92" s="5" t="n">
        <v>14522</v>
      </c>
      <c r="H92" s="5" t="n">
        <v>14398</v>
      </c>
      <c r="I92" s="5" t="n">
        <v>15227</v>
      </c>
      <c r="J92" s="5" t="n">
        <v>15927</v>
      </c>
      <c r="K92" s="5" t="n">
        <v>16004</v>
      </c>
      <c r="L92" s="5" t="n">
        <v>16305</v>
      </c>
      <c r="M92" s="5" t="n">
        <v>18103</v>
      </c>
      <c r="N92" s="5" t="n">
        <v>20599</v>
      </c>
      <c r="O92" s="5" t="n">
        <v>21662</v>
      </c>
      <c r="P92" s="5" t="n">
        <v>21113</v>
      </c>
      <c r="Q92" s="5" t="n">
        <v>20576</v>
      </c>
      <c r="R92" s="5" t="n">
        <v>20887</v>
      </c>
      <c r="S92" s="5" t="n">
        <v>20428</v>
      </c>
      <c r="AA92" s="5" t="n">
        <v>3118</v>
      </c>
      <c r="AB92" s="5" t="n">
        <v>4768</v>
      </c>
      <c r="AC92" s="5" t="n">
        <v>5097</v>
      </c>
      <c r="AD92" s="5" t="n">
        <v>6536</v>
      </c>
      <c r="AE92" s="5" t="n">
        <v>8190</v>
      </c>
      <c r="AF92" s="5" t="n">
        <v>9708</v>
      </c>
      <c r="AG92" s="5" t="n">
        <v>11827</v>
      </c>
      <c r="AH92" s="5" t="n">
        <v>13227</v>
      </c>
      <c r="AI92" s="5" t="n">
        <v>15227</v>
      </c>
      <c r="AJ92" s="5" t="n">
        <v>18103</v>
      </c>
      <c r="AK92" s="5" t="n">
        <v>20576</v>
      </c>
      <c r="AL92" s="5" t="n">
        <f aca="false">+AL15*0.03</f>
        <v>24975.2691</v>
      </c>
      <c r="AM92" s="5" t="n">
        <f aca="false">+AM15*0.03</f>
        <v>28721.559465</v>
      </c>
      <c r="AN92" s="5" t="n">
        <f aca="false">+AN15*0.03</f>
        <v>32742.5777901</v>
      </c>
      <c r="AO92" s="5" t="n">
        <f aca="false">+AO15*0.03</f>
        <v>36999.112902813</v>
      </c>
      <c r="AP92" s="5" t="n">
        <f aca="false">+AP15*0.03</f>
        <v>41439.0064511506</v>
      </c>
      <c r="AU92" s="22"/>
      <c r="AV92" s="22"/>
    </row>
    <row r="93" customFormat="false" ht="10.5" hidden="false" customHeight="true" outlineLevel="0" collapsed="false">
      <c r="A93" s="56"/>
      <c r="B93" s="56"/>
      <c r="C93" s="56" t="n">
        <f aca="false">+C92/B92-1</f>
        <v>-0.000156006240249584</v>
      </c>
      <c r="D93" s="56" t="n">
        <f aca="false">+D92/C92-1</f>
        <v>-0.0147448899984397</v>
      </c>
      <c r="E93" s="56" t="n">
        <f aca="false">+E92/D92-1</f>
        <v>0.0473513342307388</v>
      </c>
      <c r="F93" s="56" t="n">
        <f aca="false">+F92/E92-1</f>
        <v>0.0796854917970817</v>
      </c>
      <c r="G93" s="56" t="n">
        <f aca="false">+G92/F92-1</f>
        <v>0.0168755689377496</v>
      </c>
      <c r="H93" s="56" t="n">
        <f aca="false">+H92/G92-1</f>
        <v>-0.008538768764633</v>
      </c>
      <c r="I93" s="56" t="n">
        <f aca="false">+I92/H92-1</f>
        <v>0.0575774413112933</v>
      </c>
      <c r="J93" s="56" t="n">
        <f aca="false">+J92/I92-1</f>
        <v>0.0459709726144348</v>
      </c>
      <c r="K93" s="56" t="n">
        <f aca="false">+K92/J92-1</f>
        <v>0.00483455766936647</v>
      </c>
      <c r="L93" s="56" t="n">
        <f aca="false">+L92/K92-1</f>
        <v>0.0188077980504873</v>
      </c>
      <c r="M93" s="56" t="n">
        <f aca="false">+M92/L92-1</f>
        <v>0.110272922416437</v>
      </c>
      <c r="N93" s="56" t="n">
        <f aca="false">+N92/M92-1</f>
        <v>0.137877699828758</v>
      </c>
      <c r="O93" s="56" t="n">
        <f aca="false">+O92/N92-1</f>
        <v>0.0516044468178067</v>
      </c>
      <c r="P93" s="56" t="n">
        <f aca="false">+P92/O92-1</f>
        <v>-0.0253439202289724</v>
      </c>
      <c r="Q93" s="56" t="n">
        <f aca="false">+Q92/P92-1</f>
        <v>-0.0254345663809028</v>
      </c>
      <c r="R93" s="56" t="n">
        <f aca="false">+R92/Q92-1</f>
        <v>0.0151146967340592</v>
      </c>
      <c r="S93" s="56" t="n">
        <f aca="false">+S92/R92-1</f>
        <v>-0.0219753913917747</v>
      </c>
      <c r="T93" s="56"/>
      <c r="U93" s="56"/>
      <c r="V93" s="56"/>
      <c r="W93" s="56"/>
      <c r="X93" s="56"/>
      <c r="Y93" s="56"/>
      <c r="Z93" s="56"/>
      <c r="AA93" s="22" t="n">
        <f aca="false">+AA92/AA$15</f>
        <v>0.0291385529783377</v>
      </c>
      <c r="AB93" s="22" t="n">
        <f aca="false">+AB92/AB$15</f>
        <v>0.0350621750608514</v>
      </c>
      <c r="AC93" s="22" t="n">
        <f aca="false">+AC92/AC$15</f>
        <v>0.0286564042593863</v>
      </c>
      <c r="AD93" s="22" t="n">
        <f aca="false">+AD92/AD$15</f>
        <v>0.028065113123532</v>
      </c>
      <c r="AE93" s="22" t="n">
        <f aca="false">+AE92/AE$15</f>
        <v>0.029195571113852</v>
      </c>
      <c r="AF93" s="22" t="n">
        <f aca="false">+AF92/AF$15</f>
        <v>0.0251460897674997</v>
      </c>
      <c r="AG93" s="22" t="n">
        <f aca="false">+AG92/AG$15</f>
        <v>0.0251733635291664</v>
      </c>
      <c r="AH93" s="22" t="n">
        <f aca="false">+AH92/AH$15</f>
        <v>0.0257343141699239</v>
      </c>
      <c r="AI93" s="22" t="n">
        <f aca="false">+AI92/AI$15</f>
        <v>0.026491644701932</v>
      </c>
      <c r="AJ93" s="22" t="n">
        <f aca="false">+AJ92/AJ$15</f>
        <v>0.0283764317142638</v>
      </c>
      <c r="AK93" s="22" t="n">
        <f aca="false">+AK92/AK$15</f>
        <v>0.0287003922312546</v>
      </c>
      <c r="AL93" s="22" t="n">
        <f aca="false">+AL92/AL$15</f>
        <v>0.03</v>
      </c>
      <c r="AM93" s="22" t="n">
        <f aca="false">+AM92/AM$15</f>
        <v>0.03</v>
      </c>
      <c r="AN93" s="22" t="n">
        <f aca="false">+AN92/AN$15</f>
        <v>0.03</v>
      </c>
      <c r="AO93" s="22" t="n">
        <f aca="false">+AO92/AO$15</f>
        <v>0.03</v>
      </c>
      <c r="AP93" s="22" t="n">
        <f aca="false">+AP92/AP$15</f>
        <v>0.03</v>
      </c>
      <c r="AQ93" s="56"/>
      <c r="AT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6"/>
      <c r="BM93" s="56"/>
      <c r="BN93" s="56"/>
      <c r="BO93" s="56"/>
      <c r="BP93" s="56"/>
      <c r="BQ93" s="56"/>
      <c r="BR93" s="56"/>
      <c r="BS93" s="56"/>
      <c r="BT93" s="56"/>
      <c r="BU93" s="56"/>
      <c r="BV93" s="56"/>
      <c r="BW93" s="56"/>
      <c r="BX93" s="56"/>
      <c r="BY93" s="56"/>
      <c r="BZ93" s="56"/>
      <c r="CA93" s="56"/>
      <c r="CB93" s="56"/>
      <c r="CC93" s="56"/>
      <c r="CD93" s="56"/>
      <c r="CE93" s="56"/>
      <c r="CF93" s="56"/>
      <c r="CG93" s="56"/>
      <c r="CH93" s="56"/>
      <c r="CI93" s="56"/>
      <c r="CJ93" s="56"/>
      <c r="CK93" s="56"/>
      <c r="CL93" s="56"/>
      <c r="CM93" s="56"/>
      <c r="CN93" s="56"/>
      <c r="CO93" s="56"/>
      <c r="CP93" s="56"/>
      <c r="CQ93" s="56"/>
      <c r="CR93" s="56"/>
      <c r="CS93" s="56"/>
      <c r="CT93" s="56"/>
      <c r="CU93" s="56"/>
      <c r="CV93" s="56"/>
      <c r="CW93" s="56"/>
      <c r="CX93" s="56"/>
      <c r="CY93" s="56"/>
      <c r="CZ93" s="56"/>
      <c r="DA93" s="56"/>
      <c r="DB93" s="56"/>
      <c r="DC93" s="56"/>
      <c r="DD93" s="56"/>
      <c r="DE93" s="56"/>
      <c r="DF93" s="56"/>
      <c r="DG93" s="56"/>
      <c r="DH93" s="56"/>
      <c r="DI93" s="56"/>
      <c r="DJ93" s="56"/>
      <c r="DK93" s="56"/>
      <c r="DL93" s="56"/>
      <c r="DM93" s="56"/>
      <c r="DN93" s="56"/>
      <c r="DO93" s="56"/>
    </row>
    <row r="94" customFormat="false" ht="12.8" hidden="false" customHeight="true" outlineLevel="0" collapsed="false">
      <c r="A94" s="1" t="s">
        <v>205</v>
      </c>
      <c r="B94" s="5" t="n">
        <v>65731</v>
      </c>
      <c r="C94" s="5" t="n">
        <v>66524</v>
      </c>
      <c r="D94" s="5" t="n">
        <v>69332</v>
      </c>
      <c r="E94" s="5" t="n">
        <v>72968</v>
      </c>
      <c r="F94" s="5" t="n">
        <v>74267</v>
      </c>
      <c r="G94" s="5" t="n">
        <v>75822</v>
      </c>
      <c r="H94" s="5" t="n">
        <v>75891</v>
      </c>
      <c r="I94" s="5" t="n">
        <v>77297</v>
      </c>
      <c r="J94" s="5" t="n">
        <v>77052</v>
      </c>
      <c r="K94" s="5" t="n">
        <v>78084</v>
      </c>
      <c r="L94" s="5" t="n">
        <v>79802</v>
      </c>
      <c r="M94" s="5" t="n">
        <v>78277</v>
      </c>
      <c r="N94" s="5" t="n">
        <v>79871</v>
      </c>
      <c r="O94" s="5" t="n">
        <v>83221</v>
      </c>
      <c r="P94" s="5" t="n">
        <v>84677</v>
      </c>
      <c r="Q94" s="5" t="n">
        <v>87339</v>
      </c>
      <c r="R94" s="5" t="n">
        <v>90814</v>
      </c>
      <c r="S94" s="5" t="n">
        <v>94338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39791</v>
      </c>
      <c r="AF94" s="5" t="n">
        <v>52573</v>
      </c>
      <c r="AG94" s="5" t="n">
        <v>67651</v>
      </c>
      <c r="AH94" s="5" t="n">
        <v>72968</v>
      </c>
      <c r="AI94" s="5" t="n">
        <v>77297</v>
      </c>
      <c r="AJ94" s="5" t="n">
        <v>78277</v>
      </c>
      <c r="AK94" s="5" t="n">
        <v>87339</v>
      </c>
      <c r="AQ94" s="22"/>
      <c r="AT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</row>
    <row r="95" customFormat="false" ht="12.8" hidden="false" customHeight="true" outlineLevel="0" collapsed="false">
      <c r="A95" s="1" t="s">
        <v>9</v>
      </c>
      <c r="B95" s="5" t="n">
        <v>47556</v>
      </c>
      <c r="C95" s="5" t="n">
        <v>58053</v>
      </c>
      <c r="D95" s="5" t="n">
        <v>58919</v>
      </c>
      <c r="E95" s="5" t="n">
        <v>67150</v>
      </c>
      <c r="F95" s="5" t="n">
        <v>67084</v>
      </c>
      <c r="G95" s="5" t="n">
        <v>63092</v>
      </c>
      <c r="H95" s="5" t="n">
        <v>61098</v>
      </c>
      <c r="I95" s="5" t="n">
        <v>58314</v>
      </c>
      <c r="J95" s="5" t="n">
        <v>57634</v>
      </c>
      <c r="K95" s="5" t="n">
        <v>54889</v>
      </c>
      <c r="L95" s="5" t="n">
        <v>54890</v>
      </c>
      <c r="M95" s="5" t="n">
        <v>52623</v>
      </c>
      <c r="N95" s="5" t="n">
        <v>53374</v>
      </c>
      <c r="O95" s="5" t="n">
        <v>50718</v>
      </c>
      <c r="P95" s="5" t="n">
        <v>50742</v>
      </c>
      <c r="Q95" s="5" t="n">
        <v>65648</v>
      </c>
      <c r="R95" s="5" t="n">
        <v>119074</v>
      </c>
      <c r="S95" s="5" t="n">
        <v>128894</v>
      </c>
      <c r="AA95" s="5" t="n">
        <v>8227</v>
      </c>
      <c r="AB95" s="5" t="n">
        <v>7694</v>
      </c>
      <c r="AC95" s="5" t="n">
        <v>24743</v>
      </c>
      <c r="AD95" s="5" t="n">
        <v>23495</v>
      </c>
      <c r="AE95" s="5" t="n">
        <v>23414</v>
      </c>
      <c r="AF95" s="5" t="n">
        <v>31816</v>
      </c>
      <c r="AG95" s="5" t="n">
        <v>48744</v>
      </c>
      <c r="AH95" s="5" t="n">
        <v>67150</v>
      </c>
      <c r="AI95" s="5" t="n">
        <v>58314</v>
      </c>
      <c r="AJ95" s="5" t="n">
        <v>52623</v>
      </c>
      <c r="AK95" s="5" t="n">
        <v>65648</v>
      </c>
    </row>
    <row r="96" s="22" customFormat="true" ht="12.8" hidden="false" customHeight="true" outlineLevel="0" collapsed="false">
      <c r="A96" s="1" t="s">
        <v>206</v>
      </c>
      <c r="B96" s="5" t="n">
        <v>23971</v>
      </c>
      <c r="C96" s="5" t="n">
        <v>23458</v>
      </c>
      <c r="D96" s="5" t="n">
        <v>22259</v>
      </c>
      <c r="E96" s="5" t="n">
        <v>21121</v>
      </c>
      <c r="F96" s="5" t="n">
        <v>20931</v>
      </c>
      <c r="G96" s="5" t="n">
        <v>21853</v>
      </c>
      <c r="H96" s="5" t="n">
        <v>21707</v>
      </c>
      <c r="I96" s="5" t="n">
        <v>25451</v>
      </c>
      <c r="J96" s="5" t="n">
        <v>26657</v>
      </c>
      <c r="K96" s="5" t="n">
        <v>27226</v>
      </c>
      <c r="L96" s="5" t="n">
        <v>29306</v>
      </c>
      <c r="M96" s="5" t="n">
        <v>28593</v>
      </c>
      <c r="N96" s="5" t="n">
        <v>27973</v>
      </c>
      <c r="O96" s="5" t="n">
        <v>27535</v>
      </c>
      <c r="P96" s="5" t="n">
        <v>27675</v>
      </c>
      <c r="Q96" s="5" t="n">
        <v>35985</v>
      </c>
      <c r="R96" s="5" t="n">
        <v>48072</v>
      </c>
      <c r="S96" s="5" t="n">
        <v>79563</v>
      </c>
      <c r="T96" s="5"/>
      <c r="U96" s="5"/>
      <c r="V96" s="5"/>
      <c r="W96" s="5"/>
      <c r="X96" s="5"/>
      <c r="Y96" s="5"/>
      <c r="Z96" s="5"/>
      <c r="AA96" s="5" t="n">
        <v>9249</v>
      </c>
      <c r="AB96" s="5" t="n">
        <v>12607</v>
      </c>
      <c r="AC96" s="5" t="n">
        <v>20975</v>
      </c>
      <c r="AD96" s="5" t="n">
        <v>27213</v>
      </c>
      <c r="AE96" s="5" t="n">
        <v>12171</v>
      </c>
      <c r="AF96" s="5" t="n">
        <v>17017</v>
      </c>
      <c r="AG96" s="5" t="n">
        <v>23643</v>
      </c>
      <c r="AH96" s="5" t="n">
        <v>21121</v>
      </c>
      <c r="AI96" s="5" t="n">
        <v>25451</v>
      </c>
      <c r="AJ96" s="5" t="n">
        <v>28593</v>
      </c>
      <c r="AK96" s="5" t="n">
        <v>35985</v>
      </c>
      <c r="AL96" s="5"/>
      <c r="AM96" s="5"/>
      <c r="AN96" s="5"/>
      <c r="AO96" s="5"/>
      <c r="AP96" s="5"/>
      <c r="AR96" s="5"/>
      <c r="AS96" s="5"/>
      <c r="AU96" s="5"/>
      <c r="AV96" s="5"/>
      <c r="DP96" s="20"/>
      <c r="DQ96" s="20"/>
      <c r="DR96" s="20"/>
      <c r="DS96" s="20"/>
      <c r="DT96" s="20"/>
    </row>
    <row r="97" customFormat="false" ht="12.8" hidden="false" customHeight="true" outlineLevel="0" collapsed="false">
      <c r="A97" s="1" t="s">
        <v>207</v>
      </c>
      <c r="B97" s="5" t="n">
        <f aca="false">+SUM(B89:B96)-B93-B91</f>
        <v>276766</v>
      </c>
      <c r="C97" s="5" t="n">
        <f aca="false">+SUM(C89:C96)-C93-C91</f>
        <v>288326</v>
      </c>
      <c r="D97" s="5" t="n">
        <f aca="false">+SUM(D89:D96)-D93-D91</f>
        <v>290873</v>
      </c>
      <c r="E97" s="5" t="n">
        <f aca="false">+SUM(E89:E96)-E93-E91</f>
        <v>316632</v>
      </c>
      <c r="F97" s="5" t="n">
        <f aca="false">+SUM(F89:F96)-F93-F91</f>
        <v>309852</v>
      </c>
      <c r="G97" s="5" t="n">
        <f aca="false">+SUM(G89:G96)-G93-G91</f>
        <v>309005</v>
      </c>
      <c r="H97" s="5" t="n">
        <f aca="false">+SUM(H89:H96)-H93-H91</f>
        <v>303910</v>
      </c>
      <c r="I97" s="5" t="n">
        <f aca="false">+SUM(I89:I96)-I93-I91</f>
        <v>325979</v>
      </c>
      <c r="J97" s="5" t="n">
        <f aca="false">+SUM(J89:J96)-J93-J91</f>
        <v>314308</v>
      </c>
      <c r="K97" s="5" t="n">
        <f aca="false">+SUM(K89:K96)-K93-K91</f>
        <v>318371</v>
      </c>
      <c r="L97" s="5" t="n">
        <f aca="false">+SUM(L89:L96)-L93-L91</f>
        <v>325475</v>
      </c>
      <c r="M97" s="5" t="n">
        <f aca="false">+SUM(M89:M96)-M93-M91</f>
        <v>338924</v>
      </c>
      <c r="N97" s="5" t="n">
        <f aca="false">+SUM(N89:N96)-N93-N91</f>
        <v>337389</v>
      </c>
      <c r="O97" s="5" t="n">
        <f aca="false">+SUM(O89:O96)-O93-O91</f>
        <v>348395</v>
      </c>
      <c r="P97" s="5" t="n">
        <f aca="false">+SUM(P89:P96)-P93-P91</f>
        <v>358290</v>
      </c>
      <c r="Q97" s="5" t="n">
        <f aca="false">+SUM(Q89:Q96)-Q93-Q91</f>
        <v>406977</v>
      </c>
      <c r="R97" s="5" t="n">
        <f aca="false">+SUM(R89:R96)-R93-R91</f>
        <v>474716</v>
      </c>
      <c r="S97" s="5" t="n">
        <f aca="false">+SUM(S89:S96)-S93-S91</f>
        <v>544069</v>
      </c>
      <c r="T97" s="5" t="n">
        <f aca="false">+SUM(T89:T96)-T93-T91</f>
        <v>0</v>
      </c>
      <c r="U97" s="5" t="n">
        <f aca="false">+SUM(U89:U96)-U93-U91</f>
        <v>0</v>
      </c>
      <c r="AA97" s="5" t="n">
        <f aca="false">+SUM(AA89:AA96)-AA93-AA91</f>
        <v>51363</v>
      </c>
      <c r="AB97" s="5" t="n">
        <f aca="false">+SUM(AB89:AB96)-AB93-AB91</f>
        <v>64117</v>
      </c>
      <c r="AC97" s="5" t="n">
        <f aca="false">+SUM(AC89:AC96)-AC93-AC91</f>
        <v>103601</v>
      </c>
      <c r="AD97" s="5" t="n">
        <f aca="false">+SUM(AD89:AD96)-AD93-AD91</f>
        <v>119099</v>
      </c>
      <c r="AE97" s="5" t="n">
        <f aca="false">+SUM(AE89:AE96)-AE93-AE91</f>
        <v>163188</v>
      </c>
      <c r="AF97" s="5" t="n">
        <f aca="false">+SUM(AF89:AF96)-AF93-AF91</f>
        <v>227791</v>
      </c>
      <c r="AG97" s="5" t="n">
        <f aca="false">+SUM(AG89:AG96)-AG93-AG91</f>
        <v>282304</v>
      </c>
      <c r="AH97" s="5" t="n">
        <f aca="false">+SUM(AH89:AH96)-AH93-AH91</f>
        <v>316632</v>
      </c>
      <c r="AI97" s="5" t="n">
        <f aca="false">+SUM(AI89:AI96)-AI93-AI91</f>
        <v>325979</v>
      </c>
      <c r="AJ97" s="5" t="n">
        <f aca="false">+SUM(AJ89:AJ96)-AJ93-AJ91</f>
        <v>338924</v>
      </c>
      <c r="AK97" s="5" t="n">
        <f aca="false">+SUM(AK89:AK96)-AK93-AK91</f>
        <v>406977</v>
      </c>
    </row>
    <row r="98" customFormat="false" ht="12.8" hidden="false" customHeight="true" outlineLevel="0" collapsed="false">
      <c r="A98" s="1" t="s">
        <v>208</v>
      </c>
      <c r="B98" s="5" t="n">
        <v>0</v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AA98" s="5" t="n">
        <v>0</v>
      </c>
      <c r="AB98" s="5" t="n">
        <v>0</v>
      </c>
      <c r="AC98" s="5" t="n">
        <v>0</v>
      </c>
      <c r="AD98" s="5" t="n">
        <v>0</v>
      </c>
      <c r="AE98" s="5" t="n">
        <v>0</v>
      </c>
      <c r="AF98" s="5" t="n">
        <v>0</v>
      </c>
      <c r="AG98" s="5" t="n">
        <v>0</v>
      </c>
      <c r="AH98" s="5" t="n">
        <v>0</v>
      </c>
      <c r="AI98" s="5" t="n">
        <v>0</v>
      </c>
      <c r="AJ98" s="5" t="n">
        <v>0</v>
      </c>
      <c r="AK98" s="5" t="n">
        <v>0</v>
      </c>
    </row>
    <row r="99" customFormat="false" ht="12.8" hidden="false" customHeight="false" outlineLevel="0" collapsed="false">
      <c r="A99" s="1" t="s">
        <v>209</v>
      </c>
      <c r="B99" s="5" t="n">
        <v>5</v>
      </c>
      <c r="C99" s="5" t="n">
        <v>107</v>
      </c>
      <c r="D99" s="5" t="n">
        <v>107</v>
      </c>
      <c r="E99" s="5" t="n">
        <v>108</v>
      </c>
      <c r="F99" s="5" t="n">
        <v>108</v>
      </c>
      <c r="G99" s="5" t="n">
        <v>108</v>
      </c>
      <c r="H99" s="5" t="n">
        <v>108</v>
      </c>
      <c r="I99" s="5" t="n">
        <v>109</v>
      </c>
      <c r="J99" s="5" t="n">
        <v>109</v>
      </c>
      <c r="K99" s="5" t="n">
        <v>110</v>
      </c>
      <c r="L99" s="5" t="n">
        <v>110</v>
      </c>
      <c r="M99" s="5" t="n">
        <v>111</v>
      </c>
      <c r="N99" s="5" t="n">
        <v>111</v>
      </c>
      <c r="O99" s="5" t="n">
        <v>112</v>
      </c>
      <c r="P99" s="5" t="n">
        <v>112</v>
      </c>
      <c r="Q99" s="5" t="n">
        <v>112</v>
      </c>
      <c r="R99" s="5" t="n">
        <v>113</v>
      </c>
      <c r="S99" s="5" t="n">
        <v>113</v>
      </c>
      <c r="AA99" s="5" t="n">
        <v>5</v>
      </c>
      <c r="AB99" s="5" t="n">
        <v>5</v>
      </c>
      <c r="AC99" s="5" t="n">
        <v>5</v>
      </c>
      <c r="AD99" s="5" t="n">
        <v>5</v>
      </c>
      <c r="AE99" s="5" t="n">
        <v>5</v>
      </c>
      <c r="AF99" s="5" t="n">
        <v>5</v>
      </c>
      <c r="AG99" s="5" t="n">
        <v>106</v>
      </c>
      <c r="AH99" s="5" t="n">
        <v>108</v>
      </c>
      <c r="AI99" s="5" t="n">
        <v>109</v>
      </c>
      <c r="AJ99" s="5" t="n">
        <v>111</v>
      </c>
      <c r="AK99" s="5" t="n">
        <v>112</v>
      </c>
    </row>
    <row r="100" customFormat="false" ht="12.8" hidden="false" customHeight="false" outlineLevel="0" collapsed="false">
      <c r="A100" s="1" t="s">
        <v>210</v>
      </c>
      <c r="B100" s="5" t="n">
        <v>-4503</v>
      </c>
      <c r="C100" s="5" t="n">
        <v>-7837</v>
      </c>
      <c r="D100" s="5" t="n">
        <v>-7837</v>
      </c>
      <c r="E100" s="5" t="n">
        <v>-7837</v>
      </c>
      <c r="F100" s="5" t="n">
        <v>-7837</v>
      </c>
      <c r="G100" s="5" t="n">
        <v>-7837</v>
      </c>
      <c r="H100" s="5" t="n">
        <v>-7873</v>
      </c>
      <c r="I100" s="5" t="n">
        <v>-7837</v>
      </c>
      <c r="J100" s="5" t="n">
        <v>-7837</v>
      </c>
      <c r="K100" s="5" t="n">
        <v>-7837</v>
      </c>
      <c r="L100" s="5" t="n">
        <v>-7837</v>
      </c>
      <c r="M100" s="5" t="n">
        <v>-7837</v>
      </c>
      <c r="N100" s="5" t="n">
        <v>-7837</v>
      </c>
      <c r="O100" s="5" t="n">
        <v>-7837</v>
      </c>
      <c r="P100" s="5" t="n">
        <v>-7837</v>
      </c>
      <c r="Q100" s="5" t="n">
        <v>-7837</v>
      </c>
      <c r="R100" s="5" t="n">
        <v>-7837</v>
      </c>
      <c r="S100" s="5" t="n">
        <v>-7837</v>
      </c>
      <c r="AA100" s="5" t="n">
        <v>-1837</v>
      </c>
      <c r="AB100" s="5" t="n">
        <v>-1837</v>
      </c>
      <c r="AC100" s="5" t="n">
        <v>-1837</v>
      </c>
      <c r="AD100" s="5" t="n">
        <v>-1837</v>
      </c>
      <c r="AE100" s="5" t="n">
        <v>-1837</v>
      </c>
      <c r="AF100" s="5" t="n">
        <v>-1837</v>
      </c>
      <c r="AG100" s="5" t="n">
        <v>-1837</v>
      </c>
      <c r="AH100" s="5" t="n">
        <v>-7837</v>
      </c>
      <c r="AI100" s="5" t="n">
        <v>-7837</v>
      </c>
      <c r="AJ100" s="5" t="n">
        <v>-7837</v>
      </c>
      <c r="AK100" s="5" t="n">
        <v>-7837</v>
      </c>
    </row>
    <row r="101" customFormat="false" ht="12.8" hidden="false" customHeight="false" outlineLevel="0" collapsed="false">
      <c r="A101" s="1" t="s">
        <v>211</v>
      </c>
      <c r="B101" s="5" t="n">
        <v>58793</v>
      </c>
      <c r="C101" s="5" t="n">
        <v>63871</v>
      </c>
      <c r="D101" s="5" t="n">
        <v>69419</v>
      </c>
      <c r="E101" s="5" t="n">
        <v>75066</v>
      </c>
      <c r="F101" s="5" t="n">
        <v>79863</v>
      </c>
      <c r="G101" s="5" t="n">
        <v>86896</v>
      </c>
      <c r="H101" s="5" t="n">
        <v>92711</v>
      </c>
      <c r="I101" s="5" t="n">
        <v>99025</v>
      </c>
      <c r="J101" s="5" t="n">
        <v>103938</v>
      </c>
      <c r="K101" s="5" t="n">
        <v>110633</v>
      </c>
      <c r="L101" s="5" t="n">
        <v>115934</v>
      </c>
      <c r="M101" s="5" t="n">
        <v>120864</v>
      </c>
      <c r="N101" s="5" t="n">
        <v>124514</v>
      </c>
      <c r="O101" s="5" t="n">
        <v>130923</v>
      </c>
      <c r="P101" s="5" t="n">
        <v>135679</v>
      </c>
      <c r="Q101" s="5" t="n">
        <v>140024</v>
      </c>
      <c r="R101" s="5" t="n">
        <v>143979</v>
      </c>
      <c r="S101" s="5" t="n">
        <v>149619</v>
      </c>
      <c r="AA101" s="5" t="n">
        <v>13394</v>
      </c>
      <c r="AB101" s="5" t="n">
        <v>17186</v>
      </c>
      <c r="AC101" s="5" t="n">
        <v>21389</v>
      </c>
      <c r="AD101" s="5" t="n">
        <v>26791</v>
      </c>
      <c r="AE101" s="5" t="n">
        <v>33658</v>
      </c>
      <c r="AF101" s="5" t="n">
        <v>42865</v>
      </c>
      <c r="AG101" s="5" t="n">
        <v>55437</v>
      </c>
      <c r="AH101" s="5" t="n">
        <v>75066</v>
      </c>
      <c r="AI101" s="5" t="n">
        <v>99025</v>
      </c>
      <c r="AJ101" s="5" t="n">
        <v>120864</v>
      </c>
      <c r="AK101" s="5" t="n">
        <v>140024</v>
      </c>
    </row>
    <row r="102" customFormat="false" ht="12.8" hidden="false" customHeight="false" outlineLevel="0" collapsed="false">
      <c r="A102" s="1" t="s">
        <v>212</v>
      </c>
      <c r="B102" s="5" t="n">
        <v>-2365</v>
      </c>
      <c r="C102" s="5" t="n">
        <v>-4782</v>
      </c>
      <c r="D102" s="5" t="n">
        <v>-7115</v>
      </c>
      <c r="E102" s="5" t="n">
        <v>-4487</v>
      </c>
      <c r="F102" s="5" t="n">
        <v>-3973</v>
      </c>
      <c r="G102" s="5" t="n">
        <v>-3680</v>
      </c>
      <c r="H102" s="5" t="n">
        <v>-5003</v>
      </c>
      <c r="I102" s="5" t="n">
        <v>-3040</v>
      </c>
      <c r="J102" s="5" t="n">
        <v>-3598</v>
      </c>
      <c r="K102" s="5" t="n">
        <v>-3993</v>
      </c>
      <c r="L102" s="5" t="n">
        <v>-1918</v>
      </c>
      <c r="M102" s="5" t="n">
        <v>-34</v>
      </c>
      <c r="N102" s="5" t="n">
        <v>-914</v>
      </c>
      <c r="O102" s="5" t="n">
        <v>2420</v>
      </c>
      <c r="P102" s="5" t="n">
        <v>12333</v>
      </c>
      <c r="Q102" s="5" t="n">
        <v>28230</v>
      </c>
      <c r="R102" s="5" t="n">
        <v>24868</v>
      </c>
      <c r="S102" s="5" t="n">
        <v>66287</v>
      </c>
      <c r="AA102" s="5" t="n">
        <v>-723</v>
      </c>
      <c r="AB102" s="5" t="n">
        <v>-985</v>
      </c>
      <c r="AC102" s="5" t="n">
        <v>-484</v>
      </c>
      <c r="AD102" s="5" t="n">
        <v>-1035</v>
      </c>
      <c r="AE102" s="5" t="n">
        <v>-986</v>
      </c>
      <c r="AF102" s="5" t="n">
        <v>-180</v>
      </c>
      <c r="AG102" s="5" t="n">
        <v>-1376</v>
      </c>
      <c r="AH102" s="5" t="n">
        <v>-4487</v>
      </c>
      <c r="AI102" s="5" t="n">
        <v>-3040</v>
      </c>
      <c r="AJ102" s="5" t="n">
        <v>-34</v>
      </c>
      <c r="AK102" s="5" t="n">
        <v>28230</v>
      </c>
    </row>
    <row r="103" customFormat="false" ht="12.8" hidden="false" customHeight="false" outlineLevel="0" collapsed="false">
      <c r="A103" s="1" t="s">
        <v>213</v>
      </c>
      <c r="B103" s="5" t="n">
        <v>82071</v>
      </c>
      <c r="C103" s="5" t="n">
        <v>80043</v>
      </c>
      <c r="D103" s="5" t="n">
        <v>82915</v>
      </c>
      <c r="E103" s="5" t="n">
        <v>83193</v>
      </c>
      <c r="F103" s="5" t="n">
        <v>86365</v>
      </c>
      <c r="G103" s="5" t="n">
        <v>93115</v>
      </c>
      <c r="H103" s="5" t="n">
        <v>102994</v>
      </c>
      <c r="I103" s="5" t="n">
        <v>113618</v>
      </c>
      <c r="J103" s="5" t="n">
        <v>124049</v>
      </c>
      <c r="K103" s="5" t="n">
        <v>137534</v>
      </c>
      <c r="L103" s="5" t="n">
        <v>152862</v>
      </c>
      <c r="M103" s="5" t="n">
        <v>172866</v>
      </c>
      <c r="N103" s="5" t="n">
        <v>189993</v>
      </c>
      <c r="O103" s="5" t="n">
        <v>208157</v>
      </c>
      <c r="P103" s="5" t="n">
        <v>229344</v>
      </c>
      <c r="Q103" s="5" t="n">
        <v>250536</v>
      </c>
      <c r="R103" s="5" t="n">
        <v>280791</v>
      </c>
      <c r="S103" s="5" t="n">
        <v>343438</v>
      </c>
      <c r="AA103" s="5" t="n">
        <v>2545</v>
      </c>
      <c r="AB103" s="5" t="n">
        <v>4916</v>
      </c>
      <c r="AC103" s="5" t="n">
        <v>8636</v>
      </c>
      <c r="AD103" s="5" t="n">
        <v>19625</v>
      </c>
      <c r="AE103" s="5" t="n">
        <v>31220</v>
      </c>
      <c r="AF103" s="5" t="n">
        <v>52551</v>
      </c>
      <c r="AG103" s="5" t="n">
        <v>85915</v>
      </c>
      <c r="AH103" s="5" t="n">
        <v>83193</v>
      </c>
      <c r="AI103" s="5" t="n">
        <v>113618</v>
      </c>
      <c r="AJ103" s="5" t="n">
        <v>172866</v>
      </c>
      <c r="AK103" s="5" t="n">
        <v>250536</v>
      </c>
    </row>
    <row r="104" customFormat="false" ht="12.8" hidden="false" customHeight="false" outlineLevel="0" collapsed="false">
      <c r="A104" s="1" t="s">
        <v>214</v>
      </c>
      <c r="B104" s="5" t="n">
        <f aca="false">+SUM(B98:B103)</f>
        <v>134001</v>
      </c>
      <c r="C104" s="5" t="n">
        <f aca="false">+SUM(C98:C103)</f>
        <v>131402</v>
      </c>
      <c r="D104" s="5" t="n">
        <f aca="false">+SUM(D98:D103)</f>
        <v>137489</v>
      </c>
      <c r="E104" s="5" t="n">
        <f aca="false">+SUM(E98:E103)</f>
        <v>146043</v>
      </c>
      <c r="F104" s="5" t="n">
        <f aca="false">+SUM(F98:F103)</f>
        <v>154526</v>
      </c>
      <c r="G104" s="5" t="n">
        <f aca="false">+SUM(G98:G103)</f>
        <v>168602</v>
      </c>
      <c r="H104" s="5" t="n">
        <f aca="false">+SUM(H98:H103)</f>
        <v>182937</v>
      </c>
      <c r="I104" s="5" t="n">
        <f aca="false">+SUM(I98:I103)</f>
        <v>201875</v>
      </c>
      <c r="J104" s="5" t="n">
        <f aca="false">+SUM(J98:J103)</f>
        <v>216661</v>
      </c>
      <c r="K104" s="5" t="n">
        <f aca="false">+SUM(K98:K103)</f>
        <v>236447</v>
      </c>
      <c r="L104" s="5" t="n">
        <f aca="false">+SUM(L98:L103)</f>
        <v>259151</v>
      </c>
      <c r="M104" s="5" t="n">
        <f aca="false">+SUM(M98:M103)</f>
        <v>285970</v>
      </c>
      <c r="N104" s="5" t="n">
        <f aca="false">+SUM(N98:N103)</f>
        <v>305867</v>
      </c>
      <c r="O104" s="5" t="n">
        <f aca="false">+SUM(O98:O103)</f>
        <v>333775</v>
      </c>
      <c r="P104" s="5" t="n">
        <f aca="false">+SUM(P98:P103)</f>
        <v>369631</v>
      </c>
      <c r="Q104" s="5" t="n">
        <f aca="false">+SUM(Q98:Q103)</f>
        <v>411065</v>
      </c>
      <c r="R104" s="5" t="n">
        <f aca="false">+SUM(R98:R103)</f>
        <v>441914</v>
      </c>
      <c r="S104" s="5" t="n">
        <f aca="false">+SUM(S98:S103)</f>
        <v>551620</v>
      </c>
      <c r="T104" s="5" t="n">
        <f aca="false">+SUM(T98:T103)</f>
        <v>0</v>
      </c>
      <c r="U104" s="5" t="n">
        <f aca="false">+SUM(U98:U103)</f>
        <v>0</v>
      </c>
      <c r="AA104" s="5" t="n">
        <f aca="false">+SUM(AA98:AA103)</f>
        <v>13384</v>
      </c>
      <c r="AB104" s="5" t="n">
        <f aca="false">+SUM(AB98:AB103)</f>
        <v>19285</v>
      </c>
      <c r="AC104" s="5" t="n">
        <f aca="false">+SUM(AC98:AC103)</f>
        <v>27709</v>
      </c>
      <c r="AD104" s="5" t="n">
        <f aca="false">+SUM(AD98:AD103)</f>
        <v>43549</v>
      </c>
      <c r="AE104" s="5" t="n">
        <f aca="false">+SUM(AE98:AE103)</f>
        <v>62060</v>
      </c>
      <c r="AF104" s="5" t="n">
        <f aca="false">+SUM(AF98:AF103)</f>
        <v>93404</v>
      </c>
      <c r="AG104" s="5" t="n">
        <f aca="false">+SUM(AG98:AG103)</f>
        <v>138245</v>
      </c>
      <c r="AH104" s="5" t="n">
        <f aca="false">+SUM(AH98:AH103)</f>
        <v>146043</v>
      </c>
      <c r="AI104" s="5" t="n">
        <f aca="false">+SUM(AI98:AI103)</f>
        <v>201875</v>
      </c>
      <c r="AJ104" s="5" t="n">
        <f aca="false">+SUM(AJ98:AJ103)</f>
        <v>285970</v>
      </c>
      <c r="AK104" s="5" t="n">
        <f aca="false">+SUM(AK98:AK103)</f>
        <v>411065</v>
      </c>
    </row>
    <row r="105" customFormat="false" ht="12.8" hidden="false" customHeight="false" outlineLevel="0" collapsed="false">
      <c r="A105" s="1" t="s">
        <v>215</v>
      </c>
      <c r="B105" s="5" t="n">
        <f aca="false">+B104+B97</f>
        <v>410767</v>
      </c>
      <c r="C105" s="5" t="n">
        <f aca="false">+C104+C97</f>
        <v>419728</v>
      </c>
      <c r="D105" s="5" t="n">
        <f aca="false">+D104+D97</f>
        <v>428362</v>
      </c>
      <c r="E105" s="5" t="n">
        <f aca="false">+E104+E97</f>
        <v>462675</v>
      </c>
      <c r="F105" s="5" t="n">
        <f aca="false">+F104+F97</f>
        <v>464378</v>
      </c>
      <c r="G105" s="5" t="n">
        <f aca="false">+G104+G97</f>
        <v>477607</v>
      </c>
      <c r="H105" s="5" t="n">
        <f aca="false">+H104+H97</f>
        <v>486847</v>
      </c>
      <c r="I105" s="5" t="n">
        <f aca="false">+I104+I97</f>
        <v>527854</v>
      </c>
      <c r="J105" s="5" t="n">
        <f aca="false">+J104+J97</f>
        <v>530969</v>
      </c>
      <c r="K105" s="5" t="n">
        <f aca="false">+K104+K97</f>
        <v>554818</v>
      </c>
      <c r="L105" s="5" t="n">
        <f aca="false">+L104+L97</f>
        <v>584626</v>
      </c>
      <c r="M105" s="5" t="n">
        <f aca="false">+M104+M97</f>
        <v>624894</v>
      </c>
      <c r="N105" s="5" t="n">
        <f aca="false">+N104+N97</f>
        <v>643256</v>
      </c>
      <c r="O105" s="5" t="n">
        <f aca="false">+O104+O97</f>
        <v>682170</v>
      </c>
      <c r="P105" s="5" t="n">
        <f aca="false">+P104+P97</f>
        <v>727921</v>
      </c>
      <c r="Q105" s="5" t="n">
        <f aca="false">+Q104+Q97</f>
        <v>818042</v>
      </c>
      <c r="R105" s="5" t="n">
        <f aca="false">+R104+R97</f>
        <v>916630</v>
      </c>
      <c r="S105" s="5" t="n">
        <f aca="false">+S104+S97</f>
        <v>1095689</v>
      </c>
      <c r="T105" s="5" t="n">
        <f aca="false">+T104+T97</f>
        <v>0</v>
      </c>
      <c r="U105" s="5" t="n">
        <f aca="false">+U104+U97</f>
        <v>0</v>
      </c>
      <c r="AA105" s="5" t="n">
        <f aca="false">+AA104+AA97</f>
        <v>64747</v>
      </c>
      <c r="AB105" s="5" t="n">
        <f aca="false">+AB104+AB97</f>
        <v>83402</v>
      </c>
      <c r="AC105" s="5" t="n">
        <f aca="false">+AC104+AC97</f>
        <v>131310</v>
      </c>
      <c r="AD105" s="5" t="n">
        <f aca="false">+AD104+AD97</f>
        <v>162648</v>
      </c>
      <c r="AE105" s="5" t="n">
        <f aca="false">+AE104+AE97</f>
        <v>225248</v>
      </c>
      <c r="AF105" s="5" t="n">
        <f aca="false">+AF104+AF97</f>
        <v>321195</v>
      </c>
      <c r="AG105" s="5" t="n">
        <f aca="false">+AG104+AG97</f>
        <v>420549</v>
      </c>
      <c r="AH105" s="5" t="n">
        <f aca="false">+AH104+AH97</f>
        <v>462675</v>
      </c>
      <c r="AI105" s="5" t="n">
        <f aca="false">+AI104+AI97</f>
        <v>527854</v>
      </c>
      <c r="AJ105" s="5" t="n">
        <f aca="false">+AJ104+AJ97</f>
        <v>624894</v>
      </c>
      <c r="AK105" s="5" t="n">
        <f aca="false">+AK104+AK97</f>
        <v>818042</v>
      </c>
    </row>
    <row r="108" s="27" customFormat="true" ht="12.8" hidden="false" customHeight="false" outlineLevel="0" collapsed="false">
      <c r="A108" s="1" t="s">
        <v>216</v>
      </c>
      <c r="B108" s="5" t="n">
        <f aca="false">+B47</f>
        <v>-3844</v>
      </c>
      <c r="C108" s="5" t="n">
        <f aca="false">+C47</f>
        <v>-2028</v>
      </c>
      <c r="D108" s="5" t="n">
        <f aca="false">+D47</f>
        <v>2872</v>
      </c>
      <c r="E108" s="5" t="n">
        <f aca="false">+E47</f>
        <v>278</v>
      </c>
      <c r="F108" s="5" t="n">
        <f aca="false">+F47</f>
        <v>3172</v>
      </c>
      <c r="G108" s="5" t="n">
        <f aca="false">+G47</f>
        <v>6750</v>
      </c>
      <c r="H108" s="5" t="n">
        <f aca="false">+H47</f>
        <v>9879</v>
      </c>
      <c r="I108" s="5" t="n">
        <f aca="false">+I47</f>
        <v>10624</v>
      </c>
      <c r="J108" s="5" t="n">
        <f aca="false">+J47</f>
        <v>10431</v>
      </c>
      <c r="K108" s="5" t="n">
        <f aca="false">+K47</f>
        <v>13485</v>
      </c>
      <c r="L108" s="5" t="n">
        <f aca="false">+L47</f>
        <v>15328</v>
      </c>
      <c r="M108" s="5" t="n">
        <f aca="false">+M47</f>
        <v>20004</v>
      </c>
      <c r="N108" s="5" t="n">
        <f aca="false">+N47</f>
        <v>17127</v>
      </c>
      <c r="O108" s="5" t="n">
        <f aca="false">+O47</f>
        <v>18164</v>
      </c>
      <c r="P108" s="5" t="n">
        <f aca="false">+P47</f>
        <v>21187</v>
      </c>
      <c r="Q108" s="5" t="n">
        <f aca="false">+Q47</f>
        <v>21192</v>
      </c>
      <c r="R108" s="5" t="n">
        <f aca="false">+R47</f>
        <v>30255</v>
      </c>
      <c r="S108" s="5" t="n">
        <f aca="false">+S47</f>
        <v>62647</v>
      </c>
      <c r="T108" s="5" t="n">
        <f aca="false">+T47</f>
        <v>22209.303852</v>
      </c>
      <c r="U108" s="5" t="n">
        <f aca="false">+U47</f>
        <v>29309.020721</v>
      </c>
      <c r="V108" s="5"/>
      <c r="W108" s="5"/>
      <c r="X108" s="5"/>
      <c r="Y108" s="5"/>
      <c r="Z108" s="5"/>
      <c r="AA108" s="5" t="n">
        <f aca="false">+AA47</f>
        <v>596</v>
      </c>
      <c r="AB108" s="5" t="n">
        <f aca="false">+AB47</f>
        <v>2371</v>
      </c>
      <c r="AC108" s="5" t="n">
        <f aca="false">+AC47</f>
        <v>3033</v>
      </c>
      <c r="AD108" s="5" t="n">
        <f aca="false">+AD47</f>
        <v>10073</v>
      </c>
      <c r="AE108" s="5" t="n">
        <f aca="false">+AE47</f>
        <v>11588</v>
      </c>
      <c r="AF108" s="5" t="n">
        <f aca="false">+AF47</f>
        <v>21331</v>
      </c>
      <c r="AG108" s="5" t="n">
        <f aca="false">+AG47</f>
        <v>33364</v>
      </c>
      <c r="AH108" s="5" t="n">
        <f aca="false">+AH47</f>
        <v>-2722</v>
      </c>
      <c r="AI108" s="5" t="n">
        <f aca="false">+AI47</f>
        <v>30425</v>
      </c>
      <c r="AJ108" s="5" t="n">
        <f aca="false">+AJ47</f>
        <v>59248</v>
      </c>
      <c r="AK108" s="5" t="n">
        <f aca="false">+AK47</f>
        <v>77670</v>
      </c>
      <c r="AL108" s="5" t="n">
        <f aca="false">+AL47</f>
        <v>168361.4404594</v>
      </c>
      <c r="AM108" s="5" t="n">
        <f aca="false">+AM47</f>
        <v>131810.22339596</v>
      </c>
      <c r="AN108" s="5" t="n">
        <f aca="false">+AN47</f>
        <v>173845.61270748</v>
      </c>
      <c r="AO108" s="5" t="n">
        <f aca="false">+AO47</f>
        <v>218623.101862822</v>
      </c>
      <c r="AP108" s="5" t="n">
        <f aca="false">+AP47</f>
        <v>259216.591826661</v>
      </c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20"/>
      <c r="DQ108" s="20"/>
      <c r="DR108" s="20"/>
      <c r="DS108" s="20"/>
      <c r="DT108" s="20"/>
    </row>
    <row r="109" s="28" customFormat="true" ht="12.8" hidden="false" customHeight="false" outlineLevel="0" collapsed="false">
      <c r="A109" s="1" t="s">
        <v>160</v>
      </c>
      <c r="B109" s="5" t="n">
        <v>-3844</v>
      </c>
      <c r="C109" s="5" t="n">
        <v>-2028</v>
      </c>
      <c r="D109" s="5" t="n">
        <v>2872</v>
      </c>
      <c r="E109" s="5" t="n">
        <v>278</v>
      </c>
      <c r="F109" s="5" t="n">
        <v>3172</v>
      </c>
      <c r="G109" s="5" t="n">
        <v>6750</v>
      </c>
      <c r="H109" s="5" t="n">
        <v>9879</v>
      </c>
      <c r="I109" s="5" t="n">
        <v>10624</v>
      </c>
      <c r="J109" s="5" t="n">
        <v>10431</v>
      </c>
      <c r="K109" s="5" t="n">
        <v>13038</v>
      </c>
      <c r="L109" s="5" t="n">
        <v>15328</v>
      </c>
      <c r="M109" s="5" t="n">
        <v>20004</v>
      </c>
      <c r="N109" s="5" t="n">
        <v>17127</v>
      </c>
      <c r="O109" s="5" t="n">
        <v>18164</v>
      </c>
      <c r="P109" s="5" t="n">
        <v>21187</v>
      </c>
      <c r="Q109" s="5" t="n">
        <v>21192</v>
      </c>
      <c r="R109" s="5" t="n">
        <v>30255</v>
      </c>
      <c r="S109" s="5" t="n">
        <v>62647</v>
      </c>
      <c r="T109" s="5"/>
      <c r="U109" s="5"/>
      <c r="V109" s="5"/>
      <c r="W109" s="5"/>
      <c r="X109" s="5"/>
      <c r="Y109" s="5"/>
      <c r="Z109" s="5"/>
      <c r="AA109" s="5" t="n">
        <v>596</v>
      </c>
      <c r="AB109" s="5" t="n">
        <v>2371</v>
      </c>
      <c r="AC109" s="5" t="n">
        <v>3033</v>
      </c>
      <c r="AD109" s="5" t="n">
        <v>10073</v>
      </c>
      <c r="AE109" s="5" t="n">
        <v>11588</v>
      </c>
      <c r="AF109" s="5" t="n">
        <v>21331</v>
      </c>
      <c r="AG109" s="5" t="n">
        <v>33364</v>
      </c>
      <c r="AH109" s="5" t="n">
        <v>-2722</v>
      </c>
      <c r="AI109" s="5" t="n">
        <v>30425</v>
      </c>
      <c r="AJ109" s="5" t="n">
        <v>59248</v>
      </c>
      <c r="AK109" s="5" t="n">
        <v>77670</v>
      </c>
      <c r="AL109" s="5"/>
      <c r="AM109" s="5"/>
      <c r="AN109" s="5"/>
      <c r="AO109" s="5"/>
      <c r="AP109" s="5"/>
      <c r="AQ109" s="5"/>
      <c r="AR109" s="22"/>
      <c r="AS109" s="22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20"/>
      <c r="DQ109" s="20"/>
      <c r="DR109" s="20"/>
      <c r="DS109" s="20"/>
      <c r="DT109" s="20"/>
    </row>
    <row r="110" customFormat="false" ht="12.8" hidden="false" customHeight="false" outlineLevel="0" collapsed="false">
      <c r="A110" s="1" t="s">
        <v>217</v>
      </c>
      <c r="B110" s="5" t="n">
        <v>8978</v>
      </c>
      <c r="C110" s="5" t="n">
        <v>9594</v>
      </c>
      <c r="D110" s="5" t="n">
        <v>10204</v>
      </c>
      <c r="E110" s="5" t="n">
        <v>12685</v>
      </c>
      <c r="F110" s="5" t="n">
        <v>11123</v>
      </c>
      <c r="G110" s="5" t="n">
        <v>11589</v>
      </c>
      <c r="H110" s="5" t="n">
        <v>12121</v>
      </c>
      <c r="I110" s="5" t="n">
        <v>13820</v>
      </c>
      <c r="J110" s="5" t="n">
        <v>11684</v>
      </c>
      <c r="K110" s="5" t="n">
        <v>12038</v>
      </c>
      <c r="L110" s="5" t="n">
        <v>13442</v>
      </c>
      <c r="M110" s="5" t="n">
        <v>15631</v>
      </c>
      <c r="N110" s="5" t="n">
        <v>14262</v>
      </c>
      <c r="O110" s="5" t="n">
        <v>15227</v>
      </c>
      <c r="P110" s="5" t="n">
        <v>16796</v>
      </c>
      <c r="Q110" s="5" t="n">
        <v>19471</v>
      </c>
      <c r="R110" s="5" t="n">
        <v>18945</v>
      </c>
      <c r="S110" s="5" t="n">
        <v>19988</v>
      </c>
      <c r="AA110" s="5" t="n">
        <v>6281</v>
      </c>
      <c r="AB110" s="5" t="n">
        <v>8116</v>
      </c>
      <c r="AC110" s="5" t="n">
        <v>11478</v>
      </c>
      <c r="AD110" s="5" t="n">
        <v>15341</v>
      </c>
      <c r="AE110" s="5" t="n">
        <v>21789</v>
      </c>
      <c r="AF110" s="5" t="n">
        <v>25251</v>
      </c>
      <c r="AG110" s="5" t="n">
        <v>34433</v>
      </c>
      <c r="AH110" s="5" t="n">
        <v>41921</v>
      </c>
      <c r="AI110" s="5" t="n">
        <v>48663</v>
      </c>
      <c r="AJ110" s="5" t="n">
        <v>52795</v>
      </c>
      <c r="AK110" s="5" t="n">
        <v>65756</v>
      </c>
      <c r="AL110" s="58" t="n">
        <f aca="false">+AL15*0.094</f>
        <v>78255.84318</v>
      </c>
      <c r="AM110" s="58" t="n">
        <f aca="false">+AM15*0.1</f>
        <v>95738.53155</v>
      </c>
      <c r="AN110" s="58" t="n">
        <f aca="false">+AN15*0.1</f>
        <v>109141.925967</v>
      </c>
      <c r="AO110" s="58" t="n">
        <f aca="false">+AO15*0.1</f>
        <v>123330.37634271</v>
      </c>
      <c r="AP110" s="58" t="n">
        <f aca="false">+AP15*0.13</f>
        <v>179569.027954986</v>
      </c>
      <c r="AU110" s="22"/>
      <c r="AV110" s="22"/>
    </row>
    <row r="111" s="22" customFormat="true" ht="12.8" hidden="false" customHeight="false" outlineLevel="0" collapsed="false">
      <c r="B111" s="22" t="n">
        <f aca="false">+B110/B$15</f>
        <v>0.0771014393184707</v>
      </c>
      <c r="C111" s="22" t="n">
        <f aca="false">+C110/C$15</f>
        <v>0.0791362159130277</v>
      </c>
      <c r="D111" s="22" t="n">
        <f aca="false">+D110/D$15</f>
        <v>0.0802826098929198</v>
      </c>
      <c r="E111" s="22" t="n">
        <f aca="false">+E110/E$15</f>
        <v>0.0850178279402697</v>
      </c>
      <c r="F111" s="22" t="n">
        <f aca="false">+F110/F$15</f>
        <v>0.0873364845553479</v>
      </c>
      <c r="G111" s="22" t="n">
        <f aca="false">+G110/G$15</f>
        <v>0.0862385867259996</v>
      </c>
      <c r="H111" s="22" t="n">
        <f aca="false">+H110/H$15</f>
        <v>0.0847130686384826</v>
      </c>
      <c r="I111" s="22" t="n">
        <f aca="false">+I110/I$15</f>
        <v>0.0813127717535199</v>
      </c>
      <c r="J111" s="22" t="n">
        <f aca="false">+J110/J$15</f>
        <v>0.0815278446477291</v>
      </c>
      <c r="K111" s="22" t="n">
        <f aca="false">+K110/K$15</f>
        <v>0.0813504801421843</v>
      </c>
      <c r="L111" s="22" t="n">
        <f aca="false">+L110/L$15</f>
        <v>0.0846063306834847</v>
      </c>
      <c r="M111" s="22" t="n">
        <f aca="false">+M110/M$15</f>
        <v>0.0832357075913777</v>
      </c>
      <c r="N111" s="22" t="n">
        <f aca="false">+N110/N$15</f>
        <v>0.0916186474975428</v>
      </c>
      <c r="O111" s="22" t="n">
        <f aca="false">+O110/O$15</f>
        <v>0.0907979630535116</v>
      </c>
      <c r="P111" s="22" t="n">
        <f aca="false">+P110/P$15</f>
        <v>0.0932235845234197</v>
      </c>
      <c r="Q111" s="22" t="n">
        <f aca="false">+Q110/Q$15</f>
        <v>0.0912477857029046</v>
      </c>
      <c r="R111" s="22" t="n">
        <f aca="false">+R110/R$15</f>
        <v>0.104369239583735</v>
      </c>
      <c r="S111" s="22" t="n">
        <f aca="false">+S110/S$15</f>
        <v>0.0996380965674008</v>
      </c>
      <c r="AC111" s="22" t="n">
        <f aca="false">+AC110/AC$15</f>
        <v>0.0645317261309075</v>
      </c>
      <c r="AD111" s="22" t="n">
        <f aca="false">+AD110/AD$15</f>
        <v>0.0658731487803098</v>
      </c>
      <c r="AE111" s="22" t="n">
        <f aca="false">+AE110/AE$15</f>
        <v>0.0776730523809184</v>
      </c>
      <c r="AF111" s="22" t="n">
        <f aca="false">+AF110/AF$15</f>
        <v>0.0654062538853662</v>
      </c>
      <c r="AG111" s="22" t="n">
        <f aca="false">+AG110/AG$15</f>
        <v>0.0732894585609018</v>
      </c>
      <c r="AH111" s="22" t="n">
        <f aca="false">+AH110/AH$15</f>
        <v>0.0815610633036501</v>
      </c>
      <c r="AI111" s="22" t="n">
        <f aca="false">+AI110/AI$15</f>
        <v>0.0846629609332185</v>
      </c>
      <c r="AJ111" s="22" t="n">
        <f aca="false">+AJ110/AJ$15</f>
        <v>0.0827561018811554</v>
      </c>
      <c r="AK111" s="22" t="n">
        <f aca="false">+AK110/AK$15</f>
        <v>0.0917196243953334</v>
      </c>
      <c r="AL111" s="22" t="n">
        <f aca="false">+AL110/AL$15</f>
        <v>0.094</v>
      </c>
      <c r="AM111" s="22" t="n">
        <f aca="false">+AM110/AM$15</f>
        <v>0.1</v>
      </c>
      <c r="AN111" s="22" t="n">
        <f aca="false">+AN110/AN$15</f>
        <v>0.1</v>
      </c>
      <c r="AO111" s="22" t="n">
        <f aca="false">+AO110/AO$15</f>
        <v>0.1</v>
      </c>
      <c r="AP111" s="22" t="n">
        <f aca="false">+AP110/AP$15</f>
        <v>0.13</v>
      </c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20"/>
      <c r="DQ111" s="20"/>
      <c r="DR111" s="20"/>
      <c r="DS111" s="20"/>
      <c r="DT111" s="20"/>
    </row>
    <row r="112" customFormat="false" ht="12.8" hidden="false" customHeight="false" outlineLevel="0" collapsed="false">
      <c r="A112" s="1" t="s">
        <v>218</v>
      </c>
      <c r="B112" s="5" t="n">
        <v>3250</v>
      </c>
      <c r="C112" s="5" t="n">
        <v>5209</v>
      </c>
      <c r="D112" s="5" t="n">
        <v>5556</v>
      </c>
      <c r="E112" s="5" t="n">
        <v>5606</v>
      </c>
      <c r="F112" s="5" t="n">
        <v>4748</v>
      </c>
      <c r="G112" s="5" t="n">
        <v>7127</v>
      </c>
      <c r="H112" s="5" t="n">
        <v>5829</v>
      </c>
      <c r="I112" s="5" t="n">
        <v>6319</v>
      </c>
      <c r="J112" s="5" t="n">
        <v>4961</v>
      </c>
      <c r="K112" s="5" t="n">
        <v>6722</v>
      </c>
      <c r="L112" s="5" t="n">
        <v>5333</v>
      </c>
      <c r="M112" s="5" t="n">
        <v>4995</v>
      </c>
      <c r="N112" s="5" t="n">
        <v>3689</v>
      </c>
      <c r="O112" s="5" t="n">
        <v>6534</v>
      </c>
      <c r="P112" s="5" t="n">
        <v>4847</v>
      </c>
      <c r="Q112" s="5" t="n">
        <v>4397</v>
      </c>
      <c r="R112" s="5" t="n">
        <v>4032</v>
      </c>
      <c r="S112" s="5" t="n">
        <v>6038</v>
      </c>
      <c r="AA112" s="5" t="n">
        <v>2119</v>
      </c>
      <c r="AB112" s="5" t="n">
        <v>2975</v>
      </c>
      <c r="AC112" s="5" t="n">
        <v>4215</v>
      </c>
      <c r="AD112" s="5" t="n">
        <v>5418</v>
      </c>
      <c r="AE112" s="5" t="n">
        <v>6864</v>
      </c>
      <c r="AF112" s="5" t="n">
        <v>9208</v>
      </c>
      <c r="AG112" s="5" t="n">
        <v>12757</v>
      </c>
      <c r="AH112" s="5" t="n">
        <v>19621</v>
      </c>
      <c r="AI112" s="5" t="n">
        <v>24023</v>
      </c>
      <c r="AJ112" s="5" t="n">
        <v>22011</v>
      </c>
      <c r="AK112" s="5" t="n">
        <v>19467</v>
      </c>
    </row>
    <row r="113" customFormat="false" ht="12.8" hidden="false" customHeight="true" outlineLevel="0" collapsed="false">
      <c r="A113" s="1" t="s">
        <v>219</v>
      </c>
      <c r="B113" s="5" t="n">
        <f aca="false">+8689+215</f>
        <v>8904</v>
      </c>
      <c r="C113" s="5" t="n">
        <f aca="false">+122+6104</f>
        <v>6226</v>
      </c>
      <c r="D113" s="5" t="n">
        <f aca="false">-1272+123</f>
        <v>-1149</v>
      </c>
      <c r="E113" s="5" t="n">
        <v>3445</v>
      </c>
      <c r="F113" s="5" t="n">
        <v>534</v>
      </c>
      <c r="G113" s="5" t="n">
        <v>47</v>
      </c>
      <c r="H113" s="5" t="n">
        <v>-990</v>
      </c>
      <c r="I113" s="5" t="n">
        <v>-339</v>
      </c>
      <c r="J113" s="5" t="n">
        <v>2734</v>
      </c>
      <c r="K113" s="5" t="n">
        <v>-95</v>
      </c>
      <c r="L113" s="5" t="n">
        <v>-141</v>
      </c>
      <c r="M113" s="5" t="n">
        <v>-486</v>
      </c>
      <c r="N113" s="5" t="n">
        <v>-2817</v>
      </c>
      <c r="O113" s="5" t="n">
        <v>-1258</v>
      </c>
      <c r="P113" s="5" t="n">
        <v>-10112</v>
      </c>
      <c r="Q113" s="5" t="n">
        <v>-693</v>
      </c>
      <c r="R113" s="5" t="n">
        <v>-15632</v>
      </c>
      <c r="S113" s="5" t="n">
        <v>-53381</v>
      </c>
      <c r="AA113" s="5" t="n">
        <f aca="false">+155+250-119</f>
        <v>286</v>
      </c>
      <c r="AB113" s="5" t="n">
        <f aca="false">+160-20-829</f>
        <v>-689</v>
      </c>
      <c r="AC113" s="5" t="n">
        <f aca="false">+202-292</f>
        <v>-90</v>
      </c>
      <c r="AD113" s="5" t="n">
        <f aca="false">+274+219</f>
        <v>493</v>
      </c>
      <c r="AE113" s="5" t="n">
        <f aca="false">+164-249</f>
        <v>-85</v>
      </c>
      <c r="AF113" s="5" t="n">
        <f aca="false">-71-2582</f>
        <v>-2653</v>
      </c>
      <c r="AG113" s="5" t="n">
        <v>-14306</v>
      </c>
      <c r="AH113" s="5" t="n">
        <v>16966</v>
      </c>
      <c r="AI113" s="5" t="n">
        <v>-748</v>
      </c>
      <c r="AJ113" s="5" t="n">
        <v>2012</v>
      </c>
      <c r="AK113" s="5" t="n">
        <v>-14880</v>
      </c>
      <c r="DP113" s="1"/>
      <c r="DQ113" s="1"/>
      <c r="DR113" s="1"/>
      <c r="DS113" s="1"/>
      <c r="DT113" s="1"/>
    </row>
    <row r="114" customFormat="false" ht="12.8" hidden="false" customHeight="true" outlineLevel="0" collapsed="false">
      <c r="A114" s="1" t="s">
        <v>220</v>
      </c>
      <c r="B114" s="5" t="n">
        <v>-2001</v>
      </c>
      <c r="C114" s="5" t="n">
        <v>-1955</v>
      </c>
      <c r="D114" s="5" t="n">
        <v>-825</v>
      </c>
      <c r="E114" s="5" t="n">
        <v>-3367</v>
      </c>
      <c r="F114" s="5" t="n">
        <v>-472</v>
      </c>
      <c r="G114" s="5" t="n">
        <v>-2733</v>
      </c>
      <c r="H114" s="5" t="n">
        <v>-1196</v>
      </c>
      <c r="I114" s="5" t="n">
        <v>-1464</v>
      </c>
      <c r="J114" s="5" t="n">
        <v>-938</v>
      </c>
      <c r="K114" s="5" t="n">
        <v>-785</v>
      </c>
      <c r="L114" s="5" t="n">
        <v>-1317</v>
      </c>
      <c r="M114" s="5" t="n">
        <v>-1608</v>
      </c>
      <c r="N114" s="5" t="n">
        <v>507</v>
      </c>
      <c r="O114" s="5" t="n">
        <v>11</v>
      </c>
      <c r="P114" s="5" t="n">
        <v>10130</v>
      </c>
      <c r="Q114" s="5" t="n">
        <v>822</v>
      </c>
      <c r="R114" s="5" t="n">
        <v>12798</v>
      </c>
      <c r="S114" s="5" t="n">
        <v>17691</v>
      </c>
      <c r="AA114" s="5" t="n">
        <v>81</v>
      </c>
      <c r="AB114" s="5" t="n">
        <v>-246</v>
      </c>
      <c r="AC114" s="5" t="n">
        <v>-29</v>
      </c>
      <c r="AD114" s="5" t="n">
        <v>441</v>
      </c>
      <c r="AE114" s="5" t="n">
        <v>796</v>
      </c>
      <c r="AF114" s="5" t="n">
        <v>-554</v>
      </c>
      <c r="AG114" s="5" t="n">
        <v>-310</v>
      </c>
      <c r="AH114" s="5" t="n">
        <v>-8148</v>
      </c>
      <c r="AI114" s="5" t="n">
        <v>-5876</v>
      </c>
      <c r="AJ114" s="5" t="n">
        <v>-4648</v>
      </c>
      <c r="AK114" s="5" t="n">
        <v>11470</v>
      </c>
      <c r="AQ114" s="59"/>
      <c r="AT114" s="59"/>
      <c r="AW114" s="59"/>
      <c r="AX114" s="59"/>
      <c r="AY114" s="59"/>
      <c r="AZ114" s="59"/>
      <c r="BA114" s="59"/>
      <c r="BB114" s="59"/>
      <c r="BC114" s="59"/>
      <c r="BD114" s="59"/>
      <c r="BE114" s="59"/>
      <c r="BF114" s="59"/>
      <c r="BG114" s="59"/>
      <c r="BH114" s="59"/>
      <c r="BI114" s="59"/>
      <c r="BJ114" s="59"/>
      <c r="BK114" s="59"/>
      <c r="BL114" s="59"/>
      <c r="BM114" s="59"/>
      <c r="BN114" s="59"/>
      <c r="BO114" s="59"/>
      <c r="BP114" s="59"/>
      <c r="BQ114" s="59"/>
      <c r="BR114" s="59"/>
      <c r="BS114" s="59"/>
      <c r="BT114" s="59"/>
      <c r="BU114" s="59"/>
      <c r="BV114" s="59"/>
      <c r="BW114" s="59"/>
      <c r="BX114" s="59"/>
      <c r="BY114" s="59"/>
      <c r="BZ114" s="59"/>
      <c r="CA114" s="59"/>
      <c r="CB114" s="59"/>
      <c r="CC114" s="59"/>
      <c r="CD114" s="59"/>
      <c r="CE114" s="59"/>
      <c r="CF114" s="59"/>
      <c r="CG114" s="59"/>
      <c r="CH114" s="59"/>
      <c r="CI114" s="59"/>
      <c r="CJ114" s="59"/>
      <c r="CK114" s="59"/>
      <c r="CL114" s="59"/>
      <c r="CM114" s="59"/>
      <c r="CN114" s="59"/>
      <c r="CO114" s="59"/>
      <c r="CP114" s="59"/>
      <c r="CQ114" s="59"/>
      <c r="CR114" s="59"/>
      <c r="CS114" s="59"/>
      <c r="CT114" s="59"/>
      <c r="CU114" s="59"/>
      <c r="CV114" s="59"/>
      <c r="CW114" s="59"/>
      <c r="CX114" s="59"/>
      <c r="CY114" s="59"/>
      <c r="CZ114" s="59"/>
      <c r="DA114" s="59"/>
      <c r="DB114" s="59"/>
      <c r="DC114" s="59"/>
      <c r="DD114" s="59"/>
      <c r="DE114" s="59"/>
      <c r="DF114" s="59"/>
      <c r="DG114" s="59"/>
      <c r="DH114" s="59"/>
      <c r="DI114" s="59"/>
      <c r="DJ114" s="59"/>
      <c r="DK114" s="59"/>
      <c r="DL114" s="59"/>
      <c r="DM114" s="59"/>
      <c r="DN114" s="59"/>
      <c r="DO114" s="59"/>
      <c r="DP114" s="1"/>
      <c r="DQ114" s="1"/>
      <c r="DR114" s="1"/>
      <c r="DS114" s="1"/>
      <c r="DT114" s="1"/>
    </row>
    <row r="115" customFormat="false" ht="12.8" hidden="false" customHeight="false" outlineLevel="0" collapsed="false">
      <c r="A115" s="1" t="s">
        <v>193</v>
      </c>
      <c r="B115" s="5" t="n">
        <v>-2614</v>
      </c>
      <c r="C115" s="5" t="n">
        <v>-3890</v>
      </c>
      <c r="D115" s="5" t="n">
        <v>732</v>
      </c>
      <c r="E115" s="5" t="n">
        <v>3180</v>
      </c>
      <c r="F115" s="5" t="n">
        <v>371</v>
      </c>
      <c r="G115" s="5" t="n">
        <v>-2373</v>
      </c>
      <c r="H115" s="5" t="n">
        <v>808</v>
      </c>
      <c r="I115" s="5" t="n">
        <v>2643</v>
      </c>
      <c r="J115" s="5" t="n">
        <v>1776</v>
      </c>
      <c r="K115" s="5" t="n">
        <v>-3085</v>
      </c>
      <c r="L115" s="5" t="n">
        <v>-1509</v>
      </c>
      <c r="M115" s="5" t="n">
        <v>934</v>
      </c>
      <c r="N115" s="5" t="n">
        <v>-1222</v>
      </c>
      <c r="O115" s="5" t="n">
        <v>-4054</v>
      </c>
      <c r="P115" s="5" t="n">
        <v>-827</v>
      </c>
      <c r="Q115" s="5" t="n">
        <v>3101</v>
      </c>
      <c r="R115" s="5" t="n">
        <v>1622</v>
      </c>
      <c r="S115" s="5" t="n">
        <v>-1818</v>
      </c>
      <c r="AA115" s="5" t="n">
        <v>-2187</v>
      </c>
      <c r="AB115" s="5" t="n">
        <v>-1426</v>
      </c>
      <c r="AC115" s="5" t="n">
        <v>-3583</v>
      </c>
      <c r="AD115" s="5" t="n">
        <v>-1314</v>
      </c>
      <c r="AE115" s="5" t="n">
        <v>-3278</v>
      </c>
      <c r="AF115" s="5" t="n">
        <v>-2849</v>
      </c>
      <c r="AG115" s="5" t="n">
        <v>-9487</v>
      </c>
      <c r="AH115" s="5" t="n">
        <v>-2592</v>
      </c>
      <c r="AI115" s="5" t="n">
        <v>1449</v>
      </c>
      <c r="AJ115" s="5" t="n">
        <v>-1884</v>
      </c>
      <c r="AK115" s="5" t="n">
        <v>-3002</v>
      </c>
    </row>
    <row r="116" customFormat="false" ht="12.8" hidden="false" customHeight="false" outlineLevel="0" collapsed="false">
      <c r="A116" s="1" t="s">
        <v>194</v>
      </c>
      <c r="B116" s="5" t="n">
        <v>-1516</v>
      </c>
      <c r="C116" s="5" t="n">
        <v>-6799</v>
      </c>
      <c r="D116" s="5" t="n">
        <v>-4794</v>
      </c>
      <c r="E116" s="5" t="n">
        <v>-8788</v>
      </c>
      <c r="F116" s="5" t="n">
        <v>4724</v>
      </c>
      <c r="G116" s="5" t="n">
        <v>-2041</v>
      </c>
      <c r="H116" s="5" t="n">
        <v>-3584</v>
      </c>
      <c r="I116" s="5" t="n">
        <v>-7447</v>
      </c>
      <c r="J116" s="5" t="n">
        <v>3684</v>
      </c>
      <c r="K116" s="5" t="n">
        <v>-2209</v>
      </c>
      <c r="L116" s="5" t="n">
        <v>-701</v>
      </c>
      <c r="M116" s="5" t="n">
        <v>-4023</v>
      </c>
      <c r="N116" s="5" t="n">
        <v>1247</v>
      </c>
      <c r="O116" s="5" t="n">
        <v>-1125</v>
      </c>
      <c r="P116" s="5" t="n">
        <v>-1977</v>
      </c>
      <c r="Q116" s="5" t="n">
        <v>-5478</v>
      </c>
      <c r="R116" s="5" t="n">
        <v>-5750</v>
      </c>
      <c r="S116" s="5" t="n">
        <v>-8204</v>
      </c>
      <c r="AA116" s="5" t="n">
        <v>-1755</v>
      </c>
      <c r="AB116" s="5" t="n">
        <v>-3367</v>
      </c>
      <c r="AC116" s="5" t="n">
        <v>-4780</v>
      </c>
      <c r="AD116" s="5" t="n">
        <v>-4615</v>
      </c>
      <c r="AE116" s="5" t="n">
        <v>-7681</v>
      </c>
      <c r="AF116" s="5" t="n">
        <v>-8169</v>
      </c>
      <c r="AG116" s="5" t="n">
        <v>-18163</v>
      </c>
      <c r="AH116" s="5" t="n">
        <v>-8622</v>
      </c>
      <c r="AI116" s="5" t="n">
        <v>-8348</v>
      </c>
      <c r="AJ116" s="5" t="n">
        <v>-3249</v>
      </c>
      <c r="AK116" s="5" t="n">
        <v>-7333</v>
      </c>
    </row>
    <row r="117" customFormat="false" ht="12.8" hidden="false" customHeight="false" outlineLevel="0" collapsed="false">
      <c r="A117" s="1" t="s">
        <v>200</v>
      </c>
      <c r="B117" s="5" t="n">
        <v>0</v>
      </c>
      <c r="C117" s="5" t="n">
        <v>0</v>
      </c>
      <c r="D117" s="5" t="n">
        <v>0</v>
      </c>
      <c r="E117" s="5" t="n">
        <v>0</v>
      </c>
      <c r="F117" s="5" t="n">
        <v>-3203</v>
      </c>
      <c r="G117" s="5" t="n">
        <v>-3126</v>
      </c>
      <c r="H117" s="5" t="n">
        <v>-3134</v>
      </c>
      <c r="I117" s="5" t="n">
        <v>-2802</v>
      </c>
      <c r="J117" s="5" t="n">
        <v>-2701</v>
      </c>
      <c r="K117" s="5" t="n">
        <v>-3055</v>
      </c>
      <c r="L117" s="5" t="n">
        <v>-4537</v>
      </c>
      <c r="M117" s="5" t="n">
        <v>-4190</v>
      </c>
      <c r="N117" s="5" t="n">
        <v>-3402</v>
      </c>
      <c r="O117" s="5" t="n">
        <v>-2971</v>
      </c>
      <c r="P117" s="5" t="n">
        <v>-4039</v>
      </c>
      <c r="Q117" s="5" t="n">
        <v>-5220</v>
      </c>
      <c r="R117" s="5" t="n">
        <v>-3811</v>
      </c>
      <c r="S117" s="5" t="n">
        <v>-4717</v>
      </c>
      <c r="AA117" s="5" t="n">
        <v>0</v>
      </c>
      <c r="AB117" s="5" t="n">
        <v>0</v>
      </c>
      <c r="AC117" s="5" t="n">
        <v>0</v>
      </c>
      <c r="AD117" s="5" t="n">
        <v>0</v>
      </c>
      <c r="AE117" s="5" t="n">
        <v>0</v>
      </c>
      <c r="AF117" s="5" t="n">
        <v>0</v>
      </c>
      <c r="AG117" s="5" t="n">
        <v>0</v>
      </c>
      <c r="AH117" s="5" t="n">
        <v>-13275</v>
      </c>
      <c r="AI117" s="5" t="n">
        <v>-12265</v>
      </c>
      <c r="AJ117" s="5" t="n">
        <v>-14483</v>
      </c>
      <c r="AK117" s="5" t="n">
        <v>-15632</v>
      </c>
    </row>
    <row r="118" customFormat="false" ht="12.8" hidden="false" customHeight="false" outlineLevel="0" collapsed="false">
      <c r="A118" s="1" t="s">
        <v>202</v>
      </c>
      <c r="B118" s="5" t="n">
        <v>-9380</v>
      </c>
      <c r="C118" s="5" t="n">
        <v>3699</v>
      </c>
      <c r="D118" s="5" t="n">
        <v>-1226</v>
      </c>
      <c r="E118" s="5" t="n">
        <v>9852</v>
      </c>
      <c r="F118" s="5" t="n">
        <v>-11264</v>
      </c>
      <c r="G118" s="5" t="n">
        <v>3029</v>
      </c>
      <c r="H118" s="5" t="n">
        <v>2820</v>
      </c>
      <c r="I118" s="5" t="n">
        <v>10888</v>
      </c>
      <c r="J118" s="5" t="n">
        <v>-11282</v>
      </c>
      <c r="K118" s="5" t="n">
        <v>6005</v>
      </c>
      <c r="L118" s="5" t="n">
        <v>-477</v>
      </c>
      <c r="M118" s="5" t="n">
        <v>8726</v>
      </c>
      <c r="N118" s="5" t="n">
        <v>-9043</v>
      </c>
      <c r="O118" s="5" t="n">
        <v>7058</v>
      </c>
      <c r="P118" s="5" t="n">
        <v>2115</v>
      </c>
      <c r="Q118" s="5" t="n">
        <v>11065</v>
      </c>
      <c r="R118" s="5" t="n">
        <v>-8737</v>
      </c>
      <c r="S118" s="5" t="n">
        <v>9442</v>
      </c>
      <c r="AA118" s="5" t="n">
        <v>4294</v>
      </c>
      <c r="AB118" s="5" t="n">
        <v>5030</v>
      </c>
      <c r="AC118" s="5" t="n">
        <v>7100</v>
      </c>
      <c r="AD118" s="5" t="n">
        <v>3263</v>
      </c>
      <c r="AE118" s="5" t="n">
        <v>8193</v>
      </c>
      <c r="AF118" s="5" t="n">
        <v>17480</v>
      </c>
      <c r="AG118" s="5" t="n">
        <v>3602</v>
      </c>
      <c r="AH118" s="5" t="n">
        <v>2945</v>
      </c>
      <c r="AI118" s="5" t="n">
        <v>5473</v>
      </c>
      <c r="AJ118" s="5" t="n">
        <v>2972</v>
      </c>
      <c r="AK118" s="5" t="n">
        <v>11231</v>
      </c>
    </row>
    <row r="119" s="31" customFormat="true" ht="12.8" hidden="false" customHeight="false" outlineLevel="0" collapsed="false">
      <c r="A119" s="1" t="s">
        <v>203</v>
      </c>
      <c r="B119" s="5" t="n">
        <v>-5903</v>
      </c>
      <c r="C119" s="5" t="n">
        <v>-1412</v>
      </c>
      <c r="D119" s="5" t="n">
        <v>-20</v>
      </c>
      <c r="E119" s="5" t="n">
        <v>5777</v>
      </c>
      <c r="F119" s="5" t="n">
        <v>-5763</v>
      </c>
      <c r="G119" s="5" t="n">
        <v>-1938</v>
      </c>
      <c r="H119" s="5" t="n">
        <v>-1321</v>
      </c>
      <c r="I119" s="5" t="n">
        <v>6894</v>
      </c>
      <c r="J119" s="5" t="n">
        <v>-2928</v>
      </c>
      <c r="K119" s="5" t="n">
        <v>-4147</v>
      </c>
      <c r="L119" s="5" t="n">
        <v>129</v>
      </c>
      <c r="M119" s="5" t="n">
        <v>4042</v>
      </c>
      <c r="N119" s="5" t="n">
        <v>-4061</v>
      </c>
      <c r="O119" s="5" t="n">
        <v>-4952</v>
      </c>
      <c r="P119" s="5" t="n">
        <v>-1999</v>
      </c>
      <c r="Q119" s="5" t="n">
        <v>5993</v>
      </c>
      <c r="R119" s="5" t="n">
        <v>-8045</v>
      </c>
      <c r="S119" s="5" t="n">
        <v>-2018</v>
      </c>
      <c r="T119" s="5"/>
      <c r="U119" s="5"/>
      <c r="V119" s="5"/>
      <c r="W119" s="5"/>
      <c r="X119" s="5"/>
      <c r="Y119" s="5"/>
      <c r="Z119" s="5"/>
      <c r="AA119" s="5" t="n">
        <f aca="false">-6109+7401+913</f>
        <v>2205</v>
      </c>
      <c r="AB119" s="5" t="n">
        <f aca="false">+1724+11931-9976</f>
        <v>3679</v>
      </c>
      <c r="AC119" s="5" t="n">
        <v>283</v>
      </c>
      <c r="AD119" s="5" t="n">
        <v>472</v>
      </c>
      <c r="AE119" s="5" t="n">
        <v>-1383</v>
      </c>
      <c r="AF119" s="5" t="n">
        <v>5754</v>
      </c>
      <c r="AG119" s="5" t="n">
        <v>2123</v>
      </c>
      <c r="AH119" s="5" t="n">
        <v>-1558</v>
      </c>
      <c r="AI119" s="5" t="n">
        <v>-2428</v>
      </c>
      <c r="AJ119" s="5" t="n">
        <v>-2904</v>
      </c>
      <c r="AK119" s="5" t="n">
        <v>-5019</v>
      </c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20"/>
      <c r="DQ119" s="20"/>
      <c r="DR119" s="20"/>
      <c r="DS119" s="20"/>
      <c r="DT119" s="20"/>
    </row>
    <row r="120" customFormat="false" ht="12.8" hidden="false" customHeight="false" outlineLevel="0" collapsed="false">
      <c r="A120" s="1" t="s">
        <v>204</v>
      </c>
      <c r="B120" s="5" t="n">
        <v>1336</v>
      </c>
      <c r="C120" s="5" t="n">
        <v>321</v>
      </c>
      <c r="D120" s="5" t="n">
        <v>54</v>
      </c>
      <c r="E120" s="5" t="n">
        <v>505</v>
      </c>
      <c r="F120" s="5" t="n">
        <v>818</v>
      </c>
      <c r="G120" s="5" t="n">
        <v>156</v>
      </c>
      <c r="H120" s="5" t="n">
        <v>-25</v>
      </c>
      <c r="I120" s="5" t="n">
        <v>3629</v>
      </c>
      <c r="J120" s="5" t="n">
        <v>1568</v>
      </c>
      <c r="K120" s="5" t="n">
        <v>407</v>
      </c>
      <c r="L120" s="5" t="n">
        <v>421</v>
      </c>
      <c r="M120" s="5" t="n">
        <v>1611</v>
      </c>
      <c r="N120" s="5" t="n">
        <v>728</v>
      </c>
      <c r="O120" s="5" t="n">
        <v>-119</v>
      </c>
      <c r="P120" s="5" t="n">
        <v>-632</v>
      </c>
      <c r="Q120" s="5" t="n">
        <v>-191</v>
      </c>
      <c r="R120" s="5" t="n">
        <v>355</v>
      </c>
      <c r="S120" s="5" t="n">
        <v>-281</v>
      </c>
      <c r="AA120" s="5" t="n">
        <v>0</v>
      </c>
      <c r="AB120" s="5" t="n">
        <v>0</v>
      </c>
      <c r="AC120" s="5" t="n">
        <v>738</v>
      </c>
      <c r="AD120" s="5" t="n">
        <v>1151</v>
      </c>
      <c r="AE120" s="5" t="n">
        <v>1711</v>
      </c>
      <c r="AF120" s="5" t="n">
        <v>1265</v>
      </c>
      <c r="AG120" s="5" t="n">
        <v>2314</v>
      </c>
      <c r="AH120" s="5" t="n">
        <v>2216</v>
      </c>
      <c r="AI120" s="5" t="n">
        <v>4578</v>
      </c>
      <c r="AJ120" s="5" t="n">
        <v>4007</v>
      </c>
      <c r="AK120" s="5" t="n">
        <v>-214</v>
      </c>
    </row>
    <row r="121" customFormat="false" ht="12.8" hidden="false" customHeight="false" outlineLevel="0" collapsed="false">
      <c r="A121" s="1" t="s">
        <v>221</v>
      </c>
      <c r="B121" s="5" t="n">
        <f aca="false">+SUM(B109:B120)</f>
        <v>-2789.92289856068</v>
      </c>
      <c r="C121" s="5" t="n">
        <f aca="false">+SUM(C109:C120)</f>
        <v>8965.07913621591</v>
      </c>
      <c r="D121" s="5" t="n">
        <f aca="false">+SUM(D109:D120)</f>
        <v>11404.0802826099</v>
      </c>
      <c r="E121" s="5" t="n">
        <f aca="false">+SUM(E109:E120)</f>
        <v>29173.0850178279</v>
      </c>
      <c r="F121" s="5" t="n">
        <f aca="false">+SUM(F109:F120)</f>
        <v>4788.08733648456</v>
      </c>
      <c r="G121" s="5" t="n">
        <f aca="false">+SUM(G109:G120)</f>
        <v>16487.0862385867</v>
      </c>
      <c r="H121" s="5" t="n">
        <f aca="false">+SUM(H109:H120)</f>
        <v>21207.0847130686</v>
      </c>
      <c r="I121" s="5" t="n">
        <f aca="false">+SUM(I109:I120)</f>
        <v>42765.0813127718</v>
      </c>
      <c r="J121" s="5" t="n">
        <f aca="false">+SUM(J109:J120)</f>
        <v>18989.0815278446</v>
      </c>
      <c r="K121" s="5" t="n">
        <f aca="false">+SUM(K109:K120)</f>
        <v>24834.0813504801</v>
      </c>
      <c r="L121" s="5" t="n">
        <f aca="false">+SUM(L109:L120)</f>
        <v>25971.0846063307</v>
      </c>
      <c r="M121" s="5" t="n">
        <f aca="false">+SUM(M109:M120)</f>
        <v>45636.0832357076</v>
      </c>
      <c r="N121" s="5" t="n">
        <f aca="false">+SUM(N109:N120)</f>
        <v>17015.0916186475</v>
      </c>
      <c r="O121" s="5" t="n">
        <f aca="false">+SUM(O109:O120)</f>
        <v>32515.0907979631</v>
      </c>
      <c r="P121" s="5" t="n">
        <f aca="false">+SUM(P109:P120)</f>
        <v>35489.0932235845</v>
      </c>
      <c r="Q121" s="5" t="n">
        <f aca="false">+SUM(Q109:Q120)</f>
        <v>54459.0912477857</v>
      </c>
      <c r="R121" s="5" t="n">
        <f aca="false">+SUM(R109:R120)</f>
        <v>26032.1043692396</v>
      </c>
      <c r="S121" s="5" t="n">
        <f aca="false">+SUM(S109:S120)</f>
        <v>45387.0996380966</v>
      </c>
      <c r="T121" s="5" t="n">
        <f aca="false">+SUM(T109:T120)</f>
        <v>0</v>
      </c>
      <c r="U121" s="5" t="n">
        <f aca="false">+SUM(U109:U120)</f>
        <v>0</v>
      </c>
      <c r="AA121" s="5" t="n">
        <f aca="false">+SUM(AA109:AA120)</f>
        <v>11920</v>
      </c>
      <c r="AB121" s="5" t="n">
        <f aca="false">+SUM(AB109:AB120)</f>
        <v>16443</v>
      </c>
      <c r="AC121" s="5" t="n">
        <f aca="false">+SUM(AC109:AC120)</f>
        <v>18365.0645317261</v>
      </c>
      <c r="AD121" s="5" t="n">
        <f aca="false">+SUM(AD109:AD120)</f>
        <v>30723.0658731488</v>
      </c>
      <c r="AE121" s="5" t="n">
        <f aca="false">+SUM(AE109:AE120)</f>
        <v>38514.0776730524</v>
      </c>
      <c r="AF121" s="5" t="n">
        <f aca="false">+SUM(AF109:AF120)</f>
        <v>66064.0654062539</v>
      </c>
      <c r="AG121" s="5" t="n">
        <f aca="false">+SUM(AG109:AG120)</f>
        <v>46327.0732894586</v>
      </c>
      <c r="AH121" s="5" t="n">
        <f aca="false">+SUM(AH109:AH120)</f>
        <v>46752.0815610633</v>
      </c>
      <c r="AI121" s="5" t="n">
        <f aca="false">+SUM(AI109:AI120)</f>
        <v>84946.0846629609</v>
      </c>
      <c r="AJ121" s="5" t="n">
        <f aca="false">+SUM(AJ109:AJ120)</f>
        <v>115877.082756102</v>
      </c>
      <c r="AK121" s="5" t="n">
        <f aca="false">+SUM(AK109:AK120)</f>
        <v>139514.091719624</v>
      </c>
    </row>
    <row r="122" customFormat="false" ht="12.8" hidden="false" customHeight="false" outlineLevel="0" collapsed="false">
      <c r="AR122" s="28"/>
      <c r="AS122" s="28"/>
    </row>
    <row r="123" customFormat="false" ht="12.8" hidden="false" customHeight="false" outlineLevel="0" collapsed="false">
      <c r="A123" s="1" t="s">
        <v>222</v>
      </c>
      <c r="B123" s="5" t="n">
        <v>14951</v>
      </c>
      <c r="C123" s="5" t="n">
        <v>15724</v>
      </c>
      <c r="D123" s="5" t="n">
        <v>16378</v>
      </c>
      <c r="E123" s="5" t="n">
        <v>16592</v>
      </c>
      <c r="F123" s="5" t="n">
        <v>14207</v>
      </c>
      <c r="G123" s="5" t="n">
        <v>11455</v>
      </c>
      <c r="H123" s="5" t="n">
        <v>12479</v>
      </c>
      <c r="I123" s="5" t="n">
        <v>14588</v>
      </c>
      <c r="J123" s="5" t="n">
        <v>14925</v>
      </c>
      <c r="K123" s="5" t="n">
        <v>17620</v>
      </c>
      <c r="L123" s="5" t="n">
        <v>22620</v>
      </c>
      <c r="M123" s="5" t="n">
        <v>27834</v>
      </c>
      <c r="N123" s="5" t="n">
        <v>25019</v>
      </c>
      <c r="O123" s="5" t="n">
        <v>32183</v>
      </c>
      <c r="P123" s="5" t="n">
        <v>35095</v>
      </c>
      <c r="Q123" s="5" t="n">
        <v>39522</v>
      </c>
      <c r="R123" s="5" t="n">
        <v>44203</v>
      </c>
      <c r="S123" s="5" t="n">
        <v>54208</v>
      </c>
      <c r="AA123" s="5" t="n">
        <v>4589</v>
      </c>
      <c r="AB123" s="5" t="n">
        <v>6737</v>
      </c>
      <c r="AC123" s="5" t="n">
        <v>1897</v>
      </c>
      <c r="AD123" s="5" t="n">
        <v>2104</v>
      </c>
      <c r="AE123" s="5" t="n">
        <v>16861</v>
      </c>
      <c r="AF123" s="5" t="n">
        <v>40140</v>
      </c>
      <c r="AG123" s="5" t="n">
        <v>61053</v>
      </c>
      <c r="AH123" s="5" t="n">
        <v>63645</v>
      </c>
      <c r="AI123" s="5" t="n">
        <v>52729</v>
      </c>
      <c r="AJ123" s="5" t="n">
        <v>82999</v>
      </c>
      <c r="AK123" s="5" t="n">
        <v>131819</v>
      </c>
      <c r="AL123" s="58" t="n">
        <f aca="false">+AL15*0.18</f>
        <v>149851.6146</v>
      </c>
      <c r="AM123" s="58" t="n">
        <f aca="false">+AM15*0.15</f>
        <v>143607.797325</v>
      </c>
      <c r="AN123" s="58" t="n">
        <f aca="false">+AN15*0.13</f>
        <v>141884.5037571</v>
      </c>
      <c r="AO123" s="58" t="n">
        <f aca="false">+AO15*0.1</f>
        <v>123330.37634271</v>
      </c>
      <c r="AP123" s="58" t="n">
        <f aca="false">+AP15*0.1</f>
        <v>138130.021503835</v>
      </c>
      <c r="AR123" s="27"/>
      <c r="AS123" s="27"/>
      <c r="AU123" s="22"/>
      <c r="AV123" s="22"/>
    </row>
    <row r="124" customFormat="false" ht="12.8" hidden="false" customHeight="false" outlineLevel="0" collapsed="false">
      <c r="A124" s="22"/>
      <c r="B124" s="22"/>
      <c r="C124" s="22"/>
      <c r="D124" s="22"/>
      <c r="E124" s="22"/>
      <c r="F124" s="22" t="n">
        <f aca="false">+F123/B123-1</f>
        <v>-0.049762557688449</v>
      </c>
      <c r="G124" s="22" t="n">
        <f aca="false">+G123/C123-1</f>
        <v>-0.27149580259476</v>
      </c>
      <c r="H124" s="22" t="n">
        <f aca="false">+H123/D123-1</f>
        <v>-0.238063255586763</v>
      </c>
      <c r="I124" s="22" t="n">
        <f aca="false">+I123/E123-1</f>
        <v>-0.120781099324976</v>
      </c>
      <c r="J124" s="22" t="n">
        <f aca="false">+J123/F123-1</f>
        <v>0.0505384669529105</v>
      </c>
      <c r="K124" s="22" t="n">
        <f aca="false">+K123/G123-1</f>
        <v>0.53819292885203</v>
      </c>
      <c r="L124" s="22" t="n">
        <f aca="false">+L123/H123-1</f>
        <v>0.812645244009937</v>
      </c>
      <c r="M124" s="22" t="n">
        <f aca="false">+M123/I123-1</f>
        <v>0.908006580751303</v>
      </c>
      <c r="N124" s="22" t="n">
        <f aca="false">+N123/J123-1</f>
        <v>0.676314907872697</v>
      </c>
      <c r="O124" s="22" t="n">
        <f aca="false">+O123/K123-1</f>
        <v>0.826503972758229</v>
      </c>
      <c r="P124" s="22" t="n">
        <f aca="false">+P123/L123-1</f>
        <v>0.551503094606543</v>
      </c>
      <c r="Q124" s="22" t="n">
        <f aca="false">+Q123/M123-1</f>
        <v>0.419918085794352</v>
      </c>
      <c r="R124" s="22" t="n">
        <f aca="false">+R123/N123-1</f>
        <v>0.766777249290539</v>
      </c>
      <c r="S124" s="22" t="n">
        <f aca="false">+S123/O123-1</f>
        <v>0.684367523226548</v>
      </c>
      <c r="T124" s="22"/>
      <c r="U124" s="22"/>
      <c r="V124" s="22"/>
      <c r="W124" s="22"/>
      <c r="X124" s="22"/>
      <c r="Y124" s="22"/>
      <c r="Z124" s="22"/>
      <c r="AA124" s="22" t="n">
        <f aca="false">+AA123/AA$15</f>
        <v>0.0428854456759434</v>
      </c>
      <c r="AB124" s="22" t="n">
        <f aca="false">+AB123/AB$15</f>
        <v>0.0495415002904689</v>
      </c>
      <c r="AC124" s="22" t="n">
        <f aca="false">+AC123/AC$15</f>
        <v>0.0106653323288318</v>
      </c>
      <c r="AD124" s="22" t="n">
        <f aca="false">+AD123/AD$15</f>
        <v>0.00903442442042707</v>
      </c>
      <c r="AE124" s="22" t="n">
        <f aca="false">+AE123/AE$15</f>
        <v>0.0601058027534382</v>
      </c>
      <c r="AF124" s="22" t="n">
        <f aca="false">+AF123/AF$15</f>
        <v>0.103972398358821</v>
      </c>
      <c r="AG124" s="22" t="n">
        <f aca="false">+AG123/AG$15</f>
        <v>0.129949214809013</v>
      </c>
      <c r="AH124" s="22" t="n">
        <f aca="false">+AH123/AH$15</f>
        <v>0.12382705264571</v>
      </c>
      <c r="AI124" s="22" t="n">
        <f aca="false">+AI123/AI$15</f>
        <v>0.0917369103229903</v>
      </c>
      <c r="AJ124" s="22" t="n">
        <f aca="false">+AJ123/AJ$15</f>
        <v>0.130100837201137</v>
      </c>
      <c r="AK124" s="22" t="n">
        <f aca="false">+AK123/AK$15</f>
        <v>0.183867467123433</v>
      </c>
      <c r="AL124" s="22" t="n">
        <f aca="false">+AL123/AL$15</f>
        <v>0.18</v>
      </c>
      <c r="AM124" s="22" t="n">
        <f aca="false">+AM123/AM$15</f>
        <v>0.15</v>
      </c>
      <c r="AN124" s="22" t="n">
        <f aca="false">+AN123/AN$15</f>
        <v>0.13</v>
      </c>
      <c r="AO124" s="22" t="n">
        <f aca="false">+AO123/AO$15</f>
        <v>0.1</v>
      </c>
      <c r="AP124" s="22" t="n">
        <f aca="false">+AP123/AP$15</f>
        <v>0.1</v>
      </c>
      <c r="AR124" s="22"/>
      <c r="AS124" s="22"/>
    </row>
    <row r="125" customFormat="false" ht="12.8" hidden="false" customHeight="false" outlineLevel="0" collapsed="false">
      <c r="A125" s="16" t="s">
        <v>223</v>
      </c>
      <c r="B125" s="27" t="n">
        <f aca="false">+B121-B123</f>
        <v>-17740.9228985607</v>
      </c>
      <c r="C125" s="27" t="n">
        <f aca="false">+C121-C123</f>
        <v>-6758.92086378409</v>
      </c>
      <c r="D125" s="27" t="n">
        <f aca="false">+D121-D123</f>
        <v>-4973.91971739011</v>
      </c>
      <c r="E125" s="27" t="n">
        <f aca="false">+E121-E123</f>
        <v>12581.0850178279</v>
      </c>
      <c r="F125" s="27" t="n">
        <f aca="false">+F121-F123</f>
        <v>-9418.91266351544</v>
      </c>
      <c r="G125" s="27" t="n">
        <f aca="false">+G121-G123</f>
        <v>5032.08623858673</v>
      </c>
      <c r="H125" s="27" t="n">
        <f aca="false">+H121-H123</f>
        <v>8728.08471306864</v>
      </c>
      <c r="I125" s="27" t="n">
        <f aca="false">+I121-I123</f>
        <v>28177.0813127718</v>
      </c>
      <c r="J125" s="27" t="n">
        <f aca="false">+J121-J123</f>
        <v>4064.08152784465</v>
      </c>
      <c r="K125" s="27" t="n">
        <f aca="false">+K121-K123</f>
        <v>7214.08135048014</v>
      </c>
      <c r="L125" s="27" t="n">
        <f aca="false">+L121-L123</f>
        <v>3351.08460633068</v>
      </c>
      <c r="M125" s="27" t="n">
        <f aca="false">+M121-M123</f>
        <v>17802.0832357076</v>
      </c>
      <c r="N125" s="27" t="n">
        <f aca="false">+N121-N123</f>
        <v>-8003.9083813525</v>
      </c>
      <c r="O125" s="27" t="n">
        <f aca="false">+O121-O123</f>
        <v>332.090797963054</v>
      </c>
      <c r="P125" s="27" t="n">
        <f aca="false">+P121-P123</f>
        <v>394.093223584525</v>
      </c>
      <c r="Q125" s="27" t="n">
        <f aca="false">+Q121-Q123</f>
        <v>14937.0912477857</v>
      </c>
      <c r="R125" s="27" t="n">
        <f aca="false">+R121-R123</f>
        <v>-18170.8956307604</v>
      </c>
      <c r="S125" s="27" t="n">
        <f aca="false">+S121-S123</f>
        <v>-8820.90036190343</v>
      </c>
      <c r="T125" s="27" t="n">
        <f aca="false">+T121-T123</f>
        <v>0</v>
      </c>
      <c r="U125" s="27" t="n">
        <f aca="false">+U121-U123</f>
        <v>0</v>
      </c>
      <c r="V125" s="27"/>
      <c r="W125" s="27"/>
      <c r="X125" s="27"/>
      <c r="Y125" s="27"/>
      <c r="Z125" s="27"/>
      <c r="AA125" s="27" t="n">
        <f aca="false">+AA121-AA123</f>
        <v>7331</v>
      </c>
      <c r="AB125" s="27" t="n">
        <f aca="false">+AB121-AB123</f>
        <v>9706</v>
      </c>
      <c r="AC125" s="27" t="n">
        <f aca="false">+AC121-AC123</f>
        <v>16468.0645317261</v>
      </c>
      <c r="AD125" s="27" t="n">
        <f aca="false">+AD121-AD123</f>
        <v>28619.0658731488</v>
      </c>
      <c r="AE125" s="27" t="n">
        <f aca="false">+AE121-AE123</f>
        <v>21653.0776730524</v>
      </c>
      <c r="AF125" s="27" t="n">
        <f aca="false">+AF121-AF123</f>
        <v>25924.0654062539</v>
      </c>
      <c r="AG125" s="27" t="n">
        <f aca="false">+AG121-AG123</f>
        <v>-14725.9267105414</v>
      </c>
      <c r="AH125" s="27" t="n">
        <f aca="false">+AH121-AH123</f>
        <v>-16892.9184389367</v>
      </c>
      <c r="AI125" s="27" t="n">
        <f aca="false">+AI121-AI123</f>
        <v>32217.0846629609</v>
      </c>
      <c r="AJ125" s="27" t="n">
        <f aca="false">+AJ121-AJ123</f>
        <v>32878.0827561019</v>
      </c>
      <c r="AK125" s="27" t="n">
        <f aca="false">+AK121-AK123</f>
        <v>7695.09171962438</v>
      </c>
      <c r="AL125" s="27"/>
      <c r="AM125" s="27"/>
      <c r="AN125" s="27"/>
      <c r="AO125" s="27"/>
      <c r="AP125" s="27"/>
      <c r="AU125" s="28"/>
      <c r="AV125" s="28"/>
    </row>
    <row r="126" customFormat="false" ht="12.8" hidden="false" customHeight="false" outlineLevel="0" collapsed="false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2" t="n">
        <f aca="false">+AF125/AE125-1</f>
        <v>0.197246220499954</v>
      </c>
      <c r="AG126" s="22" t="n">
        <f aca="false">+AG125/AF125-1</f>
        <v>-1.5680407945194</v>
      </c>
      <c r="AH126" s="22" t="n">
        <f aca="false">+AH125/AG125-1</f>
        <v>0.147154863051439</v>
      </c>
      <c r="AI126" s="22" t="n">
        <f aca="false">+AI125/AH125-1</f>
        <v>-2.90713551239929</v>
      </c>
      <c r="AJ126" s="22" t="n">
        <f aca="false">+AJ125/AI125-1</f>
        <v>0.02051700518703</v>
      </c>
      <c r="AK126" s="22" t="n">
        <f aca="false">+AK125/AJ125-1</f>
        <v>-0.765950716265648</v>
      </c>
      <c r="AL126" s="28"/>
      <c r="AM126" s="28"/>
      <c r="AN126" s="28"/>
      <c r="AO126" s="28"/>
      <c r="AP126" s="28"/>
      <c r="AU126" s="27"/>
      <c r="AV126" s="27"/>
    </row>
    <row r="127" customFormat="false" ht="10.5" hidden="false" customHeight="true" outlineLevel="0" collapsed="false">
      <c r="AQ127" s="22"/>
      <c r="AT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</row>
    <row r="128" customFormat="false" ht="12.8" hidden="false" customHeight="true" outlineLevel="0" collapsed="false"/>
    <row r="129" customFormat="false" ht="12.8" hidden="false" customHeight="true" outlineLevel="0" collapsed="false">
      <c r="A129" s="1" t="s">
        <v>224</v>
      </c>
      <c r="C129" s="5" t="n">
        <f aca="false">+(AVERAGE(B80:C80)/C15)*90</f>
        <v>24.983585462824</v>
      </c>
      <c r="D129" s="5" t="n">
        <f aca="false">+(AVERAGE(C80:D80)/D15)*90</f>
        <v>25.1226190195199</v>
      </c>
      <c r="E129" s="5" t="n">
        <f aca="false">+(AVERAGE(D80:E80)/E15)*90</f>
        <v>23.6798611297284</v>
      </c>
      <c r="F129" s="5" t="n">
        <f aca="false">+(AVERAGE(E80:F80)/F15)*90</f>
        <v>28.2688955542644</v>
      </c>
      <c r="G129" s="5" t="n">
        <f aca="false">+(AVERAGE(F80:G80)/G15)*90</f>
        <v>25.9757186548894</v>
      </c>
      <c r="H129" s="5" t="n">
        <f aca="false">+(AVERAGE(G80:H80)/H15)*90</f>
        <v>26.2122334589015</v>
      </c>
      <c r="I129" s="5" t="n">
        <f aca="false">+(AVERAGE(H80:I80)/I15)*90</f>
        <v>25.3310171156912</v>
      </c>
      <c r="J129" s="5" t="n">
        <f aca="false">+(AVERAGE(I80:J80)/J15)*90</f>
        <v>31.4063971865776</v>
      </c>
      <c r="K129" s="5" t="n">
        <f aca="false">+(AVERAGE(J80:K80)/K15)*90</f>
        <v>29.7636119126621</v>
      </c>
      <c r="L129" s="5" t="n">
        <f aca="false">+(AVERAGE(K80:L80)/L15)*90</f>
        <v>28.8177646858891</v>
      </c>
      <c r="M129" s="5" t="n">
        <f aca="false">+(AVERAGE(L80:M80)/M15)*90</f>
        <v>25.6613966516146</v>
      </c>
      <c r="N129" s="5" t="n">
        <f aca="false">+(AVERAGE(M80:N80)/N15)*90</f>
        <v>31.702383934938</v>
      </c>
      <c r="O129" s="5" t="n">
        <f aca="false">+(AVERAGE(N80:O80)/O15)*90</f>
        <v>29.9542939261309</v>
      </c>
      <c r="P129" s="5" t="n">
        <f aca="false">+(AVERAGE(O80:P80)/P15)*90</f>
        <v>29.6196904017894</v>
      </c>
      <c r="Q129" s="5" t="n">
        <f aca="false">+(AVERAGE(P80:Q80)/Q15)*90</f>
        <v>27.1839764558125</v>
      </c>
      <c r="R129" s="5" t="n">
        <f aca="false">+(AVERAGE(Q80:R80)/R15)*90</f>
        <v>35.5155383183028</v>
      </c>
      <c r="S129" s="5" t="n">
        <f aca="false">+(AVERAGE(R80:S80)/S15)*90</f>
        <v>36.7041863154641</v>
      </c>
      <c r="AA129" s="58" t="n">
        <f aca="false">+(AVERAGE(Z80:AA80)/AA15)*365</f>
        <v>19.2859278918939</v>
      </c>
      <c r="AB129" s="58" t="n">
        <f aca="false">+(AVERAGE(AA80:AB80)/AB15)*365</f>
        <v>18.779166390905</v>
      </c>
      <c r="AC129" s="58" t="n">
        <f aca="false">+(AVERAGE(AB80:AC80)/AC15)*365</f>
        <v>22.063224562311</v>
      </c>
      <c r="AD129" s="58" t="n">
        <f aca="false">+(AVERAGE(AC80:AD80)/AD15)*365</f>
        <v>23.3846565072331</v>
      </c>
      <c r="AE129" s="58" t="n">
        <f aca="false">+(AVERAGE(AD80:AE80)/AE15)*365</f>
        <v>24.391928262311</v>
      </c>
      <c r="AF129" s="58" t="n">
        <f aca="false">+(AVERAGE(AE80:AF80)/AF15)*365</f>
        <v>21.4416133076381</v>
      </c>
      <c r="AG129" s="58" t="n">
        <f aca="false">+(AVERAGE(AF80:AG80)/AG15)*365</f>
        <v>22.3095608549621</v>
      </c>
      <c r="AH129" s="58" t="n">
        <f aca="false">+(AVERAGE(AG80:AH80)/AH15)*365</f>
        <v>26.7193807966411</v>
      </c>
      <c r="AI129" s="5" t="n">
        <f aca="false">+(AVERAGE(AH81:AI81)/AI15)*365</f>
        <v>24.1625129396209</v>
      </c>
      <c r="AJ129" s="5" t="n">
        <f aca="false">+(AVERAGE(AI81:AJ81)/AJ15)*365</f>
        <v>25.3170658302493</v>
      </c>
      <c r="AK129" s="5" t="n">
        <f aca="false">+(AVERAGE(AJ81:AK81)/AK15)*365</f>
        <v>26.0160072755271</v>
      </c>
      <c r="AL129" s="58" t="n">
        <f aca="false">+AK129+0.5</f>
        <v>26.5160072755271</v>
      </c>
      <c r="AM129" s="58" t="n">
        <f aca="false">+AL129+0.5</f>
        <v>27.0160072755271</v>
      </c>
      <c r="AN129" s="58" t="n">
        <f aca="false">+AM129+0.5</f>
        <v>27.5160072755271</v>
      </c>
      <c r="AO129" s="58" t="n">
        <f aca="false">+AN129+0.5</f>
        <v>28.0160072755271</v>
      </c>
      <c r="AP129" s="58" t="n">
        <f aca="false">+AO129+0.5</f>
        <v>28.5160072755271</v>
      </c>
      <c r="AQ129" s="28"/>
      <c r="AT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  <c r="DM129" s="28"/>
      <c r="DN129" s="28"/>
      <c r="DO129" s="28"/>
    </row>
    <row r="130" customFormat="false" ht="12.8" hidden="false" customHeight="false" outlineLevel="0" collapsed="false">
      <c r="A130" s="1" t="s">
        <v>225</v>
      </c>
      <c r="C130" s="5" t="n">
        <f aca="false">+(((C79+B79)/2)/C17)*90</f>
        <v>49.5498614958449</v>
      </c>
      <c r="D130" s="5" t="n">
        <f aca="false">+(((D79+C79)/2)/D17)*90</f>
        <v>47.5865970285194</v>
      </c>
      <c r="E130" s="5" t="n">
        <f aca="false">+(((E79+D79)/2)/E17)*90</f>
        <v>37.0756071929005</v>
      </c>
      <c r="F130" s="5" t="n">
        <f aca="false">+(((F79+E79)/2)/F17)*90</f>
        <v>45.5204230650086</v>
      </c>
      <c r="G130" s="5" t="n">
        <f aca="false">+(((G79+F79)/2)/G17)*90</f>
        <v>45.8977556109726</v>
      </c>
      <c r="H130" s="5" t="n">
        <f aca="false">+(((H79+G79)/2)/H17)*90</f>
        <v>43.1831329476687</v>
      </c>
      <c r="I130" s="5" t="n">
        <f aca="false">+(((I79+H79)/2)/I17)*90</f>
        <v>33.4141518913487</v>
      </c>
      <c r="J130" s="5" t="n">
        <f aca="false">+(((J79+I79)/2)/J17)*90</f>
        <v>39.9394903143199</v>
      </c>
      <c r="K130" s="5" t="n">
        <f aca="false">+(((K79+J79)/2)/K17)*90</f>
        <v>39.7983329945111</v>
      </c>
      <c r="L130" s="5" t="n">
        <f aca="false">+(((L79+K79)/2)/L17)*90</f>
        <v>39.0177457796658</v>
      </c>
      <c r="M130" s="5" t="n">
        <f aca="false">+(((M79+L79)/2)/M17)*90</f>
        <v>31.9968551869192</v>
      </c>
      <c r="N130" s="5" t="n">
        <f aca="false">+(((N79+M79)/2)/N17)*90</f>
        <v>40.967444398254</v>
      </c>
      <c r="O130" s="5" t="n">
        <f aca="false">+(((O79+N79)/2)/O17)*90</f>
        <v>42.70570109765</v>
      </c>
      <c r="P130" s="5" t="n">
        <f aca="false">+(((P79+O79)/2)/P17)*90</f>
        <v>41.7768692906282</v>
      </c>
      <c r="Q130" s="5" t="n">
        <f aca="false">+(((Q79+P79)/2)/Q17)*90</f>
        <v>32.6654025591357</v>
      </c>
      <c r="R130" s="5" t="n">
        <f aca="false">+(((R79+Q79)/2)/R17)*90</f>
        <v>38.5152007134445</v>
      </c>
      <c r="S130" s="5" t="n">
        <f aca="false">+(((S79+R79)/2)/S17)*90</f>
        <v>35.1052433753054</v>
      </c>
      <c r="AA130" s="5" t="n">
        <f aca="false">+(((AA79+Z79)/2)/AA17)*365</f>
        <v>26.0896219173494</v>
      </c>
      <c r="AB130" s="5" t="n">
        <f aca="false">+(((AB79+AA79)/2)/AB17)*365</f>
        <v>44.8759984138673</v>
      </c>
      <c r="AC130" s="5" t="n">
        <f aca="false">+(((AC79+AB79)/2)/AC17)*365</f>
        <v>44.8497328783033</v>
      </c>
      <c r="AD130" s="5" t="n">
        <f aca="false">+(((AD79+AC79)/2)/AD17)*365</f>
        <v>43.5686028629739</v>
      </c>
      <c r="AE130" s="5" t="n">
        <f aca="false">+(((AE79+AD79)/2)/AE17)*365</f>
        <v>41.5314946597719</v>
      </c>
      <c r="AF130" s="5" t="n">
        <f aca="false">+(((AF79+AE79)/2)/AF17)*365</f>
        <v>34.6465815427741</v>
      </c>
      <c r="AG130" s="5" t="n">
        <f aca="false">+(((AG79+AF79)/2)/AG17)*365</f>
        <v>37.817567120994</v>
      </c>
      <c r="AH130" s="5" t="n">
        <f aca="false">+(((AH79+AG79)/2)/AH17)*365</f>
        <v>42.3628782921501</v>
      </c>
      <c r="AI130" s="5" t="n">
        <f aca="false">+(((AI79+AH79)/2)/AI17)*365</f>
        <v>40.5574852578764</v>
      </c>
      <c r="AJ130" s="5" t="n">
        <f aca="false">+(((AJ79+AI79)/2)/AJ17)*365</f>
        <v>37.7721215613201</v>
      </c>
      <c r="AK130" s="5" t="n">
        <f aca="false">+(((AK79+AJ79)/2)/AK17)*365</f>
        <v>37.1432309056322</v>
      </c>
      <c r="AL130" s="58" t="n">
        <f aca="false">+AK130+0.5</f>
        <v>37.6432309056322</v>
      </c>
      <c r="AM130" s="58" t="n">
        <f aca="false">+AL130+0.5</f>
        <v>38.1432309056322</v>
      </c>
      <c r="AN130" s="58" t="n">
        <f aca="false">+AM130+0.5</f>
        <v>38.6432309056322</v>
      </c>
      <c r="AO130" s="58" t="n">
        <f aca="false">+AN130+0.5</f>
        <v>39.1432309056322</v>
      </c>
      <c r="AP130" s="58" t="n">
        <f aca="false">+AO130-0.5</f>
        <v>38.6432309056322</v>
      </c>
      <c r="AQ130" s="27"/>
      <c r="AT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</row>
    <row r="131" customFormat="false" ht="12.8" hidden="false" customHeight="false" outlineLevel="0" collapsed="false">
      <c r="A131" s="1" t="s">
        <v>226</v>
      </c>
      <c r="C131" s="5" t="n">
        <f aca="false">+(((C89+B89)/2)/C17)*90</f>
        <v>94.6867096230278</v>
      </c>
      <c r="D131" s="5" t="n">
        <f aca="false">+(((D89+C89)/2)/D17)*90</f>
        <v>89.0028889394888</v>
      </c>
      <c r="E131" s="5" t="n">
        <f aca="false">+(((E89+D89)/2)/E17)*90</f>
        <v>77.4311069593648</v>
      </c>
      <c r="F131" s="5" t="n">
        <f aca="false">+(((F89+E89)/2)/F17)*90</f>
        <v>97.2520688586981</v>
      </c>
      <c r="G131" s="5" t="n">
        <f aca="false">+(((G89+F89)/2)/G17)*90</f>
        <v>88.470442391132</v>
      </c>
      <c r="H131" s="5" t="n">
        <f aca="false">+(((H89+G89)/2)/H17)*90</f>
        <v>84.8661059422569</v>
      </c>
      <c r="I131" s="5" t="n">
        <f aca="false">+(((I89+H89)/2)/I17)*90</f>
        <v>76.3273475738226</v>
      </c>
      <c r="J131" s="5" t="n">
        <f aca="false">+(((J89+I89)/2)/J17)*90</f>
        <v>97.919747222337</v>
      </c>
      <c r="K131" s="5" t="n">
        <f aca="false">+(((K89+J89)/2)/K17)*90</f>
        <v>94.4612726163854</v>
      </c>
      <c r="L131" s="5" t="n">
        <f aca="false">+(((L89+K89)/2)/L17)*90</f>
        <v>92.4634772836731</v>
      </c>
      <c r="M131" s="5" t="n">
        <f aca="false">+(((M89+L89)/2)/M17)*90</f>
        <v>81.4211824901662</v>
      </c>
      <c r="N131" s="5" t="n">
        <f aca="false">+(((N89+M89)/2)/N17)*90</f>
        <v>107.334493868219</v>
      </c>
      <c r="O131" s="5" t="n">
        <f aca="false">+(((O89+N89)/2)/O17)*90</f>
        <v>104.427353388855</v>
      </c>
      <c r="P131" s="5" t="n">
        <f aca="false">+(((P89+O89)/2)/P17)*90</f>
        <v>103.690819893989</v>
      </c>
      <c r="Q131" s="5" t="n">
        <f aca="false">+(((Q89+P89)/2)/Q17)*90</f>
        <v>93.2833601615147</v>
      </c>
      <c r="R131" s="5" t="n">
        <f aca="false">+(((R89+Q89)/2)/R17)*90</f>
        <v>126.906348970422</v>
      </c>
      <c r="S131" s="5" t="n">
        <f aca="false">+(((S89+R89)/2)/S17)*90</f>
        <v>127.884326254463</v>
      </c>
      <c r="AA131" s="5" t="n">
        <f aca="false">+(((AA89+Z89)/2)/AA17)*365</f>
        <v>51.9525547445255</v>
      </c>
      <c r="AB131" s="5" t="n">
        <f aca="false">+(((AB89+AA89)/2)/AB17)*365</f>
        <v>94.5034271795162</v>
      </c>
      <c r="AC131" s="5" t="n">
        <f aca="false">+(((AC89+AB89)/2)/AC17)*365</f>
        <v>97.703222434649</v>
      </c>
      <c r="AD131" s="5" t="n">
        <f aca="false">+(((AD89+AC89)/2)/AD17)*365</f>
        <v>95.4860731840524</v>
      </c>
      <c r="AE131" s="5" t="n">
        <f aca="false">+(((AE89+AD89)/2)/AE17)*365</f>
        <v>94.1241633239899</v>
      </c>
      <c r="AF131" s="5" t="n">
        <f aca="false">+(((AF89+AE89)/2)/AF17)*365</f>
        <v>93.650276245462</v>
      </c>
      <c r="AG131" s="5" t="n">
        <f aca="false">+(((AG89+AF89)/2)/AG17)*365</f>
        <v>101.322399245072</v>
      </c>
      <c r="AH131" s="5" t="n">
        <f aca="false">+(((AH89+AG89)/2)/AH17)*365</f>
        <v>100.000276978579</v>
      </c>
      <c r="AI131" s="5" t="n">
        <f aca="false">+(((AI89+AH89)/2)/AI17)*365</f>
        <v>98.5631392765613</v>
      </c>
      <c r="AJ131" s="5" t="n">
        <f aca="false">+(((AJ89+AI89)/2)/AJ17)*365</f>
        <v>100.311013583092</v>
      </c>
      <c r="AK131" s="5" t="n">
        <f aca="false">+(((AK89+AJ89)/2)/AK17)*365</f>
        <v>110.740992216916</v>
      </c>
      <c r="AL131" s="58" t="n">
        <f aca="false">+AK131+1</f>
        <v>111.740992216916</v>
      </c>
      <c r="AM131" s="58" t="n">
        <f aca="false">+AL131+1</f>
        <v>112.740992216916</v>
      </c>
      <c r="AN131" s="58" t="n">
        <f aca="false">+AM131+1</f>
        <v>113.740992216916</v>
      </c>
      <c r="AO131" s="58" t="n">
        <f aca="false">+AN131+1</f>
        <v>114.740992216916</v>
      </c>
      <c r="AP131" s="58" t="n">
        <f aca="false">+AO131+1</f>
        <v>115.740992216916</v>
      </c>
    </row>
    <row r="132" customFormat="false" ht="12.8" hidden="false" customHeight="false" outlineLevel="0" collapsed="false">
      <c r="A132" s="1" t="s">
        <v>227</v>
      </c>
      <c r="C132" s="5" t="n">
        <f aca="false">+C129+C130-C131</f>
        <v>-20.1532626643589</v>
      </c>
      <c r="D132" s="5" t="n">
        <f aca="false">+D129+D130-D131</f>
        <v>-16.2936728914495</v>
      </c>
      <c r="E132" s="5" t="n">
        <f aca="false">+E129+E130-E131</f>
        <v>-16.6756386367359</v>
      </c>
      <c r="F132" s="5" t="n">
        <f aca="false">+F129+F130-F131</f>
        <v>-23.4627502394251</v>
      </c>
      <c r="G132" s="5" t="n">
        <f aca="false">+G129+G130-G131</f>
        <v>-16.59696812527</v>
      </c>
      <c r="H132" s="5" t="n">
        <f aca="false">+H129+H130-H131</f>
        <v>-15.4707395356867</v>
      </c>
      <c r="I132" s="5" t="n">
        <f aca="false">+I129+I130-I131</f>
        <v>-17.5821785667827</v>
      </c>
      <c r="J132" s="5" t="n">
        <f aca="false">+J129+J130-J131</f>
        <v>-26.5738597214395</v>
      </c>
      <c r="K132" s="5" t="n">
        <f aca="false">+K129+K130-K131</f>
        <v>-24.8993277092122</v>
      </c>
      <c r="L132" s="5" t="n">
        <f aca="false">+L129+L130-L131</f>
        <v>-24.6279668181182</v>
      </c>
      <c r="M132" s="5" t="n">
        <f aca="false">+M129+M130-M131</f>
        <v>-23.7629306516325</v>
      </c>
      <c r="N132" s="5" t="n">
        <f aca="false">+N129+N130-N131</f>
        <v>-34.664665535027</v>
      </c>
      <c r="O132" s="5" t="n">
        <f aca="false">+O129+O130-O131</f>
        <v>-31.7673583650741</v>
      </c>
      <c r="P132" s="5" t="n">
        <f aca="false">+P129+P130-P131</f>
        <v>-32.2942602015714</v>
      </c>
      <c r="Q132" s="5" t="n">
        <f aca="false">+Q129+Q130-Q131</f>
        <v>-33.4339811465665</v>
      </c>
      <c r="R132" s="5" t="n">
        <f aca="false">+R129+R130-R131</f>
        <v>-52.8756099386747</v>
      </c>
      <c r="S132" s="5" t="n">
        <f aca="false">+S129+S130-S131</f>
        <v>-56.0748965636935</v>
      </c>
      <c r="AA132" s="5" t="n">
        <f aca="false">+AA129+AA130-AA131</f>
        <v>-6.57700493528225</v>
      </c>
      <c r="AB132" s="5" t="n">
        <f aca="false">+AB129+AB130-AB131</f>
        <v>-30.8482623747439</v>
      </c>
      <c r="AC132" s="5" t="n">
        <f aca="false">+AC129+AC130-AC131</f>
        <v>-30.7902649940347</v>
      </c>
      <c r="AD132" s="5" t="n">
        <f aca="false">+AD129+AD130-AD131</f>
        <v>-28.5328138138454</v>
      </c>
      <c r="AE132" s="5" t="n">
        <f aca="false">+AE129+AE130-AE131</f>
        <v>-28.2007404019071</v>
      </c>
      <c r="AF132" s="5" t="n">
        <f aca="false">+AF129+AF130-AF131</f>
        <v>-37.5620813950498</v>
      </c>
      <c r="AG132" s="5" t="n">
        <f aca="false">+AG129+AG130-AG131</f>
        <v>-41.1952712691159</v>
      </c>
      <c r="AH132" s="5" t="n">
        <f aca="false">+AH129+AH130-AH131</f>
        <v>-30.9180178897878</v>
      </c>
      <c r="AI132" s="5" t="n">
        <f aca="false">+AI129+AI130-AI131</f>
        <v>-33.843141079064</v>
      </c>
      <c r="AJ132" s="5" t="n">
        <f aca="false">+AJ129+AJ130-AJ131</f>
        <v>-37.2218261915226</v>
      </c>
      <c r="AK132" s="5" t="n">
        <f aca="false">+AK129+AK130-AK131</f>
        <v>-47.5817540357567</v>
      </c>
      <c r="AL132" s="58" t="n">
        <f aca="false">+AL129+AL130-AL131</f>
        <v>-47.5817540357567</v>
      </c>
      <c r="AM132" s="58" t="n">
        <f aca="false">+AM129+AM130-AM131</f>
        <v>-47.5817540357567</v>
      </c>
      <c r="AN132" s="58" t="n">
        <f aca="false">+AN129+AN130-AN131</f>
        <v>-47.5817540357567</v>
      </c>
      <c r="AO132" s="58" t="n">
        <f aca="false">+AO129+AO130-AO131</f>
        <v>-47.5817540357567</v>
      </c>
      <c r="AP132" s="58" t="n">
        <f aca="false">+AP129+AP130-AP131</f>
        <v>-48.5817540357567</v>
      </c>
    </row>
    <row r="133" customFormat="false" ht="12.8" hidden="false" customHeight="false" outlineLevel="0" collapsed="false">
      <c r="AR133" s="31"/>
      <c r="AS133" s="31"/>
    </row>
    <row r="134" customFormat="false" ht="12.8" hidden="false" customHeight="false" outlineLevel="0" collapsed="false">
      <c r="A134" s="1" t="s">
        <v>228</v>
      </c>
      <c r="B134" s="5" t="n">
        <f aca="false">+B109-B121</f>
        <v>-1054.07710143932</v>
      </c>
      <c r="C134" s="5" t="n">
        <f aca="false">+C109-C121</f>
        <v>-10993.0791362159</v>
      </c>
      <c r="D134" s="5" t="n">
        <f aca="false">+D109-D121</f>
        <v>-8532.08028260989</v>
      </c>
      <c r="E134" s="5" t="n">
        <f aca="false">+E109-E121</f>
        <v>-28895.0850178279</v>
      </c>
      <c r="F134" s="5" t="n">
        <f aca="false">+F109-F121</f>
        <v>-1616.08733648456</v>
      </c>
      <c r="G134" s="5" t="n">
        <f aca="false">+G109-G121</f>
        <v>-9737.08623858673</v>
      </c>
      <c r="H134" s="5" t="n">
        <f aca="false">+H109-H121</f>
        <v>-11328.0847130686</v>
      </c>
      <c r="I134" s="5" t="n">
        <f aca="false">+I109-I121</f>
        <v>-32141.0813127718</v>
      </c>
      <c r="J134" s="5" t="n">
        <f aca="false">+J109-J121</f>
        <v>-8558.08152784465</v>
      </c>
      <c r="K134" s="5" t="n">
        <f aca="false">+K109-K121</f>
        <v>-11796.0813504801</v>
      </c>
      <c r="L134" s="5" t="n">
        <f aca="false">+L109-L121</f>
        <v>-10643.0846063307</v>
      </c>
      <c r="M134" s="5" t="n">
        <f aca="false">+M109-M121</f>
        <v>-25632.0832357076</v>
      </c>
      <c r="N134" s="5" t="n">
        <f aca="false">+N109-N121</f>
        <v>111.908381352503</v>
      </c>
      <c r="O134" s="5" t="n">
        <f aca="false">+O109-O121</f>
        <v>-14351.0907979631</v>
      </c>
      <c r="P134" s="5" t="n">
        <f aca="false">+P109-P121</f>
        <v>-14302.0932235845</v>
      </c>
      <c r="Q134" s="5" t="n">
        <f aca="false">+Q109-Q121</f>
        <v>-33267.0912477857</v>
      </c>
      <c r="R134" s="5" t="n">
        <f aca="false">+R109-R121</f>
        <v>4222.89563076042</v>
      </c>
      <c r="S134" s="5" t="n">
        <f aca="false">+S109-S121</f>
        <v>17259.9003619034</v>
      </c>
      <c r="AA134" s="5" t="n">
        <f aca="false">+AA109-AA121</f>
        <v>-11324</v>
      </c>
      <c r="AB134" s="5" t="n">
        <f aca="false">+AB109-AB121</f>
        <v>-14072</v>
      </c>
      <c r="AC134" s="5" t="n">
        <f aca="false">+AC109-AC121</f>
        <v>-15332.0645317261</v>
      </c>
      <c r="AD134" s="5" t="n">
        <f aca="false">+AD109-AD121</f>
        <v>-20650.0658731488</v>
      </c>
      <c r="AE134" s="5" t="n">
        <f aca="false">+AE109-AE121</f>
        <v>-26926.0776730524</v>
      </c>
      <c r="AF134" s="5" t="n">
        <f aca="false">+AF109-AF121</f>
        <v>-44733.0654062539</v>
      </c>
      <c r="AG134" s="5" t="n">
        <f aca="false">+AG109-AG121</f>
        <v>-12963.0732894586</v>
      </c>
      <c r="AH134" s="5" t="n">
        <f aca="false">+AH109-AH121</f>
        <v>-49474.0815610633</v>
      </c>
      <c r="AI134" s="5" t="n">
        <f aca="false">+AI109-AI121</f>
        <v>-54521.0846629609</v>
      </c>
      <c r="AJ134" s="5" t="n">
        <f aca="false">+AJ109-AJ121</f>
        <v>-56629.0827561019</v>
      </c>
      <c r="AK134" s="5" t="n">
        <f aca="false">+AK109-AK121</f>
        <v>-61844.0917196244</v>
      </c>
    </row>
    <row r="135" customFormat="false" ht="12.8" hidden="false" customHeight="false" outlineLevel="0" collapsed="false">
      <c r="A135" s="31" t="s">
        <v>229</v>
      </c>
      <c r="B135" s="31"/>
      <c r="C135" s="31" t="n">
        <f aca="false">+C134/((C87+B87)/2)</f>
        <v>-0.026473558868424</v>
      </c>
      <c r="D135" s="31" t="n">
        <f aca="false">+D134/((D87+C87)/2)</f>
        <v>-0.0201323984927032</v>
      </c>
      <c r="E135" s="31" t="n">
        <f aca="false">+E134/((E87+D87)/2)</f>
        <v>-0.0648931103186994</v>
      </c>
      <c r="F135" s="31" t="n">
        <f aca="false">+F134/((F87+E87)/2)</f>
        <v>-0.0034865047337845</v>
      </c>
      <c r="G135" s="31" t="n">
        <f aca="false">+G134/((G87+F87)/2)</f>
        <v>-0.0206735483868357</v>
      </c>
      <c r="H135" s="31" t="n">
        <f aca="false">+H134/((H87+G87)/2)</f>
        <v>-0.0234903103465429</v>
      </c>
      <c r="I135" s="31" t="n">
        <f aca="false">+I134/((I87+H87)/2)</f>
        <v>-0.0633485943900179</v>
      </c>
      <c r="J135" s="31" t="n">
        <f aca="false">+J134/((J87+I87)/2)</f>
        <v>-0.0161652731907876</v>
      </c>
      <c r="K135" s="31" t="n">
        <f aca="false">+K134/((K87+J87)/2)</f>
        <v>-0.0217281683248742</v>
      </c>
      <c r="L135" s="31" t="n">
        <f aca="false">+L134/((L87+K87)/2)</f>
        <v>-0.0186811894333213</v>
      </c>
      <c r="M135" s="31" t="n">
        <f aca="false">+M134/((M87+L87)/2)</f>
        <v>-0.0423838931736682</v>
      </c>
      <c r="N135" s="31" t="n">
        <f aca="false">+N134/((N87+M87)/2)</f>
        <v>0.00017649076426685</v>
      </c>
      <c r="O135" s="31" t="n">
        <f aca="false">+O134/((O87+N87)/2)</f>
        <v>-0.0216550615394041</v>
      </c>
      <c r="P135" s="31" t="n">
        <f aca="false">+P134/((P87+O87)/2)</f>
        <v>-0.0202853478585205</v>
      </c>
      <c r="Q135" s="31" t="n">
        <f aca="false">+Q134/((Q87+P87)/2)</f>
        <v>-0.043037370555163</v>
      </c>
      <c r="R135" s="31" t="n">
        <f aca="false">+R134/((R87+Q87)/2)</f>
        <v>0.00486881166094849</v>
      </c>
      <c r="S135" s="31" t="n">
        <f aca="false">+S134/((S87+R87)/2)</f>
        <v>0.0171542388278433</v>
      </c>
      <c r="T135" s="31"/>
      <c r="U135" s="31"/>
      <c r="V135" s="31"/>
      <c r="W135" s="31"/>
      <c r="X135" s="31"/>
      <c r="Y135" s="31"/>
      <c r="Z135" s="31"/>
      <c r="AA135" s="31"/>
      <c r="AB135" s="31" t="n">
        <f aca="false">+AB134/((AB87+AA87)/2)</f>
        <v>-0.189970907667281</v>
      </c>
      <c r="AC135" s="31" t="n">
        <f aca="false">+AC134/((AC87+AB87)/2)</f>
        <v>-0.142815162000504</v>
      </c>
      <c r="AD135" s="31" t="n">
        <f aca="false">+AD134/((AD87+AC87)/2)</f>
        <v>-0.140496709551356</v>
      </c>
      <c r="AE135" s="31" t="n">
        <f aca="false">+AE134/((AE87+AD87)/2)</f>
        <v>-0.138831427357087</v>
      </c>
      <c r="AF135" s="31" t="n">
        <f aca="false">+AF134/((AF87+AE87)/2)</f>
        <v>-0.163724543662391</v>
      </c>
      <c r="AG135" s="31" t="n">
        <f aca="false">+AG134/((AG87+AF87)/2)</f>
        <v>-0.0349529575957705</v>
      </c>
      <c r="AH135" s="31" t="n">
        <f aca="false">+AH134/((AH87+AG87)/2)</f>
        <v>-0.112030654875917</v>
      </c>
      <c r="AI135" s="31" t="n">
        <f aca="false">+AI134/((AI87+AH87)/2)</f>
        <v>-0.110084782299076</v>
      </c>
      <c r="AJ135" s="31" t="n">
        <f aca="false">+AJ134/((AJ87+AI87)/2)</f>
        <v>-0.098250585134135</v>
      </c>
      <c r="AK135" s="31" t="n">
        <f aca="false">+AK134/((AK87+AJ87)/2)</f>
        <v>-0.0857197986877095</v>
      </c>
      <c r="AL135" s="31"/>
      <c r="AM135" s="31"/>
      <c r="AN135" s="31"/>
      <c r="AO135" s="31"/>
      <c r="AP135" s="31"/>
      <c r="AU135" s="31"/>
      <c r="AV135" s="31"/>
    </row>
    <row r="137" customFormat="false" ht="12.8" hidden="false" customHeight="false" outlineLevel="0" collapsed="false">
      <c r="A137" s="1" t="s">
        <v>230</v>
      </c>
      <c r="AK137" s="5" t="n">
        <v>1576000</v>
      </c>
    </row>
    <row r="138" customFormat="false" ht="12.8" hidden="false" customHeight="false" outlineLevel="0" collapsed="false">
      <c r="A138" s="1" t="s">
        <v>231</v>
      </c>
      <c r="AA138" s="5" t="e">
        <f aca="false">+(AA15*1000000)/AA137</f>
        <v>#DIV/0!</v>
      </c>
      <c r="AB138" s="5" t="e">
        <f aca="false">+(AB15*1000000)/AB137</f>
        <v>#DIV/0!</v>
      </c>
      <c r="AC138" s="5" t="e">
        <f aca="false">+(AC15*1000000)/AC137</f>
        <v>#DIV/0!</v>
      </c>
      <c r="AD138" s="5" t="e">
        <f aca="false">+(AD15*1000000)/AD137</f>
        <v>#DIV/0!</v>
      </c>
      <c r="AE138" s="5" t="e">
        <f aca="false">+(AE15*1000000)/AE137</f>
        <v>#DIV/0!</v>
      </c>
      <c r="AF138" s="5" t="e">
        <f aca="false">+(AF15*1000000)/AF137</f>
        <v>#DIV/0!</v>
      </c>
      <c r="AG138" s="5" t="e">
        <f aca="false">+(AG15*1000000)/AG137</f>
        <v>#DIV/0!</v>
      </c>
      <c r="AH138" s="5" t="e">
        <f aca="false">+(AH15*1000000)/AH137</f>
        <v>#DIV/0!</v>
      </c>
      <c r="AI138" s="5" t="e">
        <f aca="false">+(AI15*1000000)/AI137</f>
        <v>#DIV/0!</v>
      </c>
      <c r="AJ138" s="5" t="e">
        <f aca="false">+(AJ15*1000000)/AJ137</f>
        <v>#DIV/0!</v>
      </c>
      <c r="AK138" s="5" t="n">
        <f aca="false">+(AK15*1000000)/AK137</f>
        <v>454901.015228426</v>
      </c>
    </row>
    <row r="139" customFormat="false" ht="12.8" hidden="false" customHeight="false" outlineLevel="0" collapsed="false">
      <c r="AQ139" s="31"/>
      <c r="AT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  <c r="CW139" s="31"/>
      <c r="CX139" s="31"/>
      <c r="CY139" s="31"/>
      <c r="CZ139" s="31"/>
      <c r="DA139" s="31"/>
      <c r="DB139" s="31"/>
      <c r="DC139" s="31"/>
      <c r="DD139" s="31"/>
      <c r="DE139" s="31"/>
      <c r="DF139" s="31"/>
      <c r="DG139" s="31"/>
      <c r="DH139" s="31"/>
      <c r="DI139" s="31"/>
      <c r="DJ139" s="31"/>
      <c r="DK139" s="31"/>
      <c r="DL139" s="31"/>
      <c r="DM139" s="31"/>
      <c r="DN139" s="31"/>
      <c r="DO139" s="31"/>
    </row>
    <row r="141" customFormat="false" ht="12.8" hidden="false" customHeight="false" outlineLevel="0" collapsed="false">
      <c r="A141" s="1" t="s">
        <v>232</v>
      </c>
    </row>
    <row r="142" customFormat="false" ht="12.8" hidden="false" customHeight="false" outlineLevel="0" collapsed="false">
      <c r="A142" s="1" t="s">
        <v>233</v>
      </c>
    </row>
    <row r="143" customFormat="false" ht="12.8" hidden="false" customHeight="false" outlineLevel="0" collapsed="false">
      <c r="A143" s="1" t="s">
        <v>234</v>
      </c>
    </row>
  </sheetData>
  <mergeCells count="1">
    <mergeCell ref="AU53:AV53"/>
  </mergeCells>
  <hyperlinks>
    <hyperlink ref="A1" r:id="rId2" location="Main" display="Main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4"/>
  <sheetViews>
    <sheetView showFormulas="false" showGridLines="true" showRowColHeaders="true" showZeros="true" rightToLeft="false" tabSelected="false" showOutlineSymbols="true" defaultGridColor="true" view="normal" topLeftCell="E35" colorId="64" zoomScale="60" zoomScaleNormal="60" zoomScalePageLayoutView="100" workbookViewId="0">
      <selection pane="topLeft" activeCell="I16" activeCellId="0" sqref="I16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8.03"/>
    <col collapsed="false" customWidth="true" hidden="false" outlineLevel="0" max="3" min="3" style="1" width="13.66"/>
    <col collapsed="false" customWidth="true" hidden="false" outlineLevel="0" max="4" min="4" style="1" width="25.24"/>
    <col collapsed="false" customWidth="true" hidden="false" outlineLevel="0" max="5" min="5" style="1" width="16.05"/>
    <col collapsed="false" customWidth="true" hidden="false" outlineLevel="0" max="6" min="6" style="1" width="14.54"/>
    <col collapsed="false" customWidth="true" hidden="false" outlineLevel="0" max="7" min="7" style="1" width="14.93"/>
    <col collapsed="false" customWidth="true" hidden="false" outlineLevel="0" max="8" min="8" style="1" width="15.06"/>
    <col collapsed="false" customWidth="false" hidden="false" outlineLevel="0" max="16384" min="9" style="1" width="11.53"/>
  </cols>
  <sheetData>
    <row r="1" customFormat="false" ht="12.7" hidden="false" customHeight="false" outlineLevel="0" collapsed="false">
      <c r="A1" s="19" t="s">
        <v>92</v>
      </c>
    </row>
    <row r="3" customFormat="false" ht="27.15" hidden="false" customHeight="false" outlineLevel="0" collapsed="false">
      <c r="B3" s="60" t="s">
        <v>235</v>
      </c>
      <c r="C3" s="60" t="s">
        <v>236</v>
      </c>
      <c r="D3" s="60" t="s">
        <v>237</v>
      </c>
      <c r="E3" s="61" t="s">
        <v>238</v>
      </c>
      <c r="F3" s="60" t="s">
        <v>239</v>
      </c>
      <c r="G3" s="60" t="s">
        <v>240</v>
      </c>
      <c r="H3" s="60" t="s">
        <v>241</v>
      </c>
      <c r="I3" s="60" t="s">
        <v>242</v>
      </c>
      <c r="J3" s="60" t="s">
        <v>243</v>
      </c>
      <c r="K3" s="60" t="s">
        <v>244</v>
      </c>
    </row>
    <row r="4" customFormat="false" ht="13.8" hidden="false" customHeight="false" outlineLevel="0" collapsed="false">
      <c r="B4" s="62" t="s">
        <v>245</v>
      </c>
      <c r="C4" s="62" t="s">
        <v>246</v>
      </c>
      <c r="D4" s="62" t="s">
        <v>247</v>
      </c>
      <c r="E4" s="63" t="n">
        <v>1000</v>
      </c>
      <c r="F4" s="62" t="s">
        <v>248</v>
      </c>
      <c r="G4" s="62" t="s">
        <v>249</v>
      </c>
      <c r="H4" s="64" t="s">
        <v>250</v>
      </c>
      <c r="I4" s="62" t="s">
        <v>251</v>
      </c>
      <c r="J4" s="62" t="s">
        <v>252</v>
      </c>
      <c r="K4" s="62" t="s">
        <v>246</v>
      </c>
      <c r="O4" s="16" t="s">
        <v>253</v>
      </c>
    </row>
    <row r="5" customFormat="false" ht="13.8" hidden="false" customHeight="false" outlineLevel="0" collapsed="false">
      <c r="B5" s="65" t="s">
        <v>254</v>
      </c>
      <c r="C5" s="65" t="s">
        <v>246</v>
      </c>
      <c r="D5" s="65" t="s">
        <v>255</v>
      </c>
      <c r="E5" s="66" t="n">
        <v>13000</v>
      </c>
      <c r="F5" s="65" t="s">
        <v>248</v>
      </c>
      <c r="G5" s="65" t="s">
        <v>256</v>
      </c>
      <c r="H5" s="67" t="s">
        <v>257</v>
      </c>
      <c r="I5" s="65" t="s">
        <v>258</v>
      </c>
      <c r="J5" s="65" t="s">
        <v>252</v>
      </c>
      <c r="K5" s="65" t="s">
        <v>246</v>
      </c>
    </row>
    <row r="6" customFormat="false" ht="13.8" hidden="false" customHeight="false" outlineLevel="0" collapsed="false">
      <c r="B6" s="62" t="s">
        <v>259</v>
      </c>
      <c r="C6" s="62" t="s">
        <v>246</v>
      </c>
      <c r="D6" s="62" t="s">
        <v>260</v>
      </c>
      <c r="E6" s="63" t="n">
        <v>12500</v>
      </c>
      <c r="F6" s="62" t="s">
        <v>248</v>
      </c>
      <c r="G6" s="62" t="s">
        <v>261</v>
      </c>
      <c r="H6" s="67" t="s">
        <v>257</v>
      </c>
      <c r="I6" s="62" t="s">
        <v>258</v>
      </c>
      <c r="J6" s="62" t="s">
        <v>252</v>
      </c>
      <c r="K6" s="62" t="s">
        <v>246</v>
      </c>
    </row>
    <row r="7" customFormat="false" ht="13.8" hidden="false" customHeight="false" outlineLevel="0" collapsed="false">
      <c r="B7" s="65" t="s">
        <v>262</v>
      </c>
      <c r="C7" s="65" t="s">
        <v>246</v>
      </c>
      <c r="D7" s="65" t="s">
        <v>255</v>
      </c>
      <c r="E7" s="66" t="n">
        <v>13000</v>
      </c>
      <c r="F7" s="65" t="s">
        <v>248</v>
      </c>
      <c r="G7" s="65" t="s">
        <v>263</v>
      </c>
      <c r="H7" s="67" t="s">
        <v>257</v>
      </c>
      <c r="I7" s="65" t="s">
        <v>258</v>
      </c>
      <c r="J7" s="65" t="s">
        <v>252</v>
      </c>
      <c r="K7" s="65" t="s">
        <v>246</v>
      </c>
    </row>
    <row r="8" customFormat="false" ht="13.8" hidden="false" customHeight="false" outlineLevel="0" collapsed="false">
      <c r="B8" s="62" t="s">
        <v>264</v>
      </c>
      <c r="C8" s="62" t="s">
        <v>246</v>
      </c>
      <c r="D8" s="62" t="s">
        <v>260</v>
      </c>
      <c r="E8" s="63" t="n">
        <v>12500</v>
      </c>
      <c r="F8" s="62" t="s">
        <v>248</v>
      </c>
      <c r="G8" s="62" t="s">
        <v>265</v>
      </c>
      <c r="H8" s="67" t="s">
        <v>257</v>
      </c>
      <c r="I8" s="62" t="s">
        <v>258</v>
      </c>
      <c r="J8" s="62" t="s">
        <v>252</v>
      </c>
      <c r="K8" s="62" t="s">
        <v>246</v>
      </c>
    </row>
    <row r="9" customFormat="false" ht="13.8" hidden="false" customHeight="false" outlineLevel="0" collapsed="false">
      <c r="B9" s="65" t="s">
        <v>266</v>
      </c>
      <c r="C9" s="65" t="s">
        <v>246</v>
      </c>
      <c r="D9" s="65" t="s">
        <v>255</v>
      </c>
      <c r="E9" s="66" t="n">
        <v>13500</v>
      </c>
      <c r="F9" s="65" t="s">
        <v>248</v>
      </c>
      <c r="G9" s="65" t="s">
        <v>267</v>
      </c>
      <c r="H9" s="67" t="s">
        <v>257</v>
      </c>
      <c r="I9" s="65" t="s">
        <v>258</v>
      </c>
      <c r="J9" s="65" t="s">
        <v>252</v>
      </c>
      <c r="K9" s="65" t="s">
        <v>246</v>
      </c>
    </row>
    <row r="10" customFormat="false" ht="13.8" hidden="false" customHeight="false" outlineLevel="0" collapsed="false">
      <c r="B10" s="62" t="s">
        <v>268</v>
      </c>
      <c r="C10" s="62" t="s">
        <v>246</v>
      </c>
      <c r="D10" s="62" t="s">
        <v>260</v>
      </c>
      <c r="E10" s="63" t="n">
        <v>12500</v>
      </c>
      <c r="F10" s="62" t="s">
        <v>248</v>
      </c>
      <c r="G10" s="62" t="s">
        <v>269</v>
      </c>
      <c r="H10" s="67" t="s">
        <v>257</v>
      </c>
      <c r="I10" s="62" t="s">
        <v>258</v>
      </c>
      <c r="J10" s="62" t="s">
        <v>252</v>
      </c>
      <c r="K10" s="62" t="s">
        <v>246</v>
      </c>
    </row>
    <row r="11" customFormat="false" ht="13.8" hidden="false" customHeight="false" outlineLevel="0" collapsed="false">
      <c r="B11" s="65" t="s">
        <v>270</v>
      </c>
      <c r="C11" s="65" t="s">
        <v>246</v>
      </c>
      <c r="D11" s="65" t="s">
        <v>260</v>
      </c>
      <c r="E11" s="66" t="n">
        <v>12500</v>
      </c>
      <c r="F11" s="65" t="s">
        <v>248</v>
      </c>
      <c r="G11" s="65" t="s">
        <v>271</v>
      </c>
      <c r="H11" s="67" t="s">
        <v>257</v>
      </c>
      <c r="I11" s="65" t="s">
        <v>258</v>
      </c>
      <c r="J11" s="65" t="s">
        <v>252</v>
      </c>
      <c r="K11" s="65" t="s">
        <v>246</v>
      </c>
    </row>
    <row r="12" customFormat="false" ht="13.8" hidden="false" customHeight="false" outlineLevel="0" collapsed="false">
      <c r="B12" s="62" t="s">
        <v>272</v>
      </c>
      <c r="C12" s="62" t="s">
        <v>246</v>
      </c>
      <c r="D12" s="62" t="s">
        <v>247</v>
      </c>
      <c r="E12" s="63" t="n">
        <v>3300</v>
      </c>
      <c r="F12" s="62" t="s">
        <v>248</v>
      </c>
      <c r="G12" s="62" t="s">
        <v>273</v>
      </c>
      <c r="H12" s="64" t="s">
        <v>250</v>
      </c>
      <c r="I12" s="62" t="s">
        <v>251</v>
      </c>
      <c r="J12" s="62" t="s">
        <v>252</v>
      </c>
      <c r="K12" s="62" t="s">
        <v>246</v>
      </c>
    </row>
    <row r="13" customFormat="false" ht="13.8" hidden="false" customHeight="false" outlineLevel="0" collapsed="false">
      <c r="B13" s="65" t="s">
        <v>274</v>
      </c>
      <c r="C13" s="65" t="s">
        <v>246</v>
      </c>
      <c r="D13" s="65" t="s">
        <v>247</v>
      </c>
      <c r="E13" s="66" t="n">
        <v>1200</v>
      </c>
      <c r="F13" s="65" t="s">
        <v>248</v>
      </c>
      <c r="G13" s="65" t="s">
        <v>275</v>
      </c>
      <c r="H13" s="64" t="s">
        <v>250</v>
      </c>
      <c r="I13" s="65" t="s">
        <v>251</v>
      </c>
      <c r="J13" s="65" t="s">
        <v>252</v>
      </c>
      <c r="K13" s="65" t="s">
        <v>246</v>
      </c>
    </row>
    <row r="14" customFormat="false" ht="13.8" hidden="false" customHeight="false" outlineLevel="0" collapsed="false">
      <c r="B14" s="62" t="s">
        <v>276</v>
      </c>
      <c r="C14" s="62" t="s">
        <v>246</v>
      </c>
      <c r="D14" s="62" t="s">
        <v>247</v>
      </c>
      <c r="E14" s="63" t="n">
        <v>3150</v>
      </c>
      <c r="F14" s="62" t="s">
        <v>248</v>
      </c>
      <c r="G14" s="62" t="s">
        <v>277</v>
      </c>
      <c r="H14" s="64" t="s">
        <v>250</v>
      </c>
      <c r="I14" s="62" t="s">
        <v>251</v>
      </c>
      <c r="J14" s="62" t="s">
        <v>252</v>
      </c>
      <c r="K14" s="62" t="s">
        <v>246</v>
      </c>
    </row>
    <row r="15" customFormat="false" ht="13.8" hidden="false" customHeight="false" outlineLevel="0" collapsed="false">
      <c r="B15" s="65" t="s">
        <v>278</v>
      </c>
      <c r="C15" s="65" t="s">
        <v>246</v>
      </c>
      <c r="D15" s="65" t="s">
        <v>247</v>
      </c>
      <c r="E15" s="66" t="n">
        <v>4550</v>
      </c>
      <c r="F15" s="65" t="s">
        <v>248</v>
      </c>
      <c r="G15" s="65" t="s">
        <v>279</v>
      </c>
      <c r="H15" s="64" t="s">
        <v>250</v>
      </c>
      <c r="I15" s="65" t="s">
        <v>251</v>
      </c>
      <c r="J15" s="65" t="s">
        <v>252</v>
      </c>
      <c r="K15" s="65" t="s">
        <v>246</v>
      </c>
    </row>
    <row r="16" customFormat="false" ht="13.8" hidden="false" customHeight="false" outlineLevel="0" collapsed="false">
      <c r="B16" s="62" t="s">
        <v>280</v>
      </c>
      <c r="C16" s="62" t="s">
        <v>246</v>
      </c>
      <c r="D16" s="62" t="s">
        <v>255</v>
      </c>
      <c r="E16" s="63" t="n">
        <v>13000</v>
      </c>
      <c r="F16" s="62" t="s">
        <v>248</v>
      </c>
      <c r="G16" s="62" t="s">
        <v>281</v>
      </c>
      <c r="H16" s="67" t="s">
        <v>257</v>
      </c>
      <c r="I16" s="62" t="s">
        <v>258</v>
      </c>
      <c r="J16" s="62" t="s">
        <v>252</v>
      </c>
      <c r="K16" s="62" t="s">
        <v>246</v>
      </c>
    </row>
    <row r="17" customFormat="false" ht="13.8" hidden="false" customHeight="false" outlineLevel="0" collapsed="false">
      <c r="B17" s="65" t="s">
        <v>282</v>
      </c>
      <c r="C17" s="65" t="s">
        <v>246</v>
      </c>
      <c r="D17" s="65" t="s">
        <v>255</v>
      </c>
      <c r="E17" s="66" t="n">
        <v>13000</v>
      </c>
      <c r="F17" s="65" t="s">
        <v>248</v>
      </c>
      <c r="G17" s="65" t="s">
        <v>283</v>
      </c>
      <c r="H17" s="67" t="s">
        <v>257</v>
      </c>
      <c r="I17" s="65" t="s">
        <v>258</v>
      </c>
      <c r="J17" s="65" t="s">
        <v>252</v>
      </c>
      <c r="K17" s="65" t="s">
        <v>246</v>
      </c>
    </row>
    <row r="18" customFormat="false" ht="13.8" hidden="false" customHeight="false" outlineLevel="0" collapsed="false">
      <c r="B18" s="62" t="s">
        <v>284</v>
      </c>
      <c r="C18" s="62" t="s">
        <v>246</v>
      </c>
      <c r="D18" s="62" t="s">
        <v>247</v>
      </c>
      <c r="E18" s="63" t="n">
        <v>4086</v>
      </c>
      <c r="F18" s="62" t="s">
        <v>285</v>
      </c>
      <c r="G18" s="62" t="s">
        <v>286</v>
      </c>
      <c r="H18" s="67" t="s">
        <v>257</v>
      </c>
      <c r="I18" s="62" t="s">
        <v>251</v>
      </c>
      <c r="J18" s="62" t="s">
        <v>252</v>
      </c>
      <c r="K18" s="62" t="s">
        <v>246</v>
      </c>
    </row>
    <row r="19" customFormat="false" ht="13.8" hidden="false" customHeight="false" outlineLevel="0" collapsed="false">
      <c r="B19" s="65" t="s">
        <v>287</v>
      </c>
      <c r="C19" s="65" t="s">
        <v>246</v>
      </c>
      <c r="D19" s="65" t="s">
        <v>247</v>
      </c>
      <c r="E19" s="66" t="n">
        <v>3850</v>
      </c>
      <c r="F19" s="65" t="s">
        <v>248</v>
      </c>
      <c r="G19" s="65" t="s">
        <v>286</v>
      </c>
      <c r="H19" s="64" t="s">
        <v>250</v>
      </c>
      <c r="I19" s="65" t="s">
        <v>251</v>
      </c>
      <c r="J19" s="65" t="s">
        <v>252</v>
      </c>
      <c r="K19" s="65" t="s">
        <v>246</v>
      </c>
    </row>
    <row r="20" customFormat="false" ht="13.8" hidden="false" customHeight="false" outlineLevel="0" collapsed="false">
      <c r="B20" s="62" t="s">
        <v>288</v>
      </c>
      <c r="C20" s="62" t="s">
        <v>246</v>
      </c>
      <c r="D20" s="62" t="s">
        <v>247</v>
      </c>
      <c r="E20" s="63" t="n">
        <v>2500</v>
      </c>
      <c r="F20" s="62" t="s">
        <v>285</v>
      </c>
      <c r="G20" s="62" t="s">
        <v>289</v>
      </c>
      <c r="H20" s="67" t="s">
        <v>257</v>
      </c>
      <c r="I20" s="62" t="s">
        <v>290</v>
      </c>
      <c r="J20" s="62" t="s">
        <v>252</v>
      </c>
      <c r="K20" s="62" t="s">
        <v>246</v>
      </c>
    </row>
    <row r="21" customFormat="false" ht="13.8" hidden="false" customHeight="false" outlineLevel="0" collapsed="false">
      <c r="B21" s="65" t="s">
        <v>291</v>
      </c>
      <c r="C21" s="65" t="s">
        <v>246</v>
      </c>
      <c r="D21" s="65" t="s">
        <v>247</v>
      </c>
      <c r="E21" s="66" t="n">
        <v>2800</v>
      </c>
      <c r="F21" s="65" t="s">
        <v>248</v>
      </c>
      <c r="G21" s="65" t="s">
        <v>289</v>
      </c>
      <c r="H21" s="64" t="s">
        <v>250</v>
      </c>
      <c r="I21" s="65" t="s">
        <v>290</v>
      </c>
      <c r="J21" s="65" t="s">
        <v>252</v>
      </c>
      <c r="K21" s="65" t="s">
        <v>246</v>
      </c>
    </row>
    <row r="22" customFormat="false" ht="13.8" hidden="false" customHeight="false" outlineLevel="0" collapsed="false">
      <c r="B22" s="62" t="s">
        <v>292</v>
      </c>
      <c r="C22" s="62" t="s">
        <v>246</v>
      </c>
      <c r="D22" s="62" t="s">
        <v>247</v>
      </c>
      <c r="E22" s="63" t="n">
        <v>1650</v>
      </c>
      <c r="F22" s="62" t="s">
        <v>248</v>
      </c>
      <c r="G22" s="62" t="s">
        <v>293</v>
      </c>
      <c r="H22" s="64" t="s">
        <v>250</v>
      </c>
      <c r="I22" s="62" t="s">
        <v>251</v>
      </c>
      <c r="J22" s="62" t="s">
        <v>252</v>
      </c>
      <c r="K22" s="62" t="s">
        <v>246</v>
      </c>
    </row>
    <row r="23" customFormat="false" ht="13.8" hidden="false" customHeight="false" outlineLevel="0" collapsed="false">
      <c r="B23" s="65" t="s">
        <v>294</v>
      </c>
      <c r="C23" s="65" t="s">
        <v>246</v>
      </c>
      <c r="D23" s="65" t="s">
        <v>247</v>
      </c>
      <c r="E23" s="66" t="n">
        <v>3900</v>
      </c>
      <c r="F23" s="65" t="s">
        <v>248</v>
      </c>
      <c r="G23" s="65" t="s">
        <v>295</v>
      </c>
      <c r="H23" s="64" t="s">
        <v>250</v>
      </c>
      <c r="I23" s="65" t="s">
        <v>251</v>
      </c>
      <c r="J23" s="65" t="s">
        <v>252</v>
      </c>
      <c r="K23" s="65" t="s">
        <v>246</v>
      </c>
    </row>
    <row r="24" customFormat="false" ht="13.8" hidden="false" customHeight="false" outlineLevel="0" collapsed="false">
      <c r="B24" s="62" t="s">
        <v>296</v>
      </c>
      <c r="C24" s="62" t="s">
        <v>246</v>
      </c>
      <c r="D24" s="62" t="s">
        <v>247</v>
      </c>
      <c r="E24" s="63" t="n">
        <v>4236</v>
      </c>
      <c r="F24" s="62" t="s">
        <v>285</v>
      </c>
      <c r="G24" s="62" t="s">
        <v>297</v>
      </c>
      <c r="H24" s="67" t="s">
        <v>257</v>
      </c>
      <c r="I24" s="62" t="s">
        <v>251</v>
      </c>
      <c r="J24" s="62" t="s">
        <v>252</v>
      </c>
      <c r="K24" s="62" t="s">
        <v>246</v>
      </c>
    </row>
    <row r="25" customFormat="false" ht="13.8" hidden="false" customHeight="false" outlineLevel="0" collapsed="false">
      <c r="B25" s="65" t="s">
        <v>298</v>
      </c>
      <c r="C25" s="65" t="s">
        <v>246</v>
      </c>
      <c r="D25" s="65" t="s">
        <v>247</v>
      </c>
      <c r="E25" s="66" t="n">
        <v>4000</v>
      </c>
      <c r="F25" s="65" t="s">
        <v>248</v>
      </c>
      <c r="G25" s="65" t="s">
        <v>297</v>
      </c>
      <c r="H25" s="64" t="s">
        <v>250</v>
      </c>
      <c r="I25" s="65" t="s">
        <v>251</v>
      </c>
      <c r="J25" s="65" t="s">
        <v>252</v>
      </c>
      <c r="K25" s="65" t="s">
        <v>246</v>
      </c>
    </row>
    <row r="26" customFormat="false" ht="13.8" hidden="false" customHeight="false" outlineLevel="0" collapsed="false">
      <c r="B26" s="62" t="s">
        <v>299</v>
      </c>
      <c r="C26" s="62" t="s">
        <v>246</v>
      </c>
      <c r="D26" s="62" t="s">
        <v>247</v>
      </c>
      <c r="E26" s="63" t="n">
        <v>3450</v>
      </c>
      <c r="F26" s="62" t="s">
        <v>248</v>
      </c>
      <c r="G26" s="62" t="s">
        <v>300</v>
      </c>
      <c r="H26" s="64" t="s">
        <v>250</v>
      </c>
      <c r="I26" s="62" t="s">
        <v>251</v>
      </c>
      <c r="J26" s="62" t="s">
        <v>252</v>
      </c>
      <c r="K26" s="62" t="s">
        <v>246</v>
      </c>
    </row>
    <row r="27" customFormat="false" ht="13.8" hidden="false" customHeight="false" outlineLevel="0" collapsed="false">
      <c r="B27" s="65" t="s">
        <v>301</v>
      </c>
      <c r="C27" s="65" t="s">
        <v>246</v>
      </c>
      <c r="D27" s="65" t="s">
        <v>247</v>
      </c>
      <c r="E27" s="66" t="n">
        <v>4650</v>
      </c>
      <c r="F27" s="65" t="s">
        <v>248</v>
      </c>
      <c r="G27" s="65" t="s">
        <v>302</v>
      </c>
      <c r="H27" s="64" t="s">
        <v>250</v>
      </c>
      <c r="I27" s="65" t="s">
        <v>251</v>
      </c>
      <c r="J27" s="65" t="s">
        <v>252</v>
      </c>
      <c r="K27" s="65" t="s">
        <v>246</v>
      </c>
    </row>
    <row r="28" customFormat="false" ht="13.8" hidden="false" customHeight="false" outlineLevel="0" collapsed="false">
      <c r="B28" s="62" t="s">
        <v>303</v>
      </c>
      <c r="C28" s="62" t="s">
        <v>246</v>
      </c>
      <c r="D28" s="62" t="s">
        <v>247</v>
      </c>
      <c r="E28" s="63" t="n">
        <v>3100</v>
      </c>
      <c r="F28" s="62" t="s">
        <v>248</v>
      </c>
      <c r="G28" s="62" t="s">
        <v>304</v>
      </c>
      <c r="H28" s="64" t="s">
        <v>250</v>
      </c>
      <c r="I28" s="62" t="s">
        <v>290</v>
      </c>
      <c r="J28" s="62" t="s">
        <v>252</v>
      </c>
      <c r="K28" s="62" t="s">
        <v>246</v>
      </c>
    </row>
    <row r="29" customFormat="false" ht="13.8" hidden="false" customHeight="false" outlineLevel="0" collapsed="false">
      <c r="B29" s="65" t="s">
        <v>305</v>
      </c>
      <c r="C29" s="65" t="s">
        <v>246</v>
      </c>
      <c r="D29" s="65" t="s">
        <v>247</v>
      </c>
      <c r="E29" s="66" t="n">
        <v>1500</v>
      </c>
      <c r="F29" s="65" t="s">
        <v>248</v>
      </c>
      <c r="G29" s="65" t="s">
        <v>306</v>
      </c>
      <c r="H29" s="64" t="s">
        <v>250</v>
      </c>
      <c r="I29" s="65" t="s">
        <v>251</v>
      </c>
      <c r="J29" s="65" t="s">
        <v>252</v>
      </c>
      <c r="K29" s="65" t="s">
        <v>246</v>
      </c>
    </row>
    <row r="30" customFormat="false" ht="13.8" hidden="false" customHeight="false" outlineLevel="0" collapsed="false">
      <c r="B30" s="62" t="s">
        <v>307</v>
      </c>
      <c r="C30" s="62" t="s">
        <v>246</v>
      </c>
      <c r="D30" s="62" t="s">
        <v>247</v>
      </c>
      <c r="E30" s="63" t="n">
        <v>4100</v>
      </c>
      <c r="F30" s="62" t="s">
        <v>248</v>
      </c>
      <c r="G30" s="62" t="s">
        <v>308</v>
      </c>
      <c r="H30" s="64" t="s">
        <v>250</v>
      </c>
      <c r="I30" s="62" t="s">
        <v>251</v>
      </c>
      <c r="J30" s="62" t="s">
        <v>252</v>
      </c>
      <c r="K30" s="62" t="s">
        <v>246</v>
      </c>
    </row>
    <row r="31" customFormat="false" ht="13.8" hidden="false" customHeight="false" outlineLevel="0" collapsed="false">
      <c r="B31" s="65" t="s">
        <v>309</v>
      </c>
      <c r="C31" s="65" t="s">
        <v>246</v>
      </c>
      <c r="D31" s="65" t="s">
        <v>247</v>
      </c>
      <c r="E31" s="66" t="n">
        <v>4250</v>
      </c>
      <c r="F31" s="65" t="s">
        <v>248</v>
      </c>
      <c r="G31" s="65" t="s">
        <v>310</v>
      </c>
      <c r="H31" s="64" t="s">
        <v>250</v>
      </c>
      <c r="I31" s="65" t="s">
        <v>251</v>
      </c>
      <c r="J31" s="65" t="s">
        <v>252</v>
      </c>
      <c r="K31" s="65" t="s">
        <v>246</v>
      </c>
    </row>
    <row r="32" customFormat="false" ht="13.8" hidden="false" customHeight="false" outlineLevel="0" collapsed="false">
      <c r="B32" s="62" t="s">
        <v>311</v>
      </c>
      <c r="C32" s="62" t="s">
        <v>312</v>
      </c>
      <c r="D32" s="62" t="s">
        <v>255</v>
      </c>
      <c r="E32" s="63" t="n">
        <v>14000</v>
      </c>
      <c r="F32" s="62" t="s">
        <v>248</v>
      </c>
      <c r="G32" s="62" t="s">
        <v>313</v>
      </c>
      <c r="H32" s="67" t="s">
        <v>257</v>
      </c>
      <c r="I32" s="62" t="s">
        <v>258</v>
      </c>
      <c r="J32" s="62" t="s">
        <v>314</v>
      </c>
      <c r="K32" s="62" t="s">
        <v>246</v>
      </c>
    </row>
    <row r="33" customFormat="false" ht="13.8" hidden="false" customHeight="false" outlineLevel="0" collapsed="false">
      <c r="B33" s="65" t="s">
        <v>315</v>
      </c>
      <c r="C33" s="65" t="s">
        <v>246</v>
      </c>
      <c r="D33" s="65" t="s">
        <v>247</v>
      </c>
      <c r="E33" s="66" t="n">
        <v>2100</v>
      </c>
      <c r="F33" s="65" t="s">
        <v>248</v>
      </c>
      <c r="G33" s="65" t="s">
        <v>316</v>
      </c>
      <c r="H33" s="64" t="s">
        <v>250</v>
      </c>
      <c r="I33" s="65" t="s">
        <v>251</v>
      </c>
      <c r="J33" s="65" t="s">
        <v>252</v>
      </c>
      <c r="K33" s="65" t="s">
        <v>246</v>
      </c>
    </row>
    <row r="34" customFormat="false" ht="13.8" hidden="false" customHeight="false" outlineLevel="0" collapsed="false">
      <c r="B34" s="62" t="s">
        <v>317</v>
      </c>
      <c r="C34" s="62" t="s">
        <v>246</v>
      </c>
      <c r="D34" s="62" t="s">
        <v>247</v>
      </c>
      <c r="E34" s="63" t="n">
        <v>3350</v>
      </c>
      <c r="F34" s="62" t="s">
        <v>248</v>
      </c>
      <c r="G34" s="62" t="s">
        <v>318</v>
      </c>
      <c r="H34" s="64" t="s">
        <v>250</v>
      </c>
      <c r="I34" s="62" t="s">
        <v>290</v>
      </c>
      <c r="J34" s="62" t="s">
        <v>252</v>
      </c>
      <c r="K34" s="62" t="s">
        <v>246</v>
      </c>
    </row>
    <row r="35" customFormat="false" ht="13.8" hidden="false" customHeight="false" outlineLevel="0" collapsed="false">
      <c r="B35" s="65" t="s">
        <v>319</v>
      </c>
      <c r="C35" s="65" t="s">
        <v>246</v>
      </c>
      <c r="D35" s="65" t="s">
        <v>247</v>
      </c>
      <c r="E35" s="66" t="n">
        <v>3600</v>
      </c>
      <c r="F35" s="65" t="s">
        <v>248</v>
      </c>
      <c r="G35" s="65" t="s">
        <v>320</v>
      </c>
      <c r="H35" s="64" t="s">
        <v>250</v>
      </c>
      <c r="I35" s="65" t="s">
        <v>251</v>
      </c>
      <c r="J35" s="65" t="s">
        <v>252</v>
      </c>
      <c r="K35" s="65" t="s">
        <v>246</v>
      </c>
    </row>
    <row r="36" customFormat="false" ht="13.8" hidden="false" customHeight="false" outlineLevel="0" collapsed="false">
      <c r="B36" s="62" t="s">
        <v>321</v>
      </c>
      <c r="C36" s="62" t="s">
        <v>246</v>
      </c>
      <c r="D36" s="62" t="s">
        <v>247</v>
      </c>
      <c r="E36" s="63" t="n">
        <v>4700</v>
      </c>
      <c r="F36" s="62" t="s">
        <v>248</v>
      </c>
      <c r="G36" s="62" t="s">
        <v>322</v>
      </c>
      <c r="H36" s="64" t="s">
        <v>250</v>
      </c>
      <c r="I36" s="62" t="s">
        <v>251</v>
      </c>
      <c r="J36" s="62" t="s">
        <v>252</v>
      </c>
      <c r="K36" s="62" t="s">
        <v>246</v>
      </c>
    </row>
    <row r="37" customFormat="false" ht="13.8" hidden="false" customHeight="false" outlineLevel="0" collapsed="false">
      <c r="B37" s="65" t="s">
        <v>323</v>
      </c>
      <c r="C37" s="65" t="s">
        <v>246</v>
      </c>
      <c r="D37" s="65" t="s">
        <v>247</v>
      </c>
      <c r="E37" s="66" t="n">
        <v>4550</v>
      </c>
      <c r="F37" s="65" t="s">
        <v>248</v>
      </c>
      <c r="G37" s="65" t="s">
        <v>324</v>
      </c>
      <c r="H37" s="64" t="s">
        <v>250</v>
      </c>
      <c r="I37" s="65" t="s">
        <v>251</v>
      </c>
      <c r="J37" s="65" t="s">
        <v>252</v>
      </c>
      <c r="K37" s="65" t="s">
        <v>246</v>
      </c>
    </row>
    <row r="38" customFormat="false" ht="13.8" hidden="false" customHeight="false" outlineLevel="0" collapsed="false">
      <c r="B38" s="62" t="s">
        <v>325</v>
      </c>
      <c r="C38" s="62" t="s">
        <v>246</v>
      </c>
      <c r="D38" s="62" t="s">
        <v>247</v>
      </c>
      <c r="E38" s="63" t="n">
        <v>4350</v>
      </c>
      <c r="F38" s="62" t="s">
        <v>248</v>
      </c>
      <c r="G38" s="62" t="s">
        <v>326</v>
      </c>
      <c r="H38" s="64" t="s">
        <v>250</v>
      </c>
      <c r="I38" s="62" t="s">
        <v>251</v>
      </c>
      <c r="J38" s="62" t="s">
        <v>252</v>
      </c>
      <c r="K38" s="62" t="s">
        <v>246</v>
      </c>
    </row>
    <row r="39" customFormat="false" ht="13.8" hidden="false" customHeight="false" outlineLevel="0" collapsed="false">
      <c r="B39" s="65" t="s">
        <v>327</v>
      </c>
      <c r="C39" s="65" t="s">
        <v>246</v>
      </c>
      <c r="D39" s="65" t="s">
        <v>328</v>
      </c>
      <c r="E39" s="66" t="n">
        <v>0</v>
      </c>
      <c r="F39" s="65" t="s">
        <v>329</v>
      </c>
      <c r="G39" s="65" t="s">
        <v>330</v>
      </c>
      <c r="H39" s="64" t="s">
        <v>250</v>
      </c>
      <c r="I39" s="65" t="s">
        <v>251</v>
      </c>
      <c r="J39" s="65" t="s">
        <v>252</v>
      </c>
      <c r="K39" s="65" t="s">
        <v>246</v>
      </c>
    </row>
    <row r="40" customFormat="false" ht="13.8" hidden="false" customHeight="false" outlineLevel="0" collapsed="false">
      <c r="B40" s="62" t="s">
        <v>331</v>
      </c>
      <c r="C40" s="62" t="s">
        <v>246</v>
      </c>
      <c r="D40" s="62" t="s">
        <v>247</v>
      </c>
      <c r="E40" s="63" t="n">
        <v>4800</v>
      </c>
      <c r="F40" s="62" t="s">
        <v>248</v>
      </c>
      <c r="G40" s="62" t="s">
        <v>332</v>
      </c>
      <c r="H40" s="64" t="s">
        <v>250</v>
      </c>
      <c r="I40" s="62" t="s">
        <v>251</v>
      </c>
      <c r="J40" s="62" t="s">
        <v>252</v>
      </c>
      <c r="K40" s="62" t="s">
        <v>246</v>
      </c>
    </row>
    <row r="41" customFormat="false" ht="13.8" hidden="false" customHeight="false" outlineLevel="0" collapsed="false">
      <c r="B41" s="65" t="s">
        <v>333</v>
      </c>
      <c r="C41" s="65" t="s">
        <v>246</v>
      </c>
      <c r="D41" s="65" t="s">
        <v>247</v>
      </c>
      <c r="E41" s="66" t="n">
        <v>3700</v>
      </c>
      <c r="F41" s="65" t="s">
        <v>248</v>
      </c>
      <c r="G41" s="65" t="s">
        <v>334</v>
      </c>
      <c r="H41" s="64" t="s">
        <v>250</v>
      </c>
      <c r="I41" s="65" t="s">
        <v>290</v>
      </c>
      <c r="J41" s="65" t="s">
        <v>252</v>
      </c>
      <c r="K41" s="65" t="s">
        <v>246</v>
      </c>
    </row>
    <row r="42" customFormat="false" ht="13.8" hidden="false" customHeight="false" outlineLevel="0" collapsed="false">
      <c r="B42" s="62" t="s">
        <v>335</v>
      </c>
      <c r="C42" s="62" t="s">
        <v>246</v>
      </c>
      <c r="D42" s="62" t="s">
        <v>247</v>
      </c>
      <c r="E42" s="63" t="n">
        <v>4650</v>
      </c>
      <c r="F42" s="62" t="s">
        <v>248</v>
      </c>
      <c r="G42" s="62" t="s">
        <v>336</v>
      </c>
      <c r="H42" s="64" t="s">
        <v>250</v>
      </c>
      <c r="I42" s="62" t="s">
        <v>251</v>
      </c>
      <c r="J42" s="62" t="s">
        <v>252</v>
      </c>
      <c r="K42" s="62" t="s">
        <v>246</v>
      </c>
    </row>
    <row r="43" customFormat="false" ht="13.8" hidden="false" customHeight="false" outlineLevel="0" collapsed="false">
      <c r="B43" s="65" t="s">
        <v>337</v>
      </c>
      <c r="C43" s="65" t="s">
        <v>246</v>
      </c>
      <c r="D43" s="65" t="s">
        <v>247</v>
      </c>
      <c r="E43" s="66" t="n">
        <v>4875</v>
      </c>
      <c r="F43" s="65" t="s">
        <v>248</v>
      </c>
      <c r="G43" s="65" t="s">
        <v>338</v>
      </c>
      <c r="H43" s="64" t="s">
        <v>250</v>
      </c>
      <c r="I43" s="65" t="s">
        <v>251</v>
      </c>
      <c r="J43" s="65" t="s">
        <v>252</v>
      </c>
      <c r="K43" s="65" t="s">
        <v>246</v>
      </c>
    </row>
    <row r="44" customFormat="false" ht="13.8" hidden="false" customHeight="false" outlineLevel="0" collapsed="false">
      <c r="B44" s="62" t="s">
        <v>339</v>
      </c>
      <c r="C44" s="62" t="s">
        <v>246</v>
      </c>
      <c r="D44" s="62" t="s">
        <v>247</v>
      </c>
      <c r="E44" s="63" t="n">
        <v>3875</v>
      </c>
      <c r="F44" s="62" t="s">
        <v>248</v>
      </c>
      <c r="G44" s="62" t="s">
        <v>340</v>
      </c>
      <c r="H44" s="64" t="s">
        <v>250</v>
      </c>
      <c r="I44" s="62" t="s">
        <v>251</v>
      </c>
      <c r="J44" s="62" t="s">
        <v>252</v>
      </c>
      <c r="K44" s="62" t="s">
        <v>246</v>
      </c>
    </row>
    <row r="45" customFormat="false" ht="13.8" hidden="false" customHeight="false" outlineLevel="0" collapsed="false">
      <c r="B45" s="65" t="s">
        <v>341</v>
      </c>
      <c r="C45" s="65" t="s">
        <v>246</v>
      </c>
      <c r="D45" s="65" t="s">
        <v>247</v>
      </c>
      <c r="E45" s="66" t="n">
        <v>4050</v>
      </c>
      <c r="F45" s="65" t="s">
        <v>248</v>
      </c>
      <c r="G45" s="65" t="s">
        <v>342</v>
      </c>
      <c r="H45" s="64" t="s">
        <v>250</v>
      </c>
      <c r="I45" s="65" t="s">
        <v>290</v>
      </c>
      <c r="J45" s="65" t="s">
        <v>252</v>
      </c>
      <c r="K45" s="65" t="s">
        <v>246</v>
      </c>
    </row>
    <row r="46" customFormat="false" ht="13.8" hidden="false" customHeight="false" outlineLevel="0" collapsed="false">
      <c r="B46" s="62" t="s">
        <v>343</v>
      </c>
      <c r="C46" s="62" t="s">
        <v>246</v>
      </c>
      <c r="D46" s="62" t="s">
        <v>247</v>
      </c>
      <c r="E46" s="63" t="n">
        <v>2875</v>
      </c>
      <c r="F46" s="62" t="s">
        <v>248</v>
      </c>
      <c r="G46" s="62" t="s">
        <v>344</v>
      </c>
      <c r="H46" s="64" t="s">
        <v>250</v>
      </c>
      <c r="I46" s="62" t="s">
        <v>251</v>
      </c>
      <c r="J46" s="62" t="s">
        <v>252</v>
      </c>
      <c r="K46" s="62" t="s">
        <v>246</v>
      </c>
    </row>
    <row r="47" customFormat="false" ht="13.8" hidden="false" customHeight="false" outlineLevel="0" collapsed="false">
      <c r="B47" s="65" t="s">
        <v>345</v>
      </c>
      <c r="C47" s="65" t="s">
        <v>246</v>
      </c>
      <c r="D47" s="65" t="s">
        <v>247</v>
      </c>
      <c r="E47" s="66" t="n">
        <v>4950</v>
      </c>
      <c r="F47" s="65" t="s">
        <v>248</v>
      </c>
      <c r="G47" s="65" t="s">
        <v>346</v>
      </c>
      <c r="H47" s="64" t="s">
        <v>250</v>
      </c>
      <c r="I47" s="65" t="s">
        <v>251</v>
      </c>
      <c r="J47" s="65" t="s">
        <v>252</v>
      </c>
      <c r="K47" s="65" t="s">
        <v>246</v>
      </c>
    </row>
    <row r="48" customFormat="false" ht="13.8" hidden="false" customHeight="false" outlineLevel="0" collapsed="false">
      <c r="B48" s="62" t="s">
        <v>347</v>
      </c>
      <c r="C48" s="62" t="s">
        <v>246</v>
      </c>
      <c r="D48" s="62" t="s">
        <v>247</v>
      </c>
      <c r="E48" s="63" t="n">
        <v>4450</v>
      </c>
      <c r="F48" s="62" t="s">
        <v>248</v>
      </c>
      <c r="G48" s="62" t="s">
        <v>348</v>
      </c>
      <c r="H48" s="64" t="s">
        <v>250</v>
      </c>
      <c r="I48" s="62" t="s">
        <v>290</v>
      </c>
      <c r="J48" s="62" t="s">
        <v>252</v>
      </c>
      <c r="K48" s="62" t="s">
        <v>246</v>
      </c>
    </row>
    <row r="49" customFormat="false" ht="13.8" hidden="false" customHeight="false" outlineLevel="0" collapsed="false">
      <c r="B49" s="65" t="s">
        <v>349</v>
      </c>
      <c r="C49" s="65" t="s">
        <v>246</v>
      </c>
      <c r="D49" s="65" t="s">
        <v>247</v>
      </c>
      <c r="E49" s="66" t="n">
        <v>5650</v>
      </c>
      <c r="F49" s="65" t="s">
        <v>248</v>
      </c>
      <c r="G49" s="65" t="s">
        <v>350</v>
      </c>
      <c r="H49" s="64" t="s">
        <v>250</v>
      </c>
      <c r="I49" s="65" t="s">
        <v>251</v>
      </c>
      <c r="J49" s="65" t="s">
        <v>252</v>
      </c>
      <c r="K49" s="65" t="s">
        <v>246</v>
      </c>
    </row>
    <row r="50" customFormat="false" ht="13.8" hidden="false" customHeight="false" outlineLevel="0" collapsed="false">
      <c r="B50" s="62" t="s">
        <v>351</v>
      </c>
      <c r="C50" s="62" t="s">
        <v>246</v>
      </c>
      <c r="D50" s="62" t="s">
        <v>247</v>
      </c>
      <c r="E50" s="63" t="n">
        <v>4050</v>
      </c>
      <c r="F50" s="62" t="s">
        <v>248</v>
      </c>
      <c r="G50" s="62" t="s">
        <v>352</v>
      </c>
      <c r="H50" s="64" t="s">
        <v>250</v>
      </c>
      <c r="I50" s="62" t="s">
        <v>251</v>
      </c>
      <c r="J50" s="62" t="s">
        <v>252</v>
      </c>
      <c r="K50" s="62" t="s">
        <v>246</v>
      </c>
    </row>
    <row r="51" customFormat="false" ht="13.8" hidden="false" customHeight="false" outlineLevel="0" collapsed="false">
      <c r="B51" s="65" t="s">
        <v>353</v>
      </c>
      <c r="C51" s="65" t="s">
        <v>246</v>
      </c>
      <c r="D51" s="65" t="s">
        <v>247</v>
      </c>
      <c r="E51" s="66" t="n">
        <v>2500</v>
      </c>
      <c r="F51" s="65" t="s">
        <v>248</v>
      </c>
      <c r="G51" s="65" t="s">
        <v>354</v>
      </c>
      <c r="H51" s="64" t="s">
        <v>250</v>
      </c>
      <c r="I51" s="65" t="s">
        <v>251</v>
      </c>
      <c r="J51" s="65" t="s">
        <v>252</v>
      </c>
      <c r="K51" s="65" t="s">
        <v>246</v>
      </c>
    </row>
    <row r="52" customFormat="false" ht="13.8" hidden="false" customHeight="false" outlineLevel="0" collapsed="false">
      <c r="B52" s="62" t="s">
        <v>355</v>
      </c>
      <c r="C52" s="62" t="s">
        <v>246</v>
      </c>
      <c r="D52" s="62" t="s">
        <v>247</v>
      </c>
      <c r="E52" s="63" t="n">
        <v>3100</v>
      </c>
      <c r="F52" s="62" t="s">
        <v>248</v>
      </c>
      <c r="G52" s="62" t="s">
        <v>356</v>
      </c>
      <c r="H52" s="64" t="s">
        <v>250</v>
      </c>
      <c r="I52" s="62" t="s">
        <v>251</v>
      </c>
      <c r="J52" s="62" t="s">
        <v>252</v>
      </c>
      <c r="K52" s="62" t="s">
        <v>246</v>
      </c>
    </row>
    <row r="53" customFormat="false" ht="13.8" hidden="false" customHeight="false" outlineLevel="0" collapsed="false">
      <c r="B53" s="65" t="s">
        <v>357</v>
      </c>
      <c r="C53" s="65" t="s">
        <v>246</v>
      </c>
      <c r="D53" s="65" t="s">
        <v>247</v>
      </c>
      <c r="E53" s="66" t="n">
        <v>3950</v>
      </c>
      <c r="F53" s="65" t="s">
        <v>248</v>
      </c>
      <c r="G53" s="65" t="s">
        <v>358</v>
      </c>
      <c r="H53" s="64" t="s">
        <v>250</v>
      </c>
      <c r="I53" s="65" t="s">
        <v>251</v>
      </c>
      <c r="J53" s="65" t="s">
        <v>252</v>
      </c>
      <c r="K53" s="65" t="s">
        <v>246</v>
      </c>
    </row>
    <row r="54" customFormat="false" ht="13.8" hidden="false" customHeight="false" outlineLevel="0" collapsed="false">
      <c r="B54" s="62" t="s">
        <v>359</v>
      </c>
      <c r="C54" s="62" t="s">
        <v>246</v>
      </c>
      <c r="D54" s="62" t="s">
        <v>247</v>
      </c>
      <c r="E54" s="63" t="n">
        <v>5450</v>
      </c>
      <c r="F54" s="62" t="s">
        <v>248</v>
      </c>
      <c r="G54" s="62" t="s">
        <v>360</v>
      </c>
      <c r="H54" s="64" t="s">
        <v>250</v>
      </c>
      <c r="I54" s="62" t="s">
        <v>251</v>
      </c>
      <c r="J54" s="62" t="s">
        <v>252</v>
      </c>
      <c r="K54" s="62" t="s">
        <v>246</v>
      </c>
    </row>
    <row r="55" customFormat="false" ht="13.8" hidden="false" customHeight="false" outlineLevel="0" collapsed="false">
      <c r="B55" s="65" t="s">
        <v>361</v>
      </c>
      <c r="C55" s="65" t="s">
        <v>246</v>
      </c>
      <c r="D55" s="65" t="s">
        <v>247</v>
      </c>
      <c r="E55" s="66" t="n">
        <v>5800</v>
      </c>
      <c r="F55" s="65" t="s">
        <v>248</v>
      </c>
      <c r="G55" s="65" t="s">
        <v>362</v>
      </c>
      <c r="H55" s="64" t="s">
        <v>250</v>
      </c>
      <c r="I55" s="65" t="s">
        <v>251</v>
      </c>
      <c r="J55" s="65" t="s">
        <v>252</v>
      </c>
      <c r="K55" s="65" t="s">
        <v>246</v>
      </c>
    </row>
    <row r="56" customFormat="false" ht="13.8" hidden="false" customHeight="false" outlineLevel="0" collapsed="false">
      <c r="B56" s="62" t="s">
        <v>363</v>
      </c>
      <c r="C56" s="62" t="s">
        <v>246</v>
      </c>
      <c r="D56" s="62" t="s">
        <v>247</v>
      </c>
      <c r="E56" s="63" t="n">
        <v>4250</v>
      </c>
      <c r="F56" s="62" t="s">
        <v>248</v>
      </c>
      <c r="G56" s="62" t="s">
        <v>364</v>
      </c>
      <c r="H56" s="64" t="s">
        <v>250</v>
      </c>
      <c r="I56" s="62" t="s">
        <v>251</v>
      </c>
      <c r="J56" s="62" t="s">
        <v>252</v>
      </c>
      <c r="K56" s="62" t="s">
        <v>246</v>
      </c>
    </row>
    <row r="57" customFormat="false" ht="13.8" hidden="false" customHeight="false" outlineLevel="0" collapsed="false">
      <c r="B57" s="65" t="s">
        <v>365</v>
      </c>
      <c r="C57" s="65" t="s">
        <v>246</v>
      </c>
      <c r="D57" s="65" t="s">
        <v>247</v>
      </c>
      <c r="E57" s="66" t="n">
        <v>2700</v>
      </c>
      <c r="F57" s="65" t="s">
        <v>248</v>
      </c>
      <c r="G57" s="65" t="s">
        <v>366</v>
      </c>
      <c r="H57" s="64" t="s">
        <v>250</v>
      </c>
      <c r="I57" s="65" t="s">
        <v>251</v>
      </c>
      <c r="J57" s="65" t="s">
        <v>252</v>
      </c>
      <c r="K57" s="65" t="s">
        <v>246</v>
      </c>
    </row>
    <row r="58" customFormat="false" ht="13.8" hidden="false" customHeight="false" outlineLevel="0" collapsed="false">
      <c r="B58" s="62" t="s">
        <v>367</v>
      </c>
      <c r="C58" s="62" t="s">
        <v>246</v>
      </c>
      <c r="D58" s="62" t="s">
        <v>247</v>
      </c>
      <c r="E58" s="63" t="n">
        <v>3250</v>
      </c>
      <c r="F58" s="62" t="s">
        <v>248</v>
      </c>
      <c r="G58" s="62" t="s">
        <v>368</v>
      </c>
      <c r="H58" s="64" t="s">
        <v>250</v>
      </c>
      <c r="I58" s="62" t="s">
        <v>251</v>
      </c>
      <c r="J58" s="62" t="s">
        <v>252</v>
      </c>
      <c r="K58" s="62" t="s">
        <v>246</v>
      </c>
    </row>
    <row r="59" customFormat="false" ht="13.8" hidden="false" customHeight="false" outlineLevel="0" collapsed="false">
      <c r="B59" s="65" t="s">
        <v>369</v>
      </c>
      <c r="C59" s="65" t="s">
        <v>246</v>
      </c>
      <c r="D59" s="65" t="s">
        <v>247</v>
      </c>
      <c r="E59" s="66" t="n">
        <v>4100</v>
      </c>
      <c r="F59" s="65" t="s">
        <v>248</v>
      </c>
      <c r="G59" s="65" t="s">
        <v>370</v>
      </c>
      <c r="H59" s="64" t="s">
        <v>250</v>
      </c>
      <c r="I59" s="65" t="s">
        <v>251</v>
      </c>
      <c r="J59" s="65" t="s">
        <v>252</v>
      </c>
      <c r="K59" s="65" t="s">
        <v>246</v>
      </c>
    </row>
    <row r="60" customFormat="false" ht="13.8" hidden="false" customHeight="false" outlineLevel="0" collapsed="false">
      <c r="B60" s="62" t="s">
        <v>371</v>
      </c>
      <c r="C60" s="62" t="s">
        <v>246</v>
      </c>
      <c r="D60" s="62" t="s">
        <v>247</v>
      </c>
      <c r="E60" s="63" t="n">
        <v>4850</v>
      </c>
      <c r="F60" s="62" t="s">
        <v>248</v>
      </c>
      <c r="G60" s="62" t="s">
        <v>372</v>
      </c>
      <c r="H60" s="64" t="s">
        <v>250</v>
      </c>
      <c r="I60" s="62" t="s">
        <v>290</v>
      </c>
      <c r="J60" s="62" t="s">
        <v>252</v>
      </c>
      <c r="K60" s="62" t="s">
        <v>246</v>
      </c>
    </row>
    <row r="61" customFormat="false" ht="13.8" hidden="false" customHeight="false" outlineLevel="0" collapsed="false">
      <c r="B61" s="65" t="s">
        <v>373</v>
      </c>
      <c r="C61" s="65" t="s">
        <v>246</v>
      </c>
      <c r="D61" s="65" t="s">
        <v>247</v>
      </c>
      <c r="E61" s="66" t="n">
        <v>5550</v>
      </c>
      <c r="F61" s="65" t="s">
        <v>248</v>
      </c>
      <c r="G61" s="65" t="s">
        <v>374</v>
      </c>
      <c r="H61" s="64" t="s">
        <v>250</v>
      </c>
      <c r="I61" s="65" t="s">
        <v>251</v>
      </c>
      <c r="J61" s="65" t="s">
        <v>252</v>
      </c>
      <c r="K61" s="65" t="s">
        <v>246</v>
      </c>
    </row>
    <row r="62" customFormat="false" ht="13.8" hidden="false" customHeight="false" outlineLevel="0" collapsed="false">
      <c r="B62" s="62" t="s">
        <v>375</v>
      </c>
      <c r="C62" s="62" t="s">
        <v>246</v>
      </c>
      <c r="D62" s="62" t="s">
        <v>247</v>
      </c>
      <c r="E62" s="63" t="n">
        <v>5950</v>
      </c>
      <c r="F62" s="62" t="s">
        <v>248</v>
      </c>
      <c r="G62" s="62" t="s">
        <v>376</v>
      </c>
      <c r="H62" s="64" t="s">
        <v>250</v>
      </c>
      <c r="I62" s="62" t="s">
        <v>251</v>
      </c>
      <c r="J62" s="62" t="s">
        <v>252</v>
      </c>
      <c r="K62" s="62" t="s">
        <v>246</v>
      </c>
    </row>
    <row r="63" customFormat="false" ht="13.8" hidden="false" customHeight="false" outlineLevel="0" collapsed="false">
      <c r="B63" s="65" t="s">
        <v>377</v>
      </c>
      <c r="C63" s="65" t="s">
        <v>246</v>
      </c>
      <c r="D63" s="65" t="s">
        <v>247</v>
      </c>
      <c r="E63" s="66" t="n">
        <v>6050</v>
      </c>
      <c r="F63" s="65" t="s">
        <v>248</v>
      </c>
      <c r="G63" s="65" t="s">
        <v>378</v>
      </c>
      <c r="H63" s="64" t="s">
        <v>250</v>
      </c>
      <c r="I63" s="65" t="s">
        <v>251</v>
      </c>
      <c r="J63" s="65" t="s">
        <v>252</v>
      </c>
      <c r="K63" s="65" t="s">
        <v>246</v>
      </c>
    </row>
    <row r="64" customFormat="false" ht="12.8" hidden="false" customHeight="false" outlineLevel="0" collapsed="false">
      <c r="E64" s="3" t="n">
        <f aca="false">+AVERAGE(E4:E63)</f>
        <v>5314.11666666667</v>
      </c>
    </row>
  </sheetData>
  <hyperlinks>
    <hyperlink ref="A1" r:id="rId1" location="Main" display="Main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E14" activeCellId="0" sqref="E14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19" t="s">
        <v>92</v>
      </c>
      <c r="E1" s="1" t="s">
        <v>379</v>
      </c>
      <c r="F1" s="1" t="s">
        <v>380</v>
      </c>
    </row>
  </sheetData>
  <hyperlinks>
    <hyperlink ref="A1" r:id="rId1" location="Main" display="Main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5231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2026-04-14T21:40:21Z</dcterms:created>
  <dc:creator/>
  <dc:description/>
  <dc:language>en-US</dc:language>
  <cp:lastModifiedBy/>
  <dcterms:modified xsi:type="dcterms:W3CDTF">2026-10-01T18:51:38Z</dcterms:modified>
  <cp:revision>231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